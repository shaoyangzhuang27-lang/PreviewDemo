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48CF6926-DF8D-4FA7-88A0-228862182CC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eroes" sheetId="5" r:id="rId1"/>
    <sheet name="Sheet4" sheetId="1" r:id="rId2"/>
    <sheet name="Sheet1" sheetId="3" r:id="rId3"/>
    <sheet name="Sheet2" sheetId="4" r:id="rId4"/>
  </sheets>
  <definedNames>
    <definedName name="_xlnm._FilterDatabase" localSheetId="0" hidden="1">heroes!$A$3:$CH$608</definedName>
    <definedName name="_xlnm._FilterDatabase" localSheetId="1" hidden="1">Sheet4!$A$3:$BV$560</definedName>
  </definedNames>
  <calcPr calcId="191029"/>
</workbook>
</file>

<file path=xl/calcChain.xml><?xml version="1.0" encoding="utf-8"?>
<calcChain xmlns="http://schemas.openxmlformats.org/spreadsheetml/2006/main">
  <c r="BE5" i="5" l="1"/>
  <c r="BW4" i="5"/>
  <c r="CE560" i="4"/>
  <c r="AV560" i="4"/>
  <c r="AU560" i="4" s="1"/>
  <c r="L560" i="4" s="1"/>
  <c r="A560" i="4"/>
  <c r="CE559" i="4"/>
  <c r="BX559" i="4"/>
  <c r="AV559" i="4"/>
  <c r="AU559" i="4" s="1"/>
  <c r="AS559" i="4"/>
  <c r="L559" i="4"/>
  <c r="A559" i="4"/>
  <c r="CE558" i="4"/>
  <c r="BX558" i="4"/>
  <c r="AV558" i="4"/>
  <c r="AU558" i="4" s="1"/>
  <c r="L558" i="4" s="1"/>
  <c r="A558" i="4"/>
  <c r="CE557" i="4"/>
  <c r="BX557" i="4"/>
  <c r="AV557" i="4"/>
  <c r="AU557" i="4" s="1"/>
  <c r="L557" i="4" s="1"/>
  <c r="A557" i="4"/>
  <c r="CE556" i="4"/>
  <c r="AV556" i="4"/>
  <c r="AU556" i="4" s="1"/>
  <c r="L556" i="4"/>
  <c r="A556" i="4"/>
  <c r="CE555" i="4"/>
  <c r="BX555" i="4"/>
  <c r="AV555" i="4"/>
  <c r="AS555" i="4" s="1"/>
  <c r="M555" i="4" s="1"/>
  <c r="AU555" i="4"/>
  <c r="L555" i="4" s="1"/>
  <c r="A555" i="4"/>
  <c r="CE554" i="4"/>
  <c r="BX554" i="4"/>
  <c r="AV554" i="4"/>
  <c r="AU554" i="4" s="1"/>
  <c r="L554" i="4" s="1"/>
  <c r="A554" i="4"/>
  <c r="CE553" i="4"/>
  <c r="BX553" i="4"/>
  <c r="AV553" i="4"/>
  <c r="AU553" i="4"/>
  <c r="L553" i="4" s="1"/>
  <c r="AS553" i="4"/>
  <c r="AN553" i="4" s="1"/>
  <c r="Q553" i="4" s="1"/>
  <c r="M553" i="4"/>
  <c r="A553" i="4"/>
  <c r="CE552" i="4"/>
  <c r="AV552" i="4"/>
  <c r="AS552" i="4" s="1"/>
  <c r="M552" i="4" s="1"/>
  <c r="A552" i="4"/>
  <c r="CE551" i="4"/>
  <c r="AV551" i="4"/>
  <c r="AU551" i="4"/>
  <c r="L551" i="4" s="1"/>
  <c r="A551" i="4"/>
  <c r="CE550" i="4"/>
  <c r="AV550" i="4"/>
  <c r="AN550" i="4" s="1"/>
  <c r="Q550" i="4" s="1"/>
  <c r="AU550" i="4"/>
  <c r="L550" i="4" s="1"/>
  <c r="AS550" i="4"/>
  <c r="M550" i="4" s="1"/>
  <c r="A550" i="4"/>
  <c r="CE549" i="4"/>
  <c r="AV549" i="4"/>
  <c r="AM549" i="4" s="1"/>
  <c r="P549" i="4" s="1"/>
  <c r="AU549" i="4"/>
  <c r="AS549" i="4"/>
  <c r="AN549" i="4" s="1"/>
  <c r="Q549" i="4" s="1"/>
  <c r="L549" i="4"/>
  <c r="A549" i="4"/>
  <c r="CE548" i="4"/>
  <c r="AV548" i="4"/>
  <c r="AN548" i="4" s="1"/>
  <c r="Q548" i="4" s="1"/>
  <c r="AU548" i="4"/>
  <c r="L548" i="4" s="1"/>
  <c r="AS548" i="4"/>
  <c r="M548" i="4" s="1"/>
  <c r="A548" i="4"/>
  <c r="CE547" i="4"/>
  <c r="AV547" i="4"/>
  <c r="AS547" i="4" s="1"/>
  <c r="AN547" i="4" s="1"/>
  <c r="Q547" i="4" s="1"/>
  <c r="A547" i="4"/>
  <c r="CE546" i="4"/>
  <c r="AV546" i="4"/>
  <c r="AU546" i="4"/>
  <c r="L546" i="4" s="1"/>
  <c r="A546" i="4"/>
  <c r="CE545" i="4"/>
  <c r="AV545" i="4"/>
  <c r="AU545" i="4"/>
  <c r="L545" i="4" s="1"/>
  <c r="AS545" i="4"/>
  <c r="AN545" i="4" s="1"/>
  <c r="Q545" i="4" s="1"/>
  <c r="M545" i="4"/>
  <c r="A545" i="4"/>
  <c r="CE544" i="4"/>
  <c r="AV544" i="4"/>
  <c r="AU544" i="4"/>
  <c r="L544" i="4" s="1"/>
  <c r="AS544" i="4"/>
  <c r="AN544" i="4" s="1"/>
  <c r="Q544" i="4" s="1"/>
  <c r="A544" i="4"/>
  <c r="CE543" i="4"/>
  <c r="AV543" i="4"/>
  <c r="AS543" i="4" s="1"/>
  <c r="A543" i="4"/>
  <c r="CE542" i="4"/>
  <c r="AV542" i="4"/>
  <c r="AU542" i="4"/>
  <c r="L542" i="4" s="1"/>
  <c r="A542" i="4"/>
  <c r="CE541" i="4"/>
  <c r="AV541" i="4"/>
  <c r="AU541" i="4"/>
  <c r="AS541" i="4"/>
  <c r="L541" i="4"/>
  <c r="A541" i="4"/>
  <c r="CE540" i="4"/>
  <c r="AV540" i="4"/>
  <c r="AU540" i="4"/>
  <c r="L540" i="4"/>
  <c r="A540" i="4"/>
  <c r="CE539" i="4"/>
  <c r="AV539" i="4"/>
  <c r="AU539" i="4"/>
  <c r="L539" i="4" s="1"/>
  <c r="A539" i="4"/>
  <c r="CE538" i="4"/>
  <c r="AV538" i="4"/>
  <c r="AU538" i="4"/>
  <c r="AS538" i="4"/>
  <c r="AN538" i="4" s="1"/>
  <c r="Q538" i="4" s="1"/>
  <c r="M538" i="4"/>
  <c r="L538" i="4"/>
  <c r="A538" i="4"/>
  <c r="CE537" i="4"/>
  <c r="AV537" i="4"/>
  <c r="AS537" i="4" s="1"/>
  <c r="AU537" i="4"/>
  <c r="L537" i="4" s="1"/>
  <c r="A537" i="4"/>
  <c r="CE536" i="4"/>
  <c r="AV536" i="4"/>
  <c r="AU536" i="4" s="1"/>
  <c r="L536" i="4" s="1"/>
  <c r="AS536" i="4"/>
  <c r="AN536" i="4" s="1"/>
  <c r="Q536" i="4" s="1"/>
  <c r="A536" i="4"/>
  <c r="CE535" i="4"/>
  <c r="AV535" i="4"/>
  <c r="AU535" i="4" s="1"/>
  <c r="L535" i="4" s="1"/>
  <c r="A535" i="4"/>
  <c r="CE534" i="4"/>
  <c r="AV534" i="4"/>
  <c r="AS534" i="4" s="1"/>
  <c r="A534" i="4"/>
  <c r="CE533" i="4"/>
  <c r="AV533" i="4"/>
  <c r="AU533" i="4" s="1"/>
  <c r="L533" i="4" s="1"/>
  <c r="A533" i="4"/>
  <c r="CE532" i="4"/>
  <c r="AV532" i="4"/>
  <c r="AS532" i="4" s="1"/>
  <c r="AU532" i="4"/>
  <c r="L532" i="4" s="1"/>
  <c r="A532" i="4"/>
  <c r="CE531" i="4"/>
  <c r="AV531" i="4"/>
  <c r="AU531" i="4" s="1"/>
  <c r="L531" i="4" s="1"/>
  <c r="A531" i="4"/>
  <c r="CE530" i="4"/>
  <c r="AV530" i="4"/>
  <c r="AU530" i="4"/>
  <c r="L530" i="4" s="1"/>
  <c r="AS530" i="4"/>
  <c r="AN530" i="4" s="1"/>
  <c r="Q530" i="4" s="1"/>
  <c r="M530" i="4"/>
  <c r="A530" i="4"/>
  <c r="CE529" i="4"/>
  <c r="AV529" i="4"/>
  <c r="AU529" i="4" s="1"/>
  <c r="L529" i="4" s="1"/>
  <c r="A529" i="4"/>
  <c r="CE528" i="4"/>
  <c r="AV528" i="4"/>
  <c r="AS528" i="4" s="1"/>
  <c r="AU528" i="4"/>
  <c r="L528" i="4" s="1"/>
  <c r="A528" i="4"/>
  <c r="CE527" i="4"/>
  <c r="AV527" i="4"/>
  <c r="AU527" i="4" s="1"/>
  <c r="L527" i="4" s="1"/>
  <c r="A527" i="4"/>
  <c r="CE526" i="4"/>
  <c r="AV526" i="4"/>
  <c r="AU526" i="4"/>
  <c r="AS526" i="4"/>
  <c r="M526" i="4" s="1"/>
  <c r="L526" i="4"/>
  <c r="A526" i="4"/>
  <c r="CE525" i="4"/>
  <c r="AV525" i="4"/>
  <c r="AU525" i="4"/>
  <c r="L525" i="4" s="1"/>
  <c r="A525" i="4"/>
  <c r="CE524" i="4"/>
  <c r="AV524" i="4"/>
  <c r="AS524" i="4" s="1"/>
  <c r="M524" i="4" s="1"/>
  <c r="AU524" i="4"/>
  <c r="L524" i="4" s="1"/>
  <c r="A524" i="4"/>
  <c r="CE523" i="4"/>
  <c r="AV523" i="4"/>
  <c r="AU523" i="4"/>
  <c r="L523" i="4" s="1"/>
  <c r="A523" i="4"/>
  <c r="CE522" i="4"/>
  <c r="BX522" i="4"/>
  <c r="AV522" i="4"/>
  <c r="AU522" i="4" s="1"/>
  <c r="L522" i="4" s="1"/>
  <c r="A522" i="4"/>
  <c r="CE521" i="4"/>
  <c r="BX521" i="4"/>
  <c r="AV521" i="4"/>
  <c r="AU521" i="4"/>
  <c r="L521" i="4" s="1"/>
  <c r="A521" i="4"/>
  <c r="CE520" i="4"/>
  <c r="BX520" i="4"/>
  <c r="AV520" i="4"/>
  <c r="AU520" i="4" s="1"/>
  <c r="L520" i="4" s="1"/>
  <c r="A520" i="4"/>
  <c r="CE519" i="4"/>
  <c r="AV519" i="4"/>
  <c r="AS519" i="4" s="1"/>
  <c r="A519" i="4"/>
  <c r="CE518" i="4"/>
  <c r="BX518" i="4"/>
  <c r="AV518" i="4"/>
  <c r="AU518" i="4"/>
  <c r="L518" i="4" s="1"/>
  <c r="AS518" i="4"/>
  <c r="AN518" i="4" s="1"/>
  <c r="Q518" i="4" s="1"/>
  <c r="AM518" i="4"/>
  <c r="AQ518" i="4" s="1"/>
  <c r="AR518" i="4" s="1"/>
  <c r="U518" i="4" s="1"/>
  <c r="M518" i="4"/>
  <c r="A518" i="4"/>
  <c r="CE517" i="4"/>
  <c r="BX517" i="4"/>
  <c r="AV517" i="4"/>
  <c r="AS517" i="4" s="1"/>
  <c r="AU517" i="4"/>
  <c r="L517" i="4" s="1"/>
  <c r="A517" i="4"/>
  <c r="CE516" i="4"/>
  <c r="BX516" i="4"/>
  <c r="AV516" i="4"/>
  <c r="AS516" i="4" s="1"/>
  <c r="AU516" i="4"/>
  <c r="L516" i="4"/>
  <c r="A516" i="4"/>
  <c r="CE515" i="4"/>
  <c r="AV515" i="4"/>
  <c r="AU515" i="4" s="1"/>
  <c r="L515" i="4" s="1"/>
  <c r="A515" i="4"/>
  <c r="CE514" i="4"/>
  <c r="AV514" i="4"/>
  <c r="AS514" i="4" s="1"/>
  <c r="A514" i="4"/>
  <c r="CE513" i="4"/>
  <c r="AV513" i="4"/>
  <c r="AU513" i="4" s="1"/>
  <c r="L513" i="4" s="1"/>
  <c r="AS513" i="4"/>
  <c r="AN513" i="4" s="1"/>
  <c r="Q513" i="4" s="1"/>
  <c r="A513" i="4"/>
  <c r="CE512" i="4"/>
  <c r="AV512" i="4"/>
  <c r="AU512" i="4" s="1"/>
  <c r="L512" i="4" s="1"/>
  <c r="A512" i="4"/>
  <c r="CE511" i="4"/>
  <c r="AV511" i="4"/>
  <c r="AU511" i="4" s="1"/>
  <c r="L511" i="4" s="1"/>
  <c r="A511" i="4"/>
  <c r="CE510" i="4"/>
  <c r="AV510" i="4"/>
  <c r="AS510" i="4" s="1"/>
  <c r="A510" i="4"/>
  <c r="CE509" i="4"/>
  <c r="AV509" i="4"/>
  <c r="AS509" i="4" s="1"/>
  <c r="A509" i="4"/>
  <c r="CE508" i="4"/>
  <c r="AV508" i="4"/>
  <c r="AU508" i="4" s="1"/>
  <c r="L508" i="4" s="1"/>
  <c r="AS508" i="4"/>
  <c r="AN508" i="4" s="1"/>
  <c r="Q508" i="4" s="1"/>
  <c r="M508" i="4"/>
  <c r="A508" i="4"/>
  <c r="CE507" i="4"/>
  <c r="AV507" i="4"/>
  <c r="AU507" i="4" s="1"/>
  <c r="L507" i="4" s="1"/>
  <c r="A507" i="4"/>
  <c r="CE506" i="4"/>
  <c r="AV506" i="4"/>
  <c r="AS506" i="4" s="1"/>
  <c r="AU506" i="4"/>
  <c r="L506" i="4" s="1"/>
  <c r="A506" i="4"/>
  <c r="CE505" i="4"/>
  <c r="AV505" i="4"/>
  <c r="AU505" i="4"/>
  <c r="L505" i="4" s="1"/>
  <c r="AS505" i="4"/>
  <c r="AN505" i="4" s="1"/>
  <c r="Q505" i="4" s="1"/>
  <c r="A505" i="4"/>
  <c r="CE504" i="4"/>
  <c r="AV504" i="4"/>
  <c r="AU504" i="4" s="1"/>
  <c r="L504" i="4" s="1"/>
  <c r="A504" i="4"/>
  <c r="CE503" i="4"/>
  <c r="AV503" i="4"/>
  <c r="AU503" i="4" s="1"/>
  <c r="L503" i="4" s="1"/>
  <c r="A503" i="4"/>
  <c r="CE502" i="4"/>
  <c r="AV502" i="4"/>
  <c r="AS502" i="4" s="1"/>
  <c r="A502" i="4"/>
  <c r="CE501" i="4"/>
  <c r="AV501" i="4"/>
  <c r="AS501" i="4" s="1"/>
  <c r="A501" i="4"/>
  <c r="CE500" i="4"/>
  <c r="AV500" i="4"/>
  <c r="AU500" i="4" s="1"/>
  <c r="L500" i="4" s="1"/>
  <c r="AS500" i="4"/>
  <c r="AN500" i="4" s="1"/>
  <c r="Q500" i="4" s="1"/>
  <c r="M500" i="4"/>
  <c r="A500" i="4"/>
  <c r="CE499" i="4"/>
  <c r="AV499" i="4"/>
  <c r="A499" i="4"/>
  <c r="CE498" i="4"/>
  <c r="AV498" i="4"/>
  <c r="AS498" i="4" s="1"/>
  <c r="AM498" i="4" s="1"/>
  <c r="AU498" i="4"/>
  <c r="L498" i="4" s="1"/>
  <c r="A498" i="4"/>
  <c r="CE497" i="4"/>
  <c r="AV497" i="4"/>
  <c r="AU497" i="4"/>
  <c r="L497" i="4" s="1"/>
  <c r="AS497" i="4"/>
  <c r="AN497" i="4" s="1"/>
  <c r="Q497" i="4" s="1"/>
  <c r="A497" i="4"/>
  <c r="CE496" i="4"/>
  <c r="AV496" i="4"/>
  <c r="AS496" i="4" s="1"/>
  <c r="A496" i="4"/>
  <c r="CE495" i="4"/>
  <c r="AV495" i="4"/>
  <c r="AU495" i="4" s="1"/>
  <c r="L495" i="4" s="1"/>
  <c r="A495" i="4"/>
  <c r="CE494" i="4"/>
  <c r="AV494" i="4"/>
  <c r="AS494" i="4" s="1"/>
  <c r="A494" i="4"/>
  <c r="CE493" i="4"/>
  <c r="AV493" i="4"/>
  <c r="AU493" i="4"/>
  <c r="L493" i="4" s="1"/>
  <c r="AS493" i="4"/>
  <c r="M493" i="4" s="1"/>
  <c r="A493" i="4"/>
  <c r="CE492" i="4"/>
  <c r="AV492" i="4"/>
  <c r="AS492" i="4" s="1"/>
  <c r="A492" i="4"/>
  <c r="CE491" i="4"/>
  <c r="AV491" i="4"/>
  <c r="A491" i="4"/>
  <c r="CE490" i="4"/>
  <c r="AV490" i="4"/>
  <c r="AS490" i="4" s="1"/>
  <c r="A490" i="4"/>
  <c r="CE489" i="4"/>
  <c r="AV489" i="4"/>
  <c r="AU489" i="4"/>
  <c r="L489" i="4" s="1"/>
  <c r="AS489" i="4"/>
  <c r="M489" i="4" s="1"/>
  <c r="A489" i="4"/>
  <c r="CE488" i="4"/>
  <c r="AV488" i="4"/>
  <c r="AS488" i="4" s="1"/>
  <c r="A488" i="4"/>
  <c r="CE487" i="4"/>
  <c r="AV487" i="4"/>
  <c r="AU487" i="4" s="1"/>
  <c r="L487" i="4" s="1"/>
  <c r="A487" i="4"/>
  <c r="CE486" i="4"/>
  <c r="AV486" i="4"/>
  <c r="AU486" i="4" s="1"/>
  <c r="L486" i="4" s="1"/>
  <c r="A486" i="4"/>
  <c r="CE485" i="4"/>
  <c r="BX485" i="4"/>
  <c r="AV485" i="4"/>
  <c r="AU485" i="4"/>
  <c r="L485" i="4"/>
  <c r="A485" i="4"/>
  <c r="CE484" i="4"/>
  <c r="BX484" i="4"/>
  <c r="AV484" i="4"/>
  <c r="AS484" i="4" s="1"/>
  <c r="AN484" i="4"/>
  <c r="Q484" i="4" s="1"/>
  <c r="M484" i="4"/>
  <c r="A484" i="4"/>
  <c r="CE483" i="4"/>
  <c r="BX483" i="4"/>
  <c r="AV483" i="4"/>
  <c r="AU483" i="4" s="1"/>
  <c r="L483" i="4" s="1"/>
  <c r="A483" i="4"/>
  <c r="CE482" i="4"/>
  <c r="AV482" i="4"/>
  <c r="AU482" i="4"/>
  <c r="L482" i="4" s="1"/>
  <c r="A482" i="4"/>
  <c r="CE481" i="4"/>
  <c r="BX481" i="4"/>
  <c r="AV481" i="4"/>
  <c r="AS481" i="4" s="1"/>
  <c r="A481" i="4"/>
  <c r="CE480" i="4"/>
  <c r="BX480" i="4"/>
  <c r="AV480" i="4"/>
  <c r="AS480" i="4" s="1"/>
  <c r="AU480" i="4"/>
  <c r="L480" i="4" s="1"/>
  <c r="A480" i="4"/>
  <c r="CE479" i="4"/>
  <c r="BX479" i="4"/>
  <c r="AV479" i="4"/>
  <c r="AU479" i="4"/>
  <c r="L479" i="4" s="1"/>
  <c r="AS479" i="4"/>
  <c r="AN479" i="4" s="1"/>
  <c r="Q479" i="4" s="1"/>
  <c r="A479" i="4"/>
  <c r="CE478" i="4"/>
  <c r="AV478" i="4"/>
  <c r="AU478" i="4" s="1"/>
  <c r="L478" i="4" s="1"/>
  <c r="A478" i="4"/>
  <c r="CE477" i="4"/>
  <c r="AV477" i="4"/>
  <c r="AU477" i="4" s="1"/>
  <c r="L477" i="4" s="1"/>
  <c r="A477" i="4"/>
  <c r="CE476" i="4"/>
  <c r="AV476" i="4"/>
  <c r="AS476" i="4" s="1"/>
  <c r="A476" i="4"/>
  <c r="CE475" i="4"/>
  <c r="AV475" i="4"/>
  <c r="AS475" i="4" s="1"/>
  <c r="A475" i="4"/>
  <c r="CE474" i="4"/>
  <c r="AV474" i="4"/>
  <c r="AU474" i="4" s="1"/>
  <c r="L474" i="4" s="1"/>
  <c r="AS474" i="4"/>
  <c r="AN474" i="4" s="1"/>
  <c r="Q474" i="4" s="1"/>
  <c r="M474" i="4"/>
  <c r="A474" i="4"/>
  <c r="CE473" i="4"/>
  <c r="AV473" i="4"/>
  <c r="AU473" i="4" s="1"/>
  <c r="L473" i="4" s="1"/>
  <c r="A473" i="4"/>
  <c r="CE472" i="4"/>
  <c r="AV472" i="4"/>
  <c r="AS472" i="4" s="1"/>
  <c r="AU472" i="4"/>
  <c r="L472" i="4" s="1"/>
  <c r="A472" i="4"/>
  <c r="CE471" i="4"/>
  <c r="AV471" i="4"/>
  <c r="AU471" i="4"/>
  <c r="L471" i="4" s="1"/>
  <c r="AS471" i="4"/>
  <c r="AN471" i="4" s="1"/>
  <c r="Q471" i="4" s="1"/>
  <c r="A471" i="4"/>
  <c r="CE470" i="4"/>
  <c r="AV470" i="4"/>
  <c r="AU470" i="4" s="1"/>
  <c r="L470" i="4" s="1"/>
  <c r="A470" i="4"/>
  <c r="CE469" i="4"/>
  <c r="AV469" i="4"/>
  <c r="A469" i="4"/>
  <c r="CE468" i="4"/>
  <c r="AV468" i="4"/>
  <c r="AS468" i="4" s="1"/>
  <c r="A468" i="4"/>
  <c r="CE467" i="4"/>
  <c r="AV467" i="4"/>
  <c r="AU467" i="4"/>
  <c r="L467" i="4" s="1"/>
  <c r="AS467" i="4"/>
  <c r="M467" i="4"/>
  <c r="A467" i="4"/>
  <c r="CE466" i="4"/>
  <c r="AV466" i="4"/>
  <c r="AS466" i="4"/>
  <c r="AN466" i="4" s="1"/>
  <c r="Q466" i="4" s="1"/>
  <c r="A466" i="4"/>
  <c r="CE465" i="4"/>
  <c r="AV465" i="4"/>
  <c r="AU465" i="4" s="1"/>
  <c r="L465" i="4" s="1"/>
  <c r="A465" i="4"/>
  <c r="CE464" i="4"/>
  <c r="AV464" i="4"/>
  <c r="AS464" i="4" s="1"/>
  <c r="AU464" i="4"/>
  <c r="L464" i="4" s="1"/>
  <c r="A464" i="4"/>
  <c r="CE463" i="4"/>
  <c r="AV463" i="4"/>
  <c r="AS463" i="4" s="1"/>
  <c r="M463" i="4" s="1"/>
  <c r="AU463" i="4"/>
  <c r="L463" i="4" s="1"/>
  <c r="A463" i="4"/>
  <c r="CE462" i="4"/>
  <c r="AV462" i="4"/>
  <c r="AS462" i="4" s="1"/>
  <c r="A462" i="4"/>
  <c r="CE461" i="4"/>
  <c r="AV461" i="4"/>
  <c r="A461" i="4"/>
  <c r="CE460" i="4"/>
  <c r="AV460" i="4"/>
  <c r="AU460" i="4"/>
  <c r="L460" i="4" s="1"/>
  <c r="A460" i="4"/>
  <c r="CE459" i="4"/>
  <c r="AV459" i="4"/>
  <c r="AU459" i="4"/>
  <c r="L459" i="4" s="1"/>
  <c r="A459" i="4"/>
  <c r="CE458" i="4"/>
  <c r="AV458" i="4"/>
  <c r="AS458" i="4"/>
  <c r="M458" i="4" s="1"/>
  <c r="AN458" i="4"/>
  <c r="Q458" i="4" s="1"/>
  <c r="A458" i="4"/>
  <c r="CE457" i="4"/>
  <c r="AV457" i="4"/>
  <c r="AU457" i="4" s="1"/>
  <c r="L457" i="4" s="1"/>
  <c r="A457" i="4"/>
  <c r="CE456" i="4"/>
  <c r="AV456" i="4"/>
  <c r="AU456" i="4"/>
  <c r="L456" i="4" s="1"/>
  <c r="AS456" i="4"/>
  <c r="AM456" i="4"/>
  <c r="A456" i="4"/>
  <c r="CE455" i="4"/>
  <c r="AV455" i="4"/>
  <c r="AU455" i="4" s="1"/>
  <c r="L455" i="4" s="1"/>
  <c r="A455" i="4"/>
  <c r="CE454" i="4"/>
  <c r="AV454" i="4"/>
  <c r="A454" i="4"/>
  <c r="CE453" i="4"/>
  <c r="AV453" i="4"/>
  <c r="A453" i="4"/>
  <c r="CE452" i="4"/>
  <c r="AV452" i="4"/>
  <c r="AU452" i="4"/>
  <c r="L452" i="4" s="1"/>
  <c r="AS452" i="4"/>
  <c r="AM452" i="4"/>
  <c r="A452" i="4"/>
  <c r="CE451" i="4"/>
  <c r="AV451" i="4"/>
  <c r="AU451" i="4" s="1"/>
  <c r="L451" i="4" s="1"/>
  <c r="A451" i="4"/>
  <c r="CE450" i="4"/>
  <c r="AV450" i="4"/>
  <c r="A450" i="4"/>
  <c r="CE449" i="4"/>
  <c r="AV449" i="4"/>
  <c r="A449" i="4"/>
  <c r="CE448" i="4"/>
  <c r="BX448" i="4"/>
  <c r="AV448" i="4"/>
  <c r="A448" i="4"/>
  <c r="CE447" i="4"/>
  <c r="BX447" i="4"/>
  <c r="AV447" i="4"/>
  <c r="A447" i="4"/>
  <c r="CE446" i="4"/>
  <c r="BX446" i="4"/>
  <c r="AV446" i="4"/>
  <c r="AS446" i="4" s="1"/>
  <c r="A446" i="4"/>
  <c r="CE445" i="4"/>
  <c r="AV445" i="4"/>
  <c r="AU445" i="4"/>
  <c r="L445" i="4" s="1"/>
  <c r="AS445" i="4"/>
  <c r="AN445" i="4" s="1"/>
  <c r="Q445" i="4" s="1"/>
  <c r="M445" i="4"/>
  <c r="A445" i="4"/>
  <c r="CE444" i="4"/>
  <c r="BX444" i="4"/>
  <c r="AV444" i="4"/>
  <c r="A444" i="4"/>
  <c r="CE443" i="4"/>
  <c r="BX443" i="4"/>
  <c r="AV443" i="4"/>
  <c r="AS443" i="4" s="1"/>
  <c r="AU443" i="4"/>
  <c r="L443" i="4" s="1"/>
  <c r="A443" i="4"/>
  <c r="CE442" i="4"/>
  <c r="BX442" i="4"/>
  <c r="AV442" i="4"/>
  <c r="AU442" i="4"/>
  <c r="L442" i="4" s="1"/>
  <c r="AS442" i="4"/>
  <c r="A442" i="4"/>
  <c r="CE441" i="4"/>
  <c r="AV441" i="4"/>
  <c r="AU441" i="4" s="1"/>
  <c r="L441" i="4" s="1"/>
  <c r="A441" i="4"/>
  <c r="CE440" i="4"/>
  <c r="AV440" i="4"/>
  <c r="AU440" i="4" s="1"/>
  <c r="L440" i="4" s="1"/>
  <c r="A440" i="4"/>
  <c r="CE439" i="4"/>
  <c r="AV439" i="4"/>
  <c r="A439" i="4"/>
  <c r="CE438" i="4"/>
  <c r="AV438" i="4"/>
  <c r="A438" i="4"/>
  <c r="CE437" i="4"/>
  <c r="AV437" i="4"/>
  <c r="AU437" i="4" s="1"/>
  <c r="L437" i="4" s="1"/>
  <c r="A437" i="4"/>
  <c r="CE436" i="4"/>
  <c r="AV436" i="4"/>
  <c r="AU436" i="4" s="1"/>
  <c r="L436" i="4" s="1"/>
  <c r="A436" i="4"/>
  <c r="CE435" i="4"/>
  <c r="AV435" i="4"/>
  <c r="A435" i="4"/>
  <c r="CE434" i="4"/>
  <c r="AV434" i="4"/>
  <c r="A434" i="4"/>
  <c r="CE433" i="4"/>
  <c r="AV433" i="4"/>
  <c r="A433" i="4"/>
  <c r="CE432" i="4"/>
  <c r="AV432" i="4"/>
  <c r="AU432" i="4"/>
  <c r="L432" i="4" s="1"/>
  <c r="A432" i="4"/>
  <c r="CE431" i="4"/>
  <c r="AV431" i="4"/>
  <c r="AS431" i="4" s="1"/>
  <c r="AU431" i="4"/>
  <c r="L431" i="4" s="1"/>
  <c r="A431" i="4"/>
  <c r="CE430" i="4"/>
  <c r="AV430" i="4"/>
  <c r="AU430" i="4"/>
  <c r="L430" i="4" s="1"/>
  <c r="AS430" i="4"/>
  <c r="M430" i="4" s="1"/>
  <c r="A430" i="4"/>
  <c r="CE429" i="4"/>
  <c r="AV429" i="4"/>
  <c r="A429" i="4"/>
  <c r="CE428" i="4"/>
  <c r="AV428" i="4"/>
  <c r="AU428" i="4"/>
  <c r="L428" i="4" s="1"/>
  <c r="A428" i="4"/>
  <c r="CE427" i="4"/>
  <c r="AV427" i="4"/>
  <c r="AS427" i="4" s="1"/>
  <c r="AM427" i="4" s="1"/>
  <c r="AU427" i="4"/>
  <c r="L427" i="4" s="1"/>
  <c r="A427" i="4"/>
  <c r="CE426" i="4"/>
  <c r="AV426" i="4"/>
  <c r="AU426" i="4"/>
  <c r="L426" i="4" s="1"/>
  <c r="AS426" i="4"/>
  <c r="M426" i="4" s="1"/>
  <c r="A426" i="4"/>
  <c r="CE425" i="4"/>
  <c r="AV425" i="4"/>
  <c r="AS425" i="4" s="1"/>
  <c r="AN425" i="4" s="1"/>
  <c r="Q425" i="4" s="1"/>
  <c r="A425" i="4"/>
  <c r="CE424" i="4"/>
  <c r="AV424" i="4"/>
  <c r="AU424" i="4" s="1"/>
  <c r="L424" i="4" s="1"/>
  <c r="A424" i="4"/>
  <c r="CE423" i="4"/>
  <c r="AV423" i="4"/>
  <c r="AU423" i="4" s="1"/>
  <c r="L423" i="4" s="1"/>
  <c r="A423" i="4"/>
  <c r="CE422" i="4"/>
  <c r="AV422" i="4"/>
  <c r="A422" i="4"/>
  <c r="CE421" i="4"/>
  <c r="AV421" i="4"/>
  <c r="AS421" i="4"/>
  <c r="M421" i="4" s="1"/>
  <c r="A421" i="4"/>
  <c r="CE420" i="4"/>
  <c r="AV420" i="4"/>
  <c r="AU420" i="4" s="1"/>
  <c r="L420" i="4" s="1"/>
  <c r="A420" i="4"/>
  <c r="CE419" i="4"/>
  <c r="AV419" i="4"/>
  <c r="AU419" i="4" s="1"/>
  <c r="L419" i="4" s="1"/>
  <c r="A419" i="4"/>
  <c r="CE418" i="4"/>
  <c r="AV418" i="4"/>
  <c r="AS418" i="4" s="1"/>
  <c r="AN418" i="4" s="1"/>
  <c r="Q418" i="4" s="1"/>
  <c r="AM418" i="4"/>
  <c r="AQ418" i="4" s="1"/>
  <c r="A418" i="4"/>
  <c r="CE417" i="4"/>
  <c r="AV417" i="4"/>
  <c r="A417" i="4"/>
  <c r="CE416" i="4"/>
  <c r="AV416" i="4"/>
  <c r="AU416" i="4" s="1"/>
  <c r="L416" i="4" s="1"/>
  <c r="A416" i="4"/>
  <c r="CE415" i="4"/>
  <c r="AV415" i="4"/>
  <c r="AU415" i="4"/>
  <c r="L415" i="4" s="1"/>
  <c r="A415" i="4"/>
  <c r="CE414" i="4"/>
  <c r="AV414" i="4"/>
  <c r="AS414" i="4" s="1"/>
  <c r="AU414" i="4"/>
  <c r="L414" i="4" s="1"/>
  <c r="AM414" i="4"/>
  <c r="AQ414" i="4" s="1"/>
  <c r="A414" i="4"/>
  <c r="CE413" i="4"/>
  <c r="AV413" i="4"/>
  <c r="A413" i="4"/>
  <c r="CE412" i="4"/>
  <c r="AV412" i="4"/>
  <c r="AU412" i="4" s="1"/>
  <c r="L412" i="4" s="1"/>
  <c r="A412" i="4"/>
  <c r="CE411" i="4"/>
  <c r="BX411" i="4"/>
  <c r="AV411" i="4"/>
  <c r="AU411" i="4" s="1"/>
  <c r="L411" i="4" s="1"/>
  <c r="A411" i="4"/>
  <c r="CE410" i="4"/>
  <c r="BX410" i="4"/>
  <c r="AV410" i="4"/>
  <c r="AU410" i="4"/>
  <c r="L410" i="4" s="1"/>
  <c r="AS410" i="4"/>
  <c r="AN410" i="4" s="1"/>
  <c r="Q410" i="4" s="1"/>
  <c r="AM410" i="4"/>
  <c r="P410" i="4" s="1"/>
  <c r="A410" i="4"/>
  <c r="CE409" i="4"/>
  <c r="BX409" i="4"/>
  <c r="AV409" i="4"/>
  <c r="A409" i="4"/>
  <c r="CE408" i="4"/>
  <c r="AV408" i="4"/>
  <c r="AU408" i="4" s="1"/>
  <c r="L408" i="4" s="1"/>
  <c r="A408" i="4"/>
  <c r="CE407" i="4"/>
  <c r="BX407" i="4"/>
  <c r="AV407" i="4"/>
  <c r="AU407" i="4" s="1"/>
  <c r="L407" i="4" s="1"/>
  <c r="A407" i="4"/>
  <c r="CE406" i="4"/>
  <c r="BX406" i="4"/>
  <c r="AV406" i="4"/>
  <c r="AU406" i="4"/>
  <c r="L406" i="4" s="1"/>
  <c r="AS406" i="4"/>
  <c r="AN406" i="4" s="1"/>
  <c r="Q406" i="4" s="1"/>
  <c r="AM406" i="4"/>
  <c r="P406" i="4" s="1"/>
  <c r="A406" i="4"/>
  <c r="CE405" i="4"/>
  <c r="BX405" i="4"/>
  <c r="AV405" i="4"/>
  <c r="AU405" i="4" s="1"/>
  <c r="L405" i="4" s="1"/>
  <c r="AS405" i="4"/>
  <c r="A405" i="4"/>
  <c r="CE404" i="4"/>
  <c r="AV404" i="4"/>
  <c r="AU404" i="4" s="1"/>
  <c r="L404" i="4" s="1"/>
  <c r="A404" i="4"/>
  <c r="CE403" i="4"/>
  <c r="AV403" i="4"/>
  <c r="AU403" i="4" s="1"/>
  <c r="L403" i="4" s="1"/>
  <c r="AS403" i="4"/>
  <c r="A403" i="4"/>
  <c r="CE402" i="4"/>
  <c r="AV402" i="4"/>
  <c r="AU402" i="4" s="1"/>
  <c r="L402" i="4" s="1"/>
  <c r="A402" i="4"/>
  <c r="CE401" i="4"/>
  <c r="AV401" i="4"/>
  <c r="AU401" i="4"/>
  <c r="L401" i="4" s="1"/>
  <c r="AS401" i="4"/>
  <c r="AN401" i="4" s="1"/>
  <c r="Q401" i="4" s="1"/>
  <c r="M401" i="4"/>
  <c r="A401" i="4"/>
  <c r="CE400" i="4"/>
  <c r="AV400" i="4"/>
  <c r="AU400" i="4" s="1"/>
  <c r="L400" i="4" s="1"/>
  <c r="A400" i="4"/>
  <c r="CE399" i="4"/>
  <c r="AV399" i="4"/>
  <c r="AS399" i="4" s="1"/>
  <c r="AN399" i="4" s="1"/>
  <c r="Q399" i="4" s="1"/>
  <c r="AU399" i="4"/>
  <c r="L399" i="4" s="1"/>
  <c r="M399" i="4"/>
  <c r="A399" i="4"/>
  <c r="CE398" i="4"/>
  <c r="AV398" i="4"/>
  <c r="AU398" i="4" s="1"/>
  <c r="L398" i="4" s="1"/>
  <c r="A398" i="4"/>
  <c r="CE397" i="4"/>
  <c r="AV397" i="4"/>
  <c r="AU397" i="4"/>
  <c r="L397" i="4" s="1"/>
  <c r="AS397" i="4"/>
  <c r="AN397" i="4" s="1"/>
  <c r="Q397" i="4" s="1"/>
  <c r="M397" i="4"/>
  <c r="A397" i="4"/>
  <c r="CE396" i="4"/>
  <c r="AV396" i="4"/>
  <c r="AU396" i="4" s="1"/>
  <c r="L396" i="4" s="1"/>
  <c r="A396" i="4"/>
  <c r="CE395" i="4"/>
  <c r="AV395" i="4"/>
  <c r="AS395" i="4" s="1"/>
  <c r="AN395" i="4" s="1"/>
  <c r="Q395" i="4" s="1"/>
  <c r="AU395" i="4"/>
  <c r="L395" i="4"/>
  <c r="A395" i="4"/>
  <c r="CE394" i="4"/>
  <c r="AV394" i="4"/>
  <c r="AU394" i="4"/>
  <c r="L394" i="4" s="1"/>
  <c r="A394" i="4"/>
  <c r="CE393" i="4"/>
  <c r="AV393" i="4"/>
  <c r="AU393" i="4"/>
  <c r="L393" i="4" s="1"/>
  <c r="AS393" i="4"/>
  <c r="AN393" i="4" s="1"/>
  <c r="Q393" i="4" s="1"/>
  <c r="A393" i="4"/>
  <c r="CE392" i="4"/>
  <c r="AV392" i="4"/>
  <c r="AU392" i="4"/>
  <c r="L392" i="4" s="1"/>
  <c r="A392" i="4"/>
  <c r="CE391" i="4"/>
  <c r="AV391" i="4"/>
  <c r="AS391" i="4" s="1"/>
  <c r="AU391" i="4"/>
  <c r="L391" i="4"/>
  <c r="A391" i="4"/>
  <c r="CE390" i="4"/>
  <c r="AV390" i="4"/>
  <c r="AU390" i="4"/>
  <c r="L390" i="4" s="1"/>
  <c r="A390" i="4"/>
  <c r="CE389" i="4"/>
  <c r="AV389" i="4"/>
  <c r="AU389" i="4"/>
  <c r="L389" i="4" s="1"/>
  <c r="AS389" i="4"/>
  <c r="A389" i="4"/>
  <c r="CE388" i="4"/>
  <c r="AV388" i="4"/>
  <c r="AU388" i="4"/>
  <c r="L388" i="4" s="1"/>
  <c r="A388" i="4"/>
  <c r="CE387" i="4"/>
  <c r="AV387" i="4"/>
  <c r="AS387" i="4" s="1"/>
  <c r="AU387" i="4"/>
  <c r="L387" i="4"/>
  <c r="A387" i="4"/>
  <c r="CE386" i="4"/>
  <c r="AV386" i="4"/>
  <c r="AU386" i="4"/>
  <c r="L386" i="4" s="1"/>
  <c r="AS386" i="4"/>
  <c r="M386" i="4" s="1"/>
  <c r="AM386" i="4"/>
  <c r="P386" i="4" s="1"/>
  <c r="A386" i="4"/>
  <c r="CE385" i="4"/>
  <c r="AV385" i="4"/>
  <c r="AS385" i="4" s="1"/>
  <c r="AU385" i="4"/>
  <c r="L385" i="4"/>
  <c r="A385" i="4"/>
  <c r="CE384" i="4"/>
  <c r="AV384" i="4"/>
  <c r="AU384" i="4"/>
  <c r="L384" i="4" s="1"/>
  <c r="AS384" i="4"/>
  <c r="AM384" i="4" s="1"/>
  <c r="A384" i="4"/>
  <c r="CE383" i="4"/>
  <c r="AV383" i="4"/>
  <c r="AS383" i="4" s="1"/>
  <c r="AM383" i="4" s="1"/>
  <c r="P383" i="4" s="1"/>
  <c r="AU383" i="4"/>
  <c r="L383" i="4" s="1"/>
  <c r="A383" i="4"/>
  <c r="CE382" i="4"/>
  <c r="AV382" i="4"/>
  <c r="AU382" i="4"/>
  <c r="L382" i="4" s="1"/>
  <c r="AS382" i="4"/>
  <c r="M382" i="4" s="1"/>
  <c r="AM382" i="4"/>
  <c r="A382" i="4"/>
  <c r="CE381" i="4"/>
  <c r="AV381" i="4"/>
  <c r="AS381" i="4" s="1"/>
  <c r="AN381" i="4" s="1"/>
  <c r="Q381" i="4" s="1"/>
  <c r="AU381" i="4"/>
  <c r="L381" i="4" s="1"/>
  <c r="A381" i="4"/>
  <c r="CE380" i="4"/>
  <c r="AV380" i="4"/>
  <c r="AU380" i="4" s="1"/>
  <c r="L380" i="4" s="1"/>
  <c r="A380" i="4"/>
  <c r="CE379" i="4"/>
  <c r="AV379" i="4"/>
  <c r="A379" i="4"/>
  <c r="CE378" i="4"/>
  <c r="AV378" i="4"/>
  <c r="AS378" i="4"/>
  <c r="M378" i="4" s="1"/>
  <c r="A378" i="4"/>
  <c r="CE377" i="4"/>
  <c r="AV377" i="4"/>
  <c r="AS377" i="4" s="1"/>
  <c r="AN377" i="4" s="1"/>
  <c r="Q377" i="4" s="1"/>
  <c r="AU377" i="4"/>
  <c r="L377" i="4" s="1"/>
  <c r="A377" i="4"/>
  <c r="CE376" i="4"/>
  <c r="AV376" i="4"/>
  <c r="A376" i="4"/>
  <c r="CE375" i="4"/>
  <c r="AV375" i="4"/>
  <c r="A375" i="4"/>
  <c r="CE374" i="4"/>
  <c r="BX374" i="4"/>
  <c r="AV374" i="4"/>
  <c r="AS374" i="4"/>
  <c r="A374" i="4"/>
  <c r="CE373" i="4"/>
  <c r="BX373" i="4"/>
  <c r="AV373" i="4"/>
  <c r="AU373" i="4" s="1"/>
  <c r="L373" i="4" s="1"/>
  <c r="A373" i="4"/>
  <c r="CE372" i="4"/>
  <c r="BX372" i="4"/>
  <c r="AV372" i="4"/>
  <c r="AU372" i="4"/>
  <c r="L372" i="4" s="1"/>
  <c r="A372" i="4"/>
  <c r="CE371" i="4"/>
  <c r="AV371" i="4"/>
  <c r="AS371" i="4"/>
  <c r="A371" i="4"/>
  <c r="CE370" i="4"/>
  <c r="BX370" i="4"/>
  <c r="AV370" i="4"/>
  <c r="AU370" i="4" s="1"/>
  <c r="L370" i="4" s="1"/>
  <c r="A370" i="4"/>
  <c r="CE369" i="4"/>
  <c r="BX369" i="4"/>
  <c r="AV369" i="4"/>
  <c r="AU369" i="4" s="1"/>
  <c r="L369" i="4" s="1"/>
  <c r="A369" i="4"/>
  <c r="CE368" i="4"/>
  <c r="BX368" i="4"/>
  <c r="AV368" i="4"/>
  <c r="AU368" i="4"/>
  <c r="L368" i="4" s="1"/>
  <c r="AS368" i="4"/>
  <c r="AN368" i="4" s="1"/>
  <c r="Q368" i="4" s="1"/>
  <c r="AM368" i="4"/>
  <c r="P368" i="4" s="1"/>
  <c r="A368" i="4"/>
  <c r="CE367" i="4"/>
  <c r="AV367" i="4"/>
  <c r="AS367" i="4"/>
  <c r="M367" i="4" s="1"/>
  <c r="A367" i="4"/>
  <c r="CE366" i="4"/>
  <c r="AV366" i="4"/>
  <c r="A366" i="4"/>
  <c r="CE365" i="4"/>
  <c r="AV365" i="4"/>
  <c r="A365" i="4"/>
  <c r="CE364" i="4"/>
  <c r="AV364" i="4"/>
  <c r="AS364" i="4" s="1"/>
  <c r="AU364" i="4"/>
  <c r="L364" i="4" s="1"/>
  <c r="A364" i="4"/>
  <c r="CE363" i="4"/>
  <c r="AV363" i="4"/>
  <c r="AU363" i="4" s="1"/>
  <c r="L363" i="4" s="1"/>
  <c r="A363" i="4"/>
  <c r="CE362" i="4"/>
  <c r="AV362" i="4"/>
  <c r="AS362" i="4" s="1"/>
  <c r="AN362" i="4" s="1"/>
  <c r="Q362" i="4" s="1"/>
  <c r="AU362" i="4"/>
  <c r="L362" i="4" s="1"/>
  <c r="AM362" i="4"/>
  <c r="P362" i="4" s="1"/>
  <c r="A362" i="4"/>
  <c r="CE361" i="4"/>
  <c r="AV361" i="4"/>
  <c r="AU361" i="4" s="1"/>
  <c r="L361" i="4" s="1"/>
  <c r="A361" i="4"/>
  <c r="CE360" i="4"/>
  <c r="AV360" i="4"/>
  <c r="A360" i="4"/>
  <c r="CE359" i="4"/>
  <c r="AV359" i="4"/>
  <c r="A359" i="4"/>
  <c r="CE358" i="4"/>
  <c r="AV358" i="4"/>
  <c r="AU358" i="4"/>
  <c r="L358" i="4" s="1"/>
  <c r="AS358" i="4"/>
  <c r="AN358" i="4" s="1"/>
  <c r="Q358" i="4"/>
  <c r="A358" i="4"/>
  <c r="CE357" i="4"/>
  <c r="AV357" i="4"/>
  <c r="AU357" i="4"/>
  <c r="L357" i="4" s="1"/>
  <c r="AS357" i="4"/>
  <c r="M357" i="4" s="1"/>
  <c r="AN357" i="4"/>
  <c r="Q357" i="4"/>
  <c r="A357" i="4"/>
  <c r="CE356" i="4"/>
  <c r="AV356" i="4"/>
  <c r="A356" i="4"/>
  <c r="CE355" i="4"/>
  <c r="AV355" i="4"/>
  <c r="AU355" i="4" s="1"/>
  <c r="L355" i="4" s="1"/>
  <c r="A355" i="4"/>
  <c r="CE354" i="4"/>
  <c r="AV354" i="4"/>
  <c r="A354" i="4"/>
  <c r="CE353" i="4"/>
  <c r="AV353" i="4"/>
  <c r="AU353" i="4"/>
  <c r="L353" i="4" s="1"/>
  <c r="A353" i="4"/>
  <c r="CE352" i="4"/>
  <c r="AV352" i="4"/>
  <c r="AU352" i="4"/>
  <c r="AS352" i="4"/>
  <c r="AN352" i="4" s="1"/>
  <c r="Q352" i="4" s="1"/>
  <c r="AM352" i="4"/>
  <c r="P352" i="4" s="1"/>
  <c r="L352" i="4"/>
  <c r="A352" i="4"/>
  <c r="CE351" i="4"/>
  <c r="AV351" i="4"/>
  <c r="AU351" i="4"/>
  <c r="L351" i="4" s="1"/>
  <c r="AS351" i="4"/>
  <c r="M351" i="4" s="1"/>
  <c r="AN351" i="4"/>
  <c r="Q351" i="4" s="1"/>
  <c r="A351" i="4"/>
  <c r="CE350" i="4"/>
  <c r="AV350" i="4"/>
  <c r="AU350" i="4" s="1"/>
  <c r="L350" i="4" s="1"/>
  <c r="A350" i="4"/>
  <c r="CE349" i="4"/>
  <c r="AV349" i="4"/>
  <c r="AU349" i="4" s="1"/>
  <c r="L349" i="4" s="1"/>
  <c r="AS349" i="4"/>
  <c r="AN349" i="4" s="1"/>
  <c r="Q349" i="4" s="1"/>
  <c r="A349" i="4"/>
  <c r="CE348" i="4"/>
  <c r="AV348" i="4"/>
  <c r="AU348" i="4" s="1"/>
  <c r="L348" i="4" s="1"/>
  <c r="A348" i="4"/>
  <c r="CE347" i="4"/>
  <c r="AV347" i="4"/>
  <c r="A347" i="4"/>
  <c r="CE346" i="4"/>
  <c r="AV346" i="4"/>
  <c r="AU346" i="4" s="1"/>
  <c r="L346" i="4" s="1"/>
  <c r="A346" i="4"/>
  <c r="CE345" i="4"/>
  <c r="AV345" i="4"/>
  <c r="AU345" i="4" s="1"/>
  <c r="L345" i="4" s="1"/>
  <c r="AS345" i="4"/>
  <c r="AN345" i="4" s="1"/>
  <c r="Q345" i="4" s="1"/>
  <c r="A345" i="4"/>
  <c r="CE344" i="4"/>
  <c r="AV344" i="4"/>
  <c r="A344" i="4"/>
  <c r="CE343" i="4"/>
  <c r="AV343" i="4"/>
  <c r="AU343" i="4" s="1"/>
  <c r="L343" i="4" s="1"/>
  <c r="AS343" i="4"/>
  <c r="AN343" i="4" s="1"/>
  <c r="Q343" i="4" s="1"/>
  <c r="A343" i="4"/>
  <c r="CE342" i="4"/>
  <c r="AV342" i="4"/>
  <c r="A342" i="4"/>
  <c r="CE341" i="4"/>
  <c r="AV341" i="4"/>
  <c r="AU341" i="4" s="1"/>
  <c r="L341" i="4" s="1"/>
  <c r="AS341" i="4"/>
  <c r="AN341" i="4" s="1"/>
  <c r="Q341" i="4" s="1"/>
  <c r="A341" i="4"/>
  <c r="CE340" i="4"/>
  <c r="AV340" i="4"/>
  <c r="A340" i="4"/>
  <c r="CE339" i="4"/>
  <c r="AV339" i="4"/>
  <c r="AU339" i="4" s="1"/>
  <c r="L339" i="4" s="1"/>
  <c r="AS339" i="4"/>
  <c r="AN339" i="4" s="1"/>
  <c r="Q339" i="4" s="1"/>
  <c r="A339" i="4"/>
  <c r="CE338" i="4"/>
  <c r="AV338" i="4"/>
  <c r="A338" i="4"/>
  <c r="CE337" i="4"/>
  <c r="AV337" i="4"/>
  <c r="AS337" i="4" s="1"/>
  <c r="A337" i="4"/>
  <c r="CE336" i="4"/>
  <c r="AV336" i="4"/>
  <c r="AU336" i="4"/>
  <c r="L336" i="4" s="1"/>
  <c r="AS336" i="4"/>
  <c r="AN336" i="4" s="1"/>
  <c r="Q336" i="4" s="1"/>
  <c r="M336" i="4"/>
  <c r="A336" i="4"/>
  <c r="CE335" i="4"/>
  <c r="AV335" i="4"/>
  <c r="AU335" i="4" s="1"/>
  <c r="L335" i="4" s="1"/>
  <c r="A335" i="4"/>
  <c r="CE334" i="4"/>
  <c r="AV334" i="4"/>
  <c r="A334" i="4"/>
  <c r="CE333" i="4"/>
  <c r="AV333" i="4"/>
  <c r="AS333" i="4" s="1"/>
  <c r="A333" i="4"/>
  <c r="CE332" i="4"/>
  <c r="AV332" i="4"/>
  <c r="AU332" i="4"/>
  <c r="L332" i="4" s="1"/>
  <c r="AS332" i="4"/>
  <c r="AN332" i="4" s="1"/>
  <c r="Q332" i="4" s="1"/>
  <c r="M332" i="4"/>
  <c r="A332" i="4"/>
  <c r="CE331" i="4"/>
  <c r="AV331" i="4"/>
  <c r="AU331" i="4" s="1"/>
  <c r="L331" i="4" s="1"/>
  <c r="A331" i="4"/>
  <c r="CE330" i="4"/>
  <c r="AV330" i="4"/>
  <c r="A330" i="4"/>
  <c r="CE329" i="4"/>
  <c r="AV329" i="4"/>
  <c r="AS329" i="4" s="1"/>
  <c r="A329" i="4"/>
  <c r="CE328" i="4"/>
  <c r="AV328" i="4"/>
  <c r="AU328" i="4"/>
  <c r="L328" i="4" s="1"/>
  <c r="AS328" i="4"/>
  <c r="AN328" i="4" s="1"/>
  <c r="Q328" i="4" s="1"/>
  <c r="M328" i="4"/>
  <c r="A328" i="4"/>
  <c r="CE327" i="4"/>
  <c r="AV327" i="4"/>
  <c r="AU327" i="4" s="1"/>
  <c r="L327" i="4" s="1"/>
  <c r="A327" i="4"/>
  <c r="CE326" i="4"/>
  <c r="AV326" i="4"/>
  <c r="A326" i="4"/>
  <c r="CE325" i="4"/>
  <c r="AV325" i="4"/>
  <c r="AS325" i="4" s="1"/>
  <c r="A325" i="4"/>
  <c r="CE324" i="4"/>
  <c r="AV324" i="4"/>
  <c r="AU324" i="4"/>
  <c r="L324" i="4" s="1"/>
  <c r="AS324" i="4"/>
  <c r="M324" i="4"/>
  <c r="A324" i="4"/>
  <c r="CE323" i="4"/>
  <c r="AV323" i="4"/>
  <c r="A323" i="4"/>
  <c r="CE322" i="4"/>
  <c r="AV322" i="4"/>
  <c r="A322" i="4"/>
  <c r="CE321" i="4"/>
  <c r="AV321" i="4"/>
  <c r="AS321" i="4" s="1"/>
  <c r="A321" i="4"/>
  <c r="CE320" i="4"/>
  <c r="AV320" i="4"/>
  <c r="AS320" i="4" s="1"/>
  <c r="AU320" i="4"/>
  <c r="L320" i="4" s="1"/>
  <c r="M320" i="4"/>
  <c r="A320" i="4"/>
  <c r="CE319" i="4"/>
  <c r="AV319" i="4"/>
  <c r="A319" i="4"/>
  <c r="CE318" i="4"/>
  <c r="AV318" i="4"/>
  <c r="AU318" i="4" s="1"/>
  <c r="L318" i="4" s="1"/>
  <c r="AS318" i="4"/>
  <c r="A318" i="4"/>
  <c r="CE317" i="4"/>
  <c r="AV317" i="4"/>
  <c r="AS317" i="4" s="1"/>
  <c r="A317" i="4"/>
  <c r="CE316" i="4"/>
  <c r="AV316" i="4"/>
  <c r="AU316" i="4" s="1"/>
  <c r="L316" i="4" s="1"/>
  <c r="AS316" i="4"/>
  <c r="M316" i="4" s="1"/>
  <c r="A316" i="4"/>
  <c r="CE315" i="4"/>
  <c r="AV315" i="4"/>
  <c r="A315" i="4"/>
  <c r="CE314" i="4"/>
  <c r="AV314" i="4"/>
  <c r="AU314" i="4"/>
  <c r="L314" i="4" s="1"/>
  <c r="AS314" i="4"/>
  <c r="AN314" i="4" s="1"/>
  <c r="Q314" i="4" s="1"/>
  <c r="M314" i="4"/>
  <c r="A314" i="4"/>
  <c r="CE313" i="4"/>
  <c r="AV313" i="4"/>
  <c r="AS313" i="4" s="1"/>
  <c r="M313" i="4" s="1"/>
  <c r="AN313" i="4"/>
  <c r="Q313" i="4" s="1"/>
  <c r="A313" i="4"/>
  <c r="CE312" i="4"/>
  <c r="AV312" i="4"/>
  <c r="A312" i="4"/>
  <c r="CE311" i="4"/>
  <c r="AV311" i="4"/>
  <c r="A311" i="4"/>
  <c r="CE310" i="4"/>
  <c r="AV310" i="4"/>
  <c r="AS310" i="4" s="1"/>
  <c r="AN310" i="4" s="1"/>
  <c r="Q310" i="4" s="1"/>
  <c r="AU310" i="4"/>
  <c r="L310" i="4" s="1"/>
  <c r="M310" i="4"/>
  <c r="A310" i="4"/>
  <c r="CE309" i="4"/>
  <c r="AV309" i="4"/>
  <c r="A309" i="4"/>
  <c r="CE308" i="4"/>
  <c r="AV308" i="4"/>
  <c r="AU308" i="4" s="1"/>
  <c r="L308" i="4" s="1"/>
  <c r="AS308" i="4"/>
  <c r="A308" i="4"/>
  <c r="CE307" i="4"/>
  <c r="AV307" i="4"/>
  <c r="A307" i="4"/>
  <c r="CE306" i="4"/>
  <c r="AV306" i="4"/>
  <c r="AU306" i="4"/>
  <c r="L306" i="4" s="1"/>
  <c r="AS306" i="4"/>
  <c r="AN306" i="4" s="1"/>
  <c r="Q306" i="4" s="1"/>
  <c r="M306" i="4"/>
  <c r="A306" i="4"/>
  <c r="CE305" i="4"/>
  <c r="AV305" i="4"/>
  <c r="A305" i="4"/>
  <c r="CE304" i="4"/>
  <c r="AV304" i="4"/>
  <c r="A304" i="4"/>
  <c r="CE303" i="4"/>
  <c r="AV303" i="4"/>
  <c r="A303" i="4"/>
  <c r="CE302" i="4"/>
  <c r="AV302" i="4"/>
  <c r="AS302" i="4" s="1"/>
  <c r="AU302" i="4"/>
  <c r="L302" i="4" s="1"/>
  <c r="AN302" i="4"/>
  <c r="Q302" i="4" s="1"/>
  <c r="A302" i="4"/>
  <c r="CE301" i="4"/>
  <c r="AV301" i="4"/>
  <c r="AU301" i="4" s="1"/>
  <c r="L301" i="4" s="1"/>
  <c r="A301" i="4"/>
  <c r="CE300" i="4"/>
  <c r="BX300" i="4"/>
  <c r="AV300" i="4"/>
  <c r="A300" i="4"/>
  <c r="CE299" i="4"/>
  <c r="BX299" i="4"/>
  <c r="AV299" i="4"/>
  <c r="AN299" i="4" s="1"/>
  <c r="AS299" i="4"/>
  <c r="M299" i="4" s="1"/>
  <c r="Q299" i="4"/>
  <c r="A299" i="4"/>
  <c r="CE298" i="4"/>
  <c r="BX298" i="4"/>
  <c r="AV298" i="4"/>
  <c r="AU298" i="4" s="1"/>
  <c r="L298" i="4" s="1"/>
  <c r="A298" i="4"/>
  <c r="CE297" i="4"/>
  <c r="AV297" i="4"/>
  <c r="AU297" i="4" s="1"/>
  <c r="AS297" i="4"/>
  <c r="AN297" i="4" s="1"/>
  <c r="Q297" i="4" s="1"/>
  <c r="L297" i="4"/>
  <c r="A297" i="4"/>
  <c r="AG334" i="4" s="1"/>
  <c r="CE296" i="4"/>
  <c r="BX296" i="4"/>
  <c r="AV296" i="4"/>
  <c r="A296" i="4"/>
  <c r="CE295" i="4"/>
  <c r="BX295" i="4"/>
  <c r="AV295" i="4"/>
  <c r="A295" i="4"/>
  <c r="CE294" i="4"/>
  <c r="BX294" i="4"/>
  <c r="AV294" i="4"/>
  <c r="AU294" i="4"/>
  <c r="L294" i="4" s="1"/>
  <c r="A294" i="4"/>
  <c r="CE293" i="4"/>
  <c r="AV293" i="4"/>
  <c r="A293" i="4"/>
  <c r="CE292" i="4"/>
  <c r="AV292" i="4"/>
  <c r="AU292" i="4" s="1"/>
  <c r="L292" i="4" s="1"/>
  <c r="A292" i="4"/>
  <c r="CE291" i="4"/>
  <c r="AV291" i="4"/>
  <c r="AS291" i="4"/>
  <c r="M291" i="4" s="1"/>
  <c r="A291" i="4"/>
  <c r="CE290" i="4"/>
  <c r="AV290" i="4"/>
  <c r="AU290" i="4" s="1"/>
  <c r="L290" i="4" s="1"/>
  <c r="A290" i="4"/>
  <c r="CE289" i="4"/>
  <c r="AV289" i="4"/>
  <c r="AU289" i="4" s="1"/>
  <c r="L289" i="4" s="1"/>
  <c r="A289" i="4"/>
  <c r="CE288" i="4"/>
  <c r="AV288" i="4"/>
  <c r="AU288" i="4" s="1"/>
  <c r="L288" i="4" s="1"/>
  <c r="A288" i="4"/>
  <c r="CE287" i="4"/>
  <c r="AV287" i="4"/>
  <c r="AU287" i="4" s="1"/>
  <c r="L287" i="4" s="1"/>
  <c r="A287" i="4"/>
  <c r="AG324" i="4" s="1"/>
  <c r="CE286" i="4"/>
  <c r="AV286" i="4"/>
  <c r="A286" i="4"/>
  <c r="CE285" i="4"/>
  <c r="AV285" i="4"/>
  <c r="AU285" i="4" s="1"/>
  <c r="L285" i="4" s="1"/>
  <c r="A285" i="4"/>
  <c r="CE284" i="4"/>
  <c r="AV284" i="4"/>
  <c r="A284" i="4"/>
  <c r="CE283" i="4"/>
  <c r="AV283" i="4"/>
  <c r="AU283" i="4" s="1"/>
  <c r="L283" i="4" s="1"/>
  <c r="A283" i="4"/>
  <c r="CE282" i="4"/>
  <c r="AV282" i="4"/>
  <c r="A282" i="4"/>
  <c r="CE281" i="4"/>
  <c r="AV281" i="4"/>
  <c r="AU281" i="4" s="1"/>
  <c r="L281" i="4" s="1"/>
  <c r="A281" i="4"/>
  <c r="CE280" i="4"/>
  <c r="AV280" i="4"/>
  <c r="A280" i="4"/>
  <c r="CE279" i="4"/>
  <c r="AV279" i="4"/>
  <c r="AU279" i="4" s="1"/>
  <c r="L279" i="4" s="1"/>
  <c r="A279" i="4"/>
  <c r="CE278" i="4"/>
  <c r="AV278" i="4"/>
  <c r="A278" i="4"/>
  <c r="CE277" i="4"/>
  <c r="AV277" i="4"/>
  <c r="AU277" i="4" s="1"/>
  <c r="L277" i="4" s="1"/>
  <c r="A277" i="4"/>
  <c r="CE276" i="4"/>
  <c r="AV276" i="4"/>
  <c r="A276" i="4"/>
  <c r="CE275" i="4"/>
  <c r="AV275" i="4"/>
  <c r="AU275" i="4" s="1"/>
  <c r="L275" i="4" s="1"/>
  <c r="A275" i="4"/>
  <c r="AG312" i="4" s="1"/>
  <c r="CE274" i="4"/>
  <c r="AV274" i="4"/>
  <c r="A274" i="4"/>
  <c r="CE273" i="4"/>
  <c r="AV273" i="4"/>
  <c r="AU273" i="4" s="1"/>
  <c r="L273" i="4" s="1"/>
  <c r="A273" i="4"/>
  <c r="CE272" i="4"/>
  <c r="AV272" i="4"/>
  <c r="A272" i="4"/>
  <c r="CE271" i="4"/>
  <c r="AV271" i="4"/>
  <c r="AU271" i="4" s="1"/>
  <c r="L271" i="4" s="1"/>
  <c r="A271" i="4"/>
  <c r="AG308" i="4" s="1"/>
  <c r="CE270" i="4"/>
  <c r="AV270" i="4"/>
  <c r="A270" i="4"/>
  <c r="CE269" i="4"/>
  <c r="AV269" i="4"/>
  <c r="AU269" i="4"/>
  <c r="L269" i="4" s="1"/>
  <c r="AS269" i="4"/>
  <c r="AN269" i="4" s="1"/>
  <c r="Q269" i="4" s="1"/>
  <c r="A269" i="4"/>
  <c r="CE268" i="4"/>
  <c r="AV268" i="4"/>
  <c r="A268" i="4"/>
  <c r="CE267" i="4"/>
  <c r="AV267" i="4"/>
  <c r="AU267" i="4" s="1"/>
  <c r="L267" i="4" s="1"/>
  <c r="A267" i="4"/>
  <c r="AG304" i="4" s="1"/>
  <c r="CE266" i="4"/>
  <c r="AV266" i="4"/>
  <c r="A266" i="4"/>
  <c r="CE265" i="4"/>
  <c r="AV265" i="4"/>
  <c r="AU265" i="4"/>
  <c r="L265" i="4" s="1"/>
  <c r="AS265" i="4"/>
  <c r="AN265" i="4" s="1"/>
  <c r="Q265" i="4" s="1"/>
  <c r="A265" i="4"/>
  <c r="AG302" i="4" s="1"/>
  <c r="CE264" i="4"/>
  <c r="BX264" i="4"/>
  <c r="AV264" i="4"/>
  <c r="AU264" i="4" s="1"/>
  <c r="L264" i="4" s="1"/>
  <c r="AS264" i="4"/>
  <c r="AN264" i="4" s="1"/>
  <c r="Q264" i="4" s="1"/>
  <c r="AG264" i="4"/>
  <c r="A264" i="4"/>
  <c r="CE263" i="4"/>
  <c r="BX263" i="4"/>
  <c r="AV263" i="4"/>
  <c r="AU263" i="4" s="1"/>
  <c r="L263" i="4" s="1"/>
  <c r="AS263" i="4"/>
  <c r="AN263" i="4" s="1"/>
  <c r="Q263" i="4" s="1"/>
  <c r="AG263" i="4"/>
  <c r="M263" i="4"/>
  <c r="A263" i="4"/>
  <c r="CE262" i="4"/>
  <c r="BX262" i="4"/>
  <c r="AV262" i="4"/>
  <c r="AU262" i="4" s="1"/>
  <c r="L262" i="4" s="1"/>
  <c r="A262" i="4"/>
  <c r="AG262" i="4" s="1"/>
  <c r="CE261" i="4"/>
  <c r="BX261" i="4"/>
  <c r="AV261" i="4"/>
  <c r="AU261" i="4" s="1"/>
  <c r="L261" i="4" s="1"/>
  <c r="AS261" i="4"/>
  <c r="AN261" i="4" s="1"/>
  <c r="Q261" i="4" s="1"/>
  <c r="A261" i="4"/>
  <c r="AG261" i="4" s="1"/>
  <c r="CE260" i="4"/>
  <c r="BX260" i="4"/>
  <c r="AV260" i="4"/>
  <c r="AU260" i="4" s="1"/>
  <c r="L260" i="4" s="1"/>
  <c r="AS260" i="4"/>
  <c r="AN260" i="4" s="1"/>
  <c r="Q260" i="4" s="1"/>
  <c r="AG260" i="4"/>
  <c r="A260" i="4"/>
  <c r="CE259" i="4"/>
  <c r="BX259" i="4"/>
  <c r="AV259" i="4"/>
  <c r="AU259" i="4" s="1"/>
  <c r="L259" i="4" s="1"/>
  <c r="AS259" i="4"/>
  <c r="AN259" i="4" s="1"/>
  <c r="Q259" i="4" s="1"/>
  <c r="AG259" i="4"/>
  <c r="M259" i="4"/>
  <c r="A259" i="4"/>
  <c r="CE258" i="4"/>
  <c r="BX258" i="4"/>
  <c r="AV258" i="4"/>
  <c r="AU258" i="4" s="1"/>
  <c r="L258" i="4" s="1"/>
  <c r="A258" i="4"/>
  <c r="AG258" i="4" s="1"/>
  <c r="CE257" i="4"/>
  <c r="BX257" i="4"/>
  <c r="AV257" i="4"/>
  <c r="AU257" i="4" s="1"/>
  <c r="L257" i="4" s="1"/>
  <c r="AS257" i="4"/>
  <c r="AN257" i="4" s="1"/>
  <c r="Q257" i="4" s="1"/>
  <c r="A257" i="4"/>
  <c r="AG257" i="4" s="1"/>
  <c r="CE256" i="4"/>
  <c r="BX256" i="4"/>
  <c r="AV256" i="4"/>
  <c r="AU256" i="4" s="1"/>
  <c r="L256" i="4" s="1"/>
  <c r="AS256" i="4"/>
  <c r="AN256" i="4" s="1"/>
  <c r="Q256" i="4" s="1"/>
  <c r="AG256" i="4"/>
  <c r="A256" i="4"/>
  <c r="CE255" i="4"/>
  <c r="BX255" i="4"/>
  <c r="AV255" i="4"/>
  <c r="AU255" i="4" s="1"/>
  <c r="L255" i="4" s="1"/>
  <c r="AS255" i="4"/>
  <c r="AN255" i="4" s="1"/>
  <c r="Q255" i="4" s="1"/>
  <c r="AG255" i="4"/>
  <c r="M255" i="4"/>
  <c r="A255" i="4"/>
  <c r="CE254" i="4"/>
  <c r="BX254" i="4"/>
  <c r="AV254" i="4"/>
  <c r="AU254" i="4" s="1"/>
  <c r="L254" i="4" s="1"/>
  <c r="A254" i="4"/>
  <c r="AG254" i="4" s="1"/>
  <c r="CE253" i="4"/>
  <c r="BX253" i="4"/>
  <c r="AV253" i="4"/>
  <c r="AU253" i="4" s="1"/>
  <c r="L253" i="4" s="1"/>
  <c r="AS253" i="4"/>
  <c r="AN253" i="4" s="1"/>
  <c r="Q253" i="4" s="1"/>
  <c r="A253" i="4"/>
  <c r="AG253" i="4" s="1"/>
  <c r="CE252" i="4"/>
  <c r="BX252" i="4"/>
  <c r="AV252" i="4"/>
  <c r="AU252" i="4" s="1"/>
  <c r="L252" i="4" s="1"/>
  <c r="AS252" i="4"/>
  <c r="AN252" i="4" s="1"/>
  <c r="Q252" i="4" s="1"/>
  <c r="AG252" i="4"/>
  <c r="A252" i="4"/>
  <c r="CE251" i="4"/>
  <c r="BX251" i="4"/>
  <c r="AV251" i="4"/>
  <c r="AU251" i="4" s="1"/>
  <c r="L251" i="4" s="1"/>
  <c r="AS251" i="4"/>
  <c r="AN251" i="4" s="1"/>
  <c r="Q251" i="4" s="1"/>
  <c r="AG251" i="4"/>
  <c r="M251" i="4"/>
  <c r="A251" i="4"/>
  <c r="CE250" i="4"/>
  <c r="BX250" i="4"/>
  <c r="AV250" i="4"/>
  <c r="AU250" i="4" s="1"/>
  <c r="L250" i="4" s="1"/>
  <c r="A250" i="4"/>
  <c r="AG250" i="4" s="1"/>
  <c r="CE249" i="4"/>
  <c r="BX249" i="4"/>
  <c r="AV249" i="4"/>
  <c r="AU249" i="4" s="1"/>
  <c r="L249" i="4" s="1"/>
  <c r="AS249" i="4"/>
  <c r="AN249" i="4" s="1"/>
  <c r="Q249" i="4" s="1"/>
  <c r="AG249" i="4"/>
  <c r="A249" i="4"/>
  <c r="CE248" i="4"/>
  <c r="BX248" i="4"/>
  <c r="AV248" i="4"/>
  <c r="AU248" i="4" s="1"/>
  <c r="L248" i="4" s="1"/>
  <c r="AS248" i="4"/>
  <c r="AN248" i="4" s="1"/>
  <c r="Q248" i="4" s="1"/>
  <c r="AG248" i="4"/>
  <c r="M248" i="4"/>
  <c r="A248" i="4"/>
  <c r="CE247" i="4"/>
  <c r="BX247" i="4"/>
  <c r="AV247" i="4"/>
  <c r="AU247" i="4" s="1"/>
  <c r="L247" i="4" s="1"/>
  <c r="A247" i="4"/>
  <c r="AG247" i="4" s="1"/>
  <c r="CE246" i="4"/>
  <c r="BX246" i="4"/>
  <c r="AV246" i="4"/>
  <c r="AU246" i="4" s="1"/>
  <c r="L246" i="4" s="1"/>
  <c r="AS246" i="4"/>
  <c r="AN246" i="4" s="1"/>
  <c r="Q246" i="4" s="1"/>
  <c r="A246" i="4"/>
  <c r="AG246" i="4" s="1"/>
  <c r="CE245" i="4"/>
  <c r="BX245" i="4"/>
  <c r="AV245" i="4"/>
  <c r="AS245" i="4"/>
  <c r="M245" i="4" s="1"/>
  <c r="AN245" i="4"/>
  <c r="Q245" i="4" s="1"/>
  <c r="AG245" i="4"/>
  <c r="A245" i="4"/>
  <c r="CE244" i="4"/>
  <c r="BX244" i="4"/>
  <c r="AV244" i="4"/>
  <c r="AS244" i="4"/>
  <c r="M244" i="4" s="1"/>
  <c r="AN244" i="4"/>
  <c r="Q244" i="4" s="1"/>
  <c r="AG244" i="4"/>
  <c r="A244" i="4"/>
  <c r="CE243" i="4"/>
  <c r="BX243" i="4"/>
  <c r="AV243" i="4"/>
  <c r="A243" i="4"/>
  <c r="AG243" i="4" s="1"/>
  <c r="CE242" i="4"/>
  <c r="BX242" i="4"/>
  <c r="AV242" i="4"/>
  <c r="AS242" i="4" s="1"/>
  <c r="M242" i="4" s="1"/>
  <c r="A242" i="4"/>
  <c r="AG242" i="4" s="1"/>
  <c r="CE241" i="4"/>
  <c r="BX241" i="4"/>
  <c r="AV241" i="4"/>
  <c r="AN241" i="4" s="1"/>
  <c r="Q241" i="4" s="1"/>
  <c r="AS241" i="4"/>
  <c r="M241" i="4" s="1"/>
  <c r="A241" i="4"/>
  <c r="AG241" i="4" s="1"/>
  <c r="CE240" i="4"/>
  <c r="BX240" i="4"/>
  <c r="AV240" i="4"/>
  <c r="AN240" i="4" s="1"/>
  <c r="Q240" i="4" s="1"/>
  <c r="AS240" i="4"/>
  <c r="M240" i="4" s="1"/>
  <c r="A240" i="4"/>
  <c r="AG240" i="4" s="1"/>
  <c r="CE239" i="4"/>
  <c r="BX239" i="4"/>
  <c r="AV239" i="4"/>
  <c r="AG239" i="4"/>
  <c r="A239" i="4"/>
  <c r="CE238" i="4"/>
  <c r="BX238" i="4"/>
  <c r="AV238" i="4"/>
  <c r="AS238" i="4" s="1"/>
  <c r="M238" i="4" s="1"/>
  <c r="A238" i="4"/>
  <c r="AG238" i="4" s="1"/>
  <c r="CE237" i="4"/>
  <c r="BX237" i="4"/>
  <c r="AV237" i="4"/>
  <c r="AS237" i="4"/>
  <c r="M237" i="4" s="1"/>
  <c r="AN237" i="4"/>
  <c r="Q237" i="4" s="1"/>
  <c r="AG237" i="4"/>
  <c r="A237" i="4"/>
  <c r="CE236" i="4"/>
  <c r="BX236" i="4"/>
  <c r="AV236" i="4"/>
  <c r="AS236" i="4"/>
  <c r="M236" i="4" s="1"/>
  <c r="AN236" i="4"/>
  <c r="Q236" i="4" s="1"/>
  <c r="AG236" i="4"/>
  <c r="A236" i="4"/>
  <c r="CE235" i="4"/>
  <c r="BX235" i="4"/>
  <c r="AV235" i="4"/>
  <c r="A235" i="4"/>
  <c r="AG235" i="4" s="1"/>
  <c r="CE234" i="4"/>
  <c r="BX234" i="4"/>
  <c r="AV234" i="4"/>
  <c r="AS234" i="4" s="1"/>
  <c r="M234" i="4" s="1"/>
  <c r="A234" i="4"/>
  <c r="AG234" i="4" s="1"/>
  <c r="CE233" i="4"/>
  <c r="BX233" i="4"/>
  <c r="AV233" i="4"/>
  <c r="AN233" i="4" s="1"/>
  <c r="Q233" i="4" s="1"/>
  <c r="AS233" i="4"/>
  <c r="M233" i="4" s="1"/>
  <c r="A233" i="4"/>
  <c r="AG233" i="4" s="1"/>
  <c r="CE232" i="4"/>
  <c r="BX232" i="4"/>
  <c r="AV232" i="4"/>
  <c r="AN232" i="4" s="1"/>
  <c r="Q232" i="4" s="1"/>
  <c r="AS232" i="4"/>
  <c r="M232" i="4" s="1"/>
  <c r="A232" i="4"/>
  <c r="AG232" i="4" s="1"/>
  <c r="CE231" i="4"/>
  <c r="BX231" i="4"/>
  <c r="AV231" i="4"/>
  <c r="AG231" i="4"/>
  <c r="A231" i="4"/>
  <c r="CE230" i="4"/>
  <c r="BX230" i="4"/>
  <c r="AV230" i="4"/>
  <c r="AS230" i="4" s="1"/>
  <c r="M230" i="4" s="1"/>
  <c r="A230" i="4"/>
  <c r="AG230" i="4" s="1"/>
  <c r="CE229" i="4"/>
  <c r="BX229" i="4"/>
  <c r="AV229" i="4"/>
  <c r="AS229" i="4"/>
  <c r="M229" i="4" s="1"/>
  <c r="AN229" i="4"/>
  <c r="Q229" i="4" s="1"/>
  <c r="AG229" i="4"/>
  <c r="A229" i="4"/>
  <c r="CE228" i="4"/>
  <c r="BX228" i="4"/>
  <c r="AV228" i="4"/>
  <c r="AS228" i="4"/>
  <c r="M228" i="4" s="1"/>
  <c r="AN228" i="4"/>
  <c r="Q228" i="4" s="1"/>
  <c r="AG228" i="4"/>
  <c r="A228" i="4"/>
  <c r="CE227" i="4"/>
  <c r="BX227" i="4"/>
  <c r="AV227" i="4"/>
  <c r="A227" i="4"/>
  <c r="CE226" i="4"/>
  <c r="BX226" i="4"/>
  <c r="AV226" i="4"/>
  <c r="AU226" i="4"/>
  <c r="L226" i="4" s="1"/>
  <c r="AS226" i="4"/>
  <c r="M226" i="4" s="1"/>
  <c r="AN226" i="4"/>
  <c r="Q226" i="4" s="1"/>
  <c r="A226" i="4"/>
  <c r="CE225" i="4"/>
  <c r="BX225" i="4"/>
  <c r="AV225" i="4"/>
  <c r="AU225" i="4" s="1"/>
  <c r="L225" i="4" s="1"/>
  <c r="A225" i="4"/>
  <c r="CE224" i="4"/>
  <c r="BX224" i="4"/>
  <c r="AV224" i="4"/>
  <c r="AU224" i="4"/>
  <c r="L224" i="4" s="1"/>
  <c r="AS224" i="4"/>
  <c r="AN224" i="4" s="1"/>
  <c r="Q224" i="4" s="1"/>
  <c r="M224" i="4"/>
  <c r="A224" i="4"/>
  <c r="CE223" i="4"/>
  <c r="BX223" i="4"/>
  <c r="AV223" i="4"/>
  <c r="AN223" i="4" s="1"/>
  <c r="Q223" i="4" s="1"/>
  <c r="AS223" i="4"/>
  <c r="M223" i="4" s="1"/>
  <c r="A223" i="4"/>
  <c r="CE222" i="4"/>
  <c r="BX222" i="4"/>
  <c r="AV222" i="4"/>
  <c r="AS222" i="4" s="1"/>
  <c r="M222" i="4" s="1"/>
  <c r="AU222" i="4"/>
  <c r="L222" i="4" s="1"/>
  <c r="A222" i="4"/>
  <c r="CE221" i="4"/>
  <c r="BX221" i="4"/>
  <c r="AV221" i="4"/>
  <c r="AU221" i="4"/>
  <c r="L221" i="4" s="1"/>
  <c r="A221" i="4"/>
  <c r="CE220" i="4"/>
  <c r="BX220" i="4"/>
  <c r="AV220" i="4"/>
  <c r="AU220" i="4" s="1"/>
  <c r="L220" i="4" s="1"/>
  <c r="A220" i="4"/>
  <c r="CE219" i="4"/>
  <c r="BX219" i="4"/>
  <c r="AV219" i="4"/>
  <c r="AS219" i="4"/>
  <c r="M219" i="4" s="1"/>
  <c r="AN219" i="4"/>
  <c r="Q219" i="4" s="1"/>
  <c r="A219" i="4"/>
  <c r="CE218" i="4"/>
  <c r="BX218" i="4"/>
  <c r="AV218" i="4"/>
  <c r="AU218" i="4" s="1"/>
  <c r="L218" i="4" s="1"/>
  <c r="A218" i="4"/>
  <c r="CE217" i="4"/>
  <c r="BX217" i="4"/>
  <c r="AV217" i="4"/>
  <c r="AU217" i="4"/>
  <c r="L217" i="4" s="1"/>
  <c r="A217" i="4"/>
  <c r="CE216" i="4"/>
  <c r="BX216" i="4"/>
  <c r="AV216" i="4"/>
  <c r="AU216" i="4" s="1"/>
  <c r="L216" i="4" s="1"/>
  <c r="A216" i="4"/>
  <c r="CE215" i="4"/>
  <c r="BX215" i="4"/>
  <c r="AV215" i="4"/>
  <c r="AS215" i="4" s="1"/>
  <c r="M215" i="4" s="1"/>
  <c r="A215" i="4"/>
  <c r="CE214" i="4"/>
  <c r="BX214" i="4"/>
  <c r="AV214" i="4"/>
  <c r="AN214" i="4" s="1"/>
  <c r="Q214" i="4" s="1"/>
  <c r="AU214" i="4"/>
  <c r="AS214" i="4"/>
  <c r="M214" i="4" s="1"/>
  <c r="L214" i="4"/>
  <c r="A214" i="4"/>
  <c r="CE213" i="4"/>
  <c r="BX213" i="4"/>
  <c r="AV213" i="4"/>
  <c r="AU213" i="4" s="1"/>
  <c r="L213" i="4" s="1"/>
  <c r="A213" i="4"/>
  <c r="CE212" i="4"/>
  <c r="BX212" i="4"/>
  <c r="AV212" i="4"/>
  <c r="AU212" i="4"/>
  <c r="L212" i="4" s="1"/>
  <c r="AS212" i="4"/>
  <c r="AN212" i="4" s="1"/>
  <c r="Q212" i="4" s="1"/>
  <c r="AM212" i="4"/>
  <c r="P212" i="4" s="1"/>
  <c r="A212" i="4"/>
  <c r="CE211" i="4"/>
  <c r="BX211" i="4"/>
  <c r="AV211" i="4"/>
  <c r="A211" i="4"/>
  <c r="CE210" i="4"/>
  <c r="BX210" i="4"/>
  <c r="AV210" i="4"/>
  <c r="AU210" i="4"/>
  <c r="L210" i="4" s="1"/>
  <c r="AS210" i="4"/>
  <c r="M210" i="4" s="1"/>
  <c r="A210" i="4"/>
  <c r="CE209" i="4"/>
  <c r="BX209" i="4"/>
  <c r="AV209" i="4"/>
  <c r="AU209" i="4" s="1"/>
  <c r="L209" i="4" s="1"/>
  <c r="A209" i="4"/>
  <c r="CE208" i="4"/>
  <c r="BX208" i="4"/>
  <c r="AV208" i="4"/>
  <c r="AU208" i="4"/>
  <c r="L208" i="4" s="1"/>
  <c r="AS208" i="4"/>
  <c r="AN208" i="4" s="1"/>
  <c r="Q208" i="4" s="1"/>
  <c r="M208" i="4"/>
  <c r="A208" i="4"/>
  <c r="CE207" i="4"/>
  <c r="BX207" i="4"/>
  <c r="AV207" i="4"/>
  <c r="A207" i="4"/>
  <c r="CE206" i="4"/>
  <c r="BX206" i="4"/>
  <c r="AV206" i="4"/>
  <c r="AS206" i="4" s="1"/>
  <c r="M206" i="4" s="1"/>
  <c r="AU206" i="4"/>
  <c r="L206" i="4" s="1"/>
  <c r="A206" i="4"/>
  <c r="CE205" i="4"/>
  <c r="BX205" i="4"/>
  <c r="AV205" i="4"/>
  <c r="AU205" i="4" s="1"/>
  <c r="L205" i="4" s="1"/>
  <c r="A205" i="4"/>
  <c r="CE204" i="4"/>
  <c r="BX204" i="4"/>
  <c r="AV204" i="4"/>
  <c r="AU204" i="4" s="1"/>
  <c r="L204" i="4" s="1"/>
  <c r="A204" i="4"/>
  <c r="CE203" i="4"/>
  <c r="BX203" i="4"/>
  <c r="AV203" i="4"/>
  <c r="AS203" i="4"/>
  <c r="M203" i="4" s="1"/>
  <c r="AN203" i="4"/>
  <c r="Q203" i="4" s="1"/>
  <c r="A203" i="4"/>
  <c r="CE202" i="4"/>
  <c r="BX202" i="4"/>
  <c r="AV202" i="4"/>
  <c r="A202" i="4"/>
  <c r="CE201" i="4"/>
  <c r="BX201" i="4"/>
  <c r="AV201" i="4"/>
  <c r="AU201" i="4" s="1"/>
  <c r="L201" i="4" s="1"/>
  <c r="A201" i="4"/>
  <c r="CE200" i="4"/>
  <c r="BX200" i="4"/>
  <c r="AV200" i="4"/>
  <c r="AU200" i="4" s="1"/>
  <c r="L200" i="4" s="1"/>
  <c r="A200" i="4"/>
  <c r="CE199" i="4"/>
  <c r="BX199" i="4"/>
  <c r="AV199" i="4"/>
  <c r="A199" i="4"/>
  <c r="CE198" i="4"/>
  <c r="BX198" i="4"/>
  <c r="AV198" i="4"/>
  <c r="AS198" i="4" s="1"/>
  <c r="A198" i="4"/>
  <c r="CE197" i="4"/>
  <c r="BX197" i="4"/>
  <c r="AV197" i="4"/>
  <c r="AU197" i="4"/>
  <c r="L197" i="4" s="1"/>
  <c r="A197" i="4"/>
  <c r="CE196" i="4"/>
  <c r="BX196" i="4"/>
  <c r="AV196" i="4"/>
  <c r="AM196" i="4" s="1"/>
  <c r="AU196" i="4"/>
  <c r="AS196" i="4"/>
  <c r="AN196" i="4" s="1"/>
  <c r="Q196" i="4" s="1"/>
  <c r="L196" i="4"/>
  <c r="A196" i="4"/>
  <c r="CE195" i="4"/>
  <c r="BX195" i="4"/>
  <c r="AV195" i="4"/>
  <c r="A195" i="4"/>
  <c r="CE194" i="4"/>
  <c r="AV194" i="4"/>
  <c r="AU194" i="4"/>
  <c r="L194" i="4" s="1"/>
  <c r="A194" i="4"/>
  <c r="CE193" i="4"/>
  <c r="AV193" i="4"/>
  <c r="AS193" i="4" s="1"/>
  <c r="A193" i="4"/>
  <c r="CE192" i="4"/>
  <c r="AV192" i="4"/>
  <c r="AS192" i="4" s="1"/>
  <c r="AN192" i="4" s="1"/>
  <c r="Q192" i="4" s="1"/>
  <c r="A192" i="4"/>
  <c r="CE191" i="4"/>
  <c r="AV191" i="4"/>
  <c r="AU191" i="4" s="1"/>
  <c r="L191" i="4" s="1"/>
  <c r="A191" i="4"/>
  <c r="CE190" i="4"/>
  <c r="AV190" i="4"/>
  <c r="AU190" i="4" s="1"/>
  <c r="L190" i="4" s="1"/>
  <c r="A190" i="4"/>
  <c r="CE189" i="4"/>
  <c r="AV189" i="4"/>
  <c r="AU189" i="4" s="1"/>
  <c r="L189" i="4" s="1"/>
  <c r="A189" i="4"/>
  <c r="CE188" i="4"/>
  <c r="AV188" i="4"/>
  <c r="A188" i="4"/>
  <c r="CE187" i="4"/>
  <c r="AV187" i="4"/>
  <c r="A187" i="4"/>
  <c r="CE186" i="4"/>
  <c r="AV186" i="4"/>
  <c r="AU186" i="4" s="1"/>
  <c r="L186" i="4" s="1"/>
  <c r="A186" i="4"/>
  <c r="CE185" i="4"/>
  <c r="AV185" i="4"/>
  <c r="AU185" i="4"/>
  <c r="L185" i="4" s="1"/>
  <c r="AS185" i="4"/>
  <c r="AN185" i="4" s="1"/>
  <c r="Q185" i="4" s="1"/>
  <c r="A185" i="4"/>
  <c r="CE184" i="4"/>
  <c r="AV184" i="4"/>
  <c r="AS184" i="4"/>
  <c r="AN184" i="4"/>
  <c r="Q184" i="4" s="1"/>
  <c r="M184" i="4"/>
  <c r="A184" i="4"/>
  <c r="CE183" i="4"/>
  <c r="AV183" i="4"/>
  <c r="AU183" i="4" s="1"/>
  <c r="L183" i="4" s="1"/>
  <c r="A183" i="4"/>
  <c r="CE182" i="4"/>
  <c r="AV182" i="4"/>
  <c r="AU182" i="4"/>
  <c r="L182" i="4" s="1"/>
  <c r="A182" i="4"/>
  <c r="CE181" i="4"/>
  <c r="AV181" i="4"/>
  <c r="AS181" i="4" s="1"/>
  <c r="A181" i="4"/>
  <c r="CE180" i="4"/>
  <c r="AV180" i="4"/>
  <c r="AS180" i="4"/>
  <c r="M180" i="4" s="1"/>
  <c r="A180" i="4"/>
  <c r="CE179" i="4"/>
  <c r="AV179" i="4"/>
  <c r="A179" i="4"/>
  <c r="CE178" i="4"/>
  <c r="AV178" i="4"/>
  <c r="AU178" i="4" s="1"/>
  <c r="L178" i="4" s="1"/>
  <c r="A178" i="4"/>
  <c r="CE177" i="4"/>
  <c r="AV177" i="4"/>
  <c r="AU177" i="4" s="1"/>
  <c r="L177" i="4" s="1"/>
  <c r="A177" i="4"/>
  <c r="CE176" i="4"/>
  <c r="AV176" i="4"/>
  <c r="AS176" i="4" s="1"/>
  <c r="M176" i="4" s="1"/>
  <c r="A176" i="4"/>
  <c r="CE175" i="4"/>
  <c r="AV175" i="4"/>
  <c r="AU175" i="4" s="1"/>
  <c r="L175" i="4" s="1"/>
  <c r="AG175" i="4"/>
  <c r="A175" i="4"/>
  <c r="CE174" i="4"/>
  <c r="AV174" i="4"/>
  <c r="AU174" i="4"/>
  <c r="L174" i="4" s="1"/>
  <c r="A174" i="4"/>
  <c r="CE173" i="4"/>
  <c r="AV173" i="4"/>
  <c r="AS173" i="4" s="1"/>
  <c r="A173" i="4"/>
  <c r="CE172" i="4"/>
  <c r="AV172" i="4"/>
  <c r="AS172" i="4"/>
  <c r="M172" i="4" s="1"/>
  <c r="A172" i="4"/>
  <c r="CE171" i="4"/>
  <c r="AV171" i="4"/>
  <c r="A171" i="4"/>
  <c r="CE170" i="4"/>
  <c r="AV170" i="4"/>
  <c r="AU170" i="4" s="1"/>
  <c r="L170" i="4" s="1"/>
  <c r="A170" i="4"/>
  <c r="CE169" i="4"/>
  <c r="AV169" i="4"/>
  <c r="AU169" i="4" s="1"/>
  <c r="L169" i="4" s="1"/>
  <c r="A169" i="4"/>
  <c r="CE168" i="4"/>
  <c r="AV168" i="4"/>
  <c r="AS168" i="4"/>
  <c r="AN168" i="4"/>
  <c r="Q168" i="4" s="1"/>
  <c r="M168" i="4"/>
  <c r="A168" i="4"/>
  <c r="CE167" i="4"/>
  <c r="AV167" i="4"/>
  <c r="AU167" i="4" s="1"/>
  <c r="L167" i="4" s="1"/>
  <c r="AG167" i="4"/>
  <c r="A167" i="4"/>
  <c r="CE166" i="4"/>
  <c r="AV166" i="4"/>
  <c r="AU166" i="4" s="1"/>
  <c r="L166" i="4" s="1"/>
  <c r="A166" i="4"/>
  <c r="CE165" i="4"/>
  <c r="AV165" i="4"/>
  <c r="AU165" i="4" s="1"/>
  <c r="L165" i="4" s="1"/>
  <c r="A165" i="4"/>
  <c r="CE164" i="4"/>
  <c r="AV164" i="4"/>
  <c r="AS164" i="4" s="1"/>
  <c r="M164" i="4" s="1"/>
  <c r="A164" i="4"/>
  <c r="CE163" i="4"/>
  <c r="AV163" i="4"/>
  <c r="AG163" i="4"/>
  <c r="A163" i="4"/>
  <c r="CE162" i="4"/>
  <c r="AV162" i="4"/>
  <c r="AU162" i="4" s="1"/>
  <c r="L162" i="4" s="1"/>
  <c r="A162" i="4"/>
  <c r="CE161" i="4"/>
  <c r="AV161" i="4"/>
  <c r="AU161" i="4"/>
  <c r="L161" i="4" s="1"/>
  <c r="AS161" i="4"/>
  <c r="A161" i="4"/>
  <c r="AG194" i="4" s="1"/>
  <c r="CE160" i="4"/>
  <c r="AV160" i="4"/>
  <c r="A160" i="4"/>
  <c r="AG193" i="4" s="1"/>
  <c r="CE159" i="4"/>
  <c r="AV159" i="4"/>
  <c r="AU159" i="4"/>
  <c r="L159" i="4" s="1"/>
  <c r="AS159" i="4"/>
  <c r="A159" i="4"/>
  <c r="AG192" i="4" s="1"/>
  <c r="CE158" i="4"/>
  <c r="AV158" i="4"/>
  <c r="A158" i="4"/>
  <c r="AG191" i="4" s="1"/>
  <c r="CE157" i="4"/>
  <c r="AV157" i="4"/>
  <c r="AU157" i="4"/>
  <c r="L157" i="4" s="1"/>
  <c r="AS157" i="4"/>
  <c r="A157" i="4"/>
  <c r="AG190" i="4" s="1"/>
  <c r="CE156" i="4"/>
  <c r="AV156" i="4"/>
  <c r="A156" i="4"/>
  <c r="AG189" i="4" s="1"/>
  <c r="CE155" i="4"/>
  <c r="AV155" i="4"/>
  <c r="AU155" i="4"/>
  <c r="L155" i="4" s="1"/>
  <c r="AS155" i="4"/>
  <c r="A155" i="4"/>
  <c r="AG188" i="4" s="1"/>
  <c r="CE154" i="4"/>
  <c r="AV154" i="4"/>
  <c r="AU154" i="4" s="1"/>
  <c r="L154" i="4"/>
  <c r="A154" i="4"/>
  <c r="AG187" i="4" s="1"/>
  <c r="CE153" i="4"/>
  <c r="AV153" i="4"/>
  <c r="AM153" i="4" s="1"/>
  <c r="P153" i="4" s="1"/>
  <c r="AU153" i="4"/>
  <c r="L153" i="4" s="1"/>
  <c r="AS153" i="4"/>
  <c r="M153" i="4" s="1"/>
  <c r="A153" i="4"/>
  <c r="AG186" i="4" s="1"/>
  <c r="CE152" i="4"/>
  <c r="AV152" i="4"/>
  <c r="AU152" i="4" s="1"/>
  <c r="L152" i="4"/>
  <c r="A152" i="4"/>
  <c r="AG185" i="4" s="1"/>
  <c r="CE151" i="4"/>
  <c r="AV151" i="4"/>
  <c r="AU151" i="4"/>
  <c r="L151" i="4" s="1"/>
  <c r="AS151" i="4"/>
  <c r="A151" i="4"/>
  <c r="AG184" i="4" s="1"/>
  <c r="CE150" i="4"/>
  <c r="AV150" i="4"/>
  <c r="AU150" i="4" s="1"/>
  <c r="L150" i="4" s="1"/>
  <c r="A150" i="4"/>
  <c r="AG183" i="4" s="1"/>
  <c r="CE149" i="4"/>
  <c r="AV149" i="4"/>
  <c r="AM149" i="4" s="1"/>
  <c r="P149" i="4" s="1"/>
  <c r="AU149" i="4"/>
  <c r="L149" i="4" s="1"/>
  <c r="AS149" i="4"/>
  <c r="A149" i="4"/>
  <c r="AG182" i="4" s="1"/>
  <c r="CE148" i="4"/>
  <c r="AV148" i="4"/>
  <c r="AU148" i="4" s="1"/>
  <c r="L148" i="4" s="1"/>
  <c r="A148" i="4"/>
  <c r="AG181" i="4" s="1"/>
  <c r="CE147" i="4"/>
  <c r="AV147" i="4"/>
  <c r="A147" i="4"/>
  <c r="AG180" i="4" s="1"/>
  <c r="CE146" i="4"/>
  <c r="AV146" i="4"/>
  <c r="AU146" i="4"/>
  <c r="AS146" i="4"/>
  <c r="AM146" i="4" s="1"/>
  <c r="L146" i="4"/>
  <c r="A146" i="4"/>
  <c r="AG179" i="4" s="1"/>
  <c r="CE145" i="4"/>
  <c r="AV145" i="4"/>
  <c r="A145" i="4"/>
  <c r="AG178" i="4" s="1"/>
  <c r="CE144" i="4"/>
  <c r="AV144" i="4"/>
  <c r="AU144" i="4"/>
  <c r="L144" i="4" s="1"/>
  <c r="AS144" i="4"/>
  <c r="AM144" i="4"/>
  <c r="P144" i="4" s="1"/>
  <c r="A144" i="4"/>
  <c r="AG177" i="4" s="1"/>
  <c r="CE143" i="4"/>
  <c r="AV143" i="4"/>
  <c r="AS143" i="4" s="1"/>
  <c r="AU143" i="4"/>
  <c r="L143" i="4" s="1"/>
  <c r="A143" i="4"/>
  <c r="AG176" i="4" s="1"/>
  <c r="CE142" i="4"/>
  <c r="AV142" i="4"/>
  <c r="AU142" i="4"/>
  <c r="AS142" i="4"/>
  <c r="AM142" i="4" s="1"/>
  <c r="L142" i="4"/>
  <c r="A142" i="4"/>
  <c r="CE141" i="4"/>
  <c r="AV141" i="4"/>
  <c r="AU141" i="4" s="1"/>
  <c r="L141" i="4" s="1"/>
  <c r="A141" i="4"/>
  <c r="AG174" i="4" s="1"/>
  <c r="CE140" i="4"/>
  <c r="AV140" i="4"/>
  <c r="AU140" i="4"/>
  <c r="L140" i="4" s="1"/>
  <c r="AS140" i="4"/>
  <c r="AM140" i="4"/>
  <c r="P140" i="4" s="1"/>
  <c r="A140" i="4"/>
  <c r="AG173" i="4" s="1"/>
  <c r="CE139" i="4"/>
  <c r="AV139" i="4"/>
  <c r="AS139" i="4" s="1"/>
  <c r="AU139" i="4"/>
  <c r="L139" i="4" s="1"/>
  <c r="A139" i="4"/>
  <c r="AG172" i="4" s="1"/>
  <c r="CE138" i="4"/>
  <c r="AV138" i="4"/>
  <c r="AU138" i="4"/>
  <c r="AS138" i="4"/>
  <c r="AM138" i="4" s="1"/>
  <c r="L138" i="4"/>
  <c r="A138" i="4"/>
  <c r="AG171" i="4" s="1"/>
  <c r="CE137" i="4"/>
  <c r="AV137" i="4"/>
  <c r="AU137" i="4" s="1"/>
  <c r="L137" i="4" s="1"/>
  <c r="A137" i="4"/>
  <c r="AG170" i="4" s="1"/>
  <c r="CE136" i="4"/>
  <c r="AV136" i="4"/>
  <c r="AU136" i="4"/>
  <c r="L136" i="4" s="1"/>
  <c r="AS136" i="4"/>
  <c r="AM136" i="4"/>
  <c r="P136" i="4" s="1"/>
  <c r="A136" i="4"/>
  <c r="AG169" i="4" s="1"/>
  <c r="CE135" i="4"/>
  <c r="AV135" i="4"/>
  <c r="AS135" i="4" s="1"/>
  <c r="AU135" i="4"/>
  <c r="L135" i="4" s="1"/>
  <c r="A135" i="4"/>
  <c r="AG168" i="4" s="1"/>
  <c r="CE134" i="4"/>
  <c r="AV134" i="4"/>
  <c r="AU134" i="4"/>
  <c r="AS134" i="4"/>
  <c r="AM134" i="4" s="1"/>
  <c r="L134" i="4"/>
  <c r="A134" i="4"/>
  <c r="CE133" i="4"/>
  <c r="AV133" i="4"/>
  <c r="AU133" i="4" s="1"/>
  <c r="L133" i="4" s="1"/>
  <c r="A133" i="4"/>
  <c r="AG166" i="4" s="1"/>
  <c r="CE132" i="4"/>
  <c r="AV132" i="4"/>
  <c r="AU132" i="4"/>
  <c r="L132" i="4" s="1"/>
  <c r="AS132" i="4"/>
  <c r="AM132" i="4"/>
  <c r="P132" i="4" s="1"/>
  <c r="A132" i="4"/>
  <c r="AG165" i="4" s="1"/>
  <c r="CE131" i="4"/>
  <c r="AV131" i="4"/>
  <c r="AS131" i="4" s="1"/>
  <c r="AU131" i="4"/>
  <c r="L131" i="4" s="1"/>
  <c r="A131" i="4"/>
  <c r="AG164" i="4" s="1"/>
  <c r="CE130" i="4"/>
  <c r="AV130" i="4"/>
  <c r="AU130" i="4"/>
  <c r="AS130" i="4"/>
  <c r="AM130" i="4" s="1"/>
  <c r="L130" i="4"/>
  <c r="A130" i="4"/>
  <c r="CE129" i="4"/>
  <c r="AV129" i="4"/>
  <c r="AU129" i="4" s="1"/>
  <c r="L129" i="4" s="1"/>
  <c r="A129" i="4"/>
  <c r="AG162" i="4" s="1"/>
  <c r="CE128" i="4"/>
  <c r="AV128" i="4"/>
  <c r="AU128" i="4"/>
  <c r="L128" i="4" s="1"/>
  <c r="AS128" i="4"/>
  <c r="AN128" i="4" s="1"/>
  <c r="Q128" i="4" s="1"/>
  <c r="A128" i="4"/>
  <c r="AG128" i="4" s="1"/>
  <c r="CE127" i="4"/>
  <c r="AV127" i="4"/>
  <c r="AG127" i="4"/>
  <c r="A127" i="4"/>
  <c r="CE126" i="4"/>
  <c r="BG126" i="4"/>
  <c r="BF126" i="4"/>
  <c r="BE126" i="4"/>
  <c r="AV126" i="4"/>
  <c r="AU126" i="4"/>
  <c r="L126" i="4" s="1"/>
  <c r="AS126" i="4"/>
  <c r="A126" i="4"/>
  <c r="AG126" i="4" s="1"/>
  <c r="CE125" i="4"/>
  <c r="AV125" i="4"/>
  <c r="A125" i="4"/>
  <c r="AG125" i="4" s="1"/>
  <c r="CE124" i="4"/>
  <c r="AV124" i="4"/>
  <c r="A124" i="4"/>
  <c r="AG124" i="4" s="1"/>
  <c r="CE123" i="4"/>
  <c r="BK123" i="4"/>
  <c r="BI123" i="4"/>
  <c r="BG123" i="4"/>
  <c r="BF123" i="4"/>
  <c r="BJ123" i="4" s="1"/>
  <c r="BE123" i="4"/>
  <c r="AV123" i="4"/>
  <c r="AG123" i="4"/>
  <c r="A123" i="4"/>
  <c r="CE122" i="4"/>
  <c r="BR122" i="4"/>
  <c r="BG122" i="4"/>
  <c r="BK122" i="4" s="1"/>
  <c r="BF122" i="4"/>
  <c r="BJ122" i="4" s="1"/>
  <c r="BE122" i="4"/>
  <c r="BI122" i="4" s="1"/>
  <c r="AV122" i="4"/>
  <c r="AU122" i="4" s="1"/>
  <c r="L122" i="4" s="1"/>
  <c r="A122" i="4"/>
  <c r="AG122" i="4" s="1"/>
  <c r="CE121" i="4"/>
  <c r="BJ121" i="4"/>
  <c r="BG121" i="4"/>
  <c r="BK121" i="4" s="1"/>
  <c r="BF121" i="4"/>
  <c r="BE121" i="4"/>
  <c r="BI121" i="4" s="1"/>
  <c r="AV121" i="4"/>
  <c r="A121" i="4"/>
  <c r="AG121" i="4" s="1"/>
  <c r="CE120" i="4"/>
  <c r="BK120" i="4"/>
  <c r="BG120" i="4"/>
  <c r="BF120" i="4"/>
  <c r="BJ120" i="4" s="1"/>
  <c r="BE120" i="4"/>
  <c r="BI120" i="4" s="1"/>
  <c r="AV120" i="4"/>
  <c r="AG120" i="4"/>
  <c r="A120" i="4"/>
  <c r="CE119" i="4"/>
  <c r="BK119" i="4"/>
  <c r="BJ119" i="4"/>
  <c r="BG119" i="4"/>
  <c r="BF119" i="4"/>
  <c r="BE119" i="4"/>
  <c r="BI119" i="4" s="1"/>
  <c r="AV119" i="4"/>
  <c r="AU119" i="4" s="1"/>
  <c r="L119" i="4" s="1"/>
  <c r="A119" i="4"/>
  <c r="AG119" i="4" s="1"/>
  <c r="CE118" i="4"/>
  <c r="BG118" i="4"/>
  <c r="BK118" i="4" s="1"/>
  <c r="BF118" i="4"/>
  <c r="BJ118" i="4" s="1"/>
  <c r="BE118" i="4"/>
  <c r="BI118" i="4" s="1"/>
  <c r="AV118" i="4"/>
  <c r="A118" i="4"/>
  <c r="AG118" i="4" s="1"/>
  <c r="CE117" i="4"/>
  <c r="BJ117" i="4"/>
  <c r="BG117" i="4"/>
  <c r="BK117" i="4" s="1"/>
  <c r="BF117" i="4"/>
  <c r="BE117" i="4"/>
  <c r="BI117" i="4" s="1"/>
  <c r="AV117" i="4"/>
  <c r="AS117" i="4" s="1"/>
  <c r="AN117" i="4"/>
  <c r="Q117" i="4" s="1"/>
  <c r="M117" i="4"/>
  <c r="A117" i="4"/>
  <c r="AG117" i="4" s="1"/>
  <c r="CE116" i="4"/>
  <c r="BK116" i="4"/>
  <c r="BG116" i="4"/>
  <c r="BF116" i="4"/>
  <c r="BJ116" i="4" s="1"/>
  <c r="BE116" i="4"/>
  <c r="BI116" i="4" s="1"/>
  <c r="AV116" i="4"/>
  <c r="AS116" i="4" s="1"/>
  <c r="M116" i="4" s="1"/>
  <c r="A116" i="4"/>
  <c r="AG116" i="4" s="1"/>
  <c r="CE115" i="4"/>
  <c r="BG115" i="4"/>
  <c r="BK115" i="4" s="1"/>
  <c r="BF115" i="4"/>
  <c r="BJ115" i="4" s="1"/>
  <c r="BE115" i="4"/>
  <c r="BI115" i="4" s="1"/>
  <c r="AV115" i="4"/>
  <c r="AU115" i="4"/>
  <c r="L115" i="4" s="1"/>
  <c r="AS115" i="4"/>
  <c r="AN115" i="4" s="1"/>
  <c r="Q115" i="4" s="1"/>
  <c r="A115" i="4"/>
  <c r="AG115" i="4" s="1"/>
  <c r="CE114" i="4"/>
  <c r="BG114" i="4"/>
  <c r="BK114" i="4" s="1"/>
  <c r="BF114" i="4"/>
  <c r="BJ114" i="4" s="1"/>
  <c r="BE114" i="4"/>
  <c r="BI114" i="4" s="1"/>
  <c r="AV114" i="4"/>
  <c r="AU114" i="4" s="1"/>
  <c r="L114" i="4" s="1"/>
  <c r="A114" i="4"/>
  <c r="AG114" i="4" s="1"/>
  <c r="CE113" i="4"/>
  <c r="BR113" i="4"/>
  <c r="BG113" i="4"/>
  <c r="BK113" i="4" s="1"/>
  <c r="BF113" i="4"/>
  <c r="BJ113" i="4" s="1"/>
  <c r="BE113" i="4"/>
  <c r="BI113" i="4" s="1"/>
  <c r="AV113" i="4"/>
  <c r="AS113" i="4"/>
  <c r="M113" i="4" s="1"/>
  <c r="AG113" i="4"/>
  <c r="A113" i="4"/>
  <c r="CE112" i="4"/>
  <c r="AV112" i="4"/>
  <c r="A112" i="4"/>
  <c r="AG112" i="4" s="1"/>
  <c r="CE111" i="4"/>
  <c r="AV111" i="4"/>
  <c r="AU111" i="4"/>
  <c r="L111" i="4" s="1"/>
  <c r="AS111" i="4"/>
  <c r="A111" i="4"/>
  <c r="AG111" i="4" s="1"/>
  <c r="CE110" i="4"/>
  <c r="AV110" i="4"/>
  <c r="A110" i="4"/>
  <c r="AG110" i="4" s="1"/>
  <c r="CE109" i="4"/>
  <c r="AV109" i="4"/>
  <c r="AU109" i="4" s="1"/>
  <c r="L109" i="4" s="1"/>
  <c r="A109" i="4"/>
  <c r="AG109" i="4" s="1"/>
  <c r="CE108" i="4"/>
  <c r="AV108" i="4"/>
  <c r="AS108" i="4" s="1"/>
  <c r="AU108" i="4"/>
  <c r="L108" i="4" s="1"/>
  <c r="A108" i="4"/>
  <c r="AG108" i="4" s="1"/>
  <c r="CE107" i="4"/>
  <c r="AV107" i="4"/>
  <c r="AU107" i="4"/>
  <c r="L107" i="4" s="1"/>
  <c r="AS107" i="4"/>
  <c r="AG107" i="4"/>
  <c r="A107" i="4"/>
  <c r="CE106" i="4"/>
  <c r="AV106" i="4"/>
  <c r="AG106" i="4"/>
  <c r="A106" i="4"/>
  <c r="CE105" i="4"/>
  <c r="AV105" i="4"/>
  <c r="AU105" i="4" s="1"/>
  <c r="L105" i="4" s="1"/>
  <c r="A105" i="4"/>
  <c r="AG105" i="4" s="1"/>
  <c r="CE104" i="4"/>
  <c r="AV104" i="4"/>
  <c r="AS104" i="4" s="1"/>
  <c r="AU104" i="4"/>
  <c r="L104" i="4" s="1"/>
  <c r="A104" i="4"/>
  <c r="AG104" i="4" s="1"/>
  <c r="CE103" i="4"/>
  <c r="AV103" i="4"/>
  <c r="AU103" i="4" s="1"/>
  <c r="L103" i="4" s="1"/>
  <c r="A103" i="4"/>
  <c r="AG103" i="4" s="1"/>
  <c r="CE102" i="4"/>
  <c r="AV102" i="4"/>
  <c r="AU102" i="4" s="1"/>
  <c r="L102" i="4" s="1"/>
  <c r="A102" i="4"/>
  <c r="AG102" i="4" s="1"/>
  <c r="CE101" i="4"/>
  <c r="AV101" i="4"/>
  <c r="AU101" i="4" s="1"/>
  <c r="L101" i="4" s="1"/>
  <c r="AS101" i="4"/>
  <c r="AN101" i="4" s="1"/>
  <c r="Q101" i="4" s="1"/>
  <c r="AG101" i="4"/>
  <c r="A101" i="4"/>
  <c r="CE100" i="4"/>
  <c r="AV100" i="4"/>
  <c r="AU100" i="4" s="1"/>
  <c r="L100" i="4" s="1"/>
  <c r="A100" i="4"/>
  <c r="AG100" i="4" s="1"/>
  <c r="CE99" i="4"/>
  <c r="AV99" i="4"/>
  <c r="AU99" i="4" s="1"/>
  <c r="L99" i="4" s="1"/>
  <c r="A99" i="4"/>
  <c r="AG99" i="4" s="1"/>
  <c r="CE98" i="4"/>
  <c r="AV98" i="4"/>
  <c r="AU98" i="4" s="1"/>
  <c r="L98" i="4" s="1"/>
  <c r="A98" i="4"/>
  <c r="AG98" i="4" s="1"/>
  <c r="CE97" i="4"/>
  <c r="AV97" i="4"/>
  <c r="AU97" i="4" s="1"/>
  <c r="L97" i="4" s="1"/>
  <c r="AS97" i="4"/>
  <c r="AN97" i="4" s="1"/>
  <c r="Q97" i="4" s="1"/>
  <c r="AG97" i="4"/>
  <c r="A97" i="4"/>
  <c r="CE96" i="4"/>
  <c r="AV96" i="4"/>
  <c r="AU96" i="4" s="1"/>
  <c r="L96" i="4" s="1"/>
  <c r="A96" i="4"/>
  <c r="AG96" i="4" s="1"/>
  <c r="CE95" i="4"/>
  <c r="AV95" i="4"/>
  <c r="AU95" i="4" s="1"/>
  <c r="L95" i="4" s="1"/>
  <c r="A95" i="4"/>
  <c r="CE94" i="4"/>
  <c r="AV94" i="4"/>
  <c r="AS94" i="4" s="1"/>
  <c r="AU94" i="4"/>
  <c r="L94" i="4" s="1"/>
  <c r="A94" i="4"/>
  <c r="CE93" i="4"/>
  <c r="AV93" i="4"/>
  <c r="AU93" i="4" s="1"/>
  <c r="L93" i="4" s="1"/>
  <c r="A93" i="4"/>
  <c r="CE92" i="4"/>
  <c r="AV92" i="4"/>
  <c r="AU92" i="4" s="1"/>
  <c r="L92" i="4" s="1"/>
  <c r="A92" i="4"/>
  <c r="CE91" i="4"/>
  <c r="AV91" i="4"/>
  <c r="AU91" i="4" s="1"/>
  <c r="L91" i="4" s="1"/>
  <c r="AS91" i="4"/>
  <c r="AN91" i="4" s="1"/>
  <c r="Q91" i="4" s="1"/>
  <c r="A91" i="4"/>
  <c r="CE90" i="4"/>
  <c r="AV90" i="4"/>
  <c r="AS90" i="4" s="1"/>
  <c r="A90" i="4"/>
  <c r="CE89" i="4"/>
  <c r="AV89" i="4"/>
  <c r="AU89" i="4" s="1"/>
  <c r="L89" i="4" s="1"/>
  <c r="A89" i="4"/>
  <c r="CE88" i="4"/>
  <c r="BQ88" i="4"/>
  <c r="AV88" i="4"/>
  <c r="AU88" i="4" s="1"/>
  <c r="L88" i="4" s="1"/>
  <c r="A88" i="4"/>
  <c r="CE87" i="4"/>
  <c r="AV87" i="4"/>
  <c r="AS87" i="4" s="1"/>
  <c r="A87" i="4"/>
  <c r="CE86" i="4"/>
  <c r="AV86" i="4"/>
  <c r="AU86" i="4" s="1"/>
  <c r="L86" i="4" s="1"/>
  <c r="A86" i="4"/>
  <c r="CE85" i="4"/>
  <c r="AV85" i="4"/>
  <c r="AS85" i="4" s="1"/>
  <c r="A85" i="4"/>
  <c r="CE84" i="4"/>
  <c r="AV84" i="4"/>
  <c r="AU84" i="4" s="1"/>
  <c r="L84" i="4" s="1"/>
  <c r="A84" i="4"/>
  <c r="CE83" i="4"/>
  <c r="AV83" i="4"/>
  <c r="A83" i="4"/>
  <c r="CE82" i="4"/>
  <c r="AV82" i="4"/>
  <c r="A82" i="4"/>
  <c r="CE81" i="4"/>
  <c r="AV81" i="4"/>
  <c r="A81" i="4"/>
  <c r="CE80" i="4"/>
  <c r="AV80" i="4"/>
  <c r="A80" i="4"/>
  <c r="CE79" i="4"/>
  <c r="AV79" i="4"/>
  <c r="AS79" i="4" s="1"/>
  <c r="A79" i="4"/>
  <c r="CE78" i="4"/>
  <c r="AV78" i="4"/>
  <c r="AU78" i="4" s="1"/>
  <c r="L78" i="4" s="1"/>
  <c r="A78" i="4"/>
  <c r="CE77" i="4"/>
  <c r="AV77" i="4"/>
  <c r="AU77" i="4" s="1"/>
  <c r="L77" i="4" s="1"/>
  <c r="A77" i="4"/>
  <c r="CE76" i="4"/>
  <c r="AV76" i="4"/>
  <c r="A76" i="4"/>
  <c r="CE75" i="4"/>
  <c r="AV75" i="4"/>
  <c r="A75" i="4"/>
  <c r="CE74" i="4"/>
  <c r="AV74" i="4"/>
  <c r="AU74" i="4" s="1"/>
  <c r="L74" i="4" s="1"/>
  <c r="AS74" i="4"/>
  <c r="AN74" i="4" s="1"/>
  <c r="Q74" i="4" s="1"/>
  <c r="A74" i="4"/>
  <c r="CE73" i="4"/>
  <c r="AV73" i="4"/>
  <c r="AS73" i="4" s="1"/>
  <c r="AU73" i="4"/>
  <c r="L73" i="4" s="1"/>
  <c r="A73" i="4"/>
  <c r="CE72" i="4"/>
  <c r="AV72" i="4"/>
  <c r="AU72" i="4" s="1"/>
  <c r="L72" i="4" s="1"/>
  <c r="AS72" i="4"/>
  <c r="AN72" i="4" s="1"/>
  <c r="Q72" i="4" s="1"/>
  <c r="A72" i="4"/>
  <c r="CE71" i="4"/>
  <c r="AV71" i="4"/>
  <c r="AU71" i="4"/>
  <c r="L71" i="4" s="1"/>
  <c r="AS71" i="4"/>
  <c r="A71" i="4"/>
  <c r="CE70" i="4"/>
  <c r="AV70" i="4"/>
  <c r="AU70" i="4" s="1"/>
  <c r="L70" i="4" s="1"/>
  <c r="A70" i="4"/>
  <c r="CE69" i="4"/>
  <c r="AV69" i="4"/>
  <c r="AU69" i="4"/>
  <c r="L69" i="4" s="1"/>
  <c r="AS69" i="4"/>
  <c r="A69" i="4"/>
  <c r="CE68" i="4"/>
  <c r="AV68" i="4"/>
  <c r="AU68" i="4" s="1"/>
  <c r="L68" i="4" s="1"/>
  <c r="A68" i="4"/>
  <c r="CE67" i="4"/>
  <c r="AV67" i="4"/>
  <c r="AM67" i="4" s="1"/>
  <c r="P67" i="4" s="1"/>
  <c r="AU67" i="4"/>
  <c r="L67" i="4" s="1"/>
  <c r="AS67" i="4"/>
  <c r="AN67" i="4" s="1"/>
  <c r="Q67" i="4" s="1"/>
  <c r="A67" i="4"/>
  <c r="CE66" i="4"/>
  <c r="AV66" i="4"/>
  <c r="AU66" i="4" s="1"/>
  <c r="AS66" i="4"/>
  <c r="AO66" i="4"/>
  <c r="L66" i="4"/>
  <c r="A66" i="4"/>
  <c r="CE65" i="4"/>
  <c r="AV65" i="4"/>
  <c r="A65" i="4"/>
  <c r="CE64" i="4"/>
  <c r="AV64" i="4"/>
  <c r="A64" i="4"/>
  <c r="CE63" i="4"/>
  <c r="AV63" i="4"/>
  <c r="A63" i="4"/>
  <c r="CE62" i="4"/>
  <c r="AV62" i="4"/>
  <c r="AU62" i="4"/>
  <c r="L62" i="4" s="1"/>
  <c r="AS62" i="4"/>
  <c r="M62" i="4"/>
  <c r="A62" i="4"/>
  <c r="AG62" i="4" s="1"/>
  <c r="CE61" i="4"/>
  <c r="AV61" i="4"/>
  <c r="A61" i="4"/>
  <c r="AG61" i="4" s="1"/>
  <c r="CE60" i="4"/>
  <c r="AV60" i="4"/>
  <c r="AU60" i="4"/>
  <c r="L60" i="4" s="1"/>
  <c r="AS60" i="4"/>
  <c r="A60" i="4"/>
  <c r="AG60" i="4" s="1"/>
  <c r="CE59" i="4"/>
  <c r="AV59" i="4"/>
  <c r="AS59" i="4" s="1"/>
  <c r="AP59" i="4"/>
  <c r="S59" i="4" s="1"/>
  <c r="AG59" i="4"/>
  <c r="A59" i="4"/>
  <c r="CE58" i="4"/>
  <c r="BM58" i="4"/>
  <c r="BK58" i="4"/>
  <c r="BG58" i="4"/>
  <c r="BF58" i="4"/>
  <c r="BJ58" i="4" s="1"/>
  <c r="BC58" i="4"/>
  <c r="AV58" i="4"/>
  <c r="A58" i="4"/>
  <c r="AG58" i="4" s="1"/>
  <c r="CE57" i="4"/>
  <c r="BM57" i="4"/>
  <c r="BK57" i="4"/>
  <c r="BF57" i="4"/>
  <c r="BC57" i="4"/>
  <c r="BG57" i="4" s="1"/>
  <c r="AV57" i="4"/>
  <c r="AS57" i="4" s="1"/>
  <c r="AP57" i="4"/>
  <c r="S57" i="4" s="1"/>
  <c r="AG57" i="4"/>
  <c r="A57" i="4"/>
  <c r="CE56" i="4"/>
  <c r="BM56" i="4"/>
  <c r="BK56" i="4"/>
  <c r="BG56" i="4"/>
  <c r="BF56" i="4"/>
  <c r="BJ56" i="4" s="1"/>
  <c r="BC56" i="4"/>
  <c r="AV56" i="4"/>
  <c r="A56" i="4"/>
  <c r="AG56" i="4" s="1"/>
  <c r="CE55" i="4"/>
  <c r="BM55" i="4"/>
  <c r="BK55" i="4"/>
  <c r="BH55" i="4"/>
  <c r="BF55" i="4"/>
  <c r="BJ55" i="4" s="1"/>
  <c r="BC55" i="4"/>
  <c r="BG55" i="4" s="1"/>
  <c r="AV55" i="4"/>
  <c r="AG55" i="4"/>
  <c r="A55" i="4"/>
  <c r="CE54" i="4"/>
  <c r="BM54" i="4"/>
  <c r="AT25" i="4" s="1"/>
  <c r="N25" i="4" s="1"/>
  <c r="BK54" i="4"/>
  <c r="BF54" i="4"/>
  <c r="BC54" i="4"/>
  <c r="BG54" i="4" s="1"/>
  <c r="AV54" i="4"/>
  <c r="A54" i="4"/>
  <c r="AG54" i="4" s="1"/>
  <c r="CE53" i="4"/>
  <c r="BM53" i="4"/>
  <c r="BK53" i="4"/>
  <c r="BF53" i="4"/>
  <c r="BJ53" i="4" s="1"/>
  <c r="BC53" i="4"/>
  <c r="BG53" i="4" s="1"/>
  <c r="AV53" i="4"/>
  <c r="AT53" i="4"/>
  <c r="N53" i="4" s="1"/>
  <c r="A53" i="4"/>
  <c r="AG53" i="4" s="1"/>
  <c r="CE52" i="4"/>
  <c r="BM52" i="4"/>
  <c r="AT27" i="4" s="1"/>
  <c r="BK52" i="4"/>
  <c r="BG52" i="4"/>
  <c r="BF52" i="4"/>
  <c r="BJ52" i="4" s="1"/>
  <c r="BC52" i="4"/>
  <c r="AV52" i="4"/>
  <c r="AT52" i="4"/>
  <c r="N52" i="4" s="1"/>
  <c r="A52" i="4"/>
  <c r="AG52" i="4" s="1"/>
  <c r="CE51" i="4"/>
  <c r="BM51" i="4"/>
  <c r="BK51" i="4"/>
  <c r="BH51" i="4"/>
  <c r="BF51" i="4"/>
  <c r="BJ51" i="4" s="1"/>
  <c r="BC51" i="4"/>
  <c r="BG51" i="4" s="1"/>
  <c r="AV51" i="4"/>
  <c r="AT51" i="4"/>
  <c r="N51" i="4" s="1"/>
  <c r="AG51" i="4"/>
  <c r="A51" i="4"/>
  <c r="CE50" i="4"/>
  <c r="BM50" i="4"/>
  <c r="AT29" i="4" s="1"/>
  <c r="N29" i="4" s="1"/>
  <c r="BK50" i="4"/>
  <c r="BF50" i="4"/>
  <c r="BC50" i="4"/>
  <c r="BG50" i="4" s="1"/>
  <c r="AV50" i="4"/>
  <c r="A50" i="4"/>
  <c r="AG50" i="4" s="1"/>
  <c r="CE49" i="4"/>
  <c r="BM49" i="4"/>
  <c r="BK49" i="4"/>
  <c r="BF49" i="4"/>
  <c r="BJ49" i="4" s="1"/>
  <c r="BC49" i="4"/>
  <c r="AV49" i="4"/>
  <c r="A49" i="4"/>
  <c r="AG49" i="4" s="1"/>
  <c r="CE48" i="4"/>
  <c r="BM48" i="4"/>
  <c r="AT24" i="4" s="1"/>
  <c r="BK48" i="4"/>
  <c r="BF48" i="4"/>
  <c r="BJ48" i="4" s="1"/>
  <c r="BC48" i="4"/>
  <c r="BG48" i="4" s="1"/>
  <c r="AV48" i="4"/>
  <c r="A48" i="4"/>
  <c r="AG48" i="4" s="1"/>
  <c r="CE47" i="4"/>
  <c r="BM47" i="4"/>
  <c r="BK47" i="4"/>
  <c r="BH47" i="4"/>
  <c r="BF47" i="4"/>
  <c r="BJ47" i="4" s="1"/>
  <c r="BC47" i="4"/>
  <c r="BG47" i="4" s="1"/>
  <c r="AV47" i="4"/>
  <c r="AT47" i="4" s="1"/>
  <c r="N47" i="4" s="1"/>
  <c r="A47" i="4"/>
  <c r="AG47" i="4" s="1"/>
  <c r="CE46" i="4"/>
  <c r="BM46" i="4"/>
  <c r="AT26" i="4" s="1"/>
  <c r="BK46" i="4"/>
  <c r="BG46" i="4"/>
  <c r="BF46" i="4"/>
  <c r="BJ46" i="4" s="1"/>
  <c r="BC46" i="4"/>
  <c r="AV46" i="4"/>
  <c r="AT46" i="4"/>
  <c r="N46" i="4" s="1"/>
  <c r="A46" i="4"/>
  <c r="AG46" i="4" s="1"/>
  <c r="CE45" i="4"/>
  <c r="BM45" i="4"/>
  <c r="BK45" i="4"/>
  <c r="BF45" i="4"/>
  <c r="BJ45" i="4" s="1"/>
  <c r="BC45" i="4"/>
  <c r="BG45" i="4" s="1"/>
  <c r="AV45" i="4"/>
  <c r="A45" i="4"/>
  <c r="AG45" i="4" s="1"/>
  <c r="CE44" i="4"/>
  <c r="BM44" i="4"/>
  <c r="AT59" i="4" s="1"/>
  <c r="N59" i="4" s="1"/>
  <c r="BK44" i="4"/>
  <c r="BF44" i="4"/>
  <c r="BJ44" i="4" s="1"/>
  <c r="BC44" i="4"/>
  <c r="AO92" i="4" s="1"/>
  <c r="AV44" i="4"/>
  <c r="AP44" i="4"/>
  <c r="S44" i="4" s="1"/>
  <c r="A44" i="4"/>
  <c r="AG44" i="4" s="1"/>
  <c r="CE43" i="4"/>
  <c r="BM43" i="4"/>
  <c r="BK43" i="4"/>
  <c r="BF43" i="4"/>
  <c r="BC43" i="4"/>
  <c r="BG43" i="4" s="1"/>
  <c r="AV43" i="4"/>
  <c r="AG43" i="4"/>
  <c r="A43" i="4"/>
  <c r="CE42" i="4"/>
  <c r="BM42" i="4"/>
  <c r="AT113" i="4" s="1"/>
  <c r="N113" i="4" s="1"/>
  <c r="BK42" i="4"/>
  <c r="BH42" i="4"/>
  <c r="BF42" i="4"/>
  <c r="BJ42" i="4" s="1"/>
  <c r="BC42" i="4"/>
  <c r="BG42" i="4" s="1"/>
  <c r="AV42" i="4"/>
  <c r="A42" i="4"/>
  <c r="AG42" i="4" s="1"/>
  <c r="CE41" i="4"/>
  <c r="BM41" i="4"/>
  <c r="BK41" i="4"/>
  <c r="BF41" i="4"/>
  <c r="BJ41" i="4" s="1"/>
  <c r="BC41" i="4"/>
  <c r="AO71" i="4" s="1"/>
  <c r="AV41" i="4"/>
  <c r="A41" i="4"/>
  <c r="AG41" i="4" s="1"/>
  <c r="CE40" i="4"/>
  <c r="BM40" i="4"/>
  <c r="AT91" i="4" s="1"/>
  <c r="N91" i="4" s="1"/>
  <c r="BK40" i="4"/>
  <c r="BG40" i="4"/>
  <c r="BF40" i="4"/>
  <c r="BJ40" i="4" s="1"/>
  <c r="BC40" i="4"/>
  <c r="AO124" i="4" s="1"/>
  <c r="AV40" i="4"/>
  <c r="AT40" i="4"/>
  <c r="N40" i="4" s="1"/>
  <c r="A40" i="4"/>
  <c r="AG40" i="4" s="1"/>
  <c r="CE39" i="4"/>
  <c r="BM39" i="4"/>
  <c r="BK39" i="4"/>
  <c r="BF39" i="4"/>
  <c r="BJ39" i="4" s="1"/>
  <c r="BC39" i="4"/>
  <c r="AO154" i="4" s="1"/>
  <c r="AV39" i="4"/>
  <c r="A39" i="4"/>
  <c r="AG39" i="4" s="1"/>
  <c r="CE38" i="4"/>
  <c r="BM38" i="4"/>
  <c r="BK38" i="4"/>
  <c r="BG38" i="4"/>
  <c r="BF38" i="4"/>
  <c r="BJ38" i="4" s="1"/>
  <c r="BC38" i="4"/>
  <c r="AO145" i="4" s="1"/>
  <c r="AV38" i="4"/>
  <c r="AT38" i="4"/>
  <c r="N38" i="4" s="1"/>
  <c r="A38" i="4"/>
  <c r="AG38" i="4" s="1"/>
  <c r="CE37" i="4"/>
  <c r="BM37" i="4"/>
  <c r="AT103" i="4" s="1"/>
  <c r="N103" i="4" s="1"/>
  <c r="BK37" i="4"/>
  <c r="BF37" i="4"/>
  <c r="BJ37" i="4" s="1"/>
  <c r="BC37" i="4"/>
  <c r="BG37" i="4" s="1"/>
  <c r="AV37" i="4"/>
  <c r="A37" i="4"/>
  <c r="AG37" i="4" s="1"/>
  <c r="CE36" i="4"/>
  <c r="BM36" i="4"/>
  <c r="BK36" i="4"/>
  <c r="BG36" i="4"/>
  <c r="BF36" i="4"/>
  <c r="BJ36" i="4" s="1"/>
  <c r="BC36" i="4"/>
  <c r="AV36" i="4"/>
  <c r="A36" i="4"/>
  <c r="AG36" i="4" s="1"/>
  <c r="CE35" i="4"/>
  <c r="BM35" i="4"/>
  <c r="BK35" i="4"/>
  <c r="BH35" i="4"/>
  <c r="BF35" i="4"/>
  <c r="BJ35" i="4" s="1"/>
  <c r="BC35" i="4"/>
  <c r="AV35" i="4"/>
  <c r="AT35" i="4" s="1"/>
  <c r="N35" i="4" s="1"/>
  <c r="A35" i="4"/>
  <c r="AG35" i="4" s="1"/>
  <c r="CE34" i="4"/>
  <c r="BM34" i="4"/>
  <c r="AT120" i="4" s="1"/>
  <c r="N120" i="4" s="1"/>
  <c r="BK34" i="4"/>
  <c r="BG34" i="4"/>
  <c r="BF34" i="4"/>
  <c r="BJ34" i="4" s="1"/>
  <c r="BC34" i="4"/>
  <c r="AV34" i="4"/>
  <c r="AT34" i="4"/>
  <c r="N34" i="4" s="1"/>
  <c r="A34" i="4"/>
  <c r="AG34" i="4" s="1"/>
  <c r="CE33" i="4"/>
  <c r="BM33" i="4"/>
  <c r="AT111" i="4" s="1"/>
  <c r="N111" i="4" s="1"/>
  <c r="BK33" i="4"/>
  <c r="BF33" i="4"/>
  <c r="BJ33" i="4" s="1"/>
  <c r="BC33" i="4"/>
  <c r="BG33" i="4" s="1"/>
  <c r="AV33" i="4"/>
  <c r="AP33" i="4" s="1"/>
  <c r="S33" i="4" s="1"/>
  <c r="A33" i="4"/>
  <c r="AG33" i="4" s="1"/>
  <c r="CE32" i="4"/>
  <c r="BM32" i="4"/>
  <c r="BK32" i="4"/>
  <c r="BF32" i="4"/>
  <c r="BJ32" i="4" s="1"/>
  <c r="BC32" i="4"/>
  <c r="BG32" i="4" s="1"/>
  <c r="AV32" i="4"/>
  <c r="A32" i="4"/>
  <c r="AG32" i="4" s="1"/>
  <c r="CE31" i="4"/>
  <c r="BM31" i="4"/>
  <c r="BK31" i="4"/>
  <c r="BF31" i="4"/>
  <c r="BC31" i="4"/>
  <c r="AV31" i="4"/>
  <c r="A31" i="4"/>
  <c r="AG31" i="4" s="1"/>
  <c r="CE30" i="4"/>
  <c r="BM30" i="4"/>
  <c r="AT44" i="4" s="1"/>
  <c r="N44" i="4" s="1"/>
  <c r="BK30" i="4"/>
  <c r="BH30" i="4"/>
  <c r="BG30" i="4"/>
  <c r="BF30" i="4"/>
  <c r="BJ30" i="4" s="1"/>
  <c r="BC30" i="4"/>
  <c r="AO110" i="4" s="1"/>
  <c r="AV30" i="4"/>
  <c r="A30" i="4"/>
  <c r="AG30" i="4" s="1"/>
  <c r="CE29" i="4"/>
  <c r="BM29" i="4"/>
  <c r="AT101" i="4" s="1"/>
  <c r="N101" i="4" s="1"/>
  <c r="BK29" i="4"/>
  <c r="BF29" i="4"/>
  <c r="BJ29" i="4" s="1"/>
  <c r="BC29" i="4"/>
  <c r="AO134" i="4" s="1"/>
  <c r="AU29" i="4"/>
  <c r="AS29" i="4"/>
  <c r="AP29" i="4"/>
  <c r="AO29" i="4"/>
  <c r="AM29" i="4"/>
  <c r="S29" i="4"/>
  <c r="L29" i="4"/>
  <c r="A29" i="4"/>
  <c r="CE28" i="4"/>
  <c r="BM28" i="4"/>
  <c r="BK28" i="4"/>
  <c r="BH28" i="4"/>
  <c r="BF28" i="4"/>
  <c r="BJ28" i="4" s="1"/>
  <c r="BC28" i="4"/>
  <c r="AO151" i="4" s="1"/>
  <c r="AU28" i="4"/>
  <c r="L28" i="4" s="1"/>
  <c r="AT28" i="4"/>
  <c r="N28" i="4" s="1"/>
  <c r="AS28" i="4"/>
  <c r="AM28" i="4" s="1"/>
  <c r="P28" i="4" s="1"/>
  <c r="AO28" i="4"/>
  <c r="A28" i="4"/>
  <c r="CE27" i="4"/>
  <c r="BM27" i="4"/>
  <c r="AT43" i="4" s="1"/>
  <c r="N43" i="4" s="1"/>
  <c r="BK27" i="4"/>
  <c r="BF27" i="4"/>
  <c r="BJ27" i="4" s="1"/>
  <c r="BC27" i="4"/>
  <c r="AO142" i="4" s="1"/>
  <c r="AU27" i="4"/>
  <c r="AS27" i="4"/>
  <c r="AM27" i="4" s="1"/>
  <c r="AP27" i="4"/>
  <c r="AO27" i="4"/>
  <c r="S27" i="4"/>
  <c r="N27" i="4"/>
  <c r="L27" i="4"/>
  <c r="A27" i="4"/>
  <c r="CE26" i="4"/>
  <c r="BM26" i="4"/>
  <c r="BK26" i="4"/>
  <c r="BH26" i="4"/>
  <c r="BF26" i="4"/>
  <c r="BJ26" i="4" s="1"/>
  <c r="BC26" i="4"/>
  <c r="AO67" i="4" s="1"/>
  <c r="AU26" i="4"/>
  <c r="L26" i="4" s="1"/>
  <c r="AS26" i="4"/>
  <c r="AM26" i="4" s="1"/>
  <c r="P26" i="4" s="1"/>
  <c r="AP26" i="4"/>
  <c r="AO26" i="4"/>
  <c r="S26" i="4"/>
  <c r="N26" i="4"/>
  <c r="A26" i="4"/>
  <c r="CE25" i="4"/>
  <c r="BM25" i="4"/>
  <c r="AT95" i="4" s="1"/>
  <c r="N95" i="4" s="1"/>
  <c r="BK25" i="4"/>
  <c r="BF25" i="4"/>
  <c r="BJ25" i="4" s="1"/>
  <c r="BC25" i="4"/>
  <c r="BG25" i="4" s="1"/>
  <c r="AU25" i="4"/>
  <c r="L25" i="4" s="1"/>
  <c r="AS25" i="4"/>
  <c r="AP25" i="4"/>
  <c r="S25" i="4" s="1"/>
  <c r="AO25" i="4"/>
  <c r="AM25" i="4"/>
  <c r="P25" i="4" s="1"/>
  <c r="A25" i="4"/>
  <c r="CE24" i="4"/>
  <c r="BM24" i="4"/>
  <c r="BK24" i="4"/>
  <c r="BH24" i="4"/>
  <c r="BF24" i="4"/>
  <c r="BJ24" i="4" s="1"/>
  <c r="BC24" i="4"/>
  <c r="BG24" i="4" s="1"/>
  <c r="AU24" i="4"/>
  <c r="L24" i="4" s="1"/>
  <c r="AS24" i="4"/>
  <c r="AP24" i="4"/>
  <c r="AO24" i="4"/>
  <c r="AM24" i="4"/>
  <c r="P24" i="4" s="1"/>
  <c r="S24" i="4"/>
  <c r="N24" i="4"/>
  <c r="A24" i="4"/>
  <c r="CE23" i="4"/>
  <c r="BM23" i="4"/>
  <c r="AT552" i="4" s="1"/>
  <c r="N552" i="4" s="1"/>
  <c r="BK23" i="4"/>
  <c r="BF23" i="4"/>
  <c r="BJ23" i="4" s="1"/>
  <c r="BC23" i="4"/>
  <c r="BG23" i="4" s="1"/>
  <c r="AU23" i="4"/>
  <c r="L23" i="4" s="1"/>
  <c r="AT23" i="4"/>
  <c r="AS23" i="4"/>
  <c r="AQ23" i="4"/>
  <c r="AP23" i="4"/>
  <c r="AO23" i="4"/>
  <c r="AM23" i="4"/>
  <c r="P23" i="4" s="1"/>
  <c r="S23" i="4"/>
  <c r="N23" i="4"/>
  <c r="A23" i="4"/>
  <c r="CE22" i="4"/>
  <c r="BR22" i="4"/>
  <c r="BQ22" i="4"/>
  <c r="BM22" i="4"/>
  <c r="BK22" i="4"/>
  <c r="BH22" i="4"/>
  <c r="BB102" i="4" s="1"/>
  <c r="BF22" i="4"/>
  <c r="BJ22" i="4" s="1"/>
  <c r="BC22" i="4"/>
  <c r="AU22" i="4"/>
  <c r="L22" i="4" s="1"/>
  <c r="AT22" i="4"/>
  <c r="AS22" i="4"/>
  <c r="AN22" i="4" s="1"/>
  <c r="AQ22" i="4"/>
  <c r="AM22" i="4"/>
  <c r="P22" i="4" s="1"/>
  <c r="Q22" i="4"/>
  <c r="N22" i="4"/>
  <c r="M22" i="4"/>
  <c r="A22" i="4"/>
  <c r="CE21" i="4"/>
  <c r="BR21" i="4"/>
  <c r="BQ21" i="4"/>
  <c r="BM21" i="4"/>
  <c r="BK21" i="4"/>
  <c r="BF21" i="4"/>
  <c r="BH21" i="4" s="1"/>
  <c r="BB101" i="4" s="1"/>
  <c r="BC21" i="4"/>
  <c r="AU21" i="4"/>
  <c r="L21" i="4" s="1"/>
  <c r="AT21" i="4"/>
  <c r="AS21" i="4"/>
  <c r="M21" i="4" s="1"/>
  <c r="AP21" i="4"/>
  <c r="S21" i="4" s="1"/>
  <c r="AO21" i="4"/>
  <c r="AM21" i="4"/>
  <c r="AQ21" i="4" s="1"/>
  <c r="N21" i="4"/>
  <c r="A21" i="4"/>
  <c r="CE20" i="4"/>
  <c r="BR20" i="4"/>
  <c r="BQ20" i="4"/>
  <c r="BM20" i="4"/>
  <c r="BK20" i="4"/>
  <c r="BG20" i="4"/>
  <c r="BF20" i="4"/>
  <c r="BJ20" i="4" s="1"/>
  <c r="BC20" i="4"/>
  <c r="AU20" i="4"/>
  <c r="AT20" i="4"/>
  <c r="N20" i="4" s="1"/>
  <c r="AS20" i="4"/>
  <c r="AN20" i="4" s="1"/>
  <c r="Q20" i="4" s="1"/>
  <c r="AP20" i="4"/>
  <c r="S20" i="4" s="1"/>
  <c r="AO20" i="4"/>
  <c r="R20" i="4" s="1"/>
  <c r="AM20" i="4"/>
  <c r="P20" i="4" s="1"/>
  <c r="L20" i="4"/>
  <c r="A20" i="4"/>
  <c r="CE19" i="4"/>
  <c r="BR19" i="4"/>
  <c r="BQ19" i="4"/>
  <c r="BM19" i="4"/>
  <c r="BK19" i="4"/>
  <c r="BH19" i="4"/>
  <c r="BB99" i="4" s="1"/>
  <c r="BF19" i="4"/>
  <c r="BJ19" i="4" s="1"/>
  <c r="BC19" i="4"/>
  <c r="AU19" i="4"/>
  <c r="L19" i="4" s="1"/>
  <c r="AT19" i="4"/>
  <c r="N19" i="4" s="1"/>
  <c r="AS19" i="4"/>
  <c r="M19" i="4" s="1"/>
  <c r="AP19" i="4"/>
  <c r="AO19" i="4"/>
  <c r="AN19" i="4"/>
  <c r="Q19" i="4" s="1"/>
  <c r="AM19" i="4"/>
  <c r="AQ19" i="4" s="1"/>
  <c r="S19" i="4"/>
  <c r="P19" i="4"/>
  <c r="A19" i="4"/>
  <c r="CE18" i="4"/>
  <c r="BR18" i="4"/>
  <c r="BQ18" i="4"/>
  <c r="BM18" i="4"/>
  <c r="BK18" i="4"/>
  <c r="BG18" i="4"/>
  <c r="BF18" i="4"/>
  <c r="BJ18" i="4" s="1"/>
  <c r="BC18" i="4"/>
  <c r="AU18" i="4"/>
  <c r="AT18" i="4"/>
  <c r="N18" i="4" s="1"/>
  <c r="AS18" i="4"/>
  <c r="AN18" i="4" s="1"/>
  <c r="AP18" i="4"/>
  <c r="S18" i="4" s="1"/>
  <c r="AO18" i="4"/>
  <c r="R18" i="4" s="1"/>
  <c r="AM18" i="4"/>
  <c r="P18" i="4" s="1"/>
  <c r="Q18" i="4"/>
  <c r="L18" i="4"/>
  <c r="A18" i="4"/>
  <c r="BR17" i="4"/>
  <c r="BQ17" i="4"/>
  <c r="BM17" i="4"/>
  <c r="BK17" i="4"/>
  <c r="BJ17" i="4"/>
  <c r="BH17" i="4"/>
  <c r="BG17" i="4"/>
  <c r="BF17" i="4"/>
  <c r="BC17" i="4"/>
  <c r="AU17" i="4"/>
  <c r="AS17" i="4"/>
  <c r="AN17" i="4"/>
  <c r="Q17" i="4" s="1"/>
  <c r="AM17" i="4"/>
  <c r="AQ17" i="4" s="1"/>
  <c r="P17" i="4"/>
  <c r="M17" i="4"/>
  <c r="BR16" i="4"/>
  <c r="BQ16" i="4"/>
  <c r="BM16" i="4"/>
  <c r="BK16" i="4"/>
  <c r="BF16" i="4"/>
  <c r="BJ16" i="4" s="1"/>
  <c r="BC16" i="4"/>
  <c r="BG16" i="4" s="1"/>
  <c r="AU16" i="4"/>
  <c r="AS16" i="4"/>
  <c r="AN16" i="4" s="1"/>
  <c r="AM16" i="4"/>
  <c r="Q16" i="4"/>
  <c r="BR15" i="4"/>
  <c r="BQ15" i="4"/>
  <c r="BM15" i="4"/>
  <c r="BK15" i="4"/>
  <c r="BF15" i="4"/>
  <c r="BC15" i="4"/>
  <c r="BG15" i="4" s="1"/>
  <c r="AU15" i="4"/>
  <c r="AS15" i="4"/>
  <c r="AM15" i="4" s="1"/>
  <c r="AQ15" i="4" s="1"/>
  <c r="AR15" i="4"/>
  <c r="AN15" i="4"/>
  <c r="Q15" i="4" s="1"/>
  <c r="U15" i="4"/>
  <c r="T15" i="4"/>
  <c r="P15" i="4"/>
  <c r="M15" i="4"/>
  <c r="BR14" i="4"/>
  <c r="BQ14" i="4"/>
  <c r="BM14" i="4"/>
  <c r="AT107" i="4" s="1"/>
  <c r="N107" i="4" s="1"/>
  <c r="BK14" i="4"/>
  <c r="BF14" i="4"/>
  <c r="BJ14" i="4" s="1"/>
  <c r="BC14" i="4"/>
  <c r="AU14" i="4"/>
  <c r="AS14" i="4"/>
  <c r="BR13" i="4"/>
  <c r="BQ13" i="4"/>
  <c r="BM13" i="4"/>
  <c r="AT32" i="4" s="1"/>
  <c r="N32" i="4" s="1"/>
  <c r="BK13" i="4"/>
  <c r="BG13" i="4"/>
  <c r="BF13" i="4"/>
  <c r="BJ13" i="4" s="1"/>
  <c r="BC13" i="4"/>
  <c r="AU13" i="4"/>
  <c r="AT13" i="4"/>
  <c r="AS13" i="4"/>
  <c r="AN13" i="4"/>
  <c r="Q13" i="4" s="1"/>
  <c r="AM13" i="4"/>
  <c r="AQ13" i="4" s="1"/>
  <c r="N13" i="4"/>
  <c r="M13" i="4"/>
  <c r="BR12" i="4"/>
  <c r="BQ12" i="4"/>
  <c r="BM12" i="4"/>
  <c r="BK12" i="4"/>
  <c r="BF12" i="4"/>
  <c r="BJ12" i="4" s="1"/>
  <c r="BC12" i="4"/>
  <c r="BG12" i="4" s="1"/>
  <c r="AU12" i="4"/>
  <c r="AS12" i="4"/>
  <c r="AN12" i="4" s="1"/>
  <c r="Q12" i="4" s="1"/>
  <c r="AO12" i="4"/>
  <c r="R12" i="4" s="1"/>
  <c r="AM12" i="4"/>
  <c r="P12" i="4" s="1"/>
  <c r="BR11" i="4"/>
  <c r="BQ11" i="4"/>
  <c r="BM11" i="4"/>
  <c r="BK11" i="4"/>
  <c r="BJ11" i="4"/>
  <c r="BF11" i="4"/>
  <c r="BH11" i="4" s="1"/>
  <c r="BB93" i="4" s="1"/>
  <c r="BC11" i="4"/>
  <c r="AU11" i="4"/>
  <c r="AS11" i="4"/>
  <c r="BR10" i="4"/>
  <c r="BQ10" i="4"/>
  <c r="BM10" i="4"/>
  <c r="BK10" i="4"/>
  <c r="BF10" i="4"/>
  <c r="BJ10" i="4" s="1"/>
  <c r="BC10" i="4"/>
  <c r="AU10" i="4"/>
  <c r="AS10" i="4"/>
  <c r="M10" i="4" s="1"/>
  <c r="AN10" i="4"/>
  <c r="Q10" i="4" s="1"/>
  <c r="AM10" i="4"/>
  <c r="AQ10" i="4" s="1"/>
  <c r="BR9" i="4"/>
  <c r="BQ9" i="4"/>
  <c r="BM9" i="4"/>
  <c r="BK9" i="4"/>
  <c r="BH9" i="4"/>
  <c r="BB91" i="4" s="1"/>
  <c r="BF9" i="4"/>
  <c r="BJ9" i="4" s="1"/>
  <c r="BC9" i="4"/>
  <c r="AU9" i="4"/>
  <c r="AS9" i="4"/>
  <c r="BR8" i="4"/>
  <c r="BQ8" i="4"/>
  <c r="BM8" i="4"/>
  <c r="AT48" i="4" s="1"/>
  <c r="N48" i="4" s="1"/>
  <c r="BK8" i="4"/>
  <c r="BF8" i="4"/>
  <c r="BC8" i="4"/>
  <c r="AP48" i="4" s="1"/>
  <c r="S48" i="4" s="1"/>
  <c r="AU8" i="4"/>
  <c r="AS8" i="4"/>
  <c r="AM8" i="4"/>
  <c r="AQ8" i="4" s="1"/>
  <c r="P8" i="4"/>
  <c r="BR7" i="4"/>
  <c r="BQ7" i="4"/>
  <c r="BM7" i="4"/>
  <c r="BK7" i="4"/>
  <c r="BF7" i="4"/>
  <c r="BC7" i="4"/>
  <c r="AU7" i="4"/>
  <c r="AS7" i="4"/>
  <c r="M7" i="4" s="1"/>
  <c r="AO7" i="4"/>
  <c r="AN7" i="4"/>
  <c r="Q7" i="4" s="1"/>
  <c r="BR6" i="4"/>
  <c r="BQ6" i="4"/>
  <c r="BM6" i="4"/>
  <c r="BK6" i="4"/>
  <c r="BJ6" i="4"/>
  <c r="BH6" i="4"/>
  <c r="BB88" i="4" s="1"/>
  <c r="BG6" i="4"/>
  <c r="BF6" i="4"/>
  <c r="BC6" i="4"/>
  <c r="AU6" i="4"/>
  <c r="AS6" i="4"/>
  <c r="AN6" i="4"/>
  <c r="Q6" i="4" s="1"/>
  <c r="AM6" i="4"/>
  <c r="P6" i="4" s="1"/>
  <c r="M6" i="4"/>
  <c r="BR5" i="4"/>
  <c r="BQ5" i="4"/>
  <c r="BM5" i="4"/>
  <c r="AT6" i="4" s="1"/>
  <c r="N6" i="4" s="1"/>
  <c r="BK5" i="4"/>
  <c r="BF5" i="4"/>
  <c r="BJ5" i="4" s="1"/>
  <c r="BC5" i="4"/>
  <c r="AO16" i="4" s="1"/>
  <c r="AU5" i="4"/>
  <c r="AS5" i="4"/>
  <c r="AN5" i="4" s="1"/>
  <c r="Q5" i="4" s="1"/>
  <c r="AP5" i="4"/>
  <c r="S5" i="4" s="1"/>
  <c r="AU4" i="4"/>
  <c r="AS4" i="4"/>
  <c r="AP4" i="4"/>
  <c r="AM4" i="4"/>
  <c r="AQ4" i="4" s="1"/>
  <c r="S4" i="4"/>
  <c r="CF391" i="3"/>
  <c r="BX391" i="3"/>
  <c r="BW391" i="3"/>
  <c r="BU391" i="3" s="1"/>
  <c r="BV391" i="3"/>
  <c r="BQ391" i="3"/>
  <c r="AS391" i="3"/>
  <c r="AQ391" i="3"/>
  <c r="J391" i="3" s="1"/>
  <c r="AO391" i="3"/>
  <c r="AI391" i="3" s="1"/>
  <c r="N391" i="3" s="1"/>
  <c r="AN391" i="3"/>
  <c r="S391" i="3" s="1"/>
  <c r="AM391" i="3"/>
  <c r="AJ391" i="3"/>
  <c r="O391" i="3" s="1"/>
  <c r="R391" i="3"/>
  <c r="G391" i="3"/>
  <c r="A391" i="3"/>
  <c r="CF390" i="3"/>
  <c r="BX390" i="3"/>
  <c r="BW390" i="3"/>
  <c r="BV390" i="3"/>
  <c r="BQ390" i="3"/>
  <c r="AS390" i="3"/>
  <c r="AQ390" i="3"/>
  <c r="AO390" i="3"/>
  <c r="AN390" i="3"/>
  <c r="S390" i="3" s="1"/>
  <c r="AM390" i="3"/>
  <c r="R390" i="3"/>
  <c r="J390" i="3"/>
  <c r="G390" i="3"/>
  <c r="A390" i="3"/>
  <c r="CF389" i="3"/>
  <c r="BX389" i="3"/>
  <c r="BW389" i="3"/>
  <c r="BV389" i="3"/>
  <c r="BQ389" i="3"/>
  <c r="AS389" i="3"/>
  <c r="AQ389" i="3"/>
  <c r="AO389" i="3"/>
  <c r="AI389" i="3" s="1"/>
  <c r="N389" i="3" s="1"/>
  <c r="AN389" i="3"/>
  <c r="S389" i="3" s="1"/>
  <c r="AM389" i="3"/>
  <c r="R389" i="3" s="1"/>
  <c r="AJ389" i="3"/>
  <c r="O389" i="3" s="1"/>
  <c r="J389" i="3"/>
  <c r="G389" i="3"/>
  <c r="A389" i="3"/>
  <c r="CF388" i="3"/>
  <c r="BX388" i="3"/>
  <c r="BW388" i="3"/>
  <c r="BV388" i="3"/>
  <c r="BQ388" i="3"/>
  <c r="AS388" i="3"/>
  <c r="AQ388" i="3"/>
  <c r="AO388" i="3"/>
  <c r="AI388" i="3" s="1"/>
  <c r="N388" i="3" s="1"/>
  <c r="AN388" i="3"/>
  <c r="S388" i="3" s="1"/>
  <c r="AM388" i="3"/>
  <c r="R388" i="3" s="1"/>
  <c r="AJ388" i="3"/>
  <c r="O388" i="3" s="1"/>
  <c r="K388" i="3"/>
  <c r="J388" i="3"/>
  <c r="G388" i="3"/>
  <c r="A388" i="3"/>
  <c r="CF387" i="3"/>
  <c r="BX387" i="3"/>
  <c r="BW387" i="3"/>
  <c r="BV387" i="3"/>
  <c r="BQ387" i="3"/>
  <c r="AS387" i="3"/>
  <c r="AQ387" i="3"/>
  <c r="AO387" i="3"/>
  <c r="AI387" i="3" s="1"/>
  <c r="N387" i="3" s="1"/>
  <c r="AN387" i="3"/>
  <c r="S387" i="3" s="1"/>
  <c r="AM387" i="3"/>
  <c r="R387" i="3" s="1"/>
  <c r="AJ387" i="3"/>
  <c r="O387" i="3" s="1"/>
  <c r="K387" i="3"/>
  <c r="J387" i="3"/>
  <c r="G387" i="3"/>
  <c r="A387" i="3"/>
  <c r="CF386" i="3"/>
  <c r="BX386" i="3"/>
  <c r="BW386" i="3"/>
  <c r="BV386" i="3"/>
  <c r="BQ386" i="3"/>
  <c r="AS386" i="3"/>
  <c r="AQ386" i="3"/>
  <c r="AO386" i="3"/>
  <c r="AI386" i="3" s="1"/>
  <c r="N386" i="3" s="1"/>
  <c r="AN386" i="3"/>
  <c r="S386" i="3" s="1"/>
  <c r="AM386" i="3"/>
  <c r="R386" i="3"/>
  <c r="K386" i="3"/>
  <c r="J386" i="3"/>
  <c r="G386" i="3"/>
  <c r="A386" i="3"/>
  <c r="CF385" i="3"/>
  <c r="BX385" i="3"/>
  <c r="BW385" i="3"/>
  <c r="BV385" i="3"/>
  <c r="BU385" i="3"/>
  <c r="BQ385" i="3"/>
  <c r="AS385" i="3"/>
  <c r="AQ385" i="3"/>
  <c r="J385" i="3" s="1"/>
  <c r="AO385" i="3"/>
  <c r="AN385" i="3"/>
  <c r="S385" i="3" s="1"/>
  <c r="AM385" i="3"/>
  <c r="R385" i="3"/>
  <c r="G385" i="3"/>
  <c r="A385" i="3"/>
  <c r="CF384" i="3"/>
  <c r="BX384" i="3"/>
  <c r="BW384" i="3"/>
  <c r="BV384" i="3"/>
  <c r="BU384" i="3" s="1"/>
  <c r="BQ384" i="3"/>
  <c r="AS384" i="3"/>
  <c r="AQ384" i="3"/>
  <c r="J384" i="3" s="1"/>
  <c r="AO384" i="3"/>
  <c r="AI384" i="3" s="1"/>
  <c r="N384" i="3" s="1"/>
  <c r="AN384" i="3"/>
  <c r="S384" i="3" s="1"/>
  <c r="AM384" i="3"/>
  <c r="AJ384" i="3"/>
  <c r="O384" i="3" s="1"/>
  <c r="R384" i="3"/>
  <c r="G384" i="3"/>
  <c r="A384" i="3"/>
  <c r="CF383" i="3"/>
  <c r="BX383" i="3"/>
  <c r="BW383" i="3"/>
  <c r="BV383" i="3"/>
  <c r="BQ383" i="3"/>
  <c r="AS383" i="3"/>
  <c r="AQ383" i="3"/>
  <c r="AO383" i="3"/>
  <c r="AI383" i="3" s="1"/>
  <c r="N383" i="3" s="1"/>
  <c r="AN383" i="3"/>
  <c r="S383" i="3" s="1"/>
  <c r="AM383" i="3"/>
  <c r="R383" i="3" s="1"/>
  <c r="AJ383" i="3"/>
  <c r="O383" i="3" s="1"/>
  <c r="K383" i="3"/>
  <c r="J383" i="3"/>
  <c r="G383" i="3"/>
  <c r="A383" i="3"/>
  <c r="CF382" i="3"/>
  <c r="BX382" i="3"/>
  <c r="BW382" i="3"/>
  <c r="BU382" i="3" s="1"/>
  <c r="BV382" i="3"/>
  <c r="BQ382" i="3"/>
  <c r="AS382" i="3"/>
  <c r="AQ382" i="3"/>
  <c r="AO382" i="3"/>
  <c r="AI382" i="3" s="1"/>
  <c r="N382" i="3" s="1"/>
  <c r="AN382" i="3"/>
  <c r="S382" i="3" s="1"/>
  <c r="AM382" i="3"/>
  <c r="R382" i="3" s="1"/>
  <c r="K382" i="3"/>
  <c r="J382" i="3"/>
  <c r="G382" i="3"/>
  <c r="A382" i="3"/>
  <c r="CF381" i="3"/>
  <c r="BX381" i="3"/>
  <c r="BW381" i="3"/>
  <c r="BV381" i="3"/>
  <c r="BU381" i="3"/>
  <c r="BQ381" i="3"/>
  <c r="AS381" i="3"/>
  <c r="AQ381" i="3"/>
  <c r="J381" i="3" s="1"/>
  <c r="AO381" i="3"/>
  <c r="AN381" i="3"/>
  <c r="S381" i="3" s="1"/>
  <c r="AM381" i="3"/>
  <c r="R381" i="3"/>
  <c r="G381" i="3"/>
  <c r="A381" i="3"/>
  <c r="CF380" i="3"/>
  <c r="BX380" i="3"/>
  <c r="BW380" i="3"/>
  <c r="BV380" i="3"/>
  <c r="BU380" i="3" s="1"/>
  <c r="BQ380" i="3"/>
  <c r="AS380" i="3"/>
  <c r="AQ380" i="3"/>
  <c r="J380" i="3" s="1"/>
  <c r="AO380" i="3"/>
  <c r="AI380" i="3" s="1"/>
  <c r="N380" i="3" s="1"/>
  <c r="AN380" i="3"/>
  <c r="S380" i="3" s="1"/>
  <c r="AM380" i="3"/>
  <c r="AJ380" i="3"/>
  <c r="O380" i="3" s="1"/>
  <c r="R380" i="3"/>
  <c r="G380" i="3"/>
  <c r="A380" i="3"/>
  <c r="CF379" i="3"/>
  <c r="BX379" i="3"/>
  <c r="BW379" i="3"/>
  <c r="BV379" i="3"/>
  <c r="BQ379" i="3"/>
  <c r="AS379" i="3"/>
  <c r="AQ379" i="3"/>
  <c r="AO379" i="3"/>
  <c r="AI379" i="3" s="1"/>
  <c r="N379" i="3" s="1"/>
  <c r="AN379" i="3"/>
  <c r="S379" i="3" s="1"/>
  <c r="AM379" i="3"/>
  <c r="R379" i="3" s="1"/>
  <c r="AJ379" i="3"/>
  <c r="O379" i="3" s="1"/>
  <c r="K379" i="3"/>
  <c r="J379" i="3"/>
  <c r="G379" i="3"/>
  <c r="A379" i="3"/>
  <c r="CF378" i="3"/>
  <c r="BX378" i="3"/>
  <c r="BW378" i="3"/>
  <c r="BU378" i="3" s="1"/>
  <c r="BV378" i="3"/>
  <c r="BQ378" i="3"/>
  <c r="AS378" i="3"/>
  <c r="AQ378" i="3"/>
  <c r="AO378" i="3"/>
  <c r="AI378" i="3" s="1"/>
  <c r="N378" i="3" s="1"/>
  <c r="AN378" i="3"/>
  <c r="S378" i="3" s="1"/>
  <c r="AM378" i="3"/>
  <c r="R378" i="3" s="1"/>
  <c r="K378" i="3"/>
  <c r="J378" i="3"/>
  <c r="G378" i="3"/>
  <c r="A378" i="3"/>
  <c r="CF377" i="3"/>
  <c r="BX377" i="3"/>
  <c r="BW377" i="3"/>
  <c r="BV377" i="3"/>
  <c r="BU377" i="3"/>
  <c r="BQ377" i="3"/>
  <c r="AS377" i="3"/>
  <c r="AQ377" i="3"/>
  <c r="J377" i="3" s="1"/>
  <c r="AO377" i="3"/>
  <c r="AN377" i="3"/>
  <c r="S377" i="3" s="1"/>
  <c r="AM377" i="3"/>
  <c r="R377" i="3"/>
  <c r="G377" i="3"/>
  <c r="A377" i="3"/>
  <c r="CF376" i="3"/>
  <c r="BX376" i="3"/>
  <c r="BW376" i="3"/>
  <c r="BV376" i="3"/>
  <c r="BU376" i="3" s="1"/>
  <c r="BQ376" i="3"/>
  <c r="AS376" i="3"/>
  <c r="AQ376" i="3"/>
  <c r="J376" i="3" s="1"/>
  <c r="AO376" i="3"/>
  <c r="AI376" i="3" s="1"/>
  <c r="N376" i="3" s="1"/>
  <c r="AN376" i="3"/>
  <c r="S376" i="3" s="1"/>
  <c r="AM376" i="3"/>
  <c r="AJ376" i="3"/>
  <c r="O376" i="3" s="1"/>
  <c r="R376" i="3"/>
  <c r="G376" i="3"/>
  <c r="A376" i="3"/>
  <c r="CF375" i="3"/>
  <c r="BX375" i="3"/>
  <c r="BW375" i="3"/>
  <c r="BV375" i="3"/>
  <c r="BU375" i="3" s="1"/>
  <c r="BQ375" i="3"/>
  <c r="AS375" i="3"/>
  <c r="AQ375" i="3"/>
  <c r="AO375" i="3"/>
  <c r="AI375" i="3" s="1"/>
  <c r="N375" i="3" s="1"/>
  <c r="AN375" i="3"/>
  <c r="S375" i="3" s="1"/>
  <c r="AM375" i="3"/>
  <c r="R375" i="3" s="1"/>
  <c r="AJ375" i="3"/>
  <c r="O375" i="3" s="1"/>
  <c r="K375" i="3"/>
  <c r="J375" i="3"/>
  <c r="G375" i="3"/>
  <c r="A375" i="3"/>
  <c r="CF374" i="3"/>
  <c r="BX374" i="3"/>
  <c r="BW374" i="3"/>
  <c r="BV374" i="3"/>
  <c r="BQ374" i="3"/>
  <c r="AS374" i="3"/>
  <c r="AQ374" i="3"/>
  <c r="AO374" i="3"/>
  <c r="AI374" i="3" s="1"/>
  <c r="N374" i="3" s="1"/>
  <c r="AN374" i="3"/>
  <c r="S374" i="3" s="1"/>
  <c r="AM374" i="3"/>
  <c r="R374" i="3" s="1"/>
  <c r="K374" i="3"/>
  <c r="J374" i="3"/>
  <c r="G374" i="3"/>
  <c r="A374" i="3"/>
  <c r="CF373" i="3"/>
  <c r="BX373" i="3"/>
  <c r="BW373" i="3"/>
  <c r="BV373" i="3"/>
  <c r="BU373" i="3"/>
  <c r="BQ373" i="3"/>
  <c r="AS373" i="3"/>
  <c r="AQ373" i="3"/>
  <c r="J373" i="3" s="1"/>
  <c r="AO373" i="3"/>
  <c r="AN373" i="3"/>
  <c r="S373" i="3" s="1"/>
  <c r="AM373" i="3"/>
  <c r="R373" i="3"/>
  <c r="G373" i="3"/>
  <c r="A373" i="3"/>
  <c r="CF372" i="3"/>
  <c r="BX372" i="3"/>
  <c r="BW372" i="3"/>
  <c r="BV372" i="3"/>
  <c r="BU372" i="3" s="1"/>
  <c r="BQ372" i="3"/>
  <c r="AS372" i="3"/>
  <c r="AQ372" i="3"/>
  <c r="J372" i="3" s="1"/>
  <c r="AO372" i="3"/>
  <c r="AI372" i="3" s="1"/>
  <c r="N372" i="3" s="1"/>
  <c r="AN372" i="3"/>
  <c r="S372" i="3" s="1"/>
  <c r="AM372" i="3"/>
  <c r="AJ372" i="3"/>
  <c r="O372" i="3" s="1"/>
  <c r="R372" i="3"/>
  <c r="G372" i="3"/>
  <c r="A372" i="3"/>
  <c r="CF371" i="3"/>
  <c r="BX371" i="3"/>
  <c r="BW371" i="3"/>
  <c r="BV371" i="3"/>
  <c r="BU371" i="3" s="1"/>
  <c r="BQ371" i="3"/>
  <c r="AS371" i="3"/>
  <c r="AQ371" i="3"/>
  <c r="AO371" i="3"/>
  <c r="AI371" i="3" s="1"/>
  <c r="N371" i="3" s="1"/>
  <c r="AN371" i="3"/>
  <c r="S371" i="3" s="1"/>
  <c r="AM371" i="3"/>
  <c r="R371" i="3" s="1"/>
  <c r="AJ371" i="3"/>
  <c r="O371" i="3" s="1"/>
  <c r="K371" i="3"/>
  <c r="J371" i="3"/>
  <c r="G371" i="3"/>
  <c r="A371" i="3"/>
  <c r="CF370" i="3"/>
  <c r="BX370" i="3"/>
  <c r="BW370" i="3"/>
  <c r="BV370" i="3"/>
  <c r="BQ370" i="3"/>
  <c r="AS370" i="3"/>
  <c r="AQ370" i="3"/>
  <c r="AO370" i="3"/>
  <c r="AI370" i="3" s="1"/>
  <c r="N370" i="3" s="1"/>
  <c r="AN370" i="3"/>
  <c r="S370" i="3" s="1"/>
  <c r="AM370" i="3"/>
  <c r="R370" i="3" s="1"/>
  <c r="K370" i="3"/>
  <c r="J370" i="3"/>
  <c r="G370" i="3"/>
  <c r="A370" i="3"/>
  <c r="CF369" i="3"/>
  <c r="BX369" i="3"/>
  <c r="BW369" i="3"/>
  <c r="BV369" i="3"/>
  <c r="BU369" i="3"/>
  <c r="BQ369" i="3"/>
  <c r="AS369" i="3"/>
  <c r="AQ369" i="3"/>
  <c r="J369" i="3" s="1"/>
  <c r="AO369" i="3"/>
  <c r="AN369" i="3"/>
  <c r="S369" i="3" s="1"/>
  <c r="AM369" i="3"/>
  <c r="R369" i="3"/>
  <c r="G369" i="3"/>
  <c r="A369" i="3"/>
  <c r="CF368" i="3"/>
  <c r="BX368" i="3"/>
  <c r="BW368" i="3"/>
  <c r="BV368" i="3"/>
  <c r="BU368" i="3" s="1"/>
  <c r="BQ368" i="3"/>
  <c r="AS368" i="3"/>
  <c r="AQ368" i="3"/>
  <c r="J368" i="3" s="1"/>
  <c r="AO368" i="3"/>
  <c r="AI368" i="3" s="1"/>
  <c r="N368" i="3" s="1"/>
  <c r="AN368" i="3"/>
  <c r="S368" i="3" s="1"/>
  <c r="AM368" i="3"/>
  <c r="AJ368" i="3"/>
  <c r="O368" i="3" s="1"/>
  <c r="R368" i="3"/>
  <c r="G368" i="3"/>
  <c r="A368" i="3"/>
  <c r="CF367" i="3"/>
  <c r="BX367" i="3"/>
  <c r="BW367" i="3"/>
  <c r="BV367" i="3"/>
  <c r="BQ367" i="3"/>
  <c r="AS367" i="3"/>
  <c r="AQ367" i="3"/>
  <c r="AO367" i="3"/>
  <c r="AI367" i="3" s="1"/>
  <c r="N367" i="3" s="1"/>
  <c r="AN367" i="3"/>
  <c r="S367" i="3" s="1"/>
  <c r="AM367" i="3"/>
  <c r="R367" i="3" s="1"/>
  <c r="AJ367" i="3"/>
  <c r="O367" i="3" s="1"/>
  <c r="K367" i="3"/>
  <c r="J367" i="3"/>
  <c r="G367" i="3"/>
  <c r="A367" i="3"/>
  <c r="CF366" i="3"/>
  <c r="BX366" i="3"/>
  <c r="BW366" i="3"/>
  <c r="BU366" i="3" s="1"/>
  <c r="BV366" i="3"/>
  <c r="BQ366" i="3"/>
  <c r="AS366" i="3"/>
  <c r="AQ366" i="3"/>
  <c r="AO366" i="3"/>
  <c r="AI366" i="3" s="1"/>
  <c r="N366" i="3" s="1"/>
  <c r="AN366" i="3"/>
  <c r="S366" i="3" s="1"/>
  <c r="AM366" i="3"/>
  <c r="R366" i="3" s="1"/>
  <c r="K366" i="3"/>
  <c r="J366" i="3"/>
  <c r="G366" i="3"/>
  <c r="A366" i="3"/>
  <c r="CF365" i="3"/>
  <c r="BX365" i="3"/>
  <c r="BW365" i="3"/>
  <c r="BV365" i="3"/>
  <c r="BU365" i="3"/>
  <c r="BQ365" i="3"/>
  <c r="AS365" i="3"/>
  <c r="AQ365" i="3"/>
  <c r="J365" i="3" s="1"/>
  <c r="AO365" i="3"/>
  <c r="AN365" i="3"/>
  <c r="S365" i="3" s="1"/>
  <c r="AM365" i="3"/>
  <c r="R365" i="3"/>
  <c r="G365" i="3"/>
  <c r="A365" i="3"/>
  <c r="CF364" i="3"/>
  <c r="BX364" i="3"/>
  <c r="BW364" i="3"/>
  <c r="BV364" i="3"/>
  <c r="BU364" i="3" s="1"/>
  <c r="BQ364" i="3"/>
  <c r="AS364" i="3"/>
  <c r="AQ364" i="3"/>
  <c r="J364" i="3" s="1"/>
  <c r="AO364" i="3"/>
  <c r="AI364" i="3" s="1"/>
  <c r="N364" i="3" s="1"/>
  <c r="AN364" i="3"/>
  <c r="S364" i="3" s="1"/>
  <c r="AM364" i="3"/>
  <c r="AJ364" i="3"/>
  <c r="O364" i="3" s="1"/>
  <c r="R364" i="3"/>
  <c r="K364" i="3"/>
  <c r="G364" i="3"/>
  <c r="A364" i="3"/>
  <c r="CF363" i="3"/>
  <c r="BX363" i="3"/>
  <c r="BW363" i="3"/>
  <c r="BU363" i="3" s="1"/>
  <c r="BV363" i="3"/>
  <c r="BQ363" i="3"/>
  <c r="AS363" i="3"/>
  <c r="AQ363" i="3"/>
  <c r="AO363" i="3"/>
  <c r="AI363" i="3" s="1"/>
  <c r="N363" i="3" s="1"/>
  <c r="AN363" i="3"/>
  <c r="S363" i="3" s="1"/>
  <c r="AM363" i="3"/>
  <c r="R363" i="3" s="1"/>
  <c r="J363" i="3"/>
  <c r="G363" i="3"/>
  <c r="A363" i="3"/>
  <c r="CF362" i="3"/>
  <c r="BX362" i="3"/>
  <c r="BW362" i="3"/>
  <c r="BV362" i="3"/>
  <c r="BU362" i="3" s="1"/>
  <c r="BQ362" i="3"/>
  <c r="AS362" i="3"/>
  <c r="AQ362" i="3"/>
  <c r="J362" i="3" s="1"/>
  <c r="AO362" i="3"/>
  <c r="AI362" i="3" s="1"/>
  <c r="N362" i="3" s="1"/>
  <c r="AN362" i="3"/>
  <c r="S362" i="3" s="1"/>
  <c r="AM362" i="3"/>
  <c r="R362" i="3" s="1"/>
  <c r="AJ362" i="3"/>
  <c r="O362" i="3" s="1"/>
  <c r="K362" i="3"/>
  <c r="G362" i="3"/>
  <c r="A362" i="3"/>
  <c r="CF361" i="3"/>
  <c r="BX361" i="3"/>
  <c r="BW361" i="3"/>
  <c r="BV361" i="3"/>
  <c r="BU361" i="3"/>
  <c r="BQ361" i="3"/>
  <c r="AS361" i="3"/>
  <c r="AQ361" i="3"/>
  <c r="AO361" i="3"/>
  <c r="AN361" i="3"/>
  <c r="S361" i="3" s="1"/>
  <c r="AM361" i="3"/>
  <c r="R361" i="3"/>
  <c r="J361" i="3"/>
  <c r="G361" i="3"/>
  <c r="A361" i="3"/>
  <c r="CF360" i="3"/>
  <c r="BX360" i="3"/>
  <c r="BW360" i="3"/>
  <c r="BV360" i="3"/>
  <c r="BU360" i="3" s="1"/>
  <c r="BQ360" i="3"/>
  <c r="AS360" i="3"/>
  <c r="AQ360" i="3"/>
  <c r="J360" i="3" s="1"/>
  <c r="AO360" i="3"/>
  <c r="AI360" i="3" s="1"/>
  <c r="N360" i="3" s="1"/>
  <c r="AN360" i="3"/>
  <c r="S360" i="3" s="1"/>
  <c r="AM360" i="3"/>
  <c r="AJ360" i="3"/>
  <c r="O360" i="3" s="1"/>
  <c r="R360" i="3"/>
  <c r="K360" i="3"/>
  <c r="G360" i="3"/>
  <c r="A360" i="3"/>
  <c r="CF359" i="3"/>
  <c r="BX359" i="3"/>
  <c r="BW359" i="3"/>
  <c r="BU359" i="3" s="1"/>
  <c r="BV359" i="3"/>
  <c r="BQ359" i="3"/>
  <c r="AS359" i="3"/>
  <c r="AQ359" i="3"/>
  <c r="AO359" i="3"/>
  <c r="AI359" i="3" s="1"/>
  <c r="N359" i="3" s="1"/>
  <c r="AN359" i="3"/>
  <c r="S359" i="3" s="1"/>
  <c r="AM359" i="3"/>
  <c r="R359" i="3" s="1"/>
  <c r="J359" i="3"/>
  <c r="G359" i="3"/>
  <c r="A359" i="3"/>
  <c r="CF358" i="3"/>
  <c r="BX358" i="3"/>
  <c r="BW358" i="3"/>
  <c r="BV358" i="3"/>
  <c r="BQ358" i="3"/>
  <c r="AS358" i="3"/>
  <c r="AQ358" i="3"/>
  <c r="J358" i="3" s="1"/>
  <c r="AO358" i="3"/>
  <c r="AI358" i="3" s="1"/>
  <c r="N358" i="3" s="1"/>
  <c r="AN358" i="3"/>
  <c r="S358" i="3" s="1"/>
  <c r="AM358" i="3"/>
  <c r="R358" i="3" s="1"/>
  <c r="AJ358" i="3"/>
  <c r="O358" i="3" s="1"/>
  <c r="K358" i="3"/>
  <c r="G358" i="3"/>
  <c r="A358" i="3"/>
  <c r="CF357" i="3"/>
  <c r="BX357" i="3"/>
  <c r="BW357" i="3"/>
  <c r="BV357" i="3"/>
  <c r="BU357" i="3"/>
  <c r="BQ357" i="3"/>
  <c r="AS357" i="3"/>
  <c r="AQ357" i="3"/>
  <c r="AO357" i="3"/>
  <c r="AN357" i="3"/>
  <c r="S357" i="3" s="1"/>
  <c r="AM357" i="3"/>
  <c r="R357" i="3"/>
  <c r="J357" i="3"/>
  <c r="G357" i="3"/>
  <c r="A357" i="3"/>
  <c r="CF356" i="3"/>
  <c r="BX356" i="3"/>
  <c r="BW356" i="3"/>
  <c r="BV356" i="3"/>
  <c r="BU356" i="3" s="1"/>
  <c r="BQ356" i="3"/>
  <c r="AS356" i="3"/>
  <c r="AQ356" i="3"/>
  <c r="J356" i="3" s="1"/>
  <c r="AO356" i="3"/>
  <c r="AI356" i="3" s="1"/>
  <c r="N356" i="3" s="1"/>
  <c r="AN356" i="3"/>
  <c r="S356" i="3" s="1"/>
  <c r="AM356" i="3"/>
  <c r="AJ356" i="3"/>
  <c r="O356" i="3" s="1"/>
  <c r="R356" i="3"/>
  <c r="K356" i="3"/>
  <c r="G356" i="3"/>
  <c r="A356" i="3"/>
  <c r="CF355" i="3"/>
  <c r="BX355" i="3"/>
  <c r="BW355" i="3"/>
  <c r="BU355" i="3" s="1"/>
  <c r="BV355" i="3"/>
  <c r="BQ355" i="3"/>
  <c r="AS355" i="3"/>
  <c r="AQ355" i="3"/>
  <c r="AO355" i="3"/>
  <c r="AI355" i="3" s="1"/>
  <c r="N355" i="3" s="1"/>
  <c r="AN355" i="3"/>
  <c r="S355" i="3" s="1"/>
  <c r="AM355" i="3"/>
  <c r="R355" i="3" s="1"/>
  <c r="J355" i="3"/>
  <c r="G355" i="3"/>
  <c r="A355" i="3"/>
  <c r="CF354" i="3"/>
  <c r="BX354" i="3"/>
  <c r="BW354" i="3"/>
  <c r="BV354" i="3"/>
  <c r="BQ354" i="3"/>
  <c r="AS354" i="3"/>
  <c r="AQ354" i="3"/>
  <c r="J354" i="3" s="1"/>
  <c r="AO354" i="3"/>
  <c r="AI354" i="3" s="1"/>
  <c r="N354" i="3" s="1"/>
  <c r="AN354" i="3"/>
  <c r="S354" i="3" s="1"/>
  <c r="AM354" i="3"/>
  <c r="R354" i="3" s="1"/>
  <c r="AJ354" i="3"/>
  <c r="O354" i="3" s="1"/>
  <c r="K354" i="3"/>
  <c r="G354" i="3"/>
  <c r="A354" i="3"/>
  <c r="CF353" i="3"/>
  <c r="BX353" i="3"/>
  <c r="BW353" i="3"/>
  <c r="BV353" i="3"/>
  <c r="BU353" i="3"/>
  <c r="BQ353" i="3"/>
  <c r="AS353" i="3"/>
  <c r="AQ353" i="3"/>
  <c r="AO353" i="3"/>
  <c r="AN353" i="3"/>
  <c r="S353" i="3" s="1"/>
  <c r="AM353" i="3"/>
  <c r="R353" i="3"/>
  <c r="J353" i="3"/>
  <c r="G353" i="3"/>
  <c r="A353" i="3"/>
  <c r="CF352" i="3"/>
  <c r="BX352" i="3"/>
  <c r="BW352" i="3"/>
  <c r="BV352" i="3"/>
  <c r="BU352" i="3" s="1"/>
  <c r="BQ352" i="3"/>
  <c r="AS352" i="3"/>
  <c r="AQ352" i="3"/>
  <c r="J352" i="3" s="1"/>
  <c r="AO352" i="3"/>
  <c r="AI352" i="3" s="1"/>
  <c r="N352" i="3" s="1"/>
  <c r="AN352" i="3"/>
  <c r="S352" i="3" s="1"/>
  <c r="AM352" i="3"/>
  <c r="AJ352" i="3"/>
  <c r="O352" i="3" s="1"/>
  <c r="R352" i="3"/>
  <c r="K352" i="3"/>
  <c r="G352" i="3"/>
  <c r="A352" i="3"/>
  <c r="CF351" i="3"/>
  <c r="BX351" i="3"/>
  <c r="BW351" i="3"/>
  <c r="BU351" i="3" s="1"/>
  <c r="BV351" i="3"/>
  <c r="BQ351" i="3"/>
  <c r="AS351" i="3"/>
  <c r="AQ351" i="3"/>
  <c r="AO351" i="3"/>
  <c r="AI351" i="3" s="1"/>
  <c r="N351" i="3" s="1"/>
  <c r="AN351" i="3"/>
  <c r="S351" i="3" s="1"/>
  <c r="AM351" i="3"/>
  <c r="R351" i="3" s="1"/>
  <c r="J351" i="3"/>
  <c r="G351" i="3"/>
  <c r="A351" i="3"/>
  <c r="CF350" i="3"/>
  <c r="BX350" i="3"/>
  <c r="BW350" i="3"/>
  <c r="BV350" i="3"/>
  <c r="BU350" i="3" s="1"/>
  <c r="BQ350" i="3"/>
  <c r="AS350" i="3"/>
  <c r="AQ350" i="3"/>
  <c r="J350" i="3" s="1"/>
  <c r="AO350" i="3"/>
  <c r="AI350" i="3" s="1"/>
  <c r="N350" i="3" s="1"/>
  <c r="AN350" i="3"/>
  <c r="S350" i="3" s="1"/>
  <c r="AM350" i="3"/>
  <c r="R350" i="3" s="1"/>
  <c r="AJ350" i="3"/>
  <c r="O350" i="3" s="1"/>
  <c r="K350" i="3"/>
  <c r="G350" i="3"/>
  <c r="A350" i="3"/>
  <c r="CF349" i="3"/>
  <c r="BX349" i="3"/>
  <c r="BW349" i="3"/>
  <c r="BV349" i="3"/>
  <c r="BU349" i="3"/>
  <c r="BQ349" i="3"/>
  <c r="AS349" i="3"/>
  <c r="AQ349" i="3"/>
  <c r="AO349" i="3"/>
  <c r="AN349" i="3"/>
  <c r="S349" i="3" s="1"/>
  <c r="AM349" i="3"/>
  <c r="R349" i="3" s="1"/>
  <c r="J349" i="3"/>
  <c r="G349" i="3"/>
  <c r="A349" i="3"/>
  <c r="CF348" i="3"/>
  <c r="BX348" i="3"/>
  <c r="BW348" i="3"/>
  <c r="BV348" i="3"/>
  <c r="BQ348" i="3"/>
  <c r="AS348" i="3"/>
  <c r="AQ348" i="3"/>
  <c r="J348" i="3" s="1"/>
  <c r="AO348" i="3"/>
  <c r="AI348" i="3" s="1"/>
  <c r="N348" i="3" s="1"/>
  <c r="AN348" i="3"/>
  <c r="S348" i="3" s="1"/>
  <c r="AM348" i="3"/>
  <c r="AJ348" i="3"/>
  <c r="O348" i="3" s="1"/>
  <c r="R348" i="3"/>
  <c r="K348" i="3"/>
  <c r="G348" i="3"/>
  <c r="A348" i="3"/>
  <c r="CF347" i="3"/>
  <c r="BX347" i="3"/>
  <c r="BW347" i="3"/>
  <c r="BU347" i="3" s="1"/>
  <c r="BV347" i="3"/>
  <c r="BQ347" i="3"/>
  <c r="AS347" i="3"/>
  <c r="AQ347" i="3"/>
  <c r="AO347" i="3"/>
  <c r="AN347" i="3"/>
  <c r="S347" i="3" s="1"/>
  <c r="AM347" i="3"/>
  <c r="R347" i="3"/>
  <c r="J347" i="3"/>
  <c r="G347" i="3"/>
  <c r="A347" i="3"/>
  <c r="CF346" i="3"/>
  <c r="BX346" i="3"/>
  <c r="BW346" i="3"/>
  <c r="BV346" i="3"/>
  <c r="BU346" i="3" s="1"/>
  <c r="BQ346" i="3"/>
  <c r="AS346" i="3"/>
  <c r="AQ346" i="3"/>
  <c r="J346" i="3" s="1"/>
  <c r="AO346" i="3"/>
  <c r="AI346" i="3" s="1"/>
  <c r="N346" i="3" s="1"/>
  <c r="AN346" i="3"/>
  <c r="S346" i="3" s="1"/>
  <c r="AM346" i="3"/>
  <c r="R346" i="3" s="1"/>
  <c r="AJ346" i="3"/>
  <c r="O346" i="3" s="1"/>
  <c r="K346" i="3"/>
  <c r="G346" i="3"/>
  <c r="A346" i="3"/>
  <c r="CF345" i="3"/>
  <c r="BX345" i="3"/>
  <c r="BW345" i="3"/>
  <c r="BU345" i="3" s="1"/>
  <c r="BV345" i="3"/>
  <c r="BQ345" i="3"/>
  <c r="AS345" i="3"/>
  <c r="AQ345" i="3"/>
  <c r="AO345" i="3"/>
  <c r="AN345" i="3"/>
  <c r="S345" i="3" s="1"/>
  <c r="AM345" i="3"/>
  <c r="R345" i="3" s="1"/>
  <c r="J345" i="3"/>
  <c r="G345" i="3"/>
  <c r="A345" i="3"/>
  <c r="CF344" i="3"/>
  <c r="BX344" i="3"/>
  <c r="BW344" i="3"/>
  <c r="BV344" i="3"/>
  <c r="BU344" i="3" s="1"/>
  <c r="BQ344" i="3"/>
  <c r="AS344" i="3"/>
  <c r="AQ344" i="3"/>
  <c r="J344" i="3" s="1"/>
  <c r="AO344" i="3"/>
  <c r="AI344" i="3" s="1"/>
  <c r="N344" i="3" s="1"/>
  <c r="AN344" i="3"/>
  <c r="S344" i="3" s="1"/>
  <c r="AM344" i="3"/>
  <c r="AJ344" i="3"/>
  <c r="O344" i="3" s="1"/>
  <c r="R344" i="3"/>
  <c r="K344" i="3"/>
  <c r="G344" i="3"/>
  <c r="A344" i="3"/>
  <c r="CF343" i="3"/>
  <c r="BX343" i="3"/>
  <c r="BW343" i="3"/>
  <c r="BV343" i="3"/>
  <c r="BU343" i="3"/>
  <c r="BQ343" i="3"/>
  <c r="AS343" i="3"/>
  <c r="AQ343" i="3"/>
  <c r="AO343" i="3"/>
  <c r="AN343" i="3"/>
  <c r="S343" i="3" s="1"/>
  <c r="AM343" i="3"/>
  <c r="R343" i="3"/>
  <c r="J343" i="3"/>
  <c r="G343" i="3"/>
  <c r="A343" i="3"/>
  <c r="CF342" i="3"/>
  <c r="BX342" i="3"/>
  <c r="BW342" i="3"/>
  <c r="BV342" i="3"/>
  <c r="BQ342" i="3"/>
  <c r="AS342" i="3"/>
  <c r="AQ342" i="3"/>
  <c r="J342" i="3" s="1"/>
  <c r="AO342" i="3"/>
  <c r="AI342" i="3" s="1"/>
  <c r="N342" i="3" s="1"/>
  <c r="AN342" i="3"/>
  <c r="S342" i="3" s="1"/>
  <c r="AM342" i="3"/>
  <c r="R342" i="3" s="1"/>
  <c r="AJ342" i="3"/>
  <c r="O342" i="3" s="1"/>
  <c r="K342" i="3"/>
  <c r="G342" i="3"/>
  <c r="A342" i="3"/>
  <c r="CF341" i="3"/>
  <c r="BX341" i="3"/>
  <c r="BW341" i="3"/>
  <c r="BU341" i="3" s="1"/>
  <c r="BV341" i="3"/>
  <c r="BQ341" i="3"/>
  <c r="AS341" i="3"/>
  <c r="AQ341" i="3"/>
  <c r="AO341" i="3"/>
  <c r="AN341" i="3"/>
  <c r="S341" i="3" s="1"/>
  <c r="AM341" i="3"/>
  <c r="R341" i="3"/>
  <c r="K341" i="3"/>
  <c r="J341" i="3"/>
  <c r="G341" i="3"/>
  <c r="A341" i="3"/>
  <c r="CF340" i="3"/>
  <c r="BX340" i="3"/>
  <c r="BW340" i="3"/>
  <c r="BV340" i="3"/>
  <c r="BU340" i="3"/>
  <c r="BQ340" i="3"/>
  <c r="AS340" i="3"/>
  <c r="AQ340" i="3"/>
  <c r="AO340" i="3"/>
  <c r="AN340" i="3"/>
  <c r="S340" i="3" s="1"/>
  <c r="AM340" i="3"/>
  <c r="R340" i="3"/>
  <c r="K340" i="3"/>
  <c r="J340" i="3"/>
  <c r="G340" i="3"/>
  <c r="A340" i="3"/>
  <c r="CF339" i="3"/>
  <c r="BX339" i="3"/>
  <c r="BW339" i="3"/>
  <c r="BV339" i="3"/>
  <c r="BU339" i="3"/>
  <c r="BQ339" i="3"/>
  <c r="AS339" i="3"/>
  <c r="AQ339" i="3"/>
  <c r="AO339" i="3"/>
  <c r="AN339" i="3"/>
  <c r="S339" i="3" s="1"/>
  <c r="AM339" i="3"/>
  <c r="R339" i="3"/>
  <c r="K339" i="3"/>
  <c r="J339" i="3"/>
  <c r="G339" i="3"/>
  <c r="A339" i="3"/>
  <c r="CF338" i="3"/>
  <c r="BX338" i="3"/>
  <c r="BW338" i="3"/>
  <c r="BV338" i="3"/>
  <c r="BU338" i="3"/>
  <c r="BQ338" i="3"/>
  <c r="AS338" i="3"/>
  <c r="AQ338" i="3"/>
  <c r="AO338" i="3"/>
  <c r="AN338" i="3"/>
  <c r="S338" i="3" s="1"/>
  <c r="AM338" i="3"/>
  <c r="R338" i="3"/>
  <c r="K338" i="3"/>
  <c r="J338" i="3"/>
  <c r="G338" i="3"/>
  <c r="A338" i="3"/>
  <c r="CF337" i="3"/>
  <c r="BX337" i="3"/>
  <c r="BW337" i="3"/>
  <c r="BV337" i="3"/>
  <c r="BU337" i="3"/>
  <c r="BQ337" i="3"/>
  <c r="AS337" i="3"/>
  <c r="AQ337" i="3"/>
  <c r="AO337" i="3"/>
  <c r="AN337" i="3"/>
  <c r="S337" i="3" s="1"/>
  <c r="AM337" i="3"/>
  <c r="R337" i="3"/>
  <c r="K337" i="3"/>
  <c r="J337" i="3"/>
  <c r="G337" i="3"/>
  <c r="A337" i="3"/>
  <c r="CF336" i="3"/>
  <c r="BX336" i="3"/>
  <c r="BW336" i="3"/>
  <c r="BV336" i="3"/>
  <c r="BU336" i="3"/>
  <c r="BQ336" i="3"/>
  <c r="AS336" i="3"/>
  <c r="AQ336" i="3"/>
  <c r="AO336" i="3"/>
  <c r="AN336" i="3"/>
  <c r="S336" i="3" s="1"/>
  <c r="AM336" i="3"/>
  <c r="R336" i="3"/>
  <c r="K336" i="3"/>
  <c r="J336" i="3"/>
  <c r="G336" i="3"/>
  <c r="A336" i="3"/>
  <c r="CF335" i="3"/>
  <c r="BX335" i="3"/>
  <c r="BW335" i="3"/>
  <c r="BV335" i="3"/>
  <c r="BU335" i="3"/>
  <c r="BQ335" i="3"/>
  <c r="AS335" i="3"/>
  <c r="AQ335" i="3"/>
  <c r="AO335" i="3"/>
  <c r="AN335" i="3"/>
  <c r="S335" i="3" s="1"/>
  <c r="AM335" i="3"/>
  <c r="R335" i="3"/>
  <c r="K335" i="3"/>
  <c r="J335" i="3"/>
  <c r="G335" i="3"/>
  <c r="A335" i="3"/>
  <c r="CF334" i="3"/>
  <c r="BX334" i="3"/>
  <c r="BW334" i="3"/>
  <c r="BV334" i="3"/>
  <c r="BU334" i="3"/>
  <c r="BQ334" i="3"/>
  <c r="AS334" i="3"/>
  <c r="AQ334" i="3"/>
  <c r="AO334" i="3"/>
  <c r="AN334" i="3"/>
  <c r="S334" i="3" s="1"/>
  <c r="AM334" i="3"/>
  <c r="R334" i="3"/>
  <c r="K334" i="3"/>
  <c r="J334" i="3"/>
  <c r="G334" i="3"/>
  <c r="A334" i="3"/>
  <c r="CF333" i="3"/>
  <c r="BX333" i="3"/>
  <c r="BW333" i="3"/>
  <c r="BU333" i="3" s="1"/>
  <c r="BV333" i="3"/>
  <c r="BQ333" i="3"/>
  <c r="AS333" i="3"/>
  <c r="AQ333" i="3"/>
  <c r="J333" i="3" s="1"/>
  <c r="AO333" i="3"/>
  <c r="AI333" i="3" s="1"/>
  <c r="AN333" i="3"/>
  <c r="S333" i="3" s="1"/>
  <c r="AM333" i="3"/>
  <c r="R333" i="3" s="1"/>
  <c r="AJ333" i="3"/>
  <c r="O333" i="3" s="1"/>
  <c r="N333" i="3"/>
  <c r="K333" i="3"/>
  <c r="G333" i="3"/>
  <c r="A333" i="3"/>
  <c r="CF332" i="3"/>
  <c r="BX332" i="3"/>
  <c r="BW332" i="3"/>
  <c r="BV332" i="3"/>
  <c r="BU332" i="3" s="1"/>
  <c r="BQ332" i="3"/>
  <c r="AS332" i="3"/>
  <c r="AQ332" i="3"/>
  <c r="J332" i="3" s="1"/>
  <c r="AO332" i="3"/>
  <c r="AI332" i="3" s="1"/>
  <c r="AN332" i="3"/>
  <c r="S332" i="3" s="1"/>
  <c r="AM332" i="3"/>
  <c r="AJ332" i="3"/>
  <c r="O332" i="3" s="1"/>
  <c r="R332" i="3"/>
  <c r="N332" i="3"/>
  <c r="G332" i="3"/>
  <c r="A332" i="3"/>
  <c r="CF331" i="3"/>
  <c r="BX331" i="3"/>
  <c r="BW331" i="3"/>
  <c r="BV331" i="3"/>
  <c r="BQ331" i="3"/>
  <c r="AS331" i="3"/>
  <c r="AQ331" i="3"/>
  <c r="AO331" i="3"/>
  <c r="AN331" i="3"/>
  <c r="S331" i="3" s="1"/>
  <c r="AM331" i="3"/>
  <c r="R331" i="3"/>
  <c r="K331" i="3"/>
  <c r="J331" i="3"/>
  <c r="G331" i="3"/>
  <c r="A331" i="3"/>
  <c r="CF330" i="3"/>
  <c r="BX330" i="3"/>
  <c r="BW330" i="3"/>
  <c r="BV330" i="3"/>
  <c r="BU330" i="3"/>
  <c r="BQ330" i="3"/>
  <c r="AS330" i="3"/>
  <c r="AQ330" i="3"/>
  <c r="AO330" i="3"/>
  <c r="AN330" i="3"/>
  <c r="S330" i="3" s="1"/>
  <c r="AM330" i="3"/>
  <c r="R330" i="3"/>
  <c r="K330" i="3"/>
  <c r="J330" i="3"/>
  <c r="G330" i="3"/>
  <c r="A330" i="3"/>
  <c r="CF329" i="3"/>
  <c r="BX329" i="3"/>
  <c r="BW329" i="3"/>
  <c r="BU329" i="3" s="1"/>
  <c r="BV329" i="3"/>
  <c r="BQ329" i="3"/>
  <c r="AS329" i="3"/>
  <c r="AQ329" i="3"/>
  <c r="AO329" i="3"/>
  <c r="AI329" i="3" s="1"/>
  <c r="AN329" i="3"/>
  <c r="S329" i="3" s="1"/>
  <c r="AM329" i="3"/>
  <c r="AJ329" i="3"/>
  <c r="O329" i="3" s="1"/>
  <c r="R329" i="3"/>
  <c r="N329" i="3"/>
  <c r="J329" i="3"/>
  <c r="G329" i="3"/>
  <c r="A329" i="3"/>
  <c r="CF328" i="3"/>
  <c r="BX328" i="3"/>
  <c r="BW328" i="3"/>
  <c r="BV328" i="3"/>
  <c r="BQ328" i="3"/>
  <c r="AS328" i="3"/>
  <c r="AQ328" i="3"/>
  <c r="AO328" i="3"/>
  <c r="AI328" i="3" s="1"/>
  <c r="AN328" i="3"/>
  <c r="S328" i="3" s="1"/>
  <c r="AM328" i="3"/>
  <c r="R328" i="3" s="1"/>
  <c r="AJ328" i="3"/>
  <c r="O328" i="3" s="1"/>
  <c r="N328" i="3"/>
  <c r="K328" i="3"/>
  <c r="J328" i="3"/>
  <c r="G328" i="3"/>
  <c r="A328" i="3"/>
  <c r="CF327" i="3"/>
  <c r="BX327" i="3"/>
  <c r="BW327" i="3"/>
  <c r="BV327" i="3"/>
  <c r="BQ327" i="3"/>
  <c r="AS327" i="3"/>
  <c r="AQ327" i="3"/>
  <c r="AO327" i="3"/>
  <c r="AN327" i="3"/>
  <c r="S327" i="3" s="1"/>
  <c r="AM327" i="3"/>
  <c r="R327" i="3" s="1"/>
  <c r="K327" i="3"/>
  <c r="J327" i="3"/>
  <c r="G327" i="3"/>
  <c r="A327" i="3"/>
  <c r="CF326" i="3"/>
  <c r="BX326" i="3"/>
  <c r="BW326" i="3"/>
  <c r="BV326" i="3"/>
  <c r="BU326" i="3"/>
  <c r="BQ326" i="3"/>
  <c r="AS326" i="3"/>
  <c r="AQ326" i="3"/>
  <c r="J326" i="3" s="1"/>
  <c r="AO326" i="3"/>
  <c r="AN326" i="3"/>
  <c r="S326" i="3" s="1"/>
  <c r="AM326" i="3"/>
  <c r="R326" i="3"/>
  <c r="G326" i="3"/>
  <c r="A326" i="3"/>
  <c r="CF325" i="3"/>
  <c r="BX325" i="3"/>
  <c r="BW325" i="3"/>
  <c r="BV325" i="3"/>
  <c r="BQ325" i="3"/>
  <c r="AS325" i="3"/>
  <c r="AQ325" i="3"/>
  <c r="AO325" i="3"/>
  <c r="AN325" i="3"/>
  <c r="S325" i="3" s="1"/>
  <c r="AM325" i="3"/>
  <c r="R325" i="3"/>
  <c r="J325" i="3"/>
  <c r="G325" i="3"/>
  <c r="A325" i="3"/>
  <c r="CF324" i="3"/>
  <c r="BX324" i="3"/>
  <c r="BW324" i="3"/>
  <c r="BV324" i="3"/>
  <c r="BQ324" i="3"/>
  <c r="AS324" i="3"/>
  <c r="AQ324" i="3"/>
  <c r="AO324" i="3"/>
  <c r="AI324" i="3" s="1"/>
  <c r="AN324" i="3"/>
  <c r="S324" i="3" s="1"/>
  <c r="AM324" i="3"/>
  <c r="R324" i="3" s="1"/>
  <c r="AJ324" i="3"/>
  <c r="O324" i="3" s="1"/>
  <c r="N324" i="3"/>
  <c r="K324" i="3"/>
  <c r="J324" i="3"/>
  <c r="G324" i="3"/>
  <c r="A324" i="3"/>
  <c r="CF323" i="3"/>
  <c r="BX323" i="3"/>
  <c r="BW323" i="3"/>
  <c r="BV323" i="3"/>
  <c r="BQ323" i="3"/>
  <c r="AS323" i="3"/>
  <c r="AQ323" i="3"/>
  <c r="AO323" i="3"/>
  <c r="AI323" i="3" s="1"/>
  <c r="AN323" i="3"/>
  <c r="S323" i="3" s="1"/>
  <c r="AM323" i="3"/>
  <c r="R323" i="3" s="1"/>
  <c r="N323" i="3"/>
  <c r="K323" i="3"/>
  <c r="J323" i="3"/>
  <c r="G323" i="3"/>
  <c r="A323" i="3"/>
  <c r="CF322" i="3"/>
  <c r="BX322" i="3"/>
  <c r="BW322" i="3"/>
  <c r="BV322" i="3"/>
  <c r="BU322" i="3" s="1"/>
  <c r="BQ322" i="3"/>
  <c r="AS322" i="3"/>
  <c r="AQ322" i="3"/>
  <c r="J322" i="3" s="1"/>
  <c r="AO322" i="3"/>
  <c r="AI322" i="3" s="1"/>
  <c r="N322" i="3" s="1"/>
  <c r="AN322" i="3"/>
  <c r="S322" i="3" s="1"/>
  <c r="AM322" i="3"/>
  <c r="AJ322" i="3"/>
  <c r="O322" i="3" s="1"/>
  <c r="R322" i="3"/>
  <c r="G322" i="3"/>
  <c r="A322" i="3"/>
  <c r="CF321" i="3"/>
  <c r="BX321" i="3"/>
  <c r="BW321" i="3"/>
  <c r="BV321" i="3"/>
  <c r="BQ321" i="3"/>
  <c r="AS321" i="3"/>
  <c r="AQ321" i="3"/>
  <c r="AO321" i="3"/>
  <c r="AI321" i="3" s="1"/>
  <c r="AN321" i="3"/>
  <c r="S321" i="3" s="1"/>
  <c r="AM321" i="3"/>
  <c r="R321" i="3" s="1"/>
  <c r="AJ321" i="3"/>
  <c r="O321" i="3" s="1"/>
  <c r="N321" i="3"/>
  <c r="K321" i="3"/>
  <c r="J321" i="3"/>
  <c r="G321" i="3"/>
  <c r="A321" i="3"/>
  <c r="CF320" i="3"/>
  <c r="BX320" i="3"/>
  <c r="BW320" i="3"/>
  <c r="BV320" i="3"/>
  <c r="BU320" i="3"/>
  <c r="BQ320" i="3"/>
  <c r="AS320" i="3"/>
  <c r="AQ320" i="3"/>
  <c r="AO320" i="3"/>
  <c r="AN320" i="3"/>
  <c r="S320" i="3" s="1"/>
  <c r="AM320" i="3"/>
  <c r="R320" i="3"/>
  <c r="J320" i="3"/>
  <c r="G320" i="3"/>
  <c r="A320" i="3"/>
  <c r="CF319" i="3"/>
  <c r="BX319" i="3"/>
  <c r="BW319" i="3"/>
  <c r="BU319" i="3" s="1"/>
  <c r="BV319" i="3"/>
  <c r="BQ319" i="3"/>
  <c r="AS319" i="3"/>
  <c r="AQ319" i="3"/>
  <c r="AO319" i="3"/>
  <c r="AI319" i="3" s="1"/>
  <c r="N319" i="3" s="1"/>
  <c r="AN319" i="3"/>
  <c r="S319" i="3" s="1"/>
  <c r="AM319" i="3"/>
  <c r="AJ319" i="3"/>
  <c r="O319" i="3" s="1"/>
  <c r="R319" i="3"/>
  <c r="J319" i="3"/>
  <c r="G319" i="3"/>
  <c r="A319" i="3"/>
  <c r="CF318" i="3"/>
  <c r="BX318" i="3"/>
  <c r="BW318" i="3"/>
  <c r="BU318" i="3" s="1"/>
  <c r="BV318" i="3"/>
  <c r="BQ318" i="3"/>
  <c r="AS318" i="3"/>
  <c r="AQ318" i="3"/>
  <c r="AO318" i="3"/>
  <c r="AI318" i="3" s="1"/>
  <c r="AN318" i="3"/>
  <c r="S318" i="3" s="1"/>
  <c r="AM318" i="3"/>
  <c r="R318" i="3" s="1"/>
  <c r="N318" i="3"/>
  <c r="K318" i="3"/>
  <c r="J318" i="3"/>
  <c r="G318" i="3"/>
  <c r="A318" i="3"/>
  <c r="CF317" i="3"/>
  <c r="BX317" i="3"/>
  <c r="BW317" i="3"/>
  <c r="BV317" i="3"/>
  <c r="BQ317" i="3"/>
  <c r="AS317" i="3"/>
  <c r="AQ317" i="3"/>
  <c r="AO317" i="3"/>
  <c r="AN317" i="3"/>
  <c r="S317" i="3" s="1"/>
  <c r="AM317" i="3"/>
  <c r="R317" i="3"/>
  <c r="J317" i="3"/>
  <c r="G317" i="3"/>
  <c r="A317" i="3"/>
  <c r="CF316" i="3"/>
  <c r="BX316" i="3"/>
  <c r="BW316" i="3"/>
  <c r="BV316" i="3"/>
  <c r="BU316" i="3" s="1"/>
  <c r="BQ316" i="3"/>
  <c r="AS316" i="3"/>
  <c r="AQ316" i="3"/>
  <c r="AO316" i="3"/>
  <c r="AI316" i="3" s="1"/>
  <c r="AN316" i="3"/>
  <c r="S316" i="3" s="1"/>
  <c r="AM316" i="3"/>
  <c r="R316" i="3" s="1"/>
  <c r="AJ316" i="3"/>
  <c r="O316" i="3" s="1"/>
  <c r="N316" i="3"/>
  <c r="K316" i="3"/>
  <c r="J316" i="3"/>
  <c r="G316" i="3"/>
  <c r="A316" i="3"/>
  <c r="CF315" i="3"/>
  <c r="BX315" i="3"/>
  <c r="BW315" i="3"/>
  <c r="BV315" i="3"/>
  <c r="BQ315" i="3"/>
  <c r="AS315" i="3"/>
  <c r="AQ315" i="3"/>
  <c r="AO315" i="3"/>
  <c r="AI315" i="3" s="1"/>
  <c r="AN315" i="3"/>
  <c r="S315" i="3" s="1"/>
  <c r="AM315" i="3"/>
  <c r="R315" i="3" s="1"/>
  <c r="N315" i="3"/>
  <c r="K315" i="3"/>
  <c r="J315" i="3"/>
  <c r="G315" i="3"/>
  <c r="A315" i="3"/>
  <c r="CF314" i="3"/>
  <c r="BX314" i="3"/>
  <c r="BW314" i="3"/>
  <c r="BV314" i="3"/>
  <c r="BQ314" i="3"/>
  <c r="AS314" i="3"/>
  <c r="AQ314" i="3"/>
  <c r="AO314" i="3"/>
  <c r="AI314" i="3" s="1"/>
  <c r="N314" i="3" s="1"/>
  <c r="AN314" i="3"/>
  <c r="S314" i="3" s="1"/>
  <c r="AM314" i="3"/>
  <c r="R314" i="3"/>
  <c r="K314" i="3"/>
  <c r="J314" i="3"/>
  <c r="G314" i="3"/>
  <c r="A314" i="3"/>
  <c r="CF313" i="3"/>
  <c r="BX313" i="3"/>
  <c r="BW313" i="3"/>
  <c r="BV313" i="3"/>
  <c r="BU313" i="3"/>
  <c r="BQ313" i="3"/>
  <c r="AS313" i="3"/>
  <c r="AQ313" i="3"/>
  <c r="AO313" i="3"/>
  <c r="AN313" i="3"/>
  <c r="AM313" i="3"/>
  <c r="S313" i="3"/>
  <c r="R313" i="3"/>
  <c r="J313" i="3"/>
  <c r="G313" i="3"/>
  <c r="A313" i="3"/>
  <c r="CF312" i="3"/>
  <c r="BX312" i="3"/>
  <c r="BU312" i="3" s="1"/>
  <c r="BW312" i="3"/>
  <c r="BV312" i="3"/>
  <c r="BQ312" i="3"/>
  <c r="AS312" i="3"/>
  <c r="AQ312" i="3"/>
  <c r="AO312" i="3"/>
  <c r="AI312" i="3" s="1"/>
  <c r="N312" i="3" s="1"/>
  <c r="AN312" i="3"/>
  <c r="AM312" i="3"/>
  <c r="R312" i="3" s="1"/>
  <c r="S312" i="3"/>
  <c r="K312" i="3"/>
  <c r="J312" i="3"/>
  <c r="G312" i="3"/>
  <c r="A312" i="3"/>
  <c r="CF311" i="3"/>
  <c r="BX311" i="3"/>
  <c r="BW311" i="3"/>
  <c r="BV311" i="3"/>
  <c r="BQ311" i="3"/>
  <c r="AS311" i="3"/>
  <c r="AQ311" i="3"/>
  <c r="AO311" i="3"/>
  <c r="AI311" i="3" s="1"/>
  <c r="AN311" i="3"/>
  <c r="S311" i="3" s="1"/>
  <c r="AM311" i="3"/>
  <c r="R311" i="3" s="1"/>
  <c r="AJ311" i="3"/>
  <c r="O311" i="3" s="1"/>
  <c r="N311" i="3"/>
  <c r="K311" i="3"/>
  <c r="J311" i="3"/>
  <c r="G311" i="3"/>
  <c r="A311" i="3"/>
  <c r="CF310" i="3"/>
  <c r="BX310" i="3"/>
  <c r="BW310" i="3"/>
  <c r="BV310" i="3"/>
  <c r="BQ310" i="3"/>
  <c r="AS310" i="3"/>
  <c r="AQ310" i="3"/>
  <c r="AO310" i="3"/>
  <c r="AI310" i="3" s="1"/>
  <c r="N310" i="3" s="1"/>
  <c r="AN310" i="3"/>
  <c r="S310" i="3" s="1"/>
  <c r="AM310" i="3"/>
  <c r="R310" i="3" s="1"/>
  <c r="K310" i="3"/>
  <c r="J310" i="3"/>
  <c r="G310" i="3"/>
  <c r="A310" i="3"/>
  <c r="CF309" i="3"/>
  <c r="BX309" i="3"/>
  <c r="BW309" i="3"/>
  <c r="BU309" i="3" s="1"/>
  <c r="BV309" i="3"/>
  <c r="BQ309" i="3"/>
  <c r="AS309" i="3"/>
  <c r="AQ309" i="3"/>
  <c r="AO309" i="3"/>
  <c r="AI309" i="3" s="1"/>
  <c r="AN309" i="3"/>
  <c r="S309" i="3" s="1"/>
  <c r="AM309" i="3"/>
  <c r="R309" i="3"/>
  <c r="N309" i="3"/>
  <c r="J309" i="3"/>
  <c r="G309" i="3"/>
  <c r="A309" i="3"/>
  <c r="CF308" i="3"/>
  <c r="BX308" i="3"/>
  <c r="BW308" i="3"/>
  <c r="BV308" i="3"/>
  <c r="BQ308" i="3"/>
  <c r="AS308" i="3"/>
  <c r="AQ308" i="3"/>
  <c r="J308" i="3" s="1"/>
  <c r="AO308" i="3"/>
  <c r="AI308" i="3" s="1"/>
  <c r="N308" i="3" s="1"/>
  <c r="AN308" i="3"/>
  <c r="AM308" i="3"/>
  <c r="S308" i="3"/>
  <c r="R308" i="3"/>
  <c r="G308" i="3"/>
  <c r="A308" i="3"/>
  <c r="CF307" i="3"/>
  <c r="BX307" i="3"/>
  <c r="BW307" i="3"/>
  <c r="BU307" i="3" s="1"/>
  <c r="BV307" i="3"/>
  <c r="BQ307" i="3"/>
  <c r="AS307" i="3"/>
  <c r="AQ307" i="3"/>
  <c r="J307" i="3" s="1"/>
  <c r="AO307" i="3"/>
  <c r="AI307" i="3" s="1"/>
  <c r="N307" i="3" s="1"/>
  <c r="AN307" i="3"/>
  <c r="S307" i="3" s="1"/>
  <c r="AM307" i="3"/>
  <c r="AJ307" i="3"/>
  <c r="O307" i="3" s="1"/>
  <c r="R307" i="3"/>
  <c r="G307" i="3"/>
  <c r="A307" i="3"/>
  <c r="CF306" i="3"/>
  <c r="BX306" i="3"/>
  <c r="BW306" i="3"/>
  <c r="BV306" i="3"/>
  <c r="BQ306" i="3"/>
  <c r="AS306" i="3"/>
  <c r="AQ306" i="3"/>
  <c r="J306" i="3" s="1"/>
  <c r="AO306" i="3"/>
  <c r="AI306" i="3" s="1"/>
  <c r="N306" i="3" s="1"/>
  <c r="AN306" i="3"/>
  <c r="S306" i="3" s="1"/>
  <c r="AM306" i="3"/>
  <c r="R306" i="3" s="1"/>
  <c r="K306" i="3"/>
  <c r="G306" i="3"/>
  <c r="A306" i="3"/>
  <c r="CF305" i="3"/>
  <c r="BX305" i="3"/>
  <c r="BW305" i="3"/>
  <c r="BV305" i="3"/>
  <c r="BU305" i="3" s="1"/>
  <c r="BQ305" i="3"/>
  <c r="AS305" i="3"/>
  <c r="AQ305" i="3"/>
  <c r="J305" i="3" s="1"/>
  <c r="AO305" i="3"/>
  <c r="AI305" i="3" s="1"/>
  <c r="AN305" i="3"/>
  <c r="S305" i="3" s="1"/>
  <c r="AM305" i="3"/>
  <c r="R305" i="3" s="1"/>
  <c r="AJ305" i="3"/>
  <c r="O305" i="3" s="1"/>
  <c r="N305" i="3"/>
  <c r="K305" i="3"/>
  <c r="G305" i="3"/>
  <c r="A305" i="3"/>
  <c r="CF304" i="3"/>
  <c r="BX304" i="3"/>
  <c r="BW304" i="3"/>
  <c r="BV304" i="3"/>
  <c r="BQ304" i="3"/>
  <c r="AS304" i="3"/>
  <c r="AQ304" i="3"/>
  <c r="J304" i="3" s="1"/>
  <c r="AO304" i="3"/>
  <c r="AN304" i="3"/>
  <c r="S304" i="3" s="1"/>
  <c r="AM304" i="3"/>
  <c r="R304" i="3"/>
  <c r="G304" i="3"/>
  <c r="A304" i="3"/>
  <c r="CF303" i="3"/>
  <c r="BX303" i="3"/>
  <c r="BW303" i="3"/>
  <c r="BV303" i="3"/>
  <c r="BQ303" i="3"/>
  <c r="AS303" i="3"/>
  <c r="AQ303" i="3"/>
  <c r="AO303" i="3"/>
  <c r="AN303" i="3"/>
  <c r="S303" i="3" s="1"/>
  <c r="AM303" i="3"/>
  <c r="R303" i="3"/>
  <c r="J303" i="3"/>
  <c r="G303" i="3"/>
  <c r="A303" i="3"/>
  <c r="CF302" i="3"/>
  <c r="BX302" i="3"/>
  <c r="BW302" i="3"/>
  <c r="BU302" i="3" s="1"/>
  <c r="BV302" i="3"/>
  <c r="BQ302" i="3"/>
  <c r="AS302" i="3"/>
  <c r="AQ302" i="3"/>
  <c r="J302" i="3" s="1"/>
  <c r="AO302" i="3"/>
  <c r="AI302" i="3" s="1"/>
  <c r="N302" i="3" s="1"/>
  <c r="AN302" i="3"/>
  <c r="S302" i="3" s="1"/>
  <c r="AM302" i="3"/>
  <c r="R302" i="3"/>
  <c r="K302" i="3"/>
  <c r="G302" i="3"/>
  <c r="A302" i="3"/>
  <c r="CF301" i="3"/>
  <c r="BX301" i="3"/>
  <c r="BW301" i="3"/>
  <c r="BV301" i="3"/>
  <c r="BU301" i="3" s="1"/>
  <c r="BQ301" i="3"/>
  <c r="AS301" i="3"/>
  <c r="AQ301" i="3"/>
  <c r="J301" i="3" s="1"/>
  <c r="AO301" i="3"/>
  <c r="AI301" i="3" s="1"/>
  <c r="N301" i="3" s="1"/>
  <c r="AN301" i="3"/>
  <c r="AM301" i="3"/>
  <c r="R301" i="3" s="1"/>
  <c r="AJ301" i="3"/>
  <c r="O301" i="3" s="1"/>
  <c r="S301" i="3"/>
  <c r="K301" i="3"/>
  <c r="G301" i="3"/>
  <c r="A301" i="3"/>
  <c r="CF300" i="3"/>
  <c r="BX300" i="3"/>
  <c r="BU300" i="3" s="1"/>
  <c r="BW300" i="3"/>
  <c r="BV300" i="3"/>
  <c r="BQ300" i="3"/>
  <c r="AS300" i="3"/>
  <c r="AQ300" i="3"/>
  <c r="AO300" i="3"/>
  <c r="AI300" i="3" s="1"/>
  <c r="N300" i="3" s="1"/>
  <c r="AN300" i="3"/>
  <c r="S300" i="3" s="1"/>
  <c r="AM300" i="3"/>
  <c r="R300" i="3" s="1"/>
  <c r="K300" i="3"/>
  <c r="J300" i="3"/>
  <c r="G300" i="3"/>
  <c r="A300" i="3"/>
  <c r="CF299" i="3"/>
  <c r="BX299" i="3"/>
  <c r="BW299" i="3"/>
  <c r="BV299" i="3"/>
  <c r="BQ299" i="3"/>
  <c r="AS299" i="3"/>
  <c r="AQ299" i="3"/>
  <c r="AO299" i="3"/>
  <c r="AI299" i="3" s="1"/>
  <c r="AN299" i="3"/>
  <c r="S299" i="3" s="1"/>
  <c r="AM299" i="3"/>
  <c r="R299" i="3" s="1"/>
  <c r="N299" i="3"/>
  <c r="K299" i="3"/>
  <c r="J299" i="3"/>
  <c r="G299" i="3"/>
  <c r="A299" i="3"/>
  <c r="CF298" i="3"/>
  <c r="BX298" i="3"/>
  <c r="BW298" i="3"/>
  <c r="BV298" i="3"/>
  <c r="BQ298" i="3"/>
  <c r="AS298" i="3"/>
  <c r="AQ298" i="3"/>
  <c r="AO298" i="3"/>
  <c r="AI298" i="3" s="1"/>
  <c r="N298" i="3" s="1"/>
  <c r="AN298" i="3"/>
  <c r="S298" i="3" s="1"/>
  <c r="AM298" i="3"/>
  <c r="R298" i="3"/>
  <c r="K298" i="3"/>
  <c r="J298" i="3"/>
  <c r="G298" i="3"/>
  <c r="A298" i="3"/>
  <c r="CF297" i="3"/>
  <c r="BX297" i="3"/>
  <c r="BW297" i="3"/>
  <c r="BV297" i="3"/>
  <c r="BU297" i="3"/>
  <c r="BQ297" i="3"/>
  <c r="AS297" i="3"/>
  <c r="AQ297" i="3"/>
  <c r="AO297" i="3"/>
  <c r="AN297" i="3"/>
  <c r="AM297" i="3"/>
  <c r="S297" i="3"/>
  <c r="R297" i="3"/>
  <c r="J297" i="3"/>
  <c r="G297" i="3"/>
  <c r="A297" i="3"/>
  <c r="CF296" i="3"/>
  <c r="BX296" i="3"/>
  <c r="BU296" i="3" s="1"/>
  <c r="BW296" i="3"/>
  <c r="BV296" i="3"/>
  <c r="BQ296" i="3"/>
  <c r="AS296" i="3"/>
  <c r="AQ296" i="3"/>
  <c r="AO296" i="3"/>
  <c r="AI296" i="3" s="1"/>
  <c r="N296" i="3" s="1"/>
  <c r="AN296" i="3"/>
  <c r="AM296" i="3"/>
  <c r="R296" i="3" s="1"/>
  <c r="S296" i="3"/>
  <c r="K296" i="3"/>
  <c r="J296" i="3"/>
  <c r="G296" i="3"/>
  <c r="A296" i="3"/>
  <c r="CF295" i="3"/>
  <c r="BX295" i="3"/>
  <c r="BW295" i="3"/>
  <c r="BV295" i="3"/>
  <c r="BQ295" i="3"/>
  <c r="AS295" i="3"/>
  <c r="AQ295" i="3"/>
  <c r="AO295" i="3"/>
  <c r="AI295" i="3" s="1"/>
  <c r="AN295" i="3"/>
  <c r="S295" i="3" s="1"/>
  <c r="AM295" i="3"/>
  <c r="R295" i="3" s="1"/>
  <c r="AJ295" i="3"/>
  <c r="O295" i="3" s="1"/>
  <c r="N295" i="3"/>
  <c r="K295" i="3"/>
  <c r="J295" i="3"/>
  <c r="G295" i="3"/>
  <c r="A295" i="3"/>
  <c r="CF294" i="3"/>
  <c r="BX294" i="3"/>
  <c r="BW294" i="3"/>
  <c r="BV294" i="3"/>
  <c r="BQ294" i="3"/>
  <c r="AS294" i="3"/>
  <c r="AQ294" i="3"/>
  <c r="AO294" i="3"/>
  <c r="AI294" i="3" s="1"/>
  <c r="N294" i="3" s="1"/>
  <c r="AN294" i="3"/>
  <c r="S294" i="3" s="1"/>
  <c r="AM294" i="3"/>
  <c r="R294" i="3" s="1"/>
  <c r="K294" i="3"/>
  <c r="J294" i="3"/>
  <c r="G294" i="3"/>
  <c r="A294" i="3"/>
  <c r="CF293" i="3"/>
  <c r="BX293" i="3"/>
  <c r="BW293" i="3"/>
  <c r="BV293" i="3"/>
  <c r="BQ293" i="3"/>
  <c r="AS293" i="3"/>
  <c r="AQ293" i="3"/>
  <c r="AO293" i="3"/>
  <c r="AI293" i="3" s="1"/>
  <c r="AN293" i="3"/>
  <c r="S293" i="3" s="1"/>
  <c r="AM293" i="3"/>
  <c r="R293" i="3"/>
  <c r="N293" i="3"/>
  <c r="J293" i="3"/>
  <c r="G293" i="3"/>
  <c r="A293" i="3"/>
  <c r="CF292" i="3"/>
  <c r="BX292" i="3"/>
  <c r="BW292" i="3"/>
  <c r="BV292" i="3"/>
  <c r="BQ292" i="3"/>
  <c r="AS292" i="3"/>
  <c r="AQ292" i="3"/>
  <c r="J292" i="3" s="1"/>
  <c r="AO292" i="3"/>
  <c r="AI292" i="3" s="1"/>
  <c r="N292" i="3" s="1"/>
  <c r="AN292" i="3"/>
  <c r="AM292" i="3"/>
  <c r="S292" i="3"/>
  <c r="R292" i="3"/>
  <c r="G292" i="3"/>
  <c r="A292" i="3"/>
  <c r="CF291" i="3"/>
  <c r="BX291" i="3"/>
  <c r="BW291" i="3"/>
  <c r="BU291" i="3" s="1"/>
  <c r="BV291" i="3"/>
  <c r="BQ291" i="3"/>
  <c r="AS291" i="3"/>
  <c r="AQ291" i="3"/>
  <c r="J291" i="3" s="1"/>
  <c r="AO291" i="3"/>
  <c r="AI291" i="3" s="1"/>
  <c r="N291" i="3" s="1"/>
  <c r="AN291" i="3"/>
  <c r="S291" i="3" s="1"/>
  <c r="AM291" i="3"/>
  <c r="AJ291" i="3"/>
  <c r="O291" i="3" s="1"/>
  <c r="R291" i="3"/>
  <c r="G291" i="3"/>
  <c r="A291" i="3"/>
  <c r="CF290" i="3"/>
  <c r="BX290" i="3"/>
  <c r="BW290" i="3"/>
  <c r="BV290" i="3"/>
  <c r="BQ290" i="3"/>
  <c r="AS290" i="3"/>
  <c r="AQ290" i="3"/>
  <c r="J290" i="3" s="1"/>
  <c r="AO290" i="3"/>
  <c r="AI290" i="3" s="1"/>
  <c r="N290" i="3" s="1"/>
  <c r="AN290" i="3"/>
  <c r="S290" i="3" s="1"/>
  <c r="AM290" i="3"/>
  <c r="R290" i="3" s="1"/>
  <c r="K290" i="3"/>
  <c r="G290" i="3"/>
  <c r="A290" i="3"/>
  <c r="CF289" i="3"/>
  <c r="BX289" i="3"/>
  <c r="BW289" i="3"/>
  <c r="BV289" i="3"/>
  <c r="BQ289" i="3"/>
  <c r="AS289" i="3"/>
  <c r="AQ289" i="3"/>
  <c r="J289" i="3" s="1"/>
  <c r="AO289" i="3"/>
  <c r="AI289" i="3" s="1"/>
  <c r="AN289" i="3"/>
  <c r="S289" i="3" s="1"/>
  <c r="AM289" i="3"/>
  <c r="R289" i="3" s="1"/>
  <c r="AJ289" i="3"/>
  <c r="O289" i="3" s="1"/>
  <c r="N289" i="3"/>
  <c r="K289" i="3"/>
  <c r="G289" i="3"/>
  <c r="A289" i="3"/>
  <c r="CF288" i="3"/>
  <c r="BX288" i="3"/>
  <c r="BW288" i="3"/>
  <c r="BV288" i="3"/>
  <c r="BQ288" i="3"/>
  <c r="AS288" i="3"/>
  <c r="AQ288" i="3"/>
  <c r="J288" i="3" s="1"/>
  <c r="AO288" i="3"/>
  <c r="AN288" i="3"/>
  <c r="S288" i="3" s="1"/>
  <c r="AM288" i="3"/>
  <c r="R288" i="3"/>
  <c r="G288" i="3"/>
  <c r="A288" i="3"/>
  <c r="CF287" i="3"/>
  <c r="BX287" i="3"/>
  <c r="BW287" i="3"/>
  <c r="BV287" i="3"/>
  <c r="BQ287" i="3"/>
  <c r="AS287" i="3"/>
  <c r="AQ287" i="3"/>
  <c r="J287" i="3" s="1"/>
  <c r="AO287" i="3"/>
  <c r="AN287" i="3"/>
  <c r="S287" i="3" s="1"/>
  <c r="AM287" i="3"/>
  <c r="AI287" i="3"/>
  <c r="N287" i="3" s="1"/>
  <c r="R287" i="3"/>
  <c r="G287" i="3"/>
  <c r="A287" i="3"/>
  <c r="CF286" i="3"/>
  <c r="BX286" i="3"/>
  <c r="BW286" i="3"/>
  <c r="BU286" i="3" s="1"/>
  <c r="BV286" i="3"/>
  <c r="BQ286" i="3"/>
  <c r="AS286" i="3"/>
  <c r="AQ286" i="3"/>
  <c r="J286" i="3" s="1"/>
  <c r="AO286" i="3"/>
  <c r="AN286" i="3"/>
  <c r="S286" i="3" s="1"/>
  <c r="AM286" i="3"/>
  <c r="R286" i="3" s="1"/>
  <c r="AJ286" i="3"/>
  <c r="O286" i="3" s="1"/>
  <c r="AI286" i="3"/>
  <c r="N286" i="3" s="1"/>
  <c r="K286" i="3"/>
  <c r="G286" i="3"/>
  <c r="A286" i="3"/>
  <c r="CF285" i="3"/>
  <c r="BX285" i="3"/>
  <c r="BW285" i="3"/>
  <c r="BV285" i="3"/>
  <c r="BQ285" i="3"/>
  <c r="AS285" i="3"/>
  <c r="AQ285" i="3"/>
  <c r="J285" i="3" s="1"/>
  <c r="AO285" i="3"/>
  <c r="AN285" i="3"/>
  <c r="S285" i="3" s="1"/>
  <c r="AM285" i="3"/>
  <c r="R285" i="3" s="1"/>
  <c r="AJ285" i="3"/>
  <c r="O285" i="3" s="1"/>
  <c r="AI285" i="3"/>
  <c r="N285" i="3"/>
  <c r="K285" i="3"/>
  <c r="G285" i="3"/>
  <c r="A285" i="3"/>
  <c r="CF284" i="3"/>
  <c r="BX284" i="3"/>
  <c r="BW284" i="3"/>
  <c r="BV284" i="3"/>
  <c r="BQ284" i="3"/>
  <c r="AS284" i="3"/>
  <c r="AQ284" i="3"/>
  <c r="J284" i="3" s="1"/>
  <c r="AO284" i="3"/>
  <c r="AJ284" i="3" s="1"/>
  <c r="O284" i="3" s="1"/>
  <c r="AN284" i="3"/>
  <c r="S284" i="3" s="1"/>
  <c r="AM284" i="3"/>
  <c r="AI284" i="3"/>
  <c r="R284" i="3"/>
  <c r="N284" i="3"/>
  <c r="G284" i="3"/>
  <c r="A284" i="3"/>
  <c r="CF283" i="3"/>
  <c r="BX283" i="3"/>
  <c r="BW283" i="3"/>
  <c r="BV283" i="3"/>
  <c r="BU283" i="3" s="1"/>
  <c r="BQ283" i="3"/>
  <c r="AS283" i="3"/>
  <c r="AQ283" i="3"/>
  <c r="J283" i="3" s="1"/>
  <c r="AO283" i="3"/>
  <c r="AN283" i="3"/>
  <c r="S283" i="3" s="1"/>
  <c r="AM283" i="3"/>
  <c r="R283" i="3" s="1"/>
  <c r="AJ283" i="3"/>
  <c r="O283" i="3" s="1"/>
  <c r="AI283" i="3"/>
  <c r="N283" i="3" s="1"/>
  <c r="K283" i="3"/>
  <c r="G283" i="3"/>
  <c r="A283" i="3"/>
  <c r="CF282" i="3"/>
  <c r="BX282" i="3"/>
  <c r="BW282" i="3"/>
  <c r="BV282" i="3"/>
  <c r="BQ282" i="3"/>
  <c r="AS282" i="3"/>
  <c r="AQ282" i="3"/>
  <c r="J282" i="3" s="1"/>
  <c r="AO282" i="3"/>
  <c r="AJ282" i="3" s="1"/>
  <c r="O282" i="3" s="1"/>
  <c r="AN282" i="3"/>
  <c r="S282" i="3" s="1"/>
  <c r="AM282" i="3"/>
  <c r="AI282" i="3"/>
  <c r="R282" i="3"/>
  <c r="N282" i="3"/>
  <c r="G282" i="3"/>
  <c r="A282" i="3"/>
  <c r="CF281" i="3"/>
  <c r="BX281" i="3"/>
  <c r="BW281" i="3"/>
  <c r="BV281" i="3"/>
  <c r="BU281" i="3" s="1"/>
  <c r="BQ281" i="3"/>
  <c r="AS281" i="3"/>
  <c r="AQ281" i="3"/>
  <c r="J281" i="3" s="1"/>
  <c r="AO281" i="3"/>
  <c r="AN281" i="3"/>
  <c r="S281" i="3" s="1"/>
  <c r="AM281" i="3"/>
  <c r="R281" i="3" s="1"/>
  <c r="AJ281" i="3"/>
  <c r="O281" i="3" s="1"/>
  <c r="AI281" i="3"/>
  <c r="N281" i="3" s="1"/>
  <c r="K281" i="3"/>
  <c r="G281" i="3"/>
  <c r="A281" i="3"/>
  <c r="CF280" i="3"/>
  <c r="BX280" i="3"/>
  <c r="BW280" i="3"/>
  <c r="BV280" i="3"/>
  <c r="BQ280" i="3"/>
  <c r="AS280" i="3"/>
  <c r="AQ280" i="3"/>
  <c r="J280" i="3" s="1"/>
  <c r="AO280" i="3"/>
  <c r="AJ280" i="3" s="1"/>
  <c r="O280" i="3" s="1"/>
  <c r="AN280" i="3"/>
  <c r="S280" i="3" s="1"/>
  <c r="AM280" i="3"/>
  <c r="AI280" i="3"/>
  <c r="R280" i="3"/>
  <c r="N280" i="3"/>
  <c r="G280" i="3"/>
  <c r="A280" i="3"/>
  <c r="CF279" i="3"/>
  <c r="BX279" i="3"/>
  <c r="BW279" i="3"/>
  <c r="BV279" i="3"/>
  <c r="BU279" i="3" s="1"/>
  <c r="BQ279" i="3"/>
  <c r="AS279" i="3"/>
  <c r="AQ279" i="3"/>
  <c r="J279" i="3" s="1"/>
  <c r="AO279" i="3"/>
  <c r="AN279" i="3"/>
  <c r="S279" i="3" s="1"/>
  <c r="AM279" i="3"/>
  <c r="R279" i="3" s="1"/>
  <c r="AJ279" i="3"/>
  <c r="O279" i="3" s="1"/>
  <c r="AI279" i="3"/>
  <c r="N279" i="3" s="1"/>
  <c r="K279" i="3"/>
  <c r="G279" i="3"/>
  <c r="A279" i="3"/>
  <c r="CF278" i="3"/>
  <c r="BX278" i="3"/>
  <c r="BW278" i="3"/>
  <c r="BV278" i="3"/>
  <c r="BQ278" i="3"/>
  <c r="AS278" i="3"/>
  <c r="AQ278" i="3"/>
  <c r="J278" i="3" s="1"/>
  <c r="AO278" i="3"/>
  <c r="AJ278" i="3" s="1"/>
  <c r="O278" i="3" s="1"/>
  <c r="AN278" i="3"/>
  <c r="S278" i="3" s="1"/>
  <c r="AM278" i="3"/>
  <c r="AI278" i="3"/>
  <c r="R278" i="3"/>
  <c r="N278" i="3"/>
  <c r="G278" i="3"/>
  <c r="A278" i="3"/>
  <c r="CF277" i="3"/>
  <c r="BX277" i="3"/>
  <c r="BW277" i="3"/>
  <c r="BV277" i="3"/>
  <c r="BU277" i="3" s="1"/>
  <c r="BQ277" i="3"/>
  <c r="AS277" i="3"/>
  <c r="AQ277" i="3"/>
  <c r="J277" i="3" s="1"/>
  <c r="AO277" i="3"/>
  <c r="AN277" i="3"/>
  <c r="S277" i="3" s="1"/>
  <c r="AM277" i="3"/>
  <c r="R277" i="3" s="1"/>
  <c r="AJ277" i="3"/>
  <c r="O277" i="3" s="1"/>
  <c r="AI277" i="3"/>
  <c r="N277" i="3" s="1"/>
  <c r="K277" i="3"/>
  <c r="G277" i="3"/>
  <c r="A277" i="3"/>
  <c r="CF276" i="3"/>
  <c r="BX276" i="3"/>
  <c r="BW276" i="3"/>
  <c r="BV276" i="3"/>
  <c r="BQ276" i="3"/>
  <c r="AS276" i="3"/>
  <c r="AQ276" i="3"/>
  <c r="J276" i="3" s="1"/>
  <c r="AO276" i="3"/>
  <c r="AJ276" i="3" s="1"/>
  <c r="O276" i="3" s="1"/>
  <c r="AN276" i="3"/>
  <c r="S276" i="3" s="1"/>
  <c r="AM276" i="3"/>
  <c r="AI276" i="3"/>
  <c r="R276" i="3"/>
  <c r="N276" i="3"/>
  <c r="G276" i="3"/>
  <c r="A276" i="3"/>
  <c r="CF275" i="3"/>
  <c r="BX275" i="3"/>
  <c r="BW275" i="3"/>
  <c r="BV275" i="3"/>
  <c r="BU275" i="3"/>
  <c r="BQ275" i="3"/>
  <c r="AS275" i="3"/>
  <c r="AQ275" i="3"/>
  <c r="J275" i="3" s="1"/>
  <c r="AO275" i="3"/>
  <c r="AJ275" i="3" s="1"/>
  <c r="O275" i="3" s="1"/>
  <c r="AN275" i="3"/>
  <c r="S275" i="3" s="1"/>
  <c r="AM275" i="3"/>
  <c r="R275" i="3" s="1"/>
  <c r="AI275" i="3"/>
  <c r="N275" i="3" s="1"/>
  <c r="G275" i="3"/>
  <c r="A275" i="3"/>
  <c r="CF274" i="3"/>
  <c r="BX274" i="3"/>
  <c r="BW274" i="3"/>
  <c r="BU274" i="3" s="1"/>
  <c r="BV274" i="3"/>
  <c r="BQ274" i="3"/>
  <c r="AS274" i="3"/>
  <c r="AQ274" i="3"/>
  <c r="J274" i="3" s="1"/>
  <c r="AO274" i="3"/>
  <c r="AJ274" i="3" s="1"/>
  <c r="O274" i="3" s="1"/>
  <c r="AN274" i="3"/>
  <c r="S274" i="3" s="1"/>
  <c r="AM274" i="3"/>
  <c r="R274" i="3" s="1"/>
  <c r="AI274" i="3"/>
  <c r="N274" i="3"/>
  <c r="G274" i="3"/>
  <c r="A274" i="3"/>
  <c r="CF273" i="3"/>
  <c r="BX273" i="3"/>
  <c r="BW273" i="3"/>
  <c r="BV273" i="3"/>
  <c r="BU273" i="3" s="1"/>
  <c r="BQ273" i="3"/>
  <c r="AS273" i="3"/>
  <c r="AQ273" i="3"/>
  <c r="J273" i="3" s="1"/>
  <c r="AO273" i="3"/>
  <c r="AN273" i="3"/>
  <c r="S273" i="3" s="1"/>
  <c r="AM273" i="3"/>
  <c r="R273" i="3" s="1"/>
  <c r="AJ273" i="3"/>
  <c r="O273" i="3" s="1"/>
  <c r="AI273" i="3"/>
  <c r="N273" i="3" s="1"/>
  <c r="K273" i="3"/>
  <c r="G273" i="3"/>
  <c r="A273" i="3"/>
  <c r="CF272" i="3"/>
  <c r="BX272" i="3"/>
  <c r="BW272" i="3"/>
  <c r="BV272" i="3"/>
  <c r="BQ272" i="3"/>
  <c r="AS272" i="3"/>
  <c r="AQ272" i="3"/>
  <c r="J272" i="3" s="1"/>
  <c r="AO272" i="3"/>
  <c r="AJ272" i="3" s="1"/>
  <c r="O272" i="3" s="1"/>
  <c r="AN272" i="3"/>
  <c r="S272" i="3" s="1"/>
  <c r="AM272" i="3"/>
  <c r="AI272" i="3"/>
  <c r="R272" i="3"/>
  <c r="N272" i="3"/>
  <c r="G272" i="3"/>
  <c r="A272" i="3"/>
  <c r="CF271" i="3"/>
  <c r="BX271" i="3"/>
  <c r="BW271" i="3"/>
  <c r="BV271" i="3"/>
  <c r="BU271" i="3"/>
  <c r="BQ271" i="3"/>
  <c r="AS271" i="3"/>
  <c r="AQ271" i="3"/>
  <c r="J271" i="3" s="1"/>
  <c r="AO271" i="3"/>
  <c r="K271" i="3" s="1"/>
  <c r="AN271" i="3"/>
  <c r="S271" i="3" s="1"/>
  <c r="AM271" i="3"/>
  <c r="R271" i="3" s="1"/>
  <c r="AI271" i="3"/>
  <c r="N271" i="3" s="1"/>
  <c r="G271" i="3"/>
  <c r="A271" i="3"/>
  <c r="CF270" i="3"/>
  <c r="BX270" i="3"/>
  <c r="BW270" i="3"/>
  <c r="BU270" i="3" s="1"/>
  <c r="BV270" i="3"/>
  <c r="BQ270" i="3"/>
  <c r="AS270" i="3"/>
  <c r="AQ270" i="3"/>
  <c r="J270" i="3" s="1"/>
  <c r="AO270" i="3"/>
  <c r="AJ270" i="3" s="1"/>
  <c r="O270" i="3" s="1"/>
  <c r="AN270" i="3"/>
  <c r="S270" i="3" s="1"/>
  <c r="AM270" i="3"/>
  <c r="AI270" i="3"/>
  <c r="R270" i="3"/>
  <c r="N270" i="3"/>
  <c r="G270" i="3"/>
  <c r="A270" i="3"/>
  <c r="CF269" i="3"/>
  <c r="BX269" i="3"/>
  <c r="BW269" i="3"/>
  <c r="BV269" i="3"/>
  <c r="BU269" i="3" s="1"/>
  <c r="BQ269" i="3"/>
  <c r="AS269" i="3"/>
  <c r="AQ269" i="3"/>
  <c r="J269" i="3" s="1"/>
  <c r="AO269" i="3"/>
  <c r="AN269" i="3"/>
  <c r="S269" i="3" s="1"/>
  <c r="AM269" i="3"/>
  <c r="R269" i="3" s="1"/>
  <c r="AJ269" i="3"/>
  <c r="O269" i="3" s="1"/>
  <c r="AI269" i="3"/>
  <c r="N269" i="3" s="1"/>
  <c r="K269" i="3"/>
  <c r="G269" i="3"/>
  <c r="A269" i="3"/>
  <c r="CF268" i="3"/>
  <c r="BX268" i="3"/>
  <c r="BW268" i="3"/>
  <c r="BV268" i="3"/>
  <c r="BQ268" i="3"/>
  <c r="AS268" i="3"/>
  <c r="AQ268" i="3"/>
  <c r="J268" i="3" s="1"/>
  <c r="AO268" i="3"/>
  <c r="AJ268" i="3" s="1"/>
  <c r="O268" i="3" s="1"/>
  <c r="AN268" i="3"/>
  <c r="S268" i="3" s="1"/>
  <c r="AM268" i="3"/>
  <c r="R268" i="3" s="1"/>
  <c r="AI268" i="3"/>
  <c r="N268" i="3"/>
  <c r="G268" i="3"/>
  <c r="A268" i="3"/>
  <c r="CF267" i="3"/>
  <c r="BX267" i="3"/>
  <c r="BW267" i="3"/>
  <c r="BV267" i="3"/>
  <c r="BU267" i="3"/>
  <c r="BQ267" i="3"/>
  <c r="AS267" i="3"/>
  <c r="AQ267" i="3"/>
  <c r="J267" i="3" s="1"/>
  <c r="AO267" i="3"/>
  <c r="AJ267" i="3" s="1"/>
  <c r="O267" i="3" s="1"/>
  <c r="AN267" i="3"/>
  <c r="S267" i="3" s="1"/>
  <c r="AM267" i="3"/>
  <c r="R267" i="3" s="1"/>
  <c r="AI267" i="3"/>
  <c r="N267" i="3" s="1"/>
  <c r="G267" i="3"/>
  <c r="A267" i="3"/>
  <c r="CF266" i="3"/>
  <c r="BX266" i="3"/>
  <c r="BW266" i="3"/>
  <c r="BU266" i="3" s="1"/>
  <c r="BV266" i="3"/>
  <c r="BQ266" i="3"/>
  <c r="AS266" i="3"/>
  <c r="AQ266" i="3"/>
  <c r="J266" i="3" s="1"/>
  <c r="AO266" i="3"/>
  <c r="AN266" i="3"/>
  <c r="S266" i="3" s="1"/>
  <c r="AM266" i="3"/>
  <c r="R266" i="3" s="1"/>
  <c r="G266" i="3"/>
  <c r="A266" i="3"/>
  <c r="CF265" i="3"/>
  <c r="BX265" i="3"/>
  <c r="BW265" i="3"/>
  <c r="BU265" i="3" s="1"/>
  <c r="BV265" i="3"/>
  <c r="BQ265" i="3"/>
  <c r="AS265" i="3"/>
  <c r="AQ265" i="3"/>
  <c r="J265" i="3" s="1"/>
  <c r="AO265" i="3"/>
  <c r="AJ265" i="3" s="1"/>
  <c r="O265" i="3" s="1"/>
  <c r="AN265" i="3"/>
  <c r="S265" i="3" s="1"/>
  <c r="AM265" i="3"/>
  <c r="R265" i="3" s="1"/>
  <c r="AI265" i="3"/>
  <c r="N265" i="3" s="1"/>
  <c r="K265" i="3"/>
  <c r="G265" i="3"/>
  <c r="A265" i="3"/>
  <c r="CF264" i="3"/>
  <c r="BX264" i="3"/>
  <c r="BU264" i="3" s="1"/>
  <c r="BW264" i="3"/>
  <c r="BV264" i="3"/>
  <c r="BQ264" i="3"/>
  <c r="AS264" i="3"/>
  <c r="AQ264" i="3"/>
  <c r="J264" i="3" s="1"/>
  <c r="AO264" i="3"/>
  <c r="AN264" i="3"/>
  <c r="S264" i="3" s="1"/>
  <c r="AM264" i="3"/>
  <c r="AI264" i="3"/>
  <c r="R264" i="3"/>
  <c r="N264" i="3"/>
  <c r="G264" i="3"/>
  <c r="A264" i="3"/>
  <c r="CF263" i="3"/>
  <c r="BX263" i="3"/>
  <c r="BW263" i="3"/>
  <c r="BV263" i="3"/>
  <c r="BU263" i="3" s="1"/>
  <c r="BQ263" i="3"/>
  <c r="AS263" i="3"/>
  <c r="AQ263" i="3"/>
  <c r="J263" i="3" s="1"/>
  <c r="AO263" i="3"/>
  <c r="K263" i="3" s="1"/>
  <c r="AN263" i="3"/>
  <c r="S263" i="3" s="1"/>
  <c r="AM263" i="3"/>
  <c r="R263" i="3" s="1"/>
  <c r="AJ263" i="3"/>
  <c r="O263" i="3" s="1"/>
  <c r="AI263" i="3"/>
  <c r="N263" i="3"/>
  <c r="G263" i="3"/>
  <c r="A263" i="3"/>
  <c r="CF262" i="3"/>
  <c r="BX262" i="3"/>
  <c r="BW262" i="3"/>
  <c r="BV262" i="3"/>
  <c r="BU262" i="3"/>
  <c r="BQ262" i="3"/>
  <c r="AS262" i="3"/>
  <c r="AQ262" i="3"/>
  <c r="J262" i="3" s="1"/>
  <c r="AO262" i="3"/>
  <c r="AN262" i="3"/>
  <c r="S262" i="3" s="1"/>
  <c r="AM262" i="3"/>
  <c r="R262" i="3"/>
  <c r="G262" i="3"/>
  <c r="A262" i="3"/>
  <c r="CF261" i="3"/>
  <c r="BX261" i="3"/>
  <c r="BW261" i="3"/>
  <c r="BV261" i="3"/>
  <c r="BU261" i="3"/>
  <c r="BQ261" i="3"/>
  <c r="AS261" i="3"/>
  <c r="AQ261" i="3"/>
  <c r="J261" i="3" s="1"/>
  <c r="AO261" i="3"/>
  <c r="K261" i="3" s="1"/>
  <c r="AN261" i="3"/>
  <c r="S261" i="3" s="1"/>
  <c r="AM261" i="3"/>
  <c r="R261" i="3" s="1"/>
  <c r="AI261" i="3"/>
  <c r="N261" i="3" s="1"/>
  <c r="G261" i="3"/>
  <c r="A261" i="3"/>
  <c r="CF260" i="3"/>
  <c r="BX260" i="3"/>
  <c r="BW260" i="3"/>
  <c r="BU260" i="3" s="1"/>
  <c r="BV260" i="3"/>
  <c r="BQ260" i="3"/>
  <c r="AS260" i="3"/>
  <c r="AQ260" i="3"/>
  <c r="J260" i="3" s="1"/>
  <c r="AO260" i="3"/>
  <c r="AN260" i="3"/>
  <c r="S260" i="3" s="1"/>
  <c r="AM260" i="3"/>
  <c r="R260" i="3" s="1"/>
  <c r="AI260" i="3"/>
  <c r="N260" i="3" s="1"/>
  <c r="G260" i="3"/>
  <c r="A260" i="3"/>
  <c r="CF259" i="3"/>
  <c r="BX259" i="3"/>
  <c r="BW259" i="3"/>
  <c r="BV259" i="3"/>
  <c r="BU259" i="3" s="1"/>
  <c r="BQ259" i="3"/>
  <c r="AS259" i="3"/>
  <c r="AQ259" i="3"/>
  <c r="J259" i="3" s="1"/>
  <c r="AO259" i="3"/>
  <c r="AN259" i="3"/>
  <c r="S259" i="3" s="1"/>
  <c r="AM259" i="3"/>
  <c r="R259" i="3" s="1"/>
  <c r="AJ259" i="3"/>
  <c r="O259" i="3" s="1"/>
  <c r="AI259" i="3"/>
  <c r="N259" i="3"/>
  <c r="K259" i="3"/>
  <c r="G259" i="3"/>
  <c r="A259" i="3"/>
  <c r="CF258" i="3"/>
  <c r="BX258" i="3"/>
  <c r="BW258" i="3"/>
  <c r="BU258" i="3" s="1"/>
  <c r="BV258" i="3"/>
  <c r="BQ258" i="3"/>
  <c r="AS258" i="3"/>
  <c r="AQ258" i="3"/>
  <c r="J258" i="3" s="1"/>
  <c r="AO258" i="3"/>
  <c r="AN258" i="3"/>
  <c r="S258" i="3" s="1"/>
  <c r="AM258" i="3"/>
  <c r="R258" i="3" s="1"/>
  <c r="G258" i="3"/>
  <c r="A258" i="3"/>
  <c r="CF257" i="3"/>
  <c r="BX257" i="3"/>
  <c r="BW257" i="3"/>
  <c r="BU257" i="3" s="1"/>
  <c r="BV257" i="3"/>
  <c r="BQ257" i="3"/>
  <c r="AS257" i="3"/>
  <c r="AQ257" i="3"/>
  <c r="J257" i="3" s="1"/>
  <c r="AO257" i="3"/>
  <c r="AJ257" i="3" s="1"/>
  <c r="O257" i="3" s="1"/>
  <c r="AN257" i="3"/>
  <c r="S257" i="3" s="1"/>
  <c r="AM257" i="3"/>
  <c r="R257" i="3" s="1"/>
  <c r="AI257" i="3"/>
  <c r="N257" i="3" s="1"/>
  <c r="K257" i="3"/>
  <c r="G257" i="3"/>
  <c r="A257" i="3"/>
  <c r="CF256" i="3"/>
  <c r="BX256" i="3"/>
  <c r="BU256" i="3" s="1"/>
  <c r="BW256" i="3"/>
  <c r="BV256" i="3"/>
  <c r="BQ256" i="3"/>
  <c r="AS256" i="3"/>
  <c r="AQ256" i="3"/>
  <c r="J256" i="3" s="1"/>
  <c r="AO256" i="3"/>
  <c r="AN256" i="3"/>
  <c r="S256" i="3" s="1"/>
  <c r="AM256" i="3"/>
  <c r="AI256" i="3"/>
  <c r="R256" i="3"/>
  <c r="N256" i="3"/>
  <c r="G256" i="3"/>
  <c r="A256" i="3"/>
  <c r="CF255" i="3"/>
  <c r="BX255" i="3"/>
  <c r="BW255" i="3"/>
  <c r="BV255" i="3"/>
  <c r="BU255" i="3" s="1"/>
  <c r="BQ255" i="3"/>
  <c r="AS255" i="3"/>
  <c r="AQ255" i="3"/>
  <c r="J255" i="3" s="1"/>
  <c r="AO255" i="3"/>
  <c r="K255" i="3" s="1"/>
  <c r="AN255" i="3"/>
  <c r="S255" i="3" s="1"/>
  <c r="AM255" i="3"/>
  <c r="R255" i="3" s="1"/>
  <c r="AJ255" i="3"/>
  <c r="O255" i="3" s="1"/>
  <c r="AI255" i="3"/>
  <c r="N255" i="3"/>
  <c r="G255" i="3"/>
  <c r="A255" i="3"/>
  <c r="CF254" i="3"/>
  <c r="BX254" i="3"/>
  <c r="BW254" i="3"/>
  <c r="BV254" i="3"/>
  <c r="BU254" i="3"/>
  <c r="BQ254" i="3"/>
  <c r="AS254" i="3"/>
  <c r="AQ254" i="3"/>
  <c r="J254" i="3" s="1"/>
  <c r="AO254" i="3"/>
  <c r="AN254" i="3"/>
  <c r="S254" i="3" s="1"/>
  <c r="AM254" i="3"/>
  <c r="R254" i="3"/>
  <c r="G254" i="3"/>
  <c r="A254" i="3"/>
  <c r="CF253" i="3"/>
  <c r="BX253" i="3"/>
  <c r="BW253" i="3"/>
  <c r="BV253" i="3"/>
  <c r="BU253" i="3"/>
  <c r="BQ253" i="3"/>
  <c r="AS253" i="3"/>
  <c r="AQ253" i="3"/>
  <c r="J253" i="3" s="1"/>
  <c r="AO253" i="3"/>
  <c r="K253" i="3" s="1"/>
  <c r="AN253" i="3"/>
  <c r="S253" i="3" s="1"/>
  <c r="AM253" i="3"/>
  <c r="R253" i="3" s="1"/>
  <c r="AI253" i="3"/>
  <c r="N253" i="3" s="1"/>
  <c r="G253" i="3"/>
  <c r="A253" i="3"/>
  <c r="CF252" i="3"/>
  <c r="BX252" i="3"/>
  <c r="BW252" i="3"/>
  <c r="BU252" i="3" s="1"/>
  <c r="BV252" i="3"/>
  <c r="BQ252" i="3"/>
  <c r="AS252" i="3"/>
  <c r="AQ252" i="3"/>
  <c r="J252" i="3" s="1"/>
  <c r="AO252" i="3"/>
  <c r="AN252" i="3"/>
  <c r="S252" i="3" s="1"/>
  <c r="AM252" i="3"/>
  <c r="R252" i="3" s="1"/>
  <c r="AI252" i="3"/>
  <c r="N252" i="3" s="1"/>
  <c r="G252" i="3"/>
  <c r="A252" i="3"/>
  <c r="CF251" i="3"/>
  <c r="BX251" i="3"/>
  <c r="BW251" i="3"/>
  <c r="BV251" i="3"/>
  <c r="BU251" i="3" s="1"/>
  <c r="BQ251" i="3"/>
  <c r="AS251" i="3"/>
  <c r="AQ251" i="3"/>
  <c r="J251" i="3" s="1"/>
  <c r="AO251" i="3"/>
  <c r="AN251" i="3"/>
  <c r="S251" i="3" s="1"/>
  <c r="AM251" i="3"/>
  <c r="R251" i="3" s="1"/>
  <c r="AJ251" i="3"/>
  <c r="O251" i="3" s="1"/>
  <c r="AI251" i="3"/>
  <c r="N251" i="3"/>
  <c r="K251" i="3"/>
  <c r="G251" i="3"/>
  <c r="A251" i="3"/>
  <c r="CF250" i="3"/>
  <c r="BX250" i="3"/>
  <c r="BW250" i="3"/>
  <c r="BU250" i="3" s="1"/>
  <c r="BV250" i="3"/>
  <c r="BQ250" i="3"/>
  <c r="AS250" i="3"/>
  <c r="AQ250" i="3"/>
  <c r="J250" i="3" s="1"/>
  <c r="AO250" i="3"/>
  <c r="AN250" i="3"/>
  <c r="S250" i="3" s="1"/>
  <c r="AM250" i="3"/>
  <c r="R250" i="3" s="1"/>
  <c r="G250" i="3"/>
  <c r="A250" i="3"/>
  <c r="CF249" i="3"/>
  <c r="BX249" i="3"/>
  <c r="BW249" i="3"/>
  <c r="BU249" i="3" s="1"/>
  <c r="BV249" i="3"/>
  <c r="BQ249" i="3"/>
  <c r="AS249" i="3"/>
  <c r="AQ249" i="3"/>
  <c r="J249" i="3" s="1"/>
  <c r="AO249" i="3"/>
  <c r="AJ249" i="3" s="1"/>
  <c r="O249" i="3" s="1"/>
  <c r="AN249" i="3"/>
  <c r="S249" i="3" s="1"/>
  <c r="AM249" i="3"/>
  <c r="R249" i="3" s="1"/>
  <c r="AI249" i="3"/>
  <c r="N249" i="3" s="1"/>
  <c r="K249" i="3"/>
  <c r="G249" i="3"/>
  <c r="A249" i="3"/>
  <c r="CF248" i="3"/>
  <c r="BX248" i="3"/>
  <c r="BU248" i="3" s="1"/>
  <c r="BW248" i="3"/>
  <c r="BV248" i="3"/>
  <c r="BQ248" i="3"/>
  <c r="AS248" i="3"/>
  <c r="AQ248" i="3"/>
  <c r="J248" i="3" s="1"/>
  <c r="AO248" i="3"/>
  <c r="AN248" i="3"/>
  <c r="S248" i="3" s="1"/>
  <c r="AM248" i="3"/>
  <c r="AI248" i="3"/>
  <c r="R248" i="3"/>
  <c r="N248" i="3"/>
  <c r="G248" i="3"/>
  <c r="A248" i="3"/>
  <c r="CF247" i="3"/>
  <c r="BX247" i="3"/>
  <c r="BW247" i="3"/>
  <c r="BV247" i="3"/>
  <c r="BU247" i="3" s="1"/>
  <c r="BQ247" i="3"/>
  <c r="AS247" i="3"/>
  <c r="AQ247" i="3"/>
  <c r="J247" i="3" s="1"/>
  <c r="AO247" i="3"/>
  <c r="K247" i="3" s="1"/>
  <c r="AN247" i="3"/>
  <c r="S247" i="3" s="1"/>
  <c r="AM247" i="3"/>
  <c r="R247" i="3" s="1"/>
  <c r="AJ247" i="3"/>
  <c r="O247" i="3" s="1"/>
  <c r="AI247" i="3"/>
  <c r="N247" i="3"/>
  <c r="G247" i="3"/>
  <c r="A247" i="3"/>
  <c r="CF246" i="3"/>
  <c r="BX246" i="3"/>
  <c r="BW246" i="3"/>
  <c r="BV246" i="3"/>
  <c r="BU246" i="3"/>
  <c r="BQ246" i="3"/>
  <c r="AS246" i="3"/>
  <c r="AQ246" i="3"/>
  <c r="J246" i="3" s="1"/>
  <c r="AO246" i="3"/>
  <c r="AN246" i="3"/>
  <c r="S246" i="3" s="1"/>
  <c r="AM246" i="3"/>
  <c r="R246" i="3"/>
  <c r="G246" i="3"/>
  <c r="A246" i="3"/>
  <c r="CF245" i="3"/>
  <c r="BX245" i="3"/>
  <c r="BW245" i="3"/>
  <c r="BV245" i="3"/>
  <c r="BU245" i="3"/>
  <c r="BQ245" i="3"/>
  <c r="AS245" i="3"/>
  <c r="AQ245" i="3"/>
  <c r="J245" i="3" s="1"/>
  <c r="AO245" i="3"/>
  <c r="K245" i="3" s="1"/>
  <c r="AN245" i="3"/>
  <c r="S245" i="3" s="1"/>
  <c r="AM245" i="3"/>
  <c r="R245" i="3" s="1"/>
  <c r="AI245" i="3"/>
  <c r="N245" i="3" s="1"/>
  <c r="G245" i="3"/>
  <c r="A245" i="3"/>
  <c r="CF244" i="3"/>
  <c r="BX244" i="3"/>
  <c r="BW244" i="3"/>
  <c r="BU244" i="3" s="1"/>
  <c r="BV244" i="3"/>
  <c r="BQ244" i="3"/>
  <c r="AS244" i="3"/>
  <c r="AQ244" i="3"/>
  <c r="J244" i="3" s="1"/>
  <c r="AO244" i="3"/>
  <c r="AN244" i="3"/>
  <c r="S244" i="3" s="1"/>
  <c r="AM244" i="3"/>
  <c r="R244" i="3" s="1"/>
  <c r="AI244" i="3"/>
  <c r="N244" i="3" s="1"/>
  <c r="G244" i="3"/>
  <c r="A244" i="3"/>
  <c r="CF243" i="3"/>
  <c r="BX243" i="3"/>
  <c r="BW243" i="3"/>
  <c r="BV243" i="3"/>
  <c r="BU243" i="3" s="1"/>
  <c r="BQ243" i="3"/>
  <c r="AS243" i="3"/>
  <c r="AQ243" i="3"/>
  <c r="J243" i="3" s="1"/>
  <c r="AO243" i="3"/>
  <c r="AN243" i="3"/>
  <c r="S243" i="3" s="1"/>
  <c r="AM243" i="3"/>
  <c r="R243" i="3" s="1"/>
  <c r="AJ243" i="3"/>
  <c r="O243" i="3" s="1"/>
  <c r="AI243" i="3"/>
  <c r="N243" i="3"/>
  <c r="K243" i="3"/>
  <c r="G243" i="3"/>
  <c r="A243" i="3"/>
  <c r="CF242" i="3"/>
  <c r="BX242" i="3"/>
  <c r="BW242" i="3"/>
  <c r="BU242" i="3" s="1"/>
  <c r="BV242" i="3"/>
  <c r="BQ242" i="3"/>
  <c r="AS242" i="3"/>
  <c r="AQ242" i="3"/>
  <c r="J242" i="3" s="1"/>
  <c r="AO242" i="3"/>
  <c r="AN242" i="3"/>
  <c r="S242" i="3" s="1"/>
  <c r="AM242" i="3"/>
  <c r="R242" i="3" s="1"/>
  <c r="G242" i="3"/>
  <c r="A242" i="3"/>
  <c r="CF241" i="3"/>
  <c r="BX241" i="3"/>
  <c r="BW241" i="3"/>
  <c r="BU241" i="3" s="1"/>
  <c r="BV241" i="3"/>
  <c r="BQ241" i="3"/>
  <c r="AS241" i="3"/>
  <c r="AQ241" i="3"/>
  <c r="J241" i="3" s="1"/>
  <c r="AO241" i="3"/>
  <c r="AJ241" i="3" s="1"/>
  <c r="O241" i="3" s="1"/>
  <c r="AN241" i="3"/>
  <c r="S241" i="3" s="1"/>
  <c r="AM241" i="3"/>
  <c r="R241" i="3" s="1"/>
  <c r="AI241" i="3"/>
  <c r="N241" i="3" s="1"/>
  <c r="K241" i="3"/>
  <c r="G241" i="3"/>
  <c r="A241" i="3"/>
  <c r="CF240" i="3"/>
  <c r="BX240" i="3"/>
  <c r="BU240" i="3" s="1"/>
  <c r="BW240" i="3"/>
  <c r="BV240" i="3"/>
  <c r="BQ240" i="3"/>
  <c r="AS240" i="3"/>
  <c r="AQ240" i="3"/>
  <c r="J240" i="3" s="1"/>
  <c r="AO240" i="3"/>
  <c r="AN240" i="3"/>
  <c r="S240" i="3" s="1"/>
  <c r="AM240" i="3"/>
  <c r="AI240" i="3"/>
  <c r="R240" i="3"/>
  <c r="N240" i="3"/>
  <c r="G240" i="3"/>
  <c r="A240" i="3"/>
  <c r="CF239" i="3"/>
  <c r="BX239" i="3"/>
  <c r="BW239" i="3"/>
  <c r="BV239" i="3"/>
  <c r="BU239" i="3" s="1"/>
  <c r="BQ239" i="3"/>
  <c r="AS239" i="3"/>
  <c r="AQ239" i="3"/>
  <c r="J239" i="3" s="1"/>
  <c r="AO239" i="3"/>
  <c r="K239" i="3" s="1"/>
  <c r="AN239" i="3"/>
  <c r="S239" i="3" s="1"/>
  <c r="AM239" i="3"/>
  <c r="R239" i="3" s="1"/>
  <c r="AJ239" i="3"/>
  <c r="O239" i="3" s="1"/>
  <c r="AI239" i="3"/>
  <c r="N239" i="3"/>
  <c r="G239" i="3"/>
  <c r="A239" i="3"/>
  <c r="CF238" i="3"/>
  <c r="BX238" i="3"/>
  <c r="BW238" i="3"/>
  <c r="BV238" i="3"/>
  <c r="BU238" i="3"/>
  <c r="BQ238" i="3"/>
  <c r="AS238" i="3"/>
  <c r="AQ238" i="3"/>
  <c r="J238" i="3" s="1"/>
  <c r="AO238" i="3"/>
  <c r="AN238" i="3"/>
  <c r="S238" i="3" s="1"/>
  <c r="AM238" i="3"/>
  <c r="R238" i="3"/>
  <c r="G238" i="3"/>
  <c r="A238" i="3"/>
  <c r="CF237" i="3"/>
  <c r="BX237" i="3"/>
  <c r="BW237" i="3"/>
  <c r="BV237" i="3"/>
  <c r="BU237" i="3"/>
  <c r="BQ237" i="3"/>
  <c r="AS237" i="3"/>
  <c r="AQ237" i="3"/>
  <c r="J237" i="3" s="1"/>
  <c r="AO237" i="3"/>
  <c r="K237" i="3" s="1"/>
  <c r="AN237" i="3"/>
  <c r="S237" i="3" s="1"/>
  <c r="AM237" i="3"/>
  <c r="R237" i="3" s="1"/>
  <c r="AI237" i="3"/>
  <c r="N237" i="3" s="1"/>
  <c r="G237" i="3"/>
  <c r="A237" i="3"/>
  <c r="CF236" i="3"/>
  <c r="BX236" i="3"/>
  <c r="BW236" i="3"/>
  <c r="BU236" i="3" s="1"/>
  <c r="BV236" i="3"/>
  <c r="BQ236" i="3"/>
  <c r="AS236" i="3"/>
  <c r="AQ236" i="3"/>
  <c r="J236" i="3" s="1"/>
  <c r="AO236" i="3"/>
  <c r="AN236" i="3"/>
  <c r="S236" i="3" s="1"/>
  <c r="AM236" i="3"/>
  <c r="R236" i="3" s="1"/>
  <c r="AI236" i="3"/>
  <c r="N236" i="3" s="1"/>
  <c r="G236" i="3"/>
  <c r="A236" i="3"/>
  <c r="CF235" i="3"/>
  <c r="BX235" i="3"/>
  <c r="BW235" i="3"/>
  <c r="BV235" i="3"/>
  <c r="BU235" i="3" s="1"/>
  <c r="BQ235" i="3"/>
  <c r="AS235" i="3"/>
  <c r="AQ235" i="3"/>
  <c r="J235" i="3" s="1"/>
  <c r="AO235" i="3"/>
  <c r="AN235" i="3"/>
  <c r="S235" i="3" s="1"/>
  <c r="AM235" i="3"/>
  <c r="R235" i="3" s="1"/>
  <c r="AJ235" i="3"/>
  <c r="O235" i="3" s="1"/>
  <c r="AI235" i="3"/>
  <c r="N235" i="3"/>
  <c r="K235" i="3"/>
  <c r="G235" i="3"/>
  <c r="A235" i="3"/>
  <c r="CF234" i="3"/>
  <c r="BX234" i="3"/>
  <c r="BW234" i="3"/>
  <c r="BU234" i="3" s="1"/>
  <c r="BV234" i="3"/>
  <c r="BQ234" i="3"/>
  <c r="AS234" i="3"/>
  <c r="AQ234" i="3"/>
  <c r="J234" i="3" s="1"/>
  <c r="AO234" i="3"/>
  <c r="AN234" i="3"/>
  <c r="S234" i="3" s="1"/>
  <c r="AM234" i="3"/>
  <c r="R234" i="3" s="1"/>
  <c r="G234" i="3"/>
  <c r="A234" i="3"/>
  <c r="CF233" i="3"/>
  <c r="BX233" i="3"/>
  <c r="BW233" i="3"/>
  <c r="BU233" i="3" s="1"/>
  <c r="BV233" i="3"/>
  <c r="BQ233" i="3"/>
  <c r="AS233" i="3"/>
  <c r="AQ233" i="3"/>
  <c r="J233" i="3" s="1"/>
  <c r="AO233" i="3"/>
  <c r="AJ233" i="3" s="1"/>
  <c r="O233" i="3" s="1"/>
  <c r="AN233" i="3"/>
  <c r="S233" i="3" s="1"/>
  <c r="AM233" i="3"/>
  <c r="R233" i="3" s="1"/>
  <c r="AI233" i="3"/>
  <c r="N233" i="3" s="1"/>
  <c r="K233" i="3"/>
  <c r="G233" i="3"/>
  <c r="A233" i="3"/>
  <c r="CF232" i="3"/>
  <c r="BX232" i="3"/>
  <c r="BU232" i="3" s="1"/>
  <c r="BW232" i="3"/>
  <c r="BV232" i="3"/>
  <c r="BQ232" i="3"/>
  <c r="AS232" i="3"/>
  <c r="AQ232" i="3"/>
  <c r="J232" i="3" s="1"/>
  <c r="AO232" i="3"/>
  <c r="AN232" i="3"/>
  <c r="S232" i="3" s="1"/>
  <c r="AM232" i="3"/>
  <c r="AI232" i="3"/>
  <c r="R232" i="3"/>
  <c r="N232" i="3"/>
  <c r="G232" i="3"/>
  <c r="A232" i="3"/>
  <c r="CF231" i="3"/>
  <c r="BX231" i="3"/>
  <c r="BW231" i="3"/>
  <c r="BV231" i="3"/>
  <c r="BU231" i="3" s="1"/>
  <c r="BQ231" i="3"/>
  <c r="AS231" i="3"/>
  <c r="AQ231" i="3"/>
  <c r="J231" i="3" s="1"/>
  <c r="AO231" i="3"/>
  <c r="K231" i="3" s="1"/>
  <c r="AN231" i="3"/>
  <c r="S231" i="3" s="1"/>
  <c r="AM231" i="3"/>
  <c r="R231" i="3" s="1"/>
  <c r="AJ231" i="3"/>
  <c r="O231" i="3" s="1"/>
  <c r="AI231" i="3"/>
  <c r="N231" i="3"/>
  <c r="G231" i="3"/>
  <c r="A231" i="3"/>
  <c r="CF230" i="3"/>
  <c r="BX230" i="3"/>
  <c r="BW230" i="3"/>
  <c r="BV230" i="3"/>
  <c r="BU230" i="3"/>
  <c r="BQ230" i="3"/>
  <c r="AS230" i="3"/>
  <c r="AQ230" i="3"/>
  <c r="J230" i="3" s="1"/>
  <c r="AO230" i="3"/>
  <c r="AN230" i="3"/>
  <c r="S230" i="3" s="1"/>
  <c r="AM230" i="3"/>
  <c r="R230" i="3"/>
  <c r="G230" i="3"/>
  <c r="A230" i="3"/>
  <c r="CF229" i="3"/>
  <c r="BX229" i="3"/>
  <c r="BW229" i="3"/>
  <c r="BV229" i="3"/>
  <c r="BU229" i="3"/>
  <c r="BQ229" i="3"/>
  <c r="AS229" i="3"/>
  <c r="AQ229" i="3"/>
  <c r="J229" i="3" s="1"/>
  <c r="AO229" i="3"/>
  <c r="K229" i="3" s="1"/>
  <c r="AN229" i="3"/>
  <c r="S229" i="3" s="1"/>
  <c r="AM229" i="3"/>
  <c r="R229" i="3" s="1"/>
  <c r="AI229" i="3"/>
  <c r="N229" i="3" s="1"/>
  <c r="G229" i="3"/>
  <c r="A229" i="3"/>
  <c r="CF228" i="3"/>
  <c r="BX228" i="3"/>
  <c r="BW228" i="3"/>
  <c r="BU228" i="3" s="1"/>
  <c r="BV228" i="3"/>
  <c r="BQ228" i="3"/>
  <c r="AS228" i="3"/>
  <c r="AQ228" i="3"/>
  <c r="J228" i="3" s="1"/>
  <c r="AO228" i="3"/>
  <c r="AN228" i="3"/>
  <c r="S228" i="3" s="1"/>
  <c r="AM228" i="3"/>
  <c r="R228" i="3" s="1"/>
  <c r="AI228" i="3"/>
  <c r="N228" i="3" s="1"/>
  <c r="G228" i="3"/>
  <c r="A228" i="3"/>
  <c r="CF227" i="3"/>
  <c r="BX227" i="3"/>
  <c r="BW227" i="3"/>
  <c r="BV227" i="3"/>
  <c r="BU227" i="3" s="1"/>
  <c r="BQ227" i="3"/>
  <c r="AS227" i="3"/>
  <c r="AQ227" i="3"/>
  <c r="J227" i="3" s="1"/>
  <c r="AO227" i="3"/>
  <c r="AN227" i="3"/>
  <c r="S227" i="3" s="1"/>
  <c r="AM227" i="3"/>
  <c r="R227" i="3" s="1"/>
  <c r="AJ227" i="3"/>
  <c r="O227" i="3" s="1"/>
  <c r="AI227" i="3"/>
  <c r="N227" i="3"/>
  <c r="K227" i="3"/>
  <c r="G227" i="3"/>
  <c r="A227" i="3"/>
  <c r="CF226" i="3"/>
  <c r="BX226" i="3"/>
  <c r="BW226" i="3"/>
  <c r="BU226" i="3" s="1"/>
  <c r="BV226" i="3"/>
  <c r="BQ226" i="3"/>
  <c r="AS226" i="3"/>
  <c r="AQ226" i="3"/>
  <c r="J226" i="3" s="1"/>
  <c r="AO226" i="3"/>
  <c r="AN226" i="3"/>
  <c r="S226" i="3" s="1"/>
  <c r="AM226" i="3"/>
  <c r="R226" i="3" s="1"/>
  <c r="G226" i="3"/>
  <c r="A226" i="3"/>
  <c r="CF225" i="3"/>
  <c r="BX225" i="3"/>
  <c r="BW225" i="3"/>
  <c r="BU225" i="3" s="1"/>
  <c r="BV225" i="3"/>
  <c r="BQ225" i="3"/>
  <c r="AS225" i="3"/>
  <c r="AQ225" i="3"/>
  <c r="J225" i="3" s="1"/>
  <c r="AO225" i="3"/>
  <c r="AJ225" i="3" s="1"/>
  <c r="O225" i="3" s="1"/>
  <c r="AN225" i="3"/>
  <c r="S225" i="3" s="1"/>
  <c r="AM225" i="3"/>
  <c r="R225" i="3" s="1"/>
  <c r="AI225" i="3"/>
  <c r="N225" i="3" s="1"/>
  <c r="K225" i="3"/>
  <c r="G225" i="3"/>
  <c r="A225" i="3"/>
  <c r="CF224" i="3"/>
  <c r="BX224" i="3"/>
  <c r="BU224" i="3" s="1"/>
  <c r="BW224" i="3"/>
  <c r="BV224" i="3"/>
  <c r="BQ224" i="3"/>
  <c r="AS224" i="3"/>
  <c r="AQ224" i="3"/>
  <c r="J224" i="3" s="1"/>
  <c r="AO224" i="3"/>
  <c r="AN224" i="3"/>
  <c r="S224" i="3" s="1"/>
  <c r="AM224" i="3"/>
  <c r="AI224" i="3"/>
  <c r="R224" i="3"/>
  <c r="N224" i="3"/>
  <c r="G224" i="3"/>
  <c r="A224" i="3"/>
  <c r="CF223" i="3"/>
  <c r="BX223" i="3"/>
  <c r="BW223" i="3"/>
  <c r="BV223" i="3"/>
  <c r="BU223" i="3" s="1"/>
  <c r="BQ223" i="3"/>
  <c r="AS223" i="3"/>
  <c r="AQ223" i="3"/>
  <c r="J223" i="3" s="1"/>
  <c r="AO223" i="3"/>
  <c r="K223" i="3" s="1"/>
  <c r="AN223" i="3"/>
  <c r="S223" i="3" s="1"/>
  <c r="AM223" i="3"/>
  <c r="R223" i="3" s="1"/>
  <c r="AJ223" i="3"/>
  <c r="O223" i="3" s="1"/>
  <c r="AI223" i="3"/>
  <c r="N223" i="3"/>
  <c r="G223" i="3"/>
  <c r="A223" i="3"/>
  <c r="CF222" i="3"/>
  <c r="BX222" i="3"/>
  <c r="BW222" i="3"/>
  <c r="BV222" i="3"/>
  <c r="BU222" i="3"/>
  <c r="BQ222" i="3"/>
  <c r="AS222" i="3"/>
  <c r="AQ222" i="3"/>
  <c r="J222" i="3" s="1"/>
  <c r="AO222" i="3"/>
  <c r="AN222" i="3"/>
  <c r="S222" i="3" s="1"/>
  <c r="AM222" i="3"/>
  <c r="R222" i="3"/>
  <c r="G222" i="3"/>
  <c r="A222" i="3"/>
  <c r="CF221" i="3"/>
  <c r="BX221" i="3"/>
  <c r="BW221" i="3"/>
  <c r="BV221" i="3"/>
  <c r="BU221" i="3"/>
  <c r="BQ221" i="3"/>
  <c r="AS221" i="3"/>
  <c r="AQ221" i="3"/>
  <c r="J221" i="3" s="1"/>
  <c r="AO221" i="3"/>
  <c r="K221" i="3" s="1"/>
  <c r="AN221" i="3"/>
  <c r="S221" i="3" s="1"/>
  <c r="AM221" i="3"/>
  <c r="R221" i="3" s="1"/>
  <c r="AI221" i="3"/>
  <c r="N221" i="3" s="1"/>
  <c r="G221" i="3"/>
  <c r="A221" i="3"/>
  <c r="CF220" i="3"/>
  <c r="BX220" i="3"/>
  <c r="BW220" i="3"/>
  <c r="BU220" i="3" s="1"/>
  <c r="BV220" i="3"/>
  <c r="BQ220" i="3"/>
  <c r="AS220" i="3"/>
  <c r="AQ220" i="3"/>
  <c r="J220" i="3" s="1"/>
  <c r="AO220" i="3"/>
  <c r="AN220" i="3"/>
  <c r="S220" i="3" s="1"/>
  <c r="AM220" i="3"/>
  <c r="R220" i="3" s="1"/>
  <c r="AI220" i="3"/>
  <c r="N220" i="3" s="1"/>
  <c r="G220" i="3"/>
  <c r="A220" i="3"/>
  <c r="CF219" i="3"/>
  <c r="BX219" i="3"/>
  <c r="BW219" i="3"/>
  <c r="BV219" i="3"/>
  <c r="BU219" i="3" s="1"/>
  <c r="BQ219" i="3"/>
  <c r="AS219" i="3"/>
  <c r="AQ219" i="3"/>
  <c r="J219" i="3" s="1"/>
  <c r="AO219" i="3"/>
  <c r="AN219" i="3"/>
  <c r="S219" i="3" s="1"/>
  <c r="AM219" i="3"/>
  <c r="R219" i="3" s="1"/>
  <c r="AJ219" i="3"/>
  <c r="O219" i="3" s="1"/>
  <c r="AI219" i="3"/>
  <c r="N219" i="3"/>
  <c r="K219" i="3"/>
  <c r="G219" i="3"/>
  <c r="A219" i="3"/>
  <c r="CF218" i="3"/>
  <c r="BX218" i="3"/>
  <c r="BW218" i="3"/>
  <c r="BU218" i="3" s="1"/>
  <c r="BV218" i="3"/>
  <c r="BQ218" i="3"/>
  <c r="AS218" i="3"/>
  <c r="AQ218" i="3"/>
  <c r="J218" i="3" s="1"/>
  <c r="AO218" i="3"/>
  <c r="AJ218" i="3" s="1"/>
  <c r="O218" i="3" s="1"/>
  <c r="AN218" i="3"/>
  <c r="S218" i="3" s="1"/>
  <c r="AM218" i="3"/>
  <c r="R218" i="3" s="1"/>
  <c r="AI218" i="3"/>
  <c r="N218" i="3"/>
  <c r="G218" i="3"/>
  <c r="A218" i="3"/>
  <c r="CF217" i="3"/>
  <c r="BX217" i="3"/>
  <c r="BW217" i="3"/>
  <c r="BV217" i="3"/>
  <c r="BU217" i="3"/>
  <c r="BQ217" i="3"/>
  <c r="AS217" i="3"/>
  <c r="AQ217" i="3"/>
  <c r="J217" i="3" s="1"/>
  <c r="AO217" i="3"/>
  <c r="AJ217" i="3" s="1"/>
  <c r="O217" i="3" s="1"/>
  <c r="AN217" i="3"/>
  <c r="S217" i="3" s="1"/>
  <c r="AM217" i="3"/>
  <c r="R217" i="3" s="1"/>
  <c r="AI217" i="3"/>
  <c r="N217" i="3" s="1"/>
  <c r="G217" i="3"/>
  <c r="A217" i="3"/>
  <c r="CF216" i="3"/>
  <c r="BX216" i="3"/>
  <c r="BW216" i="3"/>
  <c r="BU216" i="3" s="1"/>
  <c r="BV216" i="3"/>
  <c r="BQ216" i="3"/>
  <c r="AS216" i="3"/>
  <c r="AQ216" i="3"/>
  <c r="J216" i="3" s="1"/>
  <c r="AO216" i="3"/>
  <c r="AJ216" i="3" s="1"/>
  <c r="O216" i="3" s="1"/>
  <c r="AN216" i="3"/>
  <c r="S216" i="3" s="1"/>
  <c r="AM216" i="3"/>
  <c r="R216" i="3" s="1"/>
  <c r="AI216" i="3"/>
  <c r="N216" i="3"/>
  <c r="G216" i="3"/>
  <c r="A216" i="3"/>
  <c r="CF215" i="3"/>
  <c r="BX215" i="3"/>
  <c r="BW215" i="3"/>
  <c r="BV215" i="3"/>
  <c r="BU215" i="3"/>
  <c r="BQ215" i="3"/>
  <c r="AS215" i="3"/>
  <c r="AQ215" i="3"/>
  <c r="J215" i="3" s="1"/>
  <c r="AO215" i="3"/>
  <c r="AJ215" i="3" s="1"/>
  <c r="O215" i="3" s="1"/>
  <c r="AN215" i="3"/>
  <c r="S215" i="3" s="1"/>
  <c r="AM215" i="3"/>
  <c r="R215" i="3" s="1"/>
  <c r="AI215" i="3"/>
  <c r="N215" i="3" s="1"/>
  <c r="G215" i="3"/>
  <c r="A215" i="3"/>
  <c r="CF214" i="3"/>
  <c r="BX214" i="3"/>
  <c r="BW214" i="3"/>
  <c r="BU214" i="3" s="1"/>
  <c r="BV214" i="3"/>
  <c r="BQ214" i="3"/>
  <c r="AS214" i="3"/>
  <c r="AQ214" i="3"/>
  <c r="J214" i="3" s="1"/>
  <c r="AO214" i="3"/>
  <c r="AJ214" i="3" s="1"/>
  <c r="O214" i="3" s="1"/>
  <c r="AN214" i="3"/>
  <c r="S214" i="3" s="1"/>
  <c r="AM214" i="3"/>
  <c r="R214" i="3" s="1"/>
  <c r="AI214" i="3"/>
  <c r="N214" i="3"/>
  <c r="G214" i="3"/>
  <c r="A214" i="3"/>
  <c r="CF213" i="3"/>
  <c r="BX213" i="3"/>
  <c r="BW213" i="3"/>
  <c r="BV213" i="3"/>
  <c r="BU213" i="3"/>
  <c r="BQ213" i="3"/>
  <c r="AS213" i="3"/>
  <c r="AQ213" i="3"/>
  <c r="J213" i="3" s="1"/>
  <c r="AO213" i="3"/>
  <c r="AJ213" i="3" s="1"/>
  <c r="O213" i="3" s="1"/>
  <c r="AN213" i="3"/>
  <c r="S213" i="3" s="1"/>
  <c r="AM213" i="3"/>
  <c r="R213" i="3" s="1"/>
  <c r="AI213" i="3"/>
  <c r="N213" i="3" s="1"/>
  <c r="G213" i="3"/>
  <c r="A213" i="3"/>
  <c r="CF212" i="3"/>
  <c r="BX212" i="3"/>
  <c r="BW212" i="3"/>
  <c r="BU212" i="3" s="1"/>
  <c r="BV212" i="3"/>
  <c r="BQ212" i="3"/>
  <c r="AS212" i="3"/>
  <c r="AQ212" i="3"/>
  <c r="J212" i="3" s="1"/>
  <c r="AO212" i="3"/>
  <c r="AJ212" i="3" s="1"/>
  <c r="O212" i="3" s="1"/>
  <c r="AN212" i="3"/>
  <c r="S212" i="3" s="1"/>
  <c r="AM212" i="3"/>
  <c r="R212" i="3" s="1"/>
  <c r="AI212" i="3"/>
  <c r="N212" i="3"/>
  <c r="G212" i="3"/>
  <c r="A212" i="3"/>
  <c r="CF211" i="3"/>
  <c r="BX211" i="3"/>
  <c r="BW211" i="3"/>
  <c r="BU211" i="3" s="1"/>
  <c r="BV211" i="3"/>
  <c r="BQ211" i="3"/>
  <c r="AS211" i="3"/>
  <c r="AQ211" i="3"/>
  <c r="J211" i="3" s="1"/>
  <c r="AO211" i="3"/>
  <c r="AN211" i="3"/>
  <c r="S211" i="3" s="1"/>
  <c r="AM211" i="3"/>
  <c r="AJ211" i="3"/>
  <c r="O211" i="3" s="1"/>
  <c r="AI211" i="3"/>
  <c r="N211" i="3" s="1"/>
  <c r="R211" i="3"/>
  <c r="K211" i="3"/>
  <c r="G211" i="3"/>
  <c r="A211" i="3"/>
  <c r="CF210" i="3"/>
  <c r="BX210" i="3"/>
  <c r="BW210" i="3"/>
  <c r="BV210" i="3"/>
  <c r="BU210" i="3" s="1"/>
  <c r="BQ210" i="3"/>
  <c r="AS210" i="3"/>
  <c r="AQ210" i="3"/>
  <c r="J210" i="3" s="1"/>
  <c r="AO210" i="3"/>
  <c r="AN210" i="3"/>
  <c r="S210" i="3" s="1"/>
  <c r="AM210" i="3"/>
  <c r="AJ210" i="3"/>
  <c r="O210" i="3" s="1"/>
  <c r="AI210" i="3"/>
  <c r="R210" i="3"/>
  <c r="N210" i="3"/>
  <c r="K210" i="3"/>
  <c r="G210" i="3"/>
  <c r="A210" i="3"/>
  <c r="CF209" i="3"/>
  <c r="BX209" i="3"/>
  <c r="BW209" i="3"/>
  <c r="BV209" i="3"/>
  <c r="BQ209" i="3"/>
  <c r="AS209" i="3"/>
  <c r="AQ209" i="3"/>
  <c r="J209" i="3" s="1"/>
  <c r="AO209" i="3"/>
  <c r="AJ209" i="3" s="1"/>
  <c r="O209" i="3" s="1"/>
  <c r="AN209" i="3"/>
  <c r="S209" i="3" s="1"/>
  <c r="AM209" i="3"/>
  <c r="R209" i="3" s="1"/>
  <c r="AI209" i="3"/>
  <c r="N209" i="3"/>
  <c r="G209" i="3"/>
  <c r="A209" i="3"/>
  <c r="CF208" i="3"/>
  <c r="BX208" i="3"/>
  <c r="BW208" i="3"/>
  <c r="BV208" i="3"/>
  <c r="BU208" i="3"/>
  <c r="BQ208" i="3"/>
  <c r="AS208" i="3"/>
  <c r="AQ208" i="3"/>
  <c r="J208" i="3" s="1"/>
  <c r="AO208" i="3"/>
  <c r="AJ208" i="3" s="1"/>
  <c r="O208" i="3" s="1"/>
  <c r="AN208" i="3"/>
  <c r="S208" i="3" s="1"/>
  <c r="AM208" i="3"/>
  <c r="R208" i="3" s="1"/>
  <c r="AI208" i="3"/>
  <c r="N208" i="3" s="1"/>
  <c r="G208" i="3"/>
  <c r="A208" i="3"/>
  <c r="CF207" i="3"/>
  <c r="BX207" i="3"/>
  <c r="BW207" i="3"/>
  <c r="BU207" i="3" s="1"/>
  <c r="BV207" i="3"/>
  <c r="BQ207" i="3"/>
  <c r="AS207" i="3"/>
  <c r="AQ207" i="3"/>
  <c r="J207" i="3" s="1"/>
  <c r="AO207" i="3"/>
  <c r="AN207" i="3"/>
  <c r="S207" i="3" s="1"/>
  <c r="AM207" i="3"/>
  <c r="AJ207" i="3"/>
  <c r="O207" i="3" s="1"/>
  <c r="AI207" i="3"/>
  <c r="R207" i="3"/>
  <c r="N207" i="3"/>
  <c r="K207" i="3"/>
  <c r="G207" i="3"/>
  <c r="A207" i="3"/>
  <c r="CF206" i="3"/>
  <c r="BX206" i="3"/>
  <c r="BW206" i="3"/>
  <c r="BV206" i="3"/>
  <c r="BU206" i="3" s="1"/>
  <c r="BQ206" i="3"/>
  <c r="AS206" i="3"/>
  <c r="AQ206" i="3"/>
  <c r="J206" i="3" s="1"/>
  <c r="AO206" i="3"/>
  <c r="AN206" i="3"/>
  <c r="S206" i="3" s="1"/>
  <c r="AM206" i="3"/>
  <c r="AJ206" i="3"/>
  <c r="O206" i="3" s="1"/>
  <c r="AI206" i="3"/>
  <c r="N206" i="3" s="1"/>
  <c r="R206" i="3"/>
  <c r="K206" i="3"/>
  <c r="G206" i="3"/>
  <c r="A206" i="3"/>
  <c r="CF205" i="3"/>
  <c r="BX205" i="3"/>
  <c r="BW205" i="3"/>
  <c r="BV205" i="3"/>
  <c r="BQ205" i="3"/>
  <c r="AS205" i="3"/>
  <c r="AQ205" i="3"/>
  <c r="J205" i="3" s="1"/>
  <c r="AO205" i="3"/>
  <c r="AJ205" i="3" s="1"/>
  <c r="O205" i="3" s="1"/>
  <c r="AN205" i="3"/>
  <c r="S205" i="3" s="1"/>
  <c r="AM205" i="3"/>
  <c r="R205" i="3" s="1"/>
  <c r="AI205" i="3"/>
  <c r="N205" i="3" s="1"/>
  <c r="G205" i="3"/>
  <c r="A205" i="3"/>
  <c r="CF204" i="3"/>
  <c r="BX204" i="3"/>
  <c r="BW204" i="3"/>
  <c r="BU204" i="3" s="1"/>
  <c r="BV204" i="3"/>
  <c r="BQ204" i="3"/>
  <c r="AS204" i="3"/>
  <c r="AQ204" i="3"/>
  <c r="J204" i="3" s="1"/>
  <c r="AO204" i="3"/>
  <c r="AJ204" i="3" s="1"/>
  <c r="O204" i="3" s="1"/>
  <c r="AN204" i="3"/>
  <c r="S204" i="3" s="1"/>
  <c r="AM204" i="3"/>
  <c r="R204" i="3" s="1"/>
  <c r="AI204" i="3"/>
  <c r="N204" i="3"/>
  <c r="G204" i="3"/>
  <c r="A204" i="3"/>
  <c r="CF203" i="3"/>
  <c r="BX203" i="3"/>
  <c r="BW203" i="3"/>
  <c r="BU203" i="3" s="1"/>
  <c r="BV203" i="3"/>
  <c r="BQ203" i="3"/>
  <c r="AS203" i="3"/>
  <c r="AQ203" i="3"/>
  <c r="J203" i="3" s="1"/>
  <c r="AO203" i="3"/>
  <c r="AN203" i="3"/>
  <c r="S203" i="3" s="1"/>
  <c r="AM203" i="3"/>
  <c r="AJ203" i="3"/>
  <c r="O203" i="3" s="1"/>
  <c r="AI203" i="3"/>
  <c r="N203" i="3" s="1"/>
  <c r="R203" i="3"/>
  <c r="K203" i="3"/>
  <c r="G203" i="3"/>
  <c r="A203" i="3"/>
  <c r="CF202" i="3"/>
  <c r="BX202" i="3"/>
  <c r="BW202" i="3"/>
  <c r="BV202" i="3"/>
  <c r="BU202" i="3" s="1"/>
  <c r="BQ202" i="3"/>
  <c r="AS202" i="3"/>
  <c r="AQ202" i="3"/>
  <c r="J202" i="3" s="1"/>
  <c r="AO202" i="3"/>
  <c r="AN202" i="3"/>
  <c r="S202" i="3" s="1"/>
  <c r="AM202" i="3"/>
  <c r="AJ202" i="3"/>
  <c r="O202" i="3" s="1"/>
  <c r="AI202" i="3"/>
  <c r="R202" i="3"/>
  <c r="N202" i="3"/>
  <c r="K202" i="3"/>
  <c r="G202" i="3"/>
  <c r="A202" i="3"/>
  <c r="CF201" i="3"/>
  <c r="BX201" i="3"/>
  <c r="BW201" i="3"/>
  <c r="BV201" i="3"/>
  <c r="BQ201" i="3"/>
  <c r="AS201" i="3"/>
  <c r="AQ201" i="3"/>
  <c r="J201" i="3" s="1"/>
  <c r="AO201" i="3"/>
  <c r="AJ201" i="3" s="1"/>
  <c r="O201" i="3" s="1"/>
  <c r="AN201" i="3"/>
  <c r="S201" i="3" s="1"/>
  <c r="AM201" i="3"/>
  <c r="R201" i="3" s="1"/>
  <c r="AI201" i="3"/>
  <c r="N201" i="3"/>
  <c r="G201" i="3"/>
  <c r="A201" i="3"/>
  <c r="CF200" i="3"/>
  <c r="BX200" i="3"/>
  <c r="BW200" i="3"/>
  <c r="BV200" i="3"/>
  <c r="BU200" i="3"/>
  <c r="BQ200" i="3"/>
  <c r="AS200" i="3"/>
  <c r="AQ200" i="3"/>
  <c r="J200" i="3" s="1"/>
  <c r="AO200" i="3"/>
  <c r="AJ200" i="3" s="1"/>
  <c r="O200" i="3" s="1"/>
  <c r="AN200" i="3"/>
  <c r="S200" i="3" s="1"/>
  <c r="AM200" i="3"/>
  <c r="R200" i="3" s="1"/>
  <c r="AI200" i="3"/>
  <c r="N200" i="3" s="1"/>
  <c r="G200" i="3"/>
  <c r="A200" i="3"/>
  <c r="CF199" i="3"/>
  <c r="BX199" i="3"/>
  <c r="BW199" i="3"/>
  <c r="BU199" i="3" s="1"/>
  <c r="BV199" i="3"/>
  <c r="BQ199" i="3"/>
  <c r="AS199" i="3"/>
  <c r="AQ199" i="3"/>
  <c r="J199" i="3" s="1"/>
  <c r="AO199" i="3"/>
  <c r="AN199" i="3"/>
  <c r="S199" i="3" s="1"/>
  <c r="AM199" i="3"/>
  <c r="AJ199" i="3"/>
  <c r="O199" i="3" s="1"/>
  <c r="AI199" i="3"/>
  <c r="R199" i="3"/>
  <c r="N199" i="3"/>
  <c r="K199" i="3"/>
  <c r="G199" i="3"/>
  <c r="A199" i="3"/>
  <c r="CF198" i="3"/>
  <c r="BX198" i="3"/>
  <c r="BW198" i="3"/>
  <c r="BV198" i="3"/>
  <c r="BQ198" i="3"/>
  <c r="AS198" i="3"/>
  <c r="AQ198" i="3"/>
  <c r="J198" i="3" s="1"/>
  <c r="AO198" i="3"/>
  <c r="AJ198" i="3" s="1"/>
  <c r="O198" i="3" s="1"/>
  <c r="AN198" i="3"/>
  <c r="S198" i="3" s="1"/>
  <c r="AM198" i="3"/>
  <c r="R198" i="3" s="1"/>
  <c r="AI198" i="3"/>
  <c r="N198" i="3" s="1"/>
  <c r="K198" i="3"/>
  <c r="G198" i="3"/>
  <c r="A198" i="3"/>
  <c r="CF197" i="3"/>
  <c r="BX197" i="3"/>
  <c r="BW197" i="3"/>
  <c r="BV197" i="3"/>
  <c r="BQ197" i="3"/>
  <c r="AS197" i="3"/>
  <c r="AQ197" i="3"/>
  <c r="J197" i="3" s="1"/>
  <c r="AO197" i="3"/>
  <c r="AJ197" i="3" s="1"/>
  <c r="O197" i="3" s="1"/>
  <c r="AN197" i="3"/>
  <c r="S197" i="3" s="1"/>
  <c r="AM197" i="3"/>
  <c r="R197" i="3" s="1"/>
  <c r="AI197" i="3"/>
  <c r="N197" i="3" s="1"/>
  <c r="K197" i="3"/>
  <c r="G197" i="3"/>
  <c r="A197" i="3"/>
  <c r="CF196" i="3"/>
  <c r="BX196" i="3"/>
  <c r="BW196" i="3"/>
  <c r="BV196" i="3"/>
  <c r="BQ196" i="3"/>
  <c r="AS196" i="3"/>
  <c r="AQ196" i="3"/>
  <c r="J196" i="3" s="1"/>
  <c r="AO196" i="3"/>
  <c r="AJ196" i="3" s="1"/>
  <c r="O196" i="3" s="1"/>
  <c r="AN196" i="3"/>
  <c r="S196" i="3" s="1"/>
  <c r="AM196" i="3"/>
  <c r="R196" i="3" s="1"/>
  <c r="AI196" i="3"/>
  <c r="N196" i="3" s="1"/>
  <c r="K196" i="3"/>
  <c r="G196" i="3"/>
  <c r="A196" i="3"/>
  <c r="CF195" i="3"/>
  <c r="BX195" i="3"/>
  <c r="BW195" i="3"/>
  <c r="BV195" i="3"/>
  <c r="BQ195" i="3"/>
  <c r="AS195" i="3"/>
  <c r="AQ195" i="3"/>
  <c r="J195" i="3" s="1"/>
  <c r="AO195" i="3"/>
  <c r="AJ195" i="3" s="1"/>
  <c r="O195" i="3" s="1"/>
  <c r="AN195" i="3"/>
  <c r="S195" i="3" s="1"/>
  <c r="AM195" i="3"/>
  <c r="R195" i="3" s="1"/>
  <c r="AI195" i="3"/>
  <c r="N195" i="3" s="1"/>
  <c r="K195" i="3"/>
  <c r="G195" i="3"/>
  <c r="A195" i="3"/>
  <c r="CF194" i="3"/>
  <c r="BX194" i="3"/>
  <c r="BW194" i="3"/>
  <c r="BV194" i="3"/>
  <c r="BQ194" i="3"/>
  <c r="AS194" i="3"/>
  <c r="AQ194" i="3"/>
  <c r="J194" i="3" s="1"/>
  <c r="AO194" i="3"/>
  <c r="AJ194" i="3" s="1"/>
  <c r="O194" i="3" s="1"/>
  <c r="AN194" i="3"/>
  <c r="S194" i="3" s="1"/>
  <c r="AM194" i="3"/>
  <c r="R194" i="3" s="1"/>
  <c r="AI194" i="3"/>
  <c r="N194" i="3" s="1"/>
  <c r="K194" i="3"/>
  <c r="G194" i="3"/>
  <c r="A194" i="3"/>
  <c r="CF193" i="3"/>
  <c r="BX193" i="3"/>
  <c r="BW193" i="3"/>
  <c r="BV193" i="3"/>
  <c r="BQ193" i="3"/>
  <c r="AS193" i="3"/>
  <c r="AQ193" i="3"/>
  <c r="J193" i="3" s="1"/>
  <c r="AO193" i="3"/>
  <c r="AJ193" i="3" s="1"/>
  <c r="O193" i="3" s="1"/>
  <c r="AN193" i="3"/>
  <c r="S193" i="3" s="1"/>
  <c r="AM193" i="3"/>
  <c r="R193" i="3" s="1"/>
  <c r="AI193" i="3"/>
  <c r="N193" i="3" s="1"/>
  <c r="K193" i="3"/>
  <c r="G193" i="3"/>
  <c r="A193" i="3"/>
  <c r="CF192" i="3"/>
  <c r="BX192" i="3"/>
  <c r="BW192" i="3"/>
  <c r="BV192" i="3"/>
  <c r="BQ192" i="3"/>
  <c r="AS192" i="3"/>
  <c r="AQ192" i="3"/>
  <c r="J192" i="3" s="1"/>
  <c r="AO192" i="3"/>
  <c r="AJ192" i="3" s="1"/>
  <c r="O192" i="3" s="1"/>
  <c r="AN192" i="3"/>
  <c r="S192" i="3" s="1"/>
  <c r="AM192" i="3"/>
  <c r="R192" i="3" s="1"/>
  <c r="AI192" i="3"/>
  <c r="N192" i="3" s="1"/>
  <c r="K192" i="3"/>
  <c r="G192" i="3"/>
  <c r="A192" i="3"/>
  <c r="CF191" i="3"/>
  <c r="BX191" i="3"/>
  <c r="BW191" i="3"/>
  <c r="BV191" i="3"/>
  <c r="BQ191" i="3"/>
  <c r="AS191" i="3"/>
  <c r="AQ191" i="3"/>
  <c r="J191" i="3" s="1"/>
  <c r="AO191" i="3"/>
  <c r="AJ191" i="3" s="1"/>
  <c r="O191" i="3" s="1"/>
  <c r="AN191" i="3"/>
  <c r="S191" i="3" s="1"/>
  <c r="AM191" i="3"/>
  <c r="R191" i="3" s="1"/>
  <c r="AI191" i="3"/>
  <c r="N191" i="3" s="1"/>
  <c r="K191" i="3"/>
  <c r="G191" i="3"/>
  <c r="A191" i="3"/>
  <c r="CF190" i="3"/>
  <c r="BX190" i="3"/>
  <c r="BW190" i="3"/>
  <c r="BV190" i="3"/>
  <c r="BQ190" i="3"/>
  <c r="AS190" i="3"/>
  <c r="AQ190" i="3"/>
  <c r="J190" i="3" s="1"/>
  <c r="AO190" i="3"/>
  <c r="AJ190" i="3" s="1"/>
  <c r="O190" i="3" s="1"/>
  <c r="AN190" i="3"/>
  <c r="S190" i="3" s="1"/>
  <c r="AM190" i="3"/>
  <c r="R190" i="3" s="1"/>
  <c r="AI190" i="3"/>
  <c r="N190" i="3" s="1"/>
  <c r="K190" i="3"/>
  <c r="G190" i="3"/>
  <c r="A190" i="3"/>
  <c r="CF189" i="3"/>
  <c r="BX189" i="3"/>
  <c r="BW189" i="3"/>
  <c r="BV189" i="3"/>
  <c r="BU189" i="3" s="1"/>
  <c r="BQ189" i="3"/>
  <c r="AS189" i="3"/>
  <c r="AQ189" i="3"/>
  <c r="J189" i="3" s="1"/>
  <c r="AO189" i="3"/>
  <c r="K189" i="3" s="1"/>
  <c r="AN189" i="3"/>
  <c r="S189" i="3" s="1"/>
  <c r="AM189" i="3"/>
  <c r="AJ189" i="3"/>
  <c r="O189" i="3" s="1"/>
  <c r="AI189" i="3"/>
  <c r="N189" i="3" s="1"/>
  <c r="R189" i="3"/>
  <c r="G189" i="3"/>
  <c r="A189" i="3"/>
  <c r="CF188" i="3"/>
  <c r="BX188" i="3"/>
  <c r="BW188" i="3"/>
  <c r="BV188" i="3"/>
  <c r="BU188" i="3"/>
  <c r="BQ188" i="3"/>
  <c r="AS188" i="3"/>
  <c r="AQ188" i="3"/>
  <c r="J188" i="3" s="1"/>
  <c r="AO188" i="3"/>
  <c r="AI188" i="3" s="1"/>
  <c r="N188" i="3" s="1"/>
  <c r="AN188" i="3"/>
  <c r="S188" i="3" s="1"/>
  <c r="AM188" i="3"/>
  <c r="R188" i="3" s="1"/>
  <c r="G188" i="3"/>
  <c r="A188" i="3"/>
  <c r="CF187" i="3"/>
  <c r="BX187" i="3"/>
  <c r="BW187" i="3"/>
  <c r="BV187" i="3"/>
  <c r="BU187" i="3" s="1"/>
  <c r="BQ187" i="3"/>
  <c r="AS187" i="3"/>
  <c r="AQ187" i="3"/>
  <c r="J187" i="3" s="1"/>
  <c r="AO187" i="3"/>
  <c r="AN187" i="3"/>
  <c r="S187" i="3" s="1"/>
  <c r="AM187" i="3"/>
  <c r="AJ187" i="3"/>
  <c r="O187" i="3" s="1"/>
  <c r="AI187" i="3"/>
  <c r="N187" i="3" s="1"/>
  <c r="R187" i="3"/>
  <c r="K187" i="3"/>
  <c r="G187" i="3"/>
  <c r="A187" i="3"/>
  <c r="CF186" i="3"/>
  <c r="BX186" i="3"/>
  <c r="BW186" i="3"/>
  <c r="BU186" i="3" s="1"/>
  <c r="BV186" i="3"/>
  <c r="BQ186" i="3"/>
  <c r="AS186" i="3"/>
  <c r="AQ186" i="3"/>
  <c r="J186" i="3" s="1"/>
  <c r="AO186" i="3"/>
  <c r="AJ186" i="3" s="1"/>
  <c r="O186" i="3" s="1"/>
  <c r="AN186" i="3"/>
  <c r="S186" i="3" s="1"/>
  <c r="AM186" i="3"/>
  <c r="R186" i="3" s="1"/>
  <c r="AI186" i="3"/>
  <c r="N186" i="3" s="1"/>
  <c r="K186" i="3"/>
  <c r="G186" i="3"/>
  <c r="A186" i="3"/>
  <c r="CF185" i="3"/>
  <c r="BX185" i="3"/>
  <c r="BW185" i="3"/>
  <c r="BV185" i="3"/>
  <c r="BQ185" i="3"/>
  <c r="AS185" i="3"/>
  <c r="AQ185" i="3"/>
  <c r="J185" i="3" s="1"/>
  <c r="AO185" i="3"/>
  <c r="K185" i="3" s="1"/>
  <c r="AN185" i="3"/>
  <c r="S185" i="3" s="1"/>
  <c r="AM185" i="3"/>
  <c r="AJ185" i="3"/>
  <c r="O185" i="3" s="1"/>
  <c r="AI185" i="3"/>
  <c r="N185" i="3" s="1"/>
  <c r="R185" i="3"/>
  <c r="G185" i="3"/>
  <c r="A185" i="3"/>
  <c r="CF184" i="3"/>
  <c r="BX184" i="3"/>
  <c r="BW184" i="3"/>
  <c r="BV184" i="3"/>
  <c r="BU184" i="3"/>
  <c r="BQ184" i="3"/>
  <c r="AS184" i="3"/>
  <c r="AQ184" i="3"/>
  <c r="J184" i="3" s="1"/>
  <c r="AO184" i="3"/>
  <c r="AN184" i="3"/>
  <c r="S184" i="3" s="1"/>
  <c r="AM184" i="3"/>
  <c r="R184" i="3" s="1"/>
  <c r="G184" i="3"/>
  <c r="A184" i="3"/>
  <c r="CF183" i="3"/>
  <c r="BX183" i="3"/>
  <c r="BW183" i="3"/>
  <c r="BV183" i="3"/>
  <c r="BU183" i="3" s="1"/>
  <c r="BQ183" i="3"/>
  <c r="AS183" i="3"/>
  <c r="AQ183" i="3"/>
  <c r="J183" i="3" s="1"/>
  <c r="AO183" i="3"/>
  <c r="AN183" i="3"/>
  <c r="S183" i="3" s="1"/>
  <c r="AM183" i="3"/>
  <c r="AJ183" i="3"/>
  <c r="O183" i="3" s="1"/>
  <c r="AI183" i="3"/>
  <c r="N183" i="3" s="1"/>
  <c r="R183" i="3"/>
  <c r="K183" i="3"/>
  <c r="G183" i="3"/>
  <c r="A183" i="3"/>
  <c r="CF182" i="3"/>
  <c r="BX182" i="3"/>
  <c r="BW182" i="3"/>
  <c r="BU182" i="3" s="1"/>
  <c r="BV182" i="3"/>
  <c r="BQ182" i="3"/>
  <c r="AS182" i="3"/>
  <c r="AQ182" i="3"/>
  <c r="J182" i="3" s="1"/>
  <c r="AO182" i="3"/>
  <c r="AJ182" i="3" s="1"/>
  <c r="O182" i="3" s="1"/>
  <c r="AN182" i="3"/>
  <c r="S182" i="3" s="1"/>
  <c r="AM182" i="3"/>
  <c r="R182" i="3" s="1"/>
  <c r="AI182" i="3"/>
  <c r="N182" i="3" s="1"/>
  <c r="K182" i="3"/>
  <c r="G182" i="3"/>
  <c r="A182" i="3"/>
  <c r="CF181" i="3"/>
  <c r="BX181" i="3"/>
  <c r="BW181" i="3"/>
  <c r="BV181" i="3"/>
  <c r="BQ181" i="3"/>
  <c r="AS181" i="3"/>
  <c r="AQ181" i="3"/>
  <c r="J181" i="3" s="1"/>
  <c r="AO181" i="3"/>
  <c r="K181" i="3" s="1"/>
  <c r="AN181" i="3"/>
  <c r="S181" i="3" s="1"/>
  <c r="AM181" i="3"/>
  <c r="AJ181" i="3"/>
  <c r="O181" i="3" s="1"/>
  <c r="AI181" i="3"/>
  <c r="N181" i="3" s="1"/>
  <c r="R181" i="3"/>
  <c r="G181" i="3"/>
  <c r="A181" i="3"/>
  <c r="CF180" i="3"/>
  <c r="BX180" i="3"/>
  <c r="BW180" i="3"/>
  <c r="BV180" i="3"/>
  <c r="BU180" i="3"/>
  <c r="BQ180" i="3"/>
  <c r="AS180" i="3"/>
  <c r="AQ180" i="3"/>
  <c r="J180" i="3" s="1"/>
  <c r="AO180" i="3"/>
  <c r="AN180" i="3"/>
  <c r="S180" i="3" s="1"/>
  <c r="AM180" i="3"/>
  <c r="R180" i="3" s="1"/>
  <c r="G180" i="3"/>
  <c r="A180" i="3"/>
  <c r="CF179" i="3"/>
  <c r="BX179" i="3"/>
  <c r="BW179" i="3"/>
  <c r="BV179" i="3"/>
  <c r="BU179" i="3" s="1"/>
  <c r="BQ179" i="3"/>
  <c r="AS179" i="3"/>
  <c r="AQ179" i="3"/>
  <c r="J179" i="3" s="1"/>
  <c r="AO179" i="3"/>
  <c r="AN179" i="3"/>
  <c r="S179" i="3" s="1"/>
  <c r="AM179" i="3"/>
  <c r="AJ179" i="3"/>
  <c r="O179" i="3" s="1"/>
  <c r="AI179" i="3"/>
  <c r="N179" i="3" s="1"/>
  <c r="R179" i="3"/>
  <c r="K179" i="3"/>
  <c r="G179" i="3"/>
  <c r="A179" i="3"/>
  <c r="CF178" i="3"/>
  <c r="BX178" i="3"/>
  <c r="BW178" i="3"/>
  <c r="BU178" i="3" s="1"/>
  <c r="BV178" i="3"/>
  <c r="BQ178" i="3"/>
  <c r="AS178" i="3"/>
  <c r="AQ178" i="3"/>
  <c r="J178" i="3" s="1"/>
  <c r="AO178" i="3"/>
  <c r="AJ178" i="3" s="1"/>
  <c r="O178" i="3" s="1"/>
  <c r="AN178" i="3"/>
  <c r="S178" i="3" s="1"/>
  <c r="AM178" i="3"/>
  <c r="R178" i="3" s="1"/>
  <c r="AI178" i="3"/>
  <c r="N178" i="3" s="1"/>
  <c r="K178" i="3"/>
  <c r="G178" i="3"/>
  <c r="A178" i="3"/>
  <c r="CF177" i="3"/>
  <c r="BX177" i="3"/>
  <c r="BW177" i="3"/>
  <c r="BV177" i="3"/>
  <c r="BQ177" i="3"/>
  <c r="AS177" i="3"/>
  <c r="AQ177" i="3"/>
  <c r="J177" i="3" s="1"/>
  <c r="AO177" i="3"/>
  <c r="K177" i="3" s="1"/>
  <c r="AN177" i="3"/>
  <c r="S177" i="3" s="1"/>
  <c r="AM177" i="3"/>
  <c r="AJ177" i="3"/>
  <c r="O177" i="3" s="1"/>
  <c r="AI177" i="3"/>
  <c r="N177" i="3" s="1"/>
  <c r="R177" i="3"/>
  <c r="G177" i="3"/>
  <c r="A177" i="3"/>
  <c r="CF176" i="3"/>
  <c r="BX176" i="3"/>
  <c r="BW176" i="3"/>
  <c r="BV176" i="3"/>
  <c r="BU176" i="3"/>
  <c r="BQ176" i="3"/>
  <c r="AS176" i="3"/>
  <c r="AQ176" i="3"/>
  <c r="J176" i="3" s="1"/>
  <c r="AO176" i="3"/>
  <c r="AN176" i="3"/>
  <c r="S176" i="3" s="1"/>
  <c r="AM176" i="3"/>
  <c r="R176" i="3" s="1"/>
  <c r="AI176" i="3"/>
  <c r="N176" i="3" s="1"/>
  <c r="G176" i="3"/>
  <c r="A176" i="3"/>
  <c r="CF175" i="3"/>
  <c r="BX175" i="3"/>
  <c r="BW175" i="3"/>
  <c r="BV175" i="3"/>
  <c r="BU175" i="3" s="1"/>
  <c r="BQ175" i="3"/>
  <c r="AS175" i="3"/>
  <c r="AQ175" i="3"/>
  <c r="J175" i="3" s="1"/>
  <c r="AO175" i="3"/>
  <c r="AN175" i="3"/>
  <c r="S175" i="3" s="1"/>
  <c r="AM175" i="3"/>
  <c r="AJ175" i="3"/>
  <c r="O175" i="3" s="1"/>
  <c r="AI175" i="3"/>
  <c r="N175" i="3" s="1"/>
  <c r="R175" i="3"/>
  <c r="K175" i="3"/>
  <c r="G175" i="3"/>
  <c r="A175" i="3"/>
  <c r="CF174" i="3"/>
  <c r="BX174" i="3"/>
  <c r="BW174" i="3"/>
  <c r="BU174" i="3" s="1"/>
  <c r="BV174" i="3"/>
  <c r="BQ174" i="3"/>
  <c r="AS174" i="3"/>
  <c r="AQ174" i="3"/>
  <c r="J174" i="3" s="1"/>
  <c r="AO174" i="3"/>
  <c r="AJ174" i="3" s="1"/>
  <c r="O174" i="3" s="1"/>
  <c r="AN174" i="3"/>
  <c r="S174" i="3" s="1"/>
  <c r="AM174" i="3"/>
  <c r="R174" i="3" s="1"/>
  <c r="AI174" i="3"/>
  <c r="N174" i="3" s="1"/>
  <c r="K174" i="3"/>
  <c r="G174" i="3"/>
  <c r="A174" i="3"/>
  <c r="CF173" i="3"/>
  <c r="BX173" i="3"/>
  <c r="BW173" i="3"/>
  <c r="BV173" i="3"/>
  <c r="BU173" i="3" s="1"/>
  <c r="BQ173" i="3"/>
  <c r="AS173" i="3"/>
  <c r="AQ173" i="3"/>
  <c r="J173" i="3" s="1"/>
  <c r="AO173" i="3"/>
  <c r="K173" i="3" s="1"/>
  <c r="AN173" i="3"/>
  <c r="S173" i="3" s="1"/>
  <c r="AM173" i="3"/>
  <c r="AJ173" i="3"/>
  <c r="O173" i="3" s="1"/>
  <c r="AI173" i="3"/>
  <c r="N173" i="3" s="1"/>
  <c r="R173" i="3"/>
  <c r="G173" i="3"/>
  <c r="A173" i="3"/>
  <c r="CF172" i="3"/>
  <c r="BX172" i="3"/>
  <c r="BW172" i="3"/>
  <c r="BV172" i="3"/>
  <c r="BU172" i="3"/>
  <c r="BQ172" i="3"/>
  <c r="AS172" i="3"/>
  <c r="AQ172" i="3"/>
  <c r="J172" i="3" s="1"/>
  <c r="AO172" i="3"/>
  <c r="AI172" i="3" s="1"/>
  <c r="N172" i="3" s="1"/>
  <c r="AN172" i="3"/>
  <c r="S172" i="3" s="1"/>
  <c r="AM172" i="3"/>
  <c r="R172" i="3" s="1"/>
  <c r="G172" i="3"/>
  <c r="A172" i="3"/>
  <c r="CF171" i="3"/>
  <c r="BX171" i="3"/>
  <c r="BW171" i="3"/>
  <c r="BV171" i="3"/>
  <c r="BU171" i="3" s="1"/>
  <c r="BQ171" i="3"/>
  <c r="AS171" i="3"/>
  <c r="AQ171" i="3"/>
  <c r="J171" i="3" s="1"/>
  <c r="AO171" i="3"/>
  <c r="AN171" i="3"/>
  <c r="S171" i="3" s="1"/>
  <c r="AM171" i="3"/>
  <c r="AJ171" i="3"/>
  <c r="O171" i="3" s="1"/>
  <c r="AI171" i="3"/>
  <c r="N171" i="3" s="1"/>
  <c r="R171" i="3"/>
  <c r="K171" i="3"/>
  <c r="G171" i="3"/>
  <c r="A171" i="3"/>
  <c r="CF170" i="3"/>
  <c r="BX170" i="3"/>
  <c r="BW170" i="3"/>
  <c r="BU170" i="3" s="1"/>
  <c r="BV170" i="3"/>
  <c r="BQ170" i="3"/>
  <c r="AS170" i="3"/>
  <c r="AQ170" i="3"/>
  <c r="J170" i="3" s="1"/>
  <c r="AO170" i="3"/>
  <c r="AJ170" i="3" s="1"/>
  <c r="O170" i="3" s="1"/>
  <c r="AN170" i="3"/>
  <c r="S170" i="3" s="1"/>
  <c r="AM170" i="3"/>
  <c r="R170" i="3" s="1"/>
  <c r="AI170" i="3"/>
  <c r="N170" i="3" s="1"/>
  <c r="K170" i="3"/>
  <c r="G170" i="3"/>
  <c r="A170" i="3"/>
  <c r="CF169" i="3"/>
  <c r="BX169" i="3"/>
  <c r="BW169" i="3"/>
  <c r="BV169" i="3"/>
  <c r="BQ169" i="3"/>
  <c r="AS169" i="3"/>
  <c r="AQ169" i="3"/>
  <c r="J169" i="3" s="1"/>
  <c r="AO169" i="3"/>
  <c r="K169" i="3" s="1"/>
  <c r="AN169" i="3"/>
  <c r="S169" i="3" s="1"/>
  <c r="AM169" i="3"/>
  <c r="AJ169" i="3"/>
  <c r="O169" i="3" s="1"/>
  <c r="AI169" i="3"/>
  <c r="N169" i="3" s="1"/>
  <c r="R169" i="3"/>
  <c r="G169" i="3"/>
  <c r="A169" i="3"/>
  <c r="CF168" i="3"/>
  <c r="BX168" i="3"/>
  <c r="BW168" i="3"/>
  <c r="BV168" i="3"/>
  <c r="BU168" i="3"/>
  <c r="BQ168" i="3"/>
  <c r="AS168" i="3"/>
  <c r="AQ168" i="3"/>
  <c r="J168" i="3" s="1"/>
  <c r="AO168" i="3"/>
  <c r="AN168" i="3"/>
  <c r="S168" i="3" s="1"/>
  <c r="AM168" i="3"/>
  <c r="R168" i="3" s="1"/>
  <c r="AI168" i="3"/>
  <c r="N168" i="3" s="1"/>
  <c r="G168" i="3"/>
  <c r="A168" i="3"/>
  <c r="CF167" i="3"/>
  <c r="BX167" i="3"/>
  <c r="BW167" i="3"/>
  <c r="BV167" i="3"/>
  <c r="BU167" i="3" s="1"/>
  <c r="BQ167" i="3"/>
  <c r="AS167" i="3"/>
  <c r="AQ167" i="3"/>
  <c r="J167" i="3" s="1"/>
  <c r="AO167" i="3"/>
  <c r="AN167" i="3"/>
  <c r="S167" i="3" s="1"/>
  <c r="AM167" i="3"/>
  <c r="AJ167" i="3"/>
  <c r="O167" i="3" s="1"/>
  <c r="AI167" i="3"/>
  <c r="N167" i="3" s="1"/>
  <c r="R167" i="3"/>
  <c r="K167" i="3"/>
  <c r="G167" i="3"/>
  <c r="A167" i="3"/>
  <c r="CF166" i="3"/>
  <c r="BX166" i="3"/>
  <c r="BW166" i="3"/>
  <c r="BU166" i="3" s="1"/>
  <c r="BV166" i="3"/>
  <c r="BQ166" i="3"/>
  <c r="AS166" i="3"/>
  <c r="AQ166" i="3"/>
  <c r="J166" i="3" s="1"/>
  <c r="AO166" i="3"/>
  <c r="AJ166" i="3" s="1"/>
  <c r="O166" i="3" s="1"/>
  <c r="AN166" i="3"/>
  <c r="S166" i="3" s="1"/>
  <c r="AM166" i="3"/>
  <c r="R166" i="3" s="1"/>
  <c r="AI166" i="3"/>
  <c r="N166" i="3" s="1"/>
  <c r="K166" i="3"/>
  <c r="G166" i="3"/>
  <c r="A166" i="3"/>
  <c r="CF165" i="3"/>
  <c r="BX165" i="3"/>
  <c r="BW165" i="3"/>
  <c r="BV165" i="3"/>
  <c r="BQ165" i="3"/>
  <c r="AS165" i="3"/>
  <c r="AQ165" i="3"/>
  <c r="J165" i="3" s="1"/>
  <c r="AO165" i="3"/>
  <c r="K165" i="3" s="1"/>
  <c r="AN165" i="3"/>
  <c r="S165" i="3" s="1"/>
  <c r="AM165" i="3"/>
  <c r="AJ165" i="3"/>
  <c r="O165" i="3" s="1"/>
  <c r="AI165" i="3"/>
  <c r="N165" i="3" s="1"/>
  <c r="R165" i="3"/>
  <c r="G165" i="3"/>
  <c r="A165" i="3"/>
  <c r="CF164" i="3"/>
  <c r="BX164" i="3"/>
  <c r="BW164" i="3"/>
  <c r="BV164" i="3"/>
  <c r="BU164" i="3"/>
  <c r="BQ164" i="3"/>
  <c r="AS164" i="3"/>
  <c r="AQ164" i="3"/>
  <c r="J164" i="3" s="1"/>
  <c r="AO164" i="3"/>
  <c r="AN164" i="3"/>
  <c r="S164" i="3" s="1"/>
  <c r="AM164" i="3"/>
  <c r="R164" i="3" s="1"/>
  <c r="G164" i="3"/>
  <c r="A164" i="3"/>
  <c r="CF163" i="3"/>
  <c r="BX163" i="3"/>
  <c r="BW163" i="3"/>
  <c r="BV163" i="3"/>
  <c r="BU163" i="3" s="1"/>
  <c r="BQ163" i="3"/>
  <c r="AS163" i="3"/>
  <c r="AQ163" i="3"/>
  <c r="J163" i="3" s="1"/>
  <c r="AO163" i="3"/>
  <c r="AN163" i="3"/>
  <c r="S163" i="3" s="1"/>
  <c r="AM163" i="3"/>
  <c r="AJ163" i="3"/>
  <c r="O163" i="3" s="1"/>
  <c r="AI163" i="3"/>
  <c r="N163" i="3" s="1"/>
  <c r="R163" i="3"/>
  <c r="K163" i="3"/>
  <c r="G163" i="3"/>
  <c r="A163" i="3"/>
  <c r="CF162" i="3"/>
  <c r="BX162" i="3"/>
  <c r="BW162" i="3"/>
  <c r="BU162" i="3" s="1"/>
  <c r="BV162" i="3"/>
  <c r="BQ162" i="3"/>
  <c r="AS162" i="3"/>
  <c r="AQ162" i="3"/>
  <c r="J162" i="3" s="1"/>
  <c r="AO162" i="3"/>
  <c r="AJ162" i="3" s="1"/>
  <c r="O162" i="3" s="1"/>
  <c r="AN162" i="3"/>
  <c r="S162" i="3" s="1"/>
  <c r="AM162" i="3"/>
  <c r="R162" i="3" s="1"/>
  <c r="AI162" i="3"/>
  <c r="N162" i="3" s="1"/>
  <c r="K162" i="3"/>
  <c r="G162" i="3"/>
  <c r="A162" i="3"/>
  <c r="CF161" i="3"/>
  <c r="BX161" i="3"/>
  <c r="BW161" i="3"/>
  <c r="BV161" i="3"/>
  <c r="BQ161" i="3"/>
  <c r="AS161" i="3"/>
  <c r="AQ161" i="3"/>
  <c r="J161" i="3" s="1"/>
  <c r="AO161" i="3"/>
  <c r="K161" i="3" s="1"/>
  <c r="AN161" i="3"/>
  <c r="S161" i="3" s="1"/>
  <c r="AM161" i="3"/>
  <c r="AJ161" i="3"/>
  <c r="O161" i="3" s="1"/>
  <c r="AI161" i="3"/>
  <c r="N161" i="3" s="1"/>
  <c r="R161" i="3"/>
  <c r="G161" i="3"/>
  <c r="A161" i="3"/>
  <c r="CF160" i="3"/>
  <c r="BX160" i="3"/>
  <c r="BW160" i="3"/>
  <c r="BV160" i="3"/>
  <c r="BU160" i="3"/>
  <c r="BQ160" i="3"/>
  <c r="AS160" i="3"/>
  <c r="AQ160" i="3"/>
  <c r="J160" i="3" s="1"/>
  <c r="AO160" i="3"/>
  <c r="AN160" i="3"/>
  <c r="S160" i="3" s="1"/>
  <c r="AM160" i="3"/>
  <c r="R160" i="3" s="1"/>
  <c r="AI160" i="3"/>
  <c r="N160" i="3" s="1"/>
  <c r="G160" i="3"/>
  <c r="A160" i="3"/>
  <c r="CF159" i="3"/>
  <c r="BX159" i="3"/>
  <c r="BW159" i="3"/>
  <c r="BV159" i="3"/>
  <c r="BU159" i="3" s="1"/>
  <c r="BQ159" i="3"/>
  <c r="AS159" i="3"/>
  <c r="AQ159" i="3"/>
  <c r="J159" i="3" s="1"/>
  <c r="AO159" i="3"/>
  <c r="AN159" i="3"/>
  <c r="S159" i="3" s="1"/>
  <c r="AM159" i="3"/>
  <c r="AJ159" i="3"/>
  <c r="O159" i="3" s="1"/>
  <c r="AI159" i="3"/>
  <c r="N159" i="3" s="1"/>
  <c r="R159" i="3"/>
  <c r="K159" i="3"/>
  <c r="G159" i="3"/>
  <c r="A159" i="3"/>
  <c r="CF158" i="3"/>
  <c r="BX158" i="3"/>
  <c r="BW158" i="3"/>
  <c r="BU158" i="3" s="1"/>
  <c r="BV158" i="3"/>
  <c r="BQ158" i="3"/>
  <c r="AS158" i="3"/>
  <c r="AQ158" i="3"/>
  <c r="J158" i="3" s="1"/>
  <c r="AO158" i="3"/>
  <c r="AJ158" i="3" s="1"/>
  <c r="O158" i="3" s="1"/>
  <c r="AN158" i="3"/>
  <c r="S158" i="3" s="1"/>
  <c r="AM158" i="3"/>
  <c r="R158" i="3" s="1"/>
  <c r="AI158" i="3"/>
  <c r="N158" i="3" s="1"/>
  <c r="K158" i="3"/>
  <c r="G158" i="3"/>
  <c r="A158" i="3"/>
  <c r="CF157" i="3"/>
  <c r="BX157" i="3"/>
  <c r="BW157" i="3"/>
  <c r="BV157" i="3"/>
  <c r="BU157" i="3" s="1"/>
  <c r="BQ157" i="3"/>
  <c r="AS157" i="3"/>
  <c r="AQ157" i="3"/>
  <c r="J157" i="3" s="1"/>
  <c r="AO157" i="3"/>
  <c r="K157" i="3" s="1"/>
  <c r="AN157" i="3"/>
  <c r="S157" i="3" s="1"/>
  <c r="AM157" i="3"/>
  <c r="AJ157" i="3"/>
  <c r="O157" i="3" s="1"/>
  <c r="AI157" i="3"/>
  <c r="N157" i="3" s="1"/>
  <c r="R157" i="3"/>
  <c r="G157" i="3"/>
  <c r="A157" i="3"/>
  <c r="CF156" i="3"/>
  <c r="BX156" i="3"/>
  <c r="BW156" i="3"/>
  <c r="BV156" i="3"/>
  <c r="BU156" i="3"/>
  <c r="BQ156" i="3"/>
  <c r="AS156" i="3"/>
  <c r="AQ156" i="3"/>
  <c r="J156" i="3" s="1"/>
  <c r="AO156" i="3"/>
  <c r="AJ156" i="3" s="1"/>
  <c r="O156" i="3" s="1"/>
  <c r="AN156" i="3"/>
  <c r="S156" i="3" s="1"/>
  <c r="AM156" i="3"/>
  <c r="R156" i="3" s="1"/>
  <c r="K156" i="3"/>
  <c r="G156" i="3"/>
  <c r="A156" i="3"/>
  <c r="CF155" i="3"/>
  <c r="BX155" i="3"/>
  <c r="BW155" i="3"/>
  <c r="BV155" i="3"/>
  <c r="BQ155" i="3"/>
  <c r="AS155" i="3"/>
  <c r="AQ155" i="3"/>
  <c r="J155" i="3" s="1"/>
  <c r="AO155" i="3"/>
  <c r="AN155" i="3"/>
  <c r="S155" i="3" s="1"/>
  <c r="AM155" i="3"/>
  <c r="AJ155" i="3"/>
  <c r="O155" i="3" s="1"/>
  <c r="AI155" i="3"/>
  <c r="N155" i="3" s="1"/>
  <c r="R155" i="3"/>
  <c r="K155" i="3"/>
  <c r="G155" i="3"/>
  <c r="A155" i="3"/>
  <c r="CF154" i="3"/>
  <c r="BX154" i="3"/>
  <c r="BW154" i="3"/>
  <c r="BV154" i="3"/>
  <c r="BU154" i="3"/>
  <c r="BQ154" i="3"/>
  <c r="AS154" i="3"/>
  <c r="AQ154" i="3"/>
  <c r="J154" i="3" s="1"/>
  <c r="AO154" i="3"/>
  <c r="AJ154" i="3" s="1"/>
  <c r="O154" i="3" s="1"/>
  <c r="AN154" i="3"/>
  <c r="S154" i="3" s="1"/>
  <c r="AM154" i="3"/>
  <c r="R154" i="3" s="1"/>
  <c r="K154" i="3"/>
  <c r="G154" i="3"/>
  <c r="A154" i="3"/>
  <c r="CF153" i="3"/>
  <c r="BX153" i="3"/>
  <c r="BW153" i="3"/>
  <c r="BV153" i="3"/>
  <c r="BQ153" i="3"/>
  <c r="AS153" i="3"/>
  <c r="AQ153" i="3"/>
  <c r="J153" i="3" s="1"/>
  <c r="AO153" i="3"/>
  <c r="K153" i="3" s="1"/>
  <c r="AN153" i="3"/>
  <c r="S153" i="3" s="1"/>
  <c r="AM153" i="3"/>
  <c r="AJ153" i="3"/>
  <c r="O153" i="3" s="1"/>
  <c r="AI153" i="3"/>
  <c r="N153" i="3" s="1"/>
  <c r="R153" i="3"/>
  <c r="G153" i="3"/>
  <c r="A153" i="3"/>
  <c r="CF152" i="3"/>
  <c r="BX152" i="3"/>
  <c r="BW152" i="3"/>
  <c r="BU152" i="3" s="1"/>
  <c r="BV152" i="3"/>
  <c r="BQ152" i="3"/>
  <c r="AS152" i="3"/>
  <c r="AQ152" i="3"/>
  <c r="J152" i="3" s="1"/>
  <c r="AO152" i="3"/>
  <c r="AJ152" i="3" s="1"/>
  <c r="O152" i="3" s="1"/>
  <c r="AN152" i="3"/>
  <c r="S152" i="3" s="1"/>
  <c r="AM152" i="3"/>
  <c r="R152" i="3" s="1"/>
  <c r="K152" i="3"/>
  <c r="G152" i="3"/>
  <c r="A152" i="3"/>
  <c r="CF151" i="3"/>
  <c r="BX151" i="3"/>
  <c r="BW151" i="3"/>
  <c r="BV151" i="3"/>
  <c r="BU151" i="3" s="1"/>
  <c r="BQ151" i="3"/>
  <c r="AS151" i="3"/>
  <c r="AQ151" i="3"/>
  <c r="J151" i="3" s="1"/>
  <c r="AO151" i="3"/>
  <c r="AN151" i="3"/>
  <c r="S151" i="3" s="1"/>
  <c r="AM151" i="3"/>
  <c r="AJ151" i="3"/>
  <c r="O151" i="3" s="1"/>
  <c r="AI151" i="3"/>
  <c r="N151" i="3" s="1"/>
  <c r="R151" i="3"/>
  <c r="K151" i="3"/>
  <c r="G151" i="3"/>
  <c r="A151" i="3"/>
  <c r="CF150" i="3"/>
  <c r="BX150" i="3"/>
  <c r="BW150" i="3"/>
  <c r="BV150" i="3"/>
  <c r="BU150" i="3" s="1"/>
  <c r="BQ150" i="3"/>
  <c r="AS150" i="3"/>
  <c r="AQ150" i="3"/>
  <c r="J150" i="3" s="1"/>
  <c r="AO150" i="3"/>
  <c r="AN150" i="3"/>
  <c r="S150" i="3" s="1"/>
  <c r="AM150" i="3"/>
  <c r="AJ150" i="3"/>
  <c r="O150" i="3" s="1"/>
  <c r="AI150" i="3"/>
  <c r="N150" i="3" s="1"/>
  <c r="R150" i="3"/>
  <c r="K150" i="3"/>
  <c r="G150" i="3"/>
  <c r="A150" i="3"/>
  <c r="CF149" i="3"/>
  <c r="BX149" i="3"/>
  <c r="BW149" i="3"/>
  <c r="BV149" i="3"/>
  <c r="BQ149" i="3"/>
  <c r="AS149" i="3"/>
  <c r="AQ149" i="3"/>
  <c r="J149" i="3" s="1"/>
  <c r="AO149" i="3"/>
  <c r="AN149" i="3"/>
  <c r="S149" i="3" s="1"/>
  <c r="AM149" i="3"/>
  <c r="AJ149" i="3"/>
  <c r="O149" i="3" s="1"/>
  <c r="AI149" i="3"/>
  <c r="N149" i="3" s="1"/>
  <c r="R149" i="3"/>
  <c r="K149" i="3"/>
  <c r="G149" i="3"/>
  <c r="A149" i="3"/>
  <c r="CF148" i="3"/>
  <c r="BX148" i="3"/>
  <c r="BW148" i="3"/>
  <c r="BV148" i="3"/>
  <c r="BQ148" i="3"/>
  <c r="AS148" i="3"/>
  <c r="AQ148" i="3"/>
  <c r="J148" i="3" s="1"/>
  <c r="AO148" i="3"/>
  <c r="K148" i="3" s="1"/>
  <c r="AN148" i="3"/>
  <c r="S148" i="3" s="1"/>
  <c r="AM148" i="3"/>
  <c r="AJ148" i="3"/>
  <c r="O148" i="3" s="1"/>
  <c r="AI148" i="3"/>
  <c r="N148" i="3" s="1"/>
  <c r="R148" i="3"/>
  <c r="G148" i="3"/>
  <c r="A148" i="3"/>
  <c r="CF147" i="3"/>
  <c r="BX147" i="3"/>
  <c r="BW147" i="3"/>
  <c r="BU147" i="3" s="1"/>
  <c r="BV147" i="3"/>
  <c r="BQ147" i="3"/>
  <c r="AS147" i="3"/>
  <c r="AQ147" i="3"/>
  <c r="J147" i="3" s="1"/>
  <c r="AO147" i="3"/>
  <c r="AJ147" i="3" s="1"/>
  <c r="O147" i="3" s="1"/>
  <c r="AN147" i="3"/>
  <c r="S147" i="3" s="1"/>
  <c r="AM147" i="3"/>
  <c r="R147" i="3" s="1"/>
  <c r="AI147" i="3"/>
  <c r="N147" i="3" s="1"/>
  <c r="K147" i="3"/>
  <c r="G147" i="3"/>
  <c r="A147" i="3"/>
  <c r="CF146" i="3"/>
  <c r="BX146" i="3"/>
  <c r="BW146" i="3"/>
  <c r="BV146" i="3"/>
  <c r="BU146" i="3" s="1"/>
  <c r="BQ146" i="3"/>
  <c r="AS146" i="3"/>
  <c r="AQ146" i="3"/>
  <c r="J146" i="3" s="1"/>
  <c r="AO146" i="3"/>
  <c r="AN146" i="3"/>
  <c r="S146" i="3" s="1"/>
  <c r="AM146" i="3"/>
  <c r="AJ146" i="3"/>
  <c r="O146" i="3" s="1"/>
  <c r="AI146" i="3"/>
  <c r="N146" i="3" s="1"/>
  <c r="R146" i="3"/>
  <c r="K146" i="3"/>
  <c r="G146" i="3"/>
  <c r="A146" i="3"/>
  <c r="CF145" i="3"/>
  <c r="BX145" i="3"/>
  <c r="BW145" i="3"/>
  <c r="BV145" i="3"/>
  <c r="BU145" i="3"/>
  <c r="BQ145" i="3"/>
  <c r="AS145" i="3"/>
  <c r="AQ145" i="3"/>
  <c r="J145" i="3" s="1"/>
  <c r="AO145" i="3"/>
  <c r="AJ145" i="3" s="1"/>
  <c r="O145" i="3" s="1"/>
  <c r="AN145" i="3"/>
  <c r="S145" i="3" s="1"/>
  <c r="AM145" i="3"/>
  <c r="R145" i="3" s="1"/>
  <c r="K145" i="3"/>
  <c r="G145" i="3"/>
  <c r="A145" i="3"/>
  <c r="CF144" i="3"/>
  <c r="BX144" i="3"/>
  <c r="BW144" i="3"/>
  <c r="BV144" i="3"/>
  <c r="BU144" i="3" s="1"/>
  <c r="BQ144" i="3"/>
  <c r="AS144" i="3"/>
  <c r="AQ144" i="3"/>
  <c r="J144" i="3" s="1"/>
  <c r="AO144" i="3"/>
  <c r="K144" i="3" s="1"/>
  <c r="AN144" i="3"/>
  <c r="S144" i="3" s="1"/>
  <c r="AM144" i="3"/>
  <c r="AJ144" i="3"/>
  <c r="O144" i="3" s="1"/>
  <c r="AI144" i="3"/>
  <c r="N144" i="3" s="1"/>
  <c r="R144" i="3"/>
  <c r="G144" i="3"/>
  <c r="A144" i="3"/>
  <c r="CF143" i="3"/>
  <c r="BX143" i="3"/>
  <c r="BW143" i="3"/>
  <c r="BV143" i="3"/>
  <c r="BU143" i="3" s="1"/>
  <c r="BQ143" i="3"/>
  <c r="AS143" i="3"/>
  <c r="AQ143" i="3"/>
  <c r="J143" i="3" s="1"/>
  <c r="AO143" i="3"/>
  <c r="AN143" i="3"/>
  <c r="S143" i="3" s="1"/>
  <c r="AM143" i="3"/>
  <c r="R143" i="3" s="1"/>
  <c r="AJ143" i="3"/>
  <c r="O143" i="3" s="1"/>
  <c r="AI143" i="3"/>
  <c r="N143" i="3" s="1"/>
  <c r="K143" i="3"/>
  <c r="G143" i="3"/>
  <c r="A143" i="3"/>
  <c r="CF142" i="3"/>
  <c r="BX142" i="3"/>
  <c r="BW142" i="3"/>
  <c r="BV142" i="3"/>
  <c r="BQ142" i="3"/>
  <c r="AS142" i="3"/>
  <c r="AQ142" i="3"/>
  <c r="J142" i="3" s="1"/>
  <c r="AO142" i="3"/>
  <c r="AN142" i="3"/>
  <c r="S142" i="3" s="1"/>
  <c r="AM142" i="3"/>
  <c r="R142" i="3" s="1"/>
  <c r="AJ142" i="3"/>
  <c r="O142" i="3" s="1"/>
  <c r="AI142" i="3"/>
  <c r="N142" i="3"/>
  <c r="K142" i="3"/>
  <c r="G142" i="3"/>
  <c r="A142" i="3"/>
  <c r="CF141" i="3"/>
  <c r="BW141" i="3"/>
  <c r="BV141" i="3"/>
  <c r="BU141" i="3" s="1"/>
  <c r="BQ141" i="3"/>
  <c r="AS141" i="3"/>
  <c r="AQ141" i="3"/>
  <c r="J141" i="3" s="1"/>
  <c r="AO141" i="3"/>
  <c r="AN141" i="3"/>
  <c r="S141" i="3" s="1"/>
  <c r="AM141" i="3"/>
  <c r="R141" i="3" s="1"/>
  <c r="G141" i="3"/>
  <c r="A141" i="3"/>
  <c r="CF140" i="3"/>
  <c r="BW140" i="3"/>
  <c r="BV140" i="3"/>
  <c r="BU140" i="3" s="1"/>
  <c r="BQ140" i="3"/>
  <c r="AS140" i="3"/>
  <c r="AQ140" i="3"/>
  <c r="J140" i="3" s="1"/>
  <c r="AO140" i="3"/>
  <c r="AI140" i="3" s="1"/>
  <c r="N140" i="3" s="1"/>
  <c r="AN140" i="3"/>
  <c r="S140" i="3" s="1"/>
  <c r="AM140" i="3"/>
  <c r="R140" i="3" s="1"/>
  <c r="AJ140" i="3"/>
  <c r="O140" i="3" s="1"/>
  <c r="K140" i="3"/>
  <c r="G140" i="3"/>
  <c r="A140" i="3"/>
  <c r="CF139" i="3"/>
  <c r="BW139" i="3"/>
  <c r="BV139" i="3"/>
  <c r="BU139" i="3" s="1"/>
  <c r="BQ139" i="3"/>
  <c r="AS139" i="3"/>
  <c r="AQ139" i="3"/>
  <c r="AO139" i="3"/>
  <c r="AI139" i="3" s="1"/>
  <c r="N139" i="3" s="1"/>
  <c r="AN139" i="3"/>
  <c r="AM139" i="3"/>
  <c r="R139" i="3" s="1"/>
  <c r="S139" i="3"/>
  <c r="J139" i="3"/>
  <c r="G139" i="3"/>
  <c r="A139" i="3"/>
  <c r="CF138" i="3"/>
  <c r="BW138" i="3"/>
  <c r="BU138" i="3" s="1"/>
  <c r="BV138" i="3"/>
  <c r="BQ138" i="3"/>
  <c r="AS138" i="3"/>
  <c r="AQ138" i="3"/>
  <c r="J138" i="3" s="1"/>
  <c r="AO138" i="3"/>
  <c r="AN138" i="3"/>
  <c r="S138" i="3" s="1"/>
  <c r="AM138" i="3"/>
  <c r="AJ138" i="3"/>
  <c r="O138" i="3" s="1"/>
  <c r="AI138" i="3"/>
  <c r="R138" i="3"/>
  <c r="N138" i="3"/>
  <c r="K138" i="3"/>
  <c r="G138" i="3"/>
  <c r="A138" i="3"/>
  <c r="CF137" i="3"/>
  <c r="BW137" i="3"/>
  <c r="BV137" i="3"/>
  <c r="BQ137" i="3"/>
  <c r="AS137" i="3"/>
  <c r="AQ137" i="3"/>
  <c r="J137" i="3" s="1"/>
  <c r="AO137" i="3"/>
  <c r="AJ137" i="3" s="1"/>
  <c r="O137" i="3" s="1"/>
  <c r="AN137" i="3"/>
  <c r="S137" i="3" s="1"/>
  <c r="AM137" i="3"/>
  <c r="R137" i="3" s="1"/>
  <c r="AI137" i="3"/>
  <c r="N137" i="3" s="1"/>
  <c r="G137" i="3"/>
  <c r="A137" i="3"/>
  <c r="CF136" i="3"/>
  <c r="BW136" i="3"/>
  <c r="BV136" i="3"/>
  <c r="BU136" i="3"/>
  <c r="BQ136" i="3"/>
  <c r="AS136" i="3"/>
  <c r="AQ136" i="3"/>
  <c r="J136" i="3" s="1"/>
  <c r="AO136" i="3"/>
  <c r="AI136" i="3" s="1"/>
  <c r="N136" i="3" s="1"/>
  <c r="AN136" i="3"/>
  <c r="S136" i="3" s="1"/>
  <c r="AM136" i="3"/>
  <c r="R136" i="3"/>
  <c r="G136" i="3"/>
  <c r="A136" i="3"/>
  <c r="CF135" i="3"/>
  <c r="BW135" i="3"/>
  <c r="BV135" i="3"/>
  <c r="BU135" i="3" s="1"/>
  <c r="BQ135" i="3"/>
  <c r="AS135" i="3"/>
  <c r="AQ135" i="3"/>
  <c r="AO135" i="3"/>
  <c r="AI135" i="3" s="1"/>
  <c r="N135" i="3" s="1"/>
  <c r="AN135" i="3"/>
  <c r="S135" i="3" s="1"/>
  <c r="AM135" i="3"/>
  <c r="R135" i="3" s="1"/>
  <c r="J135" i="3"/>
  <c r="G135" i="3"/>
  <c r="A135" i="3"/>
  <c r="CF134" i="3"/>
  <c r="BW134" i="3"/>
  <c r="BV134" i="3"/>
  <c r="BQ134" i="3"/>
  <c r="AS134" i="3"/>
  <c r="AQ134" i="3"/>
  <c r="J134" i="3" s="1"/>
  <c r="AO134" i="3"/>
  <c r="AJ134" i="3" s="1"/>
  <c r="O134" i="3" s="1"/>
  <c r="AN134" i="3"/>
  <c r="S134" i="3" s="1"/>
  <c r="AM134" i="3"/>
  <c r="AI134" i="3"/>
  <c r="N134" i="3" s="1"/>
  <c r="R134" i="3"/>
  <c r="K134" i="3"/>
  <c r="G134" i="3"/>
  <c r="A134" i="3"/>
  <c r="CF133" i="3"/>
  <c r="BW133" i="3"/>
  <c r="BV133" i="3"/>
  <c r="BQ133" i="3"/>
  <c r="AS133" i="3"/>
  <c r="AQ133" i="3"/>
  <c r="J133" i="3" s="1"/>
  <c r="AO133" i="3"/>
  <c r="AJ133" i="3" s="1"/>
  <c r="O133" i="3" s="1"/>
  <c r="AN133" i="3"/>
  <c r="S133" i="3" s="1"/>
  <c r="AM133" i="3"/>
  <c r="R133" i="3" s="1"/>
  <c r="AI133" i="3"/>
  <c r="N133" i="3" s="1"/>
  <c r="G133" i="3"/>
  <c r="A133" i="3"/>
  <c r="CF132" i="3"/>
  <c r="BW132" i="3"/>
  <c r="BV132" i="3"/>
  <c r="BU132" i="3" s="1"/>
  <c r="BQ132" i="3"/>
  <c r="AS132" i="3"/>
  <c r="AQ132" i="3"/>
  <c r="AO132" i="3"/>
  <c r="AI132" i="3" s="1"/>
  <c r="N132" i="3" s="1"/>
  <c r="AN132" i="3"/>
  <c r="S132" i="3" s="1"/>
  <c r="AM132" i="3"/>
  <c r="R132" i="3" s="1"/>
  <c r="AJ132" i="3"/>
  <c r="O132" i="3" s="1"/>
  <c r="K132" i="3"/>
  <c r="J132" i="3"/>
  <c r="G132" i="3"/>
  <c r="A132" i="3"/>
  <c r="CF131" i="3"/>
  <c r="BW131" i="3"/>
  <c r="BV131" i="3"/>
  <c r="BQ131" i="3"/>
  <c r="BC131" i="3"/>
  <c r="BE131" i="3" s="1"/>
  <c r="AS131" i="3"/>
  <c r="AQ131" i="3"/>
  <c r="J131" i="3" s="1"/>
  <c r="AO131" i="3"/>
  <c r="AN131" i="3"/>
  <c r="S131" i="3" s="1"/>
  <c r="AM131" i="3"/>
  <c r="R131" i="3" s="1"/>
  <c r="G131" i="3"/>
  <c r="A131" i="3"/>
  <c r="CF130" i="3"/>
  <c r="BW130" i="3"/>
  <c r="BV130" i="3"/>
  <c r="BU130" i="3"/>
  <c r="BQ130" i="3"/>
  <c r="BE130" i="3"/>
  <c r="BC130" i="3"/>
  <c r="AS130" i="3"/>
  <c r="AQ130" i="3"/>
  <c r="J130" i="3" s="1"/>
  <c r="AO130" i="3"/>
  <c r="AI130" i="3" s="1"/>
  <c r="N130" i="3" s="1"/>
  <c r="AN130" i="3"/>
  <c r="S130" i="3" s="1"/>
  <c r="AM130" i="3"/>
  <c r="R130" i="3" s="1"/>
  <c r="G130" i="3"/>
  <c r="A130" i="3"/>
  <c r="CF129" i="3"/>
  <c r="BW129" i="3"/>
  <c r="BV129" i="3"/>
  <c r="BU129" i="3" s="1"/>
  <c r="BQ129" i="3"/>
  <c r="BC129" i="3"/>
  <c r="BE129" i="3" s="1"/>
  <c r="AS129" i="3"/>
  <c r="AQ129" i="3"/>
  <c r="J129" i="3" s="1"/>
  <c r="AO129" i="3"/>
  <c r="AI129" i="3" s="1"/>
  <c r="N129" i="3" s="1"/>
  <c r="AN129" i="3"/>
  <c r="S129" i="3" s="1"/>
  <c r="AM129" i="3"/>
  <c r="R129" i="3" s="1"/>
  <c r="G129" i="3"/>
  <c r="A129" i="3"/>
  <c r="CF128" i="3"/>
  <c r="BW128" i="3"/>
  <c r="BU128" i="3" s="1"/>
  <c r="BV128" i="3"/>
  <c r="BQ128" i="3"/>
  <c r="BL128" i="3"/>
  <c r="BC128" i="3"/>
  <c r="BE128" i="3" s="1"/>
  <c r="AS128" i="3"/>
  <c r="AQ128" i="3"/>
  <c r="J128" i="3" s="1"/>
  <c r="AO128" i="3"/>
  <c r="AN128" i="3"/>
  <c r="S128" i="3" s="1"/>
  <c r="AM128" i="3"/>
  <c r="R128" i="3" s="1"/>
  <c r="AJ128" i="3"/>
  <c r="O128" i="3" s="1"/>
  <c r="AI128" i="3"/>
  <c r="N128" i="3"/>
  <c r="K128" i="3"/>
  <c r="G128" i="3"/>
  <c r="A128" i="3"/>
  <c r="CF127" i="3"/>
  <c r="BW127" i="3"/>
  <c r="BV127" i="3"/>
  <c r="BQ127" i="3"/>
  <c r="BI127" i="3"/>
  <c r="BI128" i="3" s="1"/>
  <c r="BE127" i="3"/>
  <c r="BC127" i="3"/>
  <c r="AS127" i="3"/>
  <c r="AQ127" i="3"/>
  <c r="J127" i="3" s="1"/>
  <c r="AO127" i="3"/>
  <c r="AN127" i="3"/>
  <c r="S127" i="3" s="1"/>
  <c r="AM127" i="3"/>
  <c r="AJ127" i="3"/>
  <c r="O127" i="3" s="1"/>
  <c r="R127" i="3"/>
  <c r="G127" i="3"/>
  <c r="A127" i="3"/>
  <c r="CF126" i="3"/>
  <c r="BW126" i="3"/>
  <c r="BV126" i="3"/>
  <c r="BQ126" i="3"/>
  <c r="BC126" i="3"/>
  <c r="BE126" i="3" s="1"/>
  <c r="AS126" i="3"/>
  <c r="AQ126" i="3"/>
  <c r="J126" i="3" s="1"/>
  <c r="AO126" i="3"/>
  <c r="AJ126" i="3" s="1"/>
  <c r="O126" i="3" s="1"/>
  <c r="AN126" i="3"/>
  <c r="AM126" i="3"/>
  <c r="R126" i="3" s="1"/>
  <c r="S126" i="3"/>
  <c r="G126" i="3"/>
  <c r="A126" i="3"/>
  <c r="CF125" i="3"/>
  <c r="BW125" i="3"/>
  <c r="BU125" i="3" s="1"/>
  <c r="BV125" i="3"/>
  <c r="BQ125" i="3"/>
  <c r="BE125" i="3"/>
  <c r="BC125" i="3"/>
  <c r="AS125" i="3"/>
  <c r="AQ125" i="3"/>
  <c r="J125" i="3" s="1"/>
  <c r="AO125" i="3"/>
  <c r="AJ125" i="3" s="1"/>
  <c r="O125" i="3" s="1"/>
  <c r="AN125" i="3"/>
  <c r="S125" i="3" s="1"/>
  <c r="AM125" i="3"/>
  <c r="R125" i="3" s="1"/>
  <c r="AI125" i="3"/>
  <c r="N125" i="3" s="1"/>
  <c r="G125" i="3"/>
  <c r="A125" i="3"/>
  <c r="CF124" i="3"/>
  <c r="BW124" i="3"/>
  <c r="BV124" i="3"/>
  <c r="BU124" i="3" s="1"/>
  <c r="BQ124" i="3"/>
  <c r="BC124" i="3"/>
  <c r="BE124" i="3" s="1"/>
  <c r="AS124" i="3"/>
  <c r="AQ124" i="3"/>
  <c r="J124" i="3" s="1"/>
  <c r="AO124" i="3"/>
  <c r="AI124" i="3" s="1"/>
  <c r="N124" i="3" s="1"/>
  <c r="AN124" i="3"/>
  <c r="S124" i="3" s="1"/>
  <c r="AM124" i="3"/>
  <c r="R124" i="3" s="1"/>
  <c r="G124" i="3"/>
  <c r="A124" i="3"/>
  <c r="CF123" i="3"/>
  <c r="BW123" i="3"/>
  <c r="BU123" i="3" s="1"/>
  <c r="BV123" i="3"/>
  <c r="BQ123" i="3"/>
  <c r="BL123" i="3"/>
  <c r="BJ123" i="3"/>
  <c r="BC123" i="3"/>
  <c r="BE123" i="3" s="1"/>
  <c r="AS123" i="3"/>
  <c r="AQ123" i="3"/>
  <c r="J123" i="3" s="1"/>
  <c r="AO123" i="3"/>
  <c r="AN123" i="3"/>
  <c r="S123" i="3" s="1"/>
  <c r="AM123" i="3"/>
  <c r="AJ123" i="3"/>
  <c r="O123" i="3" s="1"/>
  <c r="AI123" i="3"/>
  <c r="R123" i="3"/>
  <c r="N123" i="3"/>
  <c r="K123" i="3"/>
  <c r="G123" i="3"/>
  <c r="A123" i="3"/>
  <c r="CF122" i="3"/>
  <c r="BW122" i="3"/>
  <c r="BV122" i="3"/>
  <c r="BQ122" i="3"/>
  <c r="BC122" i="3"/>
  <c r="BE122" i="3" s="1"/>
  <c r="AS122" i="3"/>
  <c r="AQ122" i="3"/>
  <c r="AO122" i="3"/>
  <c r="AI122" i="3" s="1"/>
  <c r="N122" i="3" s="1"/>
  <c r="AN122" i="3"/>
  <c r="AM122" i="3"/>
  <c r="R122" i="3" s="1"/>
  <c r="S122" i="3"/>
  <c r="J122" i="3"/>
  <c r="G122" i="3"/>
  <c r="A122" i="3"/>
  <c r="CF121" i="3"/>
  <c r="BW121" i="3"/>
  <c r="BV121" i="3"/>
  <c r="BQ121" i="3"/>
  <c r="BL121" i="3"/>
  <c r="BJ121" i="3"/>
  <c r="BE121" i="3"/>
  <c r="BC121" i="3"/>
  <c r="AY121" i="3"/>
  <c r="AW121" i="3" s="1"/>
  <c r="AS121" i="3"/>
  <c r="AQ121" i="3"/>
  <c r="AO121" i="3"/>
  <c r="AI121" i="3" s="1"/>
  <c r="N121" i="3" s="1"/>
  <c r="AN121" i="3"/>
  <c r="S121" i="3" s="1"/>
  <c r="AM121" i="3"/>
  <c r="AJ121" i="3"/>
  <c r="O121" i="3" s="1"/>
  <c r="R121" i="3"/>
  <c r="K121" i="3"/>
  <c r="J121" i="3"/>
  <c r="G121" i="3"/>
  <c r="A121" i="3"/>
  <c r="CF120" i="3"/>
  <c r="BW120" i="3"/>
  <c r="BV120" i="3"/>
  <c r="BQ120" i="3"/>
  <c r="BK120" i="3"/>
  <c r="BJ120" i="3"/>
  <c r="BL120" i="3" s="1"/>
  <c r="AY120" i="3"/>
  <c r="AW120" i="3"/>
  <c r="AS120" i="3"/>
  <c r="AQ120" i="3"/>
  <c r="J120" i="3" s="1"/>
  <c r="AO120" i="3"/>
  <c r="AJ120" i="3" s="1"/>
  <c r="O120" i="3" s="1"/>
  <c r="AN120" i="3"/>
  <c r="S120" i="3" s="1"/>
  <c r="AM120" i="3"/>
  <c r="R120" i="3" s="1"/>
  <c r="AI120" i="3"/>
  <c r="N120" i="3" s="1"/>
  <c r="G120" i="3"/>
  <c r="A120" i="3"/>
  <c r="CF119" i="3"/>
  <c r="BW119" i="3"/>
  <c r="BV119" i="3"/>
  <c r="BU119" i="3" s="1"/>
  <c r="BQ119" i="3"/>
  <c r="AY119" i="3"/>
  <c r="AW119" i="3" s="1"/>
  <c r="AS119" i="3"/>
  <c r="AQ119" i="3"/>
  <c r="J119" i="3" s="1"/>
  <c r="AO119" i="3"/>
  <c r="AJ119" i="3" s="1"/>
  <c r="O119" i="3" s="1"/>
  <c r="AN119" i="3"/>
  <c r="S119" i="3" s="1"/>
  <c r="AM119" i="3"/>
  <c r="R119" i="3" s="1"/>
  <c r="AI119" i="3"/>
  <c r="N119" i="3"/>
  <c r="G119" i="3"/>
  <c r="A119" i="3"/>
  <c r="CF118" i="3"/>
  <c r="BW118" i="3"/>
  <c r="BV118" i="3"/>
  <c r="BU118" i="3" s="1"/>
  <c r="BQ118" i="3"/>
  <c r="AY118" i="3"/>
  <c r="AW118" i="3" s="1"/>
  <c r="AS118" i="3"/>
  <c r="AQ118" i="3"/>
  <c r="AO118" i="3"/>
  <c r="AI118" i="3" s="1"/>
  <c r="N118" i="3" s="1"/>
  <c r="AN118" i="3"/>
  <c r="S118" i="3" s="1"/>
  <c r="AM118" i="3"/>
  <c r="R118" i="3" s="1"/>
  <c r="J118" i="3"/>
  <c r="G118" i="3"/>
  <c r="A118" i="3"/>
  <c r="CF117" i="3"/>
  <c r="BW117" i="3"/>
  <c r="BU117" i="3" s="1"/>
  <c r="BV117" i="3"/>
  <c r="BQ117" i="3"/>
  <c r="BC117" i="3"/>
  <c r="BB117" i="3"/>
  <c r="BD117" i="3" s="1"/>
  <c r="AY117" i="3"/>
  <c r="AW117" i="3" s="1"/>
  <c r="AS117" i="3"/>
  <c r="AQ117" i="3"/>
  <c r="AO117" i="3"/>
  <c r="AI117" i="3" s="1"/>
  <c r="N117" i="3" s="1"/>
  <c r="AN117" i="3"/>
  <c r="AM117" i="3"/>
  <c r="R117" i="3" s="1"/>
  <c r="S117" i="3"/>
  <c r="J117" i="3"/>
  <c r="G117" i="3"/>
  <c r="A117" i="3"/>
  <c r="CF116" i="3"/>
  <c r="BW116" i="3"/>
  <c r="BU116" i="3" s="1"/>
  <c r="BV116" i="3"/>
  <c r="BQ116" i="3"/>
  <c r="BD116" i="3"/>
  <c r="AS116" i="3"/>
  <c r="AQ116" i="3"/>
  <c r="AO116" i="3"/>
  <c r="AI116" i="3" s="1"/>
  <c r="N116" i="3" s="1"/>
  <c r="AN116" i="3"/>
  <c r="S116" i="3" s="1"/>
  <c r="AM116" i="3"/>
  <c r="R116" i="3" s="1"/>
  <c r="J116" i="3"/>
  <c r="G116" i="3"/>
  <c r="A116" i="3"/>
  <c r="CF115" i="3"/>
  <c r="BW115" i="3"/>
  <c r="BU115" i="3" s="1"/>
  <c r="BV115" i="3"/>
  <c r="BQ115" i="3"/>
  <c r="AY115" i="3"/>
  <c r="AZ115" i="3" s="1"/>
  <c r="AS115" i="3"/>
  <c r="AQ115" i="3"/>
  <c r="AO115" i="3"/>
  <c r="AI115" i="3" s="1"/>
  <c r="N115" i="3" s="1"/>
  <c r="AN115" i="3"/>
  <c r="S115" i="3" s="1"/>
  <c r="AM115" i="3"/>
  <c r="AJ115" i="3"/>
  <c r="O115" i="3" s="1"/>
  <c r="R115" i="3"/>
  <c r="K115" i="3"/>
  <c r="J115" i="3"/>
  <c r="G115" i="3"/>
  <c r="A115" i="3"/>
  <c r="CF114" i="3"/>
  <c r="BW114" i="3"/>
  <c r="BV114" i="3"/>
  <c r="BQ114" i="3"/>
  <c r="BD114" i="3"/>
  <c r="AZ114" i="3"/>
  <c r="AY114" i="3"/>
  <c r="AS114" i="3"/>
  <c r="AQ114" i="3"/>
  <c r="J114" i="3" s="1"/>
  <c r="AO114" i="3"/>
  <c r="AJ114" i="3" s="1"/>
  <c r="O114" i="3" s="1"/>
  <c r="AN114" i="3"/>
  <c r="S114" i="3" s="1"/>
  <c r="AM114" i="3"/>
  <c r="R114" i="3" s="1"/>
  <c r="AI114" i="3"/>
  <c r="N114" i="3"/>
  <c r="G114" i="3"/>
  <c r="A114" i="3"/>
  <c r="CF113" i="3"/>
  <c r="BW113" i="3"/>
  <c r="BV113" i="3"/>
  <c r="BU113" i="3" s="1"/>
  <c r="BQ113" i="3"/>
  <c r="AY113" i="3"/>
  <c r="AZ113" i="3" s="1"/>
  <c r="AS113" i="3"/>
  <c r="AQ113" i="3"/>
  <c r="AO113" i="3"/>
  <c r="AI113" i="3" s="1"/>
  <c r="N113" i="3" s="1"/>
  <c r="AN113" i="3"/>
  <c r="S113" i="3" s="1"/>
  <c r="AM113" i="3"/>
  <c r="R113" i="3" s="1"/>
  <c r="J113" i="3"/>
  <c r="G113" i="3"/>
  <c r="A113" i="3"/>
  <c r="CF112" i="3"/>
  <c r="BW112" i="3"/>
  <c r="BU112" i="3" s="1"/>
  <c r="BV112" i="3"/>
  <c r="BQ112" i="3"/>
  <c r="BK112" i="3"/>
  <c r="BJ112" i="3"/>
  <c r="BL112" i="3" s="1"/>
  <c r="AY112" i="3"/>
  <c r="AZ112" i="3" s="1"/>
  <c r="AS112" i="3"/>
  <c r="AQ112" i="3"/>
  <c r="J112" i="3" s="1"/>
  <c r="AO112" i="3"/>
  <c r="AI112" i="3" s="1"/>
  <c r="N112" i="3" s="1"/>
  <c r="AN112" i="3"/>
  <c r="AM112" i="3"/>
  <c r="R112" i="3" s="1"/>
  <c r="S112" i="3"/>
  <c r="G112" i="3"/>
  <c r="A112" i="3"/>
  <c r="CF111" i="3"/>
  <c r="BW111" i="3"/>
  <c r="BV111" i="3"/>
  <c r="BQ111" i="3"/>
  <c r="BK111" i="3"/>
  <c r="BL111" i="3" s="1"/>
  <c r="BJ111" i="3"/>
  <c r="AZ111" i="3"/>
  <c r="AY111" i="3"/>
  <c r="AS111" i="3"/>
  <c r="AQ111" i="3"/>
  <c r="AO111" i="3"/>
  <c r="AI111" i="3" s="1"/>
  <c r="N111" i="3" s="1"/>
  <c r="AN111" i="3"/>
  <c r="S111" i="3" s="1"/>
  <c r="AM111" i="3"/>
  <c r="R111" i="3" s="1"/>
  <c r="J111" i="3"/>
  <c r="G111" i="3"/>
  <c r="A111" i="3"/>
  <c r="CF110" i="3"/>
  <c r="BW110" i="3"/>
  <c r="BV110" i="3"/>
  <c r="BQ110" i="3"/>
  <c r="AS110" i="3"/>
  <c r="AQ110" i="3"/>
  <c r="J110" i="3" s="1"/>
  <c r="AO110" i="3"/>
  <c r="AI110" i="3" s="1"/>
  <c r="N110" i="3" s="1"/>
  <c r="AN110" i="3"/>
  <c r="AM110" i="3"/>
  <c r="R110" i="3" s="1"/>
  <c r="S110" i="3"/>
  <c r="G110" i="3"/>
  <c r="A110" i="3"/>
  <c r="CF109" i="3"/>
  <c r="BW109" i="3"/>
  <c r="BV109" i="3"/>
  <c r="BQ109" i="3"/>
  <c r="AS109" i="3"/>
  <c r="AQ109" i="3"/>
  <c r="J109" i="3" s="1"/>
  <c r="AO109" i="3"/>
  <c r="AJ109" i="3" s="1"/>
  <c r="O109" i="3" s="1"/>
  <c r="AN109" i="3"/>
  <c r="S109" i="3" s="1"/>
  <c r="AM109" i="3"/>
  <c r="R109" i="3" s="1"/>
  <c r="AI109" i="3"/>
  <c r="N109" i="3"/>
  <c r="G109" i="3"/>
  <c r="A109" i="3"/>
  <c r="CF108" i="3"/>
  <c r="BW108" i="3"/>
  <c r="BV108" i="3"/>
  <c r="BU108" i="3" s="1"/>
  <c r="BQ108" i="3"/>
  <c r="AS108" i="3"/>
  <c r="AQ108" i="3"/>
  <c r="J108" i="3" s="1"/>
  <c r="AO108" i="3"/>
  <c r="AJ108" i="3" s="1"/>
  <c r="O108" i="3" s="1"/>
  <c r="AN108" i="3"/>
  <c r="AM108" i="3"/>
  <c r="R108" i="3" s="1"/>
  <c r="S108" i="3"/>
  <c r="G108" i="3"/>
  <c r="A108" i="3"/>
  <c r="CF107" i="3"/>
  <c r="BW107" i="3"/>
  <c r="BV107" i="3"/>
  <c r="BU107" i="3"/>
  <c r="BQ107" i="3"/>
  <c r="AS107" i="3"/>
  <c r="AQ107" i="3"/>
  <c r="AO107" i="3"/>
  <c r="AI107" i="3" s="1"/>
  <c r="N107" i="3" s="1"/>
  <c r="AN107" i="3"/>
  <c r="S107" i="3" s="1"/>
  <c r="AM107" i="3"/>
  <c r="AJ107" i="3"/>
  <c r="O107" i="3" s="1"/>
  <c r="R107" i="3"/>
  <c r="K107" i="3"/>
  <c r="J107" i="3"/>
  <c r="G107" i="3"/>
  <c r="A107" i="3"/>
  <c r="CF106" i="3"/>
  <c r="BW106" i="3"/>
  <c r="BV106" i="3"/>
  <c r="BU106" i="3" s="1"/>
  <c r="BQ106" i="3"/>
  <c r="AS106" i="3"/>
  <c r="AQ106" i="3"/>
  <c r="AO106" i="3"/>
  <c r="AI106" i="3" s="1"/>
  <c r="N106" i="3" s="1"/>
  <c r="AN106" i="3"/>
  <c r="AM106" i="3"/>
  <c r="R106" i="3" s="1"/>
  <c r="S106" i="3"/>
  <c r="J106" i="3"/>
  <c r="G106" i="3"/>
  <c r="A106" i="3"/>
  <c r="CF105" i="3"/>
  <c r="BW105" i="3"/>
  <c r="BV105" i="3"/>
  <c r="BQ105" i="3"/>
  <c r="AS105" i="3"/>
  <c r="AQ105" i="3"/>
  <c r="J105" i="3" s="1"/>
  <c r="AO105" i="3"/>
  <c r="AJ105" i="3" s="1"/>
  <c r="O105" i="3" s="1"/>
  <c r="AN105" i="3"/>
  <c r="S105" i="3" s="1"/>
  <c r="AM105" i="3"/>
  <c r="R105" i="3" s="1"/>
  <c r="AI105" i="3"/>
  <c r="N105" i="3"/>
  <c r="G105" i="3"/>
  <c r="A105" i="3"/>
  <c r="CF104" i="3"/>
  <c r="BW104" i="3"/>
  <c r="BV104" i="3"/>
  <c r="BU104" i="3" s="1"/>
  <c r="BQ104" i="3"/>
  <c r="BG104" i="3"/>
  <c r="AS104" i="3"/>
  <c r="AQ104" i="3"/>
  <c r="J104" i="3" s="1"/>
  <c r="AO104" i="3"/>
  <c r="AN104" i="3"/>
  <c r="S104" i="3" s="1"/>
  <c r="AM104" i="3"/>
  <c r="AJ104" i="3"/>
  <c r="O104" i="3" s="1"/>
  <c r="AI104" i="3"/>
  <c r="R104" i="3"/>
  <c r="N104" i="3"/>
  <c r="K104" i="3"/>
  <c r="G104" i="3"/>
  <c r="A104" i="3"/>
  <c r="CF103" i="3"/>
  <c r="BW103" i="3"/>
  <c r="BV103" i="3"/>
  <c r="BQ103" i="3"/>
  <c r="BF103" i="3"/>
  <c r="BG103" i="3" s="1"/>
  <c r="BH103" i="3" s="1"/>
  <c r="BE103" i="3"/>
  <c r="AZ103" i="3"/>
  <c r="AS103" i="3"/>
  <c r="AQ103" i="3"/>
  <c r="J103" i="3" s="1"/>
  <c r="AO103" i="3"/>
  <c r="AN103" i="3"/>
  <c r="S103" i="3" s="1"/>
  <c r="AM103" i="3"/>
  <c r="AJ103" i="3"/>
  <c r="O103" i="3" s="1"/>
  <c r="AI103" i="3"/>
  <c r="R103" i="3"/>
  <c r="N103" i="3"/>
  <c r="K103" i="3"/>
  <c r="G103" i="3"/>
  <c r="A103" i="3"/>
  <c r="CF102" i="3"/>
  <c r="BW102" i="3"/>
  <c r="BV102" i="3"/>
  <c r="BQ102" i="3"/>
  <c r="AS102" i="3"/>
  <c r="AQ102" i="3"/>
  <c r="J102" i="3" s="1"/>
  <c r="AO102" i="3"/>
  <c r="AJ102" i="3" s="1"/>
  <c r="O102" i="3" s="1"/>
  <c r="AN102" i="3"/>
  <c r="S102" i="3" s="1"/>
  <c r="AM102" i="3"/>
  <c r="R102" i="3" s="1"/>
  <c r="AI102" i="3"/>
  <c r="N102" i="3" s="1"/>
  <c r="G102" i="3"/>
  <c r="A102" i="3"/>
  <c r="CF101" i="3"/>
  <c r="BW101" i="3"/>
  <c r="BV101" i="3"/>
  <c r="BU101" i="3" s="1"/>
  <c r="BQ101" i="3"/>
  <c r="BG101" i="3"/>
  <c r="AS101" i="3"/>
  <c r="AQ101" i="3"/>
  <c r="J101" i="3" s="1"/>
  <c r="AO101" i="3"/>
  <c r="AJ101" i="3" s="1"/>
  <c r="O101" i="3" s="1"/>
  <c r="AN101" i="3"/>
  <c r="AM101" i="3"/>
  <c r="R101" i="3" s="1"/>
  <c r="S101" i="3"/>
  <c r="G101" i="3"/>
  <c r="A101" i="3"/>
  <c r="CF100" i="3"/>
  <c r="BW100" i="3"/>
  <c r="BV100" i="3"/>
  <c r="BU100" i="3"/>
  <c r="BQ100" i="3"/>
  <c r="BF100" i="3"/>
  <c r="BE100" i="3"/>
  <c r="AZ100" i="3"/>
  <c r="AS100" i="3"/>
  <c r="AQ100" i="3"/>
  <c r="J100" i="3" s="1"/>
  <c r="AO100" i="3"/>
  <c r="AJ100" i="3" s="1"/>
  <c r="O100" i="3" s="1"/>
  <c r="AN100" i="3"/>
  <c r="S100" i="3" s="1"/>
  <c r="AM100" i="3"/>
  <c r="R100" i="3" s="1"/>
  <c r="AI100" i="3"/>
  <c r="N100" i="3" s="1"/>
  <c r="G100" i="3"/>
  <c r="A100" i="3"/>
  <c r="CF99" i="3"/>
  <c r="BW99" i="3"/>
  <c r="BV99" i="3"/>
  <c r="BU99" i="3" s="1"/>
  <c r="BQ99" i="3"/>
  <c r="AS99" i="3"/>
  <c r="AQ99" i="3"/>
  <c r="AO99" i="3"/>
  <c r="AI99" i="3" s="1"/>
  <c r="N99" i="3" s="1"/>
  <c r="AN99" i="3"/>
  <c r="S99" i="3" s="1"/>
  <c r="AM99" i="3"/>
  <c r="R99" i="3" s="1"/>
  <c r="J99" i="3"/>
  <c r="G99" i="3"/>
  <c r="A99" i="3"/>
  <c r="CF98" i="3"/>
  <c r="BW98" i="3"/>
  <c r="BV98" i="3"/>
  <c r="BQ98" i="3"/>
  <c r="BG98" i="3"/>
  <c r="AS98" i="3"/>
  <c r="AQ98" i="3"/>
  <c r="AO98" i="3"/>
  <c r="AI98" i="3" s="1"/>
  <c r="N98" i="3" s="1"/>
  <c r="AN98" i="3"/>
  <c r="S98" i="3" s="1"/>
  <c r="AM98" i="3"/>
  <c r="R98" i="3" s="1"/>
  <c r="AJ98" i="3"/>
  <c r="O98" i="3" s="1"/>
  <c r="K98" i="3"/>
  <c r="J98" i="3"/>
  <c r="G98" i="3"/>
  <c r="A98" i="3"/>
  <c r="CF97" i="3"/>
  <c r="BW97" i="3"/>
  <c r="BV97" i="3"/>
  <c r="BU97" i="3" s="1"/>
  <c r="BQ97" i="3"/>
  <c r="BF97" i="3"/>
  <c r="BE97" i="3"/>
  <c r="AZ97" i="3"/>
  <c r="AS97" i="3"/>
  <c r="AQ97" i="3"/>
  <c r="AO97" i="3"/>
  <c r="AI97" i="3" s="1"/>
  <c r="N97" i="3" s="1"/>
  <c r="AN97" i="3"/>
  <c r="S97" i="3" s="1"/>
  <c r="AM97" i="3"/>
  <c r="R97" i="3" s="1"/>
  <c r="J97" i="3"/>
  <c r="G97" i="3"/>
  <c r="A97" i="3"/>
  <c r="CF96" i="3"/>
  <c r="BW96" i="3"/>
  <c r="BV96" i="3"/>
  <c r="BQ96" i="3"/>
  <c r="AS96" i="3"/>
  <c r="AQ96" i="3"/>
  <c r="J96" i="3" s="1"/>
  <c r="AO96" i="3"/>
  <c r="AI96" i="3" s="1"/>
  <c r="N96" i="3" s="1"/>
  <c r="AN96" i="3"/>
  <c r="AM96" i="3"/>
  <c r="R96" i="3" s="1"/>
  <c r="S96" i="3"/>
  <c r="G96" i="3"/>
  <c r="A96" i="3"/>
  <c r="CF95" i="3"/>
  <c r="BW95" i="3"/>
  <c r="BV95" i="3"/>
  <c r="BQ95" i="3"/>
  <c r="AS95" i="3"/>
  <c r="AQ95" i="3"/>
  <c r="J95" i="3" s="1"/>
  <c r="AO95" i="3"/>
  <c r="AJ95" i="3" s="1"/>
  <c r="O95" i="3" s="1"/>
  <c r="AN95" i="3"/>
  <c r="S95" i="3" s="1"/>
  <c r="AM95" i="3"/>
  <c r="R95" i="3" s="1"/>
  <c r="AI95" i="3"/>
  <c r="N95" i="3"/>
  <c r="G95" i="3"/>
  <c r="A95" i="3"/>
  <c r="CF94" i="3"/>
  <c r="BW94" i="3"/>
  <c r="BV94" i="3"/>
  <c r="BU94" i="3" s="1"/>
  <c r="BQ94" i="3"/>
  <c r="AS94" i="3"/>
  <c r="AQ94" i="3"/>
  <c r="J94" i="3" s="1"/>
  <c r="AO94" i="3"/>
  <c r="AJ94" i="3" s="1"/>
  <c r="O94" i="3" s="1"/>
  <c r="AN94" i="3"/>
  <c r="AM94" i="3"/>
  <c r="R94" i="3" s="1"/>
  <c r="S94" i="3"/>
  <c r="G94" i="3"/>
  <c r="A94" i="3"/>
  <c r="CF93" i="3"/>
  <c r="BW93" i="3"/>
  <c r="BV93" i="3"/>
  <c r="BU93" i="3"/>
  <c r="BQ93" i="3"/>
  <c r="AS93" i="3"/>
  <c r="AQ93" i="3"/>
  <c r="AO93" i="3"/>
  <c r="AI93" i="3" s="1"/>
  <c r="N93" i="3" s="1"/>
  <c r="AN93" i="3"/>
  <c r="S93" i="3" s="1"/>
  <c r="AM93" i="3"/>
  <c r="AJ93" i="3"/>
  <c r="O93" i="3" s="1"/>
  <c r="R93" i="3"/>
  <c r="K93" i="3"/>
  <c r="J93" i="3"/>
  <c r="G93" i="3"/>
  <c r="A93" i="3"/>
  <c r="CF92" i="3"/>
  <c r="BW92" i="3"/>
  <c r="BV92" i="3"/>
  <c r="BU92" i="3" s="1"/>
  <c r="BQ92" i="3"/>
  <c r="AS92" i="3"/>
  <c r="AQ92" i="3"/>
  <c r="AO92" i="3"/>
  <c r="AI92" i="3" s="1"/>
  <c r="N92" i="3" s="1"/>
  <c r="AN92" i="3"/>
  <c r="AM92" i="3"/>
  <c r="R92" i="3" s="1"/>
  <c r="S92" i="3"/>
  <c r="J92" i="3"/>
  <c r="G92" i="3"/>
  <c r="A92" i="3"/>
  <c r="CF91" i="3"/>
  <c r="BW91" i="3"/>
  <c r="BV91" i="3"/>
  <c r="BQ91" i="3"/>
  <c r="AS91" i="3"/>
  <c r="AQ91" i="3"/>
  <c r="J91" i="3" s="1"/>
  <c r="AO91" i="3"/>
  <c r="AJ91" i="3" s="1"/>
  <c r="O91" i="3" s="1"/>
  <c r="AN91" i="3"/>
  <c r="S91" i="3" s="1"/>
  <c r="AM91" i="3"/>
  <c r="R91" i="3" s="1"/>
  <c r="AI91" i="3"/>
  <c r="N91" i="3"/>
  <c r="G91" i="3"/>
  <c r="A91" i="3"/>
  <c r="CF90" i="3"/>
  <c r="BW90" i="3"/>
  <c r="BV90" i="3"/>
  <c r="BU90" i="3" s="1"/>
  <c r="BQ90" i="3"/>
  <c r="AS90" i="3"/>
  <c r="AQ90" i="3"/>
  <c r="J90" i="3" s="1"/>
  <c r="AO90" i="3"/>
  <c r="AJ90" i="3" s="1"/>
  <c r="O90" i="3" s="1"/>
  <c r="AN90" i="3"/>
  <c r="AM90" i="3"/>
  <c r="R90" i="3" s="1"/>
  <c r="S90" i="3"/>
  <c r="G90" i="3"/>
  <c r="A90" i="3"/>
  <c r="CF89" i="3"/>
  <c r="BW89" i="3"/>
  <c r="BV89" i="3"/>
  <c r="BU89" i="3"/>
  <c r="BQ89" i="3"/>
  <c r="BF89" i="3"/>
  <c r="BE89" i="3"/>
  <c r="BD89" i="3"/>
  <c r="BC89" i="3"/>
  <c r="AZ89" i="3"/>
  <c r="AY89" i="3"/>
  <c r="AX89" i="3"/>
  <c r="AW89" i="3"/>
  <c r="AS89" i="3"/>
  <c r="AQ89" i="3"/>
  <c r="AO89" i="3"/>
  <c r="AI89" i="3" s="1"/>
  <c r="N89" i="3" s="1"/>
  <c r="AN89" i="3"/>
  <c r="AM89" i="3"/>
  <c r="R89" i="3" s="1"/>
  <c r="S89" i="3"/>
  <c r="J89" i="3"/>
  <c r="G89" i="3"/>
  <c r="A89" i="3"/>
  <c r="CF88" i="3"/>
  <c r="BW88" i="3"/>
  <c r="BV88" i="3"/>
  <c r="BQ88" i="3"/>
  <c r="BJ88" i="3"/>
  <c r="BJ89" i="3" s="1"/>
  <c r="BI88" i="3"/>
  <c r="BH88" i="3"/>
  <c r="AS88" i="3"/>
  <c r="AQ88" i="3"/>
  <c r="J88" i="3" s="1"/>
  <c r="AO88" i="3"/>
  <c r="K88" i="3" s="1"/>
  <c r="AN88" i="3"/>
  <c r="S88" i="3" s="1"/>
  <c r="AM88" i="3"/>
  <c r="R88" i="3" s="1"/>
  <c r="AJ88" i="3"/>
  <c r="O88" i="3" s="1"/>
  <c r="AI88" i="3"/>
  <c r="N88" i="3" s="1"/>
  <c r="G88" i="3"/>
  <c r="A88" i="3"/>
  <c r="CF87" i="3"/>
  <c r="BW87" i="3"/>
  <c r="BV87" i="3"/>
  <c r="BU87" i="3" s="1"/>
  <c r="BQ87" i="3"/>
  <c r="BJ87" i="3"/>
  <c r="BI87" i="3"/>
  <c r="BH87" i="3"/>
  <c r="AS87" i="3"/>
  <c r="AQ87" i="3"/>
  <c r="J87" i="3" s="1"/>
  <c r="AO87" i="3"/>
  <c r="AI87" i="3" s="1"/>
  <c r="N87" i="3" s="1"/>
  <c r="AN87" i="3"/>
  <c r="S87" i="3" s="1"/>
  <c r="AM87" i="3"/>
  <c r="R87" i="3" s="1"/>
  <c r="G87" i="3"/>
  <c r="A87" i="3"/>
  <c r="CF86" i="3"/>
  <c r="BW86" i="3"/>
  <c r="BV86" i="3"/>
  <c r="BQ86" i="3"/>
  <c r="AS86" i="3"/>
  <c r="AQ86" i="3"/>
  <c r="AO86" i="3"/>
  <c r="K86" i="3" s="1"/>
  <c r="AN86" i="3"/>
  <c r="S86" i="3" s="1"/>
  <c r="AM86" i="3"/>
  <c r="R86" i="3"/>
  <c r="J86" i="3"/>
  <c r="G86" i="3"/>
  <c r="A86" i="3"/>
  <c r="CF85" i="3"/>
  <c r="BW85" i="3"/>
  <c r="BV85" i="3"/>
  <c r="BU85" i="3" s="1"/>
  <c r="BQ85" i="3"/>
  <c r="AS85" i="3"/>
  <c r="AQ85" i="3"/>
  <c r="J85" i="3" s="1"/>
  <c r="AO85" i="3"/>
  <c r="K85" i="3" s="1"/>
  <c r="AN85" i="3"/>
  <c r="S85" i="3" s="1"/>
  <c r="AM85" i="3"/>
  <c r="R85" i="3" s="1"/>
  <c r="AI85" i="3"/>
  <c r="N85" i="3" s="1"/>
  <c r="G85" i="3"/>
  <c r="A85" i="3"/>
  <c r="CF84" i="3"/>
  <c r="BW84" i="3"/>
  <c r="BV84" i="3"/>
  <c r="BU84" i="3"/>
  <c r="BQ84" i="3"/>
  <c r="AZ84" i="3"/>
  <c r="AY84" i="3"/>
  <c r="AS84" i="3"/>
  <c r="AQ84" i="3"/>
  <c r="AO84" i="3"/>
  <c r="K84" i="3" s="1"/>
  <c r="AN84" i="3"/>
  <c r="S84" i="3" s="1"/>
  <c r="AM84" i="3"/>
  <c r="R84" i="3"/>
  <c r="J84" i="3"/>
  <c r="G84" i="3"/>
  <c r="A84" i="3"/>
  <c r="CF83" i="3"/>
  <c r="BW83" i="3"/>
  <c r="BV83" i="3"/>
  <c r="BU83" i="3" s="1"/>
  <c r="BQ83" i="3"/>
  <c r="AS83" i="3"/>
  <c r="AQ83" i="3"/>
  <c r="J83" i="3" s="1"/>
  <c r="AO83" i="3"/>
  <c r="K83" i="3" s="1"/>
  <c r="AN83" i="3"/>
  <c r="S83" i="3" s="1"/>
  <c r="AM83" i="3"/>
  <c r="R83" i="3" s="1"/>
  <c r="AI83" i="3"/>
  <c r="N83" i="3" s="1"/>
  <c r="G83" i="3"/>
  <c r="A83" i="3"/>
  <c r="CF82" i="3"/>
  <c r="BW82" i="3"/>
  <c r="BV82" i="3"/>
  <c r="BU82" i="3"/>
  <c r="BQ82" i="3"/>
  <c r="AW82" i="3"/>
  <c r="AX82" i="3" s="1"/>
  <c r="AY82" i="3" s="1"/>
  <c r="AZ82" i="3" s="1"/>
  <c r="BA82" i="3" s="1"/>
  <c r="BB82" i="3" s="1"/>
  <c r="BC82" i="3" s="1"/>
  <c r="BD82" i="3" s="1"/>
  <c r="BE82" i="3" s="1"/>
  <c r="BF82" i="3" s="1"/>
  <c r="BG82" i="3" s="1"/>
  <c r="BH82" i="3" s="1"/>
  <c r="BI82" i="3" s="1"/>
  <c r="BJ82" i="3" s="1"/>
  <c r="AS82" i="3"/>
  <c r="AQ82" i="3"/>
  <c r="AO82" i="3"/>
  <c r="K82" i="3" s="1"/>
  <c r="AN82" i="3"/>
  <c r="S82" i="3" s="1"/>
  <c r="AM82" i="3"/>
  <c r="AJ82" i="3"/>
  <c r="O82" i="3" s="1"/>
  <c r="R82" i="3"/>
  <c r="J82" i="3"/>
  <c r="G82" i="3"/>
  <c r="A82" i="3"/>
  <c r="CF81" i="3"/>
  <c r="BW81" i="3"/>
  <c r="BV81" i="3"/>
  <c r="BQ81" i="3"/>
  <c r="AS81" i="3"/>
  <c r="AQ81" i="3"/>
  <c r="J81" i="3" s="1"/>
  <c r="AO81" i="3"/>
  <c r="K81" i="3" s="1"/>
  <c r="AN81" i="3"/>
  <c r="S81" i="3" s="1"/>
  <c r="AM81" i="3"/>
  <c r="R81" i="3" s="1"/>
  <c r="AJ81" i="3"/>
  <c r="O81" i="3" s="1"/>
  <c r="AI81" i="3"/>
  <c r="N81" i="3" s="1"/>
  <c r="G81" i="3"/>
  <c r="A81" i="3"/>
  <c r="CF80" i="3"/>
  <c r="BW80" i="3"/>
  <c r="BV80" i="3"/>
  <c r="BU80" i="3"/>
  <c r="BQ80" i="3"/>
  <c r="AS80" i="3"/>
  <c r="AQ80" i="3"/>
  <c r="J80" i="3" s="1"/>
  <c r="AO80" i="3"/>
  <c r="AN80" i="3"/>
  <c r="S80" i="3" s="1"/>
  <c r="AM80" i="3"/>
  <c r="R80" i="3" s="1"/>
  <c r="AJ80" i="3"/>
  <c r="O80" i="3" s="1"/>
  <c r="AI80" i="3"/>
  <c r="N80" i="3" s="1"/>
  <c r="K80" i="3"/>
  <c r="G80" i="3"/>
  <c r="A80" i="3"/>
  <c r="CF79" i="3"/>
  <c r="BW79" i="3"/>
  <c r="BV79" i="3"/>
  <c r="BU79" i="3"/>
  <c r="BQ79" i="3"/>
  <c r="AS79" i="3"/>
  <c r="AQ79" i="3"/>
  <c r="AO79" i="3"/>
  <c r="AI79" i="3" s="1"/>
  <c r="N79" i="3" s="1"/>
  <c r="AN79" i="3"/>
  <c r="AM79" i="3"/>
  <c r="R79" i="3" s="1"/>
  <c r="S79" i="3"/>
  <c r="J79" i="3"/>
  <c r="G79" i="3"/>
  <c r="A79" i="3"/>
  <c r="CF78" i="3"/>
  <c r="BW78" i="3"/>
  <c r="BU78" i="3" s="1"/>
  <c r="BV78" i="3"/>
  <c r="BQ78" i="3"/>
  <c r="AS78" i="3"/>
  <c r="AQ78" i="3"/>
  <c r="J78" i="3" s="1"/>
  <c r="AO78" i="3"/>
  <c r="K78" i="3" s="1"/>
  <c r="AN78" i="3"/>
  <c r="S78" i="3" s="1"/>
  <c r="AM78" i="3"/>
  <c r="R78" i="3" s="1"/>
  <c r="AJ78" i="3"/>
  <c r="O78" i="3" s="1"/>
  <c r="G78" i="3"/>
  <c r="A78" i="3"/>
  <c r="CF77" i="3"/>
  <c r="BW77" i="3"/>
  <c r="BV77" i="3"/>
  <c r="BU77" i="3" s="1"/>
  <c r="BQ77" i="3"/>
  <c r="AS77" i="3"/>
  <c r="AQ77" i="3"/>
  <c r="J77" i="3" s="1"/>
  <c r="AO77" i="3"/>
  <c r="K77" i="3" s="1"/>
  <c r="AN77" i="3"/>
  <c r="S77" i="3" s="1"/>
  <c r="AM77" i="3"/>
  <c r="R77" i="3" s="1"/>
  <c r="AI77" i="3"/>
  <c r="N77" i="3" s="1"/>
  <c r="G77" i="3"/>
  <c r="A77" i="3"/>
  <c r="CF76" i="3"/>
  <c r="BW76" i="3"/>
  <c r="BV76" i="3"/>
  <c r="BU76" i="3" s="1"/>
  <c r="BQ76" i="3"/>
  <c r="AS76" i="3"/>
  <c r="AQ76" i="3"/>
  <c r="J76" i="3" s="1"/>
  <c r="AO76" i="3"/>
  <c r="AN76" i="3"/>
  <c r="S76" i="3" s="1"/>
  <c r="AM76" i="3"/>
  <c r="R76" i="3" s="1"/>
  <c r="AJ76" i="3"/>
  <c r="O76" i="3" s="1"/>
  <c r="AI76" i="3"/>
  <c r="N76" i="3" s="1"/>
  <c r="K76" i="3"/>
  <c r="G76" i="3"/>
  <c r="A76" i="3"/>
  <c r="CF75" i="3"/>
  <c r="BW75" i="3"/>
  <c r="BV75" i="3"/>
  <c r="BU75" i="3" s="1"/>
  <c r="BQ75" i="3"/>
  <c r="AS75" i="3"/>
  <c r="AQ75" i="3"/>
  <c r="AO75" i="3"/>
  <c r="AI75" i="3" s="1"/>
  <c r="N75" i="3" s="1"/>
  <c r="AN75" i="3"/>
  <c r="AM75" i="3"/>
  <c r="R75" i="3" s="1"/>
  <c r="S75" i="3"/>
  <c r="J75" i="3"/>
  <c r="G75" i="3"/>
  <c r="A75" i="3"/>
  <c r="CF74" i="3"/>
  <c r="BW74" i="3"/>
  <c r="BU74" i="3" s="1"/>
  <c r="BV74" i="3"/>
  <c r="BQ74" i="3"/>
  <c r="AS74" i="3"/>
  <c r="AQ74" i="3"/>
  <c r="AO74" i="3"/>
  <c r="K74" i="3" s="1"/>
  <c r="AN74" i="3"/>
  <c r="S74" i="3" s="1"/>
  <c r="AM74" i="3"/>
  <c r="R74" i="3"/>
  <c r="J74" i="3"/>
  <c r="G74" i="3"/>
  <c r="A74" i="3"/>
  <c r="CF73" i="3"/>
  <c r="BW73" i="3"/>
  <c r="BV73" i="3"/>
  <c r="BQ73" i="3"/>
  <c r="AS73" i="3"/>
  <c r="AQ73" i="3"/>
  <c r="J73" i="3" s="1"/>
  <c r="AO73" i="3"/>
  <c r="K73" i="3" s="1"/>
  <c r="AN73" i="3"/>
  <c r="S73" i="3" s="1"/>
  <c r="AM73" i="3"/>
  <c r="R73" i="3" s="1"/>
  <c r="AJ73" i="3"/>
  <c r="O73" i="3" s="1"/>
  <c r="G73" i="3"/>
  <c r="A73" i="3"/>
  <c r="CF72" i="3"/>
  <c r="BW72" i="3"/>
  <c r="BV72" i="3"/>
  <c r="BU72" i="3"/>
  <c r="BQ72" i="3"/>
  <c r="AS72" i="3"/>
  <c r="AQ72" i="3"/>
  <c r="J72" i="3" s="1"/>
  <c r="AO72" i="3"/>
  <c r="K72" i="3" s="1"/>
  <c r="AN72" i="3"/>
  <c r="S72" i="3" s="1"/>
  <c r="AM72" i="3"/>
  <c r="R72" i="3" s="1"/>
  <c r="AJ72" i="3"/>
  <c r="O72" i="3" s="1"/>
  <c r="AI72" i="3"/>
  <c r="N72" i="3" s="1"/>
  <c r="G72" i="3"/>
  <c r="A72" i="3"/>
  <c r="CF71" i="3"/>
  <c r="BW71" i="3"/>
  <c r="BV71" i="3"/>
  <c r="BU71" i="3"/>
  <c r="BQ71" i="3"/>
  <c r="AS71" i="3"/>
  <c r="AQ71" i="3"/>
  <c r="AO71" i="3"/>
  <c r="AI71" i="3" s="1"/>
  <c r="N71" i="3" s="1"/>
  <c r="AN71" i="3"/>
  <c r="AM71" i="3"/>
  <c r="R71" i="3" s="1"/>
  <c r="S71" i="3"/>
  <c r="J71" i="3"/>
  <c r="G71" i="3"/>
  <c r="A71" i="3"/>
  <c r="CF70" i="3"/>
  <c r="BW70" i="3"/>
  <c r="BU70" i="3" s="1"/>
  <c r="BV70" i="3"/>
  <c r="BQ70" i="3"/>
  <c r="AS70" i="3"/>
  <c r="AQ70" i="3"/>
  <c r="J70" i="3" s="1"/>
  <c r="AO70" i="3"/>
  <c r="K70" i="3" s="1"/>
  <c r="AN70" i="3"/>
  <c r="S70" i="3" s="1"/>
  <c r="AM70" i="3"/>
  <c r="R70" i="3" s="1"/>
  <c r="AJ70" i="3"/>
  <c r="O70" i="3" s="1"/>
  <c r="AI70" i="3"/>
  <c r="N70" i="3" s="1"/>
  <c r="G70" i="3"/>
  <c r="A70" i="3"/>
  <c r="CF69" i="3"/>
  <c r="BW69" i="3"/>
  <c r="BV69" i="3"/>
  <c r="BU69" i="3"/>
  <c r="BQ69" i="3"/>
  <c r="AS69" i="3"/>
  <c r="AQ69" i="3"/>
  <c r="J69" i="3" s="1"/>
  <c r="AO69" i="3"/>
  <c r="AI69" i="3" s="1"/>
  <c r="N69" i="3" s="1"/>
  <c r="AN69" i="3"/>
  <c r="AM69" i="3"/>
  <c r="R69" i="3" s="1"/>
  <c r="S69" i="3"/>
  <c r="G69" i="3"/>
  <c r="A69" i="3"/>
  <c r="CF68" i="3"/>
  <c r="BW68" i="3"/>
  <c r="BU68" i="3" s="1"/>
  <c r="BV68" i="3"/>
  <c r="BQ68" i="3"/>
  <c r="AS68" i="3"/>
  <c r="AQ68" i="3"/>
  <c r="J68" i="3" s="1"/>
  <c r="AO68" i="3"/>
  <c r="K68" i="3" s="1"/>
  <c r="AN68" i="3"/>
  <c r="S68" i="3" s="1"/>
  <c r="AM68" i="3"/>
  <c r="R68" i="3" s="1"/>
  <c r="AJ68" i="3"/>
  <c r="O68" i="3" s="1"/>
  <c r="AI68" i="3"/>
  <c r="N68" i="3" s="1"/>
  <c r="G68" i="3"/>
  <c r="A68" i="3"/>
  <c r="CF67" i="3"/>
  <c r="BW67" i="3"/>
  <c r="BV67" i="3"/>
  <c r="BU67" i="3" s="1"/>
  <c r="BQ67" i="3"/>
  <c r="AS67" i="3"/>
  <c r="AQ67" i="3"/>
  <c r="AO67" i="3"/>
  <c r="AI67" i="3" s="1"/>
  <c r="N67" i="3" s="1"/>
  <c r="AN67" i="3"/>
  <c r="S67" i="3" s="1"/>
  <c r="AM67" i="3"/>
  <c r="R67" i="3" s="1"/>
  <c r="J67" i="3"/>
  <c r="G67" i="3"/>
  <c r="A67" i="3"/>
  <c r="CF66" i="3"/>
  <c r="BW66" i="3"/>
  <c r="BU66" i="3" s="1"/>
  <c r="BV66" i="3"/>
  <c r="BQ66" i="3"/>
  <c r="AS66" i="3"/>
  <c r="AQ66" i="3"/>
  <c r="J66" i="3" s="1"/>
  <c r="AO66" i="3"/>
  <c r="K66" i="3" s="1"/>
  <c r="AN66" i="3"/>
  <c r="S66" i="3" s="1"/>
  <c r="AM66" i="3"/>
  <c r="R66" i="3" s="1"/>
  <c r="AJ66" i="3"/>
  <c r="O66" i="3" s="1"/>
  <c r="G66" i="3"/>
  <c r="A66" i="3"/>
  <c r="CF65" i="3"/>
  <c r="BW65" i="3"/>
  <c r="BV65" i="3"/>
  <c r="BU65" i="3"/>
  <c r="BQ65" i="3"/>
  <c r="AS65" i="3"/>
  <c r="AQ65" i="3"/>
  <c r="J65" i="3" s="1"/>
  <c r="AO65" i="3"/>
  <c r="AI65" i="3" s="1"/>
  <c r="N65" i="3" s="1"/>
  <c r="AN65" i="3"/>
  <c r="AM65" i="3"/>
  <c r="R65" i="3" s="1"/>
  <c r="S65" i="3"/>
  <c r="G65" i="3"/>
  <c r="A65" i="3"/>
  <c r="CF64" i="3"/>
  <c r="BW64" i="3"/>
  <c r="BU64" i="3" s="1"/>
  <c r="BV64" i="3"/>
  <c r="BQ64" i="3"/>
  <c r="AS64" i="3"/>
  <c r="AQ64" i="3"/>
  <c r="J64" i="3" s="1"/>
  <c r="AO64" i="3"/>
  <c r="K64" i="3" s="1"/>
  <c r="AN64" i="3"/>
  <c r="S64" i="3" s="1"/>
  <c r="AM64" i="3"/>
  <c r="R64" i="3" s="1"/>
  <c r="AI64" i="3"/>
  <c r="N64" i="3" s="1"/>
  <c r="G64" i="3"/>
  <c r="A64" i="3"/>
  <c r="CF63" i="3"/>
  <c r="BW63" i="3"/>
  <c r="BV63" i="3"/>
  <c r="BU63" i="3" s="1"/>
  <c r="BQ63" i="3"/>
  <c r="AS63" i="3"/>
  <c r="AQ63" i="3"/>
  <c r="AO63" i="3"/>
  <c r="AI63" i="3" s="1"/>
  <c r="N63" i="3" s="1"/>
  <c r="AN63" i="3"/>
  <c r="S63" i="3" s="1"/>
  <c r="AM63" i="3"/>
  <c r="R63" i="3" s="1"/>
  <c r="J63" i="3"/>
  <c r="G63" i="3"/>
  <c r="A63" i="3"/>
  <c r="CF62" i="3"/>
  <c r="BW62" i="3"/>
  <c r="BU62" i="3" s="1"/>
  <c r="BV62" i="3"/>
  <c r="BQ62" i="3"/>
  <c r="AS62" i="3"/>
  <c r="AQ62" i="3"/>
  <c r="J62" i="3" s="1"/>
  <c r="AO62" i="3"/>
  <c r="K62" i="3" s="1"/>
  <c r="AN62" i="3"/>
  <c r="S62" i="3" s="1"/>
  <c r="AM62" i="3"/>
  <c r="R62" i="3" s="1"/>
  <c r="AJ62" i="3"/>
  <c r="O62" i="3" s="1"/>
  <c r="AI62" i="3"/>
  <c r="N62" i="3" s="1"/>
  <c r="G62" i="3"/>
  <c r="A62" i="3"/>
  <c r="CF61" i="3"/>
  <c r="BV61" i="3"/>
  <c r="BU61" i="3"/>
  <c r="BQ61" i="3"/>
  <c r="AS61" i="3"/>
  <c r="AQ61" i="3"/>
  <c r="AO61" i="3"/>
  <c r="K61" i="3" s="1"/>
  <c r="AN61" i="3"/>
  <c r="S61" i="3" s="1"/>
  <c r="AM61" i="3"/>
  <c r="R61" i="3"/>
  <c r="J61" i="3"/>
  <c r="G61" i="3"/>
  <c r="A61" i="3"/>
  <c r="CF60" i="3"/>
  <c r="BV60" i="3"/>
  <c r="BU60" i="3"/>
  <c r="BQ60" i="3"/>
  <c r="AS60" i="3"/>
  <c r="AQ60" i="3"/>
  <c r="J60" i="3" s="1"/>
  <c r="AO60" i="3"/>
  <c r="AI60" i="3" s="1"/>
  <c r="N60" i="3" s="1"/>
  <c r="AN60" i="3"/>
  <c r="AM60" i="3"/>
  <c r="R60" i="3" s="1"/>
  <c r="S60" i="3"/>
  <c r="G60" i="3"/>
  <c r="A60" i="3"/>
  <c r="CF59" i="3"/>
  <c r="BV59" i="3"/>
  <c r="BU59" i="3" s="1"/>
  <c r="BQ59" i="3"/>
  <c r="AS59" i="3"/>
  <c r="AQ59" i="3"/>
  <c r="J59" i="3" s="1"/>
  <c r="AO59" i="3"/>
  <c r="AN59" i="3"/>
  <c r="S59" i="3" s="1"/>
  <c r="AM59" i="3"/>
  <c r="R59" i="3" s="1"/>
  <c r="AJ59" i="3"/>
  <c r="O59" i="3" s="1"/>
  <c r="AI59" i="3"/>
  <c r="N59" i="3" s="1"/>
  <c r="K59" i="3"/>
  <c r="G59" i="3"/>
  <c r="A59" i="3"/>
  <c r="CF58" i="3"/>
  <c r="BV58" i="3"/>
  <c r="BU58" i="3" s="1"/>
  <c r="BQ58" i="3"/>
  <c r="AS58" i="3"/>
  <c r="AQ58" i="3"/>
  <c r="J58" i="3" s="1"/>
  <c r="AO58" i="3"/>
  <c r="K58" i="3" s="1"/>
  <c r="AN58" i="3"/>
  <c r="S58" i="3" s="1"/>
  <c r="AM58" i="3"/>
  <c r="R58" i="3" s="1"/>
  <c r="AJ58" i="3"/>
  <c r="O58" i="3" s="1"/>
  <c r="AI58" i="3"/>
  <c r="N58" i="3" s="1"/>
  <c r="G58" i="3"/>
  <c r="A58" i="3"/>
  <c r="CF57" i="3"/>
  <c r="BV57" i="3"/>
  <c r="BU57" i="3"/>
  <c r="BQ57" i="3"/>
  <c r="AS57" i="3"/>
  <c r="AQ57" i="3"/>
  <c r="AO57" i="3"/>
  <c r="K57" i="3" s="1"/>
  <c r="AN57" i="3"/>
  <c r="S57" i="3" s="1"/>
  <c r="AM57" i="3"/>
  <c r="R57" i="3"/>
  <c r="J57" i="3"/>
  <c r="G57" i="3"/>
  <c r="A57" i="3"/>
  <c r="CF56" i="3"/>
  <c r="BV56" i="3"/>
  <c r="BU56" i="3" s="1"/>
  <c r="BQ56" i="3"/>
  <c r="BL56" i="3"/>
  <c r="AS56" i="3"/>
  <c r="AQ56" i="3"/>
  <c r="J56" i="3" s="1"/>
  <c r="AO56" i="3"/>
  <c r="AN56" i="3"/>
  <c r="S56" i="3" s="1"/>
  <c r="AM56" i="3"/>
  <c r="R56" i="3" s="1"/>
  <c r="AJ56" i="3"/>
  <c r="O56" i="3" s="1"/>
  <c r="AI56" i="3"/>
  <c r="N56" i="3" s="1"/>
  <c r="K56" i="3"/>
  <c r="G56" i="3"/>
  <c r="A56" i="3"/>
  <c r="CF55" i="3"/>
  <c r="BV55" i="3"/>
  <c r="BU55" i="3" s="1"/>
  <c r="BQ55" i="3"/>
  <c r="AS55" i="3"/>
  <c r="AQ55" i="3"/>
  <c r="J55" i="3" s="1"/>
  <c r="AO55" i="3"/>
  <c r="K55" i="3" s="1"/>
  <c r="AN55" i="3"/>
  <c r="S55" i="3" s="1"/>
  <c r="AM55" i="3"/>
  <c r="R55" i="3" s="1"/>
  <c r="AJ55" i="3"/>
  <c r="O55" i="3" s="1"/>
  <c r="AI55" i="3"/>
  <c r="N55" i="3" s="1"/>
  <c r="G55" i="3"/>
  <c r="A55" i="3"/>
  <c r="CF54" i="3"/>
  <c r="BV54" i="3"/>
  <c r="BU54" i="3" s="1"/>
  <c r="BQ54" i="3"/>
  <c r="AS54" i="3"/>
  <c r="AQ54" i="3"/>
  <c r="J54" i="3" s="1"/>
  <c r="AO54" i="3"/>
  <c r="AI54" i="3" s="1"/>
  <c r="N54" i="3" s="1"/>
  <c r="AN54" i="3"/>
  <c r="AM54" i="3"/>
  <c r="R54" i="3" s="1"/>
  <c r="S54" i="3"/>
  <c r="G54" i="3"/>
  <c r="A54" i="3"/>
  <c r="CF53" i="3"/>
  <c r="BV53" i="3"/>
  <c r="BU53" i="3" s="1"/>
  <c r="BQ53" i="3"/>
  <c r="AS53" i="3"/>
  <c r="AQ53" i="3"/>
  <c r="J53" i="3" s="1"/>
  <c r="AO53" i="3"/>
  <c r="K53" i="3" s="1"/>
  <c r="AN53" i="3"/>
  <c r="S53" i="3" s="1"/>
  <c r="AM53" i="3"/>
  <c r="R53" i="3" s="1"/>
  <c r="AJ53" i="3"/>
  <c r="O53" i="3" s="1"/>
  <c r="AI53" i="3"/>
  <c r="N53" i="3" s="1"/>
  <c r="G53" i="3"/>
  <c r="A53" i="3"/>
  <c r="CF52" i="3"/>
  <c r="BV52" i="3"/>
  <c r="BU52" i="3"/>
  <c r="BQ52" i="3"/>
  <c r="AS52" i="3"/>
  <c r="AQ52" i="3"/>
  <c r="AO52" i="3"/>
  <c r="AI52" i="3" s="1"/>
  <c r="N52" i="3" s="1"/>
  <c r="AN52" i="3"/>
  <c r="S52" i="3" s="1"/>
  <c r="AM52" i="3"/>
  <c r="R52" i="3" s="1"/>
  <c r="J52" i="3"/>
  <c r="G52" i="3"/>
  <c r="A52" i="3"/>
  <c r="CF51" i="3"/>
  <c r="BV51" i="3"/>
  <c r="BU51" i="3" s="1"/>
  <c r="BQ51" i="3"/>
  <c r="AS51" i="3"/>
  <c r="AQ51" i="3"/>
  <c r="J51" i="3" s="1"/>
  <c r="AO51" i="3"/>
  <c r="K51" i="3" s="1"/>
  <c r="AN51" i="3"/>
  <c r="S51" i="3" s="1"/>
  <c r="AM51" i="3"/>
  <c r="R51" i="3" s="1"/>
  <c r="AJ51" i="3"/>
  <c r="O51" i="3" s="1"/>
  <c r="G51" i="3"/>
  <c r="A51" i="3"/>
  <c r="CF50" i="3"/>
  <c r="BV50" i="3"/>
  <c r="BU50" i="3" s="1"/>
  <c r="BQ50" i="3"/>
  <c r="AS50" i="3"/>
  <c r="AQ50" i="3"/>
  <c r="AO50" i="3"/>
  <c r="AI50" i="3" s="1"/>
  <c r="N50" i="3" s="1"/>
  <c r="AN50" i="3"/>
  <c r="AM50" i="3"/>
  <c r="R50" i="3" s="1"/>
  <c r="S50" i="3"/>
  <c r="J50" i="3"/>
  <c r="G50" i="3"/>
  <c r="A50" i="3"/>
  <c r="CF49" i="3"/>
  <c r="BV49" i="3"/>
  <c r="BU49" i="3" s="1"/>
  <c r="BQ49" i="3"/>
  <c r="AS49" i="3"/>
  <c r="AQ49" i="3"/>
  <c r="J49" i="3" s="1"/>
  <c r="AO49" i="3"/>
  <c r="K49" i="3" s="1"/>
  <c r="AN49" i="3"/>
  <c r="S49" i="3" s="1"/>
  <c r="AM49" i="3"/>
  <c r="R49" i="3" s="1"/>
  <c r="AI49" i="3"/>
  <c r="N49" i="3" s="1"/>
  <c r="G49" i="3"/>
  <c r="A49" i="3"/>
  <c r="CF48" i="3"/>
  <c r="BV48" i="3"/>
  <c r="BU48" i="3" s="1"/>
  <c r="BQ48" i="3"/>
  <c r="AS48" i="3"/>
  <c r="AQ48" i="3"/>
  <c r="J48" i="3" s="1"/>
  <c r="AO48" i="3"/>
  <c r="AI48" i="3" s="1"/>
  <c r="N48" i="3" s="1"/>
  <c r="AN48" i="3"/>
  <c r="AM48" i="3"/>
  <c r="R48" i="3" s="1"/>
  <c r="S48" i="3"/>
  <c r="G48" i="3"/>
  <c r="A48" i="3"/>
  <c r="CF47" i="3"/>
  <c r="BV47" i="3"/>
  <c r="BU47" i="3" s="1"/>
  <c r="BQ47" i="3"/>
  <c r="AS47" i="3"/>
  <c r="AQ47" i="3"/>
  <c r="J47" i="3" s="1"/>
  <c r="AO47" i="3"/>
  <c r="K47" i="3" s="1"/>
  <c r="AN47" i="3"/>
  <c r="S47" i="3" s="1"/>
  <c r="AM47" i="3"/>
  <c r="R47" i="3" s="1"/>
  <c r="AJ47" i="3"/>
  <c r="O47" i="3" s="1"/>
  <c r="AI47" i="3"/>
  <c r="N47" i="3" s="1"/>
  <c r="G47" i="3"/>
  <c r="A47" i="3"/>
  <c r="CF46" i="3"/>
  <c r="BV46" i="3"/>
  <c r="BU46" i="3"/>
  <c r="BQ46" i="3"/>
  <c r="AS46" i="3"/>
  <c r="AQ46" i="3"/>
  <c r="AO46" i="3"/>
  <c r="AI46" i="3" s="1"/>
  <c r="N46" i="3" s="1"/>
  <c r="AN46" i="3"/>
  <c r="AM46" i="3"/>
  <c r="R46" i="3" s="1"/>
  <c r="S46" i="3"/>
  <c r="J46" i="3"/>
  <c r="G46" i="3"/>
  <c r="A46" i="3"/>
  <c r="CF45" i="3"/>
  <c r="BV45" i="3"/>
  <c r="BU45" i="3" s="1"/>
  <c r="BQ45" i="3"/>
  <c r="AS45" i="3"/>
  <c r="AQ45" i="3"/>
  <c r="J45" i="3" s="1"/>
  <c r="AO45" i="3"/>
  <c r="K45" i="3" s="1"/>
  <c r="AN45" i="3"/>
  <c r="S45" i="3" s="1"/>
  <c r="AM45" i="3"/>
  <c r="R45" i="3" s="1"/>
  <c r="AJ45" i="3"/>
  <c r="O45" i="3" s="1"/>
  <c r="G45" i="3"/>
  <c r="A45" i="3"/>
  <c r="CF44" i="3"/>
  <c r="BV44" i="3"/>
  <c r="BU44" i="3"/>
  <c r="BQ44" i="3"/>
  <c r="AS44" i="3"/>
  <c r="AQ44" i="3"/>
  <c r="AO44" i="3"/>
  <c r="AN44" i="3"/>
  <c r="AM44" i="3"/>
  <c r="R44" i="3" s="1"/>
  <c r="S44" i="3"/>
  <c r="J44" i="3"/>
  <c r="G44" i="3"/>
  <c r="A44" i="3"/>
  <c r="CF43" i="3"/>
  <c r="BV43" i="3"/>
  <c r="BU43" i="3" s="1"/>
  <c r="BQ43" i="3"/>
  <c r="AS43" i="3"/>
  <c r="AQ43" i="3"/>
  <c r="J43" i="3" s="1"/>
  <c r="AO43" i="3"/>
  <c r="K43" i="3" s="1"/>
  <c r="AN43" i="3"/>
  <c r="S43" i="3" s="1"/>
  <c r="AM43" i="3"/>
  <c r="R43" i="3" s="1"/>
  <c r="AJ43" i="3"/>
  <c r="O43" i="3" s="1"/>
  <c r="AI43" i="3"/>
  <c r="N43" i="3" s="1"/>
  <c r="G43" i="3"/>
  <c r="A43" i="3"/>
  <c r="CF42" i="3"/>
  <c r="BV42" i="3"/>
  <c r="BU42" i="3" s="1"/>
  <c r="BQ42" i="3"/>
  <c r="AS42" i="3"/>
  <c r="AQ42" i="3"/>
  <c r="J42" i="3" s="1"/>
  <c r="AO42" i="3"/>
  <c r="AN42" i="3"/>
  <c r="S42" i="3" s="1"/>
  <c r="AM42" i="3"/>
  <c r="R42" i="3" s="1"/>
  <c r="G42" i="3"/>
  <c r="A42" i="3"/>
  <c r="CF41" i="3"/>
  <c r="BV41" i="3"/>
  <c r="BU41" i="3" s="1"/>
  <c r="BQ41" i="3"/>
  <c r="AS41" i="3"/>
  <c r="AQ41" i="3"/>
  <c r="J41" i="3" s="1"/>
  <c r="AO41" i="3"/>
  <c r="K41" i="3" s="1"/>
  <c r="AN41" i="3"/>
  <c r="S41" i="3" s="1"/>
  <c r="AM41" i="3"/>
  <c r="R41" i="3" s="1"/>
  <c r="AJ41" i="3"/>
  <c r="O41" i="3" s="1"/>
  <c r="AI41" i="3"/>
  <c r="N41" i="3" s="1"/>
  <c r="G41" i="3"/>
  <c r="A41" i="3"/>
  <c r="CF40" i="3"/>
  <c r="BV40" i="3"/>
  <c r="BU40" i="3" s="1"/>
  <c r="BQ40" i="3"/>
  <c r="AS40" i="3"/>
  <c r="AQ40" i="3"/>
  <c r="J40" i="3" s="1"/>
  <c r="AO40" i="3"/>
  <c r="AN40" i="3"/>
  <c r="AM40" i="3"/>
  <c r="R40" i="3" s="1"/>
  <c r="S40" i="3"/>
  <c r="G40" i="3"/>
  <c r="A40" i="3"/>
  <c r="CF39" i="3"/>
  <c r="BV39" i="3"/>
  <c r="BU39" i="3" s="1"/>
  <c r="BQ39" i="3"/>
  <c r="AS39" i="3"/>
  <c r="AQ39" i="3"/>
  <c r="J39" i="3" s="1"/>
  <c r="AO39" i="3"/>
  <c r="K39" i="3" s="1"/>
  <c r="AN39" i="3"/>
  <c r="S39" i="3" s="1"/>
  <c r="AM39" i="3"/>
  <c r="R39" i="3" s="1"/>
  <c r="AJ39" i="3"/>
  <c r="O39" i="3" s="1"/>
  <c r="AI39" i="3"/>
  <c r="N39" i="3" s="1"/>
  <c r="G39" i="3"/>
  <c r="A39" i="3"/>
  <c r="CF38" i="3"/>
  <c r="BV38" i="3"/>
  <c r="BU38" i="3"/>
  <c r="BQ38" i="3"/>
  <c r="AS38" i="3"/>
  <c r="AQ38" i="3"/>
  <c r="AO38" i="3"/>
  <c r="AN38" i="3"/>
  <c r="AM38" i="3"/>
  <c r="R38" i="3" s="1"/>
  <c r="S38" i="3"/>
  <c r="J38" i="3"/>
  <c r="G38" i="3"/>
  <c r="A38" i="3"/>
  <c r="CF37" i="3"/>
  <c r="BV37" i="3"/>
  <c r="BU37" i="3" s="1"/>
  <c r="BQ37" i="3"/>
  <c r="AS37" i="3"/>
  <c r="AQ37" i="3"/>
  <c r="J37" i="3" s="1"/>
  <c r="AO37" i="3"/>
  <c r="K37" i="3" s="1"/>
  <c r="AN37" i="3"/>
  <c r="S37" i="3" s="1"/>
  <c r="AM37" i="3"/>
  <c r="R37" i="3" s="1"/>
  <c r="AJ37" i="3"/>
  <c r="O37" i="3" s="1"/>
  <c r="AI37" i="3"/>
  <c r="N37" i="3" s="1"/>
  <c r="G37" i="3"/>
  <c r="A37" i="3"/>
  <c r="CF36" i="3"/>
  <c r="BV36" i="3"/>
  <c r="BU36" i="3"/>
  <c r="BQ36" i="3"/>
  <c r="AX36" i="3"/>
  <c r="AQ36" i="3"/>
  <c r="AO36" i="3"/>
  <c r="AN36" i="3"/>
  <c r="AM36" i="3"/>
  <c r="R36" i="3" s="1"/>
  <c r="AK36" i="3"/>
  <c r="S36" i="3"/>
  <c r="J36" i="3"/>
  <c r="A36" i="3"/>
  <c r="CF35" i="3"/>
  <c r="BV35" i="3"/>
  <c r="BU35" i="3" s="1"/>
  <c r="BQ35" i="3"/>
  <c r="AS35" i="3"/>
  <c r="AQ35" i="3"/>
  <c r="J35" i="3" s="1"/>
  <c r="AO35" i="3"/>
  <c r="AI35" i="3" s="1"/>
  <c r="N35" i="3" s="1"/>
  <c r="AN35" i="3"/>
  <c r="S35" i="3" s="1"/>
  <c r="AM35" i="3"/>
  <c r="R35" i="3" s="1"/>
  <c r="AJ35" i="3"/>
  <c r="O35" i="3" s="1"/>
  <c r="K35" i="3"/>
  <c r="A35" i="3"/>
  <c r="CF34" i="3"/>
  <c r="BV34" i="3"/>
  <c r="BU34" i="3" s="1"/>
  <c r="BQ34" i="3"/>
  <c r="BH34" i="3"/>
  <c r="BF34" i="3"/>
  <c r="BC34" i="3"/>
  <c r="BB34" i="3"/>
  <c r="BA34" i="3"/>
  <c r="BE34" i="3" s="1"/>
  <c r="AX34" i="3"/>
  <c r="AS34" i="3"/>
  <c r="AQ34" i="3"/>
  <c r="J34" i="3" s="1"/>
  <c r="AO34" i="3"/>
  <c r="AI34" i="3" s="1"/>
  <c r="N34" i="3" s="1"/>
  <c r="AN34" i="3"/>
  <c r="S34" i="3" s="1"/>
  <c r="AM34" i="3"/>
  <c r="R34" i="3" s="1"/>
  <c r="AL34" i="3"/>
  <c r="Q34" i="3" s="1"/>
  <c r="AJ34" i="3"/>
  <c r="O34" i="3" s="1"/>
  <c r="K34" i="3"/>
  <c r="A34" i="3"/>
  <c r="CF33" i="3"/>
  <c r="BV33" i="3"/>
  <c r="BU33" i="3" s="1"/>
  <c r="BQ33" i="3"/>
  <c r="BH33" i="3"/>
  <c r="BF33" i="3"/>
  <c r="BC33" i="3"/>
  <c r="BB33" i="3"/>
  <c r="BA33" i="3"/>
  <c r="BE33" i="3" s="1"/>
  <c r="AX33" i="3"/>
  <c r="AS33" i="3"/>
  <c r="AQ33" i="3"/>
  <c r="J33" i="3" s="1"/>
  <c r="AP33" i="3"/>
  <c r="L33" i="3" s="1"/>
  <c r="AO33" i="3"/>
  <c r="AN33" i="3"/>
  <c r="S33" i="3" s="1"/>
  <c r="AM33" i="3"/>
  <c r="R33" i="3" s="1"/>
  <c r="AJ33" i="3"/>
  <c r="O33" i="3" s="1"/>
  <c r="AI33" i="3"/>
  <c r="N33" i="3" s="1"/>
  <c r="K33" i="3"/>
  <c r="A33" i="3"/>
  <c r="CF32" i="3"/>
  <c r="BV32" i="3"/>
  <c r="BU32" i="3" s="1"/>
  <c r="BQ32" i="3"/>
  <c r="BH32" i="3"/>
  <c r="AP36" i="3" s="1"/>
  <c r="L36" i="3" s="1"/>
  <c r="BF32" i="3"/>
  <c r="BC32" i="3"/>
  <c r="BB32" i="3"/>
  <c r="BA32" i="3"/>
  <c r="BE32" i="3" s="1"/>
  <c r="AX32" i="3"/>
  <c r="AL36" i="3" s="1"/>
  <c r="Q36" i="3" s="1"/>
  <c r="AS32" i="3"/>
  <c r="AQ32" i="3"/>
  <c r="J32" i="3" s="1"/>
  <c r="AO32" i="3"/>
  <c r="AI32" i="3" s="1"/>
  <c r="N32" i="3" s="1"/>
  <c r="AN32" i="3"/>
  <c r="S32" i="3" s="1"/>
  <c r="AM32" i="3"/>
  <c r="R32" i="3" s="1"/>
  <c r="AL32" i="3"/>
  <c r="Q32" i="3" s="1"/>
  <c r="AJ32" i="3"/>
  <c r="O32" i="3" s="1"/>
  <c r="K32" i="3"/>
  <c r="A32" i="3"/>
  <c r="CF31" i="3"/>
  <c r="BV31" i="3"/>
  <c r="BU31" i="3" s="1"/>
  <c r="BQ31" i="3"/>
  <c r="BH31" i="3"/>
  <c r="BF31" i="3"/>
  <c r="BC31" i="3"/>
  <c r="BB31" i="3"/>
  <c r="BA31" i="3"/>
  <c r="BE31" i="3" s="1"/>
  <c r="AX31" i="3"/>
  <c r="AS31" i="3"/>
  <c r="AQ31" i="3"/>
  <c r="J31" i="3" s="1"/>
  <c r="AP31" i="3"/>
  <c r="L31" i="3" s="1"/>
  <c r="AO31" i="3"/>
  <c r="AN31" i="3"/>
  <c r="S31" i="3" s="1"/>
  <c r="AM31" i="3"/>
  <c r="R31" i="3" s="1"/>
  <c r="AL31" i="3"/>
  <c r="AK31" i="3"/>
  <c r="AJ31" i="3"/>
  <c r="O31" i="3" s="1"/>
  <c r="AI31" i="3"/>
  <c r="N31" i="3" s="1"/>
  <c r="Q31" i="3"/>
  <c r="P31" i="3"/>
  <c r="K31" i="3"/>
  <c r="A31" i="3"/>
  <c r="CF30" i="3"/>
  <c r="BV30" i="3"/>
  <c r="BU30" i="3" s="1"/>
  <c r="BQ30" i="3"/>
  <c r="BH30" i="3"/>
  <c r="AP34" i="3" s="1"/>
  <c r="L34" i="3" s="1"/>
  <c r="BF30" i="3"/>
  <c r="BC30" i="3"/>
  <c r="BB30" i="3"/>
  <c r="BA30" i="3"/>
  <c r="BE30" i="3" s="1"/>
  <c r="AX30" i="3"/>
  <c r="AK34" i="3" s="1"/>
  <c r="AS30" i="3"/>
  <c r="AQ30" i="3"/>
  <c r="J30" i="3" s="1"/>
  <c r="AO30" i="3"/>
  <c r="AI30" i="3" s="1"/>
  <c r="N30" i="3" s="1"/>
  <c r="AN30" i="3"/>
  <c r="S30" i="3" s="1"/>
  <c r="AM30" i="3"/>
  <c r="R30" i="3" s="1"/>
  <c r="AL30" i="3"/>
  <c r="Q30" i="3" s="1"/>
  <c r="AJ30" i="3"/>
  <c r="O30" i="3" s="1"/>
  <c r="P30" i="3"/>
  <c r="K30" i="3"/>
  <c r="A30" i="3"/>
  <c r="CF29" i="3"/>
  <c r="BV29" i="3"/>
  <c r="BU29" i="3" s="1"/>
  <c r="BQ29" i="3"/>
  <c r="BH29" i="3"/>
  <c r="BF29" i="3"/>
  <c r="BC29" i="3"/>
  <c r="BB29" i="3"/>
  <c r="BA29" i="3"/>
  <c r="BE29" i="3" s="1"/>
  <c r="AX29" i="3"/>
  <c r="AS29" i="3"/>
  <c r="AQ29" i="3"/>
  <c r="J29" i="3" s="1"/>
  <c r="AO29" i="3"/>
  <c r="AJ29" i="3" s="1"/>
  <c r="O29" i="3" s="1"/>
  <c r="AN29" i="3"/>
  <c r="S29" i="3" s="1"/>
  <c r="AM29" i="3"/>
  <c r="R29" i="3" s="1"/>
  <c r="AI29" i="3"/>
  <c r="N29" i="3" s="1"/>
  <c r="K29" i="3"/>
  <c r="A29" i="3"/>
  <c r="CF28" i="3"/>
  <c r="BV28" i="3"/>
  <c r="BU28" i="3" s="1"/>
  <c r="BQ28" i="3"/>
  <c r="BH28" i="3"/>
  <c r="AP32" i="3" s="1"/>
  <c r="L32" i="3" s="1"/>
  <c r="BF28" i="3"/>
  <c r="BC28" i="3"/>
  <c r="BB28" i="3"/>
  <c r="BA28" i="3"/>
  <c r="BE28" i="3" s="1"/>
  <c r="AX28" i="3"/>
  <c r="AK32" i="3" s="1"/>
  <c r="AS28" i="3"/>
  <c r="AQ28" i="3"/>
  <c r="J28" i="3" s="1"/>
  <c r="AP28" i="3"/>
  <c r="L28" i="3" s="1"/>
  <c r="AO28" i="3"/>
  <c r="AN28" i="3"/>
  <c r="S28" i="3" s="1"/>
  <c r="AM28" i="3"/>
  <c r="R28" i="3" s="1"/>
  <c r="AL28" i="3"/>
  <c r="Q28" i="3" s="1"/>
  <c r="AK28" i="3"/>
  <c r="AJ28" i="3"/>
  <c r="O28" i="3" s="1"/>
  <c r="AI28" i="3"/>
  <c r="N28" i="3" s="1"/>
  <c r="P28" i="3"/>
  <c r="K28" i="3"/>
  <c r="A28" i="3"/>
  <c r="CF27" i="3"/>
  <c r="BV27" i="3"/>
  <c r="BU27" i="3" s="1"/>
  <c r="BQ27" i="3"/>
  <c r="BH27" i="3"/>
  <c r="AP30" i="3" s="1"/>
  <c r="L30" i="3" s="1"/>
  <c r="BF27" i="3"/>
  <c r="BC27" i="3"/>
  <c r="BB27" i="3"/>
  <c r="BA27" i="3"/>
  <c r="BE27" i="3" s="1"/>
  <c r="AX27" i="3"/>
  <c r="AK30" i="3" s="1"/>
  <c r="AS27" i="3"/>
  <c r="AQ27" i="3"/>
  <c r="J27" i="3" s="1"/>
  <c r="AP27" i="3"/>
  <c r="L27" i="3" s="1"/>
  <c r="AO27" i="3"/>
  <c r="AN27" i="3"/>
  <c r="S27" i="3" s="1"/>
  <c r="AM27" i="3"/>
  <c r="R27" i="3" s="1"/>
  <c r="AL27" i="3"/>
  <c r="Q27" i="3" s="1"/>
  <c r="AK27" i="3"/>
  <c r="AJ27" i="3"/>
  <c r="O27" i="3" s="1"/>
  <c r="AI27" i="3"/>
  <c r="N27" i="3" s="1"/>
  <c r="P27" i="3"/>
  <c r="K27" i="3"/>
  <c r="A27" i="3"/>
  <c r="CF26" i="3"/>
  <c r="BV26" i="3"/>
  <c r="BU26" i="3" s="1"/>
  <c r="BQ26" i="3"/>
  <c r="BH26" i="3"/>
  <c r="AP24" i="3" s="1"/>
  <c r="L24" i="3" s="1"/>
  <c r="BF26" i="3"/>
  <c r="BC26" i="3"/>
  <c r="BA26" i="3"/>
  <c r="BE26" i="3" s="1"/>
  <c r="AX26" i="3"/>
  <c r="AK24" i="3" s="1"/>
  <c r="AS26" i="3"/>
  <c r="AQ26" i="3"/>
  <c r="J26" i="3" s="1"/>
  <c r="AP26" i="3"/>
  <c r="L26" i="3" s="1"/>
  <c r="AO26" i="3"/>
  <c r="K26" i="3" s="1"/>
  <c r="AN26" i="3"/>
  <c r="S26" i="3" s="1"/>
  <c r="AM26" i="3"/>
  <c r="R26" i="3" s="1"/>
  <c r="AJ26" i="3"/>
  <c r="O26" i="3" s="1"/>
  <c r="AI26" i="3"/>
  <c r="N26" i="3" s="1"/>
  <c r="A26" i="3"/>
  <c r="CF25" i="3"/>
  <c r="BV25" i="3"/>
  <c r="BU25" i="3" s="1"/>
  <c r="BQ25" i="3"/>
  <c r="BH25" i="3"/>
  <c r="AP20" i="3" s="1"/>
  <c r="L20" i="3" s="1"/>
  <c r="BF25" i="3"/>
  <c r="BC25" i="3"/>
  <c r="BA25" i="3"/>
  <c r="BE25" i="3" s="1"/>
  <c r="AX25" i="3"/>
  <c r="AL20" i="3" s="1"/>
  <c r="Q20" i="3" s="1"/>
  <c r="AS25" i="3"/>
  <c r="AQ25" i="3"/>
  <c r="J25" i="3" s="1"/>
  <c r="AP25" i="3"/>
  <c r="L25" i="3" s="1"/>
  <c r="AO25" i="3"/>
  <c r="AJ25" i="3" s="1"/>
  <c r="O25" i="3" s="1"/>
  <c r="AN25" i="3"/>
  <c r="S25" i="3" s="1"/>
  <c r="AM25" i="3"/>
  <c r="R25" i="3" s="1"/>
  <c r="AL25" i="3"/>
  <c r="Q25" i="3" s="1"/>
  <c r="AK25" i="3"/>
  <c r="P25" i="3"/>
  <c r="A25" i="3"/>
  <c r="CF24" i="3"/>
  <c r="BQ24" i="3"/>
  <c r="BH24" i="3"/>
  <c r="BF24" i="3"/>
  <c r="BE24" i="3"/>
  <c r="BC24" i="3"/>
  <c r="BA24" i="3"/>
  <c r="AX24" i="3"/>
  <c r="AS24" i="3"/>
  <c r="AQ24" i="3"/>
  <c r="AO24" i="3"/>
  <c r="AJ24" i="3" s="1"/>
  <c r="O24" i="3" s="1"/>
  <c r="AN24" i="3"/>
  <c r="AM24" i="3"/>
  <c r="AL24" i="3"/>
  <c r="Q24" i="3" s="1"/>
  <c r="S24" i="3"/>
  <c r="R24" i="3"/>
  <c r="J24" i="3"/>
  <c r="A24" i="3"/>
  <c r="CF23" i="3"/>
  <c r="BQ23" i="3"/>
  <c r="BH23" i="3"/>
  <c r="AP18" i="3" s="1"/>
  <c r="L18" i="3" s="1"/>
  <c r="BF23" i="3"/>
  <c r="BC23" i="3"/>
  <c r="BB23" i="3"/>
  <c r="BA23" i="3"/>
  <c r="BE23" i="3" s="1"/>
  <c r="AX23" i="3"/>
  <c r="AS23" i="3"/>
  <c r="AQ23" i="3"/>
  <c r="J23" i="3" s="1"/>
  <c r="AO23" i="3"/>
  <c r="AJ23" i="3" s="1"/>
  <c r="O23" i="3" s="1"/>
  <c r="AN23" i="3"/>
  <c r="S23" i="3" s="1"/>
  <c r="AM23" i="3"/>
  <c r="R23" i="3" s="1"/>
  <c r="AL23" i="3"/>
  <c r="Q23" i="3" s="1"/>
  <c r="AK23" i="3"/>
  <c r="P23" i="3" s="1"/>
  <c r="A23" i="3"/>
  <c r="CF22" i="3"/>
  <c r="BQ22" i="3"/>
  <c r="BH22" i="3"/>
  <c r="BF22" i="3"/>
  <c r="BE22" i="3"/>
  <c r="BC22" i="3"/>
  <c r="BA22" i="3"/>
  <c r="AX22" i="3"/>
  <c r="AS22" i="3"/>
  <c r="AQ22" i="3"/>
  <c r="AO22" i="3"/>
  <c r="AN22" i="3"/>
  <c r="S22" i="3" s="1"/>
  <c r="AM22" i="3"/>
  <c r="AJ22" i="3"/>
  <c r="O22" i="3" s="1"/>
  <c r="R22" i="3"/>
  <c r="J22" i="3"/>
  <c r="A22" i="3"/>
  <c r="CF21" i="3"/>
  <c r="BQ21" i="3"/>
  <c r="BH21" i="3"/>
  <c r="AP22" i="3" s="1"/>
  <c r="L22" i="3" s="1"/>
  <c r="BF21" i="3"/>
  <c r="BC21" i="3"/>
  <c r="BB21" i="3"/>
  <c r="BA21" i="3"/>
  <c r="BE21" i="3" s="1"/>
  <c r="AX21" i="3"/>
  <c r="AL22" i="3" s="1"/>
  <c r="Q22" i="3" s="1"/>
  <c r="AS21" i="3"/>
  <c r="AQ21" i="3"/>
  <c r="J21" i="3" s="1"/>
  <c r="AP21" i="3"/>
  <c r="AO21" i="3"/>
  <c r="AN21" i="3"/>
  <c r="S21" i="3" s="1"/>
  <c r="AM21" i="3"/>
  <c r="R21" i="3" s="1"/>
  <c r="AJ21" i="3"/>
  <c r="O21" i="3" s="1"/>
  <c r="AI21" i="3"/>
  <c r="N21" i="3" s="1"/>
  <c r="L21" i="3"/>
  <c r="K21" i="3"/>
  <c r="A21" i="3"/>
  <c r="CF20" i="3"/>
  <c r="BQ20" i="3"/>
  <c r="BM20" i="3"/>
  <c r="BL20" i="3"/>
  <c r="BH20" i="3"/>
  <c r="BF20" i="3"/>
  <c r="BC20" i="3"/>
  <c r="AW70" i="3" s="1"/>
  <c r="BA20" i="3"/>
  <c r="BE20" i="3" s="1"/>
  <c r="AX20" i="3"/>
  <c r="AL46" i="3" s="1"/>
  <c r="Q46" i="3" s="1"/>
  <c r="AS20" i="3"/>
  <c r="AQ20" i="3"/>
  <c r="J20" i="3" s="1"/>
  <c r="AO20" i="3"/>
  <c r="AN20" i="3"/>
  <c r="S20" i="3" s="1"/>
  <c r="AM20" i="3"/>
  <c r="R20" i="3" s="1"/>
  <c r="AJ20" i="3"/>
  <c r="O20" i="3" s="1"/>
  <c r="AI20" i="3"/>
  <c r="N20" i="3" s="1"/>
  <c r="K20" i="3"/>
  <c r="A20" i="3"/>
  <c r="CF19" i="3"/>
  <c r="BQ19" i="3"/>
  <c r="BM19" i="3"/>
  <c r="BL19" i="3"/>
  <c r="BH19" i="3"/>
  <c r="BF19" i="3"/>
  <c r="BC19" i="3"/>
  <c r="AW69" i="3" s="1"/>
  <c r="BB19" i="3"/>
  <c r="BA19" i="3"/>
  <c r="BE19" i="3" s="1"/>
  <c r="AX19" i="3"/>
  <c r="AL115" i="3" s="1"/>
  <c r="Q115" i="3" s="1"/>
  <c r="AS19" i="3"/>
  <c r="AQ19" i="3"/>
  <c r="J19" i="3" s="1"/>
  <c r="AP19" i="3"/>
  <c r="L19" i="3" s="1"/>
  <c r="AO19" i="3"/>
  <c r="AN19" i="3"/>
  <c r="S19" i="3" s="1"/>
  <c r="AM19" i="3"/>
  <c r="R19" i="3" s="1"/>
  <c r="AL19" i="3"/>
  <c r="Q19" i="3" s="1"/>
  <c r="AK19" i="3"/>
  <c r="AJ19" i="3"/>
  <c r="O19" i="3" s="1"/>
  <c r="AI19" i="3"/>
  <c r="N19" i="3" s="1"/>
  <c r="P19" i="3"/>
  <c r="K19" i="3"/>
  <c r="A19" i="3"/>
  <c r="CF18" i="3"/>
  <c r="BQ18" i="3"/>
  <c r="BM18" i="3"/>
  <c r="BL18" i="3"/>
  <c r="BH18" i="3"/>
  <c r="BF18" i="3"/>
  <c r="BC18" i="3"/>
  <c r="AW68" i="3" s="1"/>
  <c r="BB18" i="3"/>
  <c r="BA18" i="3"/>
  <c r="BE18" i="3" s="1"/>
  <c r="AX18" i="3"/>
  <c r="AL150" i="3" s="1"/>
  <c r="Q150" i="3" s="1"/>
  <c r="AS18" i="3"/>
  <c r="AQ18" i="3"/>
  <c r="J18" i="3" s="1"/>
  <c r="AO18" i="3"/>
  <c r="AJ18" i="3" s="1"/>
  <c r="O18" i="3" s="1"/>
  <c r="AN18" i="3"/>
  <c r="S18" i="3" s="1"/>
  <c r="AM18" i="3"/>
  <c r="R18" i="3" s="1"/>
  <c r="AL18" i="3"/>
  <c r="AK18" i="3"/>
  <c r="AI18" i="3"/>
  <c r="N18" i="3" s="1"/>
  <c r="Q18" i="3"/>
  <c r="P18" i="3"/>
  <c r="A18" i="3"/>
  <c r="CF17" i="3"/>
  <c r="BQ17" i="3"/>
  <c r="BM17" i="3"/>
  <c r="BL17" i="3"/>
  <c r="BH17" i="3"/>
  <c r="BF17" i="3"/>
  <c r="BC17" i="3"/>
  <c r="AW67" i="3" s="1"/>
  <c r="BB17" i="3"/>
  <c r="BA17" i="3"/>
  <c r="BE17" i="3" s="1"/>
  <c r="AX17" i="3"/>
  <c r="AL140" i="3" s="1"/>
  <c r="Q140" i="3" s="1"/>
  <c r="AS17" i="3"/>
  <c r="AQ17" i="3"/>
  <c r="J17" i="3" s="1"/>
  <c r="AP17" i="3"/>
  <c r="L17" i="3" s="1"/>
  <c r="AO17" i="3"/>
  <c r="AJ17" i="3" s="1"/>
  <c r="O17" i="3" s="1"/>
  <c r="AN17" i="3"/>
  <c r="S17" i="3" s="1"/>
  <c r="AM17" i="3"/>
  <c r="R17" i="3" s="1"/>
  <c r="AL17" i="3"/>
  <c r="Q17" i="3" s="1"/>
  <c r="AK17" i="3"/>
  <c r="AI17" i="3"/>
  <c r="N17" i="3" s="1"/>
  <c r="P17" i="3"/>
  <c r="A17" i="3"/>
  <c r="CF16" i="3"/>
  <c r="BQ16" i="3"/>
  <c r="BM16" i="3"/>
  <c r="BL16" i="3"/>
  <c r="BH16" i="3"/>
  <c r="BF16" i="3"/>
  <c r="BC16" i="3"/>
  <c r="AW66" i="3" s="1"/>
  <c r="BB16" i="3"/>
  <c r="BA16" i="3"/>
  <c r="BE16" i="3" s="1"/>
  <c r="AX16" i="3"/>
  <c r="AL121" i="3" s="1"/>
  <c r="Q121" i="3" s="1"/>
  <c r="AS16" i="3"/>
  <c r="AQ16" i="3"/>
  <c r="J16" i="3" s="1"/>
  <c r="AP16" i="3"/>
  <c r="AO16" i="3"/>
  <c r="AI16" i="3" s="1"/>
  <c r="N16" i="3" s="1"/>
  <c r="AN16" i="3"/>
  <c r="S16" i="3" s="1"/>
  <c r="AM16" i="3"/>
  <c r="R16" i="3" s="1"/>
  <c r="AL16" i="3"/>
  <c r="AJ16" i="3"/>
  <c r="O16" i="3" s="1"/>
  <c r="Q16" i="3"/>
  <c r="L16" i="3"/>
  <c r="K16" i="3"/>
  <c r="A16" i="3"/>
  <c r="BQ15" i="3"/>
  <c r="BM15" i="3"/>
  <c r="BL15" i="3"/>
  <c r="BH15" i="3"/>
  <c r="AP116" i="3" s="1"/>
  <c r="L116" i="3" s="1"/>
  <c r="BF15" i="3"/>
  <c r="BE15" i="3"/>
  <c r="BC15" i="3"/>
  <c r="AW65" i="3" s="1"/>
  <c r="BA15" i="3"/>
  <c r="AX15" i="3"/>
  <c r="AQ15" i="3"/>
  <c r="AO15" i="3"/>
  <c r="AN15" i="3"/>
  <c r="AM15" i="3"/>
  <c r="AJ15" i="3"/>
  <c r="S15" i="3"/>
  <c r="R15" i="3"/>
  <c r="O15" i="3"/>
  <c r="BQ14" i="3"/>
  <c r="BM14" i="3"/>
  <c r="BL14" i="3"/>
  <c r="BH14" i="3"/>
  <c r="AP112" i="3" s="1"/>
  <c r="L112" i="3" s="1"/>
  <c r="BF14" i="3"/>
  <c r="BC14" i="3"/>
  <c r="AW64" i="3" s="1"/>
  <c r="BA14" i="3"/>
  <c r="BE14" i="3" s="1"/>
  <c r="AX14" i="3"/>
  <c r="AK44" i="3" s="1"/>
  <c r="AQ14" i="3"/>
  <c r="AO14" i="3"/>
  <c r="AJ14" i="3" s="1"/>
  <c r="O14" i="3" s="1"/>
  <c r="AN14" i="3"/>
  <c r="AM14" i="3"/>
  <c r="S14" i="3"/>
  <c r="R14" i="3"/>
  <c r="BQ13" i="3"/>
  <c r="BM13" i="3"/>
  <c r="BL13" i="3"/>
  <c r="BH13" i="3"/>
  <c r="AP267" i="3" s="1"/>
  <c r="L267" i="3" s="1"/>
  <c r="BF13" i="3"/>
  <c r="BC13" i="3"/>
  <c r="AW63" i="3" s="1"/>
  <c r="BA13" i="3"/>
  <c r="BE13" i="3" s="1"/>
  <c r="AX13" i="3"/>
  <c r="AQ13" i="3"/>
  <c r="AO13" i="3"/>
  <c r="AN13" i="3"/>
  <c r="S13" i="3" s="1"/>
  <c r="AM13" i="3"/>
  <c r="AJ13" i="3"/>
  <c r="O13" i="3" s="1"/>
  <c r="R13" i="3"/>
  <c r="BQ12" i="3"/>
  <c r="BM12" i="3"/>
  <c r="BL12" i="3"/>
  <c r="BH12" i="3"/>
  <c r="AP96" i="3" s="1"/>
  <c r="L96" i="3" s="1"/>
  <c r="BF12" i="3"/>
  <c r="BC12" i="3"/>
  <c r="AW62" i="3" s="1"/>
  <c r="BA12" i="3"/>
  <c r="BE12" i="3" s="1"/>
  <c r="AX12" i="3"/>
  <c r="AQ12" i="3"/>
  <c r="AO12" i="3"/>
  <c r="AN12" i="3"/>
  <c r="AM12" i="3"/>
  <c r="R12" i="3" s="1"/>
  <c r="AJ12" i="3"/>
  <c r="S12" i="3"/>
  <c r="O12" i="3"/>
  <c r="BQ11" i="3"/>
  <c r="BM11" i="3"/>
  <c r="BL11" i="3"/>
  <c r="BH11" i="3"/>
  <c r="AP135" i="3" s="1"/>
  <c r="L135" i="3" s="1"/>
  <c r="BF11" i="3"/>
  <c r="BC11" i="3"/>
  <c r="AW61" i="3" s="1"/>
  <c r="BA11" i="3"/>
  <c r="BE11" i="3" s="1"/>
  <c r="AX11" i="3"/>
  <c r="AQ11" i="3"/>
  <c r="AO11" i="3"/>
  <c r="AN11" i="3"/>
  <c r="AM11" i="3"/>
  <c r="AJ11" i="3"/>
  <c r="S11" i="3"/>
  <c r="R11" i="3"/>
  <c r="O11" i="3"/>
  <c r="BQ10" i="3"/>
  <c r="BM10" i="3"/>
  <c r="BL10" i="3"/>
  <c r="BH10" i="3"/>
  <c r="AP139" i="3" s="1"/>
  <c r="L139" i="3" s="1"/>
  <c r="BF10" i="3"/>
  <c r="BE10" i="3"/>
  <c r="BC10" i="3"/>
  <c r="AW60" i="3" s="1"/>
  <c r="BA10" i="3"/>
  <c r="AX10" i="3"/>
  <c r="AL38" i="3" s="1"/>
  <c r="Q38" i="3" s="1"/>
  <c r="AQ10" i="3"/>
  <c r="AO10" i="3"/>
  <c r="AN10" i="3"/>
  <c r="AM10" i="3"/>
  <c r="AK10" i="3"/>
  <c r="AJ10" i="3"/>
  <c r="O10" i="3" s="1"/>
  <c r="S10" i="3"/>
  <c r="R10" i="3"/>
  <c r="BQ9" i="3"/>
  <c r="BM9" i="3"/>
  <c r="BL9" i="3"/>
  <c r="BH9" i="3"/>
  <c r="AP255" i="3" s="1"/>
  <c r="L255" i="3" s="1"/>
  <c r="BF9" i="3"/>
  <c r="BC9" i="3"/>
  <c r="AW59" i="3" s="1"/>
  <c r="BA9" i="3"/>
  <c r="BE9" i="3" s="1"/>
  <c r="AX9" i="3"/>
  <c r="AL29" i="3" s="1"/>
  <c r="Q29" i="3" s="1"/>
  <c r="AQ9" i="3"/>
  <c r="AO9" i="3"/>
  <c r="AN9" i="3"/>
  <c r="AM9" i="3"/>
  <c r="AJ9" i="3"/>
  <c r="O9" i="3" s="1"/>
  <c r="S9" i="3"/>
  <c r="R9" i="3"/>
  <c r="BQ8" i="3"/>
  <c r="BM8" i="3"/>
  <c r="BL8" i="3"/>
  <c r="BH8" i="3"/>
  <c r="AP118" i="3" s="1"/>
  <c r="L118" i="3" s="1"/>
  <c r="BF8" i="3"/>
  <c r="BC8" i="3"/>
  <c r="AW58" i="3" s="1"/>
  <c r="BA8" i="3"/>
  <c r="BE8" i="3" s="1"/>
  <c r="AX8" i="3"/>
  <c r="AQ8" i="3"/>
  <c r="AO8" i="3"/>
  <c r="AJ8" i="3" s="1"/>
  <c r="O8" i="3" s="1"/>
  <c r="AN8" i="3"/>
  <c r="AM8" i="3"/>
  <c r="S8" i="3"/>
  <c r="R8" i="3"/>
  <c r="BQ7" i="3"/>
  <c r="BM7" i="3"/>
  <c r="BL7" i="3"/>
  <c r="BH7" i="3"/>
  <c r="AP273" i="3" s="1"/>
  <c r="L273" i="3" s="1"/>
  <c r="BF7" i="3"/>
  <c r="BE7" i="3"/>
  <c r="BC7" i="3"/>
  <c r="AW57" i="3" s="1"/>
  <c r="BA7" i="3"/>
  <c r="AX7" i="3"/>
  <c r="AQ7" i="3"/>
  <c r="AO7" i="3"/>
  <c r="AN7" i="3"/>
  <c r="AM7" i="3"/>
  <c r="AK7" i="3"/>
  <c r="AJ7" i="3"/>
  <c r="S7" i="3"/>
  <c r="R7" i="3"/>
  <c r="O7" i="3"/>
  <c r="BQ6" i="3"/>
  <c r="BM6" i="3"/>
  <c r="BL6" i="3"/>
  <c r="BH6" i="3"/>
  <c r="AP110" i="3" s="1"/>
  <c r="L110" i="3" s="1"/>
  <c r="BF6" i="3"/>
  <c r="BC6" i="3"/>
  <c r="AW56" i="3" s="1"/>
  <c r="BA6" i="3"/>
  <c r="BE6" i="3" s="1"/>
  <c r="AX6" i="3"/>
  <c r="AQ6" i="3"/>
  <c r="AO6" i="3"/>
  <c r="AN6" i="3"/>
  <c r="AM6" i="3"/>
  <c r="AJ6" i="3"/>
  <c r="O6" i="3" s="1"/>
  <c r="S6" i="3"/>
  <c r="R6" i="3"/>
  <c r="BQ5" i="3"/>
  <c r="BM5" i="3"/>
  <c r="BL5" i="3"/>
  <c r="BH5" i="3"/>
  <c r="AP15" i="3" s="1"/>
  <c r="L15" i="3" s="1"/>
  <c r="BF5" i="3"/>
  <c r="BC5" i="3"/>
  <c r="AW55" i="3" s="1"/>
  <c r="BA5" i="3"/>
  <c r="BE5" i="3" s="1"/>
  <c r="AX5" i="3"/>
  <c r="AK13" i="3" s="1"/>
  <c r="AQ5" i="3"/>
  <c r="AO5" i="3"/>
  <c r="AN5" i="3"/>
  <c r="AM5" i="3"/>
  <c r="AJ5" i="3"/>
  <c r="O5" i="3" s="1"/>
  <c r="S5" i="3"/>
  <c r="R5" i="3"/>
  <c r="BQ4" i="3"/>
  <c r="AQ4" i="3"/>
  <c r="AO4" i="3"/>
  <c r="K4" i="3" s="1"/>
  <c r="AN4" i="3"/>
  <c r="S4" i="3" s="1"/>
  <c r="AM4" i="3"/>
  <c r="AJ4" i="3"/>
  <c r="O4" i="3" s="1"/>
  <c r="AI4" i="3"/>
  <c r="N4" i="3" s="1"/>
  <c r="R4" i="3"/>
  <c r="CH560" i="1"/>
  <c r="CH559" i="1"/>
  <c r="CA559" i="1"/>
  <c r="CH558" i="1"/>
  <c r="CA558" i="1"/>
  <c r="CH557" i="1"/>
  <c r="CA557" i="1"/>
  <c r="CH556" i="1"/>
  <c r="CH555" i="1"/>
  <c r="CA555" i="1"/>
  <c r="CH554" i="1"/>
  <c r="CA554" i="1"/>
  <c r="CH553" i="1"/>
  <c r="CA553" i="1"/>
  <c r="CH552" i="1"/>
  <c r="CH551" i="1"/>
  <c r="CH550" i="1"/>
  <c r="CH549" i="1"/>
  <c r="CH548" i="1"/>
  <c r="CH547" i="1"/>
  <c r="CH546" i="1"/>
  <c r="CH545" i="1"/>
  <c r="CH544" i="1"/>
  <c r="CH543" i="1"/>
  <c r="CH542" i="1"/>
  <c r="CH541" i="1"/>
  <c r="CH540" i="1"/>
  <c r="CH539" i="1"/>
  <c r="CH538" i="1"/>
  <c r="CH537" i="1"/>
  <c r="CH536" i="1"/>
  <c r="CH535" i="1"/>
  <c r="CH534" i="1"/>
  <c r="CH533" i="1"/>
  <c r="CH532" i="1"/>
  <c r="CH531" i="1"/>
  <c r="CH530" i="1"/>
  <c r="CH529" i="1"/>
  <c r="CH528" i="1"/>
  <c r="CH527" i="1"/>
  <c r="CH526" i="1"/>
  <c r="CH525" i="1"/>
  <c r="CH524" i="1"/>
  <c r="CH523" i="1"/>
  <c r="CH522" i="1"/>
  <c r="CA522" i="1"/>
  <c r="CH521" i="1"/>
  <c r="CA521" i="1"/>
  <c r="CH520" i="1"/>
  <c r="CA520" i="1"/>
  <c r="CH519" i="1"/>
  <c r="CH518" i="1"/>
  <c r="CA518" i="1"/>
  <c r="CH517" i="1"/>
  <c r="CA517" i="1"/>
  <c r="CH516" i="1"/>
  <c r="CA516" i="1"/>
  <c r="CH515" i="1"/>
  <c r="CH514" i="1"/>
  <c r="CH513" i="1"/>
  <c r="CH512" i="1"/>
  <c r="CH511" i="1"/>
  <c r="CH510" i="1"/>
  <c r="CH509" i="1"/>
  <c r="CH508" i="1"/>
  <c r="CH507" i="1"/>
  <c r="CH506" i="1"/>
  <c r="CH505" i="1"/>
  <c r="CH504" i="1"/>
  <c r="CH503" i="1"/>
  <c r="CH502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A485" i="1"/>
  <c r="CH484" i="1"/>
  <c r="CA484" i="1"/>
  <c r="CH483" i="1"/>
  <c r="CA483" i="1"/>
  <c r="CH482" i="1"/>
  <c r="CH481" i="1"/>
  <c r="CA481" i="1"/>
  <c r="CH480" i="1"/>
  <c r="CA480" i="1"/>
  <c r="CH479" i="1"/>
  <c r="CA479" i="1"/>
  <c r="CH478" i="1"/>
  <c r="CH477" i="1"/>
  <c r="CH476" i="1"/>
  <c r="CH475" i="1"/>
  <c r="CH474" i="1"/>
  <c r="CH473" i="1"/>
  <c r="CH472" i="1"/>
  <c r="CH471" i="1"/>
  <c r="CH470" i="1"/>
  <c r="CH469" i="1"/>
  <c r="CH468" i="1"/>
  <c r="CH467" i="1"/>
  <c r="CH466" i="1"/>
  <c r="CH465" i="1"/>
  <c r="CH464" i="1"/>
  <c r="CH463" i="1"/>
  <c r="CH462" i="1"/>
  <c r="CH461" i="1"/>
  <c r="CH460" i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A448" i="1"/>
  <c r="CH447" i="1"/>
  <c r="CA447" i="1"/>
  <c r="CH446" i="1"/>
  <c r="CA446" i="1"/>
  <c r="CH445" i="1"/>
  <c r="CH444" i="1"/>
  <c r="CA444" i="1"/>
  <c r="CH443" i="1"/>
  <c r="CA443" i="1"/>
  <c r="CH442" i="1"/>
  <c r="CA442" i="1"/>
  <c r="CH441" i="1"/>
  <c r="CH440" i="1"/>
  <c r="CH439" i="1"/>
  <c r="CH438" i="1"/>
  <c r="CH437" i="1"/>
  <c r="CH436" i="1"/>
  <c r="CH435" i="1"/>
  <c r="CH434" i="1"/>
  <c r="CH433" i="1"/>
  <c r="CH432" i="1"/>
  <c r="CH431" i="1"/>
  <c r="CH430" i="1"/>
  <c r="CH429" i="1"/>
  <c r="CH428" i="1"/>
  <c r="CH427" i="1"/>
  <c r="CH426" i="1"/>
  <c r="CH425" i="1"/>
  <c r="CH424" i="1"/>
  <c r="CH423" i="1"/>
  <c r="CH422" i="1"/>
  <c r="CH421" i="1"/>
  <c r="CH420" i="1"/>
  <c r="CH419" i="1"/>
  <c r="CH418" i="1"/>
  <c r="CH417" i="1"/>
  <c r="CH416" i="1"/>
  <c r="CH415" i="1"/>
  <c r="CH414" i="1"/>
  <c r="CH413" i="1"/>
  <c r="CH412" i="1"/>
  <c r="CH411" i="1"/>
  <c r="CA411" i="1"/>
  <c r="CH410" i="1"/>
  <c r="CA410" i="1"/>
  <c r="CH409" i="1"/>
  <c r="CA409" i="1"/>
  <c r="CH408" i="1"/>
  <c r="CH407" i="1"/>
  <c r="CA407" i="1"/>
  <c r="CH406" i="1"/>
  <c r="CA406" i="1"/>
  <c r="CH405" i="1"/>
  <c r="CA405" i="1"/>
  <c r="CH404" i="1"/>
  <c r="CH403" i="1"/>
  <c r="CH402" i="1"/>
  <c r="CH401" i="1"/>
  <c r="CH400" i="1"/>
  <c r="CH399" i="1"/>
  <c r="CH398" i="1"/>
  <c r="AV398" i="1"/>
  <c r="AU398" i="1" s="1"/>
  <c r="L398" i="1" s="1"/>
  <c r="A398" i="1"/>
  <c r="CH397" i="1"/>
  <c r="AV397" i="1"/>
  <c r="AU397" i="1"/>
  <c r="L397" i="1" s="1"/>
  <c r="AS397" i="1"/>
  <c r="A397" i="1"/>
  <c r="CH396" i="1"/>
  <c r="AV396" i="1"/>
  <c r="AU396" i="1" s="1"/>
  <c r="L396" i="1" s="1"/>
  <c r="A396" i="1"/>
  <c r="CH395" i="1"/>
  <c r="AV395" i="1"/>
  <c r="AU395" i="1" s="1"/>
  <c r="L395" i="1" s="1"/>
  <c r="A395" i="1"/>
  <c r="CH394" i="1"/>
  <c r="AV394" i="1"/>
  <c r="AU394" i="1" s="1"/>
  <c r="L394" i="1" s="1"/>
  <c r="A394" i="1"/>
  <c r="CH393" i="1"/>
  <c r="AV393" i="1"/>
  <c r="AU393" i="1"/>
  <c r="L393" i="1" s="1"/>
  <c r="AS393" i="1"/>
  <c r="M393" i="1" s="1"/>
  <c r="A393" i="1"/>
  <c r="CH392" i="1"/>
  <c r="AV392" i="1"/>
  <c r="AU392" i="1" s="1"/>
  <c r="L392" i="1" s="1"/>
  <c r="A392" i="1"/>
  <c r="CH391" i="1"/>
  <c r="AV391" i="1"/>
  <c r="AU391" i="1" s="1"/>
  <c r="L391" i="1" s="1"/>
  <c r="A391" i="1"/>
  <c r="CH390" i="1"/>
  <c r="AV390" i="1"/>
  <c r="AS390" i="1" s="1"/>
  <c r="M390" i="1" s="1"/>
  <c r="A390" i="1"/>
  <c r="CH389" i="1"/>
  <c r="AV389" i="1"/>
  <c r="AU389" i="1"/>
  <c r="L389" i="1" s="1"/>
  <c r="AS389" i="1"/>
  <c r="AN389" i="1" s="1"/>
  <c r="Q389" i="1" s="1"/>
  <c r="A389" i="1"/>
  <c r="CH388" i="1"/>
  <c r="AV388" i="1"/>
  <c r="AU388" i="1"/>
  <c r="L388" i="1" s="1"/>
  <c r="AS388" i="1"/>
  <c r="M388" i="1" s="1"/>
  <c r="A388" i="1"/>
  <c r="CH387" i="1"/>
  <c r="AV387" i="1"/>
  <c r="AU387" i="1" s="1"/>
  <c r="L387" i="1" s="1"/>
  <c r="A387" i="1"/>
  <c r="CH386" i="1"/>
  <c r="AV386" i="1"/>
  <c r="AU386" i="1" s="1"/>
  <c r="L386" i="1" s="1"/>
  <c r="A386" i="1"/>
  <c r="CH385" i="1"/>
  <c r="AV385" i="1"/>
  <c r="AU385" i="1" s="1"/>
  <c r="L385" i="1" s="1"/>
  <c r="A385" i="1"/>
  <c r="CH384" i="1"/>
  <c r="AV384" i="1"/>
  <c r="AU384" i="1" s="1"/>
  <c r="L384" i="1" s="1"/>
  <c r="A384" i="1"/>
  <c r="CH383" i="1"/>
  <c r="AV383" i="1"/>
  <c r="AS383" i="1" s="1"/>
  <c r="AN383" i="1" s="1"/>
  <c r="Q383" i="1" s="1"/>
  <c r="A383" i="1"/>
  <c r="CH382" i="1"/>
  <c r="AV382" i="1"/>
  <c r="AN382" i="1" s="1"/>
  <c r="Q382" i="1" s="1"/>
  <c r="AU382" i="1"/>
  <c r="L382" i="1" s="1"/>
  <c r="AS382" i="1"/>
  <c r="M382" i="1" s="1"/>
  <c r="A382" i="1"/>
  <c r="CH381" i="1"/>
  <c r="AV381" i="1"/>
  <c r="AU381" i="1" s="1"/>
  <c r="L381" i="1" s="1"/>
  <c r="A381" i="1"/>
  <c r="CH380" i="1"/>
  <c r="AV380" i="1"/>
  <c r="AU380" i="1" s="1"/>
  <c r="L380" i="1" s="1"/>
  <c r="A380" i="1"/>
  <c r="CH379" i="1"/>
  <c r="AV379" i="1"/>
  <c r="AS379" i="1" s="1"/>
  <c r="A379" i="1"/>
  <c r="CH378" i="1"/>
  <c r="AV378" i="1"/>
  <c r="AU378" i="1" s="1"/>
  <c r="L378" i="1" s="1"/>
  <c r="A378" i="1"/>
  <c r="CH377" i="1"/>
  <c r="AV377" i="1"/>
  <c r="AS377" i="1" s="1"/>
  <c r="A377" i="1"/>
  <c r="CH376" i="1"/>
  <c r="AV376" i="1"/>
  <c r="AU376" i="1" s="1"/>
  <c r="L376" i="1" s="1"/>
  <c r="A376" i="1"/>
  <c r="CH375" i="1"/>
  <c r="AV375" i="1"/>
  <c r="AM375" i="1" s="1"/>
  <c r="P375" i="1" s="1"/>
  <c r="AU375" i="1"/>
  <c r="L375" i="1" s="1"/>
  <c r="AS375" i="1"/>
  <c r="AN375" i="1" s="1"/>
  <c r="Q375" i="1" s="1"/>
  <c r="A375" i="1"/>
  <c r="CH374" i="1"/>
  <c r="CA374" i="1"/>
  <c r="AV374" i="1"/>
  <c r="A374" i="1"/>
  <c r="CH373" i="1"/>
  <c r="CA373" i="1"/>
  <c r="AV373" i="1"/>
  <c r="AN373" i="1" s="1"/>
  <c r="Q373" i="1" s="1"/>
  <c r="AU373" i="1"/>
  <c r="L373" i="1" s="1"/>
  <c r="AS373" i="1"/>
  <c r="M373" i="1" s="1"/>
  <c r="A373" i="1"/>
  <c r="CH372" i="1"/>
  <c r="CA372" i="1"/>
  <c r="AV372" i="1"/>
  <c r="AU372" i="1" s="1"/>
  <c r="L372" i="1" s="1"/>
  <c r="A372" i="1"/>
  <c r="CH371" i="1"/>
  <c r="AV371" i="1"/>
  <c r="A371" i="1"/>
  <c r="CH370" i="1"/>
  <c r="CA370" i="1"/>
  <c r="AV370" i="1"/>
  <c r="AU370" i="1"/>
  <c r="L370" i="1" s="1"/>
  <c r="AS370" i="1"/>
  <c r="M370" i="1" s="1"/>
  <c r="A370" i="1"/>
  <c r="CH369" i="1"/>
  <c r="CA369" i="1"/>
  <c r="AV369" i="1"/>
  <c r="AU369" i="1" s="1"/>
  <c r="L369" i="1" s="1"/>
  <c r="A369" i="1"/>
  <c r="CH368" i="1"/>
  <c r="CA368" i="1"/>
  <c r="AV368" i="1"/>
  <c r="AU368" i="1" s="1"/>
  <c r="L368" i="1" s="1"/>
  <c r="A368" i="1"/>
  <c r="CH367" i="1"/>
  <c r="AV367" i="1"/>
  <c r="AU367" i="1" s="1"/>
  <c r="L367" i="1" s="1"/>
  <c r="A367" i="1"/>
  <c r="CH366" i="1"/>
  <c r="AV366" i="1"/>
  <c r="AU366" i="1" s="1"/>
  <c r="L366" i="1" s="1"/>
  <c r="A366" i="1"/>
  <c r="CH365" i="1"/>
  <c r="AV365" i="1"/>
  <c r="AU365" i="1" s="1"/>
  <c r="L365" i="1" s="1"/>
  <c r="A365" i="1"/>
  <c r="CH364" i="1"/>
  <c r="AV364" i="1"/>
  <c r="A364" i="1"/>
  <c r="CH363" i="1"/>
  <c r="AV363" i="1"/>
  <c r="AU363" i="1" s="1"/>
  <c r="L363" i="1" s="1"/>
  <c r="A363" i="1"/>
  <c r="CH362" i="1"/>
  <c r="AV362" i="1"/>
  <c r="AU362" i="1" s="1"/>
  <c r="L362" i="1" s="1"/>
  <c r="A362" i="1"/>
  <c r="CH361" i="1"/>
  <c r="AV361" i="1"/>
  <c r="AU361" i="1" s="1"/>
  <c r="L361" i="1" s="1"/>
  <c r="A361" i="1"/>
  <c r="CH360" i="1"/>
  <c r="AV360" i="1"/>
  <c r="A360" i="1"/>
  <c r="CH359" i="1"/>
  <c r="AV359" i="1"/>
  <c r="AU359" i="1" s="1"/>
  <c r="L359" i="1" s="1"/>
  <c r="A359" i="1"/>
  <c r="CH358" i="1"/>
  <c r="AV358" i="1"/>
  <c r="AU358" i="1" s="1"/>
  <c r="L358" i="1" s="1"/>
  <c r="A358" i="1"/>
  <c r="CH357" i="1"/>
  <c r="AV357" i="1"/>
  <c r="AU357" i="1" s="1"/>
  <c r="L357" i="1" s="1"/>
  <c r="A357" i="1"/>
  <c r="CH356" i="1"/>
  <c r="AV356" i="1"/>
  <c r="A356" i="1"/>
  <c r="CH355" i="1"/>
  <c r="AV355" i="1"/>
  <c r="AU355" i="1" s="1"/>
  <c r="L355" i="1" s="1"/>
  <c r="A355" i="1"/>
  <c r="CH354" i="1"/>
  <c r="AV354" i="1"/>
  <c r="AU354" i="1" s="1"/>
  <c r="L354" i="1" s="1"/>
  <c r="A354" i="1"/>
  <c r="CH353" i="1"/>
  <c r="AV353" i="1"/>
  <c r="AU353" i="1" s="1"/>
  <c r="L353" i="1" s="1"/>
  <c r="A353" i="1"/>
  <c r="CH352" i="1"/>
  <c r="AV352" i="1"/>
  <c r="A352" i="1"/>
  <c r="CH351" i="1"/>
  <c r="AV351" i="1"/>
  <c r="AU351" i="1" s="1"/>
  <c r="L351" i="1" s="1"/>
  <c r="A351" i="1"/>
  <c r="CH350" i="1"/>
  <c r="AV350" i="1"/>
  <c r="AU350" i="1" s="1"/>
  <c r="L350" i="1" s="1"/>
  <c r="A350" i="1"/>
  <c r="CH349" i="1"/>
  <c r="AV349" i="1"/>
  <c r="AU349" i="1" s="1"/>
  <c r="L349" i="1" s="1"/>
  <c r="A349" i="1"/>
  <c r="CH348" i="1"/>
  <c r="AV348" i="1"/>
  <c r="A348" i="1"/>
  <c r="CH347" i="1"/>
  <c r="AV347" i="1"/>
  <c r="AU347" i="1" s="1"/>
  <c r="L347" i="1" s="1"/>
  <c r="A347" i="1"/>
  <c r="CH346" i="1"/>
  <c r="AV346" i="1"/>
  <c r="AU346" i="1" s="1"/>
  <c r="L346" i="1" s="1"/>
  <c r="A346" i="1"/>
  <c r="CH345" i="1"/>
  <c r="AV345" i="1"/>
  <c r="AU345" i="1" s="1"/>
  <c r="L345" i="1" s="1"/>
  <c r="A345" i="1"/>
  <c r="CH344" i="1"/>
  <c r="AV344" i="1"/>
  <c r="A344" i="1"/>
  <c r="CH343" i="1"/>
  <c r="AV343" i="1"/>
  <c r="AU343" i="1" s="1"/>
  <c r="L343" i="1" s="1"/>
  <c r="A343" i="1"/>
  <c r="CH342" i="1"/>
  <c r="AV342" i="1"/>
  <c r="AU342" i="1" s="1"/>
  <c r="L342" i="1" s="1"/>
  <c r="A342" i="1"/>
  <c r="CH341" i="1"/>
  <c r="AV341" i="1"/>
  <c r="AU341" i="1" s="1"/>
  <c r="L341" i="1" s="1"/>
  <c r="A341" i="1"/>
  <c r="CH340" i="1"/>
  <c r="AV340" i="1"/>
  <c r="A340" i="1"/>
  <c r="CH339" i="1"/>
  <c r="AV339" i="1"/>
  <c r="AU339" i="1" s="1"/>
  <c r="L339" i="1" s="1"/>
  <c r="A339" i="1"/>
  <c r="CH338" i="1"/>
  <c r="AV338" i="1"/>
  <c r="AU338" i="1" s="1"/>
  <c r="L338" i="1" s="1"/>
  <c r="A338" i="1"/>
  <c r="CH337" i="1"/>
  <c r="AV337" i="1"/>
  <c r="AU337" i="1" s="1"/>
  <c r="L337" i="1" s="1"/>
  <c r="A337" i="1"/>
  <c r="CH336" i="1"/>
  <c r="AV336" i="1"/>
  <c r="A336" i="1"/>
  <c r="CH335" i="1"/>
  <c r="AV335" i="1"/>
  <c r="AU335" i="1" s="1"/>
  <c r="L335" i="1" s="1"/>
  <c r="A335" i="1"/>
  <c r="CH334" i="1"/>
  <c r="AV334" i="1"/>
  <c r="AU334" i="1" s="1"/>
  <c r="L334" i="1" s="1"/>
  <c r="A334" i="1"/>
  <c r="CH333" i="1"/>
  <c r="AV333" i="1"/>
  <c r="AU333" i="1" s="1"/>
  <c r="L333" i="1" s="1"/>
  <c r="A333" i="1"/>
  <c r="CH332" i="1"/>
  <c r="AV332" i="1"/>
  <c r="A332" i="1"/>
  <c r="CH331" i="1"/>
  <c r="AV331" i="1"/>
  <c r="AU331" i="1" s="1"/>
  <c r="L331" i="1" s="1"/>
  <c r="A331" i="1"/>
  <c r="CH330" i="1"/>
  <c r="AV330" i="1"/>
  <c r="AU330" i="1" s="1"/>
  <c r="L330" i="1" s="1"/>
  <c r="A330" i="1"/>
  <c r="CH329" i="1"/>
  <c r="AV329" i="1"/>
  <c r="AU329" i="1" s="1"/>
  <c r="L329" i="1" s="1"/>
  <c r="A329" i="1"/>
  <c r="CH328" i="1"/>
  <c r="AV328" i="1"/>
  <c r="A328" i="1"/>
  <c r="CH327" i="1"/>
  <c r="AV327" i="1"/>
  <c r="AU327" i="1" s="1"/>
  <c r="L327" i="1" s="1"/>
  <c r="A327" i="1"/>
  <c r="CH326" i="1"/>
  <c r="AV326" i="1"/>
  <c r="AU326" i="1" s="1"/>
  <c r="L326" i="1" s="1"/>
  <c r="A326" i="1"/>
  <c r="CH325" i="1"/>
  <c r="AV325" i="1"/>
  <c r="AU325" i="1" s="1"/>
  <c r="L325" i="1" s="1"/>
  <c r="A325" i="1"/>
  <c r="CH324" i="1"/>
  <c r="AV324" i="1"/>
  <c r="A324" i="1"/>
  <c r="CH323" i="1"/>
  <c r="AV323" i="1"/>
  <c r="AU323" i="1" s="1"/>
  <c r="L323" i="1" s="1"/>
  <c r="A323" i="1"/>
  <c r="CH322" i="1"/>
  <c r="AV322" i="1"/>
  <c r="AU322" i="1" s="1"/>
  <c r="L322" i="1" s="1"/>
  <c r="A322" i="1"/>
  <c r="CH321" i="1"/>
  <c r="AV321" i="1"/>
  <c r="AU321" i="1" s="1"/>
  <c r="L321" i="1" s="1"/>
  <c r="A321" i="1"/>
  <c r="CH320" i="1"/>
  <c r="AV320" i="1"/>
  <c r="A320" i="1"/>
  <c r="CH319" i="1"/>
  <c r="AV319" i="1"/>
  <c r="AU319" i="1" s="1"/>
  <c r="L319" i="1" s="1"/>
  <c r="A319" i="1"/>
  <c r="CH318" i="1"/>
  <c r="AV318" i="1"/>
  <c r="AU318" i="1" s="1"/>
  <c r="L318" i="1" s="1"/>
  <c r="A318" i="1"/>
  <c r="CH317" i="1"/>
  <c r="AV317" i="1"/>
  <c r="AU317" i="1" s="1"/>
  <c r="L317" i="1" s="1"/>
  <c r="A317" i="1"/>
  <c r="CH316" i="1"/>
  <c r="AV316" i="1"/>
  <c r="A316" i="1"/>
  <c r="CH315" i="1"/>
  <c r="AV315" i="1"/>
  <c r="AU315" i="1" s="1"/>
  <c r="L315" i="1" s="1"/>
  <c r="A315" i="1"/>
  <c r="CH314" i="1"/>
  <c r="AV314" i="1"/>
  <c r="AU314" i="1" s="1"/>
  <c r="L314" i="1" s="1"/>
  <c r="A314" i="1"/>
  <c r="CH313" i="1"/>
  <c r="AV313" i="1"/>
  <c r="AU313" i="1" s="1"/>
  <c r="L313" i="1" s="1"/>
  <c r="A313" i="1"/>
  <c r="CH312" i="1"/>
  <c r="AV312" i="1"/>
  <c r="A312" i="1"/>
  <c r="CH311" i="1"/>
  <c r="AV311" i="1"/>
  <c r="AU311" i="1" s="1"/>
  <c r="L311" i="1" s="1"/>
  <c r="A311" i="1"/>
  <c r="CH310" i="1"/>
  <c r="AV310" i="1"/>
  <c r="AU310" i="1" s="1"/>
  <c r="L310" i="1" s="1"/>
  <c r="A310" i="1"/>
  <c r="CH309" i="1"/>
  <c r="AV309" i="1"/>
  <c r="AU309" i="1" s="1"/>
  <c r="L309" i="1" s="1"/>
  <c r="A309" i="1"/>
  <c r="CH308" i="1"/>
  <c r="AV308" i="1"/>
  <c r="A308" i="1"/>
  <c r="CH307" i="1"/>
  <c r="AV307" i="1"/>
  <c r="AU307" i="1" s="1"/>
  <c r="L307" i="1" s="1"/>
  <c r="A307" i="1"/>
  <c r="CH306" i="1"/>
  <c r="AV306" i="1"/>
  <c r="AU306" i="1" s="1"/>
  <c r="L306" i="1" s="1"/>
  <c r="A306" i="1"/>
  <c r="CH305" i="1"/>
  <c r="AV305" i="1"/>
  <c r="AU305" i="1" s="1"/>
  <c r="L305" i="1" s="1"/>
  <c r="A305" i="1"/>
  <c r="CH304" i="1"/>
  <c r="AV304" i="1"/>
  <c r="A304" i="1"/>
  <c r="CH303" i="1"/>
  <c r="AV303" i="1"/>
  <c r="AU303" i="1" s="1"/>
  <c r="L303" i="1" s="1"/>
  <c r="A303" i="1"/>
  <c r="CH302" i="1"/>
  <c r="AV302" i="1"/>
  <c r="AU302" i="1" s="1"/>
  <c r="L302" i="1" s="1"/>
  <c r="A302" i="1"/>
  <c r="CH301" i="1"/>
  <c r="AV301" i="1"/>
  <c r="AU301" i="1" s="1"/>
  <c r="L301" i="1" s="1"/>
  <c r="A301" i="1"/>
  <c r="CH300" i="1"/>
  <c r="CA300" i="1"/>
  <c r="AV300" i="1"/>
  <c r="AU300" i="1" s="1"/>
  <c r="L300" i="1" s="1"/>
  <c r="A300" i="1"/>
  <c r="CH299" i="1"/>
  <c r="CA299" i="1"/>
  <c r="AV299" i="1"/>
  <c r="AU299" i="1"/>
  <c r="L299" i="1" s="1"/>
  <c r="AS299" i="1"/>
  <c r="AN299" i="1" s="1"/>
  <c r="Q299" i="1" s="1"/>
  <c r="A299" i="1"/>
  <c r="CH298" i="1"/>
  <c r="CA298" i="1"/>
  <c r="AV298" i="1"/>
  <c r="AM298" i="1" s="1"/>
  <c r="AQ298" i="1" s="1"/>
  <c r="AU298" i="1"/>
  <c r="L298" i="1" s="1"/>
  <c r="AS298" i="1"/>
  <c r="AN298" i="1" s="1"/>
  <c r="Q298" i="1" s="1"/>
  <c r="A298" i="1"/>
  <c r="CH297" i="1"/>
  <c r="AV297" i="1"/>
  <c r="A297" i="1"/>
  <c r="CH296" i="1"/>
  <c r="CA296" i="1"/>
  <c r="AV296" i="1"/>
  <c r="AS296" i="1"/>
  <c r="M296" i="1" s="1"/>
  <c r="A296" i="1"/>
  <c r="CH295" i="1"/>
  <c r="CA295" i="1"/>
  <c r="AV295" i="1"/>
  <c r="AS295" i="1"/>
  <c r="AN295" i="1"/>
  <c r="Q295" i="1" s="1"/>
  <c r="M295" i="1"/>
  <c r="A295" i="1"/>
  <c r="CH294" i="1"/>
  <c r="CA294" i="1"/>
  <c r="AV294" i="1"/>
  <c r="A294" i="1"/>
  <c r="CH293" i="1"/>
  <c r="AV293" i="1"/>
  <c r="A293" i="1"/>
  <c r="CH292" i="1"/>
  <c r="AV292" i="1"/>
  <c r="AU292" i="1" s="1"/>
  <c r="L292" i="1" s="1"/>
  <c r="A292" i="1"/>
  <c r="CH291" i="1"/>
  <c r="AV291" i="1"/>
  <c r="AU291" i="1"/>
  <c r="L291" i="1" s="1"/>
  <c r="AS291" i="1"/>
  <c r="A291" i="1"/>
  <c r="CH290" i="1"/>
  <c r="AV290" i="1"/>
  <c r="A290" i="1"/>
  <c r="CH289" i="1"/>
  <c r="AV289" i="1"/>
  <c r="A289" i="1"/>
  <c r="CH288" i="1"/>
  <c r="AV288" i="1"/>
  <c r="AU288" i="1" s="1"/>
  <c r="L288" i="1" s="1"/>
  <c r="A288" i="1"/>
  <c r="CH287" i="1"/>
  <c r="AV287" i="1"/>
  <c r="AU287" i="1"/>
  <c r="L287" i="1" s="1"/>
  <c r="AS287" i="1"/>
  <c r="M287" i="1"/>
  <c r="A287" i="1"/>
  <c r="CH286" i="1"/>
  <c r="AV286" i="1"/>
  <c r="A286" i="1"/>
  <c r="CH285" i="1"/>
  <c r="AV285" i="1"/>
  <c r="AU285" i="1"/>
  <c r="L285" i="1" s="1"/>
  <c r="AS285" i="1"/>
  <c r="A285" i="1"/>
  <c r="CH284" i="1"/>
  <c r="AV284" i="1"/>
  <c r="AU284" i="1" s="1"/>
  <c r="L284" i="1" s="1"/>
  <c r="A284" i="1"/>
  <c r="CH283" i="1"/>
  <c r="AV283" i="1"/>
  <c r="A283" i="1"/>
  <c r="CH282" i="1"/>
  <c r="AV282" i="1"/>
  <c r="A282" i="1"/>
  <c r="CH281" i="1"/>
  <c r="AV281" i="1"/>
  <c r="A281" i="1"/>
  <c r="CH280" i="1"/>
  <c r="AV280" i="1"/>
  <c r="AU280" i="1" s="1"/>
  <c r="L280" i="1" s="1"/>
  <c r="A280" i="1"/>
  <c r="CH279" i="1"/>
  <c r="AV279" i="1"/>
  <c r="AU279" i="1"/>
  <c r="L279" i="1" s="1"/>
  <c r="AS279" i="1"/>
  <c r="M279" i="1" s="1"/>
  <c r="A279" i="1"/>
  <c r="CH278" i="1"/>
  <c r="AV278" i="1"/>
  <c r="A278" i="1"/>
  <c r="CH277" i="1"/>
  <c r="AV277" i="1"/>
  <c r="AU277" i="1"/>
  <c r="L277" i="1" s="1"/>
  <c r="AS277" i="1"/>
  <c r="A277" i="1"/>
  <c r="CH276" i="1"/>
  <c r="AV276" i="1"/>
  <c r="AU276" i="1" s="1"/>
  <c r="L276" i="1"/>
  <c r="A276" i="1"/>
  <c r="CH275" i="1"/>
  <c r="AV275" i="1"/>
  <c r="AU275" i="1"/>
  <c r="L275" i="1" s="1"/>
  <c r="AS275" i="1"/>
  <c r="M275" i="1" s="1"/>
  <c r="A275" i="1"/>
  <c r="CH274" i="1"/>
  <c r="AV274" i="1"/>
  <c r="A274" i="1"/>
  <c r="CH273" i="1"/>
  <c r="AV273" i="1"/>
  <c r="AU273" i="1" s="1"/>
  <c r="L273" i="1" s="1"/>
  <c r="AS273" i="1"/>
  <c r="AN273" i="1" s="1"/>
  <c r="Q273" i="1" s="1"/>
  <c r="M273" i="1"/>
  <c r="A273" i="1"/>
  <c r="CH272" i="1"/>
  <c r="AV272" i="1"/>
  <c r="A272" i="1"/>
  <c r="CH271" i="1"/>
  <c r="AV271" i="1"/>
  <c r="AU271" i="1" s="1"/>
  <c r="L271" i="1" s="1"/>
  <c r="AS271" i="1"/>
  <c r="AN271" i="1" s="1"/>
  <c r="Q271" i="1" s="1"/>
  <c r="M271" i="1"/>
  <c r="A271" i="1"/>
  <c r="CH270" i="1"/>
  <c r="AV270" i="1"/>
  <c r="A270" i="1"/>
  <c r="CH269" i="1"/>
  <c r="AV269" i="1"/>
  <c r="AU269" i="1" s="1"/>
  <c r="L269" i="1" s="1"/>
  <c r="AS269" i="1"/>
  <c r="AN269" i="1" s="1"/>
  <c r="Q269" i="1" s="1"/>
  <c r="M269" i="1"/>
  <c r="A269" i="1"/>
  <c r="CH268" i="1"/>
  <c r="AV268" i="1"/>
  <c r="A268" i="1"/>
  <c r="CH267" i="1"/>
  <c r="AV267" i="1"/>
  <c r="AU267" i="1" s="1"/>
  <c r="L267" i="1" s="1"/>
  <c r="AS267" i="1"/>
  <c r="AN267" i="1" s="1"/>
  <c r="Q267" i="1" s="1"/>
  <c r="M267" i="1"/>
  <c r="A267" i="1"/>
  <c r="CH266" i="1"/>
  <c r="AV266" i="1"/>
  <c r="A266" i="1"/>
  <c r="CH265" i="1"/>
  <c r="AV265" i="1"/>
  <c r="AU265" i="1" s="1"/>
  <c r="L265" i="1" s="1"/>
  <c r="AS265" i="1"/>
  <c r="AN265" i="1" s="1"/>
  <c r="Q265" i="1" s="1"/>
  <c r="M265" i="1"/>
  <c r="A265" i="1"/>
  <c r="CH264" i="1"/>
  <c r="CA264" i="1"/>
  <c r="AV264" i="1"/>
  <c r="A264" i="1"/>
  <c r="CH263" i="1"/>
  <c r="CA263" i="1"/>
  <c r="AV263" i="1"/>
  <c r="A263" i="1"/>
  <c r="CH262" i="1"/>
  <c r="CA262" i="1"/>
  <c r="AV262" i="1"/>
  <c r="AU262" i="1"/>
  <c r="L262" i="1" s="1"/>
  <c r="AS262" i="1"/>
  <c r="A262" i="1"/>
  <c r="CH261" i="1"/>
  <c r="CA261" i="1"/>
  <c r="AV261" i="1"/>
  <c r="AU261" i="1" s="1"/>
  <c r="L261" i="1" s="1"/>
  <c r="AS261" i="1"/>
  <c r="AN261" i="1" s="1"/>
  <c r="Q261" i="1" s="1"/>
  <c r="M261" i="1"/>
  <c r="A261" i="1"/>
  <c r="CH260" i="1"/>
  <c r="CA260" i="1"/>
  <c r="AV260" i="1"/>
  <c r="A260" i="1"/>
  <c r="CH259" i="1"/>
  <c r="CA259" i="1"/>
  <c r="AV259" i="1"/>
  <c r="A259" i="1"/>
  <c r="CH258" i="1"/>
  <c r="CA258" i="1"/>
  <c r="AV258" i="1"/>
  <c r="AU258" i="1"/>
  <c r="L258" i="1" s="1"/>
  <c r="AS258" i="1"/>
  <c r="A258" i="1"/>
  <c r="CH257" i="1"/>
  <c r="CA257" i="1"/>
  <c r="AV257" i="1"/>
  <c r="AU257" i="1" s="1"/>
  <c r="L257" i="1" s="1"/>
  <c r="AS257" i="1"/>
  <c r="AN257" i="1" s="1"/>
  <c r="Q257" i="1" s="1"/>
  <c r="M257" i="1"/>
  <c r="A257" i="1"/>
  <c r="CH256" i="1"/>
  <c r="CA256" i="1"/>
  <c r="AV256" i="1"/>
  <c r="A256" i="1"/>
  <c r="CH255" i="1"/>
  <c r="CA255" i="1"/>
  <c r="AV255" i="1"/>
  <c r="A255" i="1"/>
  <c r="CH254" i="1"/>
  <c r="CA254" i="1"/>
  <c r="AV254" i="1"/>
  <c r="AU254" i="1"/>
  <c r="L254" i="1" s="1"/>
  <c r="AS254" i="1"/>
  <c r="A254" i="1"/>
  <c r="CH253" i="1"/>
  <c r="CA253" i="1"/>
  <c r="AV253" i="1"/>
  <c r="AU253" i="1" s="1"/>
  <c r="L253" i="1" s="1"/>
  <c r="AS253" i="1"/>
  <c r="AN253" i="1" s="1"/>
  <c r="Q253" i="1" s="1"/>
  <c r="M253" i="1"/>
  <c r="A253" i="1"/>
  <c r="CH252" i="1"/>
  <c r="CA252" i="1"/>
  <c r="AV252" i="1"/>
  <c r="A252" i="1"/>
  <c r="CH251" i="1"/>
  <c r="CA251" i="1"/>
  <c r="AV251" i="1"/>
  <c r="A251" i="1"/>
  <c r="CH250" i="1"/>
  <c r="CA250" i="1"/>
  <c r="AV250" i="1"/>
  <c r="AU250" i="1"/>
  <c r="L250" i="1" s="1"/>
  <c r="AS250" i="1"/>
  <c r="A250" i="1"/>
  <c r="CH249" i="1"/>
  <c r="CA249" i="1"/>
  <c r="AV249" i="1"/>
  <c r="AU249" i="1" s="1"/>
  <c r="L249" i="1" s="1"/>
  <c r="AS249" i="1"/>
  <c r="AN249" i="1" s="1"/>
  <c r="Q249" i="1" s="1"/>
  <c r="M249" i="1"/>
  <c r="A249" i="1"/>
  <c r="CH248" i="1"/>
  <c r="CA248" i="1"/>
  <c r="AV248" i="1"/>
  <c r="A248" i="1"/>
  <c r="CH247" i="1"/>
  <c r="CA247" i="1"/>
  <c r="AV247" i="1"/>
  <c r="A247" i="1"/>
  <c r="CH246" i="1"/>
  <c r="CA246" i="1"/>
  <c r="AV246" i="1"/>
  <c r="AU246" i="1"/>
  <c r="L246" i="1" s="1"/>
  <c r="AS246" i="1"/>
  <c r="A246" i="1"/>
  <c r="CH245" i="1"/>
  <c r="CA245" i="1"/>
  <c r="AV245" i="1"/>
  <c r="AU245" i="1" s="1"/>
  <c r="L245" i="1" s="1"/>
  <c r="AS245" i="1"/>
  <c r="AN245" i="1" s="1"/>
  <c r="Q245" i="1" s="1"/>
  <c r="M245" i="1"/>
  <c r="A245" i="1"/>
  <c r="CH244" i="1"/>
  <c r="CA244" i="1"/>
  <c r="AV244" i="1"/>
  <c r="A244" i="1"/>
  <c r="CH243" i="1"/>
  <c r="CA243" i="1"/>
  <c r="AV243" i="1"/>
  <c r="A243" i="1"/>
  <c r="CH242" i="1"/>
  <c r="CA242" i="1"/>
  <c r="AV242" i="1"/>
  <c r="AU242" i="1"/>
  <c r="L242" i="1" s="1"/>
  <c r="AS242" i="1"/>
  <c r="AM242" i="1" s="1"/>
  <c r="P242" i="1" s="1"/>
  <c r="A242" i="1"/>
  <c r="CH241" i="1"/>
  <c r="CA241" i="1"/>
  <c r="AV241" i="1"/>
  <c r="AU241" i="1" s="1"/>
  <c r="L241" i="1" s="1"/>
  <c r="AS241" i="1"/>
  <c r="AN241" i="1" s="1"/>
  <c r="Q241" i="1" s="1"/>
  <c r="M241" i="1"/>
  <c r="A241" i="1"/>
  <c r="CH240" i="1"/>
  <c r="CA240" i="1"/>
  <c r="AV240" i="1"/>
  <c r="AU240" i="1" s="1"/>
  <c r="L240" i="1" s="1"/>
  <c r="AS240" i="1"/>
  <c r="A240" i="1"/>
  <c r="CH239" i="1"/>
  <c r="CA239" i="1"/>
  <c r="AV239" i="1"/>
  <c r="A239" i="1"/>
  <c r="CH238" i="1"/>
  <c r="CA238" i="1"/>
  <c r="AV238" i="1"/>
  <c r="AU238" i="1"/>
  <c r="L238" i="1" s="1"/>
  <c r="AS238" i="1"/>
  <c r="A238" i="1"/>
  <c r="CH237" i="1"/>
  <c r="CA237" i="1"/>
  <c r="AV237" i="1"/>
  <c r="AU237" i="1" s="1"/>
  <c r="L237" i="1" s="1"/>
  <c r="AS237" i="1"/>
  <c r="AN237" i="1" s="1"/>
  <c r="Q237" i="1" s="1"/>
  <c r="M237" i="1"/>
  <c r="A237" i="1"/>
  <c r="CH236" i="1"/>
  <c r="CA236" i="1"/>
  <c r="AV236" i="1"/>
  <c r="AU236" i="1" s="1"/>
  <c r="L236" i="1" s="1"/>
  <c r="AS236" i="1"/>
  <c r="A236" i="1"/>
  <c r="CH235" i="1"/>
  <c r="CA235" i="1"/>
  <c r="AV235" i="1"/>
  <c r="A235" i="1"/>
  <c r="CH234" i="1"/>
  <c r="CA234" i="1"/>
  <c r="AV234" i="1"/>
  <c r="A234" i="1"/>
  <c r="CH233" i="1"/>
  <c r="CA233" i="1"/>
  <c r="AV233" i="1"/>
  <c r="AU233" i="1" s="1"/>
  <c r="L233" i="1" s="1"/>
  <c r="AS233" i="1"/>
  <c r="AN233" i="1" s="1"/>
  <c r="Q233" i="1" s="1"/>
  <c r="M233" i="1"/>
  <c r="A233" i="1"/>
  <c r="CH232" i="1"/>
  <c r="CA232" i="1"/>
  <c r="AV232" i="1"/>
  <c r="AU232" i="1" s="1"/>
  <c r="L232" i="1" s="1"/>
  <c r="A232" i="1"/>
  <c r="CH231" i="1"/>
  <c r="CA231" i="1"/>
  <c r="AV231" i="1"/>
  <c r="A231" i="1"/>
  <c r="CH230" i="1"/>
  <c r="CA230" i="1"/>
  <c r="AV230" i="1"/>
  <c r="AU230" i="1"/>
  <c r="L230" i="1" s="1"/>
  <c r="AS230" i="1"/>
  <c r="AM230" i="1"/>
  <c r="P230" i="1" s="1"/>
  <c r="A230" i="1"/>
  <c r="CH229" i="1"/>
  <c r="CA229" i="1"/>
  <c r="AV229" i="1"/>
  <c r="AU229" i="1" s="1"/>
  <c r="L229" i="1" s="1"/>
  <c r="AS229" i="1"/>
  <c r="AN229" i="1" s="1"/>
  <c r="Q229" i="1" s="1"/>
  <c r="M229" i="1"/>
  <c r="A229" i="1"/>
  <c r="CH228" i="1"/>
  <c r="CA228" i="1"/>
  <c r="AV228" i="1"/>
  <c r="AU228" i="1" s="1"/>
  <c r="L228" i="1" s="1"/>
  <c r="A228" i="1"/>
  <c r="CH227" i="1"/>
  <c r="CA227" i="1"/>
  <c r="AV227" i="1"/>
  <c r="A227" i="1"/>
  <c r="CH226" i="1"/>
  <c r="CA226" i="1"/>
  <c r="AV226" i="1"/>
  <c r="AU226" i="1" s="1"/>
  <c r="L226" i="1" s="1"/>
  <c r="AS226" i="1"/>
  <c r="A226" i="1"/>
  <c r="CH225" i="1"/>
  <c r="CA225" i="1"/>
  <c r="AV225" i="1"/>
  <c r="AU225" i="1" s="1"/>
  <c r="L225" i="1" s="1"/>
  <c r="AS225" i="1"/>
  <c r="AN225" i="1" s="1"/>
  <c r="Q225" i="1" s="1"/>
  <c r="M225" i="1"/>
  <c r="A225" i="1"/>
  <c r="CH224" i="1"/>
  <c r="CA224" i="1"/>
  <c r="AV224" i="1"/>
  <c r="AU224" i="1" s="1"/>
  <c r="L224" i="1" s="1"/>
  <c r="A224" i="1"/>
  <c r="CH223" i="1"/>
  <c r="CA223" i="1"/>
  <c r="AV223" i="1"/>
  <c r="A223" i="1"/>
  <c r="CH222" i="1"/>
  <c r="CA222" i="1"/>
  <c r="AV222" i="1"/>
  <c r="AU222" i="1"/>
  <c r="L222" i="1" s="1"/>
  <c r="AS222" i="1"/>
  <c r="AM222" i="1"/>
  <c r="P222" i="1" s="1"/>
  <c r="A222" i="1"/>
  <c r="CH221" i="1"/>
  <c r="CA221" i="1"/>
  <c r="AV221" i="1"/>
  <c r="AU221" i="1" s="1"/>
  <c r="L221" i="1" s="1"/>
  <c r="AS221" i="1"/>
  <c r="AN221" i="1" s="1"/>
  <c r="Q221" i="1" s="1"/>
  <c r="M221" i="1"/>
  <c r="A221" i="1"/>
  <c r="CH220" i="1"/>
  <c r="CA220" i="1"/>
  <c r="AV220" i="1"/>
  <c r="AU220" i="1" s="1"/>
  <c r="L220" i="1" s="1"/>
  <c r="A220" i="1"/>
  <c r="CH219" i="1"/>
  <c r="CA219" i="1"/>
  <c r="AV219" i="1"/>
  <c r="A219" i="1"/>
  <c r="CH218" i="1"/>
  <c r="CA218" i="1"/>
  <c r="AV218" i="1"/>
  <c r="AU218" i="1" s="1"/>
  <c r="L218" i="1" s="1"/>
  <c r="AS218" i="1"/>
  <c r="A218" i="1"/>
  <c r="CH217" i="1"/>
  <c r="CA217" i="1"/>
  <c r="AV217" i="1"/>
  <c r="AU217" i="1" s="1"/>
  <c r="L217" i="1" s="1"/>
  <c r="AS217" i="1"/>
  <c r="AN217" i="1" s="1"/>
  <c r="Q217" i="1" s="1"/>
  <c r="M217" i="1"/>
  <c r="A217" i="1"/>
  <c r="CH216" i="1"/>
  <c r="CA216" i="1"/>
  <c r="AV216" i="1"/>
  <c r="AU216" i="1" s="1"/>
  <c r="L216" i="1" s="1"/>
  <c r="A216" i="1"/>
  <c r="CH215" i="1"/>
  <c r="CA215" i="1"/>
  <c r="AV215" i="1"/>
  <c r="A215" i="1"/>
  <c r="CH214" i="1"/>
  <c r="CA214" i="1"/>
  <c r="AV214" i="1"/>
  <c r="AU214" i="1"/>
  <c r="L214" i="1" s="1"/>
  <c r="AS214" i="1"/>
  <c r="AM214" i="1"/>
  <c r="P214" i="1" s="1"/>
  <c r="A214" i="1"/>
  <c r="CH213" i="1"/>
  <c r="CA213" i="1"/>
  <c r="AV213" i="1"/>
  <c r="AU213" i="1" s="1"/>
  <c r="L213" i="1" s="1"/>
  <c r="AS213" i="1"/>
  <c r="AN213" i="1" s="1"/>
  <c r="Q213" i="1" s="1"/>
  <c r="M213" i="1"/>
  <c r="A213" i="1"/>
  <c r="CH212" i="1"/>
  <c r="CA212" i="1"/>
  <c r="AV212" i="1"/>
  <c r="AU212" i="1" s="1"/>
  <c r="L212" i="1" s="1"/>
  <c r="A212" i="1"/>
  <c r="CH211" i="1"/>
  <c r="CA211" i="1"/>
  <c r="AV211" i="1"/>
  <c r="AU211" i="1" s="1"/>
  <c r="L211" i="1" s="1"/>
  <c r="A211" i="1"/>
  <c r="CH210" i="1"/>
  <c r="CA210" i="1"/>
  <c r="AV210" i="1"/>
  <c r="AU210" i="1" s="1"/>
  <c r="L210" i="1" s="1"/>
  <c r="AS210" i="1"/>
  <c r="AN210" i="1" s="1"/>
  <c r="Q210" i="1" s="1"/>
  <c r="AG210" i="1"/>
  <c r="A210" i="1"/>
  <c r="CH209" i="1"/>
  <c r="CA209" i="1"/>
  <c r="AV209" i="1"/>
  <c r="A209" i="1"/>
  <c r="CH208" i="1"/>
  <c r="CA208" i="1"/>
  <c r="AV208" i="1"/>
  <c r="AU208" i="1" s="1"/>
  <c r="L208" i="1" s="1"/>
  <c r="AS208" i="1"/>
  <c r="AN208" i="1" s="1"/>
  <c r="Q208" i="1" s="1"/>
  <c r="A208" i="1"/>
  <c r="CH207" i="1"/>
  <c r="CA207" i="1"/>
  <c r="AV207" i="1"/>
  <c r="AU207" i="1" s="1"/>
  <c r="L207" i="1" s="1"/>
  <c r="AS207" i="1"/>
  <c r="A207" i="1"/>
  <c r="CH206" i="1"/>
  <c r="CA206" i="1"/>
  <c r="AV206" i="1"/>
  <c r="AU206" i="1" s="1"/>
  <c r="L206" i="1" s="1"/>
  <c r="AS206" i="1"/>
  <c r="AN206" i="1" s="1"/>
  <c r="Q206" i="1" s="1"/>
  <c r="A206" i="1"/>
  <c r="CH205" i="1"/>
  <c r="CA205" i="1"/>
  <c r="AV205" i="1"/>
  <c r="A205" i="1"/>
  <c r="CH204" i="1"/>
  <c r="CA204" i="1"/>
  <c r="AV204" i="1"/>
  <c r="AU204" i="1" s="1"/>
  <c r="L204" i="1" s="1"/>
  <c r="A204" i="1"/>
  <c r="CH203" i="1"/>
  <c r="CA203" i="1"/>
  <c r="AV203" i="1"/>
  <c r="AU203" i="1" s="1"/>
  <c r="L203" i="1" s="1"/>
  <c r="AG203" i="1"/>
  <c r="A203" i="1"/>
  <c r="CH202" i="1"/>
  <c r="CA202" i="1"/>
  <c r="AV202" i="1"/>
  <c r="AU202" i="1" s="1"/>
  <c r="L202" i="1" s="1"/>
  <c r="AS202" i="1"/>
  <c r="AN202" i="1" s="1"/>
  <c r="Q202" i="1" s="1"/>
  <c r="M202" i="1"/>
  <c r="A202" i="1"/>
  <c r="CH201" i="1"/>
  <c r="CA201" i="1"/>
  <c r="AV201" i="1"/>
  <c r="A201" i="1"/>
  <c r="CH200" i="1"/>
  <c r="CA200" i="1"/>
  <c r="AV200" i="1"/>
  <c r="AU200" i="1" s="1"/>
  <c r="L200" i="1" s="1"/>
  <c r="AS200" i="1"/>
  <c r="AN200" i="1" s="1"/>
  <c r="Q200" i="1" s="1"/>
  <c r="A200" i="1"/>
  <c r="CH199" i="1"/>
  <c r="CA199" i="1"/>
  <c r="AV199" i="1"/>
  <c r="AU199" i="1" s="1"/>
  <c r="L199" i="1" s="1"/>
  <c r="AS199" i="1"/>
  <c r="A199" i="1"/>
  <c r="CH198" i="1"/>
  <c r="CA198" i="1"/>
  <c r="AV198" i="1"/>
  <c r="AU198" i="1" s="1"/>
  <c r="L198" i="1" s="1"/>
  <c r="AS198" i="1"/>
  <c r="AN198" i="1" s="1"/>
  <c r="Q198" i="1" s="1"/>
  <c r="M198" i="1"/>
  <c r="A198" i="1"/>
  <c r="CH197" i="1"/>
  <c r="CA197" i="1"/>
  <c r="AV197" i="1"/>
  <c r="A197" i="1"/>
  <c r="CH196" i="1"/>
  <c r="CA196" i="1"/>
  <c r="AV196" i="1"/>
  <c r="AU196" i="1" s="1"/>
  <c r="L196" i="1" s="1"/>
  <c r="A196" i="1"/>
  <c r="CH195" i="1"/>
  <c r="CA195" i="1"/>
  <c r="AV195" i="1"/>
  <c r="AU195" i="1" s="1"/>
  <c r="L195" i="1" s="1"/>
  <c r="A195" i="1"/>
  <c r="CH194" i="1"/>
  <c r="AV194" i="1"/>
  <c r="A194" i="1"/>
  <c r="CH193" i="1"/>
  <c r="AV193" i="1"/>
  <c r="AS193" i="1" s="1"/>
  <c r="A193" i="1"/>
  <c r="CH192" i="1"/>
  <c r="AV192" i="1"/>
  <c r="AU192" i="1" s="1"/>
  <c r="L192" i="1" s="1"/>
  <c r="AS192" i="1"/>
  <c r="AN192" i="1" s="1"/>
  <c r="Q192" i="1" s="1"/>
  <c r="A192" i="1"/>
  <c r="CH191" i="1"/>
  <c r="AV191" i="1"/>
  <c r="AU191" i="1" s="1"/>
  <c r="L191" i="1" s="1"/>
  <c r="AS191" i="1"/>
  <c r="AN191" i="1" s="1"/>
  <c r="Q191" i="1" s="1"/>
  <c r="M191" i="1"/>
  <c r="A191" i="1"/>
  <c r="CH190" i="1"/>
  <c r="AV190" i="1"/>
  <c r="A190" i="1"/>
  <c r="CH189" i="1"/>
  <c r="AV189" i="1"/>
  <c r="AS189" i="1" s="1"/>
  <c r="AU189" i="1"/>
  <c r="L189" i="1" s="1"/>
  <c r="AM189" i="1"/>
  <c r="P189" i="1" s="1"/>
  <c r="A189" i="1"/>
  <c r="CH188" i="1"/>
  <c r="AV188" i="1"/>
  <c r="AS188" i="1" s="1"/>
  <c r="AU188" i="1"/>
  <c r="L188" i="1" s="1"/>
  <c r="A188" i="1"/>
  <c r="CH187" i="1"/>
  <c r="AV187" i="1"/>
  <c r="AU187" i="1" s="1"/>
  <c r="L187" i="1" s="1"/>
  <c r="A187" i="1"/>
  <c r="CH186" i="1"/>
  <c r="AV186" i="1"/>
  <c r="A186" i="1"/>
  <c r="CH185" i="1"/>
  <c r="AV185" i="1"/>
  <c r="AS185" i="1" s="1"/>
  <c r="AM185" i="1"/>
  <c r="AQ185" i="1" s="1"/>
  <c r="A185" i="1"/>
  <c r="CH184" i="1"/>
  <c r="AV184" i="1"/>
  <c r="AS184" i="1" s="1"/>
  <c r="AU184" i="1"/>
  <c r="L184" i="1" s="1"/>
  <c r="A184" i="1"/>
  <c r="CH183" i="1"/>
  <c r="AV183" i="1"/>
  <c r="AU183" i="1" s="1"/>
  <c r="L183" i="1" s="1"/>
  <c r="A183" i="1"/>
  <c r="CH182" i="1"/>
  <c r="AV182" i="1"/>
  <c r="A182" i="1"/>
  <c r="CH181" i="1"/>
  <c r="AV181" i="1"/>
  <c r="AS181" i="1" s="1"/>
  <c r="AM181" i="1"/>
  <c r="P181" i="1" s="1"/>
  <c r="A181" i="1"/>
  <c r="CH180" i="1"/>
  <c r="AV180" i="1"/>
  <c r="AU180" i="1" s="1"/>
  <c r="L180" i="1" s="1"/>
  <c r="AS180" i="1"/>
  <c r="A180" i="1"/>
  <c r="AG366" i="1" s="1"/>
  <c r="CH179" i="1"/>
  <c r="AV179" i="1"/>
  <c r="AS179" i="1" s="1"/>
  <c r="A179" i="1"/>
  <c r="AG334" i="1" s="1"/>
  <c r="CH178" i="1"/>
  <c r="AV178" i="1"/>
  <c r="AU178" i="1" s="1"/>
  <c r="AS178" i="1"/>
  <c r="L178" i="1"/>
  <c r="A178" i="1"/>
  <c r="AG302" i="1" s="1"/>
  <c r="CH177" i="1"/>
  <c r="AV177" i="1"/>
  <c r="AS177" i="1" s="1"/>
  <c r="AM177" i="1"/>
  <c r="P177" i="1" s="1"/>
  <c r="A177" i="1"/>
  <c r="CH176" i="1"/>
  <c r="AV176" i="1"/>
  <c r="AU176" i="1" s="1"/>
  <c r="L176" i="1" s="1"/>
  <c r="AS176" i="1"/>
  <c r="A176" i="1"/>
  <c r="AG362" i="1" s="1"/>
  <c r="CH175" i="1"/>
  <c r="AV175" i="1"/>
  <c r="AU175" i="1" s="1"/>
  <c r="L175" i="1" s="1"/>
  <c r="A175" i="1"/>
  <c r="CH174" i="1"/>
  <c r="AV174" i="1"/>
  <c r="AU174" i="1" s="1"/>
  <c r="L174" i="1" s="1"/>
  <c r="A174" i="1"/>
  <c r="AG329" i="1" s="1"/>
  <c r="CH173" i="1"/>
  <c r="AV173" i="1"/>
  <c r="AU173" i="1"/>
  <c r="L173" i="1" s="1"/>
  <c r="AS173" i="1"/>
  <c r="AN173" i="1" s="1"/>
  <c r="Q173" i="1" s="1"/>
  <c r="AM173" i="1"/>
  <c r="P173" i="1" s="1"/>
  <c r="A173" i="1"/>
  <c r="CH172" i="1"/>
  <c r="AV172" i="1"/>
  <c r="AU172" i="1" s="1"/>
  <c r="L172" i="1" s="1"/>
  <c r="A172" i="1"/>
  <c r="AG358" i="1" s="1"/>
  <c r="CH171" i="1"/>
  <c r="AV171" i="1"/>
  <c r="AU171" i="1"/>
  <c r="L171" i="1" s="1"/>
  <c r="AS171" i="1"/>
  <c r="AN171" i="1" s="1"/>
  <c r="Q171" i="1" s="1"/>
  <c r="M171" i="1"/>
  <c r="A171" i="1"/>
  <c r="AG326" i="1" s="1"/>
  <c r="CH170" i="1"/>
  <c r="AV170" i="1"/>
  <c r="AU170" i="1" s="1"/>
  <c r="AS170" i="1"/>
  <c r="L170" i="1"/>
  <c r="A170" i="1"/>
  <c r="AG294" i="1" s="1"/>
  <c r="CH169" i="1"/>
  <c r="AV169" i="1"/>
  <c r="AU169" i="1" s="1"/>
  <c r="L169" i="1" s="1"/>
  <c r="AS169" i="1"/>
  <c r="AN169" i="1" s="1"/>
  <c r="Q169" i="1" s="1"/>
  <c r="A169" i="1"/>
  <c r="CH168" i="1"/>
  <c r="AV168" i="1"/>
  <c r="AU168" i="1" s="1"/>
  <c r="L168" i="1"/>
  <c r="A168" i="1"/>
  <c r="AG199" i="1" s="1"/>
  <c r="CH167" i="1"/>
  <c r="AV167" i="1"/>
  <c r="AS167" i="1" s="1"/>
  <c r="AU167" i="1"/>
  <c r="L167" i="1" s="1"/>
  <c r="A167" i="1"/>
  <c r="AG198" i="1" s="1"/>
  <c r="CH166" i="1"/>
  <c r="AV166" i="1"/>
  <c r="AU166" i="1" s="1"/>
  <c r="L166" i="1" s="1"/>
  <c r="AS166" i="1"/>
  <c r="A166" i="1"/>
  <c r="AG290" i="1" s="1"/>
  <c r="CH165" i="1"/>
  <c r="AV165" i="1"/>
  <c r="AU165" i="1" s="1"/>
  <c r="L165" i="1" s="1"/>
  <c r="A165" i="1"/>
  <c r="CH164" i="1"/>
  <c r="AV164" i="1"/>
  <c r="AU164" i="1" s="1"/>
  <c r="L164" i="1" s="1"/>
  <c r="A164" i="1"/>
  <c r="AG195" i="1" s="1"/>
  <c r="CH163" i="1"/>
  <c r="AV163" i="1"/>
  <c r="AU163" i="1"/>
  <c r="L163" i="1" s="1"/>
  <c r="AS163" i="1"/>
  <c r="AN163" i="1" s="1"/>
  <c r="Q163" i="1" s="1"/>
  <c r="M163" i="1"/>
  <c r="A163" i="1"/>
  <c r="CH162" i="1"/>
  <c r="AV162" i="1"/>
  <c r="AU162" i="1" s="1"/>
  <c r="AS162" i="1"/>
  <c r="L162" i="1"/>
  <c r="A162" i="1"/>
  <c r="AG286" i="1" s="1"/>
  <c r="CH161" i="1"/>
  <c r="AV161" i="1"/>
  <c r="AU161" i="1" s="1"/>
  <c r="L161" i="1" s="1"/>
  <c r="AS161" i="1"/>
  <c r="AN161" i="1" s="1"/>
  <c r="Q161" i="1" s="1"/>
  <c r="A161" i="1"/>
  <c r="CH160" i="1"/>
  <c r="AV160" i="1"/>
  <c r="AU160" i="1" s="1"/>
  <c r="L160" i="1"/>
  <c r="A160" i="1"/>
  <c r="AG191" i="1" s="1"/>
  <c r="CH159" i="1"/>
  <c r="AV159" i="1"/>
  <c r="AS159" i="1" s="1"/>
  <c r="AU159" i="1"/>
  <c r="L159" i="1" s="1"/>
  <c r="A159" i="1"/>
  <c r="AG314" i="1" s="1"/>
  <c r="CH158" i="1"/>
  <c r="AV158" i="1"/>
  <c r="AS158" i="1"/>
  <c r="M158" i="1" s="1"/>
  <c r="A158" i="1"/>
  <c r="CH157" i="1"/>
  <c r="AV157" i="1"/>
  <c r="AS157" i="1" s="1"/>
  <c r="AU157" i="1"/>
  <c r="L157" i="1" s="1"/>
  <c r="A157" i="1"/>
  <c r="AG343" i="1" s="1"/>
  <c r="CH156" i="1"/>
  <c r="AV156" i="1"/>
  <c r="AS156" i="1" s="1"/>
  <c r="M156" i="1" s="1"/>
  <c r="A156" i="1"/>
  <c r="CH155" i="1"/>
  <c r="AV155" i="1"/>
  <c r="AU155" i="1" s="1"/>
  <c r="L155" i="1" s="1"/>
  <c r="AS155" i="1"/>
  <c r="AN155" i="1" s="1"/>
  <c r="Q155" i="1" s="1"/>
  <c r="A155" i="1"/>
  <c r="CH154" i="1"/>
  <c r="AV154" i="1"/>
  <c r="AS154" i="1" s="1"/>
  <c r="M154" i="1" s="1"/>
  <c r="A154" i="1"/>
  <c r="CH153" i="1"/>
  <c r="AV153" i="1"/>
  <c r="AM153" i="1" s="1"/>
  <c r="P153" i="1" s="1"/>
  <c r="AS153" i="1"/>
  <c r="AN153" i="1" s="1"/>
  <c r="Q153" i="1" s="1"/>
  <c r="A153" i="1"/>
  <c r="AG339" i="1" s="1"/>
  <c r="CH152" i="1"/>
  <c r="AV152" i="1"/>
  <c r="AS152" i="1"/>
  <c r="M152" i="1" s="1"/>
  <c r="A152" i="1"/>
  <c r="CH151" i="1"/>
  <c r="AV151" i="1"/>
  <c r="AU151" i="1"/>
  <c r="L151" i="1" s="1"/>
  <c r="AS151" i="1"/>
  <c r="AN151" i="1" s="1"/>
  <c r="Q151" i="1" s="1"/>
  <c r="M151" i="1"/>
  <c r="A151" i="1"/>
  <c r="CH150" i="1"/>
  <c r="AV150" i="1"/>
  <c r="AS150" i="1"/>
  <c r="AN150" i="1" s="1"/>
  <c r="Q150" i="1" s="1"/>
  <c r="AG150" i="1"/>
  <c r="M150" i="1"/>
  <c r="A150" i="1"/>
  <c r="CH149" i="1"/>
  <c r="AV149" i="1"/>
  <c r="A149" i="1"/>
  <c r="AG149" i="1" s="1"/>
  <c r="CH148" i="1"/>
  <c r="AV148" i="1"/>
  <c r="AU148" i="1" s="1"/>
  <c r="L148" i="1" s="1"/>
  <c r="AS148" i="1"/>
  <c r="AN148" i="1" s="1"/>
  <c r="Q148" i="1" s="1"/>
  <c r="A148" i="1"/>
  <c r="AG148" i="1" s="1"/>
  <c r="CH147" i="1"/>
  <c r="AV147" i="1"/>
  <c r="AU147" i="1" s="1"/>
  <c r="L147" i="1" s="1"/>
  <c r="A147" i="1"/>
  <c r="AG147" i="1" s="1"/>
  <c r="CH146" i="1"/>
  <c r="AV146" i="1"/>
  <c r="AS146" i="1" s="1"/>
  <c r="AG146" i="1"/>
  <c r="A146" i="1"/>
  <c r="CH145" i="1"/>
  <c r="AV145" i="1"/>
  <c r="AU145" i="1" s="1"/>
  <c r="L145" i="1" s="1"/>
  <c r="A145" i="1"/>
  <c r="AG145" i="1" s="1"/>
  <c r="CH144" i="1"/>
  <c r="AV144" i="1"/>
  <c r="AS144" i="1" s="1"/>
  <c r="AU144" i="1"/>
  <c r="L144" i="1" s="1"/>
  <c r="A144" i="1"/>
  <c r="AG144" i="1" s="1"/>
  <c r="CH143" i="1"/>
  <c r="AV143" i="1"/>
  <c r="AU143" i="1" s="1"/>
  <c r="L143" i="1" s="1"/>
  <c r="AS143" i="1"/>
  <c r="AN143" i="1" s="1"/>
  <c r="Q143" i="1" s="1"/>
  <c r="A143" i="1"/>
  <c r="AG143" i="1" s="1"/>
  <c r="CH142" i="1"/>
  <c r="AV142" i="1"/>
  <c r="AS142" i="1"/>
  <c r="AN142" i="1" s="1"/>
  <c r="Q142" i="1" s="1"/>
  <c r="AG142" i="1"/>
  <c r="M142" i="1"/>
  <c r="A142" i="1"/>
  <c r="CH141" i="1"/>
  <c r="AV141" i="1"/>
  <c r="A141" i="1"/>
  <c r="AG141" i="1" s="1"/>
  <c r="CH140" i="1"/>
  <c r="AV140" i="1"/>
  <c r="AU140" i="1" s="1"/>
  <c r="L140" i="1" s="1"/>
  <c r="AS140" i="1"/>
  <c r="AN140" i="1" s="1"/>
  <c r="Q140" i="1" s="1"/>
  <c r="A140" i="1"/>
  <c r="AG140" i="1" s="1"/>
  <c r="CH139" i="1"/>
  <c r="AV139" i="1"/>
  <c r="AU139" i="1" s="1"/>
  <c r="L139" i="1" s="1"/>
  <c r="A139" i="1"/>
  <c r="AG139" i="1" s="1"/>
  <c r="CH138" i="1"/>
  <c r="AV138" i="1"/>
  <c r="AS138" i="1" s="1"/>
  <c r="AG138" i="1"/>
  <c r="A138" i="1"/>
  <c r="CH137" i="1"/>
  <c r="AV137" i="1"/>
  <c r="AU137" i="1" s="1"/>
  <c r="L137" i="1" s="1"/>
  <c r="A137" i="1"/>
  <c r="AG137" i="1" s="1"/>
  <c r="CH136" i="1"/>
  <c r="AV136" i="1"/>
  <c r="AS136" i="1" s="1"/>
  <c r="AU136" i="1"/>
  <c r="L136" i="1" s="1"/>
  <c r="A136" i="1"/>
  <c r="AG136" i="1" s="1"/>
  <c r="CH135" i="1"/>
  <c r="AV135" i="1"/>
  <c r="AU135" i="1" s="1"/>
  <c r="L135" i="1" s="1"/>
  <c r="AS135" i="1"/>
  <c r="AN135" i="1" s="1"/>
  <c r="Q135" i="1" s="1"/>
  <c r="A135" i="1"/>
  <c r="AG135" i="1" s="1"/>
  <c r="CH134" i="1"/>
  <c r="AV134" i="1"/>
  <c r="AS134" i="1"/>
  <c r="AN134" i="1" s="1"/>
  <c r="Q134" i="1" s="1"/>
  <c r="AG134" i="1"/>
  <c r="M134" i="1"/>
  <c r="A134" i="1"/>
  <c r="CH133" i="1"/>
  <c r="AV133" i="1"/>
  <c r="A133" i="1"/>
  <c r="AG133" i="1" s="1"/>
  <c r="CH132" i="1"/>
  <c r="AV132" i="1"/>
  <c r="AU132" i="1" s="1"/>
  <c r="L132" i="1" s="1"/>
  <c r="AS132" i="1"/>
  <c r="AN132" i="1" s="1"/>
  <c r="Q132" i="1" s="1"/>
  <c r="A132" i="1"/>
  <c r="AG132" i="1" s="1"/>
  <c r="CH131" i="1"/>
  <c r="AV131" i="1"/>
  <c r="AU131" i="1" s="1"/>
  <c r="L131" i="1" s="1"/>
  <c r="A131" i="1"/>
  <c r="AG131" i="1" s="1"/>
  <c r="CH130" i="1"/>
  <c r="AV130" i="1"/>
  <c r="AS130" i="1" s="1"/>
  <c r="AG130" i="1"/>
  <c r="A130" i="1"/>
  <c r="CH129" i="1"/>
  <c r="AV129" i="1"/>
  <c r="AU129" i="1" s="1"/>
  <c r="L129" i="1" s="1"/>
  <c r="A129" i="1"/>
  <c r="AG129" i="1" s="1"/>
  <c r="CH128" i="1"/>
  <c r="AV128" i="1"/>
  <c r="AS128" i="1" s="1"/>
  <c r="AU128" i="1"/>
  <c r="L128" i="1" s="1"/>
  <c r="A128" i="1"/>
  <c r="AG128" i="1" s="1"/>
  <c r="CH127" i="1"/>
  <c r="AV127" i="1"/>
  <c r="AU127" i="1" s="1"/>
  <c r="L127" i="1" s="1"/>
  <c r="AS127" i="1"/>
  <c r="AN127" i="1" s="1"/>
  <c r="Q127" i="1" s="1"/>
  <c r="A127" i="1"/>
  <c r="AG127" i="1" s="1"/>
  <c r="CH126" i="1"/>
  <c r="BJ126" i="1"/>
  <c r="BI126" i="1"/>
  <c r="BH126" i="1"/>
  <c r="BL126" i="1" s="1"/>
  <c r="AV126" i="1"/>
  <c r="AU126" i="1" s="1"/>
  <c r="L126" i="1" s="1"/>
  <c r="A126" i="1"/>
  <c r="AG126" i="1" s="1"/>
  <c r="CH125" i="1"/>
  <c r="AV125" i="1"/>
  <c r="AU125" i="1" s="1"/>
  <c r="L125" i="1" s="1"/>
  <c r="A125" i="1"/>
  <c r="AG125" i="1" s="1"/>
  <c r="CH124" i="1"/>
  <c r="AV124" i="1"/>
  <c r="AS124" i="1"/>
  <c r="AN124" i="1" s="1"/>
  <c r="Q124" i="1" s="1"/>
  <c r="AG124" i="1"/>
  <c r="A124" i="1"/>
  <c r="CH123" i="1"/>
  <c r="BN123" i="1"/>
  <c r="BJ123" i="1"/>
  <c r="BI123" i="1"/>
  <c r="BM123" i="1" s="1"/>
  <c r="BH123" i="1"/>
  <c r="BL123" i="1" s="1"/>
  <c r="AV123" i="1"/>
  <c r="AU123" i="1" s="1"/>
  <c r="L123" i="1" s="1"/>
  <c r="AS123" i="1"/>
  <c r="AN123" i="1" s="1"/>
  <c r="Q123" i="1" s="1"/>
  <c r="AG123" i="1"/>
  <c r="M123" i="1"/>
  <c r="A123" i="1"/>
  <c r="CH122" i="1"/>
  <c r="BU122" i="1"/>
  <c r="BJ122" i="1"/>
  <c r="BN122" i="1" s="1"/>
  <c r="BI122" i="1"/>
  <c r="BM122" i="1" s="1"/>
  <c r="BH122" i="1"/>
  <c r="BL122" i="1" s="1"/>
  <c r="AV122" i="1"/>
  <c r="AU122" i="1" s="1"/>
  <c r="L122" i="1" s="1"/>
  <c r="A122" i="1"/>
  <c r="AG122" i="1" s="1"/>
  <c r="CH121" i="1"/>
  <c r="BM121" i="1"/>
  <c r="BJ121" i="1"/>
  <c r="BN121" i="1" s="1"/>
  <c r="BI121" i="1"/>
  <c r="BH121" i="1"/>
  <c r="BL121" i="1" s="1"/>
  <c r="AV121" i="1"/>
  <c r="AS121" i="1" s="1"/>
  <c r="A121" i="1"/>
  <c r="AG121" i="1" s="1"/>
  <c r="CH120" i="1"/>
  <c r="BJ120" i="1"/>
  <c r="BN120" i="1" s="1"/>
  <c r="BI120" i="1"/>
  <c r="BM120" i="1" s="1"/>
  <c r="BH120" i="1"/>
  <c r="BL120" i="1" s="1"/>
  <c r="AV120" i="1"/>
  <c r="AU120" i="1" s="1"/>
  <c r="L120" i="1" s="1"/>
  <c r="AS120" i="1"/>
  <c r="AN120" i="1" s="1"/>
  <c r="Q120" i="1" s="1"/>
  <c r="AG120" i="1"/>
  <c r="A120" i="1"/>
  <c r="CH119" i="1"/>
  <c r="BN119" i="1"/>
  <c r="BJ119" i="1"/>
  <c r="BI119" i="1"/>
  <c r="BM119" i="1" s="1"/>
  <c r="BH119" i="1"/>
  <c r="BL119" i="1" s="1"/>
  <c r="AV119" i="1"/>
  <c r="AU119" i="1" s="1"/>
  <c r="L119" i="1" s="1"/>
  <c r="A119" i="1"/>
  <c r="CH118" i="1"/>
  <c r="BN118" i="1"/>
  <c r="BJ118" i="1"/>
  <c r="BI118" i="1"/>
  <c r="BM118" i="1" s="1"/>
  <c r="BH118" i="1"/>
  <c r="BL118" i="1" s="1"/>
  <c r="AV118" i="1"/>
  <c r="AS118" i="1" s="1"/>
  <c r="A118" i="1"/>
  <c r="CH117" i="1"/>
  <c r="BN117" i="1"/>
  <c r="BJ117" i="1"/>
  <c r="BI117" i="1"/>
  <c r="BM117" i="1" s="1"/>
  <c r="BH117" i="1"/>
  <c r="BL117" i="1" s="1"/>
  <c r="AV117" i="1"/>
  <c r="AS117" i="1" s="1"/>
  <c r="A117" i="1"/>
  <c r="CH116" i="1"/>
  <c r="BJ116" i="1"/>
  <c r="BN116" i="1" s="1"/>
  <c r="BI116" i="1"/>
  <c r="BM116" i="1" s="1"/>
  <c r="BH116" i="1"/>
  <c r="BL116" i="1" s="1"/>
  <c r="AV116" i="1"/>
  <c r="AU116" i="1" s="1"/>
  <c r="L116" i="1" s="1"/>
  <c r="AS116" i="1"/>
  <c r="AN116" i="1" s="1"/>
  <c r="Q116" i="1" s="1"/>
  <c r="A116" i="1"/>
  <c r="CH115" i="1"/>
  <c r="BN115" i="1"/>
  <c r="BJ115" i="1"/>
  <c r="BI115" i="1"/>
  <c r="BM115" i="1" s="1"/>
  <c r="BH115" i="1"/>
  <c r="BL115" i="1" s="1"/>
  <c r="AV115" i="1"/>
  <c r="AU115" i="1" s="1"/>
  <c r="L115" i="1" s="1"/>
  <c r="AS115" i="1"/>
  <c r="AN115" i="1" s="1"/>
  <c r="Q115" i="1"/>
  <c r="M115" i="1"/>
  <c r="A115" i="1"/>
  <c r="CH114" i="1"/>
  <c r="BN114" i="1"/>
  <c r="BJ114" i="1"/>
  <c r="BI114" i="1"/>
  <c r="BM114" i="1" s="1"/>
  <c r="BH114" i="1"/>
  <c r="BL114" i="1" s="1"/>
  <c r="AV114" i="1"/>
  <c r="AU114" i="1" s="1"/>
  <c r="L114" i="1" s="1"/>
  <c r="A114" i="1"/>
  <c r="CH113" i="1"/>
  <c r="BU113" i="1"/>
  <c r="BJ113" i="1"/>
  <c r="BN113" i="1" s="1"/>
  <c r="BI113" i="1"/>
  <c r="BM113" i="1" s="1"/>
  <c r="BH113" i="1"/>
  <c r="BL113" i="1" s="1"/>
  <c r="AV113" i="1"/>
  <c r="AU113" i="1"/>
  <c r="L113" i="1" s="1"/>
  <c r="AS113" i="1"/>
  <c r="AN113" i="1" s="1"/>
  <c r="Q113" i="1" s="1"/>
  <c r="A113" i="1"/>
  <c r="CH112" i="1"/>
  <c r="AV112" i="1"/>
  <c r="AS112" i="1"/>
  <c r="M112" i="1" s="1"/>
  <c r="A112" i="1"/>
  <c r="CH111" i="1"/>
  <c r="AV111" i="1"/>
  <c r="AU111" i="1"/>
  <c r="L111" i="1" s="1"/>
  <c r="AS111" i="1"/>
  <c r="AN111" i="1" s="1"/>
  <c r="Q111" i="1" s="1"/>
  <c r="A111" i="1"/>
  <c r="CH110" i="1"/>
  <c r="AV110" i="1"/>
  <c r="AS110" i="1" s="1"/>
  <c r="A110" i="1"/>
  <c r="CH109" i="1"/>
  <c r="AV109" i="1"/>
  <c r="AU109" i="1" s="1"/>
  <c r="L109" i="1" s="1"/>
  <c r="A109" i="1"/>
  <c r="CH108" i="1"/>
  <c r="AV108" i="1"/>
  <c r="AS108" i="1"/>
  <c r="M108" i="1" s="1"/>
  <c r="A108" i="1"/>
  <c r="CH107" i="1"/>
  <c r="AV107" i="1"/>
  <c r="AS107" i="1" s="1"/>
  <c r="AN107" i="1" s="1"/>
  <c r="Q107" i="1" s="1"/>
  <c r="A107" i="1"/>
  <c r="CH106" i="1"/>
  <c r="AV106" i="1"/>
  <c r="AU106" i="1"/>
  <c r="L106" i="1" s="1"/>
  <c r="AS106" i="1"/>
  <c r="M106" i="1" s="1"/>
  <c r="A106" i="1"/>
  <c r="CH105" i="1"/>
  <c r="AV105" i="1"/>
  <c r="AU105" i="1"/>
  <c r="L105" i="1" s="1"/>
  <c r="AS105" i="1"/>
  <c r="AN105" i="1" s="1"/>
  <c r="Q105" i="1" s="1"/>
  <c r="M105" i="1"/>
  <c r="A105" i="1"/>
  <c r="CH104" i="1"/>
  <c r="AV104" i="1"/>
  <c r="AU104" i="1" s="1"/>
  <c r="L104" i="1" s="1"/>
  <c r="A104" i="1"/>
  <c r="CH103" i="1"/>
  <c r="AV103" i="1"/>
  <c r="A103" i="1"/>
  <c r="CH102" i="1"/>
  <c r="AV102" i="1"/>
  <c r="A102" i="1"/>
  <c r="CH101" i="1"/>
  <c r="AV101" i="1"/>
  <c r="AS101" i="1" s="1"/>
  <c r="A101" i="1"/>
  <c r="CH100" i="1"/>
  <c r="AV100" i="1"/>
  <c r="AU100" i="1" s="1"/>
  <c r="L100" i="1" s="1"/>
  <c r="A100" i="1"/>
  <c r="CH99" i="1"/>
  <c r="AV99" i="1"/>
  <c r="AU99" i="1"/>
  <c r="L99" i="1" s="1"/>
  <c r="AS99" i="1"/>
  <c r="AN99" i="1" s="1"/>
  <c r="Q99" i="1" s="1"/>
  <c r="M99" i="1"/>
  <c r="A99" i="1"/>
  <c r="CH98" i="1"/>
  <c r="AV98" i="1"/>
  <c r="AN98" i="1" s="1"/>
  <c r="Q98" i="1" s="1"/>
  <c r="AU98" i="1"/>
  <c r="L98" i="1" s="1"/>
  <c r="AS98" i="1"/>
  <c r="AM98" i="1" s="1"/>
  <c r="AQ98" i="1" s="1"/>
  <c r="M98" i="1"/>
  <c r="A98" i="1"/>
  <c r="CH97" i="1"/>
  <c r="AV97" i="1"/>
  <c r="AS97" i="1" s="1"/>
  <c r="A97" i="1"/>
  <c r="CH96" i="1"/>
  <c r="AV96" i="1"/>
  <c r="AS96" i="1" s="1"/>
  <c r="M96" i="1" s="1"/>
  <c r="A96" i="1"/>
  <c r="CH95" i="1"/>
  <c r="AV95" i="1"/>
  <c r="AM95" i="1" s="1"/>
  <c r="AQ95" i="1" s="1"/>
  <c r="AU95" i="1"/>
  <c r="L95" i="1" s="1"/>
  <c r="AS95" i="1"/>
  <c r="AN95" i="1" s="1"/>
  <c r="Q95" i="1" s="1"/>
  <c r="A95" i="1"/>
  <c r="CH94" i="1"/>
  <c r="AV94" i="1"/>
  <c r="AS94" i="1" s="1"/>
  <c r="M94" i="1" s="1"/>
  <c r="AU94" i="1"/>
  <c r="L94" i="1" s="1"/>
  <c r="A94" i="1"/>
  <c r="CH93" i="1"/>
  <c r="AV93" i="1"/>
  <c r="AU93" i="1"/>
  <c r="L93" i="1" s="1"/>
  <c r="AS93" i="1"/>
  <c r="AN93" i="1" s="1"/>
  <c r="Q93" i="1" s="1"/>
  <c r="A93" i="1"/>
  <c r="CH92" i="1"/>
  <c r="AV92" i="1"/>
  <c r="AU92" i="1" s="1"/>
  <c r="L92" i="1" s="1"/>
  <c r="AG92" i="1"/>
  <c r="A92" i="1"/>
  <c r="CH91" i="1"/>
  <c r="AV91" i="1"/>
  <c r="AS91" i="1" s="1"/>
  <c r="A91" i="1"/>
  <c r="CH90" i="1"/>
  <c r="AV90" i="1"/>
  <c r="AS90" i="1" s="1"/>
  <c r="AU90" i="1"/>
  <c r="L90" i="1" s="1"/>
  <c r="A90" i="1"/>
  <c r="CH89" i="1"/>
  <c r="AV89" i="1"/>
  <c r="AS89" i="1" s="1"/>
  <c r="A89" i="1"/>
  <c r="AG104" i="1" s="1"/>
  <c r="CH88" i="1"/>
  <c r="BT88" i="1"/>
  <c r="AV88" i="1"/>
  <c r="AS88" i="1" s="1"/>
  <c r="AU88" i="1"/>
  <c r="L88" i="1" s="1"/>
  <c r="A88" i="1"/>
  <c r="AG103" i="1" s="1"/>
  <c r="CH87" i="1"/>
  <c r="AV87" i="1"/>
  <c r="AU87" i="1"/>
  <c r="A87" i="1"/>
  <c r="AG102" i="1" s="1"/>
  <c r="CH86" i="1"/>
  <c r="AV86" i="1"/>
  <c r="AS86" i="1" s="1"/>
  <c r="A86" i="1"/>
  <c r="AG101" i="1" s="1"/>
  <c r="CH85" i="1"/>
  <c r="AV85" i="1"/>
  <c r="AS85" i="1" s="1"/>
  <c r="A85" i="1"/>
  <c r="AG100" i="1" s="1"/>
  <c r="CH84" i="1"/>
  <c r="AV84" i="1"/>
  <c r="AS84" i="1" s="1"/>
  <c r="A84" i="1"/>
  <c r="AG99" i="1" s="1"/>
  <c r="CH83" i="1"/>
  <c r="AV83" i="1"/>
  <c r="AS83" i="1" s="1"/>
  <c r="A83" i="1"/>
  <c r="AG98" i="1" s="1"/>
  <c r="CH82" i="1"/>
  <c r="AV82" i="1"/>
  <c r="AS82" i="1" s="1"/>
  <c r="A82" i="1"/>
  <c r="AG97" i="1" s="1"/>
  <c r="CH81" i="1"/>
  <c r="AV81" i="1"/>
  <c r="AS81" i="1" s="1"/>
  <c r="AU81" i="1"/>
  <c r="L81" i="1" s="1"/>
  <c r="A81" i="1"/>
  <c r="AG96" i="1" s="1"/>
  <c r="CH80" i="1"/>
  <c r="AV80" i="1"/>
  <c r="AS80" i="1" s="1"/>
  <c r="A80" i="1"/>
  <c r="AG95" i="1" s="1"/>
  <c r="CH79" i="1"/>
  <c r="AV79" i="1"/>
  <c r="AS79" i="1" s="1"/>
  <c r="AU79" i="1"/>
  <c r="L79" i="1" s="1"/>
  <c r="A79" i="1"/>
  <c r="AG94" i="1" s="1"/>
  <c r="CH78" i="1"/>
  <c r="AV78" i="1"/>
  <c r="AS78" i="1" s="1"/>
  <c r="A78" i="1"/>
  <c r="AG93" i="1" s="1"/>
  <c r="CH77" i="1"/>
  <c r="AV77" i="1"/>
  <c r="AS77" i="1" s="1"/>
  <c r="A77" i="1"/>
  <c r="CH76" i="1"/>
  <c r="AV76" i="1"/>
  <c r="AS76" i="1" s="1"/>
  <c r="A76" i="1"/>
  <c r="AG91" i="1" s="1"/>
  <c r="CH75" i="1"/>
  <c r="AV75" i="1"/>
  <c r="AS75" i="1" s="1"/>
  <c r="A75" i="1"/>
  <c r="AG90" i="1" s="1"/>
  <c r="CH74" i="1"/>
  <c r="AV74" i="1"/>
  <c r="AS74" i="1" s="1"/>
  <c r="AG74" i="1"/>
  <c r="A74" i="1"/>
  <c r="CH73" i="1"/>
  <c r="AV73" i="1"/>
  <c r="AT73" i="1" s="1"/>
  <c r="N73" i="1" s="1"/>
  <c r="A73" i="1"/>
  <c r="AG73" i="1" s="1"/>
  <c r="CH72" i="1"/>
  <c r="AV72" i="1"/>
  <c r="AS72" i="1" s="1"/>
  <c r="A72" i="1"/>
  <c r="AG72" i="1" s="1"/>
  <c r="CH71" i="1"/>
  <c r="AV71" i="1"/>
  <c r="AS71" i="1" s="1"/>
  <c r="AG71" i="1"/>
  <c r="A71" i="1"/>
  <c r="CH70" i="1"/>
  <c r="AV70" i="1"/>
  <c r="AT70" i="1" s="1"/>
  <c r="N70" i="1" s="1"/>
  <c r="A70" i="1"/>
  <c r="AG70" i="1" s="1"/>
  <c r="CH69" i="1"/>
  <c r="AV69" i="1"/>
  <c r="AS69" i="1" s="1"/>
  <c r="A69" i="1"/>
  <c r="AG69" i="1" s="1"/>
  <c r="CH68" i="1"/>
  <c r="AV68" i="1"/>
  <c r="AS68" i="1" s="1"/>
  <c r="A68" i="1"/>
  <c r="AG68" i="1" s="1"/>
  <c r="CH67" i="1"/>
  <c r="AV67" i="1"/>
  <c r="AS67" i="1" s="1"/>
  <c r="AG67" i="1"/>
  <c r="A67" i="1"/>
  <c r="CH66" i="1"/>
  <c r="AV66" i="1"/>
  <c r="AU66" i="1"/>
  <c r="L66" i="1" s="1"/>
  <c r="A66" i="1"/>
  <c r="AG66" i="1" s="1"/>
  <c r="CH65" i="1"/>
  <c r="AV65" i="1"/>
  <c r="AS65" i="1" s="1"/>
  <c r="AU65" i="1"/>
  <c r="L65" i="1" s="1"/>
  <c r="A65" i="1"/>
  <c r="AG65" i="1" s="1"/>
  <c r="CH64" i="1"/>
  <c r="AV64" i="1"/>
  <c r="AU64" i="1" s="1"/>
  <c r="L64" i="1" s="1"/>
  <c r="AG64" i="1"/>
  <c r="A64" i="1"/>
  <c r="CH63" i="1"/>
  <c r="AV63" i="1"/>
  <c r="AS63" i="1" s="1"/>
  <c r="AG63" i="1"/>
  <c r="A63" i="1"/>
  <c r="CH62" i="1"/>
  <c r="AV62" i="1"/>
  <c r="AT62" i="1" s="1"/>
  <c r="N62" i="1" s="1"/>
  <c r="A62" i="1"/>
  <c r="AG62" i="1" s="1"/>
  <c r="CH61" i="1"/>
  <c r="AV61" i="1"/>
  <c r="AS61" i="1" s="1"/>
  <c r="A61" i="1"/>
  <c r="AG61" i="1" s="1"/>
  <c r="CH60" i="1"/>
  <c r="AV60" i="1"/>
  <c r="AS60" i="1" s="1"/>
  <c r="A60" i="1"/>
  <c r="AG60" i="1" s="1"/>
  <c r="CH59" i="1"/>
  <c r="AV59" i="1"/>
  <c r="AS59" i="1" s="1"/>
  <c r="A59" i="1"/>
  <c r="CH58" i="1"/>
  <c r="BP58" i="1"/>
  <c r="BN58" i="1"/>
  <c r="BM58" i="1"/>
  <c r="BI58" i="1"/>
  <c r="BK58" i="1" s="1"/>
  <c r="BF58" i="1"/>
  <c r="BJ58" i="1" s="1"/>
  <c r="AV58" i="1"/>
  <c r="AU58" i="1"/>
  <c r="L58" i="1" s="1"/>
  <c r="AS58" i="1"/>
  <c r="M58" i="1" s="1"/>
  <c r="A58" i="1"/>
  <c r="CH57" i="1"/>
  <c r="BP57" i="1"/>
  <c r="BN57" i="1"/>
  <c r="BI57" i="1"/>
  <c r="BM57" i="1" s="1"/>
  <c r="BF57" i="1"/>
  <c r="BJ57" i="1" s="1"/>
  <c r="AV57" i="1"/>
  <c r="AS57" i="1" s="1"/>
  <c r="AU57" i="1"/>
  <c r="A57" i="1"/>
  <c r="CH56" i="1"/>
  <c r="BP56" i="1"/>
  <c r="BN56" i="1"/>
  <c r="BJ56" i="1"/>
  <c r="BI56" i="1"/>
  <c r="BM56" i="1" s="1"/>
  <c r="BF56" i="1"/>
  <c r="AV56" i="1"/>
  <c r="AS56" i="1" s="1"/>
  <c r="AU56" i="1"/>
  <c r="L56" i="1" s="1"/>
  <c r="A56" i="1"/>
  <c r="CH55" i="1"/>
  <c r="BP55" i="1"/>
  <c r="AT28" i="1" s="1"/>
  <c r="N28" i="1" s="1"/>
  <c r="BN55" i="1"/>
  <c r="BJ55" i="1"/>
  <c r="BI55" i="1"/>
  <c r="BM55" i="1" s="1"/>
  <c r="BF55" i="1"/>
  <c r="AV55" i="1"/>
  <c r="AU55" i="1"/>
  <c r="L55" i="1" s="1"/>
  <c r="A55" i="1"/>
  <c r="CH54" i="1"/>
  <c r="BP54" i="1"/>
  <c r="BN54" i="1"/>
  <c r="BM54" i="1"/>
  <c r="BI54" i="1"/>
  <c r="BK54" i="1" s="1"/>
  <c r="BF54" i="1"/>
  <c r="BJ54" i="1" s="1"/>
  <c r="AV54" i="1"/>
  <c r="AS54" i="1" s="1"/>
  <c r="A54" i="1"/>
  <c r="CH53" i="1"/>
  <c r="BP53" i="1"/>
  <c r="AT21" i="1" s="1"/>
  <c r="N21" i="1" s="1"/>
  <c r="BN53" i="1"/>
  <c r="BI53" i="1"/>
  <c r="BK53" i="1" s="1"/>
  <c r="BF53" i="1"/>
  <c r="AO21" i="1" s="1"/>
  <c r="AV53" i="1"/>
  <c r="AU53" i="1" s="1"/>
  <c r="L53" i="1" s="1"/>
  <c r="AO53" i="1"/>
  <c r="A53" i="1"/>
  <c r="CH52" i="1"/>
  <c r="BP52" i="1"/>
  <c r="BN52" i="1"/>
  <c r="BI52" i="1"/>
  <c r="BM52" i="1" s="1"/>
  <c r="BF52" i="1"/>
  <c r="BJ52" i="1" s="1"/>
  <c r="AV52" i="1"/>
  <c r="AS52" i="1" s="1"/>
  <c r="A52" i="1"/>
  <c r="CH51" i="1"/>
  <c r="BP51" i="1"/>
  <c r="BN51" i="1"/>
  <c r="BM51" i="1"/>
  <c r="BK51" i="1"/>
  <c r="BI51" i="1"/>
  <c r="BF51" i="1"/>
  <c r="BJ51" i="1" s="1"/>
  <c r="AV51" i="1"/>
  <c r="A51" i="1"/>
  <c r="CH50" i="1"/>
  <c r="BP50" i="1"/>
  <c r="AT29" i="1" s="1"/>
  <c r="N29" i="1" s="1"/>
  <c r="BN50" i="1"/>
  <c r="BK50" i="1"/>
  <c r="BI50" i="1"/>
  <c r="BM50" i="1" s="1"/>
  <c r="BF50" i="1"/>
  <c r="BJ50" i="1" s="1"/>
  <c r="AV50" i="1"/>
  <c r="AS50" i="1" s="1"/>
  <c r="A50" i="1"/>
  <c r="CH49" i="1"/>
  <c r="BP49" i="1"/>
  <c r="BN49" i="1"/>
  <c r="BM49" i="1"/>
  <c r="BI49" i="1"/>
  <c r="BK49" i="1" s="1"/>
  <c r="BF49" i="1"/>
  <c r="BJ49" i="1" s="1"/>
  <c r="AV49" i="1"/>
  <c r="AP49" i="1" s="1"/>
  <c r="S49" i="1" s="1"/>
  <c r="AU49" i="1"/>
  <c r="AS49" i="1"/>
  <c r="M49" i="1" s="1"/>
  <c r="AO49" i="1"/>
  <c r="L49" i="1"/>
  <c r="A49" i="1"/>
  <c r="CH48" i="1"/>
  <c r="BP48" i="1"/>
  <c r="AT24" i="1" s="1"/>
  <c r="N24" i="1" s="1"/>
  <c r="BN48" i="1"/>
  <c r="BJ48" i="1"/>
  <c r="BI48" i="1"/>
  <c r="BM48" i="1" s="1"/>
  <c r="BF48" i="1"/>
  <c r="AV48" i="1"/>
  <c r="AS48" i="1" s="1"/>
  <c r="A48" i="1"/>
  <c r="CH47" i="1"/>
  <c r="BP47" i="1"/>
  <c r="AT20" i="1" s="1"/>
  <c r="N20" i="1" s="1"/>
  <c r="BN47" i="1"/>
  <c r="BJ47" i="1"/>
  <c r="BI47" i="1"/>
  <c r="BM47" i="1" s="1"/>
  <c r="BF47" i="1"/>
  <c r="AV47" i="1"/>
  <c r="AT47" i="1" s="1"/>
  <c r="N47" i="1" s="1"/>
  <c r="AU47" i="1"/>
  <c r="L47" i="1" s="1"/>
  <c r="A47" i="1"/>
  <c r="CH46" i="1"/>
  <c r="BP46" i="1"/>
  <c r="AT26" i="1" s="1"/>
  <c r="N26" i="1" s="1"/>
  <c r="BN46" i="1"/>
  <c r="BM46" i="1"/>
  <c r="BI46" i="1"/>
  <c r="BK46" i="1" s="1"/>
  <c r="BF46" i="1"/>
  <c r="BJ46" i="1" s="1"/>
  <c r="AV46" i="1"/>
  <c r="AS46" i="1" s="1"/>
  <c r="A46" i="1"/>
  <c r="CH45" i="1"/>
  <c r="BP45" i="1"/>
  <c r="AT18" i="1" s="1"/>
  <c r="N18" i="1" s="1"/>
  <c r="BN45" i="1"/>
  <c r="BI45" i="1"/>
  <c r="BK45" i="1" s="1"/>
  <c r="BF45" i="1"/>
  <c r="BJ45" i="1" s="1"/>
  <c r="AV45" i="1"/>
  <c r="AU45" i="1" s="1"/>
  <c r="L45" i="1" s="1"/>
  <c r="AO45" i="1"/>
  <c r="A45" i="1"/>
  <c r="CH44" i="1"/>
  <c r="BP44" i="1"/>
  <c r="AT101" i="1" s="1"/>
  <c r="N101" i="1" s="1"/>
  <c r="BN44" i="1"/>
  <c r="BI44" i="1"/>
  <c r="BM44" i="1" s="1"/>
  <c r="BF44" i="1"/>
  <c r="AO208" i="1" s="1"/>
  <c r="AV44" i="1"/>
  <c r="AS44" i="1" s="1"/>
  <c r="A44" i="1"/>
  <c r="AG44" i="1" s="1"/>
  <c r="CH43" i="1"/>
  <c r="BP43" i="1"/>
  <c r="BN43" i="1"/>
  <c r="BM43" i="1"/>
  <c r="BI43" i="1"/>
  <c r="BK43" i="1" s="1"/>
  <c r="BF43" i="1"/>
  <c r="AO142" i="1" s="1"/>
  <c r="AV43" i="1"/>
  <c r="AS43" i="1" s="1"/>
  <c r="A43" i="1"/>
  <c r="AG43" i="1" s="1"/>
  <c r="CH42" i="1"/>
  <c r="BP42" i="1"/>
  <c r="AT95" i="1" s="1"/>
  <c r="N95" i="1" s="1"/>
  <c r="BN42" i="1"/>
  <c r="BI42" i="1"/>
  <c r="BM42" i="1" s="1"/>
  <c r="BF42" i="1"/>
  <c r="AO95" i="1" s="1"/>
  <c r="AV42" i="1"/>
  <c r="AS42" i="1" s="1"/>
  <c r="AU42" i="1"/>
  <c r="AP42" i="1"/>
  <c r="S42" i="1" s="1"/>
  <c r="A42" i="1"/>
  <c r="AG42" i="1" s="1"/>
  <c r="CH41" i="1"/>
  <c r="BP41" i="1"/>
  <c r="BN41" i="1"/>
  <c r="BJ41" i="1"/>
  <c r="BI41" i="1"/>
  <c r="BM41" i="1" s="1"/>
  <c r="BF41" i="1"/>
  <c r="AV41" i="1"/>
  <c r="AU41" i="1"/>
  <c r="L41" i="1" s="1"/>
  <c r="A41" i="1"/>
  <c r="AG41" i="1" s="1"/>
  <c r="CH40" i="1"/>
  <c r="BP40" i="1"/>
  <c r="BN40" i="1"/>
  <c r="BM40" i="1"/>
  <c r="BI40" i="1"/>
  <c r="BK40" i="1" s="1"/>
  <c r="BF40" i="1"/>
  <c r="AP115" i="1" s="1"/>
  <c r="S115" i="1" s="1"/>
  <c r="AV40" i="1"/>
  <c r="AT40" i="1" s="1"/>
  <c r="N40" i="1" s="1"/>
  <c r="AO40" i="1"/>
  <c r="R40" i="1" s="1"/>
  <c r="A40" i="1"/>
  <c r="AG40" i="1" s="1"/>
  <c r="CH39" i="1"/>
  <c r="BP39" i="1"/>
  <c r="AT265" i="1" s="1"/>
  <c r="N265" i="1" s="1"/>
  <c r="BN39" i="1"/>
  <c r="BI39" i="1"/>
  <c r="BK39" i="1" s="1"/>
  <c r="BF39" i="1"/>
  <c r="BJ39" i="1" s="1"/>
  <c r="AV39" i="1"/>
  <c r="AU39" i="1"/>
  <c r="L39" i="1" s="1"/>
  <c r="A39" i="1"/>
  <c r="AG39" i="1" s="1"/>
  <c r="CH38" i="1"/>
  <c r="BP38" i="1"/>
  <c r="BN38" i="1"/>
  <c r="BM38" i="1"/>
  <c r="BI38" i="1"/>
  <c r="BK38" i="1" s="1"/>
  <c r="BF38" i="1"/>
  <c r="AO197" i="1" s="1"/>
  <c r="AV38" i="1"/>
  <c r="AP38" i="1" s="1"/>
  <c r="S38" i="1" s="1"/>
  <c r="AU38" i="1"/>
  <c r="L38" i="1" s="1"/>
  <c r="AS38" i="1"/>
  <c r="AN38" i="1" s="1"/>
  <c r="Q38" i="1" s="1"/>
  <c r="A38" i="1"/>
  <c r="AG38" i="1" s="1"/>
  <c r="CH37" i="1"/>
  <c r="BP37" i="1"/>
  <c r="AT127" i="1" s="1"/>
  <c r="N127" i="1" s="1"/>
  <c r="BN37" i="1"/>
  <c r="BM37" i="1"/>
  <c r="BK37" i="1"/>
  <c r="BI37" i="1"/>
  <c r="BF37" i="1"/>
  <c r="BJ37" i="1" s="1"/>
  <c r="AV37" i="1"/>
  <c r="AT37" i="1" s="1"/>
  <c r="N37" i="1" s="1"/>
  <c r="A37" i="1"/>
  <c r="AG37" i="1" s="1"/>
  <c r="CH36" i="1"/>
  <c r="BP36" i="1"/>
  <c r="BN36" i="1"/>
  <c r="BI36" i="1"/>
  <c r="BK36" i="1" s="1"/>
  <c r="BF36" i="1"/>
  <c r="AO212" i="1" s="1"/>
  <c r="AV36" i="1"/>
  <c r="AU36" i="1"/>
  <c r="L36" i="1" s="1"/>
  <c r="AS36" i="1"/>
  <c r="AN36" i="1" s="1"/>
  <c r="Q36" i="1" s="1"/>
  <c r="AG36" i="1"/>
  <c r="A36" i="1"/>
  <c r="CH35" i="1"/>
  <c r="BP35" i="1"/>
  <c r="AT99" i="1" s="1"/>
  <c r="N99" i="1" s="1"/>
  <c r="BN35" i="1"/>
  <c r="BM35" i="1"/>
  <c r="BK35" i="1"/>
  <c r="BJ35" i="1"/>
  <c r="BI35" i="1"/>
  <c r="BF35" i="1"/>
  <c r="AV35" i="1"/>
  <c r="AT35" i="1" s="1"/>
  <c r="N35" i="1" s="1"/>
  <c r="A35" i="1"/>
  <c r="AG35" i="1" s="1"/>
  <c r="CH34" i="1"/>
  <c r="BP34" i="1"/>
  <c r="BN34" i="1"/>
  <c r="BI34" i="1"/>
  <c r="BK34" i="1" s="1"/>
  <c r="BF34" i="1"/>
  <c r="BJ34" i="1" s="1"/>
  <c r="AV34" i="1"/>
  <c r="AU34" i="1" s="1"/>
  <c r="L34" i="1" s="1"/>
  <c r="AP34" i="1"/>
  <c r="S34" i="1" s="1"/>
  <c r="AO34" i="1"/>
  <c r="R34" i="1"/>
  <c r="A34" i="1"/>
  <c r="AG34" i="1" s="1"/>
  <c r="CH33" i="1"/>
  <c r="BP33" i="1"/>
  <c r="AT64" i="1" s="1"/>
  <c r="N64" i="1" s="1"/>
  <c r="BN33" i="1"/>
  <c r="BJ33" i="1"/>
  <c r="BI33" i="1"/>
  <c r="BM33" i="1" s="1"/>
  <c r="BF33" i="1"/>
  <c r="AV33" i="1"/>
  <c r="AT33" i="1" s="1"/>
  <c r="N33" i="1" s="1"/>
  <c r="AU33" i="1"/>
  <c r="L33" i="1" s="1"/>
  <c r="A33" i="1"/>
  <c r="AG33" i="1" s="1"/>
  <c r="CH32" i="1"/>
  <c r="BP32" i="1"/>
  <c r="BN32" i="1"/>
  <c r="BM32" i="1"/>
  <c r="BI32" i="1"/>
  <c r="BK32" i="1" s="1"/>
  <c r="BF32" i="1"/>
  <c r="AP188" i="1" s="1"/>
  <c r="S188" i="1" s="1"/>
  <c r="AV32" i="1"/>
  <c r="AS32" i="1" s="1"/>
  <c r="AO32" i="1"/>
  <c r="R32" i="1" s="1"/>
  <c r="A32" i="1"/>
  <c r="AG32" i="1" s="1"/>
  <c r="CH31" i="1"/>
  <c r="BP31" i="1"/>
  <c r="AT233" i="1" s="1"/>
  <c r="N233" i="1" s="1"/>
  <c r="BN31" i="1"/>
  <c r="BI31" i="1"/>
  <c r="BK31" i="1" s="1"/>
  <c r="BF31" i="1"/>
  <c r="AO38" i="1" s="1"/>
  <c r="R38" i="1" s="1"/>
  <c r="AV31" i="1"/>
  <c r="AU31" i="1"/>
  <c r="L31" i="1" s="1"/>
  <c r="A31" i="1"/>
  <c r="AG31" i="1" s="1"/>
  <c r="CH30" i="1"/>
  <c r="BP30" i="1"/>
  <c r="BN30" i="1"/>
  <c r="BM30" i="1"/>
  <c r="BI30" i="1"/>
  <c r="BK30" i="1" s="1"/>
  <c r="BF30" i="1"/>
  <c r="AO196" i="1" s="1"/>
  <c r="AV30" i="1"/>
  <c r="AP30" i="1" s="1"/>
  <c r="S30" i="1" s="1"/>
  <c r="AU30" i="1"/>
  <c r="L30" i="1" s="1"/>
  <c r="AS30" i="1"/>
  <c r="AN30" i="1" s="1"/>
  <c r="Q30" i="1" s="1"/>
  <c r="AO30" i="1"/>
  <c r="R30" i="1" s="1"/>
  <c r="A30" i="1"/>
  <c r="AG30" i="1" s="1"/>
  <c r="CH29" i="1"/>
  <c r="BP29" i="1"/>
  <c r="AT249" i="1" s="1"/>
  <c r="N249" i="1" s="1"/>
  <c r="BN29" i="1"/>
  <c r="BM29" i="1"/>
  <c r="BK29" i="1"/>
  <c r="BI29" i="1"/>
  <c r="BF29" i="1"/>
  <c r="BJ29" i="1" s="1"/>
  <c r="AU29" i="1"/>
  <c r="L29" i="1" s="1"/>
  <c r="AS29" i="1"/>
  <c r="AM29" i="1" s="1"/>
  <c r="AQ29" i="1" s="1"/>
  <c r="AP29" i="1"/>
  <c r="S29" i="1" s="1"/>
  <c r="AN29" i="1"/>
  <c r="Q29" i="1" s="1"/>
  <c r="M29" i="1"/>
  <c r="A29" i="1"/>
  <c r="CH28" i="1"/>
  <c r="BP28" i="1"/>
  <c r="BN28" i="1"/>
  <c r="BM28" i="1"/>
  <c r="BK28" i="1"/>
  <c r="BI28" i="1"/>
  <c r="BF28" i="1"/>
  <c r="BJ28" i="1" s="1"/>
  <c r="AU28" i="1"/>
  <c r="L28" i="1" s="1"/>
  <c r="AS28" i="1"/>
  <c r="AN28" i="1" s="1"/>
  <c r="Q28" i="1" s="1"/>
  <c r="AP28" i="1"/>
  <c r="S28" i="1" s="1"/>
  <c r="AO28" i="1"/>
  <c r="AM28" i="1"/>
  <c r="AQ28" i="1" s="1"/>
  <c r="R28" i="1"/>
  <c r="M28" i="1"/>
  <c r="A28" i="1"/>
  <c r="CH27" i="1"/>
  <c r="BP27" i="1"/>
  <c r="AT257" i="1" s="1"/>
  <c r="N257" i="1" s="1"/>
  <c r="BN27" i="1"/>
  <c r="BJ27" i="1"/>
  <c r="BI27" i="1"/>
  <c r="BM27" i="1" s="1"/>
  <c r="BF27" i="1"/>
  <c r="AU27" i="1"/>
  <c r="L27" i="1" s="1"/>
  <c r="AT27" i="1"/>
  <c r="N27" i="1" s="1"/>
  <c r="AS27" i="1"/>
  <c r="M27" i="1" s="1"/>
  <c r="AN27" i="1"/>
  <c r="Q27" i="1" s="1"/>
  <c r="AM27" i="1"/>
  <c r="AQ27" i="1" s="1"/>
  <c r="A27" i="1"/>
  <c r="CH26" i="1"/>
  <c r="BP26" i="1"/>
  <c r="AT217" i="1" s="1"/>
  <c r="N217" i="1" s="1"/>
  <c r="BN26" i="1"/>
  <c r="BM26" i="1"/>
  <c r="BK26" i="1"/>
  <c r="BI26" i="1"/>
  <c r="BF26" i="1"/>
  <c r="BJ26" i="1" s="1"/>
  <c r="AU26" i="1"/>
  <c r="L26" i="1" s="1"/>
  <c r="AS26" i="1"/>
  <c r="AM26" i="1" s="1"/>
  <c r="AQ26" i="1" s="1"/>
  <c r="AP26" i="1"/>
  <c r="S26" i="1" s="1"/>
  <c r="AN26" i="1"/>
  <c r="Q26" i="1" s="1"/>
  <c r="M26" i="1"/>
  <c r="A26" i="1"/>
  <c r="CH25" i="1"/>
  <c r="BP25" i="1"/>
  <c r="AT273" i="1" s="1"/>
  <c r="N273" i="1" s="1"/>
  <c r="BN25" i="1"/>
  <c r="BM25" i="1"/>
  <c r="BK25" i="1"/>
  <c r="BI25" i="1"/>
  <c r="BF25" i="1"/>
  <c r="BJ25" i="1" s="1"/>
  <c r="AU25" i="1"/>
  <c r="L25" i="1" s="1"/>
  <c r="AT25" i="1"/>
  <c r="N25" i="1" s="1"/>
  <c r="AS25" i="1"/>
  <c r="AM25" i="1" s="1"/>
  <c r="AQ25" i="1" s="1"/>
  <c r="AP25" i="1"/>
  <c r="S25" i="1" s="1"/>
  <c r="AN25" i="1"/>
  <c r="Q25" i="1" s="1"/>
  <c r="M25" i="1"/>
  <c r="A25" i="1"/>
  <c r="CH24" i="1"/>
  <c r="BP24" i="1"/>
  <c r="AT241" i="1" s="1"/>
  <c r="N241" i="1" s="1"/>
  <c r="BN24" i="1"/>
  <c r="BM24" i="1"/>
  <c r="BK24" i="1"/>
  <c r="BI24" i="1"/>
  <c r="BF24" i="1"/>
  <c r="BJ24" i="1" s="1"/>
  <c r="AU24" i="1"/>
  <c r="L24" i="1" s="1"/>
  <c r="AS24" i="1"/>
  <c r="AN24" i="1" s="1"/>
  <c r="Q24" i="1" s="1"/>
  <c r="AP24" i="1"/>
  <c r="S24" i="1" s="1"/>
  <c r="AO24" i="1"/>
  <c r="AM24" i="1"/>
  <c r="AQ24" i="1" s="1"/>
  <c r="R24" i="1"/>
  <c r="M24" i="1"/>
  <c r="A24" i="1"/>
  <c r="CH23" i="1"/>
  <c r="BP23" i="1"/>
  <c r="BN23" i="1"/>
  <c r="BJ23" i="1"/>
  <c r="BI23" i="1"/>
  <c r="BM23" i="1" s="1"/>
  <c r="BF23" i="1"/>
  <c r="AU23" i="1"/>
  <c r="L23" i="1" s="1"/>
  <c r="AT23" i="1"/>
  <c r="N23" i="1" s="1"/>
  <c r="AS23" i="1"/>
  <c r="M23" i="1" s="1"/>
  <c r="AP23" i="1"/>
  <c r="S23" i="1" s="1"/>
  <c r="AO23" i="1"/>
  <c r="R23" i="1" s="1"/>
  <c r="AN23" i="1"/>
  <c r="Q23" i="1" s="1"/>
  <c r="AM23" i="1"/>
  <c r="AQ23" i="1" s="1"/>
  <c r="A23" i="1"/>
  <c r="CH22" i="1"/>
  <c r="BU22" i="1"/>
  <c r="BT22" i="1"/>
  <c r="BP22" i="1"/>
  <c r="BN22" i="1"/>
  <c r="BI22" i="1"/>
  <c r="BK22" i="1" s="1"/>
  <c r="BE102" i="1" s="1"/>
  <c r="BF22" i="1"/>
  <c r="AO200" i="1" s="1"/>
  <c r="AU22" i="1"/>
  <c r="L22" i="1" s="1"/>
  <c r="AT22" i="1"/>
  <c r="N22" i="1" s="1"/>
  <c r="AS22" i="1"/>
  <c r="AM22" i="1" s="1"/>
  <c r="AO22" i="1"/>
  <c r="AN22" i="1"/>
  <c r="Q22" i="1" s="1"/>
  <c r="A22" i="1"/>
  <c r="CH21" i="1"/>
  <c r="BU21" i="1"/>
  <c r="BT21" i="1"/>
  <c r="BP21" i="1"/>
  <c r="AT225" i="1" s="1"/>
  <c r="N225" i="1" s="1"/>
  <c r="BN21" i="1"/>
  <c r="BI21" i="1"/>
  <c r="BK21" i="1" s="1"/>
  <c r="BE101" i="1" s="1"/>
  <c r="BF21" i="1"/>
  <c r="BJ21" i="1" s="1"/>
  <c r="AU21" i="1"/>
  <c r="L21" i="1" s="1"/>
  <c r="AS21" i="1"/>
  <c r="AN21" i="1" s="1"/>
  <c r="Q21" i="1" s="1"/>
  <c r="M21" i="1"/>
  <c r="A21" i="1"/>
  <c r="CH20" i="1"/>
  <c r="BU20" i="1"/>
  <c r="BT20" i="1"/>
  <c r="BP20" i="1"/>
  <c r="BN20" i="1"/>
  <c r="BI20" i="1"/>
  <c r="BK20" i="1" s="1"/>
  <c r="BE100" i="1" s="1"/>
  <c r="BF20" i="1"/>
  <c r="AU20" i="1"/>
  <c r="AS20" i="1"/>
  <c r="AM20" i="1" s="1"/>
  <c r="AP20" i="1"/>
  <c r="S20" i="1" s="1"/>
  <c r="AO20" i="1"/>
  <c r="L20" i="1"/>
  <c r="A20" i="1"/>
  <c r="CH19" i="1"/>
  <c r="BU19" i="1"/>
  <c r="BT19" i="1"/>
  <c r="BP19" i="1"/>
  <c r="AT271" i="1" s="1"/>
  <c r="N271" i="1" s="1"/>
  <c r="BN19" i="1"/>
  <c r="BJ19" i="1"/>
  <c r="BI19" i="1"/>
  <c r="BM19" i="1" s="1"/>
  <c r="BF19" i="1"/>
  <c r="AU19" i="1"/>
  <c r="L19" i="1" s="1"/>
  <c r="AT19" i="1"/>
  <c r="N19" i="1" s="1"/>
  <c r="AS19" i="1"/>
  <c r="M19" i="1" s="1"/>
  <c r="AN19" i="1"/>
  <c r="Q19" i="1" s="1"/>
  <c r="AM19" i="1"/>
  <c r="AQ19" i="1" s="1"/>
  <c r="A19" i="1"/>
  <c r="CH18" i="1"/>
  <c r="BU18" i="1"/>
  <c r="BT18" i="1"/>
  <c r="BP18" i="1"/>
  <c r="BN18" i="1"/>
  <c r="BI18" i="1"/>
  <c r="BK18" i="1" s="1"/>
  <c r="BE98" i="1" s="1"/>
  <c r="BF18" i="1"/>
  <c r="BJ18" i="1" s="1"/>
  <c r="AU18" i="1"/>
  <c r="L18" i="1" s="1"/>
  <c r="AS18" i="1"/>
  <c r="AM18" i="1" s="1"/>
  <c r="AO18" i="1"/>
  <c r="AN18" i="1"/>
  <c r="Q18" i="1" s="1"/>
  <c r="A18" i="1"/>
  <c r="BU17" i="1"/>
  <c r="BT17" i="1"/>
  <c r="BP17" i="1"/>
  <c r="BN17" i="1"/>
  <c r="BJ17" i="1"/>
  <c r="BI17" i="1"/>
  <c r="BM17" i="1" s="1"/>
  <c r="BF17" i="1"/>
  <c r="AU17" i="1"/>
  <c r="AS17" i="1"/>
  <c r="M17" i="1" s="1"/>
  <c r="AP17" i="1"/>
  <c r="S17" i="1" s="1"/>
  <c r="BU16" i="1"/>
  <c r="BT16" i="1"/>
  <c r="BP16" i="1"/>
  <c r="BN16" i="1"/>
  <c r="BI16" i="1"/>
  <c r="BK16" i="1" s="1"/>
  <c r="BF16" i="1"/>
  <c r="BJ16" i="1" s="1"/>
  <c r="AU16" i="1"/>
  <c r="AS16" i="1"/>
  <c r="AM16" i="1" s="1"/>
  <c r="AP16" i="1"/>
  <c r="S16" i="1" s="1"/>
  <c r="AO16" i="1"/>
  <c r="BU15" i="1"/>
  <c r="BT15" i="1"/>
  <c r="BP15" i="1"/>
  <c r="BN15" i="1"/>
  <c r="BK15" i="1"/>
  <c r="BE97" i="1" s="1"/>
  <c r="BI15" i="1"/>
  <c r="BM15" i="1" s="1"/>
  <c r="BF15" i="1"/>
  <c r="AP261" i="1" s="1"/>
  <c r="S261" i="1" s="1"/>
  <c r="AU15" i="1"/>
  <c r="AS15" i="1"/>
  <c r="M15" i="1" s="1"/>
  <c r="AO15" i="1"/>
  <c r="BU14" i="1"/>
  <c r="BT14" i="1"/>
  <c r="BP14" i="1"/>
  <c r="BN14" i="1"/>
  <c r="BM14" i="1"/>
  <c r="BK14" i="1"/>
  <c r="BE96" i="1" s="1"/>
  <c r="BI14" i="1"/>
  <c r="BF14" i="1"/>
  <c r="BJ14" i="1" s="1"/>
  <c r="AU14" i="1"/>
  <c r="AS14" i="1"/>
  <c r="AM14" i="1" s="1"/>
  <c r="AQ14" i="1" s="1"/>
  <c r="AP14" i="1"/>
  <c r="S14" i="1" s="1"/>
  <c r="AN14" i="1"/>
  <c r="Q14" i="1" s="1"/>
  <c r="M14" i="1"/>
  <c r="BU13" i="1"/>
  <c r="BT13" i="1"/>
  <c r="BP13" i="1"/>
  <c r="AT105" i="1" s="1"/>
  <c r="N105" i="1" s="1"/>
  <c r="BN13" i="1"/>
  <c r="BJ13" i="1"/>
  <c r="BI13" i="1"/>
  <c r="BM13" i="1" s="1"/>
  <c r="BF13" i="1"/>
  <c r="AO277" i="1" s="1"/>
  <c r="AU13" i="1"/>
  <c r="AS13" i="1"/>
  <c r="M13" i="1" s="1"/>
  <c r="AP13" i="1"/>
  <c r="S13" i="1" s="1"/>
  <c r="BU12" i="1"/>
  <c r="BT12" i="1"/>
  <c r="BP12" i="1"/>
  <c r="BN12" i="1"/>
  <c r="BI12" i="1"/>
  <c r="BK12" i="1" s="1"/>
  <c r="BE94" i="1" s="1"/>
  <c r="BF12" i="1"/>
  <c r="AO205" i="1" s="1"/>
  <c r="AU12" i="1"/>
  <c r="AS12" i="1"/>
  <c r="AM12" i="1" s="1"/>
  <c r="AP12" i="1"/>
  <c r="S12" i="1" s="1"/>
  <c r="AO12" i="1"/>
  <c r="BU11" i="1"/>
  <c r="BT11" i="1"/>
  <c r="BP11" i="1"/>
  <c r="BN11" i="1"/>
  <c r="BK11" i="1"/>
  <c r="BE93" i="1" s="1"/>
  <c r="BI11" i="1"/>
  <c r="BM11" i="1" s="1"/>
  <c r="BF11" i="1"/>
  <c r="BJ11" i="1" s="1"/>
  <c r="AU11" i="1"/>
  <c r="AS11" i="1"/>
  <c r="M11" i="1" s="1"/>
  <c r="AO11" i="1"/>
  <c r="BU10" i="1"/>
  <c r="BT10" i="1"/>
  <c r="BP10" i="1"/>
  <c r="BN10" i="1"/>
  <c r="BM10" i="1"/>
  <c r="BK10" i="1"/>
  <c r="BE92" i="1" s="1"/>
  <c r="BI10" i="1"/>
  <c r="BF10" i="1"/>
  <c r="BJ10" i="1" s="1"/>
  <c r="AU10" i="1"/>
  <c r="AS10" i="1"/>
  <c r="AM10" i="1" s="1"/>
  <c r="AQ10" i="1" s="1"/>
  <c r="AP10" i="1"/>
  <c r="S10" i="1" s="1"/>
  <c r="AN10" i="1"/>
  <c r="Q10" i="1" s="1"/>
  <c r="M10" i="1"/>
  <c r="BU9" i="1"/>
  <c r="BT9" i="1"/>
  <c r="BP9" i="1"/>
  <c r="BN9" i="1"/>
  <c r="BJ9" i="1"/>
  <c r="BI9" i="1"/>
  <c r="BM9" i="1" s="1"/>
  <c r="BF9" i="1"/>
  <c r="AO152" i="1" s="1"/>
  <c r="AU9" i="1"/>
  <c r="AS9" i="1"/>
  <c r="M9" i="1" s="1"/>
  <c r="AP9" i="1"/>
  <c r="S9" i="1" s="1"/>
  <c r="BU8" i="1"/>
  <c r="BT8" i="1"/>
  <c r="BP8" i="1"/>
  <c r="BN8" i="1"/>
  <c r="BI8" i="1"/>
  <c r="BK8" i="1" s="1"/>
  <c r="BE90" i="1" s="1"/>
  <c r="BF8" i="1"/>
  <c r="AP229" i="1" s="1"/>
  <c r="S229" i="1" s="1"/>
  <c r="AU8" i="1"/>
  <c r="AS8" i="1"/>
  <c r="AM8" i="1" s="1"/>
  <c r="AP8" i="1"/>
  <c r="S8" i="1" s="1"/>
  <c r="AO8" i="1"/>
  <c r="BU7" i="1"/>
  <c r="BT7" i="1"/>
  <c r="BP7" i="1"/>
  <c r="BN7" i="1"/>
  <c r="BK7" i="1"/>
  <c r="BE89" i="1" s="1"/>
  <c r="BI7" i="1"/>
  <c r="BM7" i="1" s="1"/>
  <c r="BF7" i="1"/>
  <c r="AP253" i="1" s="1"/>
  <c r="S253" i="1" s="1"/>
  <c r="AU7" i="1"/>
  <c r="AS7" i="1"/>
  <c r="M7" i="1" s="1"/>
  <c r="AO7" i="1"/>
  <c r="BU6" i="1"/>
  <c r="BT6" i="1"/>
  <c r="BP6" i="1"/>
  <c r="AT151" i="1" s="1"/>
  <c r="N151" i="1" s="1"/>
  <c r="BN6" i="1"/>
  <c r="BM6" i="1"/>
  <c r="BK6" i="1"/>
  <c r="BE88" i="1" s="1"/>
  <c r="BI6" i="1"/>
  <c r="BF6" i="1"/>
  <c r="BJ6" i="1" s="1"/>
  <c r="AU6" i="1"/>
  <c r="AS6" i="1"/>
  <c r="AM6" i="1" s="1"/>
  <c r="AQ6" i="1" s="1"/>
  <c r="AP6" i="1"/>
  <c r="S6" i="1" s="1"/>
  <c r="AN6" i="1"/>
  <c r="Q6" i="1" s="1"/>
  <c r="M6" i="1"/>
  <c r="BU5" i="1"/>
  <c r="BT5" i="1"/>
  <c r="BP5" i="1"/>
  <c r="AT17" i="1" s="1"/>
  <c r="N17" i="1" s="1"/>
  <c r="BN5" i="1"/>
  <c r="BJ5" i="1"/>
  <c r="BI5" i="1"/>
  <c r="BM5" i="1" s="1"/>
  <c r="BF5" i="1"/>
  <c r="AP15" i="1" s="1"/>
  <c r="S15" i="1" s="1"/>
  <c r="AU5" i="1"/>
  <c r="AT5" i="1"/>
  <c r="N5" i="1" s="1"/>
  <c r="AS5" i="1"/>
  <c r="M5" i="1" s="1"/>
  <c r="AP5" i="1"/>
  <c r="S5" i="1" s="1"/>
  <c r="AO5" i="1"/>
  <c r="AU4" i="1"/>
  <c r="AS4" i="1"/>
  <c r="M4" i="1" s="1"/>
  <c r="AP4" i="1"/>
  <c r="AO4" i="1"/>
  <c r="AN4" i="1"/>
  <c r="Q4" i="1" s="1"/>
  <c r="AM4" i="1"/>
  <c r="P4" i="1" s="1"/>
  <c r="S4" i="1"/>
  <c r="CG608" i="5"/>
  <c r="CG607" i="5"/>
  <c r="BZ607" i="5"/>
  <c r="CG606" i="5"/>
  <c r="BZ606" i="5"/>
  <c r="CG605" i="5"/>
  <c r="BZ605" i="5"/>
  <c r="CG604" i="5"/>
  <c r="CG603" i="5"/>
  <c r="BZ603" i="5"/>
  <c r="CG602" i="5"/>
  <c r="BZ602" i="5"/>
  <c r="CG601" i="5"/>
  <c r="BZ601" i="5"/>
  <c r="CG600" i="5"/>
  <c r="CG599" i="5"/>
  <c r="CG598" i="5"/>
  <c r="CG597" i="5"/>
  <c r="CG596" i="5"/>
  <c r="CG595" i="5"/>
  <c r="CG594" i="5"/>
  <c r="CG593" i="5"/>
  <c r="CG592" i="5"/>
  <c r="CG591" i="5"/>
  <c r="CG590" i="5"/>
  <c r="CG589" i="5"/>
  <c r="CG588" i="5"/>
  <c r="CG587" i="5"/>
  <c r="CG586" i="5"/>
  <c r="CG585" i="5"/>
  <c r="CG584" i="5"/>
  <c r="CG583" i="5"/>
  <c r="CG582" i="5"/>
  <c r="CG581" i="5"/>
  <c r="CG580" i="5"/>
  <c r="CG579" i="5"/>
  <c r="CG578" i="5"/>
  <c r="CG577" i="5"/>
  <c r="CG576" i="5"/>
  <c r="CG575" i="5"/>
  <c r="CG574" i="5"/>
  <c r="CG573" i="5"/>
  <c r="CG572" i="5"/>
  <c r="CG571" i="5"/>
  <c r="CG570" i="5"/>
  <c r="BZ570" i="5"/>
  <c r="CG569" i="5"/>
  <c r="BZ569" i="5"/>
  <c r="CG568" i="5"/>
  <c r="BZ568" i="5"/>
  <c r="CG567" i="5"/>
  <c r="CG566" i="5"/>
  <c r="BZ566" i="5"/>
  <c r="CG565" i="5"/>
  <c r="BZ565" i="5"/>
  <c r="CG564" i="5"/>
  <c r="BZ564" i="5"/>
  <c r="CG563" i="5"/>
  <c r="CG562" i="5"/>
  <c r="CG561" i="5"/>
  <c r="CG560" i="5"/>
  <c r="CG559" i="5"/>
  <c r="CG558" i="5"/>
  <c r="CG557" i="5"/>
  <c r="CG556" i="5"/>
  <c r="CG555" i="5"/>
  <c r="CG554" i="5"/>
  <c r="CG553" i="5"/>
  <c r="CG552" i="5"/>
  <c r="CG551" i="5"/>
  <c r="CG550" i="5"/>
  <c r="CG549" i="5"/>
  <c r="CG548" i="5"/>
  <c r="CG547" i="5"/>
  <c r="CG546" i="5"/>
  <c r="CG545" i="5"/>
  <c r="CG544" i="5"/>
  <c r="CG543" i="5"/>
  <c r="CG542" i="5"/>
  <c r="CG541" i="5"/>
  <c r="CG540" i="5"/>
  <c r="CG539" i="5"/>
  <c r="CG538" i="5"/>
  <c r="CG537" i="5"/>
  <c r="CG536" i="5"/>
  <c r="CG535" i="5"/>
  <c r="CG534" i="5"/>
  <c r="CG533" i="5"/>
  <c r="BZ533" i="5"/>
  <c r="CG532" i="5"/>
  <c r="BZ532" i="5"/>
  <c r="CG531" i="5"/>
  <c r="BZ531" i="5"/>
  <c r="CG530" i="5"/>
  <c r="CG529" i="5"/>
  <c r="BZ529" i="5"/>
  <c r="CG528" i="5"/>
  <c r="BZ528" i="5"/>
  <c r="CG527" i="5"/>
  <c r="BZ527" i="5"/>
  <c r="CG526" i="5"/>
  <c r="CG525" i="5"/>
  <c r="CG524" i="5"/>
  <c r="CG523" i="5"/>
  <c r="CG522" i="5"/>
  <c r="CG521" i="5"/>
  <c r="CG520" i="5"/>
  <c r="CG519" i="5"/>
  <c r="CG518" i="5"/>
  <c r="CG517" i="5"/>
  <c r="CG516" i="5"/>
  <c r="CG515" i="5"/>
  <c r="CG514" i="5"/>
  <c r="CG513" i="5"/>
  <c r="CG512" i="5"/>
  <c r="CG511" i="5"/>
  <c r="CG510" i="5"/>
  <c r="CG509" i="5"/>
  <c r="CG508" i="5"/>
  <c r="CG507" i="5"/>
  <c r="CG506" i="5"/>
  <c r="CG505" i="5"/>
  <c r="CG504" i="5"/>
  <c r="CG503" i="5"/>
  <c r="CG502" i="5"/>
  <c r="CG501" i="5"/>
  <c r="CG500" i="5"/>
  <c r="CG499" i="5"/>
  <c r="CG498" i="5"/>
  <c r="AU498" i="5"/>
  <c r="A498" i="5"/>
  <c r="CG497" i="5"/>
  <c r="AU497" i="5"/>
  <c r="A497" i="5"/>
  <c r="CG496" i="5"/>
  <c r="BZ496" i="5"/>
  <c r="AU496" i="5"/>
  <c r="A496" i="5"/>
  <c r="CG495" i="5"/>
  <c r="BZ495" i="5"/>
  <c r="AU495" i="5"/>
  <c r="A495" i="5"/>
  <c r="CG494" i="5"/>
  <c r="BZ494" i="5"/>
  <c r="AU494" i="5"/>
  <c r="A494" i="5"/>
  <c r="CG493" i="5"/>
  <c r="AU493" i="5"/>
  <c r="A493" i="5"/>
  <c r="CG492" i="5"/>
  <c r="BZ492" i="5"/>
  <c r="AU492" i="5"/>
  <c r="A492" i="5"/>
  <c r="CG491" i="5"/>
  <c r="BZ491" i="5"/>
  <c r="AU491" i="5"/>
  <c r="A491" i="5"/>
  <c r="CG490" i="5"/>
  <c r="BZ490" i="5"/>
  <c r="AU490" i="5"/>
  <c r="A490" i="5"/>
  <c r="CG489" i="5"/>
  <c r="AU489" i="5"/>
  <c r="A489" i="5"/>
  <c r="CG488" i="5"/>
  <c r="AU488" i="5"/>
  <c r="A488" i="5"/>
  <c r="CG487" i="5"/>
  <c r="AU487" i="5"/>
  <c r="A487" i="5"/>
  <c r="CG486" i="5"/>
  <c r="AU486" i="5"/>
  <c r="A486" i="5"/>
  <c r="CG485" i="5"/>
  <c r="AU485" i="5"/>
  <c r="A485" i="5"/>
  <c r="CG484" i="5"/>
  <c r="AU484" i="5"/>
  <c r="A484" i="5"/>
  <c r="CG483" i="5"/>
  <c r="AU483" i="5"/>
  <c r="A483" i="5"/>
  <c r="CG482" i="5"/>
  <c r="AU482" i="5"/>
  <c r="A482" i="5"/>
  <c r="CG481" i="5"/>
  <c r="AU481" i="5"/>
  <c r="A481" i="5"/>
  <c r="CG480" i="5"/>
  <c r="AU480" i="5"/>
  <c r="A480" i="5"/>
  <c r="CG479" i="5"/>
  <c r="AU479" i="5"/>
  <c r="A479" i="5"/>
  <c r="CG478" i="5"/>
  <c r="AU478" i="5"/>
  <c r="A478" i="5"/>
  <c r="CG477" i="5"/>
  <c r="AU477" i="5"/>
  <c r="A477" i="5"/>
  <c r="CG476" i="5"/>
  <c r="AU476" i="5"/>
  <c r="A476" i="5"/>
  <c r="CG475" i="5"/>
  <c r="AU475" i="5"/>
  <c r="AT475" i="5"/>
  <c r="K475" i="5" s="1"/>
  <c r="A475" i="5"/>
  <c r="CG474" i="5"/>
  <c r="AU474" i="5"/>
  <c r="AT474" i="5"/>
  <c r="K474" i="5" s="1"/>
  <c r="A474" i="5"/>
  <c r="CG473" i="5"/>
  <c r="AU473" i="5"/>
  <c r="A473" i="5"/>
  <c r="CG472" i="5"/>
  <c r="AU472" i="5"/>
  <c r="A472" i="5"/>
  <c r="CG471" i="5"/>
  <c r="AU471" i="5"/>
  <c r="A471" i="5"/>
  <c r="CG470" i="5"/>
  <c r="AU470" i="5"/>
  <c r="A470" i="5"/>
  <c r="CG469" i="5"/>
  <c r="AU469" i="5"/>
  <c r="A469" i="5"/>
  <c r="CG468" i="5"/>
  <c r="AU468" i="5"/>
  <c r="A468" i="5"/>
  <c r="CG467" i="5"/>
  <c r="AU467" i="5"/>
  <c r="A467" i="5"/>
  <c r="CG466" i="5"/>
  <c r="AU466" i="5"/>
  <c r="A466" i="5"/>
  <c r="CG465" i="5"/>
  <c r="AU465" i="5"/>
  <c r="A465" i="5"/>
  <c r="CG464" i="5"/>
  <c r="AU464" i="5"/>
  <c r="A464" i="5"/>
  <c r="CG463" i="5"/>
  <c r="AU463" i="5"/>
  <c r="A463" i="5"/>
  <c r="CG462" i="5"/>
  <c r="AU462" i="5"/>
  <c r="A462" i="5"/>
  <c r="CG461" i="5"/>
  <c r="AU461" i="5"/>
  <c r="A461" i="5"/>
  <c r="CG460" i="5"/>
  <c r="AU460" i="5"/>
  <c r="A460" i="5"/>
  <c r="CG459" i="5"/>
  <c r="BZ459" i="5"/>
  <c r="AU459" i="5"/>
  <c r="A459" i="5"/>
  <c r="CG458" i="5"/>
  <c r="BZ458" i="5"/>
  <c r="AU458" i="5"/>
  <c r="A458" i="5"/>
  <c r="CG457" i="5"/>
  <c r="BZ457" i="5"/>
  <c r="AU457" i="5"/>
  <c r="A457" i="5"/>
  <c r="CG456" i="5"/>
  <c r="AU456" i="5"/>
  <c r="A456" i="5"/>
  <c r="CG455" i="5"/>
  <c r="BZ455" i="5"/>
  <c r="AU455" i="5"/>
  <c r="A455" i="5"/>
  <c r="CG454" i="5"/>
  <c r="BZ454" i="5"/>
  <c r="AU454" i="5"/>
  <c r="A454" i="5"/>
  <c r="CG453" i="5"/>
  <c r="BZ453" i="5"/>
  <c r="AU453" i="5"/>
  <c r="A453" i="5"/>
  <c r="CG452" i="5"/>
  <c r="AU452" i="5"/>
  <c r="A452" i="5"/>
  <c r="CG451" i="5"/>
  <c r="AU451" i="5"/>
  <c r="A451" i="5"/>
  <c r="CG450" i="5"/>
  <c r="AU450" i="5"/>
  <c r="A450" i="5"/>
  <c r="CG449" i="5"/>
  <c r="AU449" i="5"/>
  <c r="A449" i="5"/>
  <c r="CG448" i="5"/>
  <c r="AU448" i="5"/>
  <c r="A448" i="5"/>
  <c r="CG447" i="5"/>
  <c r="AU447" i="5"/>
  <c r="A447" i="5"/>
  <c r="CG446" i="5"/>
  <c r="AU446" i="5"/>
  <c r="A446" i="5"/>
  <c r="CG445" i="5"/>
  <c r="AU445" i="5"/>
  <c r="A445" i="5"/>
  <c r="CG444" i="5"/>
  <c r="AU444" i="5"/>
  <c r="A444" i="5"/>
  <c r="CG443" i="5"/>
  <c r="AU443" i="5"/>
  <c r="A443" i="5"/>
  <c r="CG442" i="5"/>
  <c r="AU442" i="5"/>
  <c r="A442" i="5"/>
  <c r="CG441" i="5"/>
  <c r="AU441" i="5"/>
  <c r="A441" i="5"/>
  <c r="CG440" i="5"/>
  <c r="AU440" i="5"/>
  <c r="A440" i="5"/>
  <c r="CG439" i="5"/>
  <c r="AU439" i="5"/>
  <c r="A439" i="5"/>
  <c r="CG438" i="5"/>
  <c r="AU438" i="5"/>
  <c r="A438" i="5"/>
  <c r="CG437" i="5"/>
  <c r="AU437" i="5"/>
  <c r="A437" i="5"/>
  <c r="CG436" i="5"/>
  <c r="AU436" i="5"/>
  <c r="A436" i="5"/>
  <c r="CG435" i="5"/>
  <c r="AU435" i="5"/>
  <c r="AT435" i="5"/>
  <c r="K435" i="5" s="1"/>
  <c r="A435" i="5"/>
  <c r="CG434" i="5"/>
  <c r="AU434" i="5"/>
  <c r="AT434" i="5"/>
  <c r="K434" i="5" s="1"/>
  <c r="A434" i="5"/>
  <c r="CG433" i="5"/>
  <c r="AU433" i="5"/>
  <c r="A433" i="5"/>
  <c r="CG432" i="5"/>
  <c r="AU432" i="5"/>
  <c r="A432" i="5"/>
  <c r="CG431" i="5"/>
  <c r="AU431" i="5"/>
  <c r="A431" i="5"/>
  <c r="CG430" i="5"/>
  <c r="AU430" i="5"/>
  <c r="A430" i="5"/>
  <c r="CG429" i="5"/>
  <c r="AU429" i="5"/>
  <c r="A429" i="5"/>
  <c r="CG428" i="5"/>
  <c r="AU428" i="5"/>
  <c r="A428" i="5"/>
  <c r="CG427" i="5"/>
  <c r="AU427" i="5"/>
  <c r="A427" i="5"/>
  <c r="CG426" i="5"/>
  <c r="AU426" i="5"/>
  <c r="A426" i="5"/>
  <c r="CG425" i="5"/>
  <c r="AU425" i="5"/>
  <c r="A425" i="5"/>
  <c r="CG424" i="5"/>
  <c r="AU424" i="5"/>
  <c r="A424" i="5"/>
  <c r="CG423" i="5"/>
  <c r="AU423" i="5"/>
  <c r="A423" i="5"/>
  <c r="CG422" i="5"/>
  <c r="BZ422" i="5"/>
  <c r="AU422" i="5"/>
  <c r="A422" i="5"/>
  <c r="CG421" i="5"/>
  <c r="BZ421" i="5"/>
  <c r="AU421" i="5"/>
  <c r="A421" i="5"/>
  <c r="CG420" i="5"/>
  <c r="BZ420" i="5"/>
  <c r="AU420" i="5"/>
  <c r="A420" i="5"/>
  <c r="CG419" i="5"/>
  <c r="AU419" i="5"/>
  <c r="A419" i="5"/>
  <c r="CG418" i="5"/>
  <c r="BZ418" i="5"/>
  <c r="AU418" i="5"/>
  <c r="A418" i="5"/>
  <c r="CG417" i="5"/>
  <c r="BZ417" i="5"/>
  <c r="AU417" i="5"/>
  <c r="A417" i="5"/>
  <c r="CG416" i="5"/>
  <c r="BZ416" i="5"/>
  <c r="AU416" i="5"/>
  <c r="A416" i="5"/>
  <c r="CG415" i="5"/>
  <c r="AU415" i="5"/>
  <c r="A415" i="5"/>
  <c r="CG414" i="5"/>
  <c r="AU414" i="5"/>
  <c r="A414" i="5"/>
  <c r="CG413" i="5"/>
  <c r="AU413" i="5"/>
  <c r="A413" i="5"/>
  <c r="CG412" i="5"/>
  <c r="AU412" i="5"/>
  <c r="A412" i="5"/>
  <c r="CG411" i="5"/>
  <c r="AU411" i="5"/>
  <c r="A411" i="5"/>
  <c r="CG410" i="5"/>
  <c r="AU410" i="5"/>
  <c r="A410" i="5"/>
  <c r="CG409" i="5"/>
  <c r="AU409" i="5"/>
  <c r="A409" i="5"/>
  <c r="CG408" i="5"/>
  <c r="AU408" i="5"/>
  <c r="A408" i="5"/>
  <c r="CG407" i="5"/>
  <c r="AU407" i="5"/>
  <c r="A407" i="5"/>
  <c r="CG406" i="5"/>
  <c r="AU406" i="5"/>
  <c r="A406" i="5"/>
  <c r="CG405" i="5"/>
  <c r="AU405" i="5"/>
  <c r="A405" i="5"/>
  <c r="CG404" i="5"/>
  <c r="AU404" i="5"/>
  <c r="A404" i="5"/>
  <c r="CG403" i="5"/>
  <c r="AU403" i="5"/>
  <c r="A403" i="5"/>
  <c r="CG402" i="5"/>
  <c r="AU402" i="5"/>
  <c r="A402" i="5"/>
  <c r="CG401" i="5"/>
  <c r="AU401" i="5"/>
  <c r="A401" i="5"/>
  <c r="CG400" i="5"/>
  <c r="AU400" i="5"/>
  <c r="A400" i="5"/>
  <c r="CG399" i="5"/>
  <c r="AU399" i="5"/>
  <c r="A399" i="5"/>
  <c r="CG398" i="5"/>
  <c r="AU398" i="5"/>
  <c r="A398" i="5"/>
  <c r="CG397" i="5"/>
  <c r="AU397" i="5"/>
  <c r="A397" i="5"/>
  <c r="CG396" i="5"/>
  <c r="AU396" i="5"/>
  <c r="A396" i="5"/>
  <c r="CG395" i="5"/>
  <c r="AU395" i="5"/>
  <c r="A395" i="5"/>
  <c r="CG394" i="5"/>
  <c r="AU394" i="5"/>
  <c r="A394" i="5"/>
  <c r="CG393" i="5"/>
  <c r="AU393" i="5"/>
  <c r="A393" i="5"/>
  <c r="CG392" i="5"/>
  <c r="AU392" i="5"/>
  <c r="A392" i="5"/>
  <c r="CG391" i="5"/>
  <c r="AU391" i="5"/>
  <c r="A391" i="5"/>
  <c r="CG390" i="5"/>
  <c r="AU390" i="5"/>
  <c r="A390" i="5"/>
  <c r="CG389" i="5"/>
  <c r="AU389" i="5"/>
  <c r="A389" i="5"/>
  <c r="CG388" i="5"/>
  <c r="AU388" i="5"/>
  <c r="A388" i="5"/>
  <c r="CG387" i="5"/>
  <c r="AU387" i="5"/>
  <c r="A387" i="5"/>
  <c r="CG386" i="5"/>
  <c r="AU386" i="5"/>
  <c r="A386" i="5"/>
  <c r="CG385" i="5"/>
  <c r="AU385" i="5"/>
  <c r="A385" i="5"/>
  <c r="CG384" i="5"/>
  <c r="AU384" i="5"/>
  <c r="A384" i="5"/>
  <c r="CG383" i="5"/>
  <c r="AU383" i="5"/>
  <c r="A383" i="5"/>
  <c r="CG382" i="5"/>
  <c r="AU382" i="5"/>
  <c r="A382" i="5"/>
  <c r="CG381" i="5"/>
  <c r="AU381" i="5"/>
  <c r="A381" i="5"/>
  <c r="CG380" i="5"/>
  <c r="AU380" i="5"/>
  <c r="A380" i="5"/>
  <c r="CG379" i="5"/>
  <c r="AU379" i="5"/>
  <c r="A379" i="5"/>
  <c r="CG378" i="5"/>
  <c r="AU378" i="5"/>
  <c r="A378" i="5"/>
  <c r="CG377" i="5"/>
  <c r="AU377" i="5"/>
  <c r="A377" i="5"/>
  <c r="CG376" i="5"/>
  <c r="AU376" i="5"/>
  <c r="A376" i="5"/>
  <c r="CG375" i="5"/>
  <c r="AU375" i="5"/>
  <c r="A375" i="5"/>
  <c r="CG374" i="5"/>
  <c r="AU374" i="5"/>
  <c r="A374" i="5"/>
  <c r="CG373" i="5"/>
  <c r="AU373" i="5"/>
  <c r="A373" i="5"/>
  <c r="CG372" i="5"/>
  <c r="AU372" i="5"/>
  <c r="A372" i="5"/>
  <c r="CG371" i="5"/>
  <c r="AU371" i="5"/>
  <c r="A371" i="5"/>
  <c r="CG370" i="5"/>
  <c r="AU370" i="5"/>
  <c r="A370" i="5"/>
  <c r="CG369" i="5"/>
  <c r="AU369" i="5"/>
  <c r="A369" i="5"/>
  <c r="CG368" i="5"/>
  <c r="AU368" i="5"/>
  <c r="A368" i="5"/>
  <c r="CG367" i="5"/>
  <c r="AU367" i="5"/>
  <c r="A367" i="5"/>
  <c r="CG366" i="5"/>
  <c r="AU366" i="5"/>
  <c r="A366" i="5"/>
  <c r="CG365" i="5"/>
  <c r="AU365" i="5"/>
  <c r="A365" i="5"/>
  <c r="CG364" i="5"/>
  <c r="AU364" i="5"/>
  <c r="A364" i="5"/>
  <c r="CG363" i="5"/>
  <c r="AU363" i="5"/>
  <c r="A363" i="5"/>
  <c r="CG362" i="5"/>
  <c r="AU362" i="5"/>
  <c r="A362" i="5"/>
  <c r="CG361" i="5"/>
  <c r="AU361" i="5"/>
  <c r="A361" i="5"/>
  <c r="CG360" i="5"/>
  <c r="AU360" i="5"/>
  <c r="A360" i="5"/>
  <c r="CG359" i="5"/>
  <c r="AU359" i="5"/>
  <c r="A359" i="5"/>
  <c r="CG358" i="5"/>
  <c r="AU358" i="5"/>
  <c r="A358" i="5"/>
  <c r="CG357" i="5"/>
  <c r="AU357" i="5"/>
  <c r="A357" i="5"/>
  <c r="CG356" i="5"/>
  <c r="AU356" i="5"/>
  <c r="A356" i="5"/>
  <c r="CG355" i="5"/>
  <c r="AU355" i="5"/>
  <c r="A355" i="5"/>
  <c r="CG354" i="5"/>
  <c r="AU354" i="5"/>
  <c r="A354" i="5"/>
  <c r="CG353" i="5"/>
  <c r="AU353" i="5"/>
  <c r="A353" i="5"/>
  <c r="CG352" i="5"/>
  <c r="AU352" i="5"/>
  <c r="A352" i="5"/>
  <c r="CG351" i="5"/>
  <c r="AU351" i="5"/>
  <c r="A351" i="5"/>
  <c r="CG350" i="5"/>
  <c r="AU350" i="5"/>
  <c r="A350" i="5"/>
  <c r="CG349" i="5"/>
  <c r="AU349" i="5"/>
  <c r="A349" i="5"/>
  <c r="CG348" i="5"/>
  <c r="BZ348" i="5"/>
  <c r="AU348" i="5"/>
  <c r="A348" i="5"/>
  <c r="CG347" i="5"/>
  <c r="BZ347" i="5"/>
  <c r="AU347" i="5"/>
  <c r="A347" i="5"/>
  <c r="CG346" i="5"/>
  <c r="BZ346" i="5"/>
  <c r="AU346" i="5"/>
  <c r="A346" i="5"/>
  <c r="CG345" i="5"/>
  <c r="AU345" i="5"/>
  <c r="A345" i="5"/>
  <c r="CG344" i="5"/>
  <c r="BZ344" i="5"/>
  <c r="AU344" i="5"/>
  <c r="A344" i="5"/>
  <c r="CG343" i="5"/>
  <c r="BZ343" i="5"/>
  <c r="AU343" i="5"/>
  <c r="A343" i="5"/>
  <c r="CG342" i="5"/>
  <c r="BZ342" i="5"/>
  <c r="AU342" i="5"/>
  <c r="A342" i="5"/>
  <c r="CG341" i="5"/>
  <c r="AU341" i="5"/>
  <c r="A341" i="5"/>
  <c r="CG340" i="5"/>
  <c r="AU340" i="5"/>
  <c r="A340" i="5"/>
  <c r="CG339" i="5"/>
  <c r="AU339" i="5"/>
  <c r="A339" i="5"/>
  <c r="CG338" i="5"/>
  <c r="AU338" i="5"/>
  <c r="A338" i="5"/>
  <c r="CG337" i="5"/>
  <c r="AU337" i="5"/>
  <c r="A337" i="5"/>
  <c r="CG336" i="5"/>
  <c r="AU336" i="5"/>
  <c r="A336" i="5"/>
  <c r="CG335" i="5"/>
  <c r="AU335" i="5"/>
  <c r="A335" i="5"/>
  <c r="CG334" i="5"/>
  <c r="AU334" i="5"/>
  <c r="A334" i="5"/>
  <c r="CG333" i="5"/>
  <c r="AU333" i="5"/>
  <c r="A333" i="5"/>
  <c r="CG332" i="5"/>
  <c r="AU332" i="5"/>
  <c r="A332" i="5"/>
  <c r="CG331" i="5"/>
  <c r="AU331" i="5"/>
  <c r="A331" i="5"/>
  <c r="CG330" i="5"/>
  <c r="AU330" i="5"/>
  <c r="A330" i="5"/>
  <c r="CG329" i="5"/>
  <c r="AU329" i="5"/>
  <c r="A329" i="5"/>
  <c r="CG328" i="5"/>
  <c r="AU328" i="5"/>
  <c r="A328" i="5"/>
  <c r="CG327" i="5"/>
  <c r="AU327" i="5"/>
  <c r="A327" i="5"/>
  <c r="CG326" i="5"/>
  <c r="AU326" i="5"/>
  <c r="A326" i="5"/>
  <c r="CG325" i="5"/>
  <c r="AU325" i="5"/>
  <c r="A325" i="5"/>
  <c r="CG324" i="5"/>
  <c r="AU324" i="5"/>
  <c r="A324" i="5"/>
  <c r="CG323" i="5"/>
  <c r="AU323" i="5"/>
  <c r="A323" i="5"/>
  <c r="CG322" i="5"/>
  <c r="AU322" i="5"/>
  <c r="A322" i="5"/>
  <c r="CG321" i="5"/>
  <c r="AU321" i="5"/>
  <c r="A321" i="5"/>
  <c r="CG320" i="5"/>
  <c r="AU320" i="5"/>
  <c r="A320" i="5"/>
  <c r="CG319" i="5"/>
  <c r="AU319" i="5"/>
  <c r="A319" i="5"/>
  <c r="CG318" i="5"/>
  <c r="AU318" i="5"/>
  <c r="A318" i="5"/>
  <c r="CG317" i="5"/>
  <c r="AU317" i="5"/>
  <c r="A317" i="5"/>
  <c r="CG316" i="5"/>
  <c r="AU316" i="5"/>
  <c r="A316" i="5"/>
  <c r="CG315" i="5"/>
  <c r="AU315" i="5"/>
  <c r="A315" i="5"/>
  <c r="CG314" i="5"/>
  <c r="AU314" i="5"/>
  <c r="A314" i="5"/>
  <c r="CG313" i="5"/>
  <c r="AU313" i="5"/>
  <c r="A313" i="5"/>
  <c r="CG312" i="5"/>
  <c r="BZ312" i="5"/>
  <c r="AU312" i="5"/>
  <c r="A312" i="5"/>
  <c r="CG311" i="5"/>
  <c r="BZ311" i="5"/>
  <c r="AU311" i="5"/>
  <c r="A311" i="5"/>
  <c r="CG310" i="5"/>
  <c r="BZ310" i="5"/>
  <c r="AU310" i="5"/>
  <c r="A310" i="5"/>
  <c r="CG309" i="5"/>
  <c r="BZ309" i="5"/>
  <c r="AU309" i="5"/>
  <c r="A309" i="5"/>
  <c r="CG308" i="5"/>
  <c r="BZ308" i="5"/>
  <c r="AU308" i="5"/>
  <c r="A308" i="5"/>
  <c r="CG307" i="5"/>
  <c r="BZ307" i="5"/>
  <c r="AU307" i="5"/>
  <c r="A307" i="5"/>
  <c r="CG306" i="5"/>
  <c r="BZ306" i="5"/>
  <c r="AU306" i="5"/>
  <c r="A306" i="5"/>
  <c r="CG305" i="5"/>
  <c r="BZ305" i="5"/>
  <c r="AU305" i="5"/>
  <c r="A305" i="5"/>
  <c r="CG304" i="5"/>
  <c r="BZ304" i="5"/>
  <c r="AU304" i="5"/>
  <c r="A304" i="5"/>
  <c r="CG303" i="5"/>
  <c r="BZ303" i="5"/>
  <c r="AU303" i="5"/>
  <c r="A303" i="5"/>
  <c r="CG302" i="5"/>
  <c r="BZ302" i="5"/>
  <c r="AU302" i="5"/>
  <c r="A302" i="5"/>
  <c r="CG301" i="5"/>
  <c r="BZ301" i="5"/>
  <c r="AU301" i="5"/>
  <c r="A301" i="5"/>
  <c r="CG300" i="5"/>
  <c r="BZ300" i="5"/>
  <c r="AU300" i="5"/>
  <c r="A300" i="5"/>
  <c r="CG299" i="5"/>
  <c r="BZ299" i="5"/>
  <c r="AU299" i="5"/>
  <c r="A299" i="5"/>
  <c r="CG298" i="5"/>
  <c r="BZ298" i="5"/>
  <c r="AU298" i="5"/>
  <c r="A298" i="5"/>
  <c r="CG297" i="5"/>
  <c r="BZ297" i="5"/>
  <c r="AU297" i="5"/>
  <c r="A297" i="5"/>
  <c r="CG296" i="5"/>
  <c r="BZ296" i="5"/>
  <c r="AU296" i="5"/>
  <c r="A296" i="5"/>
  <c r="CG295" i="5"/>
  <c r="BZ295" i="5"/>
  <c r="AU295" i="5"/>
  <c r="A295" i="5"/>
  <c r="CG294" i="5"/>
  <c r="BZ294" i="5"/>
  <c r="AU294" i="5"/>
  <c r="A294" i="5"/>
  <c r="CG293" i="5"/>
  <c r="BZ293" i="5"/>
  <c r="AU293" i="5"/>
  <c r="A293" i="5"/>
  <c r="CG292" i="5"/>
  <c r="BZ292" i="5"/>
  <c r="AU292" i="5"/>
  <c r="A292" i="5"/>
  <c r="CG291" i="5"/>
  <c r="BZ291" i="5"/>
  <c r="AU291" i="5"/>
  <c r="A291" i="5"/>
  <c r="CG290" i="5"/>
  <c r="BZ290" i="5"/>
  <c r="AU290" i="5"/>
  <c r="A290" i="5"/>
  <c r="CG289" i="5"/>
  <c r="BZ289" i="5"/>
  <c r="AU289" i="5"/>
  <c r="A289" i="5"/>
  <c r="CG288" i="5"/>
  <c r="BZ288" i="5"/>
  <c r="AU288" i="5"/>
  <c r="A288" i="5"/>
  <c r="CG287" i="5"/>
  <c r="BZ287" i="5"/>
  <c r="AU287" i="5"/>
  <c r="A287" i="5"/>
  <c r="CG286" i="5"/>
  <c r="BZ286" i="5"/>
  <c r="AU286" i="5"/>
  <c r="A286" i="5"/>
  <c r="CG285" i="5"/>
  <c r="BZ285" i="5"/>
  <c r="AU285" i="5"/>
  <c r="A285" i="5"/>
  <c r="CG284" i="5"/>
  <c r="BZ284" i="5"/>
  <c r="AU284" i="5"/>
  <c r="A284" i="5"/>
  <c r="CG283" i="5"/>
  <c r="BZ283" i="5"/>
  <c r="AU283" i="5"/>
  <c r="A283" i="5"/>
  <c r="CG282" i="5"/>
  <c r="BZ282" i="5"/>
  <c r="AU282" i="5"/>
  <c r="A282" i="5"/>
  <c r="CG281" i="5"/>
  <c r="BZ281" i="5"/>
  <c r="AU281" i="5"/>
  <c r="A281" i="5"/>
  <c r="CG280" i="5"/>
  <c r="BZ280" i="5"/>
  <c r="AU280" i="5"/>
  <c r="A280" i="5"/>
  <c r="CG279" i="5"/>
  <c r="BZ279" i="5"/>
  <c r="AU279" i="5"/>
  <c r="A279" i="5"/>
  <c r="CG278" i="5"/>
  <c r="BZ278" i="5"/>
  <c r="AU278" i="5"/>
  <c r="A278" i="5"/>
  <c r="CG277" i="5"/>
  <c r="BZ277" i="5"/>
  <c r="AU277" i="5"/>
  <c r="A277" i="5"/>
  <c r="CG276" i="5"/>
  <c r="BZ276" i="5"/>
  <c r="AU276" i="5"/>
  <c r="A276" i="5"/>
  <c r="CG275" i="5"/>
  <c r="BZ275" i="5"/>
  <c r="AU275" i="5"/>
  <c r="A275" i="5"/>
  <c r="CG274" i="5"/>
  <c r="BZ274" i="5"/>
  <c r="AU274" i="5"/>
  <c r="A274" i="5"/>
  <c r="CG273" i="5"/>
  <c r="BZ273" i="5"/>
  <c r="AU273" i="5"/>
  <c r="A273" i="5"/>
  <c r="CG272" i="5"/>
  <c r="BZ272" i="5"/>
  <c r="AU272" i="5"/>
  <c r="A272" i="5"/>
  <c r="CG271" i="5"/>
  <c r="BZ271" i="5"/>
  <c r="AU271" i="5"/>
  <c r="A271" i="5"/>
  <c r="CG270" i="5"/>
  <c r="BZ270" i="5"/>
  <c r="AU270" i="5"/>
  <c r="A270" i="5"/>
  <c r="CG269" i="5"/>
  <c r="BZ269" i="5"/>
  <c r="AU269" i="5"/>
  <c r="A269" i="5"/>
  <c r="CG268" i="5"/>
  <c r="BZ268" i="5"/>
  <c r="AU268" i="5"/>
  <c r="A268" i="5"/>
  <c r="CG267" i="5"/>
  <c r="BZ267" i="5"/>
  <c r="AU267" i="5"/>
  <c r="A267" i="5"/>
  <c r="CG266" i="5"/>
  <c r="BZ266" i="5"/>
  <c r="AU266" i="5"/>
  <c r="A266" i="5"/>
  <c r="CG265" i="5"/>
  <c r="BZ265" i="5"/>
  <c r="AU265" i="5"/>
  <c r="A265" i="5"/>
  <c r="CG264" i="5"/>
  <c r="BZ264" i="5"/>
  <c r="AU264" i="5"/>
  <c r="A264" i="5"/>
  <c r="CG263" i="5"/>
  <c r="BZ263" i="5"/>
  <c r="AU263" i="5"/>
  <c r="A263" i="5"/>
  <c r="CG262" i="5"/>
  <c r="BZ262" i="5"/>
  <c r="AU262" i="5"/>
  <c r="A262" i="5"/>
  <c r="CG261" i="5"/>
  <c r="BZ261" i="5"/>
  <c r="AU261" i="5"/>
  <c r="A261" i="5"/>
  <c r="CG260" i="5"/>
  <c r="BZ260" i="5"/>
  <c r="AU260" i="5"/>
  <c r="A260" i="5"/>
  <c r="CG259" i="5"/>
  <c r="BZ259" i="5"/>
  <c r="AU259" i="5"/>
  <c r="A259" i="5"/>
  <c r="CG258" i="5"/>
  <c r="BZ258" i="5"/>
  <c r="AU258" i="5"/>
  <c r="A258" i="5"/>
  <c r="CG257" i="5"/>
  <c r="BZ257" i="5"/>
  <c r="AU257" i="5"/>
  <c r="A257" i="5"/>
  <c r="CG256" i="5"/>
  <c r="BZ256" i="5"/>
  <c r="AU256" i="5"/>
  <c r="A256" i="5"/>
  <c r="CG255" i="5"/>
  <c r="BZ255" i="5"/>
  <c r="AU255" i="5"/>
  <c r="A255" i="5"/>
  <c r="CG254" i="5"/>
  <c r="BZ254" i="5"/>
  <c r="AU254" i="5"/>
  <c r="A254" i="5"/>
  <c r="CG253" i="5"/>
  <c r="BZ253" i="5"/>
  <c r="AU253" i="5"/>
  <c r="A253" i="5"/>
  <c r="CG252" i="5"/>
  <c r="BZ252" i="5"/>
  <c r="AU252" i="5"/>
  <c r="A252" i="5"/>
  <c r="CG251" i="5"/>
  <c r="BZ251" i="5"/>
  <c r="AU251" i="5"/>
  <c r="A251" i="5"/>
  <c r="CG250" i="5"/>
  <c r="BZ250" i="5"/>
  <c r="AU250" i="5"/>
  <c r="A250" i="5"/>
  <c r="CG249" i="5"/>
  <c r="BZ249" i="5"/>
  <c r="AU249" i="5"/>
  <c r="A249" i="5"/>
  <c r="CG248" i="5"/>
  <c r="BZ248" i="5"/>
  <c r="AU248" i="5"/>
  <c r="A248" i="5"/>
  <c r="CG247" i="5"/>
  <c r="BZ247" i="5"/>
  <c r="AU247" i="5"/>
  <c r="A247" i="5"/>
  <c r="CG246" i="5"/>
  <c r="BZ246" i="5"/>
  <c r="AU246" i="5"/>
  <c r="A246" i="5"/>
  <c r="CG245" i="5"/>
  <c r="BZ245" i="5"/>
  <c r="AU245" i="5"/>
  <c r="A245" i="5"/>
  <c r="CG244" i="5"/>
  <c r="BZ244" i="5"/>
  <c r="AU244" i="5"/>
  <c r="A244" i="5"/>
  <c r="CG243" i="5"/>
  <c r="BZ243" i="5"/>
  <c r="AU243" i="5"/>
  <c r="A243" i="5"/>
  <c r="CG242" i="5"/>
  <c r="AU242" i="5"/>
  <c r="A242" i="5"/>
  <c r="CG241" i="5"/>
  <c r="AU241" i="5"/>
  <c r="A241" i="5"/>
  <c r="CG240" i="5"/>
  <c r="AU240" i="5"/>
  <c r="A240" i="5"/>
  <c r="CG239" i="5"/>
  <c r="AU239" i="5"/>
  <c r="A239" i="5"/>
  <c r="AF276" i="5" s="1"/>
  <c r="CG238" i="5"/>
  <c r="AU238" i="5"/>
  <c r="A238" i="5"/>
  <c r="AF275" i="5" s="1"/>
  <c r="CG237" i="5"/>
  <c r="AU237" i="5"/>
  <c r="A237" i="5"/>
  <c r="AF274" i="5" s="1"/>
  <c r="CG236" i="5"/>
  <c r="AU236" i="5"/>
  <c r="A236" i="5"/>
  <c r="AF273" i="5" s="1"/>
  <c r="CG235" i="5"/>
  <c r="AU235" i="5"/>
  <c r="A235" i="5"/>
  <c r="CG234" i="5"/>
  <c r="AU234" i="5"/>
  <c r="A234" i="5"/>
  <c r="AF271" i="5" s="1"/>
  <c r="CG233" i="5"/>
  <c r="AU233" i="5"/>
  <c r="A233" i="5"/>
  <c r="AF270" i="5" s="1"/>
  <c r="CG232" i="5"/>
  <c r="AU232" i="5"/>
  <c r="A232" i="5"/>
  <c r="AF269" i="5" s="1"/>
  <c r="CG231" i="5"/>
  <c r="AU231" i="5"/>
  <c r="A231" i="5"/>
  <c r="CG230" i="5"/>
  <c r="AU230" i="5"/>
  <c r="A230" i="5"/>
  <c r="AF415" i="5" s="1"/>
  <c r="CG229" i="5"/>
  <c r="AU229" i="5"/>
  <c r="A229" i="5"/>
  <c r="AF266" i="5" s="1"/>
  <c r="CG228" i="5"/>
  <c r="AU228" i="5"/>
  <c r="A228" i="5"/>
  <c r="AF265" i="5" s="1"/>
  <c r="CG227" i="5"/>
  <c r="AU227" i="5"/>
  <c r="A227" i="5"/>
  <c r="CG226" i="5"/>
  <c r="AU226" i="5"/>
  <c r="A226" i="5"/>
  <c r="CG225" i="5"/>
  <c r="AU225" i="5"/>
  <c r="A225" i="5"/>
  <c r="AF262" i="5" s="1"/>
  <c r="CG224" i="5"/>
  <c r="AU224" i="5"/>
  <c r="A224" i="5"/>
  <c r="CG223" i="5"/>
  <c r="AU223" i="5"/>
  <c r="A223" i="5"/>
  <c r="AF260" i="5" s="1"/>
  <c r="CG222" i="5"/>
  <c r="AU222" i="5"/>
  <c r="A222" i="5"/>
  <c r="CG221" i="5"/>
  <c r="AU221" i="5"/>
  <c r="A221" i="5"/>
  <c r="AF258" i="5" s="1"/>
  <c r="CG220" i="5"/>
  <c r="AU220" i="5"/>
  <c r="A220" i="5"/>
  <c r="CG219" i="5"/>
  <c r="AU219" i="5"/>
  <c r="A219" i="5"/>
  <c r="AF367" i="5" s="1"/>
  <c r="CG218" i="5"/>
  <c r="AU218" i="5"/>
  <c r="A218" i="5"/>
  <c r="CG217" i="5"/>
  <c r="AU217" i="5"/>
  <c r="A217" i="5"/>
  <c r="AF254" i="5" s="1"/>
  <c r="CG216" i="5"/>
  <c r="AU216" i="5"/>
  <c r="A216" i="5"/>
  <c r="CG215" i="5"/>
  <c r="AU215" i="5"/>
  <c r="A215" i="5"/>
  <c r="AF252" i="5" s="1"/>
  <c r="CG214" i="5"/>
  <c r="AU214" i="5"/>
  <c r="A214" i="5"/>
  <c r="CG213" i="5"/>
  <c r="AU213" i="5"/>
  <c r="A213" i="5"/>
  <c r="AF250" i="5" s="1"/>
  <c r="CG212" i="5"/>
  <c r="AU212" i="5"/>
  <c r="A212" i="5"/>
  <c r="CG211" i="5"/>
  <c r="AU211" i="5"/>
  <c r="A211" i="5"/>
  <c r="CG210" i="5"/>
  <c r="AU210" i="5"/>
  <c r="A210" i="5"/>
  <c r="CG209" i="5"/>
  <c r="AU209" i="5"/>
  <c r="A209" i="5"/>
  <c r="AF246" i="5" s="1"/>
  <c r="CG208" i="5"/>
  <c r="AU208" i="5"/>
  <c r="A208" i="5"/>
  <c r="CG207" i="5"/>
  <c r="AU207" i="5"/>
  <c r="A207" i="5"/>
  <c r="AF355" i="5" s="1"/>
  <c r="CG206" i="5"/>
  <c r="AU206" i="5"/>
  <c r="A206" i="5"/>
  <c r="CG205" i="5"/>
  <c r="AU205" i="5"/>
  <c r="A205" i="5"/>
  <c r="AF242" i="5" s="1"/>
  <c r="CG204" i="5"/>
  <c r="AU204" i="5"/>
  <c r="A204" i="5"/>
  <c r="CG203" i="5"/>
  <c r="AU203" i="5"/>
  <c r="A203" i="5"/>
  <c r="AF351" i="5" s="1"/>
  <c r="CG202" i="5"/>
  <c r="AU202" i="5"/>
  <c r="A202" i="5"/>
  <c r="AF202" i="5" s="1"/>
  <c r="CG201" i="5"/>
  <c r="AU201" i="5"/>
  <c r="A201" i="5"/>
  <c r="AF201" i="5" s="1"/>
  <c r="CG200" i="5"/>
  <c r="AU200" i="5"/>
  <c r="A200" i="5"/>
  <c r="AF200" i="5" s="1"/>
  <c r="CG199" i="5"/>
  <c r="AU199" i="5"/>
  <c r="A199" i="5"/>
  <c r="AF199" i="5" s="1"/>
  <c r="CG198" i="5"/>
  <c r="AU198" i="5"/>
  <c r="A198" i="5"/>
  <c r="AF198" i="5" s="1"/>
  <c r="CG197" i="5"/>
  <c r="AU197" i="5"/>
  <c r="A197" i="5"/>
  <c r="AF197" i="5" s="1"/>
  <c r="CG196" i="5"/>
  <c r="AU196" i="5"/>
  <c r="A196" i="5"/>
  <c r="AF196" i="5" s="1"/>
  <c r="CG195" i="5"/>
  <c r="AU195" i="5"/>
  <c r="A195" i="5"/>
  <c r="AF195" i="5" s="1"/>
  <c r="CG194" i="5"/>
  <c r="AU194" i="5"/>
  <c r="A194" i="5"/>
  <c r="AF194" i="5" s="1"/>
  <c r="CG193" i="5"/>
  <c r="AU193" i="5"/>
  <c r="A193" i="5"/>
  <c r="AF193" i="5" s="1"/>
  <c r="CG192" i="5"/>
  <c r="AU192" i="5"/>
  <c r="A192" i="5"/>
  <c r="AF192" i="5" s="1"/>
  <c r="CG191" i="5"/>
  <c r="AU191" i="5"/>
  <c r="A191" i="5"/>
  <c r="AF191" i="5" s="1"/>
  <c r="CG190" i="5"/>
  <c r="AU190" i="5"/>
  <c r="A190" i="5"/>
  <c r="AF190" i="5" s="1"/>
  <c r="CG189" i="5"/>
  <c r="AU189" i="5"/>
  <c r="A189" i="5"/>
  <c r="AF189" i="5" s="1"/>
  <c r="CG188" i="5"/>
  <c r="AU188" i="5"/>
  <c r="A188" i="5"/>
  <c r="AF188" i="5" s="1"/>
  <c r="CG187" i="5"/>
  <c r="AU187" i="5"/>
  <c r="A187" i="5"/>
  <c r="AF187" i="5" s="1"/>
  <c r="CG186" i="5"/>
  <c r="AU186" i="5"/>
  <c r="A186" i="5"/>
  <c r="AF186" i="5" s="1"/>
  <c r="CG185" i="5"/>
  <c r="AU185" i="5"/>
  <c r="A185" i="5"/>
  <c r="AF185" i="5" s="1"/>
  <c r="CG184" i="5"/>
  <c r="AU184" i="5"/>
  <c r="A184" i="5"/>
  <c r="AF184" i="5" s="1"/>
  <c r="CG183" i="5"/>
  <c r="AU183" i="5"/>
  <c r="A183" i="5"/>
  <c r="AF183" i="5" s="1"/>
  <c r="CG182" i="5"/>
  <c r="AU182" i="5"/>
  <c r="A182" i="5"/>
  <c r="AF182" i="5" s="1"/>
  <c r="CG181" i="5"/>
  <c r="AU181" i="5"/>
  <c r="A181" i="5"/>
  <c r="AF181" i="5" s="1"/>
  <c r="CG180" i="5"/>
  <c r="AU180" i="5"/>
  <c r="A180" i="5"/>
  <c r="AF180" i="5" s="1"/>
  <c r="CG179" i="5"/>
  <c r="AU179" i="5"/>
  <c r="A179" i="5"/>
  <c r="AF179" i="5" s="1"/>
  <c r="CG178" i="5"/>
  <c r="AU178" i="5"/>
  <c r="A178" i="5"/>
  <c r="AF178" i="5" s="1"/>
  <c r="CG177" i="5"/>
  <c r="AU177" i="5"/>
  <c r="A177" i="5"/>
  <c r="AF177" i="5" s="1"/>
  <c r="CG176" i="5"/>
  <c r="AU176" i="5"/>
  <c r="A176" i="5"/>
  <c r="AF176" i="5" s="1"/>
  <c r="CG175" i="5"/>
  <c r="AU175" i="5"/>
  <c r="A175" i="5"/>
  <c r="AF175" i="5" s="1"/>
  <c r="CG174" i="5"/>
  <c r="AU174" i="5"/>
  <c r="A174" i="5"/>
  <c r="AF174" i="5" s="1"/>
  <c r="CG173" i="5"/>
  <c r="AU173" i="5"/>
  <c r="A173" i="5"/>
  <c r="AF173" i="5" s="1"/>
  <c r="CG172" i="5"/>
  <c r="AU172" i="5"/>
  <c r="A172" i="5"/>
  <c r="AF172" i="5" s="1"/>
  <c r="CG171" i="5"/>
  <c r="AU171" i="5"/>
  <c r="A171" i="5"/>
  <c r="AF171" i="5" s="1"/>
  <c r="CG170" i="5"/>
  <c r="AU170" i="5"/>
  <c r="A170" i="5"/>
  <c r="AF170" i="5" s="1"/>
  <c r="CG169" i="5"/>
  <c r="AU169" i="5"/>
  <c r="A169" i="5"/>
  <c r="AF169" i="5" s="1"/>
  <c r="CG168" i="5"/>
  <c r="AU168" i="5"/>
  <c r="A168" i="5"/>
  <c r="AF168" i="5" s="1"/>
  <c r="CG167" i="5"/>
  <c r="AU167" i="5"/>
  <c r="A167" i="5"/>
  <c r="AF167" i="5" s="1"/>
  <c r="CG166" i="5"/>
  <c r="AU166" i="5"/>
  <c r="A166" i="5"/>
  <c r="AF166" i="5" s="1"/>
  <c r="CG165" i="5"/>
  <c r="AU165" i="5"/>
  <c r="A165" i="5"/>
  <c r="CG164" i="5"/>
  <c r="AU164" i="5"/>
  <c r="A164" i="5"/>
  <c r="CG163" i="5"/>
  <c r="AU163" i="5"/>
  <c r="A163" i="5"/>
  <c r="CG162" i="5"/>
  <c r="AU162" i="5"/>
  <c r="A162" i="5"/>
  <c r="CG161" i="5"/>
  <c r="AU161" i="5"/>
  <c r="A161" i="5"/>
  <c r="CG160" i="5"/>
  <c r="AU160" i="5"/>
  <c r="A160" i="5"/>
  <c r="CG159" i="5"/>
  <c r="AU159" i="5"/>
  <c r="A159" i="5"/>
  <c r="CG158" i="5"/>
  <c r="AU158" i="5"/>
  <c r="A158" i="5"/>
  <c r="CG157" i="5"/>
  <c r="AU157" i="5"/>
  <c r="A157" i="5"/>
  <c r="CG156" i="5"/>
  <c r="AU156" i="5"/>
  <c r="A156" i="5"/>
  <c r="CG155" i="5"/>
  <c r="AU155" i="5"/>
  <c r="A155" i="5"/>
  <c r="CG154" i="5"/>
  <c r="AU154" i="5"/>
  <c r="A154" i="5"/>
  <c r="CG153" i="5"/>
  <c r="AU153" i="5"/>
  <c r="A153" i="5"/>
  <c r="CG152" i="5"/>
  <c r="AU152" i="5"/>
  <c r="A152" i="5"/>
  <c r="CG151" i="5"/>
  <c r="AU151" i="5"/>
  <c r="A151" i="5"/>
  <c r="CG150" i="5"/>
  <c r="AU150" i="5"/>
  <c r="A150" i="5"/>
  <c r="CG149" i="5"/>
  <c r="AU149" i="5"/>
  <c r="A149" i="5"/>
  <c r="CG148" i="5"/>
  <c r="AU148" i="5"/>
  <c r="A148" i="5"/>
  <c r="CG147" i="5"/>
  <c r="AU147" i="5"/>
  <c r="A147" i="5"/>
  <c r="CG146" i="5"/>
  <c r="AU146" i="5"/>
  <c r="A146" i="5"/>
  <c r="CG145" i="5"/>
  <c r="AU145" i="5"/>
  <c r="A145" i="5"/>
  <c r="CG144" i="5"/>
  <c r="AU144" i="5"/>
  <c r="A144" i="5"/>
  <c r="CG143" i="5"/>
  <c r="AU143" i="5"/>
  <c r="A143" i="5"/>
  <c r="CG142" i="5"/>
  <c r="AU142" i="5"/>
  <c r="A142" i="5"/>
  <c r="CG141" i="5"/>
  <c r="AU141" i="5"/>
  <c r="A141" i="5"/>
  <c r="CG140" i="5"/>
  <c r="AU140" i="5"/>
  <c r="A140" i="5"/>
  <c r="CG139" i="5"/>
  <c r="AU139" i="5"/>
  <c r="A139" i="5"/>
  <c r="CG138" i="5"/>
  <c r="AU138" i="5"/>
  <c r="A138" i="5"/>
  <c r="CG137" i="5"/>
  <c r="AU137" i="5"/>
  <c r="A137" i="5"/>
  <c r="CG136" i="5"/>
  <c r="AU136" i="5"/>
  <c r="A136" i="5"/>
  <c r="CG135" i="5"/>
  <c r="AU135" i="5"/>
  <c r="A135" i="5"/>
  <c r="AF150" i="5" s="1"/>
  <c r="CG134" i="5"/>
  <c r="AU134" i="5"/>
  <c r="A134" i="5"/>
  <c r="AF149" i="5" s="1"/>
  <c r="CG133" i="5"/>
  <c r="AU133" i="5"/>
  <c r="A133" i="5"/>
  <c r="AF148" i="5" s="1"/>
  <c r="CG132" i="5"/>
  <c r="AU132" i="5"/>
  <c r="A132" i="5"/>
  <c r="AF147" i="5" s="1"/>
  <c r="CG131" i="5"/>
  <c r="AU131" i="5"/>
  <c r="A131" i="5"/>
  <c r="AF146" i="5" s="1"/>
  <c r="CG130" i="5"/>
  <c r="AU130" i="5"/>
  <c r="A130" i="5"/>
  <c r="AF145" i="5" s="1"/>
  <c r="CG129" i="5"/>
  <c r="AU129" i="5"/>
  <c r="A129" i="5"/>
  <c r="AF144" i="5" s="1"/>
  <c r="CG128" i="5"/>
  <c r="AU128" i="5"/>
  <c r="A128" i="5"/>
  <c r="AF143" i="5" s="1"/>
  <c r="CG127" i="5"/>
  <c r="AU127" i="5"/>
  <c r="A127" i="5"/>
  <c r="AF142" i="5" s="1"/>
  <c r="CG126" i="5"/>
  <c r="AU126" i="5"/>
  <c r="A126" i="5"/>
  <c r="AF141" i="5" s="1"/>
  <c r="CG125" i="5"/>
  <c r="AU125" i="5"/>
  <c r="A125" i="5"/>
  <c r="AF140" i="5" s="1"/>
  <c r="CG124" i="5"/>
  <c r="BI124" i="5"/>
  <c r="BH124" i="5"/>
  <c r="BG124" i="5"/>
  <c r="AU124" i="5"/>
  <c r="A124" i="5"/>
  <c r="AF139" i="5" s="1"/>
  <c r="CG123" i="5"/>
  <c r="AU123" i="5"/>
  <c r="A123" i="5"/>
  <c r="AF138" i="5" s="1"/>
  <c r="CG122" i="5"/>
  <c r="AU122" i="5"/>
  <c r="A122" i="5"/>
  <c r="AF137" i="5" s="1"/>
  <c r="CG121" i="5"/>
  <c r="BI121" i="5"/>
  <c r="BM121" i="5" s="1"/>
  <c r="BH121" i="5"/>
  <c r="BL121" i="5" s="1"/>
  <c r="BG121" i="5"/>
  <c r="BK121" i="5" s="1"/>
  <c r="AU121" i="5"/>
  <c r="A121" i="5"/>
  <c r="AF136" i="5" s="1"/>
  <c r="CG120" i="5"/>
  <c r="BI120" i="5"/>
  <c r="BM120" i="5" s="1"/>
  <c r="BH120" i="5"/>
  <c r="BL120" i="5" s="1"/>
  <c r="BG120" i="5"/>
  <c r="BK120" i="5" s="1"/>
  <c r="AU120" i="5"/>
  <c r="A120" i="5"/>
  <c r="AF120" i="5" s="1"/>
  <c r="CG119" i="5"/>
  <c r="BT119" i="5"/>
  <c r="BI119" i="5"/>
  <c r="BM119" i="5" s="1"/>
  <c r="BH119" i="5"/>
  <c r="BL119" i="5" s="1"/>
  <c r="BG119" i="5"/>
  <c r="BK119" i="5" s="1"/>
  <c r="AU119" i="5"/>
  <c r="A119" i="5"/>
  <c r="AF119" i="5" s="1"/>
  <c r="CG118" i="5"/>
  <c r="BI118" i="5"/>
  <c r="BM118" i="5" s="1"/>
  <c r="BH118" i="5"/>
  <c r="BL118" i="5" s="1"/>
  <c r="BG118" i="5"/>
  <c r="BK118" i="5" s="1"/>
  <c r="AU118" i="5"/>
  <c r="A118" i="5"/>
  <c r="AF118" i="5" s="1"/>
  <c r="CG117" i="5"/>
  <c r="BI117" i="5"/>
  <c r="BM117" i="5" s="1"/>
  <c r="BH117" i="5"/>
  <c r="BL117" i="5" s="1"/>
  <c r="BG117" i="5"/>
  <c r="BK117" i="5" s="1"/>
  <c r="AU117" i="5"/>
  <c r="A117" i="5"/>
  <c r="AF117" i="5" s="1"/>
  <c r="CG116" i="5"/>
  <c r="BI116" i="5"/>
  <c r="BM116" i="5" s="1"/>
  <c r="BH116" i="5"/>
  <c r="BL116" i="5" s="1"/>
  <c r="BG116" i="5"/>
  <c r="BK116" i="5" s="1"/>
  <c r="AU116" i="5"/>
  <c r="A116" i="5"/>
  <c r="AF116" i="5" s="1"/>
  <c r="CG115" i="5"/>
  <c r="BI115" i="5"/>
  <c r="BM115" i="5" s="1"/>
  <c r="BH115" i="5"/>
  <c r="BL115" i="5" s="1"/>
  <c r="BG115" i="5"/>
  <c r="BK115" i="5" s="1"/>
  <c r="AU115" i="5"/>
  <c r="A115" i="5"/>
  <c r="AF115" i="5" s="1"/>
  <c r="CG114" i="5"/>
  <c r="BI114" i="5"/>
  <c r="BM114" i="5" s="1"/>
  <c r="BH114" i="5"/>
  <c r="BL114" i="5" s="1"/>
  <c r="BG114" i="5"/>
  <c r="BK114" i="5" s="1"/>
  <c r="AU114" i="5"/>
  <c r="A114" i="5"/>
  <c r="AF114" i="5" s="1"/>
  <c r="CG113" i="5"/>
  <c r="BI113" i="5"/>
  <c r="BM113" i="5" s="1"/>
  <c r="BH113" i="5"/>
  <c r="BL113" i="5" s="1"/>
  <c r="BG113" i="5"/>
  <c r="BK113" i="5" s="1"/>
  <c r="AU113" i="5"/>
  <c r="A113" i="5"/>
  <c r="AF113" i="5" s="1"/>
  <c r="CG112" i="5"/>
  <c r="BI112" i="5"/>
  <c r="BM112" i="5" s="1"/>
  <c r="BH112" i="5"/>
  <c r="BL112" i="5" s="1"/>
  <c r="BG112" i="5"/>
  <c r="BK112" i="5" s="1"/>
  <c r="AU112" i="5"/>
  <c r="A112" i="5"/>
  <c r="AF112" i="5" s="1"/>
  <c r="CG111" i="5"/>
  <c r="BI111" i="5"/>
  <c r="BM111" i="5" s="1"/>
  <c r="BH111" i="5"/>
  <c r="BL111" i="5" s="1"/>
  <c r="BG111" i="5"/>
  <c r="BK111" i="5" s="1"/>
  <c r="AU111" i="5"/>
  <c r="A111" i="5"/>
  <c r="AF111" i="5" s="1"/>
  <c r="CG110" i="5"/>
  <c r="BT110" i="5"/>
  <c r="AU110" i="5"/>
  <c r="A110" i="5"/>
  <c r="AF110" i="5" s="1"/>
  <c r="CG109" i="5"/>
  <c r="AU109" i="5"/>
  <c r="A109" i="5"/>
  <c r="AF109" i="5" s="1"/>
  <c r="CG108" i="5"/>
  <c r="AU108" i="5"/>
  <c r="A108" i="5"/>
  <c r="AF108" i="5" s="1"/>
  <c r="CG107" i="5"/>
  <c r="AU107" i="5"/>
  <c r="A107" i="5"/>
  <c r="AF107" i="5" s="1"/>
  <c r="CG106" i="5"/>
  <c r="AU106" i="5"/>
  <c r="A106" i="5"/>
  <c r="AF106" i="5" s="1"/>
  <c r="CG105" i="5"/>
  <c r="AU105" i="5"/>
  <c r="A105" i="5"/>
  <c r="CG104" i="5"/>
  <c r="AU104" i="5"/>
  <c r="A104" i="5"/>
  <c r="CG103" i="5"/>
  <c r="AU103" i="5"/>
  <c r="A103" i="5"/>
  <c r="CG102" i="5"/>
  <c r="AU102" i="5"/>
  <c r="A102" i="5"/>
  <c r="CG101" i="5"/>
  <c r="AU101" i="5"/>
  <c r="A101" i="5"/>
  <c r="CG100" i="5"/>
  <c r="AU100" i="5"/>
  <c r="A100" i="5"/>
  <c r="CG99" i="5"/>
  <c r="AU99" i="5"/>
  <c r="A99" i="5"/>
  <c r="CG98" i="5"/>
  <c r="AU98" i="5"/>
  <c r="A98" i="5"/>
  <c r="CG97" i="5"/>
  <c r="AU97" i="5"/>
  <c r="A97" i="5"/>
  <c r="CG96" i="5"/>
  <c r="AU96" i="5"/>
  <c r="A96" i="5"/>
  <c r="CG95" i="5"/>
  <c r="AU95" i="5"/>
  <c r="A95" i="5"/>
  <c r="CG94" i="5"/>
  <c r="AU94" i="5"/>
  <c r="A94" i="5"/>
  <c r="CG93" i="5"/>
  <c r="AU93" i="5"/>
  <c r="A93" i="5"/>
  <c r="CG92" i="5"/>
  <c r="AU92" i="5"/>
  <c r="A92" i="5"/>
  <c r="CG91" i="5"/>
  <c r="AU91" i="5"/>
  <c r="A91" i="5"/>
  <c r="CG90" i="5"/>
  <c r="AU90" i="5"/>
  <c r="A90" i="5"/>
  <c r="AF90" i="5" s="1"/>
  <c r="CG89" i="5"/>
  <c r="AU89" i="5"/>
  <c r="A89" i="5"/>
  <c r="AF89" i="5" s="1"/>
  <c r="CG88" i="5"/>
  <c r="AU88" i="5"/>
  <c r="A88" i="5"/>
  <c r="AF88" i="5" s="1"/>
  <c r="CG87" i="5"/>
  <c r="AU87" i="5"/>
  <c r="A87" i="5"/>
  <c r="AF87" i="5" s="1"/>
  <c r="CG86" i="5"/>
  <c r="AU86" i="5"/>
  <c r="A86" i="5"/>
  <c r="AF86" i="5" s="1"/>
  <c r="CG85" i="5"/>
  <c r="BS85" i="5"/>
  <c r="AU85" i="5"/>
  <c r="A85" i="5"/>
  <c r="AF85" i="5" s="1"/>
  <c r="CG84" i="5"/>
  <c r="AU84" i="5"/>
  <c r="A84" i="5"/>
  <c r="AF84" i="5" s="1"/>
  <c r="CG83" i="5"/>
  <c r="AU83" i="5"/>
  <c r="A83" i="5"/>
  <c r="AF83" i="5" s="1"/>
  <c r="CG82" i="5"/>
  <c r="AU82" i="5"/>
  <c r="A82" i="5"/>
  <c r="AF82" i="5" s="1"/>
  <c r="CG81" i="5"/>
  <c r="AU81" i="5"/>
  <c r="A81" i="5"/>
  <c r="AF81" i="5" s="1"/>
  <c r="CG80" i="5"/>
  <c r="AU80" i="5"/>
  <c r="A80" i="5"/>
  <c r="AF80" i="5" s="1"/>
  <c r="CG79" i="5"/>
  <c r="AU79" i="5"/>
  <c r="A79" i="5"/>
  <c r="AF79" i="5" s="1"/>
  <c r="CG78" i="5"/>
  <c r="AU78" i="5"/>
  <c r="A78" i="5"/>
  <c r="AF78" i="5" s="1"/>
  <c r="CG77" i="5"/>
  <c r="AU77" i="5"/>
  <c r="A77" i="5"/>
  <c r="AF77" i="5" s="1"/>
  <c r="CG76" i="5"/>
  <c r="AU76" i="5"/>
  <c r="A76" i="5"/>
  <c r="AF76" i="5" s="1"/>
  <c r="CG75" i="5"/>
  <c r="AT75" i="5"/>
  <c r="K75" i="5" s="1"/>
  <c r="AR75" i="5"/>
  <c r="A75" i="5"/>
  <c r="CG74" i="5"/>
  <c r="AT74" i="5"/>
  <c r="K74" i="5" s="1"/>
  <c r="AR74" i="5"/>
  <c r="A74" i="5"/>
  <c r="CG73" i="5"/>
  <c r="AT73" i="5"/>
  <c r="K73" i="5" s="1"/>
  <c r="AR73" i="5"/>
  <c r="A73" i="5"/>
  <c r="CG72" i="5"/>
  <c r="AT72" i="5"/>
  <c r="K72" i="5" s="1"/>
  <c r="AR72" i="5"/>
  <c r="A72" i="5"/>
  <c r="CG71" i="5"/>
  <c r="AT71" i="5"/>
  <c r="K71" i="5" s="1"/>
  <c r="AR71" i="5"/>
  <c r="A71" i="5"/>
  <c r="CG70" i="5"/>
  <c r="AT70" i="5"/>
  <c r="K70" i="5" s="1"/>
  <c r="AR70" i="5"/>
  <c r="A70" i="5"/>
  <c r="CG69" i="5"/>
  <c r="AT69" i="5"/>
  <c r="K69" i="5" s="1"/>
  <c r="AR69" i="5"/>
  <c r="A69" i="5"/>
  <c r="CG68" i="5"/>
  <c r="AT68" i="5"/>
  <c r="K68" i="5" s="1"/>
  <c r="AR68" i="5"/>
  <c r="A68" i="5"/>
  <c r="CG67" i="5"/>
  <c r="AT67" i="5"/>
  <c r="K67" i="5" s="1"/>
  <c r="AR67" i="5"/>
  <c r="A67" i="5"/>
  <c r="CG66" i="5"/>
  <c r="AT66" i="5"/>
  <c r="K66" i="5" s="1"/>
  <c r="AR66" i="5"/>
  <c r="A66" i="5"/>
  <c r="AT65" i="5"/>
  <c r="K65" i="5" s="1"/>
  <c r="AR65" i="5"/>
  <c r="A65" i="5"/>
  <c r="AT64" i="5"/>
  <c r="K64" i="5" s="1"/>
  <c r="AR64" i="5"/>
  <c r="A64" i="5"/>
  <c r="AC62" i="5"/>
  <c r="AC61" i="5"/>
  <c r="AC60" i="5"/>
  <c r="BO60" i="5"/>
  <c r="BM60" i="5"/>
  <c r="BH60" i="5"/>
  <c r="BJ60" i="5" s="1"/>
  <c r="BE60" i="5"/>
  <c r="BI60" i="5" s="1"/>
  <c r="AC59" i="5"/>
  <c r="BO59" i="5"/>
  <c r="BM59" i="5"/>
  <c r="BH59" i="5"/>
  <c r="BL59" i="5" s="1"/>
  <c r="BE59" i="5"/>
  <c r="BI59" i="5" s="1"/>
  <c r="AC58" i="5"/>
  <c r="BO58" i="5"/>
  <c r="BM58" i="5"/>
  <c r="BH58" i="5"/>
  <c r="BL58" i="5" s="1"/>
  <c r="BE58" i="5"/>
  <c r="BI58" i="5" s="1"/>
  <c r="AC57" i="5"/>
  <c r="BO57" i="5"/>
  <c r="BM57" i="5"/>
  <c r="BH57" i="5"/>
  <c r="BE57" i="5"/>
  <c r="AC56" i="5"/>
  <c r="BO56" i="5"/>
  <c r="BM56" i="5"/>
  <c r="BH56" i="5"/>
  <c r="BJ56" i="5" s="1"/>
  <c r="BE56" i="5"/>
  <c r="BI56" i="5" s="1"/>
  <c r="AC55" i="5"/>
  <c r="BO55" i="5"/>
  <c r="BM55" i="5"/>
  <c r="BH55" i="5"/>
  <c r="BL55" i="5" s="1"/>
  <c r="BE55" i="5"/>
  <c r="BI55" i="5" s="1"/>
  <c r="AC54" i="5"/>
  <c r="BO54" i="5"/>
  <c r="BM54" i="5"/>
  <c r="BH54" i="5"/>
  <c r="BL54" i="5" s="1"/>
  <c r="BE54" i="5"/>
  <c r="BI54" i="5" s="1"/>
  <c r="AC53" i="5"/>
  <c r="BO53" i="5"/>
  <c r="AS74" i="5" s="1"/>
  <c r="M74" i="5" s="1"/>
  <c r="BM53" i="5"/>
  <c r="BH53" i="5"/>
  <c r="BJ53" i="5" s="1"/>
  <c r="BE53" i="5"/>
  <c r="AC52" i="5"/>
  <c r="BO52" i="5"/>
  <c r="AS71" i="5" s="1"/>
  <c r="M71" i="5" s="1"/>
  <c r="BM52" i="5"/>
  <c r="BH52" i="5"/>
  <c r="BJ52" i="5" s="1"/>
  <c r="BE52" i="5"/>
  <c r="AO71" i="5" s="1"/>
  <c r="BO51" i="5"/>
  <c r="AS67" i="5" s="1"/>
  <c r="M67" i="5" s="1"/>
  <c r="BM51" i="5"/>
  <c r="BH51" i="5"/>
  <c r="BJ51" i="5" s="1"/>
  <c r="BE51" i="5"/>
  <c r="AO67" i="5" s="1"/>
  <c r="AC50" i="5"/>
  <c r="BO50" i="5"/>
  <c r="AS73" i="5" s="1"/>
  <c r="M73" i="5" s="1"/>
  <c r="BM50" i="5"/>
  <c r="BH50" i="5"/>
  <c r="BL50" i="5" s="1"/>
  <c r="BE50" i="5"/>
  <c r="AC49" i="5"/>
  <c r="BO49" i="5"/>
  <c r="AS65" i="5" s="1"/>
  <c r="M65" i="5" s="1"/>
  <c r="BM49" i="5"/>
  <c r="BH49" i="5"/>
  <c r="BL49" i="5" s="1"/>
  <c r="BE49" i="5"/>
  <c r="AO65" i="5" s="1"/>
  <c r="AC48" i="5"/>
  <c r="BO48" i="5"/>
  <c r="AS75" i="5" s="1"/>
  <c r="M75" i="5" s="1"/>
  <c r="BM48" i="5"/>
  <c r="BH48" i="5"/>
  <c r="BJ48" i="5" s="1"/>
  <c r="BE48" i="5"/>
  <c r="AO75" i="5" s="1"/>
  <c r="AC47" i="5"/>
  <c r="BO47" i="5"/>
  <c r="AS68" i="5" s="1"/>
  <c r="M68" i="5" s="1"/>
  <c r="BM47" i="5"/>
  <c r="BH47" i="5"/>
  <c r="BJ47" i="5" s="1"/>
  <c r="BE47" i="5"/>
  <c r="AO68" i="5" s="1"/>
  <c r="AC46" i="5"/>
  <c r="BO46" i="5"/>
  <c r="AS70" i="5" s="1"/>
  <c r="M70" i="5" s="1"/>
  <c r="BM46" i="5"/>
  <c r="BH46" i="5"/>
  <c r="BE46" i="5"/>
  <c r="AO70" i="5" s="1"/>
  <c r="AC45" i="5"/>
  <c r="BO45" i="5"/>
  <c r="AS66" i="5" s="1"/>
  <c r="M66" i="5" s="1"/>
  <c r="BM45" i="5"/>
  <c r="BH45" i="5"/>
  <c r="BL45" i="5" s="1"/>
  <c r="BE45" i="5"/>
  <c r="AO66" i="5" s="1"/>
  <c r="AC44" i="5"/>
  <c r="BO44" i="5"/>
  <c r="AS72" i="5" s="1"/>
  <c r="M72" i="5" s="1"/>
  <c r="BM44" i="5"/>
  <c r="BH44" i="5"/>
  <c r="BJ44" i="5" s="1"/>
  <c r="BE44" i="5"/>
  <c r="AC43" i="5"/>
  <c r="BO43" i="5"/>
  <c r="AS64" i="5" s="1"/>
  <c r="M64" i="5" s="1"/>
  <c r="BM43" i="5"/>
  <c r="BH43" i="5"/>
  <c r="BJ43" i="5" s="1"/>
  <c r="BE43" i="5"/>
  <c r="AO64" i="5" s="1"/>
  <c r="AC42" i="5"/>
  <c r="BO42" i="5"/>
  <c r="BM42" i="5"/>
  <c r="BH42" i="5"/>
  <c r="BJ42" i="5" s="1"/>
  <c r="BV42" i="5" s="1"/>
  <c r="BE42" i="5"/>
  <c r="AC41" i="5"/>
  <c r="BO41" i="5"/>
  <c r="BM41" i="5"/>
  <c r="BH41" i="5"/>
  <c r="BL41" i="5" s="1"/>
  <c r="BE41" i="5"/>
  <c r="BO40" i="5"/>
  <c r="BM40" i="5"/>
  <c r="BH40" i="5"/>
  <c r="BJ40" i="5" s="1"/>
  <c r="BV40" i="5" s="1"/>
  <c r="BE40" i="5"/>
  <c r="AC40" i="5"/>
  <c r="BO39" i="5"/>
  <c r="BM39" i="5"/>
  <c r="BH39" i="5"/>
  <c r="BJ39" i="5" s="1"/>
  <c r="BV39" i="5" s="1"/>
  <c r="BE39" i="5"/>
  <c r="AC38" i="5"/>
  <c r="BO38" i="5"/>
  <c r="BM38" i="5"/>
  <c r="BH38" i="5"/>
  <c r="BJ38" i="5" s="1"/>
  <c r="BV38" i="5" s="1"/>
  <c r="BE38" i="5"/>
  <c r="AC37" i="5"/>
  <c r="BO37" i="5"/>
  <c r="BM37" i="5"/>
  <c r="BH37" i="5"/>
  <c r="BE37" i="5"/>
  <c r="AC36" i="5"/>
  <c r="BO36" i="5"/>
  <c r="BM36" i="5"/>
  <c r="BH36" i="5"/>
  <c r="BL36" i="5" s="1"/>
  <c r="BE36" i="5"/>
  <c r="AC35" i="5"/>
  <c r="BO35" i="5"/>
  <c r="BM35" i="5"/>
  <c r="BH35" i="5"/>
  <c r="BJ35" i="5" s="1"/>
  <c r="BV35" i="5" s="1"/>
  <c r="BE35" i="5"/>
  <c r="AC34" i="5"/>
  <c r="BO34" i="5"/>
  <c r="BM34" i="5"/>
  <c r="BH34" i="5"/>
  <c r="BJ34" i="5" s="1"/>
  <c r="BV34" i="5" s="1"/>
  <c r="BE34" i="5"/>
  <c r="AC33" i="5"/>
  <c r="BO33" i="5"/>
  <c r="BM33" i="5"/>
  <c r="BH33" i="5"/>
  <c r="BL33" i="5" s="1"/>
  <c r="BE33" i="5"/>
  <c r="AC32" i="5"/>
  <c r="BO32" i="5"/>
  <c r="BM32" i="5"/>
  <c r="BH32" i="5"/>
  <c r="BL32" i="5" s="1"/>
  <c r="BE32" i="5"/>
  <c r="AC31" i="5"/>
  <c r="BO31" i="5"/>
  <c r="BM31" i="5"/>
  <c r="BH31" i="5"/>
  <c r="BJ31" i="5" s="1"/>
  <c r="BV31" i="5" s="1"/>
  <c r="BE31" i="5"/>
  <c r="AC30" i="5"/>
  <c r="BO30" i="5"/>
  <c r="BM30" i="5"/>
  <c r="BH30" i="5"/>
  <c r="BJ30" i="5" s="1"/>
  <c r="BV30" i="5" s="1"/>
  <c r="BE30" i="5"/>
  <c r="AC29" i="5"/>
  <c r="BO29" i="5"/>
  <c r="BM29" i="5"/>
  <c r="BH29" i="5"/>
  <c r="BL29" i="5" s="1"/>
  <c r="BE29" i="5"/>
  <c r="AC28" i="5"/>
  <c r="BO28" i="5"/>
  <c r="BM28" i="5"/>
  <c r="BH28" i="5"/>
  <c r="BL28" i="5" s="1"/>
  <c r="BE28" i="5"/>
  <c r="BO27" i="5"/>
  <c r="BM27" i="5"/>
  <c r="BH27" i="5"/>
  <c r="BE27" i="5"/>
  <c r="AU27" i="5"/>
  <c r="AC26" i="5"/>
  <c r="BO26" i="5"/>
  <c r="BM26" i="5"/>
  <c r="BH26" i="5"/>
  <c r="BE26" i="5"/>
  <c r="AU26" i="5"/>
  <c r="AC25" i="5"/>
  <c r="BO25" i="5"/>
  <c r="BM25" i="5"/>
  <c r="BH25" i="5"/>
  <c r="BJ25" i="5" s="1"/>
  <c r="BV25" i="5" s="1"/>
  <c r="BE25" i="5"/>
  <c r="AU25" i="5"/>
  <c r="AC24" i="5"/>
  <c r="BO24" i="5"/>
  <c r="BM24" i="5"/>
  <c r="BH24" i="5"/>
  <c r="BJ24" i="5" s="1"/>
  <c r="BV24" i="5" s="1"/>
  <c r="BE24" i="5"/>
  <c r="AU24" i="5"/>
  <c r="AC23" i="5"/>
  <c r="BO23" i="5"/>
  <c r="BM23" i="5"/>
  <c r="BH23" i="5"/>
  <c r="BL23" i="5" s="1"/>
  <c r="BE23" i="5"/>
  <c r="AU23" i="5"/>
  <c r="AC22" i="5"/>
  <c r="BO22" i="5"/>
  <c r="BM22" i="5"/>
  <c r="BH22" i="5"/>
  <c r="BJ22" i="5" s="1"/>
  <c r="BV22" i="5" s="1"/>
  <c r="BE22" i="5"/>
  <c r="AU22" i="5"/>
  <c r="AC21" i="5"/>
  <c r="BO21" i="5"/>
  <c r="BM21" i="5"/>
  <c r="BH21" i="5"/>
  <c r="BJ21" i="5" s="1"/>
  <c r="BV21" i="5" s="1"/>
  <c r="BE21" i="5"/>
  <c r="AU21" i="5"/>
  <c r="AC20" i="5"/>
  <c r="BO20" i="5"/>
  <c r="BM20" i="5"/>
  <c r="BH20" i="5"/>
  <c r="BL20" i="5" s="1"/>
  <c r="BE20" i="5"/>
  <c r="AU20" i="5"/>
  <c r="AC19" i="5"/>
  <c r="BT19" i="5"/>
  <c r="BS19" i="5"/>
  <c r="BO19" i="5"/>
  <c r="BM19" i="5"/>
  <c r="BH19" i="5"/>
  <c r="BJ19" i="5" s="1"/>
  <c r="BD99" i="5" s="1"/>
  <c r="BE19" i="5"/>
  <c r="AU19" i="5"/>
  <c r="AC18" i="5"/>
  <c r="BT18" i="5"/>
  <c r="BS18" i="5"/>
  <c r="BO18" i="5"/>
  <c r="BM18" i="5"/>
  <c r="BH18" i="5"/>
  <c r="BE18" i="5"/>
  <c r="AU18" i="5"/>
  <c r="AC17" i="5"/>
  <c r="BT17" i="5"/>
  <c r="BS17" i="5"/>
  <c r="BO17" i="5"/>
  <c r="BM17" i="5"/>
  <c r="BH17" i="5"/>
  <c r="BL17" i="5" s="1"/>
  <c r="BE17" i="5"/>
  <c r="AU17" i="5"/>
  <c r="BT16" i="5"/>
  <c r="BS16" i="5"/>
  <c r="BO16" i="5"/>
  <c r="BM16" i="5"/>
  <c r="BH16" i="5"/>
  <c r="BJ16" i="5" s="1"/>
  <c r="BD96" i="5" s="1"/>
  <c r="BE16" i="5"/>
  <c r="AU16" i="5"/>
  <c r="AC16" i="5"/>
  <c r="BT15" i="5"/>
  <c r="BS15" i="5"/>
  <c r="BO15" i="5"/>
  <c r="BM15" i="5"/>
  <c r="BH15" i="5"/>
  <c r="BJ15" i="5" s="1"/>
  <c r="BD95" i="5" s="1"/>
  <c r="BE15" i="5"/>
  <c r="AT15" i="5"/>
  <c r="K15" i="5" s="1"/>
  <c r="AR15" i="5"/>
  <c r="AC14" i="5"/>
  <c r="BT14" i="5"/>
  <c r="BS14" i="5"/>
  <c r="BO14" i="5"/>
  <c r="BM14" i="5"/>
  <c r="BH14" i="5"/>
  <c r="BL14" i="5" s="1"/>
  <c r="BE14" i="5"/>
  <c r="AT14" i="5"/>
  <c r="K14" i="5" s="1"/>
  <c r="AR14" i="5"/>
  <c r="AM14" i="5" s="1"/>
  <c r="AC13" i="5"/>
  <c r="BT13" i="5"/>
  <c r="BS13" i="5"/>
  <c r="BO13" i="5"/>
  <c r="BM13" i="5"/>
  <c r="BH13" i="5"/>
  <c r="BL13" i="5" s="1"/>
  <c r="BE13" i="5"/>
  <c r="AT13" i="5"/>
  <c r="K13" i="5" s="1"/>
  <c r="AR13" i="5"/>
  <c r="AC12" i="5"/>
  <c r="BT12" i="5"/>
  <c r="BS12" i="5"/>
  <c r="BO12" i="5"/>
  <c r="BM12" i="5"/>
  <c r="BH12" i="5"/>
  <c r="BL12" i="5" s="1"/>
  <c r="BE12" i="5"/>
  <c r="AT12" i="5"/>
  <c r="K12" i="5" s="1"/>
  <c r="AR12" i="5"/>
  <c r="AC11" i="5"/>
  <c r="BT11" i="5"/>
  <c r="BS11" i="5"/>
  <c r="BO11" i="5"/>
  <c r="BM11" i="5"/>
  <c r="BH11" i="5"/>
  <c r="BL11" i="5" s="1"/>
  <c r="BE11" i="5"/>
  <c r="AT11" i="5"/>
  <c r="K11" i="5" s="1"/>
  <c r="AR11" i="5"/>
  <c r="AC10" i="5"/>
  <c r="BT10" i="5"/>
  <c r="BS10" i="5"/>
  <c r="BO10" i="5"/>
  <c r="BM10" i="5"/>
  <c r="BH10" i="5"/>
  <c r="BL10" i="5" s="1"/>
  <c r="BE10" i="5"/>
  <c r="AT10" i="5"/>
  <c r="K10" i="5" s="1"/>
  <c r="AR10" i="5"/>
  <c r="AC9" i="5"/>
  <c r="BT9" i="5"/>
  <c r="BS9" i="5"/>
  <c r="BO9" i="5"/>
  <c r="AS167" i="5" s="1"/>
  <c r="M167" i="5" s="1"/>
  <c r="BM9" i="5"/>
  <c r="BH9" i="5"/>
  <c r="BJ9" i="5" s="1"/>
  <c r="BD89" i="5" s="1"/>
  <c r="BE9" i="5"/>
  <c r="AT9" i="5"/>
  <c r="K9" i="5" s="1"/>
  <c r="AR9" i="5"/>
  <c r="AC8" i="5"/>
  <c r="BT8" i="5"/>
  <c r="BS8" i="5"/>
  <c r="BO8" i="5"/>
  <c r="BM8" i="5"/>
  <c r="BH8" i="5"/>
  <c r="BL8" i="5" s="1"/>
  <c r="BE8" i="5"/>
  <c r="AT8" i="5"/>
  <c r="K8" i="5" s="1"/>
  <c r="AR8" i="5"/>
  <c r="AC7" i="5"/>
  <c r="BT7" i="5"/>
  <c r="BS7" i="5"/>
  <c r="BO7" i="5"/>
  <c r="BM7" i="5"/>
  <c r="BH7" i="5"/>
  <c r="BL7" i="5" s="1"/>
  <c r="BE7" i="5"/>
  <c r="AT7" i="5"/>
  <c r="K7" i="5" s="1"/>
  <c r="AR7" i="5"/>
  <c r="AC6" i="5"/>
  <c r="BT6" i="5"/>
  <c r="BS6" i="5"/>
  <c r="BO6" i="5"/>
  <c r="BM6" i="5"/>
  <c r="BH6" i="5"/>
  <c r="BL6" i="5" s="1"/>
  <c r="BE6" i="5"/>
  <c r="AT6" i="5"/>
  <c r="K6" i="5" s="1"/>
  <c r="AR6" i="5"/>
  <c r="AC5" i="5"/>
  <c r="BT5" i="5"/>
  <c r="BS5" i="5"/>
  <c r="BO5" i="5"/>
  <c r="AS13" i="5" s="1"/>
  <c r="M13" i="5" s="1"/>
  <c r="BM5" i="5"/>
  <c r="BH5" i="5"/>
  <c r="BJ5" i="5" s="1"/>
  <c r="BD85" i="5" s="1"/>
  <c r="AT5" i="5"/>
  <c r="K5" i="5" s="1"/>
  <c r="AR5" i="5"/>
  <c r="AC4" i="5"/>
  <c r="AT4" i="5"/>
  <c r="K4" i="5" s="1"/>
  <c r="AR4" i="5"/>
  <c r="AR24" i="5" l="1"/>
  <c r="AO24" i="5"/>
  <c r="AM24" i="5"/>
  <c r="AO26" i="5"/>
  <c r="R26" i="5" s="1"/>
  <c r="AN73" i="5"/>
  <c r="AO73" i="5"/>
  <c r="AL65" i="5"/>
  <c r="AP65" i="5" s="1"/>
  <c r="AQ65" i="5" s="1"/>
  <c r="AM65" i="5"/>
  <c r="P65" i="5" s="1"/>
  <c r="AR79" i="5"/>
  <c r="AL79" i="5" s="1"/>
  <c r="AO79" i="5"/>
  <c r="R79" i="5" s="1"/>
  <c r="AT83" i="5"/>
  <c r="K83" i="5" s="1"/>
  <c r="AO83" i="5"/>
  <c r="R83" i="5" s="1"/>
  <c r="AO88" i="5"/>
  <c r="AT92" i="5"/>
  <c r="K92" i="5" s="1"/>
  <c r="AO92" i="5"/>
  <c r="R92" i="5" s="1"/>
  <c r="AT96" i="5"/>
  <c r="K96" i="5" s="1"/>
  <c r="AO96" i="5"/>
  <c r="AT100" i="5"/>
  <c r="K100" i="5" s="1"/>
  <c r="AO100" i="5"/>
  <c r="R100" i="5" s="1"/>
  <c r="AO104" i="5"/>
  <c r="R104" i="5" s="1"/>
  <c r="AO108" i="5"/>
  <c r="AT112" i="5"/>
  <c r="K112" i="5" s="1"/>
  <c r="AO112" i="5"/>
  <c r="R112" i="5" s="1"/>
  <c r="AR114" i="5"/>
  <c r="AM114" i="5" s="1"/>
  <c r="P114" i="5" s="1"/>
  <c r="AO114" i="5"/>
  <c r="AT116" i="5"/>
  <c r="K116" i="5" s="1"/>
  <c r="AO116" i="5"/>
  <c r="AT118" i="5"/>
  <c r="AO118" i="5"/>
  <c r="AR123" i="5"/>
  <c r="AO123" i="5"/>
  <c r="AR126" i="5"/>
  <c r="L126" i="5" s="1"/>
  <c r="AO126" i="5"/>
  <c r="R126" i="5" s="1"/>
  <c r="AR130" i="5"/>
  <c r="L130" i="5" s="1"/>
  <c r="AO130" i="5"/>
  <c r="R130" i="5" s="1"/>
  <c r="AT134" i="5"/>
  <c r="K134" i="5" s="1"/>
  <c r="AO134" i="5"/>
  <c r="AT138" i="5"/>
  <c r="K138" i="5" s="1"/>
  <c r="AO138" i="5"/>
  <c r="R138" i="5" s="1"/>
  <c r="AT142" i="5"/>
  <c r="K142" i="5" s="1"/>
  <c r="AO142" i="5"/>
  <c r="R142" i="5" s="1"/>
  <c r="AT146" i="5"/>
  <c r="K146" i="5" s="1"/>
  <c r="AO146" i="5"/>
  <c r="R146" i="5" s="1"/>
  <c r="AT150" i="5"/>
  <c r="K150" i="5" s="1"/>
  <c r="AO150" i="5"/>
  <c r="R150" i="5" s="1"/>
  <c r="AT154" i="5"/>
  <c r="K154" i="5" s="1"/>
  <c r="AO154" i="5"/>
  <c r="R154" i="5" s="1"/>
  <c r="AT158" i="5"/>
  <c r="K158" i="5" s="1"/>
  <c r="AO158" i="5"/>
  <c r="R158" i="5" s="1"/>
  <c r="AT162" i="5"/>
  <c r="K162" i="5" s="1"/>
  <c r="AO162" i="5"/>
  <c r="AT166" i="5"/>
  <c r="K166" i="5" s="1"/>
  <c r="AO166" i="5"/>
  <c r="R166" i="5" s="1"/>
  <c r="AO170" i="5"/>
  <c r="R170" i="5" s="1"/>
  <c r="AO174" i="5"/>
  <c r="R174" i="5" s="1"/>
  <c r="AO178" i="5"/>
  <c r="R178" i="5" s="1"/>
  <c r="AT182" i="5"/>
  <c r="K182" i="5" s="1"/>
  <c r="AO182" i="5"/>
  <c r="R182" i="5" s="1"/>
  <c r="AT186" i="5"/>
  <c r="K186" i="5" s="1"/>
  <c r="AO186" i="5"/>
  <c r="R186" i="5" s="1"/>
  <c r="AO190" i="5"/>
  <c r="R190" i="5" s="1"/>
  <c r="AR194" i="5"/>
  <c r="L194" i="5" s="1"/>
  <c r="AO194" i="5"/>
  <c r="R194" i="5" s="1"/>
  <c r="AR198" i="5"/>
  <c r="AL198" i="5" s="1"/>
  <c r="AO198" i="5"/>
  <c r="R198" i="5" s="1"/>
  <c r="AR202" i="5"/>
  <c r="AO202" i="5"/>
  <c r="R202" i="5" s="1"/>
  <c r="AT206" i="5"/>
  <c r="K206" i="5" s="1"/>
  <c r="AO206" i="5"/>
  <c r="R206" i="5" s="1"/>
  <c r="AR210" i="5"/>
  <c r="L210" i="5" s="1"/>
  <c r="AO210" i="5"/>
  <c r="AR214" i="5"/>
  <c r="AL214" i="5" s="1"/>
  <c r="AO214" i="5"/>
  <c r="AR218" i="5"/>
  <c r="L218" i="5" s="1"/>
  <c r="AO218" i="5"/>
  <c r="R218" i="5" s="1"/>
  <c r="AR222" i="5"/>
  <c r="L222" i="5" s="1"/>
  <c r="AO222" i="5"/>
  <c r="R222" i="5" s="1"/>
  <c r="AR226" i="5"/>
  <c r="AO226" i="5"/>
  <c r="AR230" i="5"/>
  <c r="L230" i="5" s="1"/>
  <c r="AO230" i="5"/>
  <c r="R230" i="5" s="1"/>
  <c r="AR234" i="5"/>
  <c r="L234" i="5" s="1"/>
  <c r="AO234" i="5"/>
  <c r="R234" i="5" s="1"/>
  <c r="AO238" i="5"/>
  <c r="R238" i="5" s="1"/>
  <c r="AT242" i="5"/>
  <c r="K242" i="5" s="1"/>
  <c r="AO242" i="5"/>
  <c r="AO316" i="5"/>
  <c r="R316" i="5" s="1"/>
  <c r="AO320" i="5"/>
  <c r="R320" i="5" s="1"/>
  <c r="AT324" i="5"/>
  <c r="K324" i="5" s="1"/>
  <c r="AO324" i="5"/>
  <c r="AT328" i="5"/>
  <c r="K328" i="5" s="1"/>
  <c r="AO328" i="5"/>
  <c r="R328" i="5" s="1"/>
  <c r="AT332" i="5"/>
  <c r="K332" i="5" s="1"/>
  <c r="AO332" i="5"/>
  <c r="AT336" i="5"/>
  <c r="K336" i="5" s="1"/>
  <c r="AO336" i="5"/>
  <c r="R336" i="5" s="1"/>
  <c r="AT340" i="5"/>
  <c r="K340" i="5" s="1"/>
  <c r="AO340" i="5"/>
  <c r="AT350" i="5"/>
  <c r="K350" i="5" s="1"/>
  <c r="AO350" i="5"/>
  <c r="R350" i="5" s="1"/>
  <c r="AT354" i="5"/>
  <c r="K354" i="5" s="1"/>
  <c r="AO354" i="5"/>
  <c r="R354" i="5" s="1"/>
  <c r="AT358" i="5"/>
  <c r="K358" i="5" s="1"/>
  <c r="AO358" i="5"/>
  <c r="R358" i="5" s="1"/>
  <c r="AT362" i="5"/>
  <c r="K362" i="5" s="1"/>
  <c r="AO362" i="5"/>
  <c r="AO366" i="5"/>
  <c r="AO370" i="5"/>
  <c r="R370" i="5" s="1"/>
  <c r="AO374" i="5"/>
  <c r="R374" i="5" s="1"/>
  <c r="AO378" i="5"/>
  <c r="AO382" i="5"/>
  <c r="R382" i="5" s="1"/>
  <c r="AO386" i="5"/>
  <c r="R386" i="5" s="1"/>
  <c r="AO390" i="5"/>
  <c r="AO394" i="5"/>
  <c r="AO398" i="5"/>
  <c r="R398" i="5" s="1"/>
  <c r="AO402" i="5"/>
  <c r="R402" i="5" s="1"/>
  <c r="AO406" i="5"/>
  <c r="AO410" i="5"/>
  <c r="AO414" i="5"/>
  <c r="AR424" i="5"/>
  <c r="AM424" i="5" s="1"/>
  <c r="P424" i="5" s="1"/>
  <c r="AO424" i="5"/>
  <c r="AR428" i="5"/>
  <c r="AM428" i="5" s="1"/>
  <c r="P428" i="5" s="1"/>
  <c r="AO428" i="5"/>
  <c r="R428" i="5" s="1"/>
  <c r="AR432" i="5"/>
  <c r="AM432" i="5" s="1"/>
  <c r="P432" i="5" s="1"/>
  <c r="AO432" i="5"/>
  <c r="AT438" i="5"/>
  <c r="K438" i="5" s="1"/>
  <c r="AO438" i="5"/>
  <c r="R438" i="5" s="1"/>
  <c r="AT442" i="5"/>
  <c r="K442" i="5" s="1"/>
  <c r="AO442" i="5"/>
  <c r="R442" i="5" s="1"/>
  <c r="AR446" i="5"/>
  <c r="AM446" i="5" s="1"/>
  <c r="P446" i="5" s="1"/>
  <c r="AO446" i="5"/>
  <c r="R446" i="5" s="1"/>
  <c r="AR450" i="5"/>
  <c r="AM450" i="5" s="1"/>
  <c r="P450" i="5" s="1"/>
  <c r="AO450" i="5"/>
  <c r="R450" i="5" s="1"/>
  <c r="AR457" i="5"/>
  <c r="AM457" i="5" s="1"/>
  <c r="P457" i="5" s="1"/>
  <c r="AO457" i="5"/>
  <c r="R457" i="5" s="1"/>
  <c r="AR458" i="5"/>
  <c r="AO458" i="5"/>
  <c r="AR459" i="5"/>
  <c r="AM459" i="5" s="1"/>
  <c r="AO459" i="5"/>
  <c r="R459" i="5" s="1"/>
  <c r="AR460" i="5"/>
  <c r="AM460" i="5" s="1"/>
  <c r="P460" i="5" s="1"/>
  <c r="AO460" i="5"/>
  <c r="R460" i="5" s="1"/>
  <c r="AT464" i="5"/>
  <c r="K464" i="5" s="1"/>
  <c r="AO464" i="5"/>
  <c r="AR468" i="5"/>
  <c r="AL468" i="5" s="1"/>
  <c r="AO468" i="5"/>
  <c r="AR472" i="5"/>
  <c r="L472" i="5" s="1"/>
  <c r="AO472" i="5"/>
  <c r="R472" i="5" s="1"/>
  <c r="AR478" i="5"/>
  <c r="L478" i="5" s="1"/>
  <c r="AO478" i="5"/>
  <c r="R478" i="5" s="1"/>
  <c r="AT482" i="5"/>
  <c r="K482" i="5" s="1"/>
  <c r="AO482" i="5"/>
  <c r="AR486" i="5"/>
  <c r="AL486" i="5" s="1"/>
  <c r="AO486" i="5"/>
  <c r="AT490" i="5"/>
  <c r="K490" i="5" s="1"/>
  <c r="AO490" i="5"/>
  <c r="R490" i="5" s="1"/>
  <c r="AR491" i="5"/>
  <c r="AM491" i="5" s="1"/>
  <c r="P491" i="5" s="1"/>
  <c r="AO491" i="5"/>
  <c r="R491" i="5" s="1"/>
  <c r="AT492" i="5"/>
  <c r="K492" i="5" s="1"/>
  <c r="AO492" i="5"/>
  <c r="AR493" i="5"/>
  <c r="AM493" i="5" s="1"/>
  <c r="P493" i="5" s="1"/>
  <c r="AO493" i="5"/>
  <c r="L9" i="5"/>
  <c r="AM9" i="5"/>
  <c r="P9" i="5" s="1"/>
  <c r="AT21" i="5"/>
  <c r="K21" i="5" s="1"/>
  <c r="AO21" i="5"/>
  <c r="AO23" i="5"/>
  <c r="R23" i="5" s="1"/>
  <c r="AR25" i="5"/>
  <c r="AO25" i="5"/>
  <c r="R25" i="5" s="1"/>
  <c r="AT27" i="5"/>
  <c r="K27" i="5" s="1"/>
  <c r="AO27" i="5"/>
  <c r="R27" i="5" s="1"/>
  <c r="AN72" i="5"/>
  <c r="Q72" i="5" s="1"/>
  <c r="AO72" i="5"/>
  <c r="R72" i="5" s="1"/>
  <c r="AR77" i="5"/>
  <c r="AM77" i="5" s="1"/>
  <c r="P77" i="5" s="1"/>
  <c r="AO77" i="5"/>
  <c r="R77" i="5" s="1"/>
  <c r="AO86" i="5"/>
  <c r="R86" i="5" s="1"/>
  <c r="AR98" i="5"/>
  <c r="L98" i="5" s="1"/>
  <c r="AO98" i="5"/>
  <c r="AT110" i="5"/>
  <c r="K110" i="5" s="1"/>
  <c r="AO110" i="5"/>
  <c r="R110" i="5" s="1"/>
  <c r="AT111" i="5"/>
  <c r="K111" i="5" s="1"/>
  <c r="AO111" i="5"/>
  <c r="AR119" i="5"/>
  <c r="AO119" i="5"/>
  <c r="AO140" i="5"/>
  <c r="R140" i="5" s="1"/>
  <c r="AO160" i="5"/>
  <c r="AO172" i="5"/>
  <c r="R172" i="5" s="1"/>
  <c r="AT184" i="5"/>
  <c r="K184" i="5" s="1"/>
  <c r="AO184" i="5"/>
  <c r="R184" i="5" s="1"/>
  <c r="AR204" i="5"/>
  <c r="AO204" i="5"/>
  <c r="R204" i="5" s="1"/>
  <c r="AR232" i="5"/>
  <c r="AO232" i="5"/>
  <c r="R232" i="5" s="1"/>
  <c r="AT318" i="5"/>
  <c r="K318" i="5" s="1"/>
  <c r="AO318" i="5"/>
  <c r="R318" i="5" s="1"/>
  <c r="AT334" i="5"/>
  <c r="K334" i="5" s="1"/>
  <c r="AO334" i="5"/>
  <c r="R334" i="5" s="1"/>
  <c r="AO338" i="5"/>
  <c r="AT344" i="5"/>
  <c r="K344" i="5" s="1"/>
  <c r="AO344" i="5"/>
  <c r="AT356" i="5"/>
  <c r="K356" i="5" s="1"/>
  <c r="AO356" i="5"/>
  <c r="AR368" i="5"/>
  <c r="AL368" i="5" s="1"/>
  <c r="O368" i="5" s="1"/>
  <c r="AO368" i="5"/>
  <c r="AT380" i="5"/>
  <c r="K380" i="5" s="1"/>
  <c r="AO380" i="5"/>
  <c r="R380" i="5" s="1"/>
  <c r="AT392" i="5"/>
  <c r="K392" i="5" s="1"/>
  <c r="AO392" i="5"/>
  <c r="AL4" i="5"/>
  <c r="O4" i="5" s="1"/>
  <c r="AM4" i="5"/>
  <c r="P4" i="5" s="1"/>
  <c r="AM7" i="5"/>
  <c r="P7" i="5" s="1"/>
  <c r="AM11" i="5"/>
  <c r="P11" i="5" s="1"/>
  <c r="AL15" i="5"/>
  <c r="O15" i="5" s="1"/>
  <c r="AM15" i="5"/>
  <c r="AO17" i="5"/>
  <c r="R17" i="5" s="1"/>
  <c r="AO18" i="5"/>
  <c r="R18" i="5" s="1"/>
  <c r="AO19" i="5"/>
  <c r="R19" i="5" s="1"/>
  <c r="AR20" i="5"/>
  <c r="AM20" i="5" s="1"/>
  <c r="AO20" i="5"/>
  <c r="R20" i="5" s="1"/>
  <c r="AT22" i="5"/>
  <c r="K22" i="5" s="1"/>
  <c r="AO22" i="5"/>
  <c r="R22" i="5" s="1"/>
  <c r="AM8" i="5"/>
  <c r="P8" i="5" s="1"/>
  <c r="AM12" i="5"/>
  <c r="P12" i="5" s="1"/>
  <c r="AT16" i="5"/>
  <c r="K16" i="5" s="1"/>
  <c r="AO16" i="5"/>
  <c r="R16" i="5" s="1"/>
  <c r="AL64" i="5"/>
  <c r="AP64" i="5" s="1"/>
  <c r="AQ64" i="5" s="1"/>
  <c r="AM64" i="5"/>
  <c r="AO78" i="5"/>
  <c r="R78" i="5" s="1"/>
  <c r="AO82" i="5"/>
  <c r="R82" i="5" s="1"/>
  <c r="AT87" i="5"/>
  <c r="K87" i="5" s="1"/>
  <c r="AO87" i="5"/>
  <c r="R87" i="5" s="1"/>
  <c r="AT91" i="5"/>
  <c r="K91" i="5" s="1"/>
  <c r="AO91" i="5"/>
  <c r="R91" i="5" s="1"/>
  <c r="AT95" i="5"/>
  <c r="K95" i="5" s="1"/>
  <c r="AO95" i="5"/>
  <c r="R95" i="5" s="1"/>
  <c r="AO99" i="5"/>
  <c r="R99" i="5" s="1"/>
  <c r="AT103" i="5"/>
  <c r="AO103" i="5"/>
  <c r="AR107" i="5"/>
  <c r="AL107" i="5" s="1"/>
  <c r="AO107" i="5"/>
  <c r="R107" i="5" s="1"/>
  <c r="AT120" i="5"/>
  <c r="K120" i="5" s="1"/>
  <c r="AO120" i="5"/>
  <c r="AT122" i="5"/>
  <c r="K122" i="5" s="1"/>
  <c r="AO122" i="5"/>
  <c r="R122" i="5" s="1"/>
  <c r="AT125" i="5"/>
  <c r="K125" i="5" s="1"/>
  <c r="AO125" i="5"/>
  <c r="AT129" i="5"/>
  <c r="K129" i="5" s="1"/>
  <c r="AO129" i="5"/>
  <c r="R129" i="5" s="1"/>
  <c r="AT133" i="5"/>
  <c r="AO133" i="5"/>
  <c r="AT137" i="5"/>
  <c r="K137" i="5" s="1"/>
  <c r="AO137" i="5"/>
  <c r="R137" i="5" s="1"/>
  <c r="AT141" i="5"/>
  <c r="K141" i="5" s="1"/>
  <c r="AO141" i="5"/>
  <c r="AR145" i="5"/>
  <c r="AL145" i="5" s="1"/>
  <c r="AO145" i="5"/>
  <c r="AT149" i="5"/>
  <c r="K149" i="5" s="1"/>
  <c r="AO149" i="5"/>
  <c r="R149" i="5" s="1"/>
  <c r="AO153" i="5"/>
  <c r="R153" i="5" s="1"/>
  <c r="AT157" i="5"/>
  <c r="K157" i="5" s="1"/>
  <c r="AO157" i="5"/>
  <c r="R157" i="5" s="1"/>
  <c r="AO161" i="5"/>
  <c r="R161" i="5" s="1"/>
  <c r="AT165" i="5"/>
  <c r="K165" i="5" s="1"/>
  <c r="AO165" i="5"/>
  <c r="R165" i="5" s="1"/>
  <c r="AT169" i="5"/>
  <c r="K169" i="5" s="1"/>
  <c r="AO169" i="5"/>
  <c r="AO173" i="5"/>
  <c r="R173" i="5" s="1"/>
  <c r="AT177" i="5"/>
  <c r="K177" i="5" s="1"/>
  <c r="AO177" i="5"/>
  <c r="R177" i="5" s="1"/>
  <c r="AT181" i="5"/>
  <c r="K181" i="5" s="1"/>
  <c r="AO181" i="5"/>
  <c r="R181" i="5" s="1"/>
  <c r="AT185" i="5"/>
  <c r="K185" i="5" s="1"/>
  <c r="AO185" i="5"/>
  <c r="R185" i="5" s="1"/>
  <c r="AT189" i="5"/>
  <c r="K189" i="5" s="1"/>
  <c r="AO189" i="5"/>
  <c r="R189" i="5" s="1"/>
  <c r="AT193" i="5"/>
  <c r="K193" i="5" s="1"/>
  <c r="AO193" i="5"/>
  <c r="R193" i="5" s="1"/>
  <c r="AT197" i="5"/>
  <c r="K197" i="5" s="1"/>
  <c r="AO197" i="5"/>
  <c r="R197" i="5" s="1"/>
  <c r="AT201" i="5"/>
  <c r="K201" i="5" s="1"/>
  <c r="AO201" i="5"/>
  <c r="R201" i="5" s="1"/>
  <c r="AR205" i="5"/>
  <c r="AL205" i="5" s="1"/>
  <c r="O205" i="5" s="1"/>
  <c r="AO205" i="5"/>
  <c r="R205" i="5" s="1"/>
  <c r="AO209" i="5"/>
  <c r="AO213" i="5"/>
  <c r="R213" i="5" s="1"/>
  <c r="AO217" i="5"/>
  <c r="AR221" i="5"/>
  <c r="AO221" i="5"/>
  <c r="AT225" i="5"/>
  <c r="K225" i="5" s="1"/>
  <c r="AO225" i="5"/>
  <c r="R225" i="5" s="1"/>
  <c r="AO229" i="5"/>
  <c r="R229" i="5" s="1"/>
  <c r="AT233" i="5"/>
  <c r="K233" i="5" s="1"/>
  <c r="AO233" i="5"/>
  <c r="R233" i="5" s="1"/>
  <c r="AT237" i="5"/>
  <c r="K237" i="5" s="1"/>
  <c r="AO237" i="5"/>
  <c r="AO241" i="5"/>
  <c r="AT315" i="5"/>
  <c r="K315" i="5" s="1"/>
  <c r="AO315" i="5"/>
  <c r="AR319" i="5"/>
  <c r="L319" i="5" s="1"/>
  <c r="AO319" i="5"/>
  <c r="R319" i="5" s="1"/>
  <c r="AT323" i="5"/>
  <c r="K323" i="5" s="1"/>
  <c r="AO323" i="5"/>
  <c r="AR327" i="5"/>
  <c r="AL327" i="5" s="1"/>
  <c r="AO327" i="5"/>
  <c r="R327" i="5" s="1"/>
  <c r="AT331" i="5"/>
  <c r="K331" i="5" s="1"/>
  <c r="AO331" i="5"/>
  <c r="AO335" i="5"/>
  <c r="R335" i="5" s="1"/>
  <c r="AT339" i="5"/>
  <c r="K339" i="5" s="1"/>
  <c r="AO339" i="5"/>
  <c r="R339" i="5" s="1"/>
  <c r="AT346" i="5"/>
  <c r="K346" i="5" s="1"/>
  <c r="AO346" i="5"/>
  <c r="R346" i="5" s="1"/>
  <c r="AO347" i="5"/>
  <c r="R347" i="5" s="1"/>
  <c r="AO348" i="5"/>
  <c r="R348" i="5" s="1"/>
  <c r="AO349" i="5"/>
  <c r="AR353" i="5"/>
  <c r="AO353" i="5"/>
  <c r="AR357" i="5"/>
  <c r="L357" i="5" s="1"/>
  <c r="AO357" i="5"/>
  <c r="AR361" i="5"/>
  <c r="AL361" i="5" s="1"/>
  <c r="AP361" i="5" s="1"/>
  <c r="AQ361" i="5" s="1"/>
  <c r="AO361" i="5"/>
  <c r="R361" i="5" s="1"/>
  <c r="AO365" i="5"/>
  <c r="R365" i="5" s="1"/>
  <c r="AR369" i="5"/>
  <c r="AM369" i="5" s="1"/>
  <c r="P369" i="5" s="1"/>
  <c r="AO369" i="5"/>
  <c r="R369" i="5" s="1"/>
  <c r="AR373" i="5"/>
  <c r="AM373" i="5" s="1"/>
  <c r="P373" i="5" s="1"/>
  <c r="AO373" i="5"/>
  <c r="R373" i="5" s="1"/>
  <c r="AR377" i="5"/>
  <c r="AM377" i="5" s="1"/>
  <c r="P377" i="5" s="1"/>
  <c r="AO377" i="5"/>
  <c r="AR381" i="5"/>
  <c r="AO381" i="5"/>
  <c r="R381" i="5" s="1"/>
  <c r="AR385" i="5"/>
  <c r="AM385" i="5" s="1"/>
  <c r="AO385" i="5"/>
  <c r="R385" i="5" s="1"/>
  <c r="AR389" i="5"/>
  <c r="AM389" i="5"/>
  <c r="P389" i="5" s="1"/>
  <c r="AO389" i="5"/>
  <c r="AR393" i="5"/>
  <c r="AL393" i="5" s="1"/>
  <c r="AO393" i="5"/>
  <c r="AR397" i="5"/>
  <c r="AM397" i="5" s="1"/>
  <c r="P397" i="5" s="1"/>
  <c r="AO397" i="5"/>
  <c r="R397" i="5" s="1"/>
  <c r="AR401" i="5"/>
  <c r="AM401" i="5" s="1"/>
  <c r="P401" i="5" s="1"/>
  <c r="AO401" i="5"/>
  <c r="AR405" i="5"/>
  <c r="L405" i="5" s="1"/>
  <c r="AO405" i="5"/>
  <c r="R405" i="5" s="1"/>
  <c r="AT409" i="5"/>
  <c r="K409" i="5" s="1"/>
  <c r="AO409" i="5"/>
  <c r="AT413" i="5"/>
  <c r="K413" i="5" s="1"/>
  <c r="AO413" i="5"/>
  <c r="AT420" i="5"/>
  <c r="K420" i="5" s="1"/>
  <c r="AO420" i="5"/>
  <c r="R420" i="5" s="1"/>
  <c r="AT421" i="5"/>
  <c r="K421" i="5" s="1"/>
  <c r="AO421" i="5"/>
  <c r="AT422" i="5"/>
  <c r="K422" i="5" s="1"/>
  <c r="AO422" i="5"/>
  <c r="AT423" i="5"/>
  <c r="K423" i="5" s="1"/>
  <c r="AO423" i="5"/>
  <c r="AT427" i="5"/>
  <c r="K427" i="5" s="1"/>
  <c r="AO427" i="5"/>
  <c r="R427" i="5" s="1"/>
  <c r="AT431" i="5"/>
  <c r="K431" i="5" s="1"/>
  <c r="AO431" i="5"/>
  <c r="AT437" i="5"/>
  <c r="K437" i="5" s="1"/>
  <c r="AO437" i="5"/>
  <c r="R437" i="5" s="1"/>
  <c r="AT441" i="5"/>
  <c r="K441" i="5" s="1"/>
  <c r="AO441" i="5"/>
  <c r="AT445" i="5"/>
  <c r="K445" i="5" s="1"/>
  <c r="AO445" i="5"/>
  <c r="AT449" i="5"/>
  <c r="K449" i="5" s="1"/>
  <c r="AO449" i="5"/>
  <c r="R449" i="5" s="1"/>
  <c r="AT453" i="5"/>
  <c r="K453" i="5" s="1"/>
  <c r="AO453" i="5"/>
  <c r="AT454" i="5"/>
  <c r="K454" i="5" s="1"/>
  <c r="AO454" i="5"/>
  <c r="R454" i="5" s="1"/>
  <c r="AT455" i="5"/>
  <c r="K455" i="5" s="1"/>
  <c r="AO455" i="5"/>
  <c r="AR456" i="5"/>
  <c r="AM456" i="5" s="1"/>
  <c r="P456" i="5" s="1"/>
  <c r="AO456" i="5"/>
  <c r="R456" i="5" s="1"/>
  <c r="AT463" i="5"/>
  <c r="K463" i="5" s="1"/>
  <c r="AO463" i="5"/>
  <c r="AT467" i="5"/>
  <c r="K467" i="5" s="1"/>
  <c r="AO467" i="5"/>
  <c r="R467" i="5" s="1"/>
  <c r="AT471" i="5"/>
  <c r="K471" i="5" s="1"/>
  <c r="AO471" i="5"/>
  <c r="AT477" i="5"/>
  <c r="K477" i="5" s="1"/>
  <c r="AO477" i="5"/>
  <c r="R477" i="5" s="1"/>
  <c r="AT481" i="5"/>
  <c r="K481" i="5" s="1"/>
  <c r="AO481" i="5"/>
  <c r="AT485" i="5"/>
  <c r="K485" i="5" s="1"/>
  <c r="AO485" i="5"/>
  <c r="R485" i="5" s="1"/>
  <c r="AT489" i="5"/>
  <c r="K489" i="5" s="1"/>
  <c r="AO489" i="5"/>
  <c r="BI53" i="5"/>
  <c r="AO69" i="5"/>
  <c r="R69" i="5" s="1"/>
  <c r="AO74" i="5"/>
  <c r="R74" i="5" s="1"/>
  <c r="AR85" i="5"/>
  <c r="AM85" i="5" s="1"/>
  <c r="P85" i="5" s="1"/>
  <c r="AO85" i="5"/>
  <c r="R85" i="5" s="1"/>
  <c r="AO94" i="5"/>
  <c r="R94" i="5" s="1"/>
  <c r="AO106" i="5"/>
  <c r="R106" i="5" s="1"/>
  <c r="AT113" i="5"/>
  <c r="K113" i="5" s="1"/>
  <c r="AO113" i="5"/>
  <c r="R113" i="5" s="1"/>
  <c r="AO115" i="5"/>
  <c r="AT117" i="5"/>
  <c r="K117" i="5" s="1"/>
  <c r="AO117" i="5"/>
  <c r="AO136" i="5"/>
  <c r="R136" i="5" s="1"/>
  <c r="AT148" i="5"/>
  <c r="AO148" i="5"/>
  <c r="R148" i="5" s="1"/>
  <c r="AT152" i="5"/>
  <c r="K152" i="5" s="1"/>
  <c r="AO152" i="5"/>
  <c r="R152" i="5" s="1"/>
  <c r="AO164" i="5"/>
  <c r="R164" i="5" s="1"/>
  <c r="AT176" i="5"/>
  <c r="K176" i="5" s="1"/>
  <c r="AO176" i="5"/>
  <c r="R176" i="5" s="1"/>
  <c r="AT188" i="5"/>
  <c r="K188" i="5" s="1"/>
  <c r="AO188" i="5"/>
  <c r="R188" i="5" s="1"/>
  <c r="AO200" i="5"/>
  <c r="R200" i="5" s="1"/>
  <c r="AR212" i="5"/>
  <c r="AO212" i="5"/>
  <c r="R212" i="5" s="1"/>
  <c r="AR216" i="5"/>
  <c r="L216" i="5" s="1"/>
  <c r="AO216" i="5"/>
  <c r="R216" i="5" s="1"/>
  <c r="AO236" i="5"/>
  <c r="R236" i="5" s="1"/>
  <c r="AO314" i="5"/>
  <c r="R314" i="5" s="1"/>
  <c r="AT326" i="5"/>
  <c r="K326" i="5" s="1"/>
  <c r="AO326" i="5"/>
  <c r="R326" i="5" s="1"/>
  <c r="AT352" i="5"/>
  <c r="K352" i="5" s="1"/>
  <c r="AO352" i="5"/>
  <c r="R352" i="5" s="1"/>
  <c r="AT364" i="5"/>
  <c r="K364" i="5" s="1"/>
  <c r="AO364" i="5"/>
  <c r="R364" i="5" s="1"/>
  <c r="AR376" i="5"/>
  <c r="AM376" i="5" s="1"/>
  <c r="AO376" i="5"/>
  <c r="R376" i="5" s="1"/>
  <c r="AT388" i="5"/>
  <c r="K388" i="5" s="1"/>
  <c r="AO388" i="5"/>
  <c r="R388" i="5" s="1"/>
  <c r="AT400" i="5"/>
  <c r="K400" i="5" s="1"/>
  <c r="AO400" i="5"/>
  <c r="R400" i="5" s="1"/>
  <c r="AT412" i="5"/>
  <c r="K412" i="5" s="1"/>
  <c r="AO412" i="5"/>
  <c r="R412" i="5" s="1"/>
  <c r="AR430" i="5"/>
  <c r="AM430" i="5"/>
  <c r="P430" i="5" s="1"/>
  <c r="AO430" i="5"/>
  <c r="AR440" i="5"/>
  <c r="AM440" i="5" s="1"/>
  <c r="P440" i="5" s="1"/>
  <c r="AO440" i="5"/>
  <c r="AR444" i="5"/>
  <c r="AM444" i="5" s="1"/>
  <c r="P444" i="5" s="1"/>
  <c r="AO444" i="5"/>
  <c r="AR462" i="5"/>
  <c r="L462" i="5" s="1"/>
  <c r="AO462" i="5"/>
  <c r="R462" i="5" s="1"/>
  <c r="AT470" i="5"/>
  <c r="K470" i="5" s="1"/>
  <c r="AO470" i="5"/>
  <c r="R470" i="5" s="1"/>
  <c r="AT484" i="5"/>
  <c r="K484" i="5" s="1"/>
  <c r="AO484" i="5"/>
  <c r="AR488" i="5"/>
  <c r="AL488" i="5" s="1"/>
  <c r="AO488" i="5"/>
  <c r="AT498" i="5"/>
  <c r="K498" i="5" s="1"/>
  <c r="AO498" i="5"/>
  <c r="R498" i="5" s="1"/>
  <c r="AM13" i="5"/>
  <c r="P13" i="5" s="1"/>
  <c r="AR81" i="5"/>
  <c r="AM81" i="5" s="1"/>
  <c r="P81" i="5" s="1"/>
  <c r="AO81" i="5"/>
  <c r="R81" i="5" s="1"/>
  <c r="AR90" i="5"/>
  <c r="AO90" i="5"/>
  <c r="R90" i="5" s="1"/>
  <c r="AO102" i="5"/>
  <c r="R102" i="5" s="1"/>
  <c r="AR128" i="5"/>
  <c r="AO128" i="5"/>
  <c r="AR132" i="5"/>
  <c r="L132" i="5" s="1"/>
  <c r="AO132" i="5"/>
  <c r="AO144" i="5"/>
  <c r="R144" i="5" s="1"/>
  <c r="AO156" i="5"/>
  <c r="R156" i="5" s="1"/>
  <c r="AT168" i="5"/>
  <c r="K168" i="5" s="1"/>
  <c r="AO168" i="5"/>
  <c r="AO180" i="5"/>
  <c r="R180" i="5" s="1"/>
  <c r="AO192" i="5"/>
  <c r="R192" i="5" s="1"/>
  <c r="AT196" i="5"/>
  <c r="K196" i="5" s="1"/>
  <c r="AO196" i="5"/>
  <c r="AR208" i="5"/>
  <c r="L208" i="5" s="1"/>
  <c r="AO208" i="5"/>
  <c r="R208" i="5" s="1"/>
  <c r="AO220" i="5"/>
  <c r="R220" i="5" s="1"/>
  <c r="AR224" i="5"/>
  <c r="AO224" i="5"/>
  <c r="AR228" i="5"/>
  <c r="AM228" i="5" s="1"/>
  <c r="P228" i="5" s="1"/>
  <c r="AO228" i="5"/>
  <c r="R228" i="5" s="1"/>
  <c r="AR240" i="5"/>
  <c r="AM240" i="5" s="1"/>
  <c r="P240" i="5" s="1"/>
  <c r="AO240" i="5"/>
  <c r="R240" i="5" s="1"/>
  <c r="AT322" i="5"/>
  <c r="K322" i="5" s="1"/>
  <c r="AO322" i="5"/>
  <c r="R322" i="5" s="1"/>
  <c r="AR330" i="5"/>
  <c r="AO330" i="5"/>
  <c r="R330" i="5" s="1"/>
  <c r="AR342" i="5"/>
  <c r="AM342" i="5" s="1"/>
  <c r="AO342" i="5"/>
  <c r="R342" i="5" s="1"/>
  <c r="AT343" i="5"/>
  <c r="K343" i="5" s="1"/>
  <c r="AO343" i="5"/>
  <c r="R343" i="5" s="1"/>
  <c r="AO345" i="5"/>
  <c r="R345" i="5" s="1"/>
  <c r="AT360" i="5"/>
  <c r="K360" i="5" s="1"/>
  <c r="AO360" i="5"/>
  <c r="AT372" i="5"/>
  <c r="K372" i="5" s="1"/>
  <c r="AO372" i="5"/>
  <c r="R372" i="5" s="1"/>
  <c r="AR384" i="5"/>
  <c r="AL384" i="5" s="1"/>
  <c r="AP384" i="5" s="1"/>
  <c r="AQ384" i="5" s="1"/>
  <c r="AO384" i="5"/>
  <c r="R384" i="5" s="1"/>
  <c r="AT396" i="5"/>
  <c r="K396" i="5" s="1"/>
  <c r="AO396" i="5"/>
  <c r="AT404" i="5"/>
  <c r="K404" i="5" s="1"/>
  <c r="AO404" i="5"/>
  <c r="R404" i="5" s="1"/>
  <c r="AT408" i="5"/>
  <c r="K408" i="5" s="1"/>
  <c r="AO408" i="5"/>
  <c r="R408" i="5" s="1"/>
  <c r="AT416" i="5"/>
  <c r="K416" i="5" s="1"/>
  <c r="AO416" i="5"/>
  <c r="R416" i="5" s="1"/>
  <c r="AT417" i="5"/>
  <c r="K417" i="5" s="1"/>
  <c r="AO417" i="5"/>
  <c r="AR418" i="5"/>
  <c r="AM418" i="5" s="1"/>
  <c r="P418" i="5" s="1"/>
  <c r="AO418" i="5"/>
  <c r="R418" i="5" s="1"/>
  <c r="AT419" i="5"/>
  <c r="K419" i="5" s="1"/>
  <c r="AO419" i="5"/>
  <c r="R419" i="5" s="1"/>
  <c r="AT426" i="5"/>
  <c r="K426" i="5" s="1"/>
  <c r="AO426" i="5"/>
  <c r="R426" i="5" s="1"/>
  <c r="AR436" i="5"/>
  <c r="AO436" i="5"/>
  <c r="R436" i="5" s="1"/>
  <c r="AR448" i="5"/>
  <c r="AM448" i="5" s="1"/>
  <c r="P448" i="5" s="1"/>
  <c r="AO448" i="5"/>
  <c r="AR452" i="5"/>
  <c r="AM452" i="5" s="1"/>
  <c r="AO452" i="5"/>
  <c r="AT466" i="5"/>
  <c r="K466" i="5" s="1"/>
  <c r="AO466" i="5"/>
  <c r="AT476" i="5"/>
  <c r="K476" i="5" s="1"/>
  <c r="AO476" i="5"/>
  <c r="R476" i="5" s="1"/>
  <c r="AT480" i="5"/>
  <c r="K480" i="5" s="1"/>
  <c r="AO480" i="5"/>
  <c r="L5" i="5"/>
  <c r="AM5" i="5"/>
  <c r="P5" i="5" s="1"/>
  <c r="AM6" i="5"/>
  <c r="P6" i="5" s="1"/>
  <c r="AM10" i="5"/>
  <c r="P10" i="5" s="1"/>
  <c r="AL66" i="5"/>
  <c r="AP66" i="5" s="1"/>
  <c r="AQ66" i="5" s="1"/>
  <c r="AM66" i="5"/>
  <c r="P66" i="5" s="1"/>
  <c r="L67" i="5"/>
  <c r="AM67" i="5"/>
  <c r="P67" i="5" s="1"/>
  <c r="L68" i="5"/>
  <c r="AM68" i="5"/>
  <c r="P68" i="5" s="1"/>
  <c r="AM69" i="5"/>
  <c r="P69" i="5" s="1"/>
  <c r="AL70" i="5"/>
  <c r="AM70" i="5"/>
  <c r="P70" i="5" s="1"/>
  <c r="L71" i="5"/>
  <c r="AM71" i="5"/>
  <c r="P71" i="5" s="1"/>
  <c r="L72" i="5"/>
  <c r="AM72" i="5"/>
  <c r="L73" i="5"/>
  <c r="AM73" i="5"/>
  <c r="P73" i="5" s="1"/>
  <c r="AL74" i="5"/>
  <c r="AM74" i="5"/>
  <c r="P74" i="5" s="1"/>
  <c r="L75" i="5"/>
  <c r="AM75" i="5"/>
  <c r="P75" i="5" s="1"/>
  <c r="AR76" i="5"/>
  <c r="L76" i="5" s="1"/>
  <c r="AO76" i="5"/>
  <c r="AR80" i="5"/>
  <c r="AL80" i="5" s="1"/>
  <c r="AO80" i="5"/>
  <c r="R80" i="5" s="1"/>
  <c r="AR84" i="5"/>
  <c r="AM84" i="5" s="1"/>
  <c r="P84" i="5" s="1"/>
  <c r="AO84" i="5"/>
  <c r="R84" i="5" s="1"/>
  <c r="AT89" i="5"/>
  <c r="K89" i="5" s="1"/>
  <c r="AO89" i="5"/>
  <c r="R89" i="5" s="1"/>
  <c r="AT93" i="5"/>
  <c r="K93" i="5" s="1"/>
  <c r="AO93" i="5"/>
  <c r="AT97" i="5"/>
  <c r="K97" i="5" s="1"/>
  <c r="AO97" i="5"/>
  <c r="R97" i="5" s="1"/>
  <c r="AR101" i="5"/>
  <c r="AM101" i="5" s="1"/>
  <c r="AO101" i="5"/>
  <c r="R101" i="5" s="1"/>
  <c r="AT105" i="5"/>
  <c r="K105" i="5" s="1"/>
  <c r="AO105" i="5"/>
  <c r="R105" i="5" s="1"/>
  <c r="AO109" i="5"/>
  <c r="R109" i="5" s="1"/>
  <c r="AT121" i="5"/>
  <c r="K121" i="5" s="1"/>
  <c r="AO121" i="5"/>
  <c r="R121" i="5" s="1"/>
  <c r="AT124" i="5"/>
  <c r="K124" i="5" s="1"/>
  <c r="AO124" i="5"/>
  <c r="R124" i="5" s="1"/>
  <c r="AT127" i="5"/>
  <c r="K127" i="5" s="1"/>
  <c r="AO127" i="5"/>
  <c r="AT131" i="5"/>
  <c r="K131" i="5" s="1"/>
  <c r="AO131" i="5"/>
  <c r="R131" i="5" s="1"/>
  <c r="AT135" i="5"/>
  <c r="K135" i="5" s="1"/>
  <c r="AO135" i="5"/>
  <c r="AT139" i="5"/>
  <c r="K139" i="5" s="1"/>
  <c r="AO139" i="5"/>
  <c r="R139" i="5" s="1"/>
  <c r="AO143" i="5"/>
  <c r="R143" i="5" s="1"/>
  <c r="AT147" i="5"/>
  <c r="K147" i="5" s="1"/>
  <c r="AO147" i="5"/>
  <c r="R147" i="5" s="1"/>
  <c r="AO151" i="5"/>
  <c r="R151" i="5" s="1"/>
  <c r="AO155" i="5"/>
  <c r="R155" i="5" s="1"/>
  <c r="AT159" i="5"/>
  <c r="K159" i="5" s="1"/>
  <c r="AO159" i="5"/>
  <c r="R159" i="5" s="1"/>
  <c r="AT163" i="5"/>
  <c r="AO163" i="5"/>
  <c r="R163" i="5" s="1"/>
  <c r="AR167" i="5"/>
  <c r="L167" i="5" s="1"/>
  <c r="AO167" i="5"/>
  <c r="R167" i="5" s="1"/>
  <c r="AR171" i="5"/>
  <c r="L171" i="5" s="1"/>
  <c r="AO171" i="5"/>
  <c r="R171" i="5" s="1"/>
  <c r="AR175" i="5"/>
  <c r="L175" i="5" s="1"/>
  <c r="AO175" i="5"/>
  <c r="R175" i="5" s="1"/>
  <c r="AO179" i="5"/>
  <c r="R179" i="5" s="1"/>
  <c r="AO183" i="5"/>
  <c r="AO187" i="5"/>
  <c r="R187" i="5" s="1"/>
  <c r="AO191" i="5"/>
  <c r="R191" i="5" s="1"/>
  <c r="AO195" i="5"/>
  <c r="R195" i="5" s="1"/>
  <c r="AO199" i="5"/>
  <c r="AT203" i="5"/>
  <c r="K203" i="5" s="1"/>
  <c r="AO203" i="5"/>
  <c r="R203" i="5" s="1"/>
  <c r="AT207" i="5"/>
  <c r="K207" i="5" s="1"/>
  <c r="AO207" i="5"/>
  <c r="AR211" i="5"/>
  <c r="L211" i="5" s="1"/>
  <c r="AO211" i="5"/>
  <c r="R211" i="5" s="1"/>
  <c r="AR215" i="5"/>
  <c r="L215" i="5" s="1"/>
  <c r="AO215" i="5"/>
  <c r="AO219" i="5"/>
  <c r="AT223" i="5"/>
  <c r="K223" i="5" s="1"/>
  <c r="AO223" i="5"/>
  <c r="R223" i="5" s="1"/>
  <c r="AO227" i="5"/>
  <c r="AT231" i="5"/>
  <c r="K231" i="5" s="1"/>
  <c r="AO231" i="5"/>
  <c r="R231" i="5" s="1"/>
  <c r="AT235" i="5"/>
  <c r="K235" i="5" s="1"/>
  <c r="AO235" i="5"/>
  <c r="R235" i="5" s="1"/>
  <c r="AR239" i="5"/>
  <c r="AM239" i="5" s="1"/>
  <c r="P239" i="5" s="1"/>
  <c r="AO239" i="5"/>
  <c r="R239" i="5" s="1"/>
  <c r="AR243" i="5"/>
  <c r="AO243" i="5"/>
  <c r="AO244" i="5"/>
  <c r="R244" i="5" s="1"/>
  <c r="AO245" i="5"/>
  <c r="R245" i="5" s="1"/>
  <c r="AT246" i="5"/>
  <c r="K246" i="5" s="1"/>
  <c r="AO246" i="5"/>
  <c r="AO247" i="5"/>
  <c r="R247" i="5" s="1"/>
  <c r="AR248" i="5"/>
  <c r="AO248" i="5"/>
  <c r="R248" i="5" s="1"/>
  <c r="AT249" i="5"/>
  <c r="K249" i="5" s="1"/>
  <c r="AO249" i="5"/>
  <c r="R249" i="5" s="1"/>
  <c r="AO250" i="5"/>
  <c r="R250" i="5" s="1"/>
  <c r="AT251" i="5"/>
  <c r="K251" i="5" s="1"/>
  <c r="AO251" i="5"/>
  <c r="AO252" i="5"/>
  <c r="R252" i="5" s="1"/>
  <c r="AR253" i="5"/>
  <c r="AM253" i="5" s="1"/>
  <c r="P253" i="5" s="1"/>
  <c r="AO253" i="5"/>
  <c r="R253" i="5" s="1"/>
  <c r="AO254" i="5"/>
  <c r="AO255" i="5"/>
  <c r="AR256" i="5"/>
  <c r="AL256" i="5" s="1"/>
  <c r="AO256" i="5"/>
  <c r="R256" i="5" s="1"/>
  <c r="AO257" i="5"/>
  <c r="R257" i="5" s="1"/>
  <c r="AR258" i="5"/>
  <c r="AM258" i="5" s="1"/>
  <c r="P258" i="5" s="1"/>
  <c r="AO258" i="5"/>
  <c r="R258" i="5" s="1"/>
  <c r="AT259" i="5"/>
  <c r="K259" i="5" s="1"/>
  <c r="AO259" i="5"/>
  <c r="R259" i="5" s="1"/>
  <c r="AO260" i="5"/>
  <c r="R260" i="5" s="1"/>
  <c r="AR261" i="5"/>
  <c r="AM261" i="5" s="1"/>
  <c r="P261" i="5" s="1"/>
  <c r="AO261" i="5"/>
  <c r="R261" i="5" s="1"/>
  <c r="AO262" i="5"/>
  <c r="AT263" i="5"/>
  <c r="K263" i="5" s="1"/>
  <c r="AO263" i="5"/>
  <c r="R263" i="5" s="1"/>
  <c r="AO264" i="5"/>
  <c r="R264" i="5" s="1"/>
  <c r="AT265" i="5"/>
  <c r="K265" i="5" s="1"/>
  <c r="AO265" i="5"/>
  <c r="R265" i="5" s="1"/>
  <c r="AR266" i="5"/>
  <c r="AM266" i="5" s="1"/>
  <c r="P266" i="5" s="1"/>
  <c r="AO266" i="5"/>
  <c r="AT267" i="5"/>
  <c r="K267" i="5" s="1"/>
  <c r="AO267" i="5"/>
  <c r="R267" i="5" s="1"/>
  <c r="AT268" i="5"/>
  <c r="K268" i="5" s="1"/>
  <c r="AO268" i="5"/>
  <c r="AO269" i="5"/>
  <c r="R269" i="5" s="1"/>
  <c r="AR270" i="5"/>
  <c r="AM270" i="5" s="1"/>
  <c r="P270" i="5" s="1"/>
  <c r="AO270" i="5"/>
  <c r="R270" i="5" s="1"/>
  <c r="AT271" i="5"/>
  <c r="K271" i="5" s="1"/>
  <c r="AO271" i="5"/>
  <c r="AO272" i="5"/>
  <c r="R272" i="5" s="1"/>
  <c r="AR273" i="5"/>
  <c r="AL273" i="5" s="1"/>
  <c r="AO273" i="5"/>
  <c r="R273" i="5" s="1"/>
  <c r="AO274" i="5"/>
  <c r="R274" i="5" s="1"/>
  <c r="AO275" i="5"/>
  <c r="R275" i="5" s="1"/>
  <c r="AO276" i="5"/>
  <c r="R276" i="5" s="1"/>
  <c r="AR277" i="5"/>
  <c r="AM277" i="5" s="1"/>
  <c r="P277" i="5" s="1"/>
  <c r="AO277" i="5"/>
  <c r="R277" i="5" s="1"/>
  <c r="AT278" i="5"/>
  <c r="K278" i="5" s="1"/>
  <c r="AO278" i="5"/>
  <c r="R278" i="5" s="1"/>
  <c r="AT279" i="5"/>
  <c r="K279" i="5" s="1"/>
  <c r="AO279" i="5"/>
  <c r="R279" i="5" s="1"/>
  <c r="AT280" i="5"/>
  <c r="K280" i="5" s="1"/>
  <c r="AO280" i="5"/>
  <c r="R280" i="5" s="1"/>
  <c r="AR281" i="5"/>
  <c r="AM281" i="5" s="1"/>
  <c r="P281" i="5" s="1"/>
  <c r="AO281" i="5"/>
  <c r="AO282" i="5"/>
  <c r="R282" i="5" s="1"/>
  <c r="AT283" i="5"/>
  <c r="K283" i="5" s="1"/>
  <c r="AO283" i="5"/>
  <c r="AO284" i="5"/>
  <c r="R284" i="5" s="1"/>
  <c r="AR285" i="5"/>
  <c r="AL285" i="5" s="1"/>
  <c r="AO285" i="5"/>
  <c r="R285" i="5" s="1"/>
  <c r="AT286" i="5"/>
  <c r="K286" i="5" s="1"/>
  <c r="AO286" i="5"/>
  <c r="R286" i="5" s="1"/>
  <c r="AT287" i="5"/>
  <c r="K287" i="5" s="1"/>
  <c r="AO287" i="5"/>
  <c r="R287" i="5" s="1"/>
  <c r="AO288" i="5"/>
  <c r="AR289" i="5"/>
  <c r="AM289" i="5" s="1"/>
  <c r="P289" i="5" s="1"/>
  <c r="AO289" i="5"/>
  <c r="AO290" i="5"/>
  <c r="R290" i="5" s="1"/>
  <c r="AT291" i="5"/>
  <c r="K291" i="5" s="1"/>
  <c r="AO291" i="5"/>
  <c r="R291" i="5" s="1"/>
  <c r="AT292" i="5"/>
  <c r="K292" i="5" s="1"/>
  <c r="AO292" i="5"/>
  <c r="R292" i="5" s="1"/>
  <c r="AR293" i="5"/>
  <c r="AO293" i="5"/>
  <c r="R293" i="5" s="1"/>
  <c r="AO294" i="5"/>
  <c r="AT295" i="5"/>
  <c r="K295" i="5" s="1"/>
  <c r="AO295" i="5"/>
  <c r="R295" i="5" s="1"/>
  <c r="AT296" i="5"/>
  <c r="K296" i="5" s="1"/>
  <c r="AO296" i="5"/>
  <c r="R296" i="5" s="1"/>
  <c r="AR297" i="5"/>
  <c r="AM297" i="5" s="1"/>
  <c r="P297" i="5" s="1"/>
  <c r="AO297" i="5"/>
  <c r="R297" i="5" s="1"/>
  <c r="AO298" i="5"/>
  <c r="R298" i="5" s="1"/>
  <c r="AT299" i="5"/>
  <c r="K299" i="5" s="1"/>
  <c r="AO299" i="5"/>
  <c r="R299" i="5" s="1"/>
  <c r="AT300" i="5"/>
  <c r="K300" i="5" s="1"/>
  <c r="AO300" i="5"/>
  <c r="R300" i="5" s="1"/>
  <c r="AR301" i="5"/>
  <c r="AO301" i="5"/>
  <c r="R301" i="5" s="1"/>
  <c r="AO302" i="5"/>
  <c r="R302" i="5" s="1"/>
  <c r="AT303" i="5"/>
  <c r="K303" i="5" s="1"/>
  <c r="AO303" i="5"/>
  <c r="AT304" i="5"/>
  <c r="K304" i="5" s="1"/>
  <c r="AO304" i="5"/>
  <c r="AT305" i="5"/>
  <c r="K305" i="5" s="1"/>
  <c r="AO305" i="5"/>
  <c r="AR306" i="5"/>
  <c r="AL306" i="5" s="1"/>
  <c r="AO306" i="5"/>
  <c r="R306" i="5" s="1"/>
  <c r="AR307" i="5"/>
  <c r="AM307" i="5" s="1"/>
  <c r="P307" i="5" s="1"/>
  <c r="AO307" i="5"/>
  <c r="R307" i="5" s="1"/>
  <c r="AO308" i="5"/>
  <c r="R308" i="5" s="1"/>
  <c r="AT309" i="5"/>
  <c r="K309" i="5" s="1"/>
  <c r="AO309" i="5"/>
  <c r="R309" i="5" s="1"/>
  <c r="AR310" i="5"/>
  <c r="L310" i="5" s="1"/>
  <c r="AO310" i="5"/>
  <c r="R310" i="5" s="1"/>
  <c r="AT311" i="5"/>
  <c r="K311" i="5" s="1"/>
  <c r="AO311" i="5"/>
  <c r="R311" i="5" s="1"/>
  <c r="AT312" i="5"/>
  <c r="K312" i="5" s="1"/>
  <c r="AO312" i="5"/>
  <c r="R312" i="5" s="1"/>
  <c r="AO313" i="5"/>
  <c r="R313" i="5" s="1"/>
  <c r="AT317" i="5"/>
  <c r="K317" i="5" s="1"/>
  <c r="AO317" i="5"/>
  <c r="AO321" i="5"/>
  <c r="R321" i="5" s="1"/>
  <c r="AT325" i="5"/>
  <c r="K325" i="5" s="1"/>
  <c r="AO325" i="5"/>
  <c r="R325" i="5" s="1"/>
  <c r="AT329" i="5"/>
  <c r="K329" i="5" s="1"/>
  <c r="AO329" i="5"/>
  <c r="R329" i="5" s="1"/>
  <c r="AT333" i="5"/>
  <c r="K333" i="5" s="1"/>
  <c r="AO333" i="5"/>
  <c r="R333" i="5" s="1"/>
  <c r="AT337" i="5"/>
  <c r="K337" i="5" s="1"/>
  <c r="AO337" i="5"/>
  <c r="R337" i="5" s="1"/>
  <c r="AT341" i="5"/>
  <c r="K341" i="5" s="1"/>
  <c r="AO341" i="5"/>
  <c r="R341" i="5" s="1"/>
  <c r="AR351" i="5"/>
  <c r="AM351" i="5" s="1"/>
  <c r="AO351" i="5"/>
  <c r="R351" i="5" s="1"/>
  <c r="AR355" i="5"/>
  <c r="AM355" i="5" s="1"/>
  <c r="P355" i="5" s="1"/>
  <c r="AO355" i="5"/>
  <c r="AR359" i="5"/>
  <c r="AO359" i="5"/>
  <c r="R359" i="5" s="1"/>
  <c r="AO363" i="5"/>
  <c r="R363" i="5" s="1"/>
  <c r="AR367" i="5"/>
  <c r="AL367" i="5" s="1"/>
  <c r="AO367" i="5"/>
  <c r="AR371" i="5"/>
  <c r="AM371" i="5" s="1"/>
  <c r="P371" i="5" s="1"/>
  <c r="AO371" i="5"/>
  <c r="AR375" i="5"/>
  <c r="AM375" i="5" s="1"/>
  <c r="P375" i="5" s="1"/>
  <c r="AO375" i="5"/>
  <c r="R375" i="5" s="1"/>
  <c r="AR379" i="5"/>
  <c r="AL379" i="5" s="1"/>
  <c r="AO379" i="5"/>
  <c r="AR383" i="5"/>
  <c r="AM383" i="5" s="1"/>
  <c r="P383" i="5" s="1"/>
  <c r="AO383" i="5"/>
  <c r="R383" i="5" s="1"/>
  <c r="AR387" i="5"/>
  <c r="AM387" i="5" s="1"/>
  <c r="P387" i="5" s="1"/>
  <c r="AO387" i="5"/>
  <c r="AR391" i="5"/>
  <c r="AM391" i="5" s="1"/>
  <c r="P391" i="5" s="1"/>
  <c r="AO391" i="5"/>
  <c r="R391" i="5" s="1"/>
  <c r="AR395" i="5"/>
  <c r="AL395" i="5" s="1"/>
  <c r="AO395" i="5"/>
  <c r="AR399" i="5"/>
  <c r="L399" i="5" s="1"/>
  <c r="AO399" i="5"/>
  <c r="R399" i="5" s="1"/>
  <c r="AR403" i="5"/>
  <c r="AM403" i="5" s="1"/>
  <c r="P403" i="5" s="1"/>
  <c r="AO403" i="5"/>
  <c r="R403" i="5" s="1"/>
  <c r="AR407" i="5"/>
  <c r="AO407" i="5"/>
  <c r="R407" i="5" s="1"/>
  <c r="AR411" i="5"/>
  <c r="AM411" i="5" s="1"/>
  <c r="P411" i="5" s="1"/>
  <c r="AO411" i="5"/>
  <c r="AR415" i="5"/>
  <c r="AM415" i="5" s="1"/>
  <c r="P415" i="5" s="1"/>
  <c r="AO415" i="5"/>
  <c r="R415" i="5" s="1"/>
  <c r="AT425" i="5"/>
  <c r="K425" i="5" s="1"/>
  <c r="AO425" i="5"/>
  <c r="R425" i="5" s="1"/>
  <c r="AT429" i="5"/>
  <c r="K429" i="5" s="1"/>
  <c r="AO429" i="5"/>
  <c r="R429" i="5" s="1"/>
  <c r="AT433" i="5"/>
  <c r="K433" i="5" s="1"/>
  <c r="AO433" i="5"/>
  <c r="R433" i="5" s="1"/>
  <c r="AR434" i="5"/>
  <c r="AM434" i="5" s="1"/>
  <c r="P434" i="5" s="1"/>
  <c r="AO434" i="5"/>
  <c r="R434" i="5" s="1"/>
  <c r="AO435" i="5"/>
  <c r="R435" i="5" s="1"/>
  <c r="AT439" i="5"/>
  <c r="K439" i="5" s="1"/>
  <c r="AO439" i="5"/>
  <c r="R439" i="5" s="1"/>
  <c r="AT443" i="5"/>
  <c r="K443" i="5" s="1"/>
  <c r="AO443" i="5"/>
  <c r="R443" i="5" s="1"/>
  <c r="AT447" i="5"/>
  <c r="K447" i="5" s="1"/>
  <c r="AO447" i="5"/>
  <c r="R447" i="5" s="1"/>
  <c r="AT451" i="5"/>
  <c r="K451" i="5" s="1"/>
  <c r="AO451" i="5"/>
  <c r="R451" i="5" s="1"/>
  <c r="AT461" i="5"/>
  <c r="K461" i="5" s="1"/>
  <c r="AO461" i="5"/>
  <c r="R461" i="5" s="1"/>
  <c r="AT465" i="5"/>
  <c r="K465" i="5" s="1"/>
  <c r="AO465" i="5"/>
  <c r="R465" i="5" s="1"/>
  <c r="AT469" i="5"/>
  <c r="K469" i="5" s="1"/>
  <c r="AO469" i="5"/>
  <c r="R469" i="5" s="1"/>
  <c r="AT473" i="5"/>
  <c r="K473" i="5" s="1"/>
  <c r="AO473" i="5"/>
  <c r="R473" i="5" s="1"/>
  <c r="AR474" i="5"/>
  <c r="AO474" i="5"/>
  <c r="R474" i="5" s="1"/>
  <c r="AO475" i="5"/>
  <c r="R475" i="5" s="1"/>
  <c r="AT479" i="5"/>
  <c r="K479" i="5" s="1"/>
  <c r="AO479" i="5"/>
  <c r="R479" i="5" s="1"/>
  <c r="AT483" i="5"/>
  <c r="K483" i="5" s="1"/>
  <c r="AO483" i="5"/>
  <c r="R483" i="5" s="1"/>
  <c r="AT487" i="5"/>
  <c r="K487" i="5" s="1"/>
  <c r="AO487" i="5"/>
  <c r="R487" i="5" s="1"/>
  <c r="AR494" i="5"/>
  <c r="AM494" i="5" s="1"/>
  <c r="P494" i="5" s="1"/>
  <c r="AO494" i="5"/>
  <c r="R494" i="5" s="1"/>
  <c r="AT495" i="5"/>
  <c r="K495" i="5" s="1"/>
  <c r="AO495" i="5"/>
  <c r="R495" i="5" s="1"/>
  <c r="AR496" i="5"/>
  <c r="AO496" i="5"/>
  <c r="R496" i="5" s="1"/>
  <c r="AT497" i="5"/>
  <c r="K497" i="5" s="1"/>
  <c r="AO497" i="5"/>
  <c r="R497" i="5" s="1"/>
  <c r="AO6" i="5"/>
  <c r="R6" i="5" s="1"/>
  <c r="AO10" i="5"/>
  <c r="AO14" i="5"/>
  <c r="R14" i="5" s="1"/>
  <c r="AO7" i="5"/>
  <c r="R7" i="5" s="1"/>
  <c r="AO11" i="5"/>
  <c r="R11" i="5" s="1"/>
  <c r="AO15" i="5"/>
  <c r="R15" i="5" s="1"/>
  <c r="AO8" i="5"/>
  <c r="R8" i="5" s="1"/>
  <c r="AO12" i="5"/>
  <c r="R12" i="5" s="1"/>
  <c r="AO5" i="5"/>
  <c r="R5" i="5" s="1"/>
  <c r="AO9" i="5"/>
  <c r="R9" i="5" s="1"/>
  <c r="AO13" i="5"/>
  <c r="R13" i="5" s="1"/>
  <c r="AO4" i="5"/>
  <c r="R4" i="5" s="1"/>
  <c r="BI37" i="5"/>
  <c r="BI19" i="5"/>
  <c r="BI30" i="5"/>
  <c r="BI34" i="5"/>
  <c r="BI38" i="5"/>
  <c r="BI15" i="5"/>
  <c r="BI16" i="5"/>
  <c r="BI39" i="5"/>
  <c r="R70" i="5"/>
  <c r="BI21" i="5"/>
  <c r="BI25" i="5"/>
  <c r="BI32" i="5"/>
  <c r="BI36" i="5"/>
  <c r="BI41" i="5"/>
  <c r="R66" i="5"/>
  <c r="R65" i="5"/>
  <c r="R68" i="5"/>
  <c r="R75" i="5"/>
  <c r="BK124" i="5"/>
  <c r="BV16" i="5"/>
  <c r="BV5" i="5"/>
  <c r="BV19" i="5"/>
  <c r="BV15" i="5"/>
  <c r="BV9" i="5"/>
  <c r="AN184" i="5"/>
  <c r="Q184" i="5" s="1"/>
  <c r="AS168" i="5"/>
  <c r="M168" i="5" s="1"/>
  <c r="AN208" i="5"/>
  <c r="Q208" i="5" s="1"/>
  <c r="AS200" i="5"/>
  <c r="M200" i="5" s="1"/>
  <c r="AS188" i="5"/>
  <c r="M188" i="5" s="1"/>
  <c r="AN176" i="5"/>
  <c r="Q176" i="5" s="1"/>
  <c r="AN167" i="5"/>
  <c r="Q167" i="5" s="1"/>
  <c r="AS124" i="5"/>
  <c r="M124" i="5" s="1"/>
  <c r="AN151" i="5"/>
  <c r="Q151" i="5" s="1"/>
  <c r="AS215" i="5"/>
  <c r="M215" i="5" s="1"/>
  <c r="AS207" i="5"/>
  <c r="M207" i="5" s="1"/>
  <c r="AS175" i="5"/>
  <c r="M175" i="5" s="1"/>
  <c r="R207" i="5"/>
  <c r="AS203" i="5"/>
  <c r="M203" i="5" s="1"/>
  <c r="AS223" i="5"/>
  <c r="M223" i="5" s="1"/>
  <c r="AS127" i="5"/>
  <c r="M127" i="5" s="1"/>
  <c r="AS171" i="5"/>
  <c r="M171" i="5" s="1"/>
  <c r="AN222" i="5"/>
  <c r="Q222" i="5" s="1"/>
  <c r="AS17" i="5"/>
  <c r="M17" i="5" s="1"/>
  <c r="AS18" i="5"/>
  <c r="M18" i="5" s="1"/>
  <c r="AS19" i="5"/>
  <c r="M19" i="5" s="1"/>
  <c r="AT24" i="5"/>
  <c r="K24" i="5" s="1"/>
  <c r="R217" i="5"/>
  <c r="AT342" i="5"/>
  <c r="K342" i="5" s="1"/>
  <c r="AT373" i="5"/>
  <c r="K373" i="5" s="1"/>
  <c r="AN91" i="1"/>
  <c r="Q91" i="1" s="1"/>
  <c r="M91" i="1"/>
  <c r="AM91" i="1"/>
  <c r="AN97" i="1"/>
  <c r="Q97" i="1" s="1"/>
  <c r="AM97" i="1"/>
  <c r="M97" i="1"/>
  <c r="AN117" i="1"/>
  <c r="Q117" i="1" s="1"/>
  <c r="M117" i="1"/>
  <c r="AN128" i="1"/>
  <c r="Q128" i="1" s="1"/>
  <c r="AM128" i="1"/>
  <c r="M128" i="1"/>
  <c r="AN188" i="1"/>
  <c r="Q188" i="1" s="1"/>
  <c r="M188" i="1"/>
  <c r="AN121" i="1"/>
  <c r="Q121" i="1" s="1"/>
  <c r="M121" i="1"/>
  <c r="AN146" i="1"/>
  <c r="Q146" i="1" s="1"/>
  <c r="M146" i="1"/>
  <c r="AN157" i="1"/>
  <c r="Q157" i="1" s="1"/>
  <c r="AM157" i="1"/>
  <c r="P157" i="1" s="1"/>
  <c r="M157" i="1"/>
  <c r="AN159" i="1"/>
  <c r="Q159" i="1" s="1"/>
  <c r="AM159" i="1"/>
  <c r="M159" i="1"/>
  <c r="AN32" i="1"/>
  <c r="Q32" i="1" s="1"/>
  <c r="M32" i="1"/>
  <c r="AN60" i="1"/>
  <c r="Q60" i="1" s="1"/>
  <c r="M60" i="1"/>
  <c r="AN101" i="1"/>
  <c r="Q101" i="1" s="1"/>
  <c r="M101" i="1"/>
  <c r="AM101" i="1"/>
  <c r="AN138" i="1"/>
  <c r="Q138" i="1" s="1"/>
  <c r="M138" i="1"/>
  <c r="AN144" i="1"/>
  <c r="Q144" i="1" s="1"/>
  <c r="AM144" i="1"/>
  <c r="M144" i="1"/>
  <c r="AN167" i="1"/>
  <c r="Q167" i="1" s="1"/>
  <c r="AM167" i="1"/>
  <c r="M167" i="1"/>
  <c r="AN184" i="1"/>
  <c r="Q184" i="1" s="1"/>
  <c r="M184" i="1"/>
  <c r="AN68" i="1"/>
  <c r="Q68" i="1" s="1"/>
  <c r="M68" i="1"/>
  <c r="AN118" i="1"/>
  <c r="Q118" i="1" s="1"/>
  <c r="AM118" i="1"/>
  <c r="M118" i="1"/>
  <c r="AN130" i="1"/>
  <c r="Q130" i="1" s="1"/>
  <c r="M130" i="1"/>
  <c r="AN136" i="1"/>
  <c r="Q136" i="1" s="1"/>
  <c r="AM136" i="1"/>
  <c r="M136" i="1"/>
  <c r="AN214" i="5"/>
  <c r="Q214" i="5" s="1"/>
  <c r="AT256" i="5"/>
  <c r="K256" i="5" s="1"/>
  <c r="AR408" i="5"/>
  <c r="AL408" i="5" s="1"/>
  <c r="O408" i="5" s="1"/>
  <c r="AO91" i="1"/>
  <c r="AP21" i="1"/>
  <c r="S21" i="1" s="1"/>
  <c r="BM21" i="1"/>
  <c r="BM31" i="1"/>
  <c r="AU32" i="1"/>
  <c r="L32" i="1" s="1"/>
  <c r="AU35" i="1"/>
  <c r="L35" i="1" s="1"/>
  <c r="BM39" i="1"/>
  <c r="AU40" i="1"/>
  <c r="L40" i="1" s="1"/>
  <c r="AU48" i="1"/>
  <c r="L48" i="1" s="1"/>
  <c r="AT51" i="1"/>
  <c r="N51" i="1" s="1"/>
  <c r="AP56" i="1"/>
  <c r="S56" i="1" s="1"/>
  <c r="AU60" i="1"/>
  <c r="L60" i="1" s="1"/>
  <c r="AU61" i="1"/>
  <c r="L61" i="1" s="1"/>
  <c r="AU62" i="1"/>
  <c r="L62" i="1" s="1"/>
  <c r="AP65" i="1"/>
  <c r="S65" i="1" s="1"/>
  <c r="AU68" i="1"/>
  <c r="L68" i="1" s="1"/>
  <c r="AU69" i="1"/>
  <c r="L69" i="1" s="1"/>
  <c r="AU70" i="1"/>
  <c r="L70" i="1" s="1"/>
  <c r="AU72" i="1"/>
  <c r="AU73" i="1"/>
  <c r="L73" i="1" s="1"/>
  <c r="AU75" i="1"/>
  <c r="L75" i="1" s="1"/>
  <c r="AU83" i="1"/>
  <c r="L83" i="1" s="1"/>
  <c r="AU91" i="1"/>
  <c r="L91" i="1" s="1"/>
  <c r="M93" i="1"/>
  <c r="AU96" i="1"/>
  <c r="L96" i="1" s="1"/>
  <c r="AU97" i="1"/>
  <c r="L97" i="1" s="1"/>
  <c r="AU101" i="1"/>
  <c r="L101" i="1" s="1"/>
  <c r="AT102" i="1"/>
  <c r="N102" i="1" s="1"/>
  <c r="AN106" i="1"/>
  <c r="Q106" i="1" s="1"/>
  <c r="AU107" i="1"/>
  <c r="L107" i="1" s="1"/>
  <c r="AN108" i="1"/>
  <c r="Q108" i="1" s="1"/>
  <c r="AM111" i="1"/>
  <c r="P111" i="1" s="1"/>
  <c r="AS114" i="1"/>
  <c r="M116" i="1"/>
  <c r="AU117" i="1"/>
  <c r="AU118" i="1"/>
  <c r="L118" i="1" s="1"/>
  <c r="AG310" i="1"/>
  <c r="AG279" i="1"/>
  <c r="AG347" i="1"/>
  <c r="AG192" i="1"/>
  <c r="AG355" i="1"/>
  <c r="AG200" i="1"/>
  <c r="AU197" i="1"/>
  <c r="L197" i="1" s="1"/>
  <c r="AS197" i="1"/>
  <c r="AN199" i="1"/>
  <c r="Q199" i="1" s="1"/>
  <c r="M199" i="1"/>
  <c r="AG201" i="1"/>
  <c r="AN218" i="1"/>
  <c r="Q218" i="1" s="1"/>
  <c r="M218" i="1"/>
  <c r="AN226" i="1"/>
  <c r="Q226" i="1" s="1"/>
  <c r="M226" i="1"/>
  <c r="AU234" i="1"/>
  <c r="L234" i="1" s="1"/>
  <c r="AS234" i="1"/>
  <c r="AN238" i="1"/>
  <c r="Q238" i="1" s="1"/>
  <c r="M238" i="1"/>
  <c r="AU244" i="1"/>
  <c r="L244" i="1" s="1"/>
  <c r="AS244" i="1"/>
  <c r="AU248" i="1"/>
  <c r="L248" i="1" s="1"/>
  <c r="AS248" i="1"/>
  <c r="AU252" i="1"/>
  <c r="L252" i="1" s="1"/>
  <c r="AS252" i="1"/>
  <c r="AU256" i="1"/>
  <c r="L256" i="1" s="1"/>
  <c r="AS256" i="1"/>
  <c r="AU260" i="1"/>
  <c r="L260" i="1" s="1"/>
  <c r="AS260" i="1"/>
  <c r="AU264" i="1"/>
  <c r="L264" i="1" s="1"/>
  <c r="AS264" i="1"/>
  <c r="AS281" i="1"/>
  <c r="AN281" i="1"/>
  <c r="Q281" i="1" s="1"/>
  <c r="AU281" i="1"/>
  <c r="L281" i="1" s="1"/>
  <c r="AG306" i="1"/>
  <c r="AG275" i="1"/>
  <c r="AU153" i="1"/>
  <c r="L153" i="1" s="1"/>
  <c r="M155" i="1"/>
  <c r="AS160" i="1"/>
  <c r="M161" i="1"/>
  <c r="AG318" i="1"/>
  <c r="AG287" i="1"/>
  <c r="AS168" i="1"/>
  <c r="M169" i="1"/>
  <c r="AU177" i="1"/>
  <c r="L177" i="1" s="1"/>
  <c r="AU181" i="1"/>
  <c r="L181" i="1" s="1"/>
  <c r="AS183" i="1"/>
  <c r="AU185" i="1"/>
  <c r="L185" i="1" s="1"/>
  <c r="AS187" i="1"/>
  <c r="AQ189" i="1"/>
  <c r="AR189" i="1" s="1"/>
  <c r="U189" i="1" s="1"/>
  <c r="AS196" i="1"/>
  <c r="M200" i="1"/>
  <c r="AU201" i="1"/>
  <c r="L201" i="1" s="1"/>
  <c r="AS201" i="1"/>
  <c r="AS203" i="1"/>
  <c r="AG205" i="1"/>
  <c r="AG207" i="1"/>
  <c r="AS212" i="1"/>
  <c r="AN214" i="1"/>
  <c r="Q214" i="1" s="1"/>
  <c r="M214" i="1"/>
  <c r="AS220" i="1"/>
  <c r="AN222" i="1"/>
  <c r="Q222" i="1" s="1"/>
  <c r="M222" i="1"/>
  <c r="AS228" i="1"/>
  <c r="AN230" i="1"/>
  <c r="Q230" i="1" s="1"/>
  <c r="M230" i="1"/>
  <c r="AN275" i="1"/>
  <c r="Q275" i="1" s="1"/>
  <c r="AM275" i="1"/>
  <c r="AM285" i="1"/>
  <c r="M285" i="1"/>
  <c r="AN285" i="1"/>
  <c r="Q285" i="1" s="1"/>
  <c r="AN377" i="1"/>
  <c r="Q377" i="1" s="1"/>
  <c r="M377" i="1"/>
  <c r="AN230" i="5"/>
  <c r="Q230" i="5" s="1"/>
  <c r="AS263" i="5"/>
  <c r="M263" i="5" s="1"/>
  <c r="AM7" i="1"/>
  <c r="P7" i="1" s="1"/>
  <c r="BM8" i="1"/>
  <c r="AM11" i="1"/>
  <c r="P11" i="1" s="1"/>
  <c r="BM12" i="1"/>
  <c r="AM15" i="1"/>
  <c r="P15" i="1" s="1"/>
  <c r="BM16" i="1"/>
  <c r="AO19" i="1"/>
  <c r="R19" i="1" s="1"/>
  <c r="BK19" i="1"/>
  <c r="BE99" i="1" s="1"/>
  <c r="BM20" i="1"/>
  <c r="AM21" i="1"/>
  <c r="AQ21" i="1" s="1"/>
  <c r="BK23" i="1"/>
  <c r="AO27" i="1"/>
  <c r="R27" i="1" s="1"/>
  <c r="BK27" i="1"/>
  <c r="M30" i="1"/>
  <c r="BJ31" i="1"/>
  <c r="AP32" i="1"/>
  <c r="S32" i="1" s="1"/>
  <c r="BK33" i="1"/>
  <c r="AS34" i="1"/>
  <c r="BM36" i="1"/>
  <c r="M38" i="1"/>
  <c r="AS40" i="1"/>
  <c r="AT41" i="1"/>
  <c r="N41" i="1" s="1"/>
  <c r="BK41" i="1"/>
  <c r="BJ42" i="1"/>
  <c r="AP44" i="1"/>
  <c r="S44" i="1" s="1"/>
  <c r="AS45" i="1"/>
  <c r="M45" i="1" s="1"/>
  <c r="BK47" i="1"/>
  <c r="AP52" i="1"/>
  <c r="S52" i="1" s="1"/>
  <c r="AS53" i="1"/>
  <c r="M53" i="1" s="1"/>
  <c r="AT55" i="1"/>
  <c r="N55" i="1" s="1"/>
  <c r="BK55" i="1"/>
  <c r="AS64" i="1"/>
  <c r="AT66" i="1"/>
  <c r="N66" i="1" s="1"/>
  <c r="M95" i="1"/>
  <c r="AN96" i="1"/>
  <c r="Q96" i="1" s="1"/>
  <c r="AM107" i="1"/>
  <c r="P107" i="1" s="1"/>
  <c r="AS109" i="1"/>
  <c r="M113" i="1"/>
  <c r="AM117" i="1"/>
  <c r="P117" i="1" s="1"/>
  <c r="AS119" i="1"/>
  <c r="AS126" i="1"/>
  <c r="M127" i="1"/>
  <c r="AM132" i="1"/>
  <c r="M135" i="1"/>
  <c r="AM140" i="1"/>
  <c r="M143" i="1"/>
  <c r="AM148" i="1"/>
  <c r="M153" i="1"/>
  <c r="AM155" i="1"/>
  <c r="AM161" i="1"/>
  <c r="AG351" i="1"/>
  <c r="AG196" i="1"/>
  <c r="AS165" i="1"/>
  <c r="AM169" i="1"/>
  <c r="AG359" i="1"/>
  <c r="AG204" i="1"/>
  <c r="AG297" i="1"/>
  <c r="AG330" i="1"/>
  <c r="AG299" i="1"/>
  <c r="AS175" i="1"/>
  <c r="AM179" i="1"/>
  <c r="P179" i="1" s="1"/>
  <c r="AG184" i="1"/>
  <c r="AG188" i="1"/>
  <c r="AM193" i="1"/>
  <c r="AG202" i="1"/>
  <c r="AU205" i="1"/>
  <c r="L205" i="1" s="1"/>
  <c r="AS205" i="1"/>
  <c r="M206" i="1"/>
  <c r="AN207" i="1"/>
  <c r="Q207" i="1" s="1"/>
  <c r="M207" i="1"/>
  <c r="AG209" i="1"/>
  <c r="AG211" i="1"/>
  <c r="AM218" i="1"/>
  <c r="AM226" i="1"/>
  <c r="AM234" i="1"/>
  <c r="AN242" i="1"/>
  <c r="Q242" i="1" s="1"/>
  <c r="M242" i="1"/>
  <c r="AN246" i="1"/>
  <c r="Q246" i="1" s="1"/>
  <c r="M246" i="1"/>
  <c r="AM246" i="1"/>
  <c r="P246" i="1" s="1"/>
  <c r="AN250" i="1"/>
  <c r="Q250" i="1" s="1"/>
  <c r="M250" i="1"/>
  <c r="AM250" i="1"/>
  <c r="P250" i="1" s="1"/>
  <c r="AN254" i="1"/>
  <c r="Q254" i="1" s="1"/>
  <c r="M254" i="1"/>
  <c r="AM254" i="1"/>
  <c r="P254" i="1" s="1"/>
  <c r="AN258" i="1"/>
  <c r="Q258" i="1" s="1"/>
  <c r="M258" i="1"/>
  <c r="AM258" i="1"/>
  <c r="P258" i="1" s="1"/>
  <c r="AN262" i="1"/>
  <c r="Q262" i="1" s="1"/>
  <c r="M262" i="1"/>
  <c r="AM262" i="1"/>
  <c r="P262" i="1" s="1"/>
  <c r="AM277" i="1"/>
  <c r="M277" i="1"/>
  <c r="AN277" i="1"/>
  <c r="Q277" i="1" s="1"/>
  <c r="AG283" i="1"/>
  <c r="AN287" i="1"/>
  <c r="Q287" i="1" s="1"/>
  <c r="AM287" i="1"/>
  <c r="AN291" i="1"/>
  <c r="Q291" i="1" s="1"/>
  <c r="AM291" i="1"/>
  <c r="M291" i="1"/>
  <c r="AN226" i="5"/>
  <c r="Q226" i="5" s="1"/>
  <c r="AR380" i="5"/>
  <c r="AT6" i="1"/>
  <c r="N6" i="1" s="1"/>
  <c r="AN7" i="1"/>
  <c r="Q7" i="1" s="1"/>
  <c r="AN8" i="1"/>
  <c r="Q8" i="1" s="1"/>
  <c r="AO9" i="1"/>
  <c r="AT10" i="1"/>
  <c r="N10" i="1" s="1"/>
  <c r="AN11" i="1"/>
  <c r="Q11" i="1" s="1"/>
  <c r="AN12" i="1"/>
  <c r="Q12" i="1" s="1"/>
  <c r="AO13" i="1"/>
  <c r="AT14" i="1"/>
  <c r="N14" i="1" s="1"/>
  <c r="AN15" i="1"/>
  <c r="Q15" i="1" s="1"/>
  <c r="AN16" i="1"/>
  <c r="Q16" i="1" s="1"/>
  <c r="AO17" i="1"/>
  <c r="BM18" i="1"/>
  <c r="AP19" i="1"/>
  <c r="S19" i="1" s="1"/>
  <c r="AN20" i="1"/>
  <c r="Q20" i="1" s="1"/>
  <c r="BM22" i="1"/>
  <c r="AP27" i="1"/>
  <c r="S27" i="1" s="1"/>
  <c r="AT97" i="1"/>
  <c r="N97" i="1" s="1"/>
  <c r="AT31" i="1"/>
  <c r="N31" i="1" s="1"/>
  <c r="AP64" i="1"/>
  <c r="S64" i="1" s="1"/>
  <c r="BM34" i="1"/>
  <c r="M36" i="1"/>
  <c r="AU37" i="1"/>
  <c r="L37" i="1" s="1"/>
  <c r="AT39" i="1"/>
  <c r="N39" i="1" s="1"/>
  <c r="AU44" i="1"/>
  <c r="L44" i="1" s="1"/>
  <c r="BJ44" i="1"/>
  <c r="BM45" i="1"/>
  <c r="AU51" i="1"/>
  <c r="L51" i="1" s="1"/>
  <c r="AU52" i="1"/>
  <c r="L52" i="1" s="1"/>
  <c r="BM53" i="1"/>
  <c r="AU77" i="1"/>
  <c r="L77" i="1" s="1"/>
  <c r="AU85" i="1"/>
  <c r="L85" i="1" s="1"/>
  <c r="AT87" i="1"/>
  <c r="N87" i="1" s="1"/>
  <c r="AM93" i="1"/>
  <c r="AM99" i="1"/>
  <c r="AM105" i="1"/>
  <c r="AM106" i="1"/>
  <c r="AQ106" i="1" s="1"/>
  <c r="AU110" i="1"/>
  <c r="L110" i="1" s="1"/>
  <c r="AM113" i="1"/>
  <c r="M120" i="1"/>
  <c r="M124" i="1"/>
  <c r="AS125" i="1"/>
  <c r="BN126" i="1"/>
  <c r="AS131" i="1"/>
  <c r="M132" i="1"/>
  <c r="AS139" i="1"/>
  <c r="M140" i="1"/>
  <c r="AS147" i="1"/>
  <c r="M148" i="1"/>
  <c r="AM151" i="1"/>
  <c r="AM163" i="1"/>
  <c r="AS164" i="1"/>
  <c r="AG322" i="1"/>
  <c r="AG291" i="1"/>
  <c r="AM171" i="1"/>
  <c r="AS172" i="1"/>
  <c r="M173" i="1"/>
  <c r="AS174" i="1"/>
  <c r="AG363" i="1"/>
  <c r="AG208" i="1"/>
  <c r="AU179" i="1"/>
  <c r="L179" i="1" s="1"/>
  <c r="AG367" i="1"/>
  <c r="AG212" i="1"/>
  <c r="M192" i="1"/>
  <c r="AU193" i="1"/>
  <c r="L193" i="1" s="1"/>
  <c r="AS195" i="1"/>
  <c r="AG197" i="1"/>
  <c r="AS204" i="1"/>
  <c r="AG206" i="1"/>
  <c r="M208" i="1"/>
  <c r="AU209" i="1"/>
  <c r="L209" i="1" s="1"/>
  <c r="AS209" i="1"/>
  <c r="M210" i="1"/>
  <c r="AS211" i="1"/>
  <c r="AS216" i="1"/>
  <c r="AS224" i="1"/>
  <c r="AS232" i="1"/>
  <c r="AM238" i="1"/>
  <c r="P238" i="1" s="1"/>
  <c r="AN279" i="1"/>
  <c r="Q279" i="1" s="1"/>
  <c r="AM279" i="1"/>
  <c r="AS283" i="1"/>
  <c r="AM283" i="1"/>
  <c r="AU283" i="1"/>
  <c r="L283" i="1" s="1"/>
  <c r="AS289" i="1"/>
  <c r="M289" i="1" s="1"/>
  <c r="AU289" i="1"/>
  <c r="L289" i="1" s="1"/>
  <c r="AS293" i="1"/>
  <c r="M293" i="1" s="1"/>
  <c r="AU293" i="1"/>
  <c r="L293" i="1" s="1"/>
  <c r="AN379" i="1"/>
  <c r="Q379" i="1" s="1"/>
  <c r="M379" i="1"/>
  <c r="AM379" i="1"/>
  <c r="AN296" i="1"/>
  <c r="Q296" i="1" s="1"/>
  <c r="AS304" i="1"/>
  <c r="M304" i="1" s="1"/>
  <c r="AS308" i="1"/>
  <c r="M308" i="1" s="1"/>
  <c r="AS312" i="1"/>
  <c r="M312" i="1" s="1"/>
  <c r="AS316" i="1"/>
  <c r="M316" i="1" s="1"/>
  <c r="AS320" i="1"/>
  <c r="M320" i="1" s="1"/>
  <c r="AS324" i="1"/>
  <c r="M324" i="1" s="1"/>
  <c r="AS328" i="1"/>
  <c r="M328" i="1" s="1"/>
  <c r="AS332" i="1"/>
  <c r="M332" i="1" s="1"/>
  <c r="AS336" i="1"/>
  <c r="M336" i="1" s="1"/>
  <c r="AS340" i="1"/>
  <c r="M340" i="1" s="1"/>
  <c r="AS344" i="1"/>
  <c r="M344" i="1" s="1"/>
  <c r="AS348" i="1"/>
  <c r="M348" i="1" s="1"/>
  <c r="AS352" i="1"/>
  <c r="M352" i="1" s="1"/>
  <c r="AS356" i="1"/>
  <c r="M356" i="1" s="1"/>
  <c r="AS360" i="1"/>
  <c r="M360" i="1" s="1"/>
  <c r="AS364" i="1"/>
  <c r="M364" i="1" s="1"/>
  <c r="AN370" i="1"/>
  <c r="Q370" i="1" s="1"/>
  <c r="AU377" i="1"/>
  <c r="L377" i="1" s="1"/>
  <c r="AU379" i="1"/>
  <c r="L379" i="1" s="1"/>
  <c r="AU383" i="1"/>
  <c r="L383" i="1" s="1"/>
  <c r="AN388" i="1"/>
  <c r="Q388" i="1" s="1"/>
  <c r="AU390" i="1"/>
  <c r="L390" i="1" s="1"/>
  <c r="AK15" i="3"/>
  <c r="AG17" i="3"/>
  <c r="AG27" i="3"/>
  <c r="AG28" i="3"/>
  <c r="AP40" i="3"/>
  <c r="L40" i="3" s="1"/>
  <c r="AP48" i="3"/>
  <c r="L48" i="3" s="1"/>
  <c r="AL50" i="3"/>
  <c r="Q50" i="3" s="1"/>
  <c r="AI51" i="3"/>
  <c r="N51" i="3" s="1"/>
  <c r="AP54" i="3"/>
  <c r="L54" i="3" s="1"/>
  <c r="AP60" i="3"/>
  <c r="L60" i="3" s="1"/>
  <c r="AJ61" i="3"/>
  <c r="O61" i="3" s="1"/>
  <c r="AP65" i="3"/>
  <c r="L65" i="3" s="1"/>
  <c r="AP69" i="3"/>
  <c r="L69" i="3" s="1"/>
  <c r="BU73" i="3"/>
  <c r="AK74" i="3"/>
  <c r="AL75" i="3"/>
  <c r="Q75" i="3" s="1"/>
  <c r="BU81" i="3"/>
  <c r="AK82" i="3"/>
  <c r="AJ83" i="3"/>
  <c r="O83" i="3" s="1"/>
  <c r="AL84" i="3"/>
  <c r="Q84" i="3" s="1"/>
  <c r="AJ85" i="3"/>
  <c r="O85" i="3" s="1"/>
  <c r="BI89" i="3"/>
  <c r="BU88" i="3"/>
  <c r="AI90" i="3"/>
  <c r="N90" i="3" s="1"/>
  <c r="K91" i="3"/>
  <c r="BU91" i="3"/>
  <c r="AI94" i="3"/>
  <c r="N94" i="3" s="1"/>
  <c r="K95" i="3"/>
  <c r="BU95" i="3"/>
  <c r="BU96" i="3"/>
  <c r="AJ97" i="3"/>
  <c r="O97" i="3" s="1"/>
  <c r="AP97" i="3"/>
  <c r="L97" i="3" s="1"/>
  <c r="BG97" i="3"/>
  <c r="BH97" i="3" s="1"/>
  <c r="AL98" i="3"/>
  <c r="Q98" i="3" s="1"/>
  <c r="BU98" i="3"/>
  <c r="AJ99" i="3"/>
  <c r="O99" i="3" s="1"/>
  <c r="AP99" i="3"/>
  <c r="L99" i="3" s="1"/>
  <c r="AI101" i="3"/>
  <c r="N101" i="3" s="1"/>
  <c r="K105" i="3"/>
  <c r="BU105" i="3"/>
  <c r="AI108" i="3"/>
  <c r="N108" i="3" s="1"/>
  <c r="K109" i="3"/>
  <c r="BU109" i="3"/>
  <c r="BU110" i="3"/>
  <c r="AJ111" i="3"/>
  <c r="O111" i="3" s="1"/>
  <c r="BU111" i="3"/>
  <c r="K114" i="3"/>
  <c r="K119" i="3"/>
  <c r="BU121" i="3"/>
  <c r="AI127" i="3"/>
  <c r="N127" i="3" s="1"/>
  <c r="K127" i="3"/>
  <c r="AL132" i="3"/>
  <c r="Q132" i="3" s="1"/>
  <c r="BU133" i="3"/>
  <c r="BU134" i="3"/>
  <c r="K136" i="3"/>
  <c r="BU148" i="3"/>
  <c r="AL151" i="3"/>
  <c r="Q151" i="3" s="1"/>
  <c r="AI154" i="3"/>
  <c r="N154" i="3" s="1"/>
  <c r="BU155" i="3"/>
  <c r="K168" i="3"/>
  <c r="AJ168" i="3"/>
  <c r="O168" i="3" s="1"/>
  <c r="BU169" i="3"/>
  <c r="K184" i="3"/>
  <c r="AJ184" i="3"/>
  <c r="O184" i="3" s="1"/>
  <c r="BU185" i="3"/>
  <c r="AL35" i="3"/>
  <c r="Q35" i="3" s="1"/>
  <c r="AK45" i="3"/>
  <c r="AK61" i="3"/>
  <c r="AK66" i="3"/>
  <c r="AP71" i="3"/>
  <c r="L71" i="3" s="1"/>
  <c r="AP72" i="3"/>
  <c r="L72" i="3" s="1"/>
  <c r="AK73" i="3"/>
  <c r="AL74" i="3"/>
  <c r="Q74" i="3" s="1"/>
  <c r="AP79" i="3"/>
  <c r="L79" i="3" s="1"/>
  <c r="AP80" i="3"/>
  <c r="L80" i="3" s="1"/>
  <c r="AK81" i="3"/>
  <c r="AL82" i="3"/>
  <c r="Q82" i="3" s="1"/>
  <c r="AP93" i="3"/>
  <c r="L93" i="3" s="1"/>
  <c r="AP107" i="3"/>
  <c r="L107" i="3" s="1"/>
  <c r="BM111" i="3"/>
  <c r="AK124" i="3"/>
  <c r="AK129" i="3"/>
  <c r="BU149" i="3"/>
  <c r="BU153" i="3"/>
  <c r="K164" i="3"/>
  <c r="AJ164" i="3"/>
  <c r="O164" i="3" s="1"/>
  <c r="BU165" i="3"/>
  <c r="K180" i="3"/>
  <c r="AJ180" i="3"/>
  <c r="O180" i="3" s="1"/>
  <c r="BU181" i="3"/>
  <c r="AI184" i="3"/>
  <c r="N184" i="3" s="1"/>
  <c r="M298" i="1"/>
  <c r="M299" i="1"/>
  <c r="AM299" i="1"/>
  <c r="AS300" i="1"/>
  <c r="AS301" i="1"/>
  <c r="AS305" i="1"/>
  <c r="AS309" i="1"/>
  <c r="AS313" i="1"/>
  <c r="AS317" i="1"/>
  <c r="AS321" i="1"/>
  <c r="AS325" i="1"/>
  <c r="AS329" i="1"/>
  <c r="AS333" i="1"/>
  <c r="AS337" i="1"/>
  <c r="AS341" i="1"/>
  <c r="AS345" i="1"/>
  <c r="AS349" i="1"/>
  <c r="AS353" i="1"/>
  <c r="AS357" i="1"/>
  <c r="AS361" i="1"/>
  <c r="AS365" i="1"/>
  <c r="AS368" i="1"/>
  <c r="AM377" i="1"/>
  <c r="P377" i="1" s="1"/>
  <c r="AS380" i="1"/>
  <c r="AS381" i="1"/>
  <c r="AM383" i="1"/>
  <c r="P383" i="1" s="1"/>
  <c r="AS385" i="1"/>
  <c r="AS387" i="1"/>
  <c r="AN390" i="1"/>
  <c r="Q390" i="1" s="1"/>
  <c r="AS391" i="1"/>
  <c r="AS395" i="1"/>
  <c r="M395" i="1" s="1"/>
  <c r="AK5" i="3"/>
  <c r="AP5" i="3"/>
  <c r="L5" i="3" s="1"/>
  <c r="K17" i="3"/>
  <c r="K18" i="3"/>
  <c r="AK20" i="3"/>
  <c r="P20" i="3" s="1"/>
  <c r="AK22" i="3"/>
  <c r="K23" i="3"/>
  <c r="AI23" i="3"/>
  <c r="AI25" i="3"/>
  <c r="N25" i="3" s="1"/>
  <c r="BB25" i="3"/>
  <c r="BB26" i="3"/>
  <c r="AK38" i="3"/>
  <c r="AP38" i="3"/>
  <c r="L38" i="3" s="1"/>
  <c r="AP44" i="3"/>
  <c r="L44" i="3" s="1"/>
  <c r="AK46" i="3"/>
  <c r="AJ49" i="3"/>
  <c r="O49" i="3" s="1"/>
  <c r="AK51" i="3"/>
  <c r="AP52" i="3"/>
  <c r="L52" i="3" s="1"/>
  <c r="AJ57" i="3"/>
  <c r="O57" i="3" s="1"/>
  <c r="AL61" i="3"/>
  <c r="Q61" i="3" s="1"/>
  <c r="AP63" i="3"/>
  <c r="L63" i="3" s="1"/>
  <c r="AJ64" i="3"/>
  <c r="O64" i="3" s="1"/>
  <c r="AP67" i="3"/>
  <c r="L67" i="3" s="1"/>
  <c r="AJ77" i="3"/>
  <c r="O77" i="3" s="1"/>
  <c r="AJ84" i="3"/>
  <c r="O84" i="3" s="1"/>
  <c r="AJ86" i="3"/>
  <c r="O86" i="3" s="1"/>
  <c r="BU86" i="3"/>
  <c r="BH89" i="3"/>
  <c r="AK89" i="3"/>
  <c r="AK92" i="3"/>
  <c r="K97" i="3"/>
  <c r="K99" i="3"/>
  <c r="BG100" i="3"/>
  <c r="BH100" i="3" s="1"/>
  <c r="BU102" i="3"/>
  <c r="BU103" i="3"/>
  <c r="AK106" i="3"/>
  <c r="K111" i="3"/>
  <c r="BU114" i="3"/>
  <c r="BU120" i="3"/>
  <c r="AK122" i="3"/>
  <c r="BU122" i="3"/>
  <c r="K125" i="3"/>
  <c r="AI126" i="3"/>
  <c r="N126" i="3" s="1"/>
  <c r="BU126" i="3"/>
  <c r="AJ131" i="3"/>
  <c r="O131" i="3" s="1"/>
  <c r="AI131" i="3"/>
  <c r="N131" i="3" s="1"/>
  <c r="AJ136" i="3"/>
  <c r="O136" i="3" s="1"/>
  <c r="AI145" i="3"/>
  <c r="N145" i="3" s="1"/>
  <c r="AL149" i="3"/>
  <c r="Q149" i="3" s="1"/>
  <c r="AI152" i="3"/>
  <c r="N152" i="3" s="1"/>
  <c r="K160" i="3"/>
  <c r="AJ160" i="3"/>
  <c r="O160" i="3" s="1"/>
  <c r="BU161" i="3"/>
  <c r="AI164" i="3"/>
  <c r="N164" i="3" s="1"/>
  <c r="K176" i="3"/>
  <c r="AJ176" i="3"/>
  <c r="O176" i="3" s="1"/>
  <c r="BU177" i="3"/>
  <c r="AI180" i="3"/>
  <c r="N180" i="3" s="1"/>
  <c r="AM389" i="1"/>
  <c r="AK6" i="3"/>
  <c r="AK11" i="3"/>
  <c r="AG19" i="3"/>
  <c r="BB20" i="3"/>
  <c r="K25" i="3"/>
  <c r="AG30" i="3"/>
  <c r="AG32" i="3"/>
  <c r="AP29" i="3"/>
  <c r="L29" i="3" s="1"/>
  <c r="AG34" i="3"/>
  <c r="AK41" i="3"/>
  <c r="AP42" i="3"/>
  <c r="L42" i="3" s="1"/>
  <c r="AI45" i="3"/>
  <c r="N45" i="3" s="1"/>
  <c r="AK50" i="3"/>
  <c r="AK55" i="3"/>
  <c r="AL56" i="3"/>
  <c r="Q56" i="3" s="1"/>
  <c r="AP59" i="3"/>
  <c r="L59" i="3" s="1"/>
  <c r="AI66" i="3"/>
  <c r="N66" i="3" s="1"/>
  <c r="AK68" i="3"/>
  <c r="AI73" i="3"/>
  <c r="N73" i="3" s="1"/>
  <c r="AJ74" i="3"/>
  <c r="O74" i="3" s="1"/>
  <c r="AK75" i="3"/>
  <c r="AP76" i="3"/>
  <c r="L76" i="3" s="1"/>
  <c r="AK84" i="3"/>
  <c r="AP87" i="3"/>
  <c r="L87" i="3" s="1"/>
  <c r="AK113" i="3"/>
  <c r="BM120" i="3"/>
  <c r="AJ130" i="3"/>
  <c r="O130" i="3" s="1"/>
  <c r="K130" i="3"/>
  <c r="AJ141" i="3"/>
  <c r="O141" i="3" s="1"/>
  <c r="AI141" i="3"/>
  <c r="N141" i="3" s="1"/>
  <c r="BU142" i="3"/>
  <c r="AI156" i="3"/>
  <c r="N156" i="3" s="1"/>
  <c r="K172" i="3"/>
  <c r="AJ172" i="3"/>
  <c r="O172" i="3" s="1"/>
  <c r="K188" i="3"/>
  <c r="AJ188" i="3"/>
  <c r="O188" i="3" s="1"/>
  <c r="AJ222" i="3"/>
  <c r="O222" i="3" s="1"/>
  <c r="K222" i="3"/>
  <c r="AJ230" i="3"/>
  <c r="O230" i="3" s="1"/>
  <c r="K230" i="3"/>
  <c r="AJ238" i="3"/>
  <c r="O238" i="3" s="1"/>
  <c r="K238" i="3"/>
  <c r="AJ246" i="3"/>
  <c r="O246" i="3" s="1"/>
  <c r="K246" i="3"/>
  <c r="AJ254" i="3"/>
  <c r="O254" i="3" s="1"/>
  <c r="K254" i="3"/>
  <c r="AJ262" i="3"/>
  <c r="O262" i="3" s="1"/>
  <c r="K262" i="3"/>
  <c r="AI288" i="3"/>
  <c r="N288" i="3" s="1"/>
  <c r="K288" i="3"/>
  <c r="AI297" i="3"/>
  <c r="N297" i="3" s="1"/>
  <c r="AJ297" i="3"/>
  <c r="O297" i="3" s="1"/>
  <c r="K297" i="3"/>
  <c r="AI303" i="3"/>
  <c r="N303" i="3" s="1"/>
  <c r="K303" i="3"/>
  <c r="AJ303" i="3"/>
  <c r="O303" i="3" s="1"/>
  <c r="AI326" i="3"/>
  <c r="N326" i="3" s="1"/>
  <c r="K326" i="3"/>
  <c r="AJ326" i="3"/>
  <c r="O326" i="3" s="1"/>
  <c r="AR13" i="4"/>
  <c r="U13" i="4" s="1"/>
  <c r="T13" i="4"/>
  <c r="P16" i="4"/>
  <c r="AQ16" i="4"/>
  <c r="BG49" i="4"/>
  <c r="AP22" i="4"/>
  <c r="S22" i="4" s="1"/>
  <c r="AO22" i="4"/>
  <c r="R22" i="4" s="1"/>
  <c r="BJ50" i="4"/>
  <c r="BH50" i="4"/>
  <c r="AU82" i="4"/>
  <c r="L82" i="4" s="1"/>
  <c r="AS82" i="4"/>
  <c r="AN82" i="4" s="1"/>
  <c r="Q82" i="4" s="1"/>
  <c r="K200" i="3"/>
  <c r="K205" i="3"/>
  <c r="BU205" i="3"/>
  <c r="K208" i="3"/>
  <c r="K213" i="3"/>
  <c r="K215" i="3"/>
  <c r="K217" i="3"/>
  <c r="AJ221" i="3"/>
  <c r="O221" i="3" s="1"/>
  <c r="AI222" i="3"/>
  <c r="N222" i="3" s="1"/>
  <c r="AJ224" i="3"/>
  <c r="O224" i="3" s="1"/>
  <c r="K224" i="3"/>
  <c r="AJ229" i="3"/>
  <c r="O229" i="3" s="1"/>
  <c r="AI230" i="3"/>
  <c r="N230" i="3" s="1"/>
  <c r="AJ232" i="3"/>
  <c r="O232" i="3" s="1"/>
  <c r="K232" i="3"/>
  <c r="AJ237" i="3"/>
  <c r="O237" i="3" s="1"/>
  <c r="AI238" i="3"/>
  <c r="N238" i="3" s="1"/>
  <c r="AJ240" i="3"/>
  <c r="O240" i="3" s="1"/>
  <c r="K240" i="3"/>
  <c r="AJ245" i="3"/>
  <c r="O245" i="3" s="1"/>
  <c r="AI246" i="3"/>
  <c r="N246" i="3" s="1"/>
  <c r="AJ248" i="3"/>
  <c r="O248" i="3" s="1"/>
  <c r="K248" i="3"/>
  <c r="AJ253" i="3"/>
  <c r="O253" i="3" s="1"/>
  <c r="AI254" i="3"/>
  <c r="N254" i="3" s="1"/>
  <c r="AJ256" i="3"/>
  <c r="O256" i="3" s="1"/>
  <c r="K256" i="3"/>
  <c r="AJ261" i="3"/>
  <c r="O261" i="3" s="1"/>
  <c r="AI262" i="3"/>
  <c r="N262" i="3" s="1"/>
  <c r="AJ264" i="3"/>
  <c r="O264" i="3" s="1"/>
  <c r="K264" i="3"/>
  <c r="K267" i="3"/>
  <c r="AJ271" i="3"/>
  <c r="O271" i="3" s="1"/>
  <c r="BU272" i="3"/>
  <c r="K275" i="3"/>
  <c r="BU278" i="3"/>
  <c r="BU282" i="3"/>
  <c r="BU293" i="3"/>
  <c r="AI304" i="3"/>
  <c r="N304" i="3" s="1"/>
  <c r="K304" i="3"/>
  <c r="AI313" i="3"/>
  <c r="N313" i="3" s="1"/>
  <c r="AJ313" i="3"/>
  <c r="O313" i="3" s="1"/>
  <c r="K313" i="3"/>
  <c r="BU324" i="3"/>
  <c r="AT37" i="4"/>
  <c r="N37" i="4" s="1"/>
  <c r="AP37" i="4"/>
  <c r="S37" i="4" s="1"/>
  <c r="AT88" i="4"/>
  <c r="N88" i="4" s="1"/>
  <c r="AT55" i="4"/>
  <c r="N55" i="4" s="1"/>
  <c r="AN69" i="4"/>
  <c r="Q69" i="4" s="1"/>
  <c r="AM69" i="4"/>
  <c r="P69" i="4" s="1"/>
  <c r="M69" i="4"/>
  <c r="AN71" i="4"/>
  <c r="Q71" i="4" s="1"/>
  <c r="AM71" i="4"/>
  <c r="P71" i="4" s="1"/>
  <c r="M71" i="4"/>
  <c r="AJ226" i="3"/>
  <c r="O226" i="3" s="1"/>
  <c r="K226" i="3"/>
  <c r="AJ234" i="3"/>
  <c r="O234" i="3" s="1"/>
  <c r="K234" i="3"/>
  <c r="AJ242" i="3"/>
  <c r="O242" i="3" s="1"/>
  <c r="K242" i="3"/>
  <c r="AJ250" i="3"/>
  <c r="O250" i="3" s="1"/>
  <c r="K250" i="3"/>
  <c r="AJ258" i="3"/>
  <c r="O258" i="3" s="1"/>
  <c r="K258" i="3"/>
  <c r="AJ266" i="3"/>
  <c r="O266" i="3" s="1"/>
  <c r="K266" i="3"/>
  <c r="AI317" i="3"/>
  <c r="N317" i="3" s="1"/>
  <c r="K317" i="3"/>
  <c r="AJ317" i="3"/>
  <c r="O317" i="3" s="1"/>
  <c r="AI320" i="3"/>
  <c r="N320" i="3" s="1"/>
  <c r="K320" i="3"/>
  <c r="AJ320" i="3"/>
  <c r="O320" i="3" s="1"/>
  <c r="AI330" i="3"/>
  <c r="N330" i="3" s="1"/>
  <c r="AJ330" i="3"/>
  <c r="O330" i="3" s="1"/>
  <c r="AI331" i="3"/>
  <c r="N331" i="3" s="1"/>
  <c r="AJ331" i="3"/>
  <c r="O331" i="3" s="1"/>
  <c r="AI357" i="3"/>
  <c r="N357" i="3" s="1"/>
  <c r="K357" i="3"/>
  <c r="AJ357" i="3"/>
  <c r="O357" i="3" s="1"/>
  <c r="AI377" i="3"/>
  <c r="N377" i="3" s="1"/>
  <c r="K377" i="3"/>
  <c r="AJ377" i="3"/>
  <c r="O377" i="3" s="1"/>
  <c r="AI390" i="3"/>
  <c r="N390" i="3" s="1"/>
  <c r="AJ390" i="3"/>
  <c r="O390" i="3" s="1"/>
  <c r="P27" i="4"/>
  <c r="AQ27" i="4"/>
  <c r="BU127" i="3"/>
  <c r="BU131" i="3"/>
  <c r="BU137" i="3"/>
  <c r="BU190" i="3"/>
  <c r="BU191" i="3"/>
  <c r="BU192" i="3"/>
  <c r="BU193" i="3"/>
  <c r="BU194" i="3"/>
  <c r="BU195" i="3"/>
  <c r="BU196" i="3"/>
  <c r="BU197" i="3"/>
  <c r="BU198" i="3"/>
  <c r="K201" i="3"/>
  <c r="BU201" i="3"/>
  <c r="K204" i="3"/>
  <c r="K209" i="3"/>
  <c r="BU209" i="3"/>
  <c r="K212" i="3"/>
  <c r="K214" i="3"/>
  <c r="K216" i="3"/>
  <c r="K218" i="3"/>
  <c r="AJ220" i="3"/>
  <c r="O220" i="3" s="1"/>
  <c r="K220" i="3"/>
  <c r="AI226" i="3"/>
  <c r="N226" i="3" s="1"/>
  <c r="AJ228" i="3"/>
  <c r="O228" i="3" s="1"/>
  <c r="K228" i="3"/>
  <c r="AI234" i="3"/>
  <c r="N234" i="3" s="1"/>
  <c r="AJ236" i="3"/>
  <c r="O236" i="3" s="1"/>
  <c r="K236" i="3"/>
  <c r="AI242" i="3"/>
  <c r="N242" i="3" s="1"/>
  <c r="AJ244" i="3"/>
  <c r="O244" i="3" s="1"/>
  <c r="K244" i="3"/>
  <c r="AI250" i="3"/>
  <c r="N250" i="3" s="1"/>
  <c r="AJ252" i="3"/>
  <c r="O252" i="3" s="1"/>
  <c r="K252" i="3"/>
  <c r="AI258" i="3"/>
  <c r="N258" i="3" s="1"/>
  <c r="AJ260" i="3"/>
  <c r="O260" i="3" s="1"/>
  <c r="K260" i="3"/>
  <c r="AI266" i="3"/>
  <c r="N266" i="3" s="1"/>
  <c r="BU268" i="3"/>
  <c r="BU276" i="3"/>
  <c r="BU280" i="3"/>
  <c r="AJ287" i="3"/>
  <c r="O287" i="3" s="1"/>
  <c r="K287" i="3"/>
  <c r="BU289" i="3"/>
  <c r="AI325" i="3"/>
  <c r="N325" i="3" s="1"/>
  <c r="K325" i="3"/>
  <c r="AJ325" i="3"/>
  <c r="O325" i="3" s="1"/>
  <c r="AI343" i="3"/>
  <c r="N343" i="3" s="1"/>
  <c r="AJ343" i="3"/>
  <c r="O343" i="3" s="1"/>
  <c r="K343" i="3"/>
  <c r="P29" i="4"/>
  <c r="AQ29" i="4"/>
  <c r="AN60" i="4"/>
  <c r="Q60" i="4" s="1"/>
  <c r="AM60" i="4"/>
  <c r="M60" i="4"/>
  <c r="BU287" i="3"/>
  <c r="K291" i="3"/>
  <c r="BU292" i="3"/>
  <c r="BU298" i="3"/>
  <c r="BU303" i="3"/>
  <c r="K307" i="3"/>
  <c r="BU308" i="3"/>
  <c r="BU314" i="3"/>
  <c r="BU317" i="3"/>
  <c r="K319" i="3"/>
  <c r="K322" i="3"/>
  <c r="BU325" i="3"/>
  <c r="AI327" i="3"/>
  <c r="N327" i="3" s="1"/>
  <c r="AJ327" i="3"/>
  <c r="O327" i="3" s="1"/>
  <c r="BU328" i="3"/>
  <c r="AI349" i="3"/>
  <c r="N349" i="3" s="1"/>
  <c r="K349" i="3"/>
  <c r="AJ349" i="3"/>
  <c r="O349" i="3" s="1"/>
  <c r="AI361" i="3"/>
  <c r="N361" i="3" s="1"/>
  <c r="K361" i="3"/>
  <c r="AJ361" i="3"/>
  <c r="O361" i="3" s="1"/>
  <c r="AI365" i="3"/>
  <c r="N365" i="3" s="1"/>
  <c r="K365" i="3"/>
  <c r="AJ365" i="3"/>
  <c r="O365" i="3" s="1"/>
  <c r="AI381" i="3"/>
  <c r="N381" i="3" s="1"/>
  <c r="K381" i="3"/>
  <c r="AJ381" i="3"/>
  <c r="O381" i="3" s="1"/>
  <c r="M4" i="4"/>
  <c r="AN4" i="4"/>
  <c r="Q4" i="4" s="1"/>
  <c r="AR8" i="4"/>
  <c r="U8" i="4" s="1"/>
  <c r="T8" i="4"/>
  <c r="BJ8" i="4"/>
  <c r="BH8" i="4"/>
  <c r="BB90" i="4" s="1"/>
  <c r="M14" i="4"/>
  <c r="AN14" i="4"/>
  <c r="Q14" i="4" s="1"/>
  <c r="AM14" i="4"/>
  <c r="AO117" i="4"/>
  <c r="BG22" i="4"/>
  <c r="AU76" i="4"/>
  <c r="L76" i="4" s="1"/>
  <c r="AS76" i="4"/>
  <c r="AN76" i="4" s="1"/>
  <c r="Q76" i="4" s="1"/>
  <c r="AS81" i="4"/>
  <c r="AU81" i="4"/>
  <c r="L81" i="4" s="1"/>
  <c r="K268" i="3"/>
  <c r="K270" i="3"/>
  <c r="K272" i="3"/>
  <c r="K274" i="3"/>
  <c r="K276" i="3"/>
  <c r="K278" i="3"/>
  <c r="K280" i="3"/>
  <c r="K282" i="3"/>
  <c r="K284" i="3"/>
  <c r="BU284" i="3"/>
  <c r="BU288" i="3"/>
  <c r="K292" i="3"/>
  <c r="K293" i="3"/>
  <c r="AJ293" i="3"/>
  <c r="O293" i="3" s="1"/>
  <c r="BU294" i="3"/>
  <c r="AJ299" i="3"/>
  <c r="O299" i="3" s="1"/>
  <c r="BU299" i="3"/>
  <c r="BU304" i="3"/>
  <c r="K308" i="3"/>
  <c r="K309" i="3"/>
  <c r="AJ309" i="3"/>
  <c r="O309" i="3" s="1"/>
  <c r="BU310" i="3"/>
  <c r="AJ315" i="3"/>
  <c r="O315" i="3" s="1"/>
  <c r="BU315" i="3"/>
  <c r="AJ318" i="3"/>
  <c r="O318" i="3" s="1"/>
  <c r="AJ323" i="3"/>
  <c r="O323" i="3" s="1"/>
  <c r="BU323" i="3"/>
  <c r="BU342" i="3"/>
  <c r="AI345" i="3"/>
  <c r="N345" i="3" s="1"/>
  <c r="K345" i="3"/>
  <c r="AJ345" i="3"/>
  <c r="O345" i="3" s="1"/>
  <c r="BU354" i="3"/>
  <c r="AI369" i="3"/>
  <c r="N369" i="3" s="1"/>
  <c r="K369" i="3"/>
  <c r="AJ369" i="3"/>
  <c r="O369" i="3" s="1"/>
  <c r="BU370" i="3"/>
  <c r="BU379" i="3"/>
  <c r="AI385" i="3"/>
  <c r="N385" i="3" s="1"/>
  <c r="K385" i="3"/>
  <c r="AJ385" i="3"/>
  <c r="O385" i="3" s="1"/>
  <c r="AN8" i="4"/>
  <c r="Q8" i="4" s="1"/>
  <c r="M8" i="4"/>
  <c r="BH15" i="4"/>
  <c r="BB97" i="4" s="1"/>
  <c r="BJ15" i="4"/>
  <c r="BJ31" i="4"/>
  <c r="BH31" i="4"/>
  <c r="BJ43" i="4"/>
  <c r="BH43" i="4"/>
  <c r="AU64" i="4"/>
  <c r="L64" i="4" s="1"/>
  <c r="AS64" i="4"/>
  <c r="AU65" i="4"/>
  <c r="L65" i="4" s="1"/>
  <c r="AS65" i="4"/>
  <c r="AN73" i="4"/>
  <c r="Q73" i="4" s="1"/>
  <c r="M73" i="4"/>
  <c r="AU75" i="4"/>
  <c r="L75" i="4" s="1"/>
  <c r="AS75" i="4"/>
  <c r="AM75" i="4"/>
  <c r="P75" i="4" s="1"/>
  <c r="AU80" i="4"/>
  <c r="L80" i="4" s="1"/>
  <c r="AS80" i="4"/>
  <c r="AN80" i="4" s="1"/>
  <c r="Q80" i="4" s="1"/>
  <c r="AO80" i="4"/>
  <c r="BU285" i="3"/>
  <c r="BU290" i="3"/>
  <c r="BU295" i="3"/>
  <c r="BU306" i="3"/>
  <c r="BU311" i="3"/>
  <c r="BU321" i="3"/>
  <c r="AI334" i="3"/>
  <c r="N334" i="3" s="1"/>
  <c r="AJ334" i="3"/>
  <c r="O334" i="3" s="1"/>
  <c r="AI335" i="3"/>
  <c r="N335" i="3" s="1"/>
  <c r="AJ335" i="3"/>
  <c r="O335" i="3" s="1"/>
  <c r="AI336" i="3"/>
  <c r="N336" i="3" s="1"/>
  <c r="AJ336" i="3"/>
  <c r="O336" i="3" s="1"/>
  <c r="AI337" i="3"/>
  <c r="N337" i="3" s="1"/>
  <c r="AJ337" i="3"/>
  <c r="O337" i="3" s="1"/>
  <c r="AI338" i="3"/>
  <c r="N338" i="3" s="1"/>
  <c r="AJ338" i="3"/>
  <c r="O338" i="3" s="1"/>
  <c r="AI339" i="3"/>
  <c r="N339" i="3" s="1"/>
  <c r="AJ339" i="3"/>
  <c r="O339" i="3" s="1"/>
  <c r="AI340" i="3"/>
  <c r="N340" i="3" s="1"/>
  <c r="AJ340" i="3"/>
  <c r="O340" i="3" s="1"/>
  <c r="AI341" i="3"/>
  <c r="N341" i="3" s="1"/>
  <c r="AJ341" i="3"/>
  <c r="O341" i="3" s="1"/>
  <c r="AI347" i="3"/>
  <c r="N347" i="3" s="1"/>
  <c r="AJ347" i="3"/>
  <c r="O347" i="3" s="1"/>
  <c r="K347" i="3"/>
  <c r="BU348" i="3"/>
  <c r="AI353" i="3"/>
  <c r="N353" i="3" s="1"/>
  <c r="K353" i="3"/>
  <c r="AJ353" i="3"/>
  <c r="O353" i="3" s="1"/>
  <c r="BU358" i="3"/>
  <c r="BU367" i="3"/>
  <c r="AI373" i="3"/>
  <c r="N373" i="3" s="1"/>
  <c r="K373" i="3"/>
  <c r="AJ373" i="3"/>
  <c r="O373" i="3" s="1"/>
  <c r="BU374" i="3"/>
  <c r="BU383" i="3"/>
  <c r="BU386" i="3"/>
  <c r="BJ7" i="4"/>
  <c r="BH7" i="4"/>
  <c r="BB89" i="4" s="1"/>
  <c r="M9" i="4"/>
  <c r="AN9" i="4"/>
  <c r="Q9" i="4" s="1"/>
  <c r="AM9" i="4"/>
  <c r="AM11" i="4"/>
  <c r="AN11" i="4"/>
  <c r="Q11" i="4" s="1"/>
  <c r="AR17" i="4"/>
  <c r="U17" i="4" s="1"/>
  <c r="T17" i="4"/>
  <c r="AT36" i="4"/>
  <c r="N36" i="4" s="1"/>
  <c r="AP36" i="4"/>
  <c r="S36" i="4" s="1"/>
  <c r="AT42" i="4"/>
  <c r="N42" i="4" s="1"/>
  <c r="AT45" i="4"/>
  <c r="N45" i="4" s="1"/>
  <c r="AP45" i="4"/>
  <c r="S45" i="4" s="1"/>
  <c r="BJ54" i="4"/>
  <c r="BH54" i="4"/>
  <c r="AU63" i="4"/>
  <c r="L63" i="4" s="1"/>
  <c r="AS63" i="4"/>
  <c r="AM63" i="4" s="1"/>
  <c r="AS83" i="4"/>
  <c r="AU83" i="4"/>
  <c r="L83" i="4" s="1"/>
  <c r="AU106" i="4"/>
  <c r="L106" i="4" s="1"/>
  <c r="AS106" i="4"/>
  <c r="AN107" i="4"/>
  <c r="Q107" i="4" s="1"/>
  <c r="M107" i="4"/>
  <c r="AS123" i="4"/>
  <c r="M123" i="4" s="1"/>
  <c r="AN173" i="4"/>
  <c r="Q173" i="4" s="1"/>
  <c r="M173" i="4"/>
  <c r="M198" i="4"/>
  <c r="AM198" i="4"/>
  <c r="BU327" i="3"/>
  <c r="K329" i="3"/>
  <c r="K332" i="3"/>
  <c r="K351" i="3"/>
  <c r="K355" i="3"/>
  <c r="K359" i="3"/>
  <c r="K363" i="3"/>
  <c r="BU390" i="3"/>
  <c r="AT5" i="4"/>
  <c r="N5" i="4" s="1"/>
  <c r="BG5" i="4"/>
  <c r="AP6" i="4"/>
  <c r="S6" i="4" s="1"/>
  <c r="AO8" i="4"/>
  <c r="AT8" i="4"/>
  <c r="N8" i="4" s="1"/>
  <c r="BG8" i="4"/>
  <c r="AO10" i="4"/>
  <c r="AP12" i="4"/>
  <c r="S12" i="4" s="1"/>
  <c r="P13" i="4"/>
  <c r="AP13" i="4"/>
  <c r="S13" i="4" s="1"/>
  <c r="BH13" i="4"/>
  <c r="BB95" i="4" s="1"/>
  <c r="AP17" i="4"/>
  <c r="S17" i="4" s="1"/>
  <c r="AP99" i="4"/>
  <c r="S99" i="4" s="1"/>
  <c r="AT33" i="4"/>
  <c r="N33" i="4" s="1"/>
  <c r="BH34" i="4"/>
  <c r="AP123" i="4"/>
  <c r="S123" i="4" s="1"/>
  <c r="AT123" i="4"/>
  <c r="N123" i="4" s="1"/>
  <c r="BH38" i="4"/>
  <c r="BG44" i="4"/>
  <c r="BH46" i="4"/>
  <c r="AT54" i="4"/>
  <c r="N54" i="4" s="1"/>
  <c r="BH56" i="4"/>
  <c r="AT57" i="4"/>
  <c r="N57" i="4" s="1"/>
  <c r="BH58" i="4"/>
  <c r="AT62" i="4"/>
  <c r="N62" i="4" s="1"/>
  <c r="M67" i="4"/>
  <c r="AO68" i="4"/>
  <c r="AO70" i="4"/>
  <c r="AS77" i="4"/>
  <c r="AS88" i="4"/>
  <c r="AS92" i="4"/>
  <c r="AN92" i="4" s="1"/>
  <c r="Q92" i="4" s="1"/>
  <c r="AN113" i="4"/>
  <c r="Q113" i="4" s="1"/>
  <c r="M115" i="4"/>
  <c r="AM115" i="4"/>
  <c r="AQ115" i="4" s="1"/>
  <c r="AU117" i="4"/>
  <c r="L117" i="4" s="1"/>
  <c r="AT125" i="4"/>
  <c r="N125" i="4" s="1"/>
  <c r="M155" i="4"/>
  <c r="AM155" i="4"/>
  <c r="M157" i="4"/>
  <c r="AM157" i="4"/>
  <c r="P157" i="4" s="1"/>
  <c r="M159" i="4"/>
  <c r="AM159" i="4"/>
  <c r="P159" i="4" s="1"/>
  <c r="M161" i="4"/>
  <c r="AM161" i="4"/>
  <c r="P161" i="4" s="1"/>
  <c r="AN193" i="4"/>
  <c r="Q193" i="4" s="1"/>
  <c r="M193" i="4"/>
  <c r="AM193" i="4"/>
  <c r="AJ366" i="3"/>
  <c r="O366" i="3" s="1"/>
  <c r="K368" i="3"/>
  <c r="AJ370" i="3"/>
  <c r="O370" i="3" s="1"/>
  <c r="K372" i="3"/>
  <c r="AJ374" i="3"/>
  <c r="O374" i="3" s="1"/>
  <c r="K376" i="3"/>
  <c r="AJ378" i="3"/>
  <c r="O378" i="3" s="1"/>
  <c r="K380" i="3"/>
  <c r="AJ382" i="3"/>
  <c r="O382" i="3" s="1"/>
  <c r="K384" i="3"/>
  <c r="AJ386" i="3"/>
  <c r="O386" i="3" s="1"/>
  <c r="BU389" i="3"/>
  <c r="AO4" i="4"/>
  <c r="AO5" i="4"/>
  <c r="AM7" i="4"/>
  <c r="AQ7" i="4" s="1"/>
  <c r="AP8" i="4"/>
  <c r="S8" i="4" s="1"/>
  <c r="AP11" i="4"/>
  <c r="S11" i="4" s="1"/>
  <c r="AO15" i="4"/>
  <c r="R15" i="4" s="1"/>
  <c r="AQ18" i="4"/>
  <c r="AN21" i="4"/>
  <c r="Q21" i="4" s="1"/>
  <c r="BJ21" i="4"/>
  <c r="AQ25" i="4"/>
  <c r="BH39" i="4"/>
  <c r="AT41" i="4"/>
  <c r="N41" i="4" s="1"/>
  <c r="AO62" i="4"/>
  <c r="R62" i="4" s="1"/>
  <c r="AS68" i="4"/>
  <c r="AN68" i="4" s="1"/>
  <c r="Q68" i="4" s="1"/>
  <c r="AS70" i="4"/>
  <c r="AN70" i="4" s="1"/>
  <c r="Q70" i="4" s="1"/>
  <c r="AM73" i="4"/>
  <c r="P73" i="4" s="1"/>
  <c r="AS78" i="4"/>
  <c r="AN78" i="4" s="1"/>
  <c r="Q78" i="4" s="1"/>
  <c r="AU79" i="4"/>
  <c r="L79" i="4" s="1"/>
  <c r="AU90" i="4"/>
  <c r="L90" i="4" s="1"/>
  <c r="AS95" i="4"/>
  <c r="M97" i="4"/>
  <c r="AS99" i="4"/>
  <c r="M101" i="4"/>
  <c r="AS103" i="4"/>
  <c r="AU110" i="4"/>
  <c r="L110" i="4" s="1"/>
  <c r="AS110" i="4"/>
  <c r="AN111" i="4"/>
  <c r="Q111" i="4" s="1"/>
  <c r="M111" i="4"/>
  <c r="AS120" i="4"/>
  <c r="M120" i="4" s="1"/>
  <c r="AN120" i="4"/>
  <c r="Q120" i="4" s="1"/>
  <c r="AU124" i="4"/>
  <c r="L124" i="4" s="1"/>
  <c r="AS124" i="4"/>
  <c r="M124" i="4" s="1"/>
  <c r="AM128" i="4"/>
  <c r="AS145" i="4"/>
  <c r="AM145" i="4" s="1"/>
  <c r="AU145" i="4"/>
  <c r="L145" i="4" s="1"/>
  <c r="AS156" i="4"/>
  <c r="AU156" i="4"/>
  <c r="L156" i="4" s="1"/>
  <c r="AS158" i="4"/>
  <c r="AN158" i="4" s="1"/>
  <c r="Q158" i="4" s="1"/>
  <c r="AU158" i="4"/>
  <c r="L158" i="4" s="1"/>
  <c r="AS160" i="4"/>
  <c r="AN160" i="4" s="1"/>
  <c r="Q160" i="4" s="1"/>
  <c r="AU160" i="4"/>
  <c r="L160" i="4" s="1"/>
  <c r="AN188" i="4"/>
  <c r="Q188" i="4" s="1"/>
  <c r="BU331" i="3"/>
  <c r="AJ351" i="3"/>
  <c r="O351" i="3" s="1"/>
  <c r="AJ355" i="3"/>
  <c r="O355" i="3" s="1"/>
  <c r="AJ359" i="3"/>
  <c r="O359" i="3" s="1"/>
  <c r="AJ363" i="3"/>
  <c r="O363" i="3" s="1"/>
  <c r="BU387" i="3"/>
  <c r="BU388" i="3"/>
  <c r="AP15" i="4"/>
  <c r="S15" i="4" s="1"/>
  <c r="AP119" i="4"/>
  <c r="S119" i="4" s="1"/>
  <c r="AP52" i="4"/>
  <c r="S52" i="4" s="1"/>
  <c r="AP53" i="4"/>
  <c r="S53" i="4" s="1"/>
  <c r="AS84" i="4"/>
  <c r="AN84" i="4" s="1"/>
  <c r="Q84" i="4" s="1"/>
  <c r="AU85" i="4"/>
  <c r="L85" i="4" s="1"/>
  <c r="AS86" i="4"/>
  <c r="AN86" i="4" s="1"/>
  <c r="Q86" i="4" s="1"/>
  <c r="AU87" i="4"/>
  <c r="L87" i="4" s="1"/>
  <c r="M91" i="4"/>
  <c r="AN116" i="4"/>
  <c r="Q116" i="4" s="1"/>
  <c r="AS119" i="4"/>
  <c r="AU121" i="4"/>
  <c r="L121" i="4" s="1"/>
  <c r="AS121" i="4"/>
  <c r="AN121" i="4" s="1"/>
  <c r="Q121" i="4" s="1"/>
  <c r="AN126" i="4"/>
  <c r="Q126" i="4" s="1"/>
  <c r="AM126" i="4"/>
  <c r="M126" i="4"/>
  <c r="M128" i="4"/>
  <c r="AS129" i="4"/>
  <c r="AM129" i="4" s="1"/>
  <c r="AS133" i="4"/>
  <c r="AM133" i="4"/>
  <c r="P133" i="4" s="1"/>
  <c r="AS137" i="4"/>
  <c r="AM137" i="4" s="1"/>
  <c r="AS141" i="4"/>
  <c r="AM141" i="4"/>
  <c r="P141" i="4" s="1"/>
  <c r="AS147" i="4"/>
  <c r="AU147" i="4"/>
  <c r="L147" i="4" s="1"/>
  <c r="AN181" i="4"/>
  <c r="Q181" i="4" s="1"/>
  <c r="M181" i="4"/>
  <c r="AN172" i="4"/>
  <c r="Q172" i="4" s="1"/>
  <c r="AU173" i="4"/>
  <c r="L173" i="4" s="1"/>
  <c r="AN180" i="4"/>
  <c r="Q180" i="4" s="1"/>
  <c r="AU181" i="4"/>
  <c r="L181" i="4" s="1"/>
  <c r="AS188" i="4"/>
  <c r="M188" i="4" s="1"/>
  <c r="AU193" i="4"/>
  <c r="L193" i="4" s="1"/>
  <c r="AU198" i="4"/>
  <c r="L198" i="4" s="1"/>
  <c r="AS207" i="4"/>
  <c r="M207" i="4" s="1"/>
  <c r="AN210" i="4"/>
  <c r="Q210" i="4" s="1"/>
  <c r="AU300" i="4"/>
  <c r="L300" i="4" s="1"/>
  <c r="AU304" i="4"/>
  <c r="L304" i="4" s="1"/>
  <c r="AS304" i="4"/>
  <c r="AN308" i="4"/>
  <c r="Q308" i="4" s="1"/>
  <c r="M308" i="4"/>
  <c r="AM308" i="4"/>
  <c r="AU312" i="4"/>
  <c r="L312" i="4" s="1"/>
  <c r="AS312" i="4"/>
  <c r="AN318" i="4"/>
  <c r="Q318" i="4" s="1"/>
  <c r="AM318" i="4"/>
  <c r="AU322" i="4"/>
  <c r="L322" i="4" s="1"/>
  <c r="AS322" i="4"/>
  <c r="AU326" i="4"/>
  <c r="L326" i="4" s="1"/>
  <c r="AS326" i="4"/>
  <c r="AM326" i="4" s="1"/>
  <c r="AU330" i="4"/>
  <c r="L330" i="4" s="1"/>
  <c r="AS330" i="4"/>
  <c r="AM330" i="4" s="1"/>
  <c r="AU334" i="4"/>
  <c r="L334" i="4" s="1"/>
  <c r="AS334" i="4"/>
  <c r="AM334" i="4"/>
  <c r="AU338" i="4"/>
  <c r="L338" i="4" s="1"/>
  <c r="AS338" i="4"/>
  <c r="AM338" i="4"/>
  <c r="AN371" i="4"/>
  <c r="Q371" i="4" s="1"/>
  <c r="M371" i="4"/>
  <c r="AN378" i="4"/>
  <c r="Q378" i="4" s="1"/>
  <c r="AU379" i="4"/>
  <c r="L379" i="4" s="1"/>
  <c r="AS379" i="4"/>
  <c r="AN403" i="4"/>
  <c r="Q403" i="4" s="1"/>
  <c r="M403" i="4"/>
  <c r="AS413" i="4"/>
  <c r="M413" i="4" s="1"/>
  <c r="AN413" i="4"/>
  <c r="Q413" i="4" s="1"/>
  <c r="AS439" i="4"/>
  <c r="AU439" i="4"/>
  <c r="L439" i="4" s="1"/>
  <c r="AS454" i="4"/>
  <c r="AU454" i="4"/>
  <c r="L454" i="4" s="1"/>
  <c r="AN480" i="4"/>
  <c r="Q480" i="4" s="1"/>
  <c r="M480" i="4"/>
  <c r="AN481" i="4"/>
  <c r="Q481" i="4" s="1"/>
  <c r="M481" i="4"/>
  <c r="AN492" i="4"/>
  <c r="Q492" i="4" s="1"/>
  <c r="M492" i="4"/>
  <c r="AN517" i="4"/>
  <c r="Q517" i="4" s="1"/>
  <c r="AM517" i="4"/>
  <c r="AQ517" i="4" s="1"/>
  <c r="M517" i="4"/>
  <c r="AN534" i="4"/>
  <c r="Q534" i="4" s="1"/>
  <c r="M534" i="4"/>
  <c r="AN543" i="4"/>
  <c r="Q543" i="4" s="1"/>
  <c r="M543" i="4"/>
  <c r="AM302" i="4"/>
  <c r="M302" i="4"/>
  <c r="AU344" i="4"/>
  <c r="L344" i="4" s="1"/>
  <c r="AS344" i="4"/>
  <c r="M344" i="4" s="1"/>
  <c r="AU356" i="4"/>
  <c r="L356" i="4" s="1"/>
  <c r="AS356" i="4"/>
  <c r="M374" i="4"/>
  <c r="AN374" i="4"/>
  <c r="Q374" i="4" s="1"/>
  <c r="AN414" i="4"/>
  <c r="Q414" i="4" s="1"/>
  <c r="M414" i="4"/>
  <c r="AS422" i="4"/>
  <c r="AU422" i="4"/>
  <c r="L422" i="4" s="1"/>
  <c r="AM422" i="4"/>
  <c r="AS438" i="4"/>
  <c r="AU438" i="4"/>
  <c r="L438" i="4" s="1"/>
  <c r="AS450" i="4"/>
  <c r="AU450" i="4"/>
  <c r="L450" i="4" s="1"/>
  <c r="BJ126" i="4"/>
  <c r="AT127" i="4"/>
  <c r="N127" i="4" s="1"/>
  <c r="AS148" i="4"/>
  <c r="AM148" i="4" s="1"/>
  <c r="AS150" i="4"/>
  <c r="AM150" i="4" s="1"/>
  <c r="AS152" i="4"/>
  <c r="AS154" i="4"/>
  <c r="AN164" i="4"/>
  <c r="Q164" i="4" s="1"/>
  <c r="AS165" i="4"/>
  <c r="AS169" i="4"/>
  <c r="AM173" i="4"/>
  <c r="P173" i="4" s="1"/>
  <c r="AN176" i="4"/>
  <c r="Q176" i="4" s="1"/>
  <c r="AS177" i="4"/>
  <c r="AM181" i="4"/>
  <c r="P181" i="4" s="1"/>
  <c r="M185" i="4"/>
  <c r="AS189" i="4"/>
  <c r="M196" i="4"/>
  <c r="AN198" i="4"/>
  <c r="Q198" i="4" s="1"/>
  <c r="AS200" i="4"/>
  <c r="AS204" i="4"/>
  <c r="AM214" i="4"/>
  <c r="AQ214" i="4" s="1"/>
  <c r="AS216" i="4"/>
  <c r="AS220" i="4"/>
  <c r="M253" i="4"/>
  <c r="M257" i="4"/>
  <c r="M261" i="4"/>
  <c r="AS267" i="4"/>
  <c r="AS271" i="4"/>
  <c r="AU295" i="4"/>
  <c r="L295" i="4" s="1"/>
  <c r="AS295" i="4"/>
  <c r="AU342" i="4"/>
  <c r="L342" i="4" s="1"/>
  <c r="AS342" i="4"/>
  <c r="M342" i="4" s="1"/>
  <c r="AM342" i="4"/>
  <c r="AQ342" i="4" s="1"/>
  <c r="AU354" i="4"/>
  <c r="L354" i="4" s="1"/>
  <c r="AS354" i="4"/>
  <c r="AN354" i="4" s="1"/>
  <c r="Q354" i="4" s="1"/>
  <c r="AU359" i="4"/>
  <c r="L359" i="4" s="1"/>
  <c r="AS359" i="4"/>
  <c r="M359" i="4" s="1"/>
  <c r="AU360" i="4"/>
  <c r="L360" i="4" s="1"/>
  <c r="AS360" i="4"/>
  <c r="AN360" i="4" s="1"/>
  <c r="Q360" i="4" s="1"/>
  <c r="AM360" i="4"/>
  <c r="P360" i="4" s="1"/>
  <c r="AN364" i="4"/>
  <c r="Q364" i="4" s="1"/>
  <c r="AM364" i="4"/>
  <c r="M364" i="4"/>
  <c r="AU365" i="4"/>
  <c r="L365" i="4" s="1"/>
  <c r="AS365" i="4"/>
  <c r="AN365" i="4" s="1"/>
  <c r="Q365" i="4" s="1"/>
  <c r="AU366" i="4"/>
  <c r="L366" i="4" s="1"/>
  <c r="AS366" i="4"/>
  <c r="AN367" i="4"/>
  <c r="Q367" i="4" s="1"/>
  <c r="AM377" i="4"/>
  <c r="P377" i="4" s="1"/>
  <c r="AM381" i="4"/>
  <c r="P381" i="4" s="1"/>
  <c r="AM185" i="4"/>
  <c r="AM208" i="4"/>
  <c r="AM224" i="4"/>
  <c r="AS247" i="4"/>
  <c r="M249" i="4"/>
  <c r="AS250" i="4"/>
  <c r="AN250" i="4" s="1"/>
  <c r="Q250" i="4" s="1"/>
  <c r="M252" i="4"/>
  <c r="AS254" i="4"/>
  <c r="M256" i="4"/>
  <c r="AS258" i="4"/>
  <c r="M260" i="4"/>
  <c r="AS262" i="4"/>
  <c r="M264" i="4"/>
  <c r="M265" i="4"/>
  <c r="M269" i="4"/>
  <c r="AS273" i="4"/>
  <c r="AS275" i="4"/>
  <c r="AS277" i="4"/>
  <c r="AS279" i="4"/>
  <c r="AS281" i="4"/>
  <c r="AS283" i="4"/>
  <c r="AS285" i="4"/>
  <c r="AS287" i="4"/>
  <c r="AS289" i="4"/>
  <c r="AN289" i="4" s="1"/>
  <c r="Q289" i="4" s="1"/>
  <c r="AN291" i="4"/>
  <c r="Q291" i="4" s="1"/>
  <c r="AM297" i="4"/>
  <c r="AS300" i="4"/>
  <c r="AM304" i="4"/>
  <c r="AM312" i="4"/>
  <c r="M318" i="4"/>
  <c r="AM322" i="4"/>
  <c r="AU340" i="4"/>
  <c r="L340" i="4" s="1"/>
  <c r="AS340" i="4"/>
  <c r="M340" i="4" s="1"/>
  <c r="AU347" i="4"/>
  <c r="L347" i="4" s="1"/>
  <c r="AS347" i="4"/>
  <c r="AN347" i="4" s="1"/>
  <c r="Q347" i="4" s="1"/>
  <c r="AU375" i="4"/>
  <c r="L375" i="4" s="1"/>
  <c r="AS375" i="4"/>
  <c r="AU376" i="4"/>
  <c r="L376" i="4" s="1"/>
  <c r="AS376" i="4"/>
  <c r="M376" i="4" s="1"/>
  <c r="AN376" i="4"/>
  <c r="Q376" i="4" s="1"/>
  <c r="AM379" i="4"/>
  <c r="P382" i="4"/>
  <c r="AQ382" i="4"/>
  <c r="T382" i="4" s="1"/>
  <c r="AN405" i="4"/>
  <c r="Q405" i="4" s="1"/>
  <c r="M405" i="4"/>
  <c r="AS417" i="4"/>
  <c r="M417" i="4" s="1"/>
  <c r="AN417" i="4"/>
  <c r="Q417" i="4" s="1"/>
  <c r="AM314" i="4"/>
  <c r="AM357" i="4"/>
  <c r="AQ357" i="4" s="1"/>
  <c r="AM358" i="4"/>
  <c r="AU367" i="4"/>
  <c r="L367" i="4" s="1"/>
  <c r="AU378" i="4"/>
  <c r="L378" i="4" s="1"/>
  <c r="AN382" i="4"/>
  <c r="Q382" i="4" s="1"/>
  <c r="M406" i="4"/>
  <c r="AS408" i="4"/>
  <c r="AN408" i="4" s="1"/>
  <c r="Q408" i="4" s="1"/>
  <c r="AU418" i="4"/>
  <c r="L418" i="4" s="1"/>
  <c r="AN421" i="4"/>
  <c r="Q421" i="4" s="1"/>
  <c r="M425" i="4"/>
  <c r="AN443" i="4"/>
  <c r="Q443" i="4" s="1"/>
  <c r="M443" i="4"/>
  <c r="AN475" i="4"/>
  <c r="Q475" i="4" s="1"/>
  <c r="M475" i="4"/>
  <c r="AM482" i="4"/>
  <c r="AS435" i="4"/>
  <c r="AU435" i="4"/>
  <c r="L435" i="4" s="1"/>
  <c r="AN442" i="4"/>
  <c r="Q442" i="4" s="1"/>
  <c r="M442" i="4"/>
  <c r="AS444" i="4"/>
  <c r="AU444" i="4"/>
  <c r="L444" i="4" s="1"/>
  <c r="AQ452" i="4"/>
  <c r="P452" i="4"/>
  <c r="AQ456" i="4"/>
  <c r="P456" i="4"/>
  <c r="AN488" i="4"/>
  <c r="Q488" i="4" s="1"/>
  <c r="M488" i="4"/>
  <c r="AN496" i="4"/>
  <c r="Q496" i="4" s="1"/>
  <c r="M496" i="4"/>
  <c r="AN501" i="4"/>
  <c r="Q501" i="4" s="1"/>
  <c r="M501" i="4"/>
  <c r="AN528" i="4"/>
  <c r="Q528" i="4" s="1"/>
  <c r="M528" i="4"/>
  <c r="AN532" i="4"/>
  <c r="Q532" i="4" s="1"/>
  <c r="M532" i="4"/>
  <c r="M418" i="4"/>
  <c r="AS434" i="4"/>
  <c r="AU434" i="4"/>
  <c r="L434" i="4" s="1"/>
  <c r="AN452" i="4"/>
  <c r="Q452" i="4" s="1"/>
  <c r="M452" i="4"/>
  <c r="AN456" i="4"/>
  <c r="Q456" i="4" s="1"/>
  <c r="M456" i="4"/>
  <c r="AN509" i="4"/>
  <c r="Q509" i="4" s="1"/>
  <c r="M509" i="4"/>
  <c r="AN516" i="4"/>
  <c r="Q516" i="4" s="1"/>
  <c r="AM516" i="4"/>
  <c r="AQ516" i="4" s="1"/>
  <c r="M516" i="4"/>
  <c r="M537" i="4"/>
  <c r="AN537" i="4"/>
  <c r="Q537" i="4" s="1"/>
  <c r="AN546" i="4"/>
  <c r="Q546" i="4" s="1"/>
  <c r="AS459" i="4"/>
  <c r="AM459" i="4" s="1"/>
  <c r="M466" i="4"/>
  <c r="AU468" i="4"/>
  <c r="L468" i="4" s="1"/>
  <c r="AS470" i="4"/>
  <c r="M471" i="4"/>
  <c r="AU475" i="4"/>
  <c r="L475" i="4" s="1"/>
  <c r="AU476" i="4"/>
  <c r="L476" i="4" s="1"/>
  <c r="AS478" i="4"/>
  <c r="M479" i="4"/>
  <c r="AU481" i="4"/>
  <c r="L481" i="4" s="1"/>
  <c r="AS482" i="4"/>
  <c r="AM484" i="4"/>
  <c r="AU490" i="4"/>
  <c r="L490" i="4" s="1"/>
  <c r="AU494" i="4"/>
  <c r="L494" i="4" s="1"/>
  <c r="M497" i="4"/>
  <c r="AU501" i="4"/>
  <c r="L501" i="4" s="1"/>
  <c r="AU502" i="4"/>
  <c r="L502" i="4" s="1"/>
  <c r="AS504" i="4"/>
  <c r="M505" i="4"/>
  <c r="AU509" i="4"/>
  <c r="L509" i="4" s="1"/>
  <c r="AU510" i="4"/>
  <c r="L510" i="4" s="1"/>
  <c r="AS512" i="4"/>
  <c r="M513" i="4"/>
  <c r="T518" i="4"/>
  <c r="AU519" i="4"/>
  <c r="L519" i="4" s="1"/>
  <c r="AU534" i="4"/>
  <c r="L534" i="4" s="1"/>
  <c r="AM536" i="4"/>
  <c r="P536" i="4" s="1"/>
  <c r="AM538" i="4"/>
  <c r="AS539" i="4"/>
  <c r="M539" i="4" s="1"/>
  <c r="AS540" i="4"/>
  <c r="AN540" i="4" s="1"/>
  <c r="Q540" i="4" s="1"/>
  <c r="AS542" i="4"/>
  <c r="AU543" i="4"/>
  <c r="L543" i="4" s="1"/>
  <c r="AM545" i="4"/>
  <c r="AS546" i="4"/>
  <c r="M546" i="4" s="1"/>
  <c r="AU547" i="4"/>
  <c r="L547" i="4" s="1"/>
  <c r="AS551" i="4"/>
  <c r="AU552" i="4"/>
  <c r="L552" i="4" s="1"/>
  <c r="AN555" i="4"/>
  <c r="Q555" i="4" s="1"/>
  <c r="AS556" i="4"/>
  <c r="AN556" i="4" s="1"/>
  <c r="Q556" i="4" s="1"/>
  <c r="AN558" i="4"/>
  <c r="Q558" i="4" s="1"/>
  <c r="AS560" i="4"/>
  <c r="AS558" i="4"/>
  <c r="AM558" i="4" s="1"/>
  <c r="AU514" i="4"/>
  <c r="L514" i="4" s="1"/>
  <c r="AM534" i="4"/>
  <c r="P534" i="4" s="1"/>
  <c r="AM543" i="4"/>
  <c r="P543" i="4" s="1"/>
  <c r="AM547" i="4"/>
  <c r="P547" i="4" s="1"/>
  <c r="AN552" i="4"/>
  <c r="Q552" i="4" s="1"/>
  <c r="AM464" i="4"/>
  <c r="AM468" i="4"/>
  <c r="P468" i="4" s="1"/>
  <c r="AM490" i="4"/>
  <c r="AM494" i="4"/>
  <c r="P518" i="4"/>
  <c r="M536" i="4"/>
  <c r="M549" i="4"/>
  <c r="AM550" i="4"/>
  <c r="AQ550" i="4" s="1"/>
  <c r="AM553" i="4"/>
  <c r="AS141" i="5"/>
  <c r="M141" i="5" s="1"/>
  <c r="AR352" i="5"/>
  <c r="AM352" i="5" s="1"/>
  <c r="AT376" i="5"/>
  <c r="K376" i="5" s="1"/>
  <c r="AT377" i="5"/>
  <c r="K377" i="5" s="1"/>
  <c r="AR417" i="5"/>
  <c r="AN88" i="5"/>
  <c r="Q88" i="5" s="1"/>
  <c r="AS211" i="5"/>
  <c r="M211" i="5" s="1"/>
  <c r="AR186" i="5"/>
  <c r="AL186" i="5" s="1"/>
  <c r="AP186" i="5" s="1"/>
  <c r="AQ186" i="5" s="1"/>
  <c r="AT211" i="5"/>
  <c r="K211" i="5" s="1"/>
  <c r="AR233" i="5"/>
  <c r="AR286" i="5"/>
  <c r="L286" i="5" s="1"/>
  <c r="AT368" i="5"/>
  <c r="K368" i="5" s="1"/>
  <c r="AT369" i="5"/>
  <c r="K369" i="5" s="1"/>
  <c r="AT239" i="5"/>
  <c r="K239" i="5" s="1"/>
  <c r="AT240" i="5"/>
  <c r="K240" i="5" s="1"/>
  <c r="AT205" i="5"/>
  <c r="K205" i="5" s="1"/>
  <c r="AT243" i="5"/>
  <c r="K243" i="5" s="1"/>
  <c r="AR332" i="5"/>
  <c r="AS21" i="5"/>
  <c r="M21" i="5" s="1"/>
  <c r="AS23" i="5"/>
  <c r="M23" i="5" s="1"/>
  <c r="BJ59" i="5"/>
  <c r="AR336" i="5"/>
  <c r="AT384" i="5"/>
  <c r="K384" i="5" s="1"/>
  <c r="AT385" i="5"/>
  <c r="K385" i="5" s="1"/>
  <c r="AR455" i="5"/>
  <c r="L455" i="5" s="1"/>
  <c r="AT468" i="5"/>
  <c r="K468" i="5" s="1"/>
  <c r="AR470" i="5"/>
  <c r="L470" i="5" s="1"/>
  <c r="AL5" i="5"/>
  <c r="BL31" i="5"/>
  <c r="AR83" i="5"/>
  <c r="AR223" i="5"/>
  <c r="AL223" i="5" s="1"/>
  <c r="AR388" i="5"/>
  <c r="AL388" i="5" s="1"/>
  <c r="O388" i="5" s="1"/>
  <c r="AT430" i="5"/>
  <c r="K430" i="5" s="1"/>
  <c r="AT456" i="5"/>
  <c r="K456" i="5" s="1"/>
  <c r="AT457" i="5"/>
  <c r="K457" i="5" s="1"/>
  <c r="AT486" i="5"/>
  <c r="K486" i="5" s="1"/>
  <c r="AT488" i="5"/>
  <c r="K488" i="5" s="1"/>
  <c r="AT491" i="5"/>
  <c r="K491" i="5" s="1"/>
  <c r="BI8" i="5"/>
  <c r="AS92" i="5"/>
  <c r="M92" i="5" s="1"/>
  <c r="AT76" i="5"/>
  <c r="K76" i="5" s="1"/>
  <c r="AT77" i="5"/>
  <c r="K77" i="5" s="1"/>
  <c r="AT84" i="5"/>
  <c r="K84" i="5" s="1"/>
  <c r="AT85" i="5"/>
  <c r="K85" i="5" s="1"/>
  <c r="AT101" i="5"/>
  <c r="K101" i="5" s="1"/>
  <c r="AR141" i="5"/>
  <c r="L141" i="5" s="1"/>
  <c r="AR271" i="5"/>
  <c r="AR340" i="5"/>
  <c r="AR412" i="5"/>
  <c r="AL412" i="5" s="1"/>
  <c r="AR437" i="5"/>
  <c r="AR438" i="5"/>
  <c r="L438" i="5" s="1"/>
  <c r="AT478" i="5"/>
  <c r="K478" i="5" s="1"/>
  <c r="AR484" i="5"/>
  <c r="L484" i="5" s="1"/>
  <c r="BL16" i="5"/>
  <c r="BJ23" i="5"/>
  <c r="BV23" i="5" s="1"/>
  <c r="BJ50" i="5"/>
  <c r="BL53" i="5"/>
  <c r="AR196" i="5"/>
  <c r="AL9" i="5"/>
  <c r="AR22" i="5"/>
  <c r="AL22" i="5" s="1"/>
  <c r="BI46" i="5"/>
  <c r="BJ49" i="5"/>
  <c r="AN68" i="5"/>
  <c r="Q68" i="5" s="1"/>
  <c r="AR176" i="5"/>
  <c r="L176" i="5" s="1"/>
  <c r="AR251" i="5"/>
  <c r="L251" i="5" s="1"/>
  <c r="AR259" i="5"/>
  <c r="AR265" i="5"/>
  <c r="AM265" i="5" s="1"/>
  <c r="AR278" i="5"/>
  <c r="L278" i="5" s="1"/>
  <c r="AR433" i="5"/>
  <c r="AL433" i="5" s="1"/>
  <c r="AT472" i="5"/>
  <c r="K472" i="5" s="1"/>
  <c r="AR480" i="5"/>
  <c r="L480" i="5" s="1"/>
  <c r="AR18" i="5"/>
  <c r="AL18" i="5" s="1"/>
  <c r="O18" i="5" s="1"/>
  <c r="AS22" i="5"/>
  <c r="M22" i="5" s="1"/>
  <c r="BI29" i="5"/>
  <c r="BI33" i="5"/>
  <c r="AU34" i="5"/>
  <c r="BL40" i="5"/>
  <c r="AS117" i="5"/>
  <c r="M117" i="5" s="1"/>
  <c r="AR97" i="5"/>
  <c r="AM97" i="5" s="1"/>
  <c r="AR113" i="5"/>
  <c r="AR117" i="5"/>
  <c r="L117" i="5" s="1"/>
  <c r="AR118" i="5"/>
  <c r="AR133" i="5"/>
  <c r="AL133" i="5" s="1"/>
  <c r="AP133" i="5" s="1"/>
  <c r="AQ133" i="5" s="1"/>
  <c r="AR237" i="5"/>
  <c r="AT261" i="5"/>
  <c r="K261" i="5" s="1"/>
  <c r="AR453" i="5"/>
  <c r="AT462" i="5"/>
  <c r="K462" i="5" s="1"/>
  <c r="AR464" i="5"/>
  <c r="AR490" i="5"/>
  <c r="L490" i="5" s="1"/>
  <c r="AS8" i="5"/>
  <c r="M8" i="5" s="1"/>
  <c r="L12" i="5"/>
  <c r="AT25" i="5"/>
  <c r="K25" i="5" s="1"/>
  <c r="AT79" i="5"/>
  <c r="K79" i="5" s="1"/>
  <c r="AR91" i="5"/>
  <c r="AR134" i="5"/>
  <c r="AL134" i="5" s="1"/>
  <c r="AR137" i="5"/>
  <c r="AR147" i="5"/>
  <c r="L147" i="5" s="1"/>
  <c r="AR148" i="5"/>
  <c r="AM148" i="5" s="1"/>
  <c r="AR188" i="5"/>
  <c r="L188" i="5" s="1"/>
  <c r="AR207" i="5"/>
  <c r="L207" i="5" s="1"/>
  <c r="AR263" i="5"/>
  <c r="AT270" i="5"/>
  <c r="K270" i="5" s="1"/>
  <c r="AR326" i="5"/>
  <c r="AR404" i="5"/>
  <c r="AL404" i="5" s="1"/>
  <c r="AP404" i="5" s="1"/>
  <c r="AQ404" i="5" s="1"/>
  <c r="AT418" i="5"/>
  <c r="K418" i="5" s="1"/>
  <c r="AT446" i="5"/>
  <c r="K446" i="5" s="1"/>
  <c r="AT458" i="5"/>
  <c r="K458" i="5" s="1"/>
  <c r="AT192" i="5"/>
  <c r="K192" i="5" s="1"/>
  <c r="AR192" i="5"/>
  <c r="AL192" i="5" s="1"/>
  <c r="AF375" i="5"/>
  <c r="AF264" i="5"/>
  <c r="BL5" i="5"/>
  <c r="BL9" i="5"/>
  <c r="L13" i="5"/>
  <c r="BJ32" i="5"/>
  <c r="BV32" i="5" s="1"/>
  <c r="AR245" i="5"/>
  <c r="AL245" i="5" s="1"/>
  <c r="AT245" i="5"/>
  <c r="K245" i="5" s="1"/>
  <c r="AR250" i="5"/>
  <c r="L250" i="5" s="1"/>
  <c r="AT250" i="5"/>
  <c r="K250" i="5" s="1"/>
  <c r="AT254" i="5"/>
  <c r="K254" i="5" s="1"/>
  <c r="AR254" i="5"/>
  <c r="AL254" i="5" s="1"/>
  <c r="AT264" i="5"/>
  <c r="K264" i="5" s="1"/>
  <c r="AR264" i="5"/>
  <c r="AT276" i="5"/>
  <c r="K276" i="5" s="1"/>
  <c r="AR276" i="5"/>
  <c r="AL276" i="5" s="1"/>
  <c r="AP276" i="5" s="1"/>
  <c r="AQ276" i="5" s="1"/>
  <c r="AR294" i="5"/>
  <c r="L294" i="5" s="1"/>
  <c r="AT294" i="5"/>
  <c r="K294" i="5" s="1"/>
  <c r="L8" i="5"/>
  <c r="BJ55" i="5"/>
  <c r="AL73" i="5"/>
  <c r="O73" i="5" s="1"/>
  <c r="AN4" i="5"/>
  <c r="Q4" i="5" s="1"/>
  <c r="BJ7" i="5"/>
  <c r="BV7" i="5" s="1"/>
  <c r="BJ11" i="5"/>
  <c r="BV11" i="5" s="1"/>
  <c r="AL13" i="5"/>
  <c r="BJ17" i="5"/>
  <c r="BI20" i="5"/>
  <c r="AR27" i="5"/>
  <c r="AL27" i="5" s="1"/>
  <c r="BJ29" i="5"/>
  <c r="BV29" i="5" s="1"/>
  <c r="AU33" i="5"/>
  <c r="BJ33" i="5"/>
  <c r="BV33" i="5" s="1"/>
  <c r="BJ36" i="5"/>
  <c r="BV36" i="5" s="1"/>
  <c r="BL42" i="5"/>
  <c r="BJ45" i="5"/>
  <c r="BL48" i="5"/>
  <c r="BJ54" i="5"/>
  <c r="BJ58" i="5"/>
  <c r="AL68" i="5"/>
  <c r="O68" i="5" s="1"/>
  <c r="AL72" i="5"/>
  <c r="O72" i="5" s="1"/>
  <c r="AS80" i="5"/>
  <c r="M80" i="5" s="1"/>
  <c r="AR93" i="5"/>
  <c r="AT174" i="5"/>
  <c r="K174" i="5" s="1"/>
  <c r="AR174" i="5"/>
  <c r="AL174" i="5" s="1"/>
  <c r="AS12" i="5"/>
  <c r="M12" i="5" s="1"/>
  <c r="BI12" i="5"/>
  <c r="BJ20" i="5"/>
  <c r="AS25" i="5"/>
  <c r="M25" i="5" s="1"/>
  <c r="AS27" i="5"/>
  <c r="M27" i="5" s="1"/>
  <c r="AU36" i="5"/>
  <c r="BI47" i="5"/>
  <c r="BI50" i="5"/>
  <c r="P72" i="5"/>
  <c r="R73" i="5"/>
  <c r="AT209" i="5"/>
  <c r="K209" i="5" s="1"/>
  <c r="AR209" i="5"/>
  <c r="L209" i="5" s="1"/>
  <c r="AT221" i="5"/>
  <c r="K221" i="5" s="1"/>
  <c r="AR242" i="5"/>
  <c r="AT248" i="5"/>
  <c r="K248" i="5" s="1"/>
  <c r="AT253" i="5"/>
  <c r="K253" i="5" s="1"/>
  <c r="AT257" i="5"/>
  <c r="K257" i="5" s="1"/>
  <c r="AR257" i="5"/>
  <c r="AT258" i="5"/>
  <c r="K258" i="5" s="1"/>
  <c r="AT262" i="5"/>
  <c r="K262" i="5" s="1"/>
  <c r="AR262" i="5"/>
  <c r="AL262" i="5" s="1"/>
  <c r="AT273" i="5"/>
  <c r="K273" i="5" s="1"/>
  <c r="AT284" i="5"/>
  <c r="K284" i="5" s="1"/>
  <c r="AR284" i="5"/>
  <c r="AT330" i="5"/>
  <c r="K330" i="5" s="1"/>
  <c r="AS140" i="5"/>
  <c r="M140" i="5" s="1"/>
  <c r="AR231" i="5"/>
  <c r="AR246" i="5"/>
  <c r="AM246" i="5" s="1"/>
  <c r="AR249" i="5"/>
  <c r="L249" i="5" s="1"/>
  <c r="AR268" i="5"/>
  <c r="AR292" i="5"/>
  <c r="AR303" i="5"/>
  <c r="AL303" i="5" s="1"/>
  <c r="O303" i="5" s="1"/>
  <c r="AR311" i="5"/>
  <c r="AR318" i="5"/>
  <c r="AR322" i="5"/>
  <c r="AR324" i="5"/>
  <c r="AR334" i="5"/>
  <c r="AL334" i="5" s="1"/>
  <c r="AR337" i="5"/>
  <c r="AR360" i="5"/>
  <c r="AR364" i="5"/>
  <c r="L364" i="5" s="1"/>
  <c r="AR392" i="5"/>
  <c r="AL392" i="5" s="1"/>
  <c r="O392" i="5" s="1"/>
  <c r="AT397" i="5"/>
  <c r="K397" i="5" s="1"/>
  <c r="AR416" i="5"/>
  <c r="AR425" i="5"/>
  <c r="AL425" i="5" s="1"/>
  <c r="AR426" i="5"/>
  <c r="AR441" i="5"/>
  <c r="AM441" i="5" s="1"/>
  <c r="AR442" i="5"/>
  <c r="AT459" i="5"/>
  <c r="K459" i="5" s="1"/>
  <c r="AR466" i="5"/>
  <c r="L466" i="5" s="1"/>
  <c r="AR476" i="5"/>
  <c r="L476" i="5" s="1"/>
  <c r="AR482" i="5"/>
  <c r="AR497" i="5"/>
  <c r="L497" i="5" s="1"/>
  <c r="AR328" i="5"/>
  <c r="AR329" i="5"/>
  <c r="AL329" i="5" s="1"/>
  <c r="AR344" i="5"/>
  <c r="AM344" i="5" s="1"/>
  <c r="AR356" i="5"/>
  <c r="L356" i="5" s="1"/>
  <c r="AT361" i="5"/>
  <c r="K361" i="5" s="1"/>
  <c r="AL373" i="5"/>
  <c r="AP373" i="5" s="1"/>
  <c r="AQ373" i="5" s="1"/>
  <c r="AT381" i="5"/>
  <c r="K381" i="5" s="1"/>
  <c r="AT393" i="5"/>
  <c r="K393" i="5" s="1"/>
  <c r="AT405" i="5"/>
  <c r="K405" i="5" s="1"/>
  <c r="AR429" i="5"/>
  <c r="AR445" i="5"/>
  <c r="AL445" i="5" s="1"/>
  <c r="AR454" i="5"/>
  <c r="AL454" i="5" s="1"/>
  <c r="AT460" i="5"/>
  <c r="K460" i="5" s="1"/>
  <c r="AT494" i="5"/>
  <c r="K494" i="5" s="1"/>
  <c r="AN6" i="5"/>
  <c r="Q6" i="5" s="1"/>
  <c r="L11" i="5"/>
  <c r="AU38" i="5"/>
  <c r="AT26" i="5"/>
  <c r="K26" i="5" s="1"/>
  <c r="AT151" i="5"/>
  <c r="K151" i="5" s="1"/>
  <c r="AR151" i="5"/>
  <c r="AL151" i="5" s="1"/>
  <c r="AT160" i="5"/>
  <c r="K160" i="5" s="1"/>
  <c r="AR160" i="5"/>
  <c r="L160" i="5" s="1"/>
  <c r="AT161" i="5"/>
  <c r="K161" i="5" s="1"/>
  <c r="AR161" i="5"/>
  <c r="AM161" i="5" s="1"/>
  <c r="AS173" i="5"/>
  <c r="M173" i="5" s="1"/>
  <c r="AT173" i="5"/>
  <c r="K173" i="5" s="1"/>
  <c r="P14" i="5"/>
  <c r="L14" i="5"/>
  <c r="AR16" i="5"/>
  <c r="AU28" i="5"/>
  <c r="AU30" i="5"/>
  <c r="AT18" i="5"/>
  <c r="K18" i="5" s="1"/>
  <c r="AN18" i="5"/>
  <c r="Q18" i="5" s="1"/>
  <c r="BI24" i="5"/>
  <c r="AN26" i="5"/>
  <c r="Q26" i="5" s="1"/>
  <c r="AN98" i="5"/>
  <c r="Q98" i="5" s="1"/>
  <c r="AU39" i="5"/>
  <c r="BJ41" i="5"/>
  <c r="BV41" i="5" s="1"/>
  <c r="AN162" i="5"/>
  <c r="Q162" i="5" s="1"/>
  <c r="BI42" i="5"/>
  <c r="BL51" i="5"/>
  <c r="R71" i="5"/>
  <c r="AN71" i="5"/>
  <c r="Q71" i="5" s="1"/>
  <c r="BI52" i="5"/>
  <c r="BJ57" i="5"/>
  <c r="BL57" i="5"/>
  <c r="AT99" i="5"/>
  <c r="K99" i="5" s="1"/>
  <c r="AR99" i="5"/>
  <c r="AT106" i="5"/>
  <c r="K106" i="5" s="1"/>
  <c r="AR106" i="5"/>
  <c r="AL106" i="5" s="1"/>
  <c r="O106" i="5" s="1"/>
  <c r="AS109" i="5"/>
  <c r="M109" i="5" s="1"/>
  <c r="AT109" i="5"/>
  <c r="K109" i="5" s="1"/>
  <c r="AR139" i="5"/>
  <c r="L139" i="5" s="1"/>
  <c r="AR156" i="5"/>
  <c r="L156" i="5" s="1"/>
  <c r="AT156" i="5"/>
  <c r="K156" i="5" s="1"/>
  <c r="AT170" i="5"/>
  <c r="K170" i="5" s="1"/>
  <c r="AR170" i="5"/>
  <c r="AM170" i="5" s="1"/>
  <c r="AT172" i="5"/>
  <c r="K172" i="5" s="1"/>
  <c r="AR172" i="5"/>
  <c r="AL172" i="5" s="1"/>
  <c r="AR227" i="5"/>
  <c r="AL227" i="5" s="1"/>
  <c r="AT227" i="5"/>
  <c r="K227" i="5" s="1"/>
  <c r="AR275" i="5"/>
  <c r="AT275" i="5"/>
  <c r="K275" i="5" s="1"/>
  <c r="L7" i="5"/>
  <c r="AN14" i="5"/>
  <c r="Q14" i="5" s="1"/>
  <c r="BL37" i="5"/>
  <c r="BJ37" i="5"/>
  <c r="BV37" i="5" s="1"/>
  <c r="BL46" i="5"/>
  <c r="BJ46" i="5"/>
  <c r="BI57" i="5"/>
  <c r="AN22" i="5"/>
  <c r="Q22" i="5" s="1"/>
  <c r="AN12" i="5"/>
  <c r="Q12" i="5" s="1"/>
  <c r="BJ13" i="5"/>
  <c r="BV13" i="5" s="1"/>
  <c r="BL22" i="5"/>
  <c r="BJ28" i="5"/>
  <c r="BV28" i="5" s="1"/>
  <c r="AN65" i="5"/>
  <c r="Q65" i="5" s="1"/>
  <c r="AL69" i="5"/>
  <c r="O69" i="5" s="1"/>
  <c r="L69" i="5"/>
  <c r="AR87" i="5"/>
  <c r="AR111" i="5"/>
  <c r="L111" i="5" s="1"/>
  <c r="L4" i="5"/>
  <c r="AS5" i="5"/>
  <c r="M5" i="5" s="1"/>
  <c r="L6" i="5"/>
  <c r="AS6" i="5"/>
  <c r="M6" i="5" s="1"/>
  <c r="BI6" i="5"/>
  <c r="AL7" i="5"/>
  <c r="AN8" i="5"/>
  <c r="Q8" i="5" s="1"/>
  <c r="L10" i="5"/>
  <c r="AS10" i="5"/>
  <c r="M10" i="5" s="1"/>
  <c r="BI10" i="5"/>
  <c r="AL11" i="5"/>
  <c r="AS14" i="5"/>
  <c r="M14" i="5" s="1"/>
  <c r="BI14" i="5"/>
  <c r="AR21" i="5"/>
  <c r="AL21" i="5" s="1"/>
  <c r="O21" i="5" s="1"/>
  <c r="R21" i="5"/>
  <c r="BL24" i="5"/>
  <c r="AR26" i="5"/>
  <c r="AL26" i="5" s="1"/>
  <c r="BJ26" i="5"/>
  <c r="BV26" i="5" s="1"/>
  <c r="BL26" i="5"/>
  <c r="AN27" i="5"/>
  <c r="Q27" i="5" s="1"/>
  <c r="BL35" i="5"/>
  <c r="AS131" i="5"/>
  <c r="M131" i="5" s="1"/>
  <c r="BL44" i="5"/>
  <c r="AT88" i="5"/>
  <c r="AR88" i="5"/>
  <c r="AR94" i="5"/>
  <c r="AT108" i="5"/>
  <c r="K108" i="5" s="1"/>
  <c r="AR108" i="5"/>
  <c r="AM108" i="5" s="1"/>
  <c r="AT115" i="5"/>
  <c r="K115" i="5" s="1"/>
  <c r="AR115" i="5"/>
  <c r="AM115" i="5" s="1"/>
  <c r="AR135" i="5"/>
  <c r="L135" i="5" s="1"/>
  <c r="AS136" i="5"/>
  <c r="M136" i="5" s="1"/>
  <c r="AR152" i="5"/>
  <c r="AT153" i="5"/>
  <c r="K153" i="5" s="1"/>
  <c r="AR153" i="5"/>
  <c r="L153" i="5" s="1"/>
  <c r="AT155" i="5"/>
  <c r="K155" i="5" s="1"/>
  <c r="AR155" i="5"/>
  <c r="AR272" i="5"/>
  <c r="AL272" i="5" s="1"/>
  <c r="AT272" i="5"/>
  <c r="K272" i="5" s="1"/>
  <c r="AN10" i="5"/>
  <c r="Q10" i="5" s="1"/>
  <c r="BJ18" i="5"/>
  <c r="BL18" i="5"/>
  <c r="AU31" i="5"/>
  <c r="AT19" i="5"/>
  <c r="K19" i="5" s="1"/>
  <c r="AT20" i="5"/>
  <c r="K20" i="5" s="1"/>
  <c r="AS26" i="5"/>
  <c r="M26" i="5" s="1"/>
  <c r="BJ27" i="5"/>
  <c r="BV27" i="5" s="1"/>
  <c r="BL27" i="5"/>
  <c r="AU32" i="5"/>
  <c r="R64" i="5"/>
  <c r="AN64" i="5"/>
  <c r="Q64" i="5" s="1"/>
  <c r="BI43" i="5"/>
  <c r="R67" i="5"/>
  <c r="AN67" i="5"/>
  <c r="Q67" i="5" s="1"/>
  <c r="BI51" i="5"/>
  <c r="L79" i="5"/>
  <c r="AT102" i="5"/>
  <c r="K102" i="5" s="1"/>
  <c r="AR102" i="5"/>
  <c r="L102" i="5" s="1"/>
  <c r="AR110" i="5"/>
  <c r="AM110" i="5" s="1"/>
  <c r="AT143" i="5"/>
  <c r="K143" i="5" s="1"/>
  <c r="AR143" i="5"/>
  <c r="L143" i="5" s="1"/>
  <c r="AT145" i="5"/>
  <c r="K145" i="5" s="1"/>
  <c r="AT178" i="5"/>
  <c r="K178" i="5" s="1"/>
  <c r="AR178" i="5"/>
  <c r="AS179" i="5"/>
  <c r="M179" i="5" s="1"/>
  <c r="AT180" i="5"/>
  <c r="K180" i="5" s="1"/>
  <c r="AR180" i="5"/>
  <c r="AT190" i="5"/>
  <c r="K190" i="5" s="1"/>
  <c r="AR190" i="5"/>
  <c r="L190" i="5" s="1"/>
  <c r="AS191" i="5"/>
  <c r="M191" i="5" s="1"/>
  <c r="AT200" i="5"/>
  <c r="K200" i="5" s="1"/>
  <c r="AR200" i="5"/>
  <c r="AM200" i="5" s="1"/>
  <c r="AR213" i="5"/>
  <c r="AL213" i="5" s="1"/>
  <c r="O213" i="5" s="1"/>
  <c r="AT213" i="5"/>
  <c r="K213" i="5" s="1"/>
  <c r="AR313" i="5"/>
  <c r="AT313" i="5"/>
  <c r="K313" i="5" s="1"/>
  <c r="AU37" i="5"/>
  <c r="AN66" i="5"/>
  <c r="Q66" i="5" s="1"/>
  <c r="AS69" i="5"/>
  <c r="M69" i="5" s="1"/>
  <c r="AS78" i="5"/>
  <c r="M78" i="5" s="1"/>
  <c r="AT80" i="5"/>
  <c r="K80" i="5" s="1"/>
  <c r="AT81" i="5"/>
  <c r="K81" i="5" s="1"/>
  <c r="AS90" i="5"/>
  <c r="M90" i="5" s="1"/>
  <c r="AS112" i="5"/>
  <c r="M112" i="5" s="1"/>
  <c r="AR154" i="5"/>
  <c r="AL154" i="5" s="1"/>
  <c r="AP154" i="5" s="1"/>
  <c r="AQ154" i="5" s="1"/>
  <c r="AR157" i="5"/>
  <c r="L157" i="5" s="1"/>
  <c r="AR159" i="5"/>
  <c r="AM159" i="5" s="1"/>
  <c r="AR162" i="5"/>
  <c r="AR166" i="5"/>
  <c r="AM166" i="5" s="1"/>
  <c r="AR168" i="5"/>
  <c r="AM168" i="5" s="1"/>
  <c r="AR182" i="5"/>
  <c r="AM182" i="5" s="1"/>
  <c r="AR184" i="5"/>
  <c r="AM184" i="5" s="1"/>
  <c r="AS187" i="5"/>
  <c r="M187" i="5" s="1"/>
  <c r="AR203" i="5"/>
  <c r="AM203" i="5" s="1"/>
  <c r="AL211" i="5"/>
  <c r="AT215" i="5"/>
  <c r="K215" i="5" s="1"/>
  <c r="AT229" i="5"/>
  <c r="K229" i="5" s="1"/>
  <c r="AR229" i="5"/>
  <c r="AM229" i="5" s="1"/>
  <c r="L239" i="5"/>
  <c r="AT247" i="5"/>
  <c r="K247" i="5" s="1"/>
  <c r="AR247" i="5"/>
  <c r="AT255" i="5"/>
  <c r="K255" i="5" s="1"/>
  <c r="AR255" i="5"/>
  <c r="AL255" i="5" s="1"/>
  <c r="AR288" i="5"/>
  <c r="AT288" i="5"/>
  <c r="K288" i="5" s="1"/>
  <c r="AN153" i="5"/>
  <c r="Q153" i="5" s="1"/>
  <c r="AS108" i="5"/>
  <c r="M108" i="5" s="1"/>
  <c r="AN70" i="5"/>
  <c r="Q70" i="5" s="1"/>
  <c r="AS82" i="5"/>
  <c r="M82" i="5" s="1"/>
  <c r="AS86" i="5"/>
  <c r="M86" i="5" s="1"/>
  <c r="AS96" i="5"/>
  <c r="M96" i="5" s="1"/>
  <c r="AS104" i="5"/>
  <c r="M104" i="5" s="1"/>
  <c r="AS105" i="5"/>
  <c r="M105" i="5" s="1"/>
  <c r="AS144" i="5"/>
  <c r="M144" i="5" s="1"/>
  <c r="AS164" i="5"/>
  <c r="M164" i="5" s="1"/>
  <c r="AS165" i="5"/>
  <c r="M165" i="5" s="1"/>
  <c r="AS199" i="5"/>
  <c r="M199" i="5" s="1"/>
  <c r="AT204" i="5"/>
  <c r="K204" i="5" s="1"/>
  <c r="AN220" i="5"/>
  <c r="Q220" i="5" s="1"/>
  <c r="AR220" i="5"/>
  <c r="L220" i="5" s="1"/>
  <c r="AR225" i="5"/>
  <c r="AL225" i="5" s="1"/>
  <c r="AR235" i="5"/>
  <c r="AL235" i="5" s="1"/>
  <c r="AF244" i="5"/>
  <c r="AR335" i="5"/>
  <c r="L403" i="5"/>
  <c r="AS169" i="5"/>
  <c r="M169" i="5" s="1"/>
  <c r="AS183" i="5"/>
  <c r="M183" i="5" s="1"/>
  <c r="AS195" i="5"/>
  <c r="M195" i="5" s="1"/>
  <c r="AF359" i="5"/>
  <c r="AF248" i="5"/>
  <c r="AT217" i="5"/>
  <c r="K217" i="5" s="1"/>
  <c r="AR217" i="5"/>
  <c r="AL217" i="5" s="1"/>
  <c r="AT219" i="5"/>
  <c r="K219" i="5" s="1"/>
  <c r="AR219" i="5"/>
  <c r="AM219" i="5" s="1"/>
  <c r="AF383" i="5"/>
  <c r="AF272" i="5"/>
  <c r="AT244" i="5"/>
  <c r="K244" i="5" s="1"/>
  <c r="AR244" i="5"/>
  <c r="AT252" i="5"/>
  <c r="K252" i="5" s="1"/>
  <c r="AR252" i="5"/>
  <c r="AL252" i="5" s="1"/>
  <c r="AT260" i="5"/>
  <c r="K260" i="5" s="1"/>
  <c r="AR260" i="5"/>
  <c r="AT338" i="5"/>
  <c r="K338" i="5" s="1"/>
  <c r="AR338" i="5"/>
  <c r="AT349" i="5"/>
  <c r="K349" i="5" s="1"/>
  <c r="AR349" i="5"/>
  <c r="AM349" i="5" s="1"/>
  <c r="AL270" i="5"/>
  <c r="AT274" i="5"/>
  <c r="K274" i="5" s="1"/>
  <c r="AR274" i="5"/>
  <c r="AM274" i="5" s="1"/>
  <c r="AT290" i="5"/>
  <c r="K290" i="5" s="1"/>
  <c r="AR290" i="5"/>
  <c r="AT307" i="5"/>
  <c r="K307" i="5" s="1"/>
  <c r="AT314" i="5"/>
  <c r="K314" i="5" s="1"/>
  <c r="AR314" i="5"/>
  <c r="AT316" i="5"/>
  <c r="K316" i="5" s="1"/>
  <c r="AR316" i="5"/>
  <c r="AM316" i="5" s="1"/>
  <c r="AF379" i="5"/>
  <c r="AF268" i="5"/>
  <c r="AL239" i="5"/>
  <c r="O239" i="5" s="1"/>
  <c r="AF256" i="5"/>
  <c r="AL258" i="5"/>
  <c r="AT266" i="5"/>
  <c r="K266" i="5" s="1"/>
  <c r="AR267" i="5"/>
  <c r="AL267" i="5" s="1"/>
  <c r="AR280" i="5"/>
  <c r="AM280" i="5" s="1"/>
  <c r="AR296" i="5"/>
  <c r="AR299" i="5"/>
  <c r="AM299" i="5" s="1"/>
  <c r="AT320" i="5"/>
  <c r="K320" i="5" s="1"/>
  <c r="AR320" i="5"/>
  <c r="AM320" i="5" s="1"/>
  <c r="AR347" i="5"/>
  <c r="L347" i="5" s="1"/>
  <c r="P351" i="5"/>
  <c r="L351" i="5"/>
  <c r="AR365" i="5"/>
  <c r="AL365" i="5" s="1"/>
  <c r="AT365" i="5"/>
  <c r="K365" i="5" s="1"/>
  <c r="AL430" i="5"/>
  <c r="L430" i="5"/>
  <c r="AL446" i="5"/>
  <c r="AT269" i="5"/>
  <c r="K269" i="5" s="1"/>
  <c r="AR269" i="5"/>
  <c r="AM269" i="5" s="1"/>
  <c r="AT282" i="5"/>
  <c r="K282" i="5" s="1"/>
  <c r="AR282" i="5"/>
  <c r="AT298" i="5"/>
  <c r="K298" i="5" s="1"/>
  <c r="AR298" i="5"/>
  <c r="L298" i="5" s="1"/>
  <c r="AT321" i="5"/>
  <c r="K321" i="5" s="1"/>
  <c r="AR321" i="5"/>
  <c r="AL342" i="5"/>
  <c r="O342" i="5" s="1"/>
  <c r="AT353" i="5"/>
  <c r="K353" i="5" s="1"/>
  <c r="AT357" i="5"/>
  <c r="K357" i="5" s="1"/>
  <c r="AR372" i="5"/>
  <c r="AM372" i="5" s="1"/>
  <c r="AL389" i="5"/>
  <c r="AP389" i="5" s="1"/>
  <c r="AQ389" i="5" s="1"/>
  <c r="AR396" i="5"/>
  <c r="AR400" i="5"/>
  <c r="AM400" i="5" s="1"/>
  <c r="AR419" i="5"/>
  <c r="AM419" i="5" s="1"/>
  <c r="AR449" i="5"/>
  <c r="AT389" i="5"/>
  <c r="K389" i="5" s="1"/>
  <c r="AT401" i="5"/>
  <c r="K401" i="5" s="1"/>
  <c r="L411" i="5"/>
  <c r="AT450" i="5"/>
  <c r="K450" i="5" s="1"/>
  <c r="L24" i="5"/>
  <c r="P24" i="5"/>
  <c r="AL24" i="5"/>
  <c r="O24" i="5" s="1"/>
  <c r="AL25" i="5"/>
  <c r="O25" i="5" s="1"/>
  <c r="Q73" i="5"/>
  <c r="L77" i="5"/>
  <c r="AL77" i="5"/>
  <c r="L85" i="5"/>
  <c r="AL85" i="5"/>
  <c r="BM124" i="5"/>
  <c r="BE85" i="5"/>
  <c r="BM85" i="5" s="1"/>
  <c r="BE95" i="5"/>
  <c r="BL95" i="5" s="1"/>
  <c r="AP79" i="5"/>
  <c r="AQ79" i="5" s="1"/>
  <c r="O79" i="5"/>
  <c r="L81" i="5"/>
  <c r="O64" i="5"/>
  <c r="AL204" i="5"/>
  <c r="BE99" i="5"/>
  <c r="BI99" i="5" s="1"/>
  <c r="L20" i="5"/>
  <c r="P20" i="5"/>
  <c r="AL20" i="5"/>
  <c r="O20" i="5" s="1"/>
  <c r="O65" i="5"/>
  <c r="P15" i="5"/>
  <c r="R482" i="5"/>
  <c r="R445" i="5"/>
  <c r="AN482" i="5"/>
  <c r="AN445" i="5"/>
  <c r="AN408" i="5"/>
  <c r="AN334" i="5"/>
  <c r="AN371" i="5"/>
  <c r="AN260" i="5"/>
  <c r="AN223" i="5"/>
  <c r="BL15" i="5"/>
  <c r="AS16" i="5"/>
  <c r="M16" i="5" s="1"/>
  <c r="AT17" i="5"/>
  <c r="K17" i="5" s="1"/>
  <c r="BI17" i="5"/>
  <c r="AS458" i="5"/>
  <c r="M458" i="5" s="1"/>
  <c r="AS273" i="5"/>
  <c r="M273" i="5" s="1"/>
  <c r="AS384" i="5"/>
  <c r="M384" i="5" s="1"/>
  <c r="AN19" i="5"/>
  <c r="Q19" i="5" s="1"/>
  <c r="AR19" i="5"/>
  <c r="AM19" i="5" s="1"/>
  <c r="AN474" i="5"/>
  <c r="AN437" i="5"/>
  <c r="AN400" i="5"/>
  <c r="AN363" i="5"/>
  <c r="AN326" i="5"/>
  <c r="AN252" i="5"/>
  <c r="AN215" i="5"/>
  <c r="BL19" i="5"/>
  <c r="AS20" i="5"/>
  <c r="M20" i="5" s="1"/>
  <c r="AN21" i="5"/>
  <c r="Q21" i="5" s="1"/>
  <c r="R453" i="5"/>
  <c r="AN490" i="5"/>
  <c r="AN453" i="5"/>
  <c r="AN416" i="5"/>
  <c r="AN379" i="5"/>
  <c r="AN342" i="5"/>
  <c r="R268" i="5"/>
  <c r="AN268" i="5"/>
  <c r="AN231" i="5"/>
  <c r="BL21" i="5"/>
  <c r="AT23" i="5"/>
  <c r="K23" i="5" s="1"/>
  <c r="BI23" i="5"/>
  <c r="AS497" i="5"/>
  <c r="M497" i="5" s="1"/>
  <c r="AS460" i="5"/>
  <c r="M460" i="5" s="1"/>
  <c r="AS349" i="5"/>
  <c r="M349" i="5" s="1"/>
  <c r="AS275" i="5"/>
  <c r="M275" i="5" s="1"/>
  <c r="R24" i="5"/>
  <c r="AS24" i="5"/>
  <c r="M24" i="5" s="1"/>
  <c r="AN25" i="5"/>
  <c r="Q25" i="5" s="1"/>
  <c r="AN438" i="5"/>
  <c r="R401" i="5"/>
  <c r="AN290" i="5"/>
  <c r="AN364" i="5"/>
  <c r="AN253" i="5"/>
  <c r="BL25" i="5"/>
  <c r="BI28" i="5"/>
  <c r="AS476" i="5"/>
  <c r="M476" i="5" s="1"/>
  <c r="AS291" i="5"/>
  <c r="M291" i="5" s="1"/>
  <c r="AS365" i="5"/>
  <c r="M365" i="5" s="1"/>
  <c r="AS254" i="5"/>
  <c r="M254" i="5" s="1"/>
  <c r="AS328" i="5"/>
  <c r="M328" i="5" s="1"/>
  <c r="R468" i="5"/>
  <c r="AN468" i="5"/>
  <c r="R283" i="5"/>
  <c r="R357" i="5"/>
  <c r="R246" i="5"/>
  <c r="AN320" i="5"/>
  <c r="AN246" i="5"/>
  <c r="AN209" i="5"/>
  <c r="BL30" i="5"/>
  <c r="AS486" i="5"/>
  <c r="M486" i="5" s="1"/>
  <c r="AS449" i="5"/>
  <c r="M449" i="5" s="1"/>
  <c r="AS338" i="5"/>
  <c r="M338" i="5" s="1"/>
  <c r="AS412" i="5"/>
  <c r="M412" i="5" s="1"/>
  <c r="AS264" i="5"/>
  <c r="M264" i="5" s="1"/>
  <c r="AS227" i="5"/>
  <c r="M227" i="5" s="1"/>
  <c r="AN313" i="5"/>
  <c r="AN387" i="5"/>
  <c r="AN276" i="5"/>
  <c r="AN239" i="5"/>
  <c r="BL34" i="5"/>
  <c r="AU35" i="5"/>
  <c r="AS478" i="5"/>
  <c r="M478" i="5" s="1"/>
  <c r="AS441" i="5"/>
  <c r="M441" i="5" s="1"/>
  <c r="AS404" i="5"/>
  <c r="M404" i="5" s="1"/>
  <c r="AS330" i="5"/>
  <c r="M330" i="5" s="1"/>
  <c r="AS256" i="5"/>
  <c r="M256" i="5" s="1"/>
  <c r="R455" i="5"/>
  <c r="AN455" i="5"/>
  <c r="AN418" i="5"/>
  <c r="AN344" i="5"/>
  <c r="AN307" i="5"/>
  <c r="AN270" i="5"/>
  <c r="AN233" i="5"/>
  <c r="BL38" i="5"/>
  <c r="AN470" i="5"/>
  <c r="AN433" i="5"/>
  <c r="AN396" i="5"/>
  <c r="R396" i="5"/>
  <c r="AN322" i="5"/>
  <c r="AN359" i="5"/>
  <c r="AN248" i="5"/>
  <c r="AN211" i="5"/>
  <c r="BL39" i="5"/>
  <c r="AS488" i="5"/>
  <c r="M488" i="5" s="1"/>
  <c r="AS377" i="5"/>
  <c r="M377" i="5" s="1"/>
  <c r="AS303" i="5"/>
  <c r="M303" i="5" s="1"/>
  <c r="AS340" i="5"/>
  <c r="M340" i="5" s="1"/>
  <c r="AS266" i="5"/>
  <c r="M266" i="5" s="1"/>
  <c r="AS229" i="5"/>
  <c r="M229" i="5" s="1"/>
  <c r="BL43" i="5"/>
  <c r="BI45" i="5"/>
  <c r="BL47" i="5"/>
  <c r="BI49" i="5"/>
  <c r="BL52" i="5"/>
  <c r="BL56" i="5"/>
  <c r="BL60" i="5"/>
  <c r="P64" i="5"/>
  <c r="AL67" i="5"/>
  <c r="AN69" i="5"/>
  <c r="AL71" i="5"/>
  <c r="AL75" i="5"/>
  <c r="AN76" i="5"/>
  <c r="AS77" i="5"/>
  <c r="M77" i="5" s="1"/>
  <c r="AT78" i="5"/>
  <c r="K78" i="5" s="1"/>
  <c r="AN80" i="5"/>
  <c r="AS81" i="5"/>
  <c r="M81" i="5" s="1"/>
  <c r="AT82" i="5"/>
  <c r="K82" i="5" s="1"/>
  <c r="AN84" i="5"/>
  <c r="AS85" i="5"/>
  <c r="M85" i="5" s="1"/>
  <c r="AT86" i="5"/>
  <c r="K86" i="5" s="1"/>
  <c r="AN87" i="5"/>
  <c r="AR89" i="5"/>
  <c r="AM89" i="5" s="1"/>
  <c r="AN89" i="5"/>
  <c r="AR92" i="5"/>
  <c r="AM92" i="5" s="1"/>
  <c r="AN92" i="5"/>
  <c r="AN93" i="5"/>
  <c r="AS93" i="5"/>
  <c r="M93" i="5" s="1"/>
  <c r="AT94" i="5"/>
  <c r="K94" i="5" s="1"/>
  <c r="AN95" i="5"/>
  <c r="AR100" i="5"/>
  <c r="AM100" i="5" s="1"/>
  <c r="AN100" i="5"/>
  <c r="AN101" i="5"/>
  <c r="AS101" i="5"/>
  <c r="M101" i="5" s="1"/>
  <c r="AR103" i="5"/>
  <c r="AM103" i="5" s="1"/>
  <c r="AN103" i="5"/>
  <c r="AN104" i="5"/>
  <c r="AS106" i="5"/>
  <c r="M106" i="5" s="1"/>
  <c r="AS110" i="5"/>
  <c r="M110" i="5" s="1"/>
  <c r="R114" i="5"/>
  <c r="AT114" i="5"/>
  <c r="K114" i="5" s="1"/>
  <c r="AS115" i="5"/>
  <c r="M115" i="5" s="1"/>
  <c r="R115" i="5"/>
  <c r="AN117" i="5"/>
  <c r="R118" i="5"/>
  <c r="R119" i="5"/>
  <c r="AT119" i="5"/>
  <c r="K119" i="5" s="1"/>
  <c r="AL119" i="5"/>
  <c r="R120" i="5"/>
  <c r="R125" i="5"/>
  <c r="R128" i="5"/>
  <c r="AT128" i="5"/>
  <c r="K128" i="5" s="1"/>
  <c r="R132" i="5"/>
  <c r="AT132" i="5"/>
  <c r="K132" i="5" s="1"/>
  <c r="AS133" i="5"/>
  <c r="M133" i="5" s="1"/>
  <c r="R133" i="5"/>
  <c r="AN134" i="5"/>
  <c r="AS134" i="5"/>
  <c r="M134" i="5" s="1"/>
  <c r="AN136" i="5"/>
  <c r="AN140" i="5"/>
  <c r="AN144" i="5"/>
  <c r="AN150" i="5"/>
  <c r="AS152" i="5"/>
  <c r="M152" i="5" s="1"/>
  <c r="AS153" i="5"/>
  <c r="M153" i="5" s="1"/>
  <c r="AN158" i="5"/>
  <c r="AS160" i="5"/>
  <c r="M160" i="5" s="1"/>
  <c r="R160" i="5"/>
  <c r="AN161" i="5"/>
  <c r="AS161" i="5"/>
  <c r="M161" i="5" s="1"/>
  <c r="AR163" i="5"/>
  <c r="AM163" i="5" s="1"/>
  <c r="AN163" i="5"/>
  <c r="AN164" i="5"/>
  <c r="AS166" i="5"/>
  <c r="M166" i="5" s="1"/>
  <c r="AS170" i="5"/>
  <c r="M170" i="5" s="1"/>
  <c r="AS174" i="5"/>
  <c r="M174" i="5" s="1"/>
  <c r="AS177" i="5"/>
  <c r="M177" i="5" s="1"/>
  <c r="AS178" i="5"/>
  <c r="M178" i="5" s="1"/>
  <c r="AR179" i="5"/>
  <c r="L179" i="5" s="1"/>
  <c r="AS181" i="5"/>
  <c r="M181" i="5" s="1"/>
  <c r="AS182" i="5"/>
  <c r="M182" i="5" s="1"/>
  <c r="AR183" i="5"/>
  <c r="L183" i="5" s="1"/>
  <c r="AS185" i="5"/>
  <c r="M185" i="5" s="1"/>
  <c r="AS186" i="5"/>
  <c r="M186" i="5" s="1"/>
  <c r="AR187" i="5"/>
  <c r="L187" i="5" s="1"/>
  <c r="AS189" i="5"/>
  <c r="M189" i="5" s="1"/>
  <c r="AS190" i="5"/>
  <c r="M190" i="5" s="1"/>
  <c r="AR191" i="5"/>
  <c r="L191" i="5" s="1"/>
  <c r="AS193" i="5"/>
  <c r="M193" i="5" s="1"/>
  <c r="AS194" i="5"/>
  <c r="M194" i="5" s="1"/>
  <c r="AR195" i="5"/>
  <c r="L195" i="5" s="1"/>
  <c r="AS197" i="5"/>
  <c r="M197" i="5" s="1"/>
  <c r="AS198" i="5"/>
  <c r="M198" i="5" s="1"/>
  <c r="AR199" i="5"/>
  <c r="L199" i="5" s="1"/>
  <c r="AS201" i="5"/>
  <c r="M201" i="5" s="1"/>
  <c r="AS202" i="5"/>
  <c r="M202" i="5" s="1"/>
  <c r="AN203" i="5"/>
  <c r="AF426" i="5"/>
  <c r="AF389" i="5"/>
  <c r="AF241" i="5"/>
  <c r="AF352" i="5"/>
  <c r="AR206" i="5"/>
  <c r="R209" i="5"/>
  <c r="AN212" i="5"/>
  <c r="AN216" i="5"/>
  <c r="R221" i="5"/>
  <c r="AN224" i="5"/>
  <c r="AN228" i="5"/>
  <c r="AS230" i="5"/>
  <c r="M230" i="5" s="1"/>
  <c r="AS234" i="5"/>
  <c r="M234" i="5" s="1"/>
  <c r="AS238" i="5"/>
  <c r="M238" i="5" s="1"/>
  <c r="L355" i="5"/>
  <c r="R10" i="5"/>
  <c r="AN15" i="5"/>
  <c r="Q15" i="5" s="1"/>
  <c r="R430" i="5"/>
  <c r="AN430" i="5"/>
  <c r="R393" i="5"/>
  <c r="AN356" i="5"/>
  <c r="AN282" i="5"/>
  <c r="R356" i="5"/>
  <c r="AN245" i="5"/>
  <c r="AS454" i="5"/>
  <c r="M454" i="5" s="1"/>
  <c r="AS491" i="5"/>
  <c r="M491" i="5" s="1"/>
  <c r="AS417" i="5"/>
  <c r="M417" i="5" s="1"/>
  <c r="AS306" i="5"/>
  <c r="M306" i="5" s="1"/>
  <c r="AS380" i="5"/>
  <c r="M380" i="5" s="1"/>
  <c r="AS269" i="5"/>
  <c r="M269" i="5" s="1"/>
  <c r="AN395" i="5"/>
  <c r="AN321" i="5"/>
  <c r="AN284" i="5"/>
  <c r="AN247" i="5"/>
  <c r="AS450" i="5"/>
  <c r="M450" i="5" s="1"/>
  <c r="AS376" i="5"/>
  <c r="M376" i="5" s="1"/>
  <c r="AS265" i="5"/>
  <c r="M265" i="5" s="1"/>
  <c r="AN442" i="5"/>
  <c r="AN368" i="5"/>
  <c r="R368" i="5"/>
  <c r="AN294" i="5"/>
  <c r="AN257" i="5"/>
  <c r="AS456" i="5"/>
  <c r="M456" i="5" s="1"/>
  <c r="AS419" i="5"/>
  <c r="M419" i="5" s="1"/>
  <c r="AS308" i="5"/>
  <c r="M308" i="5" s="1"/>
  <c r="AS271" i="5"/>
  <c r="M271" i="5" s="1"/>
  <c r="AS345" i="5"/>
  <c r="M345" i="5" s="1"/>
  <c r="AN74" i="5"/>
  <c r="R76" i="5"/>
  <c r="AS76" i="5"/>
  <c r="M76" i="5" s="1"/>
  <c r="AN79" i="5"/>
  <c r="AN83" i="5"/>
  <c r="AS84" i="5"/>
  <c r="M84" i="5" s="1"/>
  <c r="AS87" i="5"/>
  <c r="M87" i="5" s="1"/>
  <c r="BE89" i="5"/>
  <c r="BK89" i="5" s="1"/>
  <c r="AN90" i="5"/>
  <c r="R93" i="5"/>
  <c r="AS95" i="5"/>
  <c r="M95" i="5" s="1"/>
  <c r="R96" i="5"/>
  <c r="AS98" i="5"/>
  <c r="M98" i="5" s="1"/>
  <c r="AT104" i="5"/>
  <c r="K104" i="5" s="1"/>
  <c r="AN107" i="5"/>
  <c r="AS107" i="5"/>
  <c r="M107" i="5" s="1"/>
  <c r="AS116" i="5"/>
  <c r="M116" i="5" s="1"/>
  <c r="R117" i="5"/>
  <c r="AR120" i="5"/>
  <c r="L120" i="5" s="1"/>
  <c r="AN120" i="5"/>
  <c r="AS121" i="5"/>
  <c r="M121" i="5" s="1"/>
  <c r="AR122" i="5"/>
  <c r="L122" i="5" s="1"/>
  <c r="AN122" i="5"/>
  <c r="AN123" i="5"/>
  <c r="AS123" i="5"/>
  <c r="M123" i="5" s="1"/>
  <c r="BL124" i="5"/>
  <c r="AR125" i="5"/>
  <c r="AN125" i="5"/>
  <c r="AN126" i="5"/>
  <c r="AS126" i="5"/>
  <c r="M126" i="5" s="1"/>
  <c r="AR129" i="5"/>
  <c r="AN129" i="5"/>
  <c r="AN130" i="5"/>
  <c r="AS130" i="5"/>
  <c r="M130" i="5" s="1"/>
  <c r="R134" i="5"/>
  <c r="AT136" i="5"/>
  <c r="K136" i="5" s="1"/>
  <c r="AN137" i="5"/>
  <c r="AS137" i="5"/>
  <c r="M137" i="5" s="1"/>
  <c r="AR138" i="5"/>
  <c r="L138" i="5" s="1"/>
  <c r="AN138" i="5"/>
  <c r="AT140" i="5"/>
  <c r="K140" i="5" s="1"/>
  <c r="AN141" i="5"/>
  <c r="AR142" i="5"/>
  <c r="AN142" i="5"/>
  <c r="AT144" i="5"/>
  <c r="K144" i="5" s="1"/>
  <c r="AN145" i="5"/>
  <c r="AS145" i="5"/>
  <c r="M145" i="5" s="1"/>
  <c r="AR146" i="5"/>
  <c r="L146" i="5" s="1"/>
  <c r="AN146" i="5"/>
  <c r="AS149" i="5"/>
  <c r="M149" i="5" s="1"/>
  <c r="AS150" i="5"/>
  <c r="M150" i="5" s="1"/>
  <c r="AS151" i="5"/>
  <c r="M151" i="5" s="1"/>
  <c r="AN156" i="5"/>
  <c r="AS158" i="5"/>
  <c r="M158" i="5" s="1"/>
  <c r="AN159" i="5"/>
  <c r="AS159" i="5"/>
  <c r="M159" i="5" s="1"/>
  <c r="AT164" i="5"/>
  <c r="K164" i="5" s="1"/>
  <c r="R169" i="5"/>
  <c r="AN171" i="5"/>
  <c r="AN175" i="5"/>
  <c r="AN179" i="5"/>
  <c r="AN183" i="5"/>
  <c r="AN187" i="5"/>
  <c r="AN191" i="5"/>
  <c r="AN195" i="5"/>
  <c r="AN199" i="5"/>
  <c r="AN206" i="5"/>
  <c r="AF430" i="5"/>
  <c r="AF393" i="5"/>
  <c r="AF356" i="5"/>
  <c r="AF245" i="5"/>
  <c r="AS210" i="5"/>
  <c r="M210" i="5" s="1"/>
  <c r="R210" i="5"/>
  <c r="AT210" i="5"/>
  <c r="K210" i="5" s="1"/>
  <c r="AF434" i="5"/>
  <c r="AF397" i="5"/>
  <c r="AF360" i="5"/>
  <c r="AF249" i="5"/>
  <c r="AS214" i="5"/>
  <c r="M214" i="5" s="1"/>
  <c r="R214" i="5"/>
  <c r="AT214" i="5"/>
  <c r="K214" i="5" s="1"/>
  <c r="AF438" i="5"/>
  <c r="AF401" i="5"/>
  <c r="AF364" i="5"/>
  <c r="AF253" i="5"/>
  <c r="AS218" i="5"/>
  <c r="M218" i="5" s="1"/>
  <c r="AT218" i="5"/>
  <c r="K218" i="5" s="1"/>
  <c r="AS219" i="5"/>
  <c r="M219" i="5" s="1"/>
  <c r="AF442" i="5"/>
  <c r="AF405" i="5"/>
  <c r="AF368" i="5"/>
  <c r="AF257" i="5"/>
  <c r="AS222" i="5"/>
  <c r="M222" i="5" s="1"/>
  <c r="AT222" i="5"/>
  <c r="K222" i="5" s="1"/>
  <c r="AF446" i="5"/>
  <c r="AF372" i="5"/>
  <c r="AF409" i="5"/>
  <c r="AF261" i="5"/>
  <c r="AS226" i="5"/>
  <c r="M226" i="5" s="1"/>
  <c r="R226" i="5"/>
  <c r="AT226" i="5"/>
  <c r="K226" i="5" s="1"/>
  <c r="AL226" i="5"/>
  <c r="AS232" i="5"/>
  <c r="M232" i="5" s="1"/>
  <c r="AS278" i="5"/>
  <c r="M278" i="5" s="1"/>
  <c r="AS286" i="5"/>
  <c r="M286" i="5" s="1"/>
  <c r="AS294" i="5"/>
  <c r="M294" i="5" s="1"/>
  <c r="AS462" i="5"/>
  <c r="M462" i="5" s="1"/>
  <c r="AS425" i="5"/>
  <c r="M425" i="5" s="1"/>
  <c r="AS388" i="5"/>
  <c r="M388" i="5" s="1"/>
  <c r="AS314" i="5"/>
  <c r="M314" i="5" s="1"/>
  <c r="AS480" i="5"/>
  <c r="M480" i="5" s="1"/>
  <c r="AS369" i="5"/>
  <c r="M369" i="5" s="1"/>
  <c r="AS332" i="5"/>
  <c r="M332" i="5" s="1"/>
  <c r="AS295" i="5"/>
  <c r="M295" i="5" s="1"/>
  <c r="AS258" i="5"/>
  <c r="M258" i="5" s="1"/>
  <c r="AN426" i="5"/>
  <c r="R389" i="5"/>
  <c r="AN278" i="5"/>
  <c r="AN352" i="5"/>
  <c r="AS472" i="5"/>
  <c r="M472" i="5" s="1"/>
  <c r="AS324" i="5"/>
  <c r="M324" i="5" s="1"/>
  <c r="AS287" i="5"/>
  <c r="M287" i="5" s="1"/>
  <c r="AS250" i="5"/>
  <c r="M250" i="5" s="1"/>
  <c r="AS361" i="5"/>
  <c r="M361" i="5" s="1"/>
  <c r="AS304" i="5"/>
  <c r="M304" i="5" s="1"/>
  <c r="AS267" i="5"/>
  <c r="M267" i="5" s="1"/>
  <c r="R464" i="5"/>
  <c r="AN464" i="5"/>
  <c r="AN316" i="5"/>
  <c r="R242" i="5"/>
  <c r="AN242" i="5"/>
  <c r="R353" i="5"/>
  <c r="AS446" i="5"/>
  <c r="M446" i="5" s="1"/>
  <c r="AS372" i="5"/>
  <c r="M372" i="5" s="1"/>
  <c r="AS261" i="5"/>
  <c r="M261" i="5" s="1"/>
  <c r="AN311" i="5"/>
  <c r="R237" i="5"/>
  <c r="AN274" i="5"/>
  <c r="AN237" i="5"/>
  <c r="AS466" i="5"/>
  <c r="M466" i="5" s="1"/>
  <c r="AS429" i="5"/>
  <c r="M429" i="5" s="1"/>
  <c r="AS392" i="5"/>
  <c r="M392" i="5" s="1"/>
  <c r="AS318" i="5"/>
  <c r="M318" i="5" s="1"/>
  <c r="AS244" i="5"/>
  <c r="M244" i="5" s="1"/>
  <c r="R484" i="5"/>
  <c r="AN484" i="5"/>
  <c r="AN299" i="5"/>
  <c r="R262" i="5"/>
  <c r="AN336" i="5"/>
  <c r="AN262" i="5"/>
  <c r="AN225" i="5"/>
  <c r="AN329" i="5"/>
  <c r="R255" i="5"/>
  <c r="AN403" i="5"/>
  <c r="AN292" i="5"/>
  <c r="AN255" i="5"/>
  <c r="AS4" i="5"/>
  <c r="M4" i="5" s="1"/>
  <c r="AN5" i="5"/>
  <c r="Q5" i="5" s="1"/>
  <c r="AL6" i="5"/>
  <c r="O6" i="5" s="1"/>
  <c r="BJ6" i="5"/>
  <c r="BV6" i="5" s="1"/>
  <c r="AN7" i="5"/>
  <c r="Q7" i="5" s="1"/>
  <c r="AL8" i="5"/>
  <c r="O8" i="5" s="1"/>
  <c r="BJ8" i="5"/>
  <c r="BV8" i="5" s="1"/>
  <c r="AN9" i="5"/>
  <c r="Q9" i="5" s="1"/>
  <c r="AL10" i="5"/>
  <c r="O10" i="5" s="1"/>
  <c r="BJ10" i="5"/>
  <c r="BV10" i="5" s="1"/>
  <c r="AN11" i="5"/>
  <c r="Q11" i="5" s="1"/>
  <c r="AL12" i="5"/>
  <c r="O12" i="5" s="1"/>
  <c r="BJ12" i="5"/>
  <c r="BV12" i="5" s="1"/>
  <c r="AN13" i="5"/>
  <c r="Q13" i="5" s="1"/>
  <c r="AL14" i="5"/>
  <c r="O14" i="5" s="1"/>
  <c r="BJ14" i="5"/>
  <c r="BV14" i="5" s="1"/>
  <c r="L15" i="5"/>
  <c r="AS15" i="5"/>
  <c r="M15" i="5" s="1"/>
  <c r="AS482" i="5"/>
  <c r="M482" i="5" s="1"/>
  <c r="AS445" i="5"/>
  <c r="M445" i="5" s="1"/>
  <c r="AS408" i="5"/>
  <c r="M408" i="5" s="1"/>
  <c r="AS334" i="5"/>
  <c r="M334" i="5" s="1"/>
  <c r="AS260" i="5"/>
  <c r="M260" i="5" s="1"/>
  <c r="AN17" i="5"/>
  <c r="Q17" i="5" s="1"/>
  <c r="AR17" i="5"/>
  <c r="AM17" i="5" s="1"/>
  <c r="R458" i="5"/>
  <c r="AN384" i="5"/>
  <c r="AN273" i="5"/>
  <c r="AS474" i="5"/>
  <c r="M474" i="5" s="1"/>
  <c r="AS437" i="5"/>
  <c r="M437" i="5" s="1"/>
  <c r="AS326" i="5"/>
  <c r="M326" i="5" s="1"/>
  <c r="AS252" i="5"/>
  <c r="M252" i="5" s="1"/>
  <c r="AS400" i="5"/>
  <c r="M400" i="5" s="1"/>
  <c r="AS490" i="5"/>
  <c r="M490" i="5" s="1"/>
  <c r="AS453" i="5"/>
  <c r="M453" i="5" s="1"/>
  <c r="AS342" i="5"/>
  <c r="M342" i="5" s="1"/>
  <c r="AS268" i="5"/>
  <c r="M268" i="5" s="1"/>
  <c r="AS231" i="5"/>
  <c r="M231" i="5" s="1"/>
  <c r="AS416" i="5"/>
  <c r="M416" i="5" s="1"/>
  <c r="AN23" i="5"/>
  <c r="Q23" i="5" s="1"/>
  <c r="AR23" i="5"/>
  <c r="AM23" i="5" s="1"/>
  <c r="AN497" i="5"/>
  <c r="AN349" i="5"/>
  <c r="R349" i="5"/>
  <c r="AN275" i="5"/>
  <c r="AS438" i="5"/>
  <c r="M438" i="5" s="1"/>
  <c r="AS401" i="5"/>
  <c r="M401" i="5" s="1"/>
  <c r="AS253" i="5"/>
  <c r="M253" i="5" s="1"/>
  <c r="AS364" i="5"/>
  <c r="M364" i="5" s="1"/>
  <c r="AN476" i="5"/>
  <c r="R254" i="5"/>
  <c r="AN328" i="5"/>
  <c r="AN254" i="5"/>
  <c r="AN217" i="5"/>
  <c r="AU29" i="5"/>
  <c r="AS468" i="5"/>
  <c r="M468" i="5" s="1"/>
  <c r="AS357" i="5"/>
  <c r="M357" i="5" s="1"/>
  <c r="AS283" i="5"/>
  <c r="M283" i="5" s="1"/>
  <c r="AS246" i="5"/>
  <c r="M246" i="5" s="1"/>
  <c r="AS320" i="5"/>
  <c r="M320" i="5" s="1"/>
  <c r="R486" i="5"/>
  <c r="AN486" i="5"/>
  <c r="AN449" i="5"/>
  <c r="AN412" i="5"/>
  <c r="AN375" i="5"/>
  <c r="AN338" i="5"/>
  <c r="R338" i="5"/>
  <c r="AN264" i="5"/>
  <c r="AN227" i="5"/>
  <c r="AS276" i="5"/>
  <c r="M276" i="5" s="1"/>
  <c r="AS239" i="5"/>
  <c r="M239" i="5" s="1"/>
  <c r="R441" i="5"/>
  <c r="AN478" i="5"/>
  <c r="AN441" i="5"/>
  <c r="AN404" i="5"/>
  <c r="AN330" i="5"/>
  <c r="AN367" i="5"/>
  <c r="AN256" i="5"/>
  <c r="AN219" i="5"/>
  <c r="AS455" i="5"/>
  <c r="M455" i="5" s="1"/>
  <c r="AS381" i="5"/>
  <c r="M381" i="5" s="1"/>
  <c r="AS270" i="5"/>
  <c r="M270" i="5" s="1"/>
  <c r="AS233" i="5"/>
  <c r="M233" i="5" s="1"/>
  <c r="AS418" i="5"/>
  <c r="M418" i="5" s="1"/>
  <c r="AS307" i="5"/>
  <c r="M307" i="5" s="1"/>
  <c r="AS470" i="5"/>
  <c r="M470" i="5" s="1"/>
  <c r="AS433" i="5"/>
  <c r="M433" i="5" s="1"/>
  <c r="AS322" i="5"/>
  <c r="M322" i="5" s="1"/>
  <c r="AS396" i="5"/>
  <c r="M396" i="5" s="1"/>
  <c r="AS248" i="5"/>
  <c r="M248" i="5" s="1"/>
  <c r="R488" i="5"/>
  <c r="AN488" i="5"/>
  <c r="R377" i="5"/>
  <c r="R340" i="5"/>
  <c r="AN303" i="5"/>
  <c r="AN340" i="5"/>
  <c r="R266" i="5"/>
  <c r="R303" i="5"/>
  <c r="AN266" i="5"/>
  <c r="AN229" i="5"/>
  <c r="L64" i="5"/>
  <c r="L65" i="5"/>
  <c r="L66" i="5"/>
  <c r="L70" i="5"/>
  <c r="L74" i="5"/>
  <c r="AN75" i="5"/>
  <c r="AN78" i="5"/>
  <c r="AR78" i="5"/>
  <c r="AM78" i="5" s="1"/>
  <c r="AS79" i="5"/>
  <c r="M79" i="5" s="1"/>
  <c r="AN82" i="5"/>
  <c r="AR82" i="5"/>
  <c r="AM82" i="5" s="1"/>
  <c r="AS83" i="5"/>
  <c r="M83" i="5" s="1"/>
  <c r="AN86" i="5"/>
  <c r="AR86" i="5"/>
  <c r="AM86" i="5" s="1"/>
  <c r="R88" i="5"/>
  <c r="AS88" i="5"/>
  <c r="M88" i="5" s="1"/>
  <c r="AS89" i="5"/>
  <c r="M89" i="5" s="1"/>
  <c r="AT90" i="5"/>
  <c r="K90" i="5" s="1"/>
  <c r="AN91" i="5"/>
  <c r="AR96" i="5"/>
  <c r="AN96" i="5"/>
  <c r="AN97" i="5"/>
  <c r="AS97" i="5"/>
  <c r="M97" i="5" s="1"/>
  <c r="R98" i="5"/>
  <c r="AT98" i="5"/>
  <c r="K98" i="5" s="1"/>
  <c r="AN99" i="5"/>
  <c r="AS100" i="5"/>
  <c r="M100" i="5" s="1"/>
  <c r="AN102" i="5"/>
  <c r="AS103" i="5"/>
  <c r="M103" i="5" s="1"/>
  <c r="AR105" i="5"/>
  <c r="AN105" i="5"/>
  <c r="AT107" i="5"/>
  <c r="K107" i="5" s="1"/>
  <c r="AN108" i="5"/>
  <c r="AR109" i="5"/>
  <c r="L109" i="5" s="1"/>
  <c r="AN109" i="5"/>
  <c r="AN111" i="5"/>
  <c r="AR112" i="5"/>
  <c r="L112" i="5" s="1"/>
  <c r="AN112" i="5"/>
  <c r="R116" i="5"/>
  <c r="R123" i="5"/>
  <c r="AT123" i="5"/>
  <c r="K123" i="5" s="1"/>
  <c r="AT126" i="5"/>
  <c r="K126" i="5" s="1"/>
  <c r="R127" i="5"/>
  <c r="AT130" i="5"/>
  <c r="K130" i="5" s="1"/>
  <c r="AN135" i="5"/>
  <c r="AN139" i="5"/>
  <c r="R141" i="5"/>
  <c r="AN143" i="5"/>
  <c r="R145" i="5"/>
  <c r="AN147" i="5"/>
  <c r="AN154" i="5"/>
  <c r="AS156" i="5"/>
  <c r="M156" i="5" s="1"/>
  <c r="AN157" i="5"/>
  <c r="AS157" i="5"/>
  <c r="M157" i="5" s="1"/>
  <c r="AS163" i="5"/>
  <c r="M163" i="5" s="1"/>
  <c r="AR165" i="5"/>
  <c r="AN165" i="5"/>
  <c r="AT167" i="5"/>
  <c r="K167" i="5" s="1"/>
  <c r="AL167" i="5"/>
  <c r="AN168" i="5"/>
  <c r="AR169" i="5"/>
  <c r="L169" i="5" s="1"/>
  <c r="AN169" i="5"/>
  <c r="AT171" i="5"/>
  <c r="K171" i="5" s="1"/>
  <c r="AN172" i="5"/>
  <c r="AS172" i="5"/>
  <c r="M172" i="5" s="1"/>
  <c r="AR173" i="5"/>
  <c r="AN173" i="5"/>
  <c r="AT175" i="5"/>
  <c r="K175" i="5" s="1"/>
  <c r="AS176" i="5"/>
  <c r="M176" i="5" s="1"/>
  <c r="AR177" i="5"/>
  <c r="L177" i="5" s="1"/>
  <c r="AN177" i="5"/>
  <c r="AT179" i="5"/>
  <c r="K179" i="5" s="1"/>
  <c r="AN180" i="5"/>
  <c r="AS180" i="5"/>
  <c r="M180" i="5" s="1"/>
  <c r="AR181" i="5"/>
  <c r="AN181" i="5"/>
  <c r="R183" i="5"/>
  <c r="AT183" i="5"/>
  <c r="K183" i="5" s="1"/>
  <c r="AS184" i="5"/>
  <c r="M184" i="5" s="1"/>
  <c r="AR185" i="5"/>
  <c r="L185" i="5" s="1"/>
  <c r="AN185" i="5"/>
  <c r="AT187" i="5"/>
  <c r="K187" i="5" s="1"/>
  <c r="AN188" i="5"/>
  <c r="AR189" i="5"/>
  <c r="AM189" i="5" s="1"/>
  <c r="AN189" i="5"/>
  <c r="AT191" i="5"/>
  <c r="K191" i="5" s="1"/>
  <c r="AN192" i="5"/>
  <c r="AS192" i="5"/>
  <c r="M192" i="5" s="1"/>
  <c r="AR193" i="5"/>
  <c r="L193" i="5" s="1"/>
  <c r="AN193" i="5"/>
  <c r="AT195" i="5"/>
  <c r="K195" i="5" s="1"/>
  <c r="AN196" i="5"/>
  <c r="AS196" i="5"/>
  <c r="M196" i="5" s="1"/>
  <c r="AR197" i="5"/>
  <c r="AM197" i="5" s="1"/>
  <c r="AN197" i="5"/>
  <c r="R199" i="5"/>
  <c r="AT199" i="5"/>
  <c r="K199" i="5" s="1"/>
  <c r="AN200" i="5"/>
  <c r="AR201" i="5"/>
  <c r="L201" i="5" s="1"/>
  <c r="AN201" i="5"/>
  <c r="AN204" i="5"/>
  <c r="AS206" i="5"/>
  <c r="M206" i="5" s="1"/>
  <c r="AN210" i="5"/>
  <c r="R215" i="5"/>
  <c r="AN218" i="5"/>
  <c r="R219" i="5"/>
  <c r="R227" i="5"/>
  <c r="AS228" i="5"/>
  <c r="M228" i="5" s="1"/>
  <c r="AS236" i="5"/>
  <c r="M236" i="5" s="1"/>
  <c r="AS241" i="5"/>
  <c r="M241" i="5" s="1"/>
  <c r="L277" i="5"/>
  <c r="AS302" i="5"/>
  <c r="M302" i="5" s="1"/>
  <c r="AN434" i="5"/>
  <c r="AN286" i="5"/>
  <c r="R360" i="5"/>
  <c r="AN360" i="5"/>
  <c r="AN249" i="5"/>
  <c r="AN407" i="5"/>
  <c r="AN333" i="5"/>
  <c r="AN296" i="5"/>
  <c r="AN259" i="5"/>
  <c r="AS288" i="5"/>
  <c r="M288" i="5" s="1"/>
  <c r="AS251" i="5"/>
  <c r="M251" i="5" s="1"/>
  <c r="AS494" i="5"/>
  <c r="M494" i="5" s="1"/>
  <c r="AS457" i="5"/>
  <c r="M457" i="5" s="1"/>
  <c r="AS272" i="5"/>
  <c r="M272" i="5" s="1"/>
  <c r="AS235" i="5"/>
  <c r="M235" i="5" s="1"/>
  <c r="AN391" i="5"/>
  <c r="R243" i="5"/>
  <c r="AN317" i="5"/>
  <c r="AN280" i="5"/>
  <c r="AN243" i="5"/>
  <c r="BI5" i="5"/>
  <c r="AN462" i="5"/>
  <c r="AN425" i="5"/>
  <c r="AN388" i="5"/>
  <c r="AN314" i="5"/>
  <c r="AS7" i="5"/>
  <c r="M7" i="5" s="1"/>
  <c r="BI7" i="5"/>
  <c r="AS434" i="5"/>
  <c r="M434" i="5" s="1"/>
  <c r="AS397" i="5"/>
  <c r="M397" i="5" s="1"/>
  <c r="AS360" i="5"/>
  <c r="M360" i="5" s="1"/>
  <c r="AS249" i="5"/>
  <c r="M249" i="5" s="1"/>
  <c r="R480" i="5"/>
  <c r="AN480" i="5"/>
  <c r="R332" i="5"/>
  <c r="AN332" i="5"/>
  <c r="AN258" i="5"/>
  <c r="AN221" i="5"/>
  <c r="AS9" i="5"/>
  <c r="M9" i="5" s="1"/>
  <c r="BI9" i="5"/>
  <c r="AS426" i="5"/>
  <c r="M426" i="5" s="1"/>
  <c r="AS389" i="5"/>
  <c r="M389" i="5" s="1"/>
  <c r="AS352" i="5"/>
  <c r="M352" i="5" s="1"/>
  <c r="AN472" i="5"/>
  <c r="R324" i="5"/>
  <c r="AN324" i="5"/>
  <c r="AN250" i="5"/>
  <c r="AN213" i="5"/>
  <c r="AS11" i="5"/>
  <c r="M11" i="5" s="1"/>
  <c r="BI11" i="5"/>
  <c r="AS296" i="5"/>
  <c r="M296" i="5" s="1"/>
  <c r="AS259" i="5"/>
  <c r="M259" i="5" s="1"/>
  <c r="R304" i="5"/>
  <c r="AN415" i="5"/>
  <c r="AN341" i="5"/>
  <c r="AN267" i="5"/>
  <c r="BI13" i="5"/>
  <c r="AS464" i="5"/>
  <c r="M464" i="5" s="1"/>
  <c r="AS353" i="5"/>
  <c r="M353" i="5" s="1"/>
  <c r="AS316" i="5"/>
  <c r="M316" i="5" s="1"/>
  <c r="AS279" i="5"/>
  <c r="M279" i="5" s="1"/>
  <c r="AS242" i="5"/>
  <c r="M242" i="5" s="1"/>
  <c r="AN399" i="5"/>
  <c r="R288" i="5"/>
  <c r="R251" i="5"/>
  <c r="AN325" i="5"/>
  <c r="AN288" i="5"/>
  <c r="AN251" i="5"/>
  <c r="AN16" i="5"/>
  <c r="Q16" i="5" s="1"/>
  <c r="AN383" i="5"/>
  <c r="AN272" i="5"/>
  <c r="AN235" i="5"/>
  <c r="BI18" i="5"/>
  <c r="AS280" i="5"/>
  <c r="M280" i="5" s="1"/>
  <c r="AS243" i="5"/>
  <c r="M243" i="5" s="1"/>
  <c r="AN20" i="5"/>
  <c r="Q20" i="5" s="1"/>
  <c r="AN446" i="5"/>
  <c r="AN372" i="5"/>
  <c r="AN298" i="5"/>
  <c r="AN261" i="5"/>
  <c r="BI22" i="5"/>
  <c r="AS459" i="5"/>
  <c r="M459" i="5" s="1"/>
  <c r="AS385" i="5"/>
  <c r="M385" i="5" s="1"/>
  <c r="AS311" i="5"/>
  <c r="M311" i="5" s="1"/>
  <c r="AS274" i="5"/>
  <c r="M274" i="5" s="1"/>
  <c r="AS237" i="5"/>
  <c r="M237" i="5" s="1"/>
  <c r="AN24" i="5"/>
  <c r="Q24" i="5" s="1"/>
  <c r="R466" i="5"/>
  <c r="AN466" i="5"/>
  <c r="AN429" i="5"/>
  <c r="AN392" i="5"/>
  <c r="AN318" i="5"/>
  <c r="R392" i="5"/>
  <c r="AN244" i="5"/>
  <c r="AN207" i="5"/>
  <c r="BI26" i="5"/>
  <c r="AS484" i="5"/>
  <c r="M484" i="5" s="1"/>
  <c r="AS373" i="5"/>
  <c r="M373" i="5" s="1"/>
  <c r="AS299" i="5"/>
  <c r="M299" i="5" s="1"/>
  <c r="AS262" i="5"/>
  <c r="M262" i="5" s="1"/>
  <c r="AS336" i="5"/>
  <c r="M336" i="5" s="1"/>
  <c r="BI27" i="5"/>
  <c r="AS430" i="5"/>
  <c r="M430" i="5" s="1"/>
  <c r="AS393" i="5"/>
  <c r="M393" i="5" s="1"/>
  <c r="AS356" i="5"/>
  <c r="M356" i="5" s="1"/>
  <c r="AS245" i="5"/>
  <c r="M245" i="5" s="1"/>
  <c r="AN411" i="5"/>
  <c r="AN337" i="5"/>
  <c r="AN263" i="5"/>
  <c r="BI31" i="5"/>
  <c r="AS292" i="5"/>
  <c r="M292" i="5" s="1"/>
  <c r="AS255" i="5"/>
  <c r="M255" i="5" s="1"/>
  <c r="AN454" i="5"/>
  <c r="AN417" i="5"/>
  <c r="AN380" i="5"/>
  <c r="AN306" i="5"/>
  <c r="AN232" i="5"/>
  <c r="R417" i="5"/>
  <c r="AN269" i="5"/>
  <c r="BI35" i="5"/>
  <c r="AS284" i="5"/>
  <c r="M284" i="5" s="1"/>
  <c r="AS247" i="5"/>
  <c r="M247" i="5" s="1"/>
  <c r="AN376" i="5"/>
  <c r="AN265" i="5"/>
  <c r="BI40" i="5"/>
  <c r="AS442" i="5"/>
  <c r="M442" i="5" s="1"/>
  <c r="AS405" i="5"/>
  <c r="M405" i="5" s="1"/>
  <c r="AS257" i="5"/>
  <c r="M257" i="5" s="1"/>
  <c r="AS368" i="5"/>
  <c r="M368" i="5" s="1"/>
  <c r="AN456" i="5"/>
  <c r="AN419" i="5"/>
  <c r="AN234" i="5"/>
  <c r="R271" i="5"/>
  <c r="AN345" i="5"/>
  <c r="AN271" i="5"/>
  <c r="BI44" i="5"/>
  <c r="BI48" i="5"/>
  <c r="AN77" i="5"/>
  <c r="AN81" i="5"/>
  <c r="AN85" i="5"/>
  <c r="AS91" i="5"/>
  <c r="M91" i="5" s="1"/>
  <c r="AN94" i="5"/>
  <c r="AS94" i="5"/>
  <c r="M94" i="5" s="1"/>
  <c r="AR95" i="5"/>
  <c r="BE96" i="5"/>
  <c r="BH96" i="5" s="1"/>
  <c r="AS99" i="5"/>
  <c r="M99" i="5" s="1"/>
  <c r="AS102" i="5"/>
  <c r="M102" i="5" s="1"/>
  <c r="R103" i="5"/>
  <c r="AR104" i="5"/>
  <c r="AN106" i="5"/>
  <c r="R108" i="5"/>
  <c r="AN110" i="5"/>
  <c r="AS111" i="5"/>
  <c r="M111" i="5" s="1"/>
  <c r="R111" i="5"/>
  <c r="AN113" i="5"/>
  <c r="AS113" i="5"/>
  <c r="M113" i="5" s="1"/>
  <c r="AN114" i="5"/>
  <c r="AS114" i="5"/>
  <c r="M114" i="5" s="1"/>
  <c r="AN115" i="5"/>
  <c r="AR116" i="5"/>
  <c r="AN116" i="5"/>
  <c r="AN118" i="5"/>
  <c r="AS118" i="5"/>
  <c r="M118" i="5" s="1"/>
  <c r="AN119" i="5"/>
  <c r="AS119" i="5"/>
  <c r="M119" i="5" s="1"/>
  <c r="AS120" i="5"/>
  <c r="M120" i="5" s="1"/>
  <c r="AR121" i="5"/>
  <c r="AL121" i="5" s="1"/>
  <c r="AN121" i="5"/>
  <c r="AS122" i="5"/>
  <c r="M122" i="5" s="1"/>
  <c r="AR124" i="5"/>
  <c r="AM124" i="5" s="1"/>
  <c r="AN124" i="5"/>
  <c r="AS125" i="5"/>
  <c r="M125" i="5" s="1"/>
  <c r="AR127" i="5"/>
  <c r="AN127" i="5"/>
  <c r="AN128" i="5"/>
  <c r="AS128" i="5"/>
  <c r="M128" i="5" s="1"/>
  <c r="AS129" i="5"/>
  <c r="M129" i="5" s="1"/>
  <c r="AR131" i="5"/>
  <c r="AM131" i="5" s="1"/>
  <c r="AN131" i="5"/>
  <c r="AN132" i="5"/>
  <c r="AS132" i="5"/>
  <c r="M132" i="5" s="1"/>
  <c r="AN133" i="5"/>
  <c r="AS135" i="5"/>
  <c r="M135" i="5" s="1"/>
  <c r="R135" i="5"/>
  <c r="AR136" i="5"/>
  <c r="AS138" i="5"/>
  <c r="M138" i="5" s="1"/>
  <c r="AS139" i="5"/>
  <c r="M139" i="5" s="1"/>
  <c r="AR140" i="5"/>
  <c r="AS142" i="5"/>
  <c r="M142" i="5" s="1"/>
  <c r="AS143" i="5"/>
  <c r="M143" i="5" s="1"/>
  <c r="AR144" i="5"/>
  <c r="AS146" i="5"/>
  <c r="M146" i="5" s="1"/>
  <c r="AS147" i="5"/>
  <c r="M147" i="5" s="1"/>
  <c r="AN148" i="5"/>
  <c r="AS148" i="5"/>
  <c r="M148" i="5" s="1"/>
  <c r="AR149" i="5"/>
  <c r="AM149" i="5" s="1"/>
  <c r="AN149" i="5"/>
  <c r="AR150" i="5"/>
  <c r="AN152" i="5"/>
  <c r="AS154" i="5"/>
  <c r="M154" i="5" s="1"/>
  <c r="AN155" i="5"/>
  <c r="AS155" i="5"/>
  <c r="M155" i="5" s="1"/>
  <c r="AR158" i="5"/>
  <c r="AN160" i="5"/>
  <c r="AS162" i="5"/>
  <c r="M162" i="5" s="1"/>
  <c r="R162" i="5"/>
  <c r="AR164" i="5"/>
  <c r="L164" i="5" s="1"/>
  <c r="AN166" i="5"/>
  <c r="R168" i="5"/>
  <c r="AN170" i="5"/>
  <c r="AN174" i="5"/>
  <c r="AN178" i="5"/>
  <c r="AN182" i="5"/>
  <c r="AN186" i="5"/>
  <c r="AN190" i="5"/>
  <c r="AN194" i="5"/>
  <c r="AT194" i="5"/>
  <c r="K194" i="5" s="1"/>
  <c r="R196" i="5"/>
  <c r="AN198" i="5"/>
  <c r="AT198" i="5"/>
  <c r="K198" i="5" s="1"/>
  <c r="AN202" i="5"/>
  <c r="AT202" i="5"/>
  <c r="K202" i="5" s="1"/>
  <c r="AS204" i="5"/>
  <c r="M204" i="5" s="1"/>
  <c r="AN205" i="5"/>
  <c r="AS205" i="5"/>
  <c r="M205" i="5" s="1"/>
  <c r="AF428" i="5"/>
  <c r="AF354" i="5"/>
  <c r="AF391" i="5"/>
  <c r="AF243" i="5"/>
  <c r="AS208" i="5"/>
  <c r="M208" i="5" s="1"/>
  <c r="AT208" i="5"/>
  <c r="K208" i="5" s="1"/>
  <c r="AS209" i="5"/>
  <c r="M209" i="5" s="1"/>
  <c r="AF432" i="5"/>
  <c r="AF358" i="5"/>
  <c r="AF395" i="5"/>
  <c r="AF247" i="5"/>
  <c r="AS212" i="5"/>
  <c r="M212" i="5" s="1"/>
  <c r="AT212" i="5"/>
  <c r="K212" i="5" s="1"/>
  <c r="AS213" i="5"/>
  <c r="M213" i="5" s="1"/>
  <c r="AF436" i="5"/>
  <c r="AF362" i="5"/>
  <c r="AF399" i="5"/>
  <c r="AF251" i="5"/>
  <c r="AS216" i="5"/>
  <c r="M216" i="5" s="1"/>
  <c r="AT216" i="5"/>
  <c r="K216" i="5" s="1"/>
  <c r="AS217" i="5"/>
  <c r="M217" i="5" s="1"/>
  <c r="AF440" i="5"/>
  <c r="AF366" i="5"/>
  <c r="AF403" i="5"/>
  <c r="AF255" i="5"/>
  <c r="AS220" i="5"/>
  <c r="M220" i="5" s="1"/>
  <c r="AT220" i="5"/>
  <c r="K220" i="5" s="1"/>
  <c r="AS221" i="5"/>
  <c r="M221" i="5" s="1"/>
  <c r="AF444" i="5"/>
  <c r="AF370" i="5"/>
  <c r="AF407" i="5"/>
  <c r="AF259" i="5"/>
  <c r="AS224" i="5"/>
  <c r="M224" i="5" s="1"/>
  <c r="R224" i="5"/>
  <c r="AT224" i="5"/>
  <c r="K224" i="5" s="1"/>
  <c r="AS225" i="5"/>
  <c r="M225" i="5" s="1"/>
  <c r="AF448" i="5"/>
  <c r="AF374" i="5"/>
  <c r="AF411" i="5"/>
  <c r="AF263" i="5"/>
  <c r="L240" i="5"/>
  <c r="AL240" i="5"/>
  <c r="AS282" i="5"/>
  <c r="M282" i="5" s="1"/>
  <c r="AS290" i="5"/>
  <c r="M290" i="5" s="1"/>
  <c r="AS298" i="5"/>
  <c r="M298" i="5" s="1"/>
  <c r="AS348" i="5"/>
  <c r="M348" i="5" s="1"/>
  <c r="AT228" i="5"/>
  <c r="K228" i="5" s="1"/>
  <c r="AT230" i="5"/>
  <c r="K230" i="5" s="1"/>
  <c r="AL232" i="5"/>
  <c r="AT232" i="5"/>
  <c r="K232" i="5" s="1"/>
  <c r="AL234" i="5"/>
  <c r="AT234" i="5"/>
  <c r="K234" i="5" s="1"/>
  <c r="AT236" i="5"/>
  <c r="K236" i="5" s="1"/>
  <c r="AT238" i="5"/>
  <c r="K238" i="5" s="1"/>
  <c r="AS240" i="5"/>
  <c r="M240" i="5" s="1"/>
  <c r="AT241" i="5"/>
  <c r="K241" i="5" s="1"/>
  <c r="AF267" i="5"/>
  <c r="AS277" i="5"/>
  <c r="M277" i="5" s="1"/>
  <c r="R281" i="5"/>
  <c r="AS281" i="5"/>
  <c r="M281" i="5" s="1"/>
  <c r="AS285" i="5"/>
  <c r="M285" i="5" s="1"/>
  <c r="R289" i="5"/>
  <c r="AS289" i="5"/>
  <c r="M289" i="5" s="1"/>
  <c r="AS293" i="5"/>
  <c r="M293" i="5" s="1"/>
  <c r="AS297" i="5"/>
  <c r="M297" i="5" s="1"/>
  <c r="AS300" i="5"/>
  <c r="M300" i="5" s="1"/>
  <c r="AS301" i="5"/>
  <c r="M301" i="5" s="1"/>
  <c r="AR302" i="5"/>
  <c r="L302" i="5" s="1"/>
  <c r="AN305" i="5"/>
  <c r="AR308" i="5"/>
  <c r="AL308" i="5" s="1"/>
  <c r="AN308" i="5"/>
  <c r="AR309" i="5"/>
  <c r="L309" i="5" s="1"/>
  <c r="AT310" i="5"/>
  <c r="K310" i="5" s="1"/>
  <c r="AR315" i="5"/>
  <c r="L315" i="5" s="1"/>
  <c r="AS319" i="5"/>
  <c r="M319" i="5" s="1"/>
  <c r="AR323" i="5"/>
  <c r="AS327" i="5"/>
  <c r="M327" i="5" s="1"/>
  <c r="AR331" i="5"/>
  <c r="AS335" i="5"/>
  <c r="M335" i="5" s="1"/>
  <c r="AR339" i="5"/>
  <c r="L339" i="5" s="1"/>
  <c r="AS346" i="5"/>
  <c r="M346" i="5" s="1"/>
  <c r="AS347" i="5"/>
  <c r="M347" i="5" s="1"/>
  <c r="AR348" i="5"/>
  <c r="L348" i="5" s="1"/>
  <c r="AR350" i="5"/>
  <c r="L350" i="5" s="1"/>
  <c r="AT351" i="5"/>
  <c r="K351" i="5" s="1"/>
  <c r="AL351" i="5"/>
  <c r="AS363" i="5"/>
  <c r="M363" i="5" s="1"/>
  <c r="AT363" i="5"/>
  <c r="K363" i="5" s="1"/>
  <c r="AR366" i="5"/>
  <c r="AL366" i="5" s="1"/>
  <c r="AN366" i="5"/>
  <c r="AS366" i="5"/>
  <c r="M366" i="5" s="1"/>
  <c r="R366" i="5"/>
  <c r="AR378" i="5"/>
  <c r="AM378" i="5" s="1"/>
  <c r="AN378" i="5"/>
  <c r="AT378" i="5"/>
  <c r="K378" i="5" s="1"/>
  <c r="AS378" i="5"/>
  <c r="M378" i="5" s="1"/>
  <c r="R378" i="5"/>
  <c r="AS379" i="5"/>
  <c r="M379" i="5" s="1"/>
  <c r="AR394" i="5"/>
  <c r="AM394" i="5" s="1"/>
  <c r="AN394" i="5"/>
  <c r="AT394" i="5"/>
  <c r="K394" i="5" s="1"/>
  <c r="AS394" i="5"/>
  <c r="M394" i="5" s="1"/>
  <c r="R394" i="5"/>
  <c r="AS395" i="5"/>
  <c r="M395" i="5" s="1"/>
  <c r="AS409" i="5"/>
  <c r="M409" i="5" s="1"/>
  <c r="AR410" i="5"/>
  <c r="AL410" i="5" s="1"/>
  <c r="AN410" i="5"/>
  <c r="AT410" i="5"/>
  <c r="K410" i="5" s="1"/>
  <c r="AS410" i="5"/>
  <c r="M410" i="5" s="1"/>
  <c r="R410" i="5"/>
  <c r="AS411" i="5"/>
  <c r="M411" i="5" s="1"/>
  <c r="AS421" i="5"/>
  <c r="M421" i="5" s="1"/>
  <c r="AS461" i="5"/>
  <c r="M461" i="5" s="1"/>
  <c r="AS465" i="5"/>
  <c r="M465" i="5" s="1"/>
  <c r="AS469" i="5"/>
  <c r="M469" i="5" s="1"/>
  <c r="AS473" i="5"/>
  <c r="M473" i="5" s="1"/>
  <c r="AS477" i="5"/>
  <c r="M477" i="5" s="1"/>
  <c r="AS481" i="5"/>
  <c r="M481" i="5" s="1"/>
  <c r="AS485" i="5"/>
  <c r="M485" i="5" s="1"/>
  <c r="AS489" i="5"/>
  <c r="M489" i="5" s="1"/>
  <c r="AS492" i="5"/>
  <c r="M492" i="5" s="1"/>
  <c r="AS498" i="5"/>
  <c r="M498" i="5" s="1"/>
  <c r="BH89" i="1"/>
  <c r="BF89" i="1"/>
  <c r="BM89" i="1" s="1"/>
  <c r="BF90" i="1"/>
  <c r="BH90" i="1" s="1"/>
  <c r="BI90" i="1"/>
  <c r="BF93" i="1"/>
  <c r="BM93" i="1" s="1"/>
  <c r="BF94" i="1"/>
  <c r="BJ94" i="1" s="1"/>
  <c r="BN97" i="1"/>
  <c r="BF97" i="1"/>
  <c r="BK97" i="1" s="1"/>
  <c r="BF100" i="1"/>
  <c r="BO100" i="1" s="1"/>
  <c r="BQ100" i="1" s="1"/>
  <c r="BM100" i="1"/>
  <c r="R200" i="1"/>
  <c r="R142" i="1"/>
  <c r="R208" i="1"/>
  <c r="AM48" i="1"/>
  <c r="M48" i="1"/>
  <c r="AN48" i="1"/>
  <c r="Q48" i="1" s="1"/>
  <c r="R21" i="1"/>
  <c r="AM61" i="1"/>
  <c r="M61" i="1"/>
  <c r="AN61" i="1"/>
  <c r="Q61" i="1" s="1"/>
  <c r="M63" i="1"/>
  <c r="AN63" i="1"/>
  <c r="Q63" i="1" s="1"/>
  <c r="AM69" i="1"/>
  <c r="M69" i="1"/>
  <c r="AN69" i="1"/>
  <c r="Q69" i="1" s="1"/>
  <c r="M71" i="1"/>
  <c r="AN71" i="1"/>
  <c r="Q71" i="1" s="1"/>
  <c r="AM72" i="1"/>
  <c r="M72" i="1"/>
  <c r="AN72" i="1"/>
  <c r="Q72" i="1" s="1"/>
  <c r="M74" i="1"/>
  <c r="AN74" i="1"/>
  <c r="Q74" i="1" s="1"/>
  <c r="AM75" i="1"/>
  <c r="M75" i="1"/>
  <c r="AN75" i="1"/>
  <c r="Q75" i="1" s="1"/>
  <c r="AN82" i="1"/>
  <c r="Q82" i="1" s="1"/>
  <c r="M82" i="1"/>
  <c r="AM83" i="1"/>
  <c r="M83" i="1"/>
  <c r="AN83" i="1"/>
  <c r="Q83" i="1" s="1"/>
  <c r="AF450" i="5"/>
  <c r="AF376" i="5"/>
  <c r="AF413" i="5"/>
  <c r="AF452" i="5"/>
  <c r="AF378" i="5"/>
  <c r="AF454" i="5"/>
  <c r="AF417" i="5"/>
  <c r="AF380" i="5"/>
  <c r="AF382" i="5"/>
  <c r="AF456" i="5"/>
  <c r="AF419" i="5"/>
  <c r="AF458" i="5"/>
  <c r="AF384" i="5"/>
  <c r="AF421" i="5"/>
  <c r="AF386" i="5"/>
  <c r="AF460" i="5"/>
  <c r="AF423" i="5"/>
  <c r="AT277" i="5"/>
  <c r="K277" i="5" s="1"/>
  <c r="AN279" i="5"/>
  <c r="AR279" i="5"/>
  <c r="AL279" i="5" s="1"/>
  <c r="AT281" i="5"/>
  <c r="K281" i="5" s="1"/>
  <c r="AN283" i="5"/>
  <c r="AR283" i="5"/>
  <c r="AL283" i="5" s="1"/>
  <c r="AT285" i="5"/>
  <c r="K285" i="5" s="1"/>
  <c r="AN287" i="5"/>
  <c r="AR287" i="5"/>
  <c r="AL287" i="5" s="1"/>
  <c r="AL289" i="5"/>
  <c r="AT289" i="5"/>
  <c r="K289" i="5" s="1"/>
  <c r="AN291" i="5"/>
  <c r="AR291" i="5"/>
  <c r="AL291" i="5" s="1"/>
  <c r="AL293" i="5"/>
  <c r="AT293" i="5"/>
  <c r="K293" i="5" s="1"/>
  <c r="AN295" i="5"/>
  <c r="AR295" i="5"/>
  <c r="AT297" i="5"/>
  <c r="K297" i="5" s="1"/>
  <c r="AN302" i="5"/>
  <c r="AS305" i="5"/>
  <c r="M305" i="5" s="1"/>
  <c r="R305" i="5"/>
  <c r="AN309" i="5"/>
  <c r="AR312" i="5"/>
  <c r="AM312" i="5" s="1"/>
  <c r="AN312" i="5"/>
  <c r="AN315" i="5"/>
  <c r="AS317" i="5"/>
  <c r="M317" i="5" s="1"/>
  <c r="R317" i="5"/>
  <c r="AN323" i="5"/>
  <c r="AS325" i="5"/>
  <c r="M325" i="5" s="1"/>
  <c r="AN331" i="5"/>
  <c r="AS333" i="5"/>
  <c r="M333" i="5" s="1"/>
  <c r="AN339" i="5"/>
  <c r="AS341" i="5"/>
  <c r="M341" i="5" s="1"/>
  <c r="AR343" i="5"/>
  <c r="AN343" i="5"/>
  <c r="AT345" i="5"/>
  <c r="K345" i="5" s="1"/>
  <c r="AN348" i="5"/>
  <c r="AN350" i="5"/>
  <c r="AR354" i="5"/>
  <c r="AL354" i="5" s="1"/>
  <c r="AN354" i="5"/>
  <c r="AS354" i="5"/>
  <c r="M354" i="5" s="1"/>
  <c r="AS367" i="5"/>
  <c r="M367" i="5" s="1"/>
  <c r="R367" i="5"/>
  <c r="AT367" i="5"/>
  <c r="K367" i="5" s="1"/>
  <c r="L373" i="5"/>
  <c r="AR374" i="5"/>
  <c r="L374" i="5" s="1"/>
  <c r="AN374" i="5"/>
  <c r="AT374" i="5"/>
  <c r="K374" i="5" s="1"/>
  <c r="AS374" i="5"/>
  <c r="M374" i="5" s="1"/>
  <c r="AS375" i="5"/>
  <c r="M375" i="5" s="1"/>
  <c r="AL377" i="5"/>
  <c r="L389" i="5"/>
  <c r="AR390" i="5"/>
  <c r="AN390" i="5"/>
  <c r="AT390" i="5"/>
  <c r="K390" i="5" s="1"/>
  <c r="AS390" i="5"/>
  <c r="M390" i="5" s="1"/>
  <c r="R390" i="5"/>
  <c r="AS391" i="5"/>
  <c r="M391" i="5" s="1"/>
  <c r="AR406" i="5"/>
  <c r="AN406" i="5"/>
  <c r="AT406" i="5"/>
  <c r="K406" i="5" s="1"/>
  <c r="AS406" i="5"/>
  <c r="M406" i="5" s="1"/>
  <c r="R406" i="5"/>
  <c r="AS407" i="5"/>
  <c r="M407" i="5" s="1"/>
  <c r="AS422" i="5"/>
  <c r="M422" i="5" s="1"/>
  <c r="L428" i="5"/>
  <c r="AL457" i="5"/>
  <c r="L457" i="5"/>
  <c r="AS495" i="5"/>
  <c r="M495" i="5" s="1"/>
  <c r="P8" i="1"/>
  <c r="AQ8" i="1"/>
  <c r="P12" i="1"/>
  <c r="AQ12" i="1"/>
  <c r="P16" i="1"/>
  <c r="AQ16" i="1"/>
  <c r="P18" i="1"/>
  <c r="AQ18" i="1"/>
  <c r="BF98" i="1"/>
  <c r="BM98" i="1" s="1"/>
  <c r="BF99" i="1"/>
  <c r="BO99" i="1" s="1"/>
  <c r="BQ99" i="1" s="1"/>
  <c r="P20" i="1"/>
  <c r="AQ20" i="1"/>
  <c r="AR21" i="1"/>
  <c r="U21" i="1" s="1"/>
  <c r="T21" i="1"/>
  <c r="P22" i="1"/>
  <c r="AQ22" i="1"/>
  <c r="BK102" i="1"/>
  <c r="BI102" i="1"/>
  <c r="BF102" i="1"/>
  <c r="BO102" i="1" s="1"/>
  <c r="BQ102" i="1" s="1"/>
  <c r="AR24" i="1"/>
  <c r="U24" i="1" s="1"/>
  <c r="T24" i="1"/>
  <c r="AK28" i="1"/>
  <c r="AR28" i="1"/>
  <c r="U28" i="1" s="1"/>
  <c r="T28" i="1"/>
  <c r="AN50" i="1"/>
  <c r="Q50" i="1" s="1"/>
  <c r="M50" i="1"/>
  <c r="AM56" i="1"/>
  <c r="M56" i="1"/>
  <c r="AN56" i="1"/>
  <c r="Q56" i="1" s="1"/>
  <c r="AN59" i="1"/>
  <c r="Q59" i="1" s="1"/>
  <c r="M59" i="1"/>
  <c r="AM65" i="1"/>
  <c r="M65" i="1"/>
  <c r="AN65" i="1"/>
  <c r="Q65" i="1" s="1"/>
  <c r="M67" i="1"/>
  <c r="AN67" i="1"/>
  <c r="Q67" i="1" s="1"/>
  <c r="AN80" i="1"/>
  <c r="Q80" i="1" s="1"/>
  <c r="M80" i="1"/>
  <c r="AM81" i="1"/>
  <c r="M81" i="1"/>
  <c r="AN81" i="1"/>
  <c r="Q81" i="1" s="1"/>
  <c r="T98" i="1"/>
  <c r="AR98" i="1"/>
  <c r="U98" i="1" s="1"/>
  <c r="AN236" i="5"/>
  <c r="AR236" i="5"/>
  <c r="AL236" i="5" s="1"/>
  <c r="AN238" i="5"/>
  <c r="AR238" i="5"/>
  <c r="AM238" i="5" s="1"/>
  <c r="AN241" i="5"/>
  <c r="AR241" i="5"/>
  <c r="AM241" i="5" s="1"/>
  <c r="AR300" i="5"/>
  <c r="AN300" i="5"/>
  <c r="AT302" i="5"/>
  <c r="K302" i="5" s="1"/>
  <c r="AS309" i="5"/>
  <c r="M309" i="5" s="1"/>
  <c r="AS315" i="5"/>
  <c r="M315" i="5" s="1"/>
  <c r="R315" i="5"/>
  <c r="AS323" i="5"/>
  <c r="M323" i="5" s="1"/>
  <c r="R323" i="5"/>
  <c r="AS331" i="5"/>
  <c r="M331" i="5" s="1"/>
  <c r="R331" i="5"/>
  <c r="AS339" i="5"/>
  <c r="M339" i="5" s="1"/>
  <c r="AR346" i="5"/>
  <c r="L346" i="5" s="1"/>
  <c r="AN346" i="5"/>
  <c r="AT348" i="5"/>
  <c r="K348" i="5" s="1"/>
  <c r="AS350" i="5"/>
  <c r="M350" i="5" s="1"/>
  <c r="AS355" i="5"/>
  <c r="M355" i="5" s="1"/>
  <c r="R355" i="5"/>
  <c r="AT355" i="5"/>
  <c r="K355" i="5" s="1"/>
  <c r="AR358" i="5"/>
  <c r="AM358" i="5" s="1"/>
  <c r="AN358" i="5"/>
  <c r="AS358" i="5"/>
  <c r="M358" i="5" s="1"/>
  <c r="L369" i="5"/>
  <c r="AR370" i="5"/>
  <c r="L370" i="5" s="1"/>
  <c r="AN370" i="5"/>
  <c r="AT370" i="5"/>
  <c r="K370" i="5" s="1"/>
  <c r="AS370" i="5"/>
  <c r="M370" i="5" s="1"/>
  <c r="AS371" i="5"/>
  <c r="M371" i="5" s="1"/>
  <c r="P385" i="5"/>
  <c r="L385" i="5"/>
  <c r="AR386" i="5"/>
  <c r="AN386" i="5"/>
  <c r="AT386" i="5"/>
  <c r="K386" i="5" s="1"/>
  <c r="AS386" i="5"/>
  <c r="M386" i="5" s="1"/>
  <c r="AS387" i="5"/>
  <c r="M387" i="5" s="1"/>
  <c r="AR402" i="5"/>
  <c r="L402" i="5" s="1"/>
  <c r="AN402" i="5"/>
  <c r="AT402" i="5"/>
  <c r="K402" i="5" s="1"/>
  <c r="AS402" i="5"/>
  <c r="M402" i="5" s="1"/>
  <c r="AS403" i="5"/>
  <c r="M403" i="5" s="1"/>
  <c r="AS423" i="5"/>
  <c r="M423" i="5" s="1"/>
  <c r="AS427" i="5"/>
  <c r="M427" i="5" s="1"/>
  <c r="AS431" i="5"/>
  <c r="M431" i="5" s="1"/>
  <c r="AS435" i="5"/>
  <c r="M435" i="5" s="1"/>
  <c r="AS439" i="5"/>
  <c r="M439" i="5" s="1"/>
  <c r="AS443" i="5"/>
  <c r="M443" i="5" s="1"/>
  <c r="AS447" i="5"/>
  <c r="M447" i="5" s="1"/>
  <c r="P452" i="5"/>
  <c r="AS463" i="5"/>
  <c r="M463" i="5" s="1"/>
  <c r="AS467" i="5"/>
  <c r="M467" i="5" s="1"/>
  <c r="AS471" i="5"/>
  <c r="M471" i="5" s="1"/>
  <c r="AS475" i="5"/>
  <c r="M475" i="5" s="1"/>
  <c r="AS479" i="5"/>
  <c r="M479" i="5" s="1"/>
  <c r="AS483" i="5"/>
  <c r="M483" i="5" s="1"/>
  <c r="AS487" i="5"/>
  <c r="M487" i="5" s="1"/>
  <c r="AR6" i="1"/>
  <c r="U6" i="1" s="1"/>
  <c r="T6" i="1"/>
  <c r="R152" i="1"/>
  <c r="AR10" i="1"/>
  <c r="U10" i="1" s="1"/>
  <c r="T10" i="1"/>
  <c r="R277" i="1"/>
  <c r="AR14" i="1"/>
  <c r="U14" i="1" s="1"/>
  <c r="T14" i="1"/>
  <c r="BN101" i="1"/>
  <c r="BF101" i="1"/>
  <c r="BH101" i="1" s="1"/>
  <c r="BJ101" i="1"/>
  <c r="AR25" i="1"/>
  <c r="U25" i="1" s="1"/>
  <c r="T25" i="1"/>
  <c r="AR26" i="1"/>
  <c r="U26" i="1" s="1"/>
  <c r="T26" i="1"/>
  <c r="AR29" i="1"/>
  <c r="U29" i="1" s="1"/>
  <c r="T29" i="1"/>
  <c r="R196" i="1"/>
  <c r="R197" i="1"/>
  <c r="AM42" i="1"/>
  <c r="M42" i="1"/>
  <c r="AN42" i="1"/>
  <c r="Q42" i="1" s="1"/>
  <c r="AM57" i="1"/>
  <c r="M57" i="1"/>
  <c r="AN57" i="1"/>
  <c r="Q57" i="1" s="1"/>
  <c r="AN78" i="1"/>
  <c r="Q78" i="1" s="1"/>
  <c r="M78" i="1"/>
  <c r="AM79" i="1"/>
  <c r="M79" i="1"/>
  <c r="AN79" i="1"/>
  <c r="Q79" i="1" s="1"/>
  <c r="AN86" i="1"/>
  <c r="Q86" i="1" s="1"/>
  <c r="M86" i="1"/>
  <c r="AM88" i="1"/>
  <c r="M88" i="1"/>
  <c r="AN88" i="1"/>
  <c r="Q88" i="1" s="1"/>
  <c r="AN89" i="1"/>
  <c r="Q89" i="1" s="1"/>
  <c r="M89" i="1"/>
  <c r="AM90" i="1"/>
  <c r="M90" i="1"/>
  <c r="AN90" i="1"/>
  <c r="Q90" i="1" s="1"/>
  <c r="AR95" i="1"/>
  <c r="U95" i="1" s="1"/>
  <c r="T95" i="1"/>
  <c r="AR106" i="1"/>
  <c r="U106" i="1" s="1"/>
  <c r="T106" i="1"/>
  <c r="AF425" i="5"/>
  <c r="AF388" i="5"/>
  <c r="AF390" i="5"/>
  <c r="AF427" i="5"/>
  <c r="AF353" i="5"/>
  <c r="AF429" i="5"/>
  <c r="AF392" i="5"/>
  <c r="AF394" i="5"/>
  <c r="AF431" i="5"/>
  <c r="AF357" i="5"/>
  <c r="AF433" i="5"/>
  <c r="AF396" i="5"/>
  <c r="AF398" i="5"/>
  <c r="AF435" i="5"/>
  <c r="AF361" i="5"/>
  <c r="AF437" i="5"/>
  <c r="AF400" i="5"/>
  <c r="AF402" i="5"/>
  <c r="AF439" i="5"/>
  <c r="AF365" i="5"/>
  <c r="AF441" i="5"/>
  <c r="AF404" i="5"/>
  <c r="AF406" i="5"/>
  <c r="AF443" i="5"/>
  <c r="AF369" i="5"/>
  <c r="AF445" i="5"/>
  <c r="AF408" i="5"/>
  <c r="AF410" i="5"/>
  <c r="AF447" i="5"/>
  <c r="AF373" i="5"/>
  <c r="AF449" i="5"/>
  <c r="AF412" i="5"/>
  <c r="AF414" i="5"/>
  <c r="AF451" i="5"/>
  <c r="AF377" i="5"/>
  <c r="AF453" i="5"/>
  <c r="AF416" i="5"/>
  <c r="AF455" i="5"/>
  <c r="AF418" i="5"/>
  <c r="AF381" i="5"/>
  <c r="AF457" i="5"/>
  <c r="AF420" i="5"/>
  <c r="AF459" i="5"/>
  <c r="AF422" i="5"/>
  <c r="AF385" i="5"/>
  <c r="AF424" i="5"/>
  <c r="AF461" i="5"/>
  <c r="AF240" i="5"/>
  <c r="AN240" i="5"/>
  <c r="R241" i="5"/>
  <c r="AN277" i="5"/>
  <c r="AN281" i="5"/>
  <c r="AN285" i="5"/>
  <c r="AN289" i="5"/>
  <c r="AN293" i="5"/>
  <c r="R294" i="5"/>
  <c r="AN297" i="5"/>
  <c r="AN301" i="5"/>
  <c r="AT301" i="5"/>
  <c r="K301" i="5" s="1"/>
  <c r="AR304" i="5"/>
  <c r="AM304" i="5" s="1"/>
  <c r="AN304" i="5"/>
  <c r="AR305" i="5"/>
  <c r="AT306" i="5"/>
  <c r="K306" i="5" s="1"/>
  <c r="AT308" i="5"/>
  <c r="K308" i="5" s="1"/>
  <c r="AN310" i="5"/>
  <c r="AS310" i="5"/>
  <c r="M310" i="5" s="1"/>
  <c r="AS312" i="5"/>
  <c r="M312" i="5" s="1"/>
  <c r="AS313" i="5"/>
  <c r="M313" i="5" s="1"/>
  <c r="AR317" i="5"/>
  <c r="AM317" i="5" s="1"/>
  <c r="AN319" i="5"/>
  <c r="AT319" i="5"/>
  <c r="K319" i="5" s="1"/>
  <c r="AS321" i="5"/>
  <c r="M321" i="5" s="1"/>
  <c r="AR325" i="5"/>
  <c r="AM325" i="5" s="1"/>
  <c r="AN327" i="5"/>
  <c r="AT327" i="5"/>
  <c r="K327" i="5" s="1"/>
  <c r="AS329" i="5"/>
  <c r="M329" i="5" s="1"/>
  <c r="L330" i="5"/>
  <c r="AR333" i="5"/>
  <c r="AM333" i="5" s="1"/>
  <c r="AN335" i="5"/>
  <c r="AT335" i="5"/>
  <c r="K335" i="5" s="1"/>
  <c r="AS337" i="5"/>
  <c r="M337" i="5" s="1"/>
  <c r="AR341" i="5"/>
  <c r="AM341" i="5" s="1"/>
  <c r="AS343" i="5"/>
  <c r="M343" i="5" s="1"/>
  <c r="AS344" i="5"/>
  <c r="M344" i="5" s="1"/>
  <c r="R344" i="5"/>
  <c r="AR345" i="5"/>
  <c r="AN347" i="5"/>
  <c r="AT347" i="5"/>
  <c r="K347" i="5" s="1"/>
  <c r="AN351" i="5"/>
  <c r="AS351" i="5"/>
  <c r="M351" i="5" s="1"/>
  <c r="AN355" i="5"/>
  <c r="AS359" i="5"/>
  <c r="M359" i="5" s="1"/>
  <c r="AT359" i="5"/>
  <c r="K359" i="5" s="1"/>
  <c r="AL359" i="5"/>
  <c r="AR362" i="5"/>
  <c r="AM362" i="5" s="1"/>
  <c r="AN362" i="5"/>
  <c r="AS362" i="5"/>
  <c r="M362" i="5" s="1"/>
  <c r="R362" i="5"/>
  <c r="AF363" i="5"/>
  <c r="AR363" i="5"/>
  <c r="AT366" i="5"/>
  <c r="K366" i="5" s="1"/>
  <c r="AL369" i="5"/>
  <c r="AF371" i="5"/>
  <c r="L381" i="5"/>
  <c r="AR382" i="5"/>
  <c r="AN382" i="5"/>
  <c r="AT382" i="5"/>
  <c r="K382" i="5" s="1"/>
  <c r="AS382" i="5"/>
  <c r="M382" i="5" s="1"/>
  <c r="AS383" i="5"/>
  <c r="M383" i="5" s="1"/>
  <c r="AL385" i="5"/>
  <c r="AF387" i="5"/>
  <c r="AR398" i="5"/>
  <c r="AN398" i="5"/>
  <c r="AT398" i="5"/>
  <c r="K398" i="5" s="1"/>
  <c r="AS398" i="5"/>
  <c r="M398" i="5" s="1"/>
  <c r="AS399" i="5"/>
  <c r="M399" i="5" s="1"/>
  <c r="AS413" i="5"/>
  <c r="M413" i="5" s="1"/>
  <c r="AR414" i="5"/>
  <c r="AN414" i="5"/>
  <c r="AT414" i="5"/>
  <c r="K414" i="5" s="1"/>
  <c r="AS414" i="5"/>
  <c r="M414" i="5" s="1"/>
  <c r="R414" i="5"/>
  <c r="AS415" i="5"/>
  <c r="M415" i="5" s="1"/>
  <c r="AS420" i="5"/>
  <c r="M420" i="5" s="1"/>
  <c r="AS451" i="5"/>
  <c r="M451" i="5" s="1"/>
  <c r="AL459" i="5"/>
  <c r="L459" i="5"/>
  <c r="P459" i="5"/>
  <c r="BF88" i="1"/>
  <c r="BO88" i="1" s="1"/>
  <c r="BQ88" i="1" s="1"/>
  <c r="BF92" i="1"/>
  <c r="BL92" i="1" s="1"/>
  <c r="R205" i="1"/>
  <c r="BO96" i="1"/>
  <c r="BQ96" i="1" s="1"/>
  <c r="BK96" i="1"/>
  <c r="BF96" i="1"/>
  <c r="BN96" i="1"/>
  <c r="BI96" i="1"/>
  <c r="BM96" i="1"/>
  <c r="BH96" i="1"/>
  <c r="BL96" i="1"/>
  <c r="BJ96" i="1"/>
  <c r="AK19" i="1"/>
  <c r="AR19" i="1"/>
  <c r="U19" i="1" s="1"/>
  <c r="T19" i="1"/>
  <c r="R91" i="1"/>
  <c r="AK23" i="1"/>
  <c r="AR23" i="1"/>
  <c r="U23" i="1" s="1"/>
  <c r="T23" i="1"/>
  <c r="AR27" i="1"/>
  <c r="U27" i="1" s="1"/>
  <c r="T27" i="1"/>
  <c r="R212" i="1"/>
  <c r="R95" i="1"/>
  <c r="M43" i="1"/>
  <c r="AN43" i="1"/>
  <c r="Q43" i="1" s="1"/>
  <c r="AM44" i="1"/>
  <c r="M44" i="1"/>
  <c r="AN44" i="1"/>
  <c r="Q44" i="1" s="1"/>
  <c r="AN46" i="1"/>
  <c r="Q46" i="1" s="1"/>
  <c r="M46" i="1"/>
  <c r="AM52" i="1"/>
  <c r="M52" i="1"/>
  <c r="AN52" i="1"/>
  <c r="Q52" i="1" s="1"/>
  <c r="AN54" i="1"/>
  <c r="Q54" i="1" s="1"/>
  <c r="M54" i="1"/>
  <c r="AN76" i="1"/>
  <c r="Q76" i="1" s="1"/>
  <c r="M76" i="1"/>
  <c r="AM77" i="1"/>
  <c r="M77" i="1"/>
  <c r="AN77" i="1"/>
  <c r="Q77" i="1" s="1"/>
  <c r="AN84" i="1"/>
  <c r="Q84" i="1" s="1"/>
  <c r="M84" i="1"/>
  <c r="AM85" i="1"/>
  <c r="M85" i="1"/>
  <c r="AN85" i="1"/>
  <c r="Q85" i="1" s="1"/>
  <c r="M110" i="1"/>
  <c r="AM110" i="1"/>
  <c r="AR185" i="1"/>
  <c r="U185" i="1" s="1"/>
  <c r="T185" i="1"/>
  <c r="AN353" i="5"/>
  <c r="AN357" i="5"/>
  <c r="AN361" i="5"/>
  <c r="AN365" i="5"/>
  <c r="AN369" i="5"/>
  <c r="AT371" i="5"/>
  <c r="K371" i="5" s="1"/>
  <c r="AN373" i="5"/>
  <c r="AL375" i="5"/>
  <c r="AT375" i="5"/>
  <c r="K375" i="5" s="1"/>
  <c r="P376" i="5"/>
  <c r="AN377" i="5"/>
  <c r="AT379" i="5"/>
  <c r="K379" i="5" s="1"/>
  <c r="AN381" i="5"/>
  <c r="AL383" i="5"/>
  <c r="AT383" i="5"/>
  <c r="K383" i="5" s="1"/>
  <c r="AN385" i="5"/>
  <c r="AT387" i="5"/>
  <c r="K387" i="5" s="1"/>
  <c r="AN389" i="5"/>
  <c r="AL391" i="5"/>
  <c r="AT391" i="5"/>
  <c r="K391" i="5" s="1"/>
  <c r="AN393" i="5"/>
  <c r="AT395" i="5"/>
  <c r="K395" i="5" s="1"/>
  <c r="AN397" i="5"/>
  <c r="AT399" i="5"/>
  <c r="K399" i="5" s="1"/>
  <c r="AN401" i="5"/>
  <c r="AT403" i="5"/>
  <c r="K403" i="5" s="1"/>
  <c r="AN405" i="5"/>
  <c r="AL407" i="5"/>
  <c r="AT407" i="5"/>
  <c r="K407" i="5" s="1"/>
  <c r="AN409" i="5"/>
  <c r="AR409" i="5"/>
  <c r="AM409" i="5" s="1"/>
  <c r="AT411" i="5"/>
  <c r="K411" i="5" s="1"/>
  <c r="AN413" i="5"/>
  <c r="AR413" i="5"/>
  <c r="AM413" i="5" s="1"/>
  <c r="AL415" i="5"/>
  <c r="AT415" i="5"/>
  <c r="K415" i="5" s="1"/>
  <c r="AN420" i="5"/>
  <c r="AR420" i="5"/>
  <c r="AM420" i="5" s="1"/>
  <c r="AN421" i="5"/>
  <c r="AR421" i="5"/>
  <c r="AM421" i="5" s="1"/>
  <c r="AN422" i="5"/>
  <c r="AR422" i="5"/>
  <c r="AM422" i="5" s="1"/>
  <c r="AN423" i="5"/>
  <c r="AR423" i="5"/>
  <c r="AM423" i="5" s="1"/>
  <c r="R424" i="5"/>
  <c r="AS424" i="5"/>
  <c r="M424" i="5" s="1"/>
  <c r="AN427" i="5"/>
  <c r="AR427" i="5"/>
  <c r="AM427" i="5" s="1"/>
  <c r="AS428" i="5"/>
  <c r="M428" i="5" s="1"/>
  <c r="AN431" i="5"/>
  <c r="AR431" i="5"/>
  <c r="AM431" i="5" s="1"/>
  <c r="R432" i="5"/>
  <c r="AS432" i="5"/>
  <c r="M432" i="5" s="1"/>
  <c r="AN435" i="5"/>
  <c r="AR435" i="5"/>
  <c r="AM435" i="5" s="1"/>
  <c r="AS436" i="5"/>
  <c r="M436" i="5" s="1"/>
  <c r="AN439" i="5"/>
  <c r="AR439" i="5"/>
  <c r="AM439" i="5" s="1"/>
  <c r="R440" i="5"/>
  <c r="AS440" i="5"/>
  <c r="M440" i="5" s="1"/>
  <c r="AN443" i="5"/>
  <c r="AR443" i="5"/>
  <c r="AM443" i="5" s="1"/>
  <c r="R444" i="5"/>
  <c r="AS444" i="5"/>
  <c r="M444" i="5" s="1"/>
  <c r="AN447" i="5"/>
  <c r="AR447" i="5"/>
  <c r="AM447" i="5" s="1"/>
  <c r="R448" i="5"/>
  <c r="AS448" i="5"/>
  <c r="M448" i="5" s="1"/>
  <c r="AN451" i="5"/>
  <c r="AR451" i="5"/>
  <c r="AM451" i="5" s="1"/>
  <c r="R452" i="5"/>
  <c r="AS452" i="5"/>
  <c r="M452" i="5" s="1"/>
  <c r="AN461" i="5"/>
  <c r="AR461" i="5"/>
  <c r="AM461" i="5" s="1"/>
  <c r="AN463" i="5"/>
  <c r="AR463" i="5"/>
  <c r="AM463" i="5" s="1"/>
  <c r="AN465" i="5"/>
  <c r="AR465" i="5"/>
  <c r="AM465" i="5" s="1"/>
  <c r="AN467" i="5"/>
  <c r="AR467" i="5"/>
  <c r="AM467" i="5" s="1"/>
  <c r="AN469" i="5"/>
  <c r="AR469" i="5"/>
  <c r="AM469" i="5" s="1"/>
  <c r="AN471" i="5"/>
  <c r="AR471" i="5"/>
  <c r="AM471" i="5" s="1"/>
  <c r="AN473" i="5"/>
  <c r="AR473" i="5"/>
  <c r="AM473" i="5" s="1"/>
  <c r="AL474" i="5"/>
  <c r="AN475" i="5"/>
  <c r="AR475" i="5"/>
  <c r="AM475" i="5" s="1"/>
  <c r="AN477" i="5"/>
  <c r="AR477" i="5"/>
  <c r="AM477" i="5" s="1"/>
  <c r="AN479" i="5"/>
  <c r="AR479" i="5"/>
  <c r="AM479" i="5" s="1"/>
  <c r="AN481" i="5"/>
  <c r="AR481" i="5"/>
  <c r="AM481" i="5" s="1"/>
  <c r="AN483" i="5"/>
  <c r="AR483" i="5"/>
  <c r="AM483" i="5" s="1"/>
  <c r="AN485" i="5"/>
  <c r="AR485" i="5"/>
  <c r="AM485" i="5" s="1"/>
  <c r="AN487" i="5"/>
  <c r="AR487" i="5"/>
  <c r="AM487" i="5" s="1"/>
  <c r="AN489" i="5"/>
  <c r="AR489" i="5"/>
  <c r="AM489" i="5" s="1"/>
  <c r="AN492" i="5"/>
  <c r="AR492" i="5"/>
  <c r="AM492" i="5" s="1"/>
  <c r="R493" i="5"/>
  <c r="AS493" i="5"/>
  <c r="M493" i="5" s="1"/>
  <c r="AN495" i="5"/>
  <c r="AR495" i="5"/>
  <c r="AM495" i="5" s="1"/>
  <c r="AS496" i="5"/>
  <c r="M496" i="5" s="1"/>
  <c r="AN498" i="5"/>
  <c r="AR498" i="5"/>
  <c r="AM498" i="5" s="1"/>
  <c r="AM5" i="1"/>
  <c r="BK5" i="1"/>
  <c r="BE87" i="1" s="1"/>
  <c r="P6" i="1"/>
  <c r="AP368" i="1"/>
  <c r="S368" i="1" s="1"/>
  <c r="AP306" i="1"/>
  <c r="S306" i="1" s="1"/>
  <c r="AO368" i="1"/>
  <c r="AO275" i="1"/>
  <c r="AO213" i="1"/>
  <c r="AP337" i="1"/>
  <c r="S337" i="1" s="1"/>
  <c r="AO151" i="1"/>
  <c r="AO337" i="1"/>
  <c r="M8" i="1"/>
  <c r="R8" i="1"/>
  <c r="AT8" i="1"/>
  <c r="N8" i="1" s="1"/>
  <c r="BJ8" i="1"/>
  <c r="AT322" i="1"/>
  <c r="N322" i="1" s="1"/>
  <c r="AT291" i="1"/>
  <c r="N291" i="1" s="1"/>
  <c r="AT167" i="1"/>
  <c r="N167" i="1" s="1"/>
  <c r="AT353" i="1"/>
  <c r="N353" i="1" s="1"/>
  <c r="AM9" i="1"/>
  <c r="BK9" i="1"/>
  <c r="BE91" i="1" s="1"/>
  <c r="P10" i="1"/>
  <c r="AO316" i="1"/>
  <c r="AO285" i="1"/>
  <c r="AP254" i="1"/>
  <c r="S254" i="1" s="1"/>
  <c r="AO192" i="1"/>
  <c r="AP161" i="1"/>
  <c r="S161" i="1" s="1"/>
  <c r="AO254" i="1"/>
  <c r="AO161" i="1"/>
  <c r="AP316" i="1"/>
  <c r="S316" i="1" s="1"/>
  <c r="M12" i="1"/>
  <c r="R12" i="1"/>
  <c r="AT12" i="1"/>
  <c r="N12" i="1" s="1"/>
  <c r="BJ12" i="1"/>
  <c r="AT360" i="1"/>
  <c r="N360" i="1" s="1"/>
  <c r="AT298" i="1"/>
  <c r="N298" i="1" s="1"/>
  <c r="AT391" i="1"/>
  <c r="N391" i="1" s="1"/>
  <c r="AT329" i="1"/>
  <c r="N329" i="1" s="1"/>
  <c r="AM13" i="1"/>
  <c r="BK13" i="1"/>
  <c r="BE95" i="1" s="1"/>
  <c r="P14" i="1"/>
  <c r="AP379" i="1"/>
  <c r="S379" i="1" s="1"/>
  <c r="AO348" i="1"/>
  <c r="AO379" i="1"/>
  <c r="AP286" i="1"/>
  <c r="S286" i="1" s="1"/>
  <c r="AP193" i="1"/>
  <c r="S193" i="1" s="1"/>
  <c r="AP317" i="1"/>
  <c r="S317" i="1" s="1"/>
  <c r="AP348" i="1"/>
  <c r="S348" i="1" s="1"/>
  <c r="AO317" i="1"/>
  <c r="M16" i="1"/>
  <c r="R16" i="1"/>
  <c r="AT16" i="1"/>
  <c r="N16" i="1" s="1"/>
  <c r="AM17" i="1"/>
  <c r="BK17" i="1"/>
  <c r="M18" i="1"/>
  <c r="R18" i="1"/>
  <c r="AP18" i="1"/>
  <c r="S18" i="1" s="1"/>
  <c r="P19" i="1"/>
  <c r="AO364" i="1"/>
  <c r="AP302" i="1"/>
  <c r="S302" i="1" s="1"/>
  <c r="AO271" i="1"/>
  <c r="AP395" i="1"/>
  <c r="S395" i="1" s="1"/>
  <c r="AP333" i="1"/>
  <c r="S333" i="1" s="1"/>
  <c r="AO117" i="1"/>
  <c r="AO395" i="1"/>
  <c r="AP364" i="1"/>
  <c r="S364" i="1" s="1"/>
  <c r="AO333" i="1"/>
  <c r="M20" i="1"/>
  <c r="R20" i="1"/>
  <c r="BJ20" i="1"/>
  <c r="AT340" i="1"/>
  <c r="N340" i="1" s="1"/>
  <c r="AT185" i="1"/>
  <c r="N185" i="1" s="1"/>
  <c r="AT309" i="1"/>
  <c r="N309" i="1" s="1"/>
  <c r="P21" i="1"/>
  <c r="AP318" i="1"/>
  <c r="S318" i="1" s="1"/>
  <c r="AP287" i="1"/>
  <c r="S287" i="1" s="1"/>
  <c r="AO287" i="1"/>
  <c r="AO225" i="1"/>
  <c r="AP163" i="1"/>
  <c r="S163" i="1" s="1"/>
  <c r="AP349" i="1"/>
  <c r="S349" i="1" s="1"/>
  <c r="AO163" i="1"/>
  <c r="AO132" i="1"/>
  <c r="AO380" i="1"/>
  <c r="AO349" i="1"/>
  <c r="M22" i="1"/>
  <c r="R22" i="1"/>
  <c r="AP22" i="1"/>
  <c r="S22" i="1" s="1"/>
  <c r="BJ22" i="1"/>
  <c r="AT324" i="1"/>
  <c r="N324" i="1" s="1"/>
  <c r="AT262" i="1"/>
  <c r="N262" i="1" s="1"/>
  <c r="AT169" i="1"/>
  <c r="N169" i="1" s="1"/>
  <c r="P23" i="1"/>
  <c r="P24" i="1"/>
  <c r="AP334" i="1"/>
  <c r="S334" i="1" s="1"/>
  <c r="AO241" i="1"/>
  <c r="AP179" i="1"/>
  <c r="S179" i="1" s="1"/>
  <c r="AP365" i="1"/>
  <c r="S365" i="1" s="1"/>
  <c r="AO148" i="1"/>
  <c r="AO118" i="1"/>
  <c r="AO365" i="1"/>
  <c r="P25" i="1"/>
  <c r="AP397" i="1"/>
  <c r="S397" i="1" s="1"/>
  <c r="AP366" i="1"/>
  <c r="S366" i="1" s="1"/>
  <c r="AO304" i="1"/>
  <c r="AO397" i="1"/>
  <c r="AO273" i="1"/>
  <c r="AP242" i="1"/>
  <c r="S242" i="1" s="1"/>
  <c r="AO242" i="1"/>
  <c r="AO119" i="1"/>
  <c r="AP304" i="1"/>
  <c r="S304" i="1" s="1"/>
  <c r="P26" i="1"/>
  <c r="AP310" i="1"/>
  <c r="S310" i="1" s="1"/>
  <c r="AP279" i="1"/>
  <c r="S279" i="1" s="1"/>
  <c r="AO279" i="1"/>
  <c r="AO217" i="1"/>
  <c r="AP341" i="1"/>
  <c r="S341" i="1" s="1"/>
  <c r="AO155" i="1"/>
  <c r="AO341" i="1"/>
  <c r="P27" i="1"/>
  <c r="AP350" i="1"/>
  <c r="S350" i="1" s="1"/>
  <c r="AP381" i="1"/>
  <c r="S381" i="1" s="1"/>
  <c r="AO257" i="1"/>
  <c r="AP226" i="1"/>
  <c r="S226" i="1" s="1"/>
  <c r="AO381" i="1"/>
  <c r="AO226" i="1"/>
  <c r="P28" i="1"/>
  <c r="AP387" i="1"/>
  <c r="S387" i="1" s="1"/>
  <c r="AO356" i="1"/>
  <c r="AO387" i="1"/>
  <c r="AP294" i="1"/>
  <c r="S294" i="1" s="1"/>
  <c r="AP325" i="1"/>
  <c r="S325" i="1" s="1"/>
  <c r="AP356" i="1"/>
  <c r="S356" i="1" s="1"/>
  <c r="AO325" i="1"/>
  <c r="P29" i="1"/>
  <c r="AP342" i="1"/>
  <c r="S342" i="1" s="1"/>
  <c r="AO249" i="1"/>
  <c r="AP218" i="1"/>
  <c r="S218" i="1" s="1"/>
  <c r="AO218" i="1"/>
  <c r="AO373" i="1"/>
  <c r="AM30" i="1"/>
  <c r="BJ30" i="1"/>
  <c r="AT320" i="1"/>
  <c r="N320" i="1" s="1"/>
  <c r="AT258" i="1"/>
  <c r="N258" i="1" s="1"/>
  <c r="AT165" i="1"/>
  <c r="N165" i="1" s="1"/>
  <c r="AO31" i="1"/>
  <c r="AS31" i="1"/>
  <c r="AP326" i="1"/>
  <c r="S326" i="1" s="1"/>
  <c r="AO233" i="1"/>
  <c r="AP171" i="1"/>
  <c r="S171" i="1" s="1"/>
  <c r="AP357" i="1"/>
  <c r="S357" i="1" s="1"/>
  <c r="AP295" i="1"/>
  <c r="S295" i="1" s="1"/>
  <c r="AO171" i="1"/>
  <c r="AO140" i="1"/>
  <c r="AO113" i="1"/>
  <c r="AO388" i="1"/>
  <c r="AO357" i="1"/>
  <c r="AO295" i="1"/>
  <c r="AM32" i="1"/>
  <c r="BJ32" i="1"/>
  <c r="AT312" i="1"/>
  <c r="N312" i="1" s="1"/>
  <c r="AT250" i="1"/>
  <c r="N250" i="1" s="1"/>
  <c r="AO33" i="1"/>
  <c r="AS33" i="1"/>
  <c r="AM34" i="1"/>
  <c r="AO35" i="1"/>
  <c r="AS35" i="1"/>
  <c r="AP330" i="1"/>
  <c r="S330" i="1" s="1"/>
  <c r="AP299" i="1"/>
  <c r="S299" i="1" s="1"/>
  <c r="AO299" i="1"/>
  <c r="AO237" i="1"/>
  <c r="AP175" i="1"/>
  <c r="S175" i="1" s="1"/>
  <c r="AP361" i="1"/>
  <c r="S361" i="1" s="1"/>
  <c r="AO175" i="1"/>
  <c r="AO144" i="1"/>
  <c r="AO361" i="1"/>
  <c r="AM36" i="1"/>
  <c r="BJ36" i="1"/>
  <c r="AT336" i="1"/>
  <c r="N336" i="1" s="1"/>
  <c r="AT181" i="1"/>
  <c r="N181" i="1" s="1"/>
  <c r="AT305" i="1"/>
  <c r="N305" i="1" s="1"/>
  <c r="AO37" i="1"/>
  <c r="AS37" i="1"/>
  <c r="AO344" i="1"/>
  <c r="AP282" i="1"/>
  <c r="S282" i="1" s="1"/>
  <c r="AP189" i="1"/>
  <c r="S189" i="1" s="1"/>
  <c r="AP375" i="1"/>
  <c r="S375" i="1" s="1"/>
  <c r="AP313" i="1"/>
  <c r="S313" i="1" s="1"/>
  <c r="AO375" i="1"/>
  <c r="AP344" i="1"/>
  <c r="S344" i="1" s="1"/>
  <c r="AO313" i="1"/>
  <c r="AM38" i="1"/>
  <c r="BJ38" i="1"/>
  <c r="AT352" i="1"/>
  <c r="N352" i="1" s="1"/>
  <c r="AT383" i="1"/>
  <c r="N383" i="1" s="1"/>
  <c r="AT321" i="1"/>
  <c r="N321" i="1" s="1"/>
  <c r="AO39" i="1"/>
  <c r="AS39" i="1"/>
  <c r="AP358" i="1"/>
  <c r="S358" i="1" s="1"/>
  <c r="AO296" i="1"/>
  <c r="AP389" i="1"/>
  <c r="S389" i="1" s="1"/>
  <c r="AO265" i="1"/>
  <c r="AP234" i="1"/>
  <c r="S234" i="1" s="1"/>
  <c r="AO389" i="1"/>
  <c r="AO234" i="1"/>
  <c r="AP296" i="1"/>
  <c r="S296" i="1" s="1"/>
  <c r="AM40" i="1"/>
  <c r="BJ40" i="1"/>
  <c r="AT362" i="1"/>
  <c r="N362" i="1" s="1"/>
  <c r="AT238" i="1"/>
  <c r="N238" i="1" s="1"/>
  <c r="AT393" i="1"/>
  <c r="N393" i="1" s="1"/>
  <c r="AT300" i="1"/>
  <c r="N300" i="1" s="1"/>
  <c r="AO41" i="1"/>
  <c r="AS41" i="1"/>
  <c r="AP314" i="1"/>
  <c r="S314" i="1" s="1"/>
  <c r="AP283" i="1"/>
  <c r="S283" i="1" s="1"/>
  <c r="AO283" i="1"/>
  <c r="AO221" i="1"/>
  <c r="AP159" i="1"/>
  <c r="S159" i="1" s="1"/>
  <c r="AP345" i="1"/>
  <c r="S345" i="1" s="1"/>
  <c r="AO159" i="1"/>
  <c r="AO128" i="1"/>
  <c r="AO345" i="1"/>
  <c r="BK42" i="1"/>
  <c r="AP43" i="1"/>
  <c r="S43" i="1" s="1"/>
  <c r="AT43" i="1"/>
  <c r="N43" i="1" s="1"/>
  <c r="BK44" i="1"/>
  <c r="AM45" i="1"/>
  <c r="AP46" i="1"/>
  <c r="S46" i="1" s="1"/>
  <c r="AT46" i="1"/>
  <c r="N46" i="1" s="1"/>
  <c r="AO47" i="1"/>
  <c r="AS47" i="1"/>
  <c r="BK48" i="1"/>
  <c r="AM49" i="1"/>
  <c r="AP50" i="1"/>
  <c r="S50" i="1" s="1"/>
  <c r="AT50" i="1"/>
  <c r="N50" i="1" s="1"/>
  <c r="AO51" i="1"/>
  <c r="AS51" i="1"/>
  <c r="BK52" i="1"/>
  <c r="AM53" i="1"/>
  <c r="BJ53" i="1"/>
  <c r="AP54" i="1"/>
  <c r="S54" i="1" s="1"/>
  <c r="AT54" i="1"/>
  <c r="N54" i="1" s="1"/>
  <c r="AO55" i="1"/>
  <c r="AS55" i="1"/>
  <c r="BK56" i="1"/>
  <c r="BK57" i="1"/>
  <c r="AM58" i="1"/>
  <c r="AP59" i="1"/>
  <c r="S59" i="1" s="1"/>
  <c r="AT59" i="1"/>
  <c r="N59" i="1" s="1"/>
  <c r="AM60" i="1"/>
  <c r="AO62" i="1"/>
  <c r="AS62" i="1"/>
  <c r="AP63" i="1"/>
  <c r="S63" i="1" s="1"/>
  <c r="AT63" i="1"/>
  <c r="N63" i="1" s="1"/>
  <c r="AM64" i="1"/>
  <c r="AO66" i="1"/>
  <c r="AS66" i="1"/>
  <c r="AP67" i="1"/>
  <c r="S67" i="1" s="1"/>
  <c r="AT67" i="1"/>
  <c r="N67" i="1" s="1"/>
  <c r="AM68" i="1"/>
  <c r="AO70" i="1"/>
  <c r="AS70" i="1"/>
  <c r="AP71" i="1"/>
  <c r="S71" i="1" s="1"/>
  <c r="AT71" i="1"/>
  <c r="N71" i="1" s="1"/>
  <c r="AO73" i="1"/>
  <c r="AS73" i="1"/>
  <c r="AP74" i="1"/>
  <c r="S74" i="1" s="1"/>
  <c r="AT74" i="1"/>
  <c r="N74" i="1" s="1"/>
  <c r="AP76" i="1"/>
  <c r="S76" i="1" s="1"/>
  <c r="AT76" i="1"/>
  <c r="N76" i="1" s="1"/>
  <c r="AP78" i="1"/>
  <c r="S78" i="1" s="1"/>
  <c r="AT78" i="1"/>
  <c r="N78" i="1" s="1"/>
  <c r="AP80" i="1"/>
  <c r="S80" i="1" s="1"/>
  <c r="AT80" i="1"/>
  <c r="N80" i="1" s="1"/>
  <c r="AP82" i="1"/>
  <c r="S82" i="1" s="1"/>
  <c r="AT82" i="1"/>
  <c r="N82" i="1" s="1"/>
  <c r="AP84" i="1"/>
  <c r="S84" i="1" s="1"/>
  <c r="AT84" i="1"/>
  <c r="N84" i="1" s="1"/>
  <c r="AP86" i="1"/>
  <c r="S86" i="1" s="1"/>
  <c r="AT86" i="1"/>
  <c r="N86" i="1" s="1"/>
  <c r="AO87" i="1"/>
  <c r="AS87" i="1"/>
  <c r="AP89" i="1"/>
  <c r="S89" i="1" s="1"/>
  <c r="AT89" i="1"/>
  <c r="N89" i="1" s="1"/>
  <c r="AS92" i="1"/>
  <c r="M92" i="1" s="1"/>
  <c r="AM94" i="1"/>
  <c r="P95" i="1"/>
  <c r="AP95" i="1"/>
  <c r="S95" i="1" s="1"/>
  <c r="AT96" i="1"/>
  <c r="N96" i="1" s="1"/>
  <c r="AP96" i="1"/>
  <c r="S96" i="1" s="1"/>
  <c r="AO97" i="1"/>
  <c r="P98" i="1"/>
  <c r="AO98" i="1"/>
  <c r="AS100" i="1"/>
  <c r="M100" i="1" s="1"/>
  <c r="AS102" i="1"/>
  <c r="M102" i="1" s="1"/>
  <c r="AS103" i="1"/>
  <c r="AO103" i="1"/>
  <c r="AS104" i="1"/>
  <c r="M104" i="1" s="1"/>
  <c r="AO106" i="1"/>
  <c r="AT108" i="1"/>
  <c r="N108" i="1" s="1"/>
  <c r="AP108" i="1"/>
  <c r="S108" i="1" s="1"/>
  <c r="AO109" i="1"/>
  <c r="AT109" i="1"/>
  <c r="N109" i="1" s="1"/>
  <c r="AP111" i="1"/>
  <c r="S111" i="1" s="1"/>
  <c r="AT114" i="1"/>
  <c r="N114" i="1" s="1"/>
  <c r="AT116" i="1"/>
  <c r="N116" i="1" s="1"/>
  <c r="AQ117" i="1"/>
  <c r="AT118" i="1"/>
  <c r="N118" i="1" s="1"/>
  <c r="AT120" i="1"/>
  <c r="N120" i="1" s="1"/>
  <c r="AO121" i="1"/>
  <c r="AP123" i="1"/>
  <c r="S123" i="1" s="1"/>
  <c r="AP126" i="1"/>
  <c r="S126" i="1" s="1"/>
  <c r="AP128" i="1"/>
  <c r="S128" i="1" s="1"/>
  <c r="AO130" i="1"/>
  <c r="AO131" i="1"/>
  <c r="AT133" i="1"/>
  <c r="N133" i="1" s="1"/>
  <c r="AP133" i="1"/>
  <c r="S133" i="1" s="1"/>
  <c r="AS133" i="1"/>
  <c r="AO133" i="1"/>
  <c r="AP136" i="1"/>
  <c r="S136" i="1" s="1"/>
  <c r="AO138" i="1"/>
  <c r="AO139" i="1"/>
  <c r="AT141" i="1"/>
  <c r="N141" i="1" s="1"/>
  <c r="AP141" i="1"/>
  <c r="S141" i="1" s="1"/>
  <c r="AS141" i="1"/>
  <c r="AO141" i="1"/>
  <c r="AP144" i="1"/>
  <c r="S144" i="1" s="1"/>
  <c r="AO146" i="1"/>
  <c r="AO147" i="1"/>
  <c r="AT149" i="1"/>
  <c r="N149" i="1" s="1"/>
  <c r="AP149" i="1"/>
  <c r="S149" i="1" s="1"/>
  <c r="AS149" i="1"/>
  <c r="AO149" i="1"/>
  <c r="AP153" i="1"/>
  <c r="S153" i="1" s="1"/>
  <c r="AO156" i="1"/>
  <c r="AP157" i="1"/>
  <c r="S157" i="1" s="1"/>
  <c r="AN160" i="1"/>
  <c r="Q160" i="1" s="1"/>
  <c r="M160" i="1"/>
  <c r="AN164" i="1"/>
  <c r="Q164" i="1" s="1"/>
  <c r="M164" i="1"/>
  <c r="AN168" i="1"/>
  <c r="Q168" i="1" s="1"/>
  <c r="M168" i="1"/>
  <c r="AN172" i="1"/>
  <c r="Q172" i="1" s="1"/>
  <c r="M172" i="1"/>
  <c r="AQ173" i="1"/>
  <c r="AN176" i="1"/>
  <c r="Q176" i="1" s="1"/>
  <c r="M176" i="1"/>
  <c r="AN178" i="1"/>
  <c r="Q178" i="1" s="1"/>
  <c r="M178" i="1"/>
  <c r="AN180" i="1"/>
  <c r="Q180" i="1" s="1"/>
  <c r="M180" i="1"/>
  <c r="P185" i="1"/>
  <c r="AO204" i="1"/>
  <c r="AQ214" i="1"/>
  <c r="AO220" i="1"/>
  <c r="AQ222" i="1"/>
  <c r="AO228" i="1"/>
  <c r="AQ230" i="1"/>
  <c r="AO236" i="1"/>
  <c r="AQ238" i="1"/>
  <c r="AO244" i="1"/>
  <c r="AQ246" i="1"/>
  <c r="AO252" i="1"/>
  <c r="AQ254" i="1"/>
  <c r="AO260" i="1"/>
  <c r="AQ262" i="1"/>
  <c r="AT274" i="1"/>
  <c r="N274" i="1" s="1"/>
  <c r="AT282" i="1"/>
  <c r="N282" i="1" s="1"/>
  <c r="AT290" i="1"/>
  <c r="N290" i="1" s="1"/>
  <c r="AT294" i="1"/>
  <c r="N294" i="1" s="1"/>
  <c r="P13" i="3"/>
  <c r="R409" i="5"/>
  <c r="R413" i="5"/>
  <c r="R421" i="5"/>
  <c r="R422" i="5"/>
  <c r="R423" i="5"/>
  <c r="AT424" i="5"/>
  <c r="K424" i="5" s="1"/>
  <c r="AL428" i="5"/>
  <c r="AT428" i="5"/>
  <c r="K428" i="5" s="1"/>
  <c r="R431" i="5"/>
  <c r="AT432" i="5"/>
  <c r="K432" i="5" s="1"/>
  <c r="AL436" i="5"/>
  <c r="AT436" i="5"/>
  <c r="K436" i="5" s="1"/>
  <c r="AT440" i="5"/>
  <c r="K440" i="5" s="1"/>
  <c r="AT444" i="5"/>
  <c r="K444" i="5" s="1"/>
  <c r="AT448" i="5"/>
  <c r="K448" i="5" s="1"/>
  <c r="AN450" i="5"/>
  <c r="AT452" i="5"/>
  <c r="K452" i="5" s="1"/>
  <c r="AN457" i="5"/>
  <c r="AN458" i="5"/>
  <c r="AN459" i="5"/>
  <c r="AN460" i="5"/>
  <c r="R463" i="5"/>
  <c r="R471" i="5"/>
  <c r="R481" i="5"/>
  <c r="R489" i="5"/>
  <c r="AN491" i="5"/>
  <c r="R492" i="5"/>
  <c r="AT493" i="5"/>
  <c r="K493" i="5" s="1"/>
  <c r="AN494" i="5"/>
  <c r="AT496" i="5"/>
  <c r="K496" i="5" s="1"/>
  <c r="R4" i="1"/>
  <c r="AT4" i="1"/>
  <c r="N4" i="1" s="1"/>
  <c r="AN5" i="1"/>
  <c r="Q5" i="1" s="1"/>
  <c r="AO6" i="1"/>
  <c r="R7" i="1"/>
  <c r="AP7" i="1"/>
  <c r="S7" i="1" s="1"/>
  <c r="AT7" i="1"/>
  <c r="N7" i="1" s="1"/>
  <c r="BJ7" i="1"/>
  <c r="AT377" i="1"/>
  <c r="N377" i="1" s="1"/>
  <c r="AT346" i="1"/>
  <c r="N346" i="1" s="1"/>
  <c r="AT222" i="1"/>
  <c r="N222" i="1" s="1"/>
  <c r="AN9" i="1"/>
  <c r="Q9" i="1" s="1"/>
  <c r="AP338" i="1"/>
  <c r="S338" i="1" s="1"/>
  <c r="AO245" i="1"/>
  <c r="AP214" i="1"/>
  <c r="S214" i="1" s="1"/>
  <c r="AO214" i="1"/>
  <c r="AO10" i="1"/>
  <c r="R11" i="1"/>
  <c r="AP11" i="1"/>
  <c r="S11" i="1" s="1"/>
  <c r="AT11" i="1"/>
  <c r="N11" i="1" s="1"/>
  <c r="AN13" i="1"/>
  <c r="Q13" i="1" s="1"/>
  <c r="AO370" i="1"/>
  <c r="AO308" i="1"/>
  <c r="AP246" i="1"/>
  <c r="S246" i="1" s="1"/>
  <c r="AO184" i="1"/>
  <c r="AO246" i="1"/>
  <c r="AO153" i="1"/>
  <c r="AP308" i="1"/>
  <c r="S308" i="1" s="1"/>
  <c r="AO14" i="1"/>
  <c r="R15" i="1"/>
  <c r="AT15" i="1"/>
  <c r="N15" i="1" s="1"/>
  <c r="BJ15" i="1"/>
  <c r="AT385" i="1"/>
  <c r="N385" i="1" s="1"/>
  <c r="AT354" i="1"/>
  <c r="N354" i="1" s="1"/>
  <c r="AT230" i="1"/>
  <c r="N230" i="1" s="1"/>
  <c r="AN17" i="1"/>
  <c r="Q17" i="1" s="1"/>
  <c r="AO25" i="1"/>
  <c r="AO26" i="1"/>
  <c r="AO29" i="1"/>
  <c r="AP31" i="1"/>
  <c r="S31" i="1" s="1"/>
  <c r="AP33" i="1"/>
  <c r="S33" i="1" s="1"/>
  <c r="AP35" i="1"/>
  <c r="S35" i="1" s="1"/>
  <c r="AP37" i="1"/>
  <c r="S37" i="1" s="1"/>
  <c r="AP39" i="1"/>
  <c r="S39" i="1" s="1"/>
  <c r="AP41" i="1"/>
  <c r="S41" i="1" s="1"/>
  <c r="AO42" i="1"/>
  <c r="AM43" i="1"/>
  <c r="AU43" i="1"/>
  <c r="L43" i="1" s="1"/>
  <c r="BJ43" i="1"/>
  <c r="AT328" i="1"/>
  <c r="N328" i="1" s="1"/>
  <c r="AT173" i="1"/>
  <c r="N173" i="1" s="1"/>
  <c r="AO44" i="1"/>
  <c r="AO332" i="1"/>
  <c r="AP177" i="1"/>
  <c r="S177" i="1" s="1"/>
  <c r="AP301" i="1"/>
  <c r="S301" i="1" s="1"/>
  <c r="AO177" i="1"/>
  <c r="AP332" i="1"/>
  <c r="S332" i="1" s="1"/>
  <c r="AO301" i="1"/>
  <c r="AN45" i="1"/>
  <c r="Q45" i="1" s="1"/>
  <c r="AM46" i="1"/>
  <c r="AU46" i="1"/>
  <c r="L46" i="1" s="1"/>
  <c r="AP47" i="1"/>
  <c r="S47" i="1" s="1"/>
  <c r="AO48" i="1"/>
  <c r="AN49" i="1"/>
  <c r="Q49" i="1" s="1"/>
  <c r="AM50" i="1"/>
  <c r="AU50" i="1"/>
  <c r="L50" i="1" s="1"/>
  <c r="AP51" i="1"/>
  <c r="S51" i="1" s="1"/>
  <c r="AO52" i="1"/>
  <c r="AN53" i="1"/>
  <c r="Q53" i="1" s="1"/>
  <c r="AM54" i="1"/>
  <c r="AU54" i="1"/>
  <c r="L54" i="1" s="1"/>
  <c r="AP55" i="1"/>
  <c r="S55" i="1" s="1"/>
  <c r="AO56" i="1"/>
  <c r="AO57" i="1"/>
  <c r="AN58" i="1"/>
  <c r="Q58" i="1" s="1"/>
  <c r="AM59" i="1"/>
  <c r="AU59" i="1"/>
  <c r="L59" i="1" s="1"/>
  <c r="AO61" i="1"/>
  <c r="AP62" i="1"/>
  <c r="S62" i="1" s="1"/>
  <c r="AM63" i="1"/>
  <c r="AU63" i="1"/>
  <c r="L63" i="1" s="1"/>
  <c r="AO65" i="1"/>
  <c r="AP66" i="1"/>
  <c r="S66" i="1" s="1"/>
  <c r="AM67" i="1"/>
  <c r="AU67" i="1"/>
  <c r="L67" i="1" s="1"/>
  <c r="AO69" i="1"/>
  <c r="AP70" i="1"/>
  <c r="S70" i="1" s="1"/>
  <c r="AM71" i="1"/>
  <c r="AU71" i="1"/>
  <c r="L71" i="1" s="1"/>
  <c r="AO72" i="1"/>
  <c r="AP73" i="1"/>
  <c r="S73" i="1" s="1"/>
  <c r="AM74" i="1"/>
  <c r="AU74" i="1"/>
  <c r="L74" i="1" s="1"/>
  <c r="AO75" i="1"/>
  <c r="AM76" i="1"/>
  <c r="AU76" i="1"/>
  <c r="L76" i="1" s="1"/>
  <c r="AO77" i="1"/>
  <c r="AM78" i="1"/>
  <c r="AU78" i="1"/>
  <c r="L78" i="1" s="1"/>
  <c r="AO79" i="1"/>
  <c r="AM80" i="1"/>
  <c r="AU80" i="1"/>
  <c r="L80" i="1" s="1"/>
  <c r="AO81" i="1"/>
  <c r="AM82" i="1"/>
  <c r="AU82" i="1"/>
  <c r="L82" i="1" s="1"/>
  <c r="AO83" i="1"/>
  <c r="AM84" i="1"/>
  <c r="AU84" i="1"/>
  <c r="L84" i="1" s="1"/>
  <c r="AO85" i="1"/>
  <c r="AM86" i="1"/>
  <c r="AU86" i="1"/>
  <c r="L86" i="1" s="1"/>
  <c r="AP87" i="1"/>
  <c r="S87" i="1" s="1"/>
  <c r="AO88" i="1"/>
  <c r="AM89" i="1"/>
  <c r="AU89" i="1"/>
  <c r="L89" i="1" s="1"/>
  <c r="AO90" i="1"/>
  <c r="AT91" i="1"/>
  <c r="N91" i="1" s="1"/>
  <c r="AO92" i="1"/>
  <c r="AN94" i="1"/>
  <c r="Q94" i="1" s="1"/>
  <c r="AM96" i="1"/>
  <c r="AP97" i="1"/>
  <c r="S97" i="1" s="1"/>
  <c r="AT98" i="1"/>
  <c r="N98" i="1" s="1"/>
  <c r="AP98" i="1"/>
  <c r="S98" i="1" s="1"/>
  <c r="AO99" i="1"/>
  <c r="AO100" i="1"/>
  <c r="AO102" i="1"/>
  <c r="AM103" i="1"/>
  <c r="AO104" i="1"/>
  <c r="P106" i="1"/>
  <c r="AT106" i="1"/>
  <c r="N106" i="1" s="1"/>
  <c r="AP106" i="1"/>
  <c r="S106" i="1" s="1"/>
  <c r="M107" i="1"/>
  <c r="AO107" i="1"/>
  <c r="AT107" i="1"/>
  <c r="N107" i="1" s="1"/>
  <c r="AM108" i="1"/>
  <c r="AP109" i="1"/>
  <c r="S109" i="1" s="1"/>
  <c r="AN110" i="1"/>
  <c r="Q110" i="1" s="1"/>
  <c r="AQ111" i="1"/>
  <c r="AN112" i="1"/>
  <c r="Q112" i="1" s="1"/>
  <c r="AU112" i="1"/>
  <c r="L112" i="1" s="1"/>
  <c r="AM112" i="1"/>
  <c r="AT112" i="1"/>
  <c r="N112" i="1" s="1"/>
  <c r="AP112" i="1"/>
  <c r="S112" i="1" s="1"/>
  <c r="AT113" i="1"/>
  <c r="N113" i="1" s="1"/>
  <c r="AO114" i="1"/>
  <c r="AO116" i="1"/>
  <c r="AP118" i="1"/>
  <c r="S118" i="1" s="1"/>
  <c r="AO120" i="1"/>
  <c r="AT122" i="1"/>
  <c r="N122" i="1" s="1"/>
  <c r="AP122" i="1"/>
  <c r="S122" i="1" s="1"/>
  <c r="AS122" i="1"/>
  <c r="AO122" i="1"/>
  <c r="AU124" i="1"/>
  <c r="L124" i="1" s="1"/>
  <c r="AM124" i="1"/>
  <c r="AT124" i="1"/>
  <c r="N124" i="1" s="1"/>
  <c r="AP124" i="1"/>
  <c r="S124" i="1" s="1"/>
  <c r="AT125" i="1"/>
  <c r="N125" i="1" s="1"/>
  <c r="AP131" i="1"/>
  <c r="S131" i="1" s="1"/>
  <c r="AT132" i="1"/>
  <c r="N132" i="1" s="1"/>
  <c r="AU134" i="1"/>
  <c r="L134" i="1" s="1"/>
  <c r="AM134" i="1"/>
  <c r="AT134" i="1"/>
  <c r="N134" i="1" s="1"/>
  <c r="AP134" i="1"/>
  <c r="S134" i="1" s="1"/>
  <c r="AT135" i="1"/>
  <c r="N135" i="1" s="1"/>
  <c r="AP139" i="1"/>
  <c r="S139" i="1" s="1"/>
  <c r="AT140" i="1"/>
  <c r="N140" i="1" s="1"/>
  <c r="AU142" i="1"/>
  <c r="L142" i="1" s="1"/>
  <c r="AM142" i="1"/>
  <c r="AT142" i="1"/>
  <c r="N142" i="1" s="1"/>
  <c r="AP142" i="1"/>
  <c r="S142" i="1" s="1"/>
  <c r="AT143" i="1"/>
  <c r="N143" i="1" s="1"/>
  <c r="AP147" i="1"/>
  <c r="S147" i="1" s="1"/>
  <c r="AT148" i="1"/>
  <c r="N148" i="1" s="1"/>
  <c r="AU150" i="1"/>
  <c r="L150" i="1" s="1"/>
  <c r="AM150" i="1"/>
  <c r="AT150" i="1"/>
  <c r="N150" i="1" s="1"/>
  <c r="AP150" i="1"/>
  <c r="S150" i="1" s="1"/>
  <c r="AG338" i="1"/>
  <c r="AG276" i="1"/>
  <c r="AG307" i="1"/>
  <c r="AQ153" i="1"/>
  <c r="AN154" i="1"/>
  <c r="Q154" i="1" s="1"/>
  <c r="AU154" i="1"/>
  <c r="L154" i="1" s="1"/>
  <c r="AM154" i="1"/>
  <c r="AT154" i="1"/>
  <c r="N154" i="1" s="1"/>
  <c r="AP154" i="1"/>
  <c r="S154" i="1" s="1"/>
  <c r="AT155" i="1"/>
  <c r="N155" i="1" s="1"/>
  <c r="AG342" i="1"/>
  <c r="AG280" i="1"/>
  <c r="AG311" i="1"/>
  <c r="AQ157" i="1"/>
  <c r="AN158" i="1"/>
  <c r="Q158" i="1" s="1"/>
  <c r="AU158" i="1"/>
  <c r="L158" i="1" s="1"/>
  <c r="AM158" i="1"/>
  <c r="AT158" i="1"/>
  <c r="N158" i="1" s="1"/>
  <c r="AP158" i="1"/>
  <c r="S158" i="1" s="1"/>
  <c r="AO162" i="1"/>
  <c r="AO166" i="1"/>
  <c r="AO170" i="1"/>
  <c r="AO174" i="1"/>
  <c r="M177" i="1"/>
  <c r="AN177" i="1"/>
  <c r="Q177" i="1" s="1"/>
  <c r="M179" i="1"/>
  <c r="AN179" i="1"/>
  <c r="Q179" i="1" s="1"/>
  <c r="M181" i="1"/>
  <c r="AN181" i="1"/>
  <c r="Q181" i="1" s="1"/>
  <c r="AU182" i="1"/>
  <c r="L182" i="1" s="1"/>
  <c r="AT182" i="1"/>
  <c r="N182" i="1" s="1"/>
  <c r="AP182" i="1"/>
  <c r="S182" i="1" s="1"/>
  <c r="AS182" i="1"/>
  <c r="AM182" i="1" s="1"/>
  <c r="AO182" i="1"/>
  <c r="AP184" i="1"/>
  <c r="S184" i="1" s="1"/>
  <c r="M185" i="1"/>
  <c r="AN185" i="1"/>
  <c r="Q185" i="1" s="1"/>
  <c r="AU186" i="1"/>
  <c r="L186" i="1" s="1"/>
  <c r="AT186" i="1"/>
  <c r="N186" i="1" s="1"/>
  <c r="AP186" i="1"/>
  <c r="S186" i="1" s="1"/>
  <c r="AS186" i="1"/>
  <c r="AO186" i="1"/>
  <c r="T189" i="1"/>
  <c r="M189" i="1"/>
  <c r="AN189" i="1"/>
  <c r="Q189" i="1" s="1"/>
  <c r="AU190" i="1"/>
  <c r="L190" i="1" s="1"/>
  <c r="AM190" i="1"/>
  <c r="AT190" i="1"/>
  <c r="N190" i="1" s="1"/>
  <c r="AP190" i="1"/>
  <c r="S190" i="1" s="1"/>
  <c r="AS190" i="1"/>
  <c r="AO190" i="1"/>
  <c r="AP192" i="1"/>
  <c r="S192" i="1" s="1"/>
  <c r="M193" i="1"/>
  <c r="AN193" i="1"/>
  <c r="Q193" i="1" s="1"/>
  <c r="AU194" i="1"/>
  <c r="L194" i="1" s="1"/>
  <c r="AM194" i="1"/>
  <c r="AT194" i="1"/>
  <c r="N194" i="1" s="1"/>
  <c r="AP194" i="1"/>
  <c r="S194" i="1" s="1"/>
  <c r="AS194" i="1"/>
  <c r="AO194" i="1"/>
  <c r="AO201" i="1"/>
  <c r="AO209" i="1"/>
  <c r="AP213" i="1"/>
  <c r="S213" i="1" s="1"/>
  <c r="AU219" i="1"/>
  <c r="L219" i="1" s="1"/>
  <c r="AT219" i="1"/>
  <c r="N219" i="1" s="1"/>
  <c r="AP219" i="1"/>
  <c r="S219" i="1" s="1"/>
  <c r="AS219" i="1"/>
  <c r="AO219" i="1"/>
  <c r="AN220" i="1"/>
  <c r="Q220" i="1" s="1"/>
  <c r="M220" i="1"/>
  <c r="AP221" i="1"/>
  <c r="S221" i="1" s="1"/>
  <c r="AU227" i="1"/>
  <c r="L227" i="1" s="1"/>
  <c r="AT227" i="1"/>
  <c r="N227" i="1" s="1"/>
  <c r="AP227" i="1"/>
  <c r="S227" i="1" s="1"/>
  <c r="AS227" i="1"/>
  <c r="AM227" i="1" s="1"/>
  <c r="AO227" i="1"/>
  <c r="AN228" i="1"/>
  <c r="Q228" i="1" s="1"/>
  <c r="M228" i="1"/>
  <c r="AU235" i="1"/>
  <c r="L235" i="1" s="1"/>
  <c r="AT235" i="1"/>
  <c r="N235" i="1" s="1"/>
  <c r="AP235" i="1"/>
  <c r="S235" i="1" s="1"/>
  <c r="AS235" i="1"/>
  <c r="AM235" i="1" s="1"/>
  <c r="AO235" i="1"/>
  <c r="AN236" i="1"/>
  <c r="Q236" i="1" s="1"/>
  <c r="M236" i="1"/>
  <c r="AP237" i="1"/>
  <c r="S237" i="1" s="1"/>
  <c r="AU243" i="1"/>
  <c r="L243" i="1" s="1"/>
  <c r="AT243" i="1"/>
  <c r="N243" i="1" s="1"/>
  <c r="AP243" i="1"/>
  <c r="S243" i="1" s="1"/>
  <c r="AS243" i="1"/>
  <c r="AM243" i="1" s="1"/>
  <c r="AO243" i="1"/>
  <c r="AN244" i="1"/>
  <c r="Q244" i="1" s="1"/>
  <c r="M244" i="1"/>
  <c r="AP245" i="1"/>
  <c r="S245" i="1" s="1"/>
  <c r="AU251" i="1"/>
  <c r="L251" i="1" s="1"/>
  <c r="AM251" i="1"/>
  <c r="AT251" i="1"/>
  <c r="N251" i="1" s="1"/>
  <c r="AP251" i="1"/>
  <c r="S251" i="1" s="1"/>
  <c r="AS251" i="1"/>
  <c r="AO251" i="1"/>
  <c r="AN252" i="1"/>
  <c r="Q252" i="1" s="1"/>
  <c r="M252" i="1"/>
  <c r="AU259" i="1"/>
  <c r="L259" i="1" s="1"/>
  <c r="AM259" i="1"/>
  <c r="AT259" i="1"/>
  <c r="N259" i="1" s="1"/>
  <c r="AP259" i="1"/>
  <c r="S259" i="1" s="1"/>
  <c r="AS259" i="1"/>
  <c r="AO259" i="1"/>
  <c r="AN260" i="1"/>
  <c r="Q260" i="1" s="1"/>
  <c r="M260" i="1"/>
  <c r="AU266" i="1"/>
  <c r="L266" i="1" s="1"/>
  <c r="AM266" i="1"/>
  <c r="AT266" i="1"/>
  <c r="N266" i="1" s="1"/>
  <c r="AP266" i="1"/>
  <c r="S266" i="1" s="1"/>
  <c r="AS266" i="1"/>
  <c r="AO266" i="1"/>
  <c r="AT267" i="1"/>
  <c r="N267" i="1" s="1"/>
  <c r="AU268" i="1"/>
  <c r="L268" i="1" s="1"/>
  <c r="AT268" i="1"/>
  <c r="N268" i="1" s="1"/>
  <c r="AP268" i="1"/>
  <c r="S268" i="1" s="1"/>
  <c r="AS268" i="1"/>
  <c r="AM268" i="1" s="1"/>
  <c r="AO268" i="1"/>
  <c r="AT269" i="1"/>
  <c r="N269" i="1" s="1"/>
  <c r="AU270" i="1"/>
  <c r="L270" i="1" s="1"/>
  <c r="AT270" i="1"/>
  <c r="N270" i="1" s="1"/>
  <c r="AP270" i="1"/>
  <c r="S270" i="1" s="1"/>
  <c r="AS270" i="1"/>
  <c r="AM270" i="1" s="1"/>
  <c r="AO270" i="1"/>
  <c r="AU272" i="1"/>
  <c r="L272" i="1" s="1"/>
  <c r="AT272" i="1"/>
  <c r="N272" i="1" s="1"/>
  <c r="AP272" i="1"/>
  <c r="S272" i="1" s="1"/>
  <c r="AS272" i="1"/>
  <c r="AM272" i="1" s="1"/>
  <c r="AO272" i="1"/>
  <c r="P285" i="1"/>
  <c r="AQ285" i="1"/>
  <c r="AQ4" i="1"/>
  <c r="AT368" i="1"/>
  <c r="N368" i="1" s="1"/>
  <c r="AT306" i="1"/>
  <c r="N306" i="1" s="1"/>
  <c r="AT275" i="1"/>
  <c r="N275" i="1" s="1"/>
  <c r="AT337" i="1"/>
  <c r="N337" i="1" s="1"/>
  <c r="AQ7" i="1"/>
  <c r="AP322" i="1"/>
  <c r="S322" i="1" s="1"/>
  <c r="AP291" i="1"/>
  <c r="S291" i="1" s="1"/>
  <c r="AO291" i="1"/>
  <c r="AO229" i="1"/>
  <c r="AP167" i="1"/>
  <c r="S167" i="1" s="1"/>
  <c r="AP353" i="1"/>
  <c r="S353" i="1" s="1"/>
  <c r="AO167" i="1"/>
  <c r="AO136" i="1"/>
  <c r="AO353" i="1"/>
  <c r="AT316" i="1"/>
  <c r="N316" i="1" s="1"/>
  <c r="AT254" i="1"/>
  <c r="N254" i="1" s="1"/>
  <c r="AT161" i="1"/>
  <c r="N161" i="1" s="1"/>
  <c r="AQ11" i="1"/>
  <c r="AO360" i="1"/>
  <c r="AO298" i="1"/>
  <c r="AO267" i="1"/>
  <c r="AP391" i="1"/>
  <c r="S391" i="1" s="1"/>
  <c r="AP329" i="1"/>
  <c r="S329" i="1" s="1"/>
  <c r="AO391" i="1"/>
  <c r="AP360" i="1"/>
  <c r="S360" i="1" s="1"/>
  <c r="AO329" i="1"/>
  <c r="AP298" i="1"/>
  <c r="S298" i="1" s="1"/>
  <c r="AT348" i="1"/>
  <c r="N348" i="1" s="1"/>
  <c r="AT379" i="1"/>
  <c r="N379" i="1" s="1"/>
  <c r="AT193" i="1"/>
  <c r="N193" i="1" s="1"/>
  <c r="AT317" i="1"/>
  <c r="N317" i="1" s="1"/>
  <c r="AQ15" i="1"/>
  <c r="AT395" i="1"/>
  <c r="N395" i="1" s="1"/>
  <c r="AT364" i="1"/>
  <c r="N364" i="1" s="1"/>
  <c r="AT302" i="1"/>
  <c r="N302" i="1" s="1"/>
  <c r="AT333" i="1"/>
  <c r="N333" i="1" s="1"/>
  <c r="AO340" i="1"/>
  <c r="AP371" i="1"/>
  <c r="S371" i="1" s="1"/>
  <c r="AP278" i="1"/>
  <c r="S278" i="1" s="1"/>
  <c r="AP185" i="1"/>
  <c r="S185" i="1" s="1"/>
  <c r="AP309" i="1"/>
  <c r="S309" i="1" s="1"/>
  <c r="AP340" i="1"/>
  <c r="S340" i="1" s="1"/>
  <c r="AO309" i="1"/>
  <c r="AT318" i="1"/>
  <c r="N318" i="1" s="1"/>
  <c r="AT287" i="1"/>
  <c r="N287" i="1" s="1"/>
  <c r="AT163" i="1"/>
  <c r="N163" i="1" s="1"/>
  <c r="AT349" i="1"/>
  <c r="N349" i="1" s="1"/>
  <c r="AO324" i="1"/>
  <c r="AO293" i="1"/>
  <c r="AP262" i="1"/>
  <c r="S262" i="1" s="1"/>
  <c r="AP169" i="1"/>
  <c r="S169" i="1" s="1"/>
  <c r="AO262" i="1"/>
  <c r="AO169" i="1"/>
  <c r="AP324" i="1"/>
  <c r="S324" i="1" s="1"/>
  <c r="AT334" i="1"/>
  <c r="N334" i="1" s="1"/>
  <c r="AT179" i="1"/>
  <c r="N179" i="1" s="1"/>
  <c r="AT365" i="1"/>
  <c r="N365" i="1" s="1"/>
  <c r="AT304" i="1"/>
  <c r="N304" i="1" s="1"/>
  <c r="AT366" i="1"/>
  <c r="N366" i="1" s="1"/>
  <c r="AT242" i="1"/>
  <c r="N242" i="1" s="1"/>
  <c r="AT397" i="1"/>
  <c r="N397" i="1" s="1"/>
  <c r="AT310" i="1"/>
  <c r="N310" i="1" s="1"/>
  <c r="AT279" i="1"/>
  <c r="N279" i="1" s="1"/>
  <c r="AT341" i="1"/>
  <c r="N341" i="1" s="1"/>
  <c r="AT350" i="1"/>
  <c r="N350" i="1" s="1"/>
  <c r="AT226" i="1"/>
  <c r="N226" i="1" s="1"/>
  <c r="AT381" i="1"/>
  <c r="N381" i="1" s="1"/>
  <c r="AT356" i="1"/>
  <c r="N356" i="1" s="1"/>
  <c r="AT387" i="1"/>
  <c r="N387" i="1" s="1"/>
  <c r="AT325" i="1"/>
  <c r="N325" i="1" s="1"/>
  <c r="AT342" i="1"/>
  <c r="N342" i="1" s="1"/>
  <c r="AT218" i="1"/>
  <c r="N218" i="1" s="1"/>
  <c r="AO382" i="1"/>
  <c r="AO320" i="1"/>
  <c r="AO289" i="1"/>
  <c r="AP258" i="1"/>
  <c r="S258" i="1" s="1"/>
  <c r="AP165" i="1"/>
  <c r="S165" i="1" s="1"/>
  <c r="AO258" i="1"/>
  <c r="AO165" i="1"/>
  <c r="AP320" i="1"/>
  <c r="S320" i="1" s="1"/>
  <c r="AT326" i="1"/>
  <c r="N326" i="1" s="1"/>
  <c r="AT171" i="1"/>
  <c r="N171" i="1" s="1"/>
  <c r="AT357" i="1"/>
  <c r="N357" i="1" s="1"/>
  <c r="AT295" i="1"/>
  <c r="N295" i="1" s="1"/>
  <c r="AP374" i="1"/>
  <c r="S374" i="1" s="1"/>
  <c r="AO312" i="1"/>
  <c r="AO281" i="1"/>
  <c r="AP250" i="1"/>
  <c r="S250" i="1" s="1"/>
  <c r="AO188" i="1"/>
  <c r="AO250" i="1"/>
  <c r="AO157" i="1"/>
  <c r="AO126" i="1"/>
  <c r="AP312" i="1"/>
  <c r="S312" i="1" s="1"/>
  <c r="AT330" i="1"/>
  <c r="N330" i="1" s="1"/>
  <c r="AT299" i="1"/>
  <c r="N299" i="1" s="1"/>
  <c r="AT175" i="1"/>
  <c r="N175" i="1" s="1"/>
  <c r="AT361" i="1"/>
  <c r="N361" i="1" s="1"/>
  <c r="AO36" i="1"/>
  <c r="AO336" i="1"/>
  <c r="AP274" i="1"/>
  <c r="S274" i="1" s="1"/>
  <c r="AP181" i="1"/>
  <c r="S181" i="1" s="1"/>
  <c r="AP305" i="1"/>
  <c r="S305" i="1" s="1"/>
  <c r="AP336" i="1"/>
  <c r="S336" i="1" s="1"/>
  <c r="AO305" i="1"/>
  <c r="AT344" i="1"/>
  <c r="N344" i="1" s="1"/>
  <c r="AT189" i="1"/>
  <c r="N189" i="1" s="1"/>
  <c r="AT375" i="1"/>
  <c r="N375" i="1" s="1"/>
  <c r="AT313" i="1"/>
  <c r="N313" i="1" s="1"/>
  <c r="AO352" i="1"/>
  <c r="AP290" i="1"/>
  <c r="S290" i="1" s="1"/>
  <c r="AP383" i="1"/>
  <c r="S383" i="1" s="1"/>
  <c r="AP321" i="1"/>
  <c r="S321" i="1" s="1"/>
  <c r="AO383" i="1"/>
  <c r="AP352" i="1"/>
  <c r="S352" i="1" s="1"/>
  <c r="AO321" i="1"/>
  <c r="AT296" i="1"/>
  <c r="N296" i="1" s="1"/>
  <c r="AT358" i="1"/>
  <c r="N358" i="1" s="1"/>
  <c r="AT234" i="1"/>
  <c r="N234" i="1" s="1"/>
  <c r="AT389" i="1"/>
  <c r="N389" i="1" s="1"/>
  <c r="AP393" i="1"/>
  <c r="S393" i="1" s="1"/>
  <c r="AP362" i="1"/>
  <c r="S362" i="1" s="1"/>
  <c r="AO393" i="1"/>
  <c r="AP300" i="1"/>
  <c r="S300" i="1" s="1"/>
  <c r="AO269" i="1"/>
  <c r="AP238" i="1"/>
  <c r="S238" i="1" s="1"/>
  <c r="AO300" i="1"/>
  <c r="AO238" i="1"/>
  <c r="AT314" i="1"/>
  <c r="N314" i="1" s="1"/>
  <c r="AT283" i="1"/>
  <c r="N283" i="1" s="1"/>
  <c r="AT159" i="1"/>
  <c r="N159" i="1" s="1"/>
  <c r="AT345" i="1"/>
  <c r="N345" i="1" s="1"/>
  <c r="AT42" i="1"/>
  <c r="N42" i="1" s="1"/>
  <c r="AT44" i="1"/>
  <c r="N44" i="1" s="1"/>
  <c r="AP48" i="1"/>
  <c r="S48" i="1" s="1"/>
  <c r="AT48" i="1"/>
  <c r="N48" i="1" s="1"/>
  <c r="AT52" i="1"/>
  <c r="N52" i="1" s="1"/>
  <c r="AT56" i="1"/>
  <c r="N56" i="1" s="1"/>
  <c r="AP57" i="1"/>
  <c r="S57" i="1" s="1"/>
  <c r="AT57" i="1"/>
  <c r="N57" i="1" s="1"/>
  <c r="AO58" i="1"/>
  <c r="AO60" i="1"/>
  <c r="AP61" i="1"/>
  <c r="S61" i="1" s="1"/>
  <c r="AT61" i="1"/>
  <c r="N61" i="1" s="1"/>
  <c r="AO64" i="1"/>
  <c r="AT65" i="1"/>
  <c r="N65" i="1" s="1"/>
  <c r="AO68" i="1"/>
  <c r="AP69" i="1"/>
  <c r="S69" i="1" s="1"/>
  <c r="AT69" i="1"/>
  <c r="N69" i="1" s="1"/>
  <c r="AP72" i="1"/>
  <c r="S72" i="1" s="1"/>
  <c r="AT72" i="1"/>
  <c r="N72" i="1" s="1"/>
  <c r="AP75" i="1"/>
  <c r="S75" i="1" s="1"/>
  <c r="AT75" i="1"/>
  <c r="N75" i="1" s="1"/>
  <c r="AP77" i="1"/>
  <c r="S77" i="1" s="1"/>
  <c r="AT77" i="1"/>
  <c r="N77" i="1" s="1"/>
  <c r="AP79" i="1"/>
  <c r="S79" i="1" s="1"/>
  <c r="AT79" i="1"/>
  <c r="N79" i="1" s="1"/>
  <c r="AP81" i="1"/>
  <c r="S81" i="1" s="1"/>
  <c r="AT81" i="1"/>
  <c r="N81" i="1" s="1"/>
  <c r="AP83" i="1"/>
  <c r="S83" i="1" s="1"/>
  <c r="AT83" i="1"/>
  <c r="N83" i="1" s="1"/>
  <c r="AP85" i="1"/>
  <c r="S85" i="1" s="1"/>
  <c r="AT85" i="1"/>
  <c r="N85" i="1" s="1"/>
  <c r="AP88" i="1"/>
  <c r="S88" i="1" s="1"/>
  <c r="AT88" i="1"/>
  <c r="N88" i="1" s="1"/>
  <c r="AP90" i="1"/>
  <c r="S90" i="1" s="1"/>
  <c r="AT90" i="1"/>
  <c r="N90" i="1" s="1"/>
  <c r="AP91" i="1"/>
  <c r="S91" i="1" s="1"/>
  <c r="AT92" i="1"/>
  <c r="N92" i="1" s="1"/>
  <c r="AP92" i="1"/>
  <c r="S92" i="1" s="1"/>
  <c r="AO93" i="1"/>
  <c r="AT93" i="1"/>
  <c r="N93" i="1" s="1"/>
  <c r="AO94" i="1"/>
  <c r="AP99" i="1"/>
  <c r="S99" i="1" s="1"/>
  <c r="AT100" i="1"/>
  <c r="N100" i="1" s="1"/>
  <c r="AP100" i="1"/>
  <c r="S100" i="1" s="1"/>
  <c r="AO101" i="1"/>
  <c r="AP102" i="1"/>
  <c r="S102" i="1" s="1"/>
  <c r="AU102" i="1"/>
  <c r="AM102" i="1"/>
  <c r="AT103" i="1"/>
  <c r="N103" i="1" s="1"/>
  <c r="AT104" i="1"/>
  <c r="N104" i="1" s="1"/>
  <c r="AP104" i="1"/>
  <c r="S104" i="1" s="1"/>
  <c r="AO105" i="1"/>
  <c r="AP107" i="1"/>
  <c r="S107" i="1" s="1"/>
  <c r="AO110" i="1"/>
  <c r="AO112" i="1"/>
  <c r="AP113" i="1"/>
  <c r="S113" i="1" s="1"/>
  <c r="AP114" i="1"/>
  <c r="S114" i="1" s="1"/>
  <c r="AT115" i="1"/>
  <c r="N115" i="1" s="1"/>
  <c r="AP116" i="1"/>
  <c r="S116" i="1" s="1"/>
  <c r="AT117" i="1"/>
  <c r="N117" i="1" s="1"/>
  <c r="AT119" i="1"/>
  <c r="N119" i="1" s="1"/>
  <c r="AP120" i="1"/>
  <c r="S120" i="1" s="1"/>
  <c r="AT123" i="1"/>
  <c r="N123" i="1" s="1"/>
  <c r="AO124" i="1"/>
  <c r="AO125" i="1"/>
  <c r="AO127" i="1"/>
  <c r="AT129" i="1"/>
  <c r="N129" i="1" s="1"/>
  <c r="AP129" i="1"/>
  <c r="S129" i="1" s="1"/>
  <c r="AS129" i="1"/>
  <c r="AO129" i="1"/>
  <c r="AP132" i="1"/>
  <c r="S132" i="1" s="1"/>
  <c r="AO134" i="1"/>
  <c r="AO135" i="1"/>
  <c r="AT137" i="1"/>
  <c r="N137" i="1" s="1"/>
  <c r="AP137" i="1"/>
  <c r="S137" i="1" s="1"/>
  <c r="AS137" i="1"/>
  <c r="AO137" i="1"/>
  <c r="AP140" i="1"/>
  <c r="S140" i="1" s="1"/>
  <c r="AO143" i="1"/>
  <c r="AT145" i="1"/>
  <c r="N145" i="1" s="1"/>
  <c r="AP145" i="1"/>
  <c r="S145" i="1" s="1"/>
  <c r="AS145" i="1"/>
  <c r="AM145" i="1" s="1"/>
  <c r="AO145" i="1"/>
  <c r="AP148" i="1"/>
  <c r="S148" i="1" s="1"/>
  <c r="AO150" i="1"/>
  <c r="AP151" i="1"/>
  <c r="S151" i="1" s="1"/>
  <c r="AO154" i="1"/>
  <c r="AP155" i="1"/>
  <c r="S155" i="1" s="1"/>
  <c r="AO158" i="1"/>
  <c r="AN162" i="1"/>
  <c r="Q162" i="1" s="1"/>
  <c r="M162" i="1"/>
  <c r="AN166" i="1"/>
  <c r="Q166" i="1" s="1"/>
  <c r="M166" i="1"/>
  <c r="AN170" i="1"/>
  <c r="Q170" i="1" s="1"/>
  <c r="M170" i="1"/>
  <c r="AN174" i="1"/>
  <c r="Q174" i="1" s="1"/>
  <c r="M174" i="1"/>
  <c r="AG183" i="1"/>
  <c r="AG187" i="1"/>
  <c r="AO198" i="1"/>
  <c r="AO202" i="1"/>
  <c r="AO206" i="1"/>
  <c r="AO210" i="1"/>
  <c r="AO216" i="1"/>
  <c r="AO224" i="1"/>
  <c r="AO232" i="1"/>
  <c r="AO240" i="1"/>
  <c r="AQ242" i="1"/>
  <c r="AO248" i="1"/>
  <c r="AQ250" i="1"/>
  <c r="AO256" i="1"/>
  <c r="AQ258" i="1"/>
  <c r="AO264" i="1"/>
  <c r="AT278" i="1"/>
  <c r="N278" i="1" s="1"/>
  <c r="AT286" i="1"/>
  <c r="N286" i="1" s="1"/>
  <c r="AT374" i="1"/>
  <c r="N374" i="1" s="1"/>
  <c r="R371" i="5"/>
  <c r="R379" i="5"/>
  <c r="R387" i="5"/>
  <c r="R395" i="5"/>
  <c r="R411" i="5"/>
  <c r="AN424" i="5"/>
  <c r="AN428" i="5"/>
  <c r="AN432" i="5"/>
  <c r="AN436" i="5"/>
  <c r="AN440" i="5"/>
  <c r="AN444" i="5"/>
  <c r="AN448" i="5"/>
  <c r="AN452" i="5"/>
  <c r="AN493" i="5"/>
  <c r="AN496" i="5"/>
  <c r="R5" i="1"/>
  <c r="AO377" i="1"/>
  <c r="AP346" i="1"/>
  <c r="S346" i="1" s="1"/>
  <c r="AO253" i="1"/>
  <c r="AP222" i="1"/>
  <c r="S222" i="1" s="1"/>
  <c r="AO222" i="1"/>
  <c r="AP377" i="1"/>
  <c r="S377" i="1" s="1"/>
  <c r="R9" i="1"/>
  <c r="AT9" i="1"/>
  <c r="N9" i="1" s="1"/>
  <c r="AT338" i="1"/>
  <c r="N338" i="1" s="1"/>
  <c r="AT214" i="1"/>
  <c r="N214" i="1" s="1"/>
  <c r="R13" i="1"/>
  <c r="AT13" i="1"/>
  <c r="N13" i="1" s="1"/>
  <c r="AT308" i="1"/>
  <c r="N308" i="1" s="1"/>
  <c r="AT246" i="1"/>
  <c r="N246" i="1" s="1"/>
  <c r="AO385" i="1"/>
  <c r="AP354" i="1"/>
  <c r="S354" i="1" s="1"/>
  <c r="AO261" i="1"/>
  <c r="AP230" i="1"/>
  <c r="S230" i="1" s="1"/>
  <c r="AO230" i="1"/>
  <c r="AP385" i="1"/>
  <c r="S385" i="1" s="1"/>
  <c r="R17" i="1"/>
  <c r="AT30" i="1"/>
  <c r="N30" i="1" s="1"/>
  <c r="AT32" i="1"/>
  <c r="N32" i="1" s="1"/>
  <c r="AT34" i="1"/>
  <c r="N34" i="1" s="1"/>
  <c r="AP36" i="1"/>
  <c r="S36" i="1" s="1"/>
  <c r="AT36" i="1"/>
  <c r="N36" i="1" s="1"/>
  <c r="AT38" i="1"/>
  <c r="N38" i="1" s="1"/>
  <c r="AP40" i="1"/>
  <c r="S40" i="1" s="1"/>
  <c r="AO43" i="1"/>
  <c r="AO390" i="1"/>
  <c r="AO328" i="1"/>
  <c r="AP297" i="1"/>
  <c r="S297" i="1" s="1"/>
  <c r="AP173" i="1"/>
  <c r="S173" i="1" s="1"/>
  <c r="AO173" i="1"/>
  <c r="AP328" i="1"/>
  <c r="S328" i="1" s="1"/>
  <c r="AT332" i="1"/>
  <c r="N332" i="1" s="1"/>
  <c r="AT177" i="1"/>
  <c r="N177" i="1" s="1"/>
  <c r="AT301" i="1"/>
  <c r="N301" i="1" s="1"/>
  <c r="R45" i="1"/>
  <c r="AP45" i="1"/>
  <c r="S45" i="1" s="1"/>
  <c r="AT45" i="1"/>
  <c r="N45" i="1" s="1"/>
  <c r="AO46" i="1"/>
  <c r="R49" i="1"/>
  <c r="AT49" i="1"/>
  <c r="N49" i="1" s="1"/>
  <c r="AO50" i="1"/>
  <c r="R53" i="1"/>
  <c r="AP53" i="1"/>
  <c r="S53" i="1" s="1"/>
  <c r="AT53" i="1"/>
  <c r="N53" i="1" s="1"/>
  <c r="AO54" i="1"/>
  <c r="AP58" i="1"/>
  <c r="S58" i="1" s="1"/>
  <c r="AT58" i="1"/>
  <c r="N58" i="1" s="1"/>
  <c r="AO59" i="1"/>
  <c r="AP60" i="1"/>
  <c r="S60" i="1" s="1"/>
  <c r="AT60" i="1"/>
  <c r="N60" i="1" s="1"/>
  <c r="AO63" i="1"/>
  <c r="AO67" i="1"/>
  <c r="AP68" i="1"/>
  <c r="S68" i="1" s="1"/>
  <c r="AT68" i="1"/>
  <c r="N68" i="1" s="1"/>
  <c r="AO71" i="1"/>
  <c r="AO74" i="1"/>
  <c r="AO76" i="1"/>
  <c r="AO78" i="1"/>
  <c r="AO80" i="1"/>
  <c r="AO82" i="1"/>
  <c r="AO84" i="1"/>
  <c r="AO86" i="1"/>
  <c r="AO89" i="1"/>
  <c r="AM92" i="1"/>
  <c r="AP93" i="1"/>
  <c r="S93" i="1" s="1"/>
  <c r="AT94" i="1"/>
  <c r="N94" i="1" s="1"/>
  <c r="AP94" i="1"/>
  <c r="S94" i="1" s="1"/>
  <c r="AO96" i="1"/>
  <c r="AM100" i="1"/>
  <c r="AP101" i="1"/>
  <c r="S101" i="1" s="1"/>
  <c r="AP103" i="1"/>
  <c r="S103" i="1" s="1"/>
  <c r="AU103" i="1"/>
  <c r="L103" i="1" s="1"/>
  <c r="AM104" i="1"/>
  <c r="AP105" i="1"/>
  <c r="S105" i="1" s="1"/>
  <c r="AQ107" i="1"/>
  <c r="AO108" i="1"/>
  <c r="AU108" i="1"/>
  <c r="L108" i="1" s="1"/>
  <c r="AT110" i="1"/>
  <c r="N110" i="1" s="1"/>
  <c r="AP110" i="1"/>
  <c r="S110" i="1" s="1"/>
  <c r="M111" i="1"/>
  <c r="AO111" i="1"/>
  <c r="AT111" i="1"/>
  <c r="N111" i="1" s="1"/>
  <c r="AO115" i="1"/>
  <c r="AP117" i="1"/>
  <c r="S117" i="1" s="1"/>
  <c r="AP119" i="1"/>
  <c r="S119" i="1" s="1"/>
  <c r="AU121" i="1"/>
  <c r="L121" i="1" s="1"/>
  <c r="AM121" i="1"/>
  <c r="AT121" i="1"/>
  <c r="N121" i="1" s="1"/>
  <c r="AP121" i="1"/>
  <c r="S121" i="1" s="1"/>
  <c r="AO123" i="1"/>
  <c r="AP125" i="1"/>
  <c r="S125" i="1" s="1"/>
  <c r="AT126" i="1"/>
  <c r="N126" i="1" s="1"/>
  <c r="BM126" i="1"/>
  <c r="AP127" i="1"/>
  <c r="S127" i="1" s="1"/>
  <c r="AT128" i="1"/>
  <c r="N128" i="1" s="1"/>
  <c r="AU130" i="1"/>
  <c r="L130" i="1" s="1"/>
  <c r="AM130" i="1"/>
  <c r="AT130" i="1"/>
  <c r="N130" i="1" s="1"/>
  <c r="AP130" i="1"/>
  <c r="S130" i="1" s="1"/>
  <c r="AT131" i="1"/>
  <c r="N131" i="1" s="1"/>
  <c r="AM133" i="1"/>
  <c r="AU133" i="1"/>
  <c r="L133" i="1" s="1"/>
  <c r="AP135" i="1"/>
  <c r="S135" i="1" s="1"/>
  <c r="AT136" i="1"/>
  <c r="N136" i="1" s="1"/>
  <c r="AU138" i="1"/>
  <c r="L138" i="1" s="1"/>
  <c r="AM138" i="1"/>
  <c r="AT138" i="1"/>
  <c r="N138" i="1" s="1"/>
  <c r="AP138" i="1"/>
  <c r="S138" i="1" s="1"/>
  <c r="AT139" i="1"/>
  <c r="N139" i="1" s="1"/>
  <c r="AM141" i="1"/>
  <c r="AU141" i="1"/>
  <c r="L141" i="1" s="1"/>
  <c r="AP143" i="1"/>
  <c r="S143" i="1" s="1"/>
  <c r="AT144" i="1"/>
  <c r="N144" i="1" s="1"/>
  <c r="AU146" i="1"/>
  <c r="L146" i="1" s="1"/>
  <c r="AM146" i="1"/>
  <c r="AT146" i="1"/>
  <c r="N146" i="1" s="1"/>
  <c r="AP146" i="1"/>
  <c r="S146" i="1" s="1"/>
  <c r="AT147" i="1"/>
  <c r="N147" i="1" s="1"/>
  <c r="AM149" i="1"/>
  <c r="AU149" i="1"/>
  <c r="L149" i="1" s="1"/>
  <c r="AN152" i="1"/>
  <c r="Q152" i="1" s="1"/>
  <c r="AU152" i="1"/>
  <c r="L152" i="1" s="1"/>
  <c r="AM152" i="1"/>
  <c r="AT152" i="1"/>
  <c r="N152" i="1" s="1"/>
  <c r="AP152" i="1"/>
  <c r="S152" i="1" s="1"/>
  <c r="AT153" i="1"/>
  <c r="N153" i="1" s="1"/>
  <c r="AG278" i="1"/>
  <c r="AG309" i="1"/>
  <c r="AG185" i="1"/>
  <c r="AG340" i="1"/>
  <c r="AN156" i="1"/>
  <c r="Q156" i="1" s="1"/>
  <c r="AU156" i="1"/>
  <c r="L156" i="1" s="1"/>
  <c r="AM156" i="1"/>
  <c r="AT156" i="1"/>
  <c r="N156" i="1" s="1"/>
  <c r="AP156" i="1"/>
  <c r="S156" i="1" s="1"/>
  <c r="AT157" i="1"/>
  <c r="N157" i="1" s="1"/>
  <c r="AG282" i="1"/>
  <c r="AG313" i="1"/>
  <c r="AG189" i="1"/>
  <c r="AG344" i="1"/>
  <c r="AO160" i="1"/>
  <c r="AO164" i="1"/>
  <c r="AO168" i="1"/>
  <c r="AO172" i="1"/>
  <c r="AO176" i="1"/>
  <c r="AQ177" i="1"/>
  <c r="AO178" i="1"/>
  <c r="AQ179" i="1"/>
  <c r="AO180" i="1"/>
  <c r="AQ181" i="1"/>
  <c r="AO183" i="1"/>
  <c r="AT184" i="1"/>
  <c r="N184" i="1" s="1"/>
  <c r="AO187" i="1"/>
  <c r="AT188" i="1"/>
  <c r="N188" i="1" s="1"/>
  <c r="AO191" i="1"/>
  <c r="AT192" i="1"/>
  <c r="N192" i="1" s="1"/>
  <c r="AO195" i="1"/>
  <c r="AO199" i="1"/>
  <c r="AO203" i="1"/>
  <c r="AO207" i="1"/>
  <c r="AO211" i="1"/>
  <c r="AT213" i="1"/>
  <c r="N213" i="1" s="1"/>
  <c r="AU215" i="1"/>
  <c r="L215" i="1" s="1"/>
  <c r="AT215" i="1"/>
  <c r="N215" i="1" s="1"/>
  <c r="AP215" i="1"/>
  <c r="S215" i="1" s="1"/>
  <c r="AS215" i="1"/>
  <c r="M215" i="1" s="1"/>
  <c r="AO215" i="1"/>
  <c r="AN216" i="1"/>
  <c r="Q216" i="1" s="1"/>
  <c r="M216" i="1"/>
  <c r="AP217" i="1"/>
  <c r="S217" i="1" s="1"/>
  <c r="AT221" i="1"/>
  <c r="N221" i="1" s="1"/>
  <c r="AU223" i="1"/>
  <c r="L223" i="1" s="1"/>
  <c r="AT223" i="1"/>
  <c r="N223" i="1" s="1"/>
  <c r="AP223" i="1"/>
  <c r="S223" i="1" s="1"/>
  <c r="AS223" i="1"/>
  <c r="M223" i="1" s="1"/>
  <c r="AO223" i="1"/>
  <c r="AN224" i="1"/>
  <c r="Q224" i="1" s="1"/>
  <c r="M224" i="1"/>
  <c r="AP225" i="1"/>
  <c r="S225" i="1" s="1"/>
  <c r="AT229" i="1"/>
  <c r="N229" i="1" s="1"/>
  <c r="AU231" i="1"/>
  <c r="L231" i="1" s="1"/>
  <c r="AT231" i="1"/>
  <c r="N231" i="1" s="1"/>
  <c r="AP231" i="1"/>
  <c r="S231" i="1" s="1"/>
  <c r="AS231" i="1"/>
  <c r="M231" i="1" s="1"/>
  <c r="AO231" i="1"/>
  <c r="AN232" i="1"/>
  <c r="Q232" i="1" s="1"/>
  <c r="M232" i="1"/>
  <c r="AP233" i="1"/>
  <c r="S233" i="1" s="1"/>
  <c r="AT237" i="1"/>
  <c r="N237" i="1" s="1"/>
  <c r="AU239" i="1"/>
  <c r="L239" i="1" s="1"/>
  <c r="AT239" i="1"/>
  <c r="N239" i="1" s="1"/>
  <c r="AP239" i="1"/>
  <c r="S239" i="1" s="1"/>
  <c r="AS239" i="1"/>
  <c r="M239" i="1" s="1"/>
  <c r="AO239" i="1"/>
  <c r="AN240" i="1"/>
  <c r="Q240" i="1" s="1"/>
  <c r="M240" i="1"/>
  <c r="AP241" i="1"/>
  <c r="S241" i="1" s="1"/>
  <c r="AT245" i="1"/>
  <c r="N245" i="1" s="1"/>
  <c r="AU247" i="1"/>
  <c r="L247" i="1" s="1"/>
  <c r="AT247" i="1"/>
  <c r="N247" i="1" s="1"/>
  <c r="AP247" i="1"/>
  <c r="S247" i="1" s="1"/>
  <c r="AS247" i="1"/>
  <c r="M247" i="1" s="1"/>
  <c r="AO247" i="1"/>
  <c r="AN248" i="1"/>
  <c r="Q248" i="1" s="1"/>
  <c r="M248" i="1"/>
  <c r="AP249" i="1"/>
  <c r="S249" i="1" s="1"/>
  <c r="AT253" i="1"/>
  <c r="N253" i="1" s="1"/>
  <c r="AU255" i="1"/>
  <c r="L255" i="1" s="1"/>
  <c r="AT255" i="1"/>
  <c r="N255" i="1" s="1"/>
  <c r="AP255" i="1"/>
  <c r="S255" i="1" s="1"/>
  <c r="AS255" i="1"/>
  <c r="M255" i="1" s="1"/>
  <c r="AO255" i="1"/>
  <c r="AN256" i="1"/>
  <c r="Q256" i="1" s="1"/>
  <c r="M256" i="1"/>
  <c r="AP257" i="1"/>
  <c r="S257" i="1" s="1"/>
  <c r="AT261" i="1"/>
  <c r="N261" i="1" s="1"/>
  <c r="AU263" i="1"/>
  <c r="L263" i="1" s="1"/>
  <c r="AT263" i="1"/>
  <c r="N263" i="1" s="1"/>
  <c r="AP263" i="1"/>
  <c r="S263" i="1" s="1"/>
  <c r="AS263" i="1"/>
  <c r="M263" i="1" s="1"/>
  <c r="AO263" i="1"/>
  <c r="AN264" i="1"/>
  <c r="Q264" i="1" s="1"/>
  <c r="M264" i="1"/>
  <c r="AP265" i="1"/>
  <c r="S265" i="1" s="1"/>
  <c r="AP267" i="1"/>
  <c r="S267" i="1" s="1"/>
  <c r="AP269" i="1"/>
  <c r="S269" i="1" s="1"/>
  <c r="AP271" i="1"/>
  <c r="S271" i="1" s="1"/>
  <c r="AP273" i="1"/>
  <c r="S273" i="1" s="1"/>
  <c r="AP275" i="1"/>
  <c r="S275" i="1" s="1"/>
  <c r="AT297" i="1"/>
  <c r="N297" i="1" s="1"/>
  <c r="AR298" i="1"/>
  <c r="U298" i="1" s="1"/>
  <c r="T298" i="1"/>
  <c r="AT371" i="1"/>
  <c r="N371" i="1" s="1"/>
  <c r="AM114" i="1"/>
  <c r="AM115" i="1"/>
  <c r="AM116" i="1"/>
  <c r="AM120" i="1"/>
  <c r="AM123" i="1"/>
  <c r="AM125" i="1"/>
  <c r="AM127" i="1"/>
  <c r="AM131" i="1"/>
  <c r="AM135" i="1"/>
  <c r="AM139" i="1"/>
  <c r="AM143" i="1"/>
  <c r="AM147" i="1"/>
  <c r="AP160" i="1"/>
  <c r="S160" i="1" s="1"/>
  <c r="AT160" i="1"/>
  <c r="N160" i="1" s="1"/>
  <c r="AP162" i="1"/>
  <c r="S162" i="1" s="1"/>
  <c r="AT162" i="1"/>
  <c r="N162" i="1" s="1"/>
  <c r="AP164" i="1"/>
  <c r="S164" i="1" s="1"/>
  <c r="AT164" i="1"/>
  <c r="N164" i="1" s="1"/>
  <c r="AP166" i="1"/>
  <c r="S166" i="1" s="1"/>
  <c r="AT166" i="1"/>
  <c r="N166" i="1" s="1"/>
  <c r="AP168" i="1"/>
  <c r="S168" i="1" s="1"/>
  <c r="AT168" i="1"/>
  <c r="N168" i="1" s="1"/>
  <c r="AP170" i="1"/>
  <c r="S170" i="1" s="1"/>
  <c r="AT170" i="1"/>
  <c r="N170" i="1" s="1"/>
  <c r="AP172" i="1"/>
  <c r="S172" i="1" s="1"/>
  <c r="AT172" i="1"/>
  <c r="N172" i="1" s="1"/>
  <c r="AP174" i="1"/>
  <c r="S174" i="1" s="1"/>
  <c r="AT174" i="1"/>
  <c r="N174" i="1" s="1"/>
  <c r="AP176" i="1"/>
  <c r="S176" i="1" s="1"/>
  <c r="AT176" i="1"/>
  <c r="N176" i="1" s="1"/>
  <c r="AP178" i="1"/>
  <c r="S178" i="1" s="1"/>
  <c r="AT178" i="1"/>
  <c r="N178" i="1" s="1"/>
  <c r="AP180" i="1"/>
  <c r="S180" i="1" s="1"/>
  <c r="AT180" i="1"/>
  <c r="N180" i="1" s="1"/>
  <c r="AG182" i="1"/>
  <c r="AP183" i="1"/>
  <c r="S183" i="1" s="1"/>
  <c r="AT183" i="1"/>
  <c r="N183" i="1" s="1"/>
  <c r="AM184" i="1"/>
  <c r="AG186" i="1"/>
  <c r="AP187" i="1"/>
  <c r="S187" i="1" s="1"/>
  <c r="AT187" i="1"/>
  <c r="N187" i="1" s="1"/>
  <c r="AM188" i="1"/>
  <c r="AG190" i="1"/>
  <c r="AP191" i="1"/>
  <c r="S191" i="1" s="1"/>
  <c r="AT191" i="1"/>
  <c r="N191" i="1" s="1"/>
  <c r="AM192" i="1"/>
  <c r="AG194" i="1"/>
  <c r="AP195" i="1"/>
  <c r="S195" i="1" s="1"/>
  <c r="AT195" i="1"/>
  <c r="N195" i="1" s="1"/>
  <c r="AP196" i="1"/>
  <c r="S196" i="1" s="1"/>
  <c r="AT196" i="1"/>
  <c r="N196" i="1" s="1"/>
  <c r="AP197" i="1"/>
  <c r="S197" i="1" s="1"/>
  <c r="AT197" i="1"/>
  <c r="N197" i="1" s="1"/>
  <c r="AP198" i="1"/>
  <c r="S198" i="1" s="1"/>
  <c r="AT198" i="1"/>
  <c r="N198" i="1" s="1"/>
  <c r="AP199" i="1"/>
  <c r="S199" i="1" s="1"/>
  <c r="AT199" i="1"/>
  <c r="N199" i="1" s="1"/>
  <c r="AP200" i="1"/>
  <c r="S200" i="1" s="1"/>
  <c r="AT200" i="1"/>
  <c r="N200" i="1" s="1"/>
  <c r="AP201" i="1"/>
  <c r="S201" i="1" s="1"/>
  <c r="AT201" i="1"/>
  <c r="N201" i="1" s="1"/>
  <c r="AP202" i="1"/>
  <c r="S202" i="1" s="1"/>
  <c r="AT202" i="1"/>
  <c r="N202" i="1" s="1"/>
  <c r="AP203" i="1"/>
  <c r="S203" i="1" s="1"/>
  <c r="AT203" i="1"/>
  <c r="N203" i="1" s="1"/>
  <c r="AP204" i="1"/>
  <c r="S204" i="1" s="1"/>
  <c r="AT204" i="1"/>
  <c r="N204" i="1" s="1"/>
  <c r="AP205" i="1"/>
  <c r="S205" i="1" s="1"/>
  <c r="AT205" i="1"/>
  <c r="N205" i="1" s="1"/>
  <c r="AP206" i="1"/>
  <c r="S206" i="1" s="1"/>
  <c r="AT206" i="1"/>
  <c r="N206" i="1" s="1"/>
  <c r="AP207" i="1"/>
  <c r="S207" i="1" s="1"/>
  <c r="AT207" i="1"/>
  <c r="N207" i="1" s="1"/>
  <c r="AP208" i="1"/>
  <c r="S208" i="1" s="1"/>
  <c r="AT208" i="1"/>
  <c r="N208" i="1" s="1"/>
  <c r="AP209" i="1"/>
  <c r="S209" i="1" s="1"/>
  <c r="AT209" i="1"/>
  <c r="N209" i="1" s="1"/>
  <c r="AP210" i="1"/>
  <c r="S210" i="1" s="1"/>
  <c r="AT210" i="1"/>
  <c r="N210" i="1" s="1"/>
  <c r="AP211" i="1"/>
  <c r="S211" i="1" s="1"/>
  <c r="AT211" i="1"/>
  <c r="N211" i="1" s="1"/>
  <c r="AP212" i="1"/>
  <c r="S212" i="1" s="1"/>
  <c r="AT212" i="1"/>
  <c r="N212" i="1" s="1"/>
  <c r="AM213" i="1"/>
  <c r="AP216" i="1"/>
  <c r="S216" i="1" s="1"/>
  <c r="AT216" i="1"/>
  <c r="N216" i="1" s="1"/>
  <c r="AM217" i="1"/>
  <c r="AP220" i="1"/>
  <c r="S220" i="1" s="1"/>
  <c r="AT220" i="1"/>
  <c r="N220" i="1" s="1"/>
  <c r="AM221" i="1"/>
  <c r="AP224" i="1"/>
  <c r="S224" i="1" s="1"/>
  <c r="AT224" i="1"/>
  <c r="N224" i="1" s="1"/>
  <c r="AM225" i="1"/>
  <c r="AP228" i="1"/>
  <c r="S228" i="1" s="1"/>
  <c r="AT228" i="1"/>
  <c r="N228" i="1" s="1"/>
  <c r="AM229" i="1"/>
  <c r="AP232" i="1"/>
  <c r="S232" i="1" s="1"/>
  <c r="AT232" i="1"/>
  <c r="N232" i="1" s="1"/>
  <c r="AM233" i="1"/>
  <c r="AP236" i="1"/>
  <c r="S236" i="1" s="1"/>
  <c r="AT236" i="1"/>
  <c r="N236" i="1" s="1"/>
  <c r="AM237" i="1"/>
  <c r="AP240" i="1"/>
  <c r="S240" i="1" s="1"/>
  <c r="AT240" i="1"/>
  <c r="N240" i="1" s="1"/>
  <c r="AM241" i="1"/>
  <c r="AP244" i="1"/>
  <c r="S244" i="1" s="1"/>
  <c r="AT244" i="1"/>
  <c r="N244" i="1" s="1"/>
  <c r="AM245" i="1"/>
  <c r="AP248" i="1"/>
  <c r="S248" i="1" s="1"/>
  <c r="AT248" i="1"/>
  <c r="N248" i="1" s="1"/>
  <c r="AM249" i="1"/>
  <c r="AP252" i="1"/>
  <c r="S252" i="1" s="1"/>
  <c r="AT252" i="1"/>
  <c r="N252" i="1" s="1"/>
  <c r="AM253" i="1"/>
  <c r="AP256" i="1"/>
  <c r="S256" i="1" s="1"/>
  <c r="AT256" i="1"/>
  <c r="N256" i="1" s="1"/>
  <c r="AM257" i="1"/>
  <c r="AP260" i="1"/>
  <c r="S260" i="1" s="1"/>
  <c r="AT260" i="1"/>
  <c r="N260" i="1" s="1"/>
  <c r="AM261" i="1"/>
  <c r="AP264" i="1"/>
  <c r="S264" i="1" s="1"/>
  <c r="AT264" i="1"/>
  <c r="N264" i="1" s="1"/>
  <c r="AM265" i="1"/>
  <c r="AM267" i="1"/>
  <c r="AM269" i="1"/>
  <c r="AM271" i="1"/>
  <c r="AM273" i="1"/>
  <c r="AS274" i="1"/>
  <c r="M274" i="1" s="1"/>
  <c r="AT276" i="1"/>
  <c r="N276" i="1" s="1"/>
  <c r="AG277" i="1"/>
  <c r="AT277" i="1"/>
  <c r="N277" i="1" s="1"/>
  <c r="AP277" i="1"/>
  <c r="S277" i="1" s="1"/>
  <c r="AN278" i="1"/>
  <c r="Q278" i="1" s="1"/>
  <c r="AS278" i="1"/>
  <c r="M278" i="1" s="1"/>
  <c r="AT280" i="1"/>
  <c r="N280" i="1" s="1"/>
  <c r="AG281" i="1"/>
  <c r="AT281" i="1"/>
  <c r="N281" i="1" s="1"/>
  <c r="AP281" i="1"/>
  <c r="S281" i="1" s="1"/>
  <c r="AS282" i="1"/>
  <c r="M282" i="1" s="1"/>
  <c r="AT284" i="1"/>
  <c r="N284" i="1" s="1"/>
  <c r="AG285" i="1"/>
  <c r="AT285" i="1"/>
  <c r="N285" i="1" s="1"/>
  <c r="AP285" i="1"/>
  <c r="S285" i="1" s="1"/>
  <c r="AS286" i="1"/>
  <c r="M286" i="1" s="1"/>
  <c r="AT288" i="1"/>
  <c r="N288" i="1" s="1"/>
  <c r="AG289" i="1"/>
  <c r="AT289" i="1"/>
  <c r="N289" i="1" s="1"/>
  <c r="AP289" i="1"/>
  <c r="S289" i="1" s="1"/>
  <c r="AS290" i="1"/>
  <c r="M290" i="1" s="1"/>
  <c r="AT292" i="1"/>
  <c r="N292" i="1" s="1"/>
  <c r="AG293" i="1"/>
  <c r="AT293" i="1"/>
  <c r="N293" i="1" s="1"/>
  <c r="AP293" i="1"/>
  <c r="S293" i="1" s="1"/>
  <c r="AS294" i="1"/>
  <c r="M294" i="1" s="1"/>
  <c r="AG296" i="1"/>
  <c r="AU296" i="1"/>
  <c r="L296" i="1" s="1"/>
  <c r="AM296" i="1"/>
  <c r="P298" i="1"/>
  <c r="AG298" i="1"/>
  <c r="AS302" i="1"/>
  <c r="AO302" i="1"/>
  <c r="AS303" i="1"/>
  <c r="AG304" i="1"/>
  <c r="AU304" i="1"/>
  <c r="L304" i="1" s="1"/>
  <c r="AM304" i="1"/>
  <c r="AS306" i="1"/>
  <c r="AO306" i="1"/>
  <c r="AS307" i="1"/>
  <c r="AN307" i="1" s="1"/>
  <c r="Q307" i="1" s="1"/>
  <c r="AG308" i="1"/>
  <c r="AU308" i="1"/>
  <c r="L308" i="1" s="1"/>
  <c r="AM308" i="1"/>
  <c r="AS310" i="1"/>
  <c r="AO310" i="1"/>
  <c r="AS311" i="1"/>
  <c r="AG312" i="1"/>
  <c r="AU312" i="1"/>
  <c r="L312" i="1" s="1"/>
  <c r="AM312" i="1"/>
  <c r="AS314" i="1"/>
  <c r="AO314" i="1"/>
  <c r="AS315" i="1"/>
  <c r="AN315" i="1" s="1"/>
  <c r="Q315" i="1" s="1"/>
  <c r="AG316" i="1"/>
  <c r="AU316" i="1"/>
  <c r="L316" i="1" s="1"/>
  <c r="AM316" i="1"/>
  <c r="AS318" i="1"/>
  <c r="AO318" i="1"/>
  <c r="AS319" i="1"/>
  <c r="AG320" i="1"/>
  <c r="AU320" i="1"/>
  <c r="L320" i="1" s="1"/>
  <c r="AM320" i="1"/>
  <c r="AS322" i="1"/>
  <c r="AO322" i="1"/>
  <c r="AS323" i="1"/>
  <c r="AN323" i="1" s="1"/>
  <c r="Q323" i="1" s="1"/>
  <c r="AG324" i="1"/>
  <c r="AU324" i="1"/>
  <c r="L324" i="1" s="1"/>
  <c r="AM324" i="1"/>
  <c r="AS326" i="1"/>
  <c r="AO326" i="1"/>
  <c r="AS327" i="1"/>
  <c r="AG328" i="1"/>
  <c r="AU328" i="1"/>
  <c r="L328" i="1" s="1"/>
  <c r="AM328" i="1"/>
  <c r="AS330" i="1"/>
  <c r="AO330" i="1"/>
  <c r="AN331" i="1"/>
  <c r="Q331" i="1" s="1"/>
  <c r="AS331" i="1"/>
  <c r="AG332" i="1"/>
  <c r="AU332" i="1"/>
  <c r="L332" i="1" s="1"/>
  <c r="AM332" i="1"/>
  <c r="AS334" i="1"/>
  <c r="AO334" i="1"/>
  <c r="AS335" i="1"/>
  <c r="AG336" i="1"/>
  <c r="AU336" i="1"/>
  <c r="L336" i="1" s="1"/>
  <c r="AM336" i="1"/>
  <c r="AS338" i="1"/>
  <c r="AO338" i="1"/>
  <c r="AS339" i="1"/>
  <c r="AN339" i="1" s="1"/>
  <c r="Q339" i="1" s="1"/>
  <c r="AU340" i="1"/>
  <c r="L340" i="1" s="1"/>
  <c r="AM340" i="1"/>
  <c r="AS342" i="1"/>
  <c r="AO342" i="1"/>
  <c r="AS343" i="1"/>
  <c r="AN343" i="1" s="1"/>
  <c r="Q343" i="1" s="1"/>
  <c r="AU344" i="1"/>
  <c r="L344" i="1" s="1"/>
  <c r="AM344" i="1"/>
  <c r="AS346" i="1"/>
  <c r="AO346" i="1"/>
  <c r="AS347" i="1"/>
  <c r="AN347" i="1" s="1"/>
  <c r="Q347" i="1" s="1"/>
  <c r="AG348" i="1"/>
  <c r="AU348" i="1"/>
  <c r="L348" i="1" s="1"/>
  <c r="AM348" i="1"/>
  <c r="AS350" i="1"/>
  <c r="AO350" i="1"/>
  <c r="AS351" i="1"/>
  <c r="AG352" i="1"/>
  <c r="AU352" i="1"/>
  <c r="L352" i="1" s="1"/>
  <c r="AM352" i="1"/>
  <c r="AS354" i="1"/>
  <c r="AO354" i="1"/>
  <c r="AS355" i="1"/>
  <c r="AN355" i="1" s="1"/>
  <c r="Q355" i="1" s="1"/>
  <c r="AG356" i="1"/>
  <c r="AU356" i="1"/>
  <c r="L356" i="1" s="1"/>
  <c r="AM356" i="1"/>
  <c r="AS358" i="1"/>
  <c r="AO358" i="1"/>
  <c r="AS359" i="1"/>
  <c r="AG360" i="1"/>
  <c r="AU360" i="1"/>
  <c r="L360" i="1" s="1"/>
  <c r="AM360" i="1"/>
  <c r="AS362" i="1"/>
  <c r="AO362" i="1"/>
  <c r="AS363" i="1"/>
  <c r="AN363" i="1" s="1"/>
  <c r="Q363" i="1" s="1"/>
  <c r="AG364" i="1"/>
  <c r="AU364" i="1"/>
  <c r="L364" i="1" s="1"/>
  <c r="AM364" i="1"/>
  <c r="AS366" i="1"/>
  <c r="AO366" i="1"/>
  <c r="AS367" i="1"/>
  <c r="AT369" i="1"/>
  <c r="N369" i="1" s="1"/>
  <c r="AT370" i="1"/>
  <c r="N370" i="1" s="1"/>
  <c r="AP370" i="1"/>
  <c r="S370" i="1" s="1"/>
  <c r="AS371" i="1"/>
  <c r="M371" i="1" s="1"/>
  <c r="M375" i="1"/>
  <c r="AS378" i="1"/>
  <c r="AN378" i="1" s="1"/>
  <c r="Q378" i="1" s="1"/>
  <c r="AT382" i="1"/>
  <c r="N382" i="1" s="1"/>
  <c r="AP382" i="1"/>
  <c r="S382" i="1" s="1"/>
  <c r="M383" i="1"/>
  <c r="AS386" i="1"/>
  <c r="AN386" i="1" s="1"/>
  <c r="Q386" i="1" s="1"/>
  <c r="AT390" i="1"/>
  <c r="N390" i="1" s="1"/>
  <c r="AP390" i="1"/>
  <c r="S390" i="1" s="1"/>
  <c r="M391" i="1"/>
  <c r="AM393" i="1"/>
  <c r="AN393" i="1"/>
  <c r="Q393" i="1" s="1"/>
  <c r="AM397" i="1"/>
  <c r="AN397" i="1"/>
  <c r="Q397" i="1" s="1"/>
  <c r="K5" i="3"/>
  <c r="AI5" i="3"/>
  <c r="N5" i="3" s="1"/>
  <c r="K6" i="3"/>
  <c r="AI6" i="3"/>
  <c r="N6" i="3" s="1"/>
  <c r="BE56" i="3"/>
  <c r="AX56" i="3"/>
  <c r="AZ56" i="3" s="1"/>
  <c r="BB56" i="3"/>
  <c r="P7" i="3"/>
  <c r="AL383" i="3"/>
  <c r="Q383" i="3" s="1"/>
  <c r="AK383" i="3"/>
  <c r="AK363" i="3"/>
  <c r="AK353" i="3"/>
  <c r="AK333" i="3"/>
  <c r="AL363" i="3"/>
  <c r="Q363" i="3" s="1"/>
  <c r="AL313" i="3"/>
  <c r="Q313" i="3" s="1"/>
  <c r="AK313" i="3"/>
  <c r="AL353" i="3"/>
  <c r="Q353" i="3" s="1"/>
  <c r="AL333" i="3"/>
  <c r="Q333" i="3" s="1"/>
  <c r="AL303" i="3"/>
  <c r="Q303" i="3" s="1"/>
  <c r="AK303" i="3"/>
  <c r="AK283" i="3"/>
  <c r="AK263" i="3"/>
  <c r="AK253" i="3"/>
  <c r="AK233" i="3"/>
  <c r="AK213" i="3"/>
  <c r="AK203" i="3"/>
  <c r="AK183" i="3"/>
  <c r="AK163" i="3"/>
  <c r="AK153" i="3"/>
  <c r="AL134" i="3"/>
  <c r="Q134" i="3" s="1"/>
  <c r="AL109" i="3"/>
  <c r="Q109" i="3" s="1"/>
  <c r="AK94" i="3"/>
  <c r="AL78" i="3"/>
  <c r="Q78" i="3" s="1"/>
  <c r="AL57" i="3"/>
  <c r="Q57" i="3" s="1"/>
  <c r="AK47" i="3"/>
  <c r="BB8" i="3"/>
  <c r="AK134" i="3"/>
  <c r="AL118" i="3"/>
  <c r="Q118" i="3" s="1"/>
  <c r="AK109" i="3"/>
  <c r="AK78" i="3"/>
  <c r="AL69" i="3"/>
  <c r="Q69" i="3" s="1"/>
  <c r="AK57" i="3"/>
  <c r="AL283" i="3"/>
  <c r="Q283" i="3" s="1"/>
  <c r="AL263" i="3"/>
  <c r="Q263" i="3" s="1"/>
  <c r="AL253" i="3"/>
  <c r="Q253" i="3" s="1"/>
  <c r="AL233" i="3"/>
  <c r="Q233" i="3" s="1"/>
  <c r="AL213" i="3"/>
  <c r="Q213" i="3" s="1"/>
  <c r="AL203" i="3"/>
  <c r="Q203" i="3" s="1"/>
  <c r="AL183" i="3"/>
  <c r="Q183" i="3" s="1"/>
  <c r="AL163" i="3"/>
  <c r="Q163" i="3" s="1"/>
  <c r="AL153" i="3"/>
  <c r="Q153" i="3" s="1"/>
  <c r="AK118" i="3"/>
  <c r="AK69" i="3"/>
  <c r="AL94" i="3"/>
  <c r="Q94" i="3" s="1"/>
  <c r="AL47" i="3"/>
  <c r="Q47" i="3" s="1"/>
  <c r="K10" i="3"/>
  <c r="AI10" i="3"/>
  <c r="N10" i="3" s="1"/>
  <c r="P11" i="3"/>
  <c r="AL386" i="3"/>
  <c r="Q386" i="3" s="1"/>
  <c r="AK386" i="3"/>
  <c r="AK366" i="3"/>
  <c r="AK356" i="3"/>
  <c r="AK336" i="3"/>
  <c r="AK316" i="3"/>
  <c r="AL336" i="3"/>
  <c r="Q336" i="3" s="1"/>
  <c r="AL316" i="3"/>
  <c r="Q316" i="3" s="1"/>
  <c r="AK306" i="3"/>
  <c r="AL366" i="3"/>
  <c r="Q366" i="3" s="1"/>
  <c r="AL286" i="3"/>
  <c r="Q286" i="3" s="1"/>
  <c r="AL356" i="3"/>
  <c r="Q356" i="3" s="1"/>
  <c r="AL306" i="3"/>
  <c r="Q306" i="3" s="1"/>
  <c r="AK286" i="3"/>
  <c r="AK266" i="3"/>
  <c r="AK256" i="3"/>
  <c r="AK236" i="3"/>
  <c r="AK216" i="3"/>
  <c r="AK206" i="3"/>
  <c r="AK186" i="3"/>
  <c r="AK166" i="3"/>
  <c r="AK156" i="3"/>
  <c r="AL266" i="3"/>
  <c r="Q266" i="3" s="1"/>
  <c r="AL256" i="3"/>
  <c r="Q256" i="3" s="1"/>
  <c r="AL236" i="3"/>
  <c r="Q236" i="3" s="1"/>
  <c r="AL216" i="3"/>
  <c r="Q216" i="3" s="1"/>
  <c r="AL206" i="3"/>
  <c r="Q206" i="3" s="1"/>
  <c r="AK120" i="3"/>
  <c r="AK49" i="3"/>
  <c r="BB12" i="3"/>
  <c r="AL96" i="3"/>
  <c r="Q96" i="3" s="1"/>
  <c r="AL186" i="3"/>
  <c r="Q186" i="3" s="1"/>
  <c r="AL166" i="3"/>
  <c r="Q166" i="3" s="1"/>
  <c r="AL156" i="3"/>
  <c r="Q156" i="3" s="1"/>
  <c r="AL136" i="3"/>
  <c r="Q136" i="3" s="1"/>
  <c r="AK96" i="3"/>
  <c r="AL80" i="3"/>
  <c r="Q80" i="3" s="1"/>
  <c r="AL59" i="3"/>
  <c r="Q59" i="3" s="1"/>
  <c r="AK136" i="3"/>
  <c r="AL120" i="3"/>
  <c r="Q120" i="3" s="1"/>
  <c r="AK80" i="3"/>
  <c r="AK59" i="3"/>
  <c r="AL49" i="3"/>
  <c r="Q49" i="3" s="1"/>
  <c r="K14" i="3"/>
  <c r="AI14" i="3"/>
  <c r="N14" i="3" s="1"/>
  <c r="P15" i="3"/>
  <c r="AX66" i="3"/>
  <c r="BE66" i="3" s="1"/>
  <c r="AP389" i="3"/>
  <c r="L389" i="3" s="1"/>
  <c r="AP379" i="3"/>
  <c r="L379" i="3" s="1"/>
  <c r="AP359" i="3"/>
  <c r="L359" i="3" s="1"/>
  <c r="AP309" i="3"/>
  <c r="L309" i="3" s="1"/>
  <c r="AP289" i="3"/>
  <c r="L289" i="3" s="1"/>
  <c r="AP369" i="3"/>
  <c r="L369" i="3" s="1"/>
  <c r="AP339" i="3"/>
  <c r="L339" i="3" s="1"/>
  <c r="AP329" i="3"/>
  <c r="L329" i="3" s="1"/>
  <c r="AP319" i="3"/>
  <c r="L319" i="3" s="1"/>
  <c r="AP91" i="3"/>
  <c r="L91" i="3" s="1"/>
  <c r="AP84" i="3"/>
  <c r="L84" i="3" s="1"/>
  <c r="AP124" i="3"/>
  <c r="L124" i="3" s="1"/>
  <c r="AP113" i="3"/>
  <c r="L113" i="3" s="1"/>
  <c r="AP279" i="3"/>
  <c r="L279" i="3" s="1"/>
  <c r="AP269" i="3"/>
  <c r="L269" i="3" s="1"/>
  <c r="AP259" i="3"/>
  <c r="L259" i="3" s="1"/>
  <c r="AP239" i="3"/>
  <c r="L239" i="3" s="1"/>
  <c r="AP229" i="3"/>
  <c r="L229" i="3" s="1"/>
  <c r="AP219" i="3"/>
  <c r="L219" i="3" s="1"/>
  <c r="AP209" i="3"/>
  <c r="L209" i="3" s="1"/>
  <c r="AP189" i="3"/>
  <c r="L189" i="3" s="1"/>
  <c r="AP179" i="3"/>
  <c r="L179" i="3" s="1"/>
  <c r="AP169" i="3"/>
  <c r="L169" i="3" s="1"/>
  <c r="AP159" i="3"/>
  <c r="L159" i="3" s="1"/>
  <c r="AP140" i="3"/>
  <c r="L140" i="3" s="1"/>
  <c r="AP131" i="3"/>
  <c r="L131" i="3" s="1"/>
  <c r="AP100" i="3"/>
  <c r="L100" i="3" s="1"/>
  <c r="AP73" i="3"/>
  <c r="L73" i="3" s="1"/>
  <c r="AP55" i="3"/>
  <c r="L55" i="3" s="1"/>
  <c r="AP45" i="3"/>
  <c r="L45" i="3" s="1"/>
  <c r="BB68" i="3"/>
  <c r="AX68" i="3"/>
  <c r="BA68" i="3" s="1"/>
  <c r="AP381" i="3"/>
  <c r="L381" i="3" s="1"/>
  <c r="AP371" i="3"/>
  <c r="L371" i="3" s="1"/>
  <c r="AP351" i="3"/>
  <c r="L351" i="3" s="1"/>
  <c r="AP301" i="3"/>
  <c r="L301" i="3" s="1"/>
  <c r="AP331" i="3"/>
  <c r="L331" i="3" s="1"/>
  <c r="AP321" i="3"/>
  <c r="L321" i="3" s="1"/>
  <c r="AP130" i="3"/>
  <c r="L130" i="3" s="1"/>
  <c r="AP61" i="3"/>
  <c r="L61" i="3" s="1"/>
  <c r="AP106" i="3"/>
  <c r="L106" i="3" s="1"/>
  <c r="AP75" i="3"/>
  <c r="L75" i="3" s="1"/>
  <c r="AP281" i="3"/>
  <c r="L281" i="3" s="1"/>
  <c r="AP271" i="3"/>
  <c r="L271" i="3" s="1"/>
  <c r="AP251" i="3"/>
  <c r="L251" i="3" s="1"/>
  <c r="AP231" i="3"/>
  <c r="L231" i="3" s="1"/>
  <c r="AP221" i="3"/>
  <c r="L221" i="3" s="1"/>
  <c r="AP201" i="3"/>
  <c r="L201" i="3" s="1"/>
  <c r="AP181" i="3"/>
  <c r="L181" i="3" s="1"/>
  <c r="AP171" i="3"/>
  <c r="L171" i="3" s="1"/>
  <c r="AP151" i="3"/>
  <c r="L151" i="3" s="1"/>
  <c r="AP115" i="3"/>
  <c r="L115" i="3" s="1"/>
  <c r="AP56" i="3"/>
  <c r="L56" i="3" s="1"/>
  <c r="AP90" i="3"/>
  <c r="L90" i="3" s="1"/>
  <c r="AP66" i="3"/>
  <c r="L66" i="3" s="1"/>
  <c r="AP41" i="3"/>
  <c r="L41" i="3" s="1"/>
  <c r="AX70" i="3"/>
  <c r="BE70" i="3" s="1"/>
  <c r="BB22" i="3"/>
  <c r="AK21" i="3"/>
  <c r="AI36" i="3"/>
  <c r="N36" i="3" s="1"/>
  <c r="AJ36" i="3"/>
  <c r="O36" i="3" s="1"/>
  <c r="AI38" i="3"/>
  <c r="N38" i="3" s="1"/>
  <c r="AJ38" i="3"/>
  <c r="O38" i="3" s="1"/>
  <c r="P44" i="3"/>
  <c r="AM160" i="1"/>
  <c r="AM162" i="1"/>
  <c r="AM164" i="1"/>
  <c r="AM166" i="1"/>
  <c r="AM168" i="1"/>
  <c r="AM170" i="1"/>
  <c r="AM172" i="1"/>
  <c r="AM174" i="1"/>
  <c r="AM176" i="1"/>
  <c r="AM178" i="1"/>
  <c r="AO179" i="1"/>
  <c r="AM180" i="1"/>
  <c r="AO181" i="1"/>
  <c r="AM183" i="1"/>
  <c r="AO185" i="1"/>
  <c r="AM187" i="1"/>
  <c r="AO189" i="1"/>
  <c r="AM191" i="1"/>
  <c r="AG193" i="1"/>
  <c r="AO193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6" i="1"/>
  <c r="AM220" i="1"/>
  <c r="AM224" i="1"/>
  <c r="AM228" i="1"/>
  <c r="AM232" i="1"/>
  <c r="AM236" i="1"/>
  <c r="AM240" i="1"/>
  <c r="AM244" i="1"/>
  <c r="AM248" i="1"/>
  <c r="AM252" i="1"/>
  <c r="AM256" i="1"/>
  <c r="AM260" i="1"/>
  <c r="AM264" i="1"/>
  <c r="AO274" i="1"/>
  <c r="AP276" i="1"/>
  <c r="S276" i="1" s="1"/>
  <c r="AO278" i="1"/>
  <c r="AP280" i="1"/>
  <c r="S280" i="1" s="1"/>
  <c r="AO282" i="1"/>
  <c r="AP284" i="1"/>
  <c r="S284" i="1" s="1"/>
  <c r="AO286" i="1"/>
  <c r="AP288" i="1"/>
  <c r="S288" i="1" s="1"/>
  <c r="AM289" i="1"/>
  <c r="AO290" i="1"/>
  <c r="AP292" i="1"/>
  <c r="S292" i="1" s="1"/>
  <c r="AM293" i="1"/>
  <c r="AO294" i="1"/>
  <c r="AG295" i="1"/>
  <c r="AU295" i="1"/>
  <c r="L295" i="1" s="1"/>
  <c r="AM295" i="1"/>
  <c r="AS297" i="1"/>
  <c r="M297" i="1" s="1"/>
  <c r="AG301" i="1"/>
  <c r="AM302" i="1"/>
  <c r="AO303" i="1"/>
  <c r="AG305" i="1"/>
  <c r="AM306" i="1"/>
  <c r="AO307" i="1"/>
  <c r="AM310" i="1"/>
  <c r="AO311" i="1"/>
  <c r="AM314" i="1"/>
  <c r="AO315" i="1"/>
  <c r="AG317" i="1"/>
  <c r="AM318" i="1"/>
  <c r="AO319" i="1"/>
  <c r="AG321" i="1"/>
  <c r="AM322" i="1"/>
  <c r="AO323" i="1"/>
  <c r="AG325" i="1"/>
  <c r="AM326" i="1"/>
  <c r="AO327" i="1"/>
  <c r="AM330" i="1"/>
  <c r="AO331" i="1"/>
  <c r="AG333" i="1"/>
  <c r="AM334" i="1"/>
  <c r="AO335" i="1"/>
  <c r="AG337" i="1"/>
  <c r="AM338" i="1"/>
  <c r="AO339" i="1"/>
  <c r="AG341" i="1"/>
  <c r="AM342" i="1"/>
  <c r="AO343" i="1"/>
  <c r="AG345" i="1"/>
  <c r="AM346" i="1"/>
  <c r="AO347" i="1"/>
  <c r="AG349" i="1"/>
  <c r="AM350" i="1"/>
  <c r="AO351" i="1"/>
  <c r="AG353" i="1"/>
  <c r="AM354" i="1"/>
  <c r="AO355" i="1"/>
  <c r="AG357" i="1"/>
  <c r="AM358" i="1"/>
  <c r="AO359" i="1"/>
  <c r="AG361" i="1"/>
  <c r="AM362" i="1"/>
  <c r="AO363" i="1"/>
  <c r="AG365" i="1"/>
  <c r="AM366" i="1"/>
  <c r="AO367" i="1"/>
  <c r="AP369" i="1"/>
  <c r="S369" i="1" s="1"/>
  <c r="AM370" i="1"/>
  <c r="AO371" i="1"/>
  <c r="AT372" i="1"/>
  <c r="N372" i="1" s="1"/>
  <c r="AT373" i="1"/>
  <c r="N373" i="1" s="1"/>
  <c r="AP373" i="1"/>
  <c r="S373" i="1" s="1"/>
  <c r="AS374" i="1"/>
  <c r="M374" i="1" s="1"/>
  <c r="AS376" i="1"/>
  <c r="M376" i="1" s="1"/>
  <c r="AQ377" i="1"/>
  <c r="AO378" i="1"/>
  <c r="AT380" i="1"/>
  <c r="N380" i="1" s="1"/>
  <c r="AP380" i="1"/>
  <c r="S380" i="1" s="1"/>
  <c r="M381" i="1"/>
  <c r="AM382" i="1"/>
  <c r="AS384" i="1"/>
  <c r="M384" i="1" s="1"/>
  <c r="AO386" i="1"/>
  <c r="AT388" i="1"/>
  <c r="N388" i="1" s="1"/>
  <c r="AP388" i="1"/>
  <c r="S388" i="1" s="1"/>
  <c r="M389" i="1"/>
  <c r="AM390" i="1"/>
  <c r="AS392" i="1"/>
  <c r="M392" i="1" s="1"/>
  <c r="AS396" i="1"/>
  <c r="AO396" i="1"/>
  <c r="AT396" i="1"/>
  <c r="N396" i="1" s="1"/>
  <c r="AP396" i="1"/>
  <c r="S396" i="1" s="1"/>
  <c r="M397" i="1"/>
  <c r="P5" i="3"/>
  <c r="P6" i="3"/>
  <c r="AL382" i="3"/>
  <c r="Q382" i="3" s="1"/>
  <c r="AL373" i="3"/>
  <c r="Q373" i="3" s="1"/>
  <c r="AK382" i="3"/>
  <c r="AK373" i="3"/>
  <c r="AK343" i="3"/>
  <c r="AK332" i="3"/>
  <c r="AK323" i="3"/>
  <c r="AL343" i="3"/>
  <c r="Q343" i="3" s="1"/>
  <c r="AL332" i="3"/>
  <c r="Q332" i="3" s="1"/>
  <c r="AL293" i="3"/>
  <c r="Q293" i="3" s="1"/>
  <c r="AK293" i="3"/>
  <c r="AL323" i="3"/>
  <c r="Q323" i="3" s="1"/>
  <c r="AK282" i="3"/>
  <c r="AK273" i="3"/>
  <c r="AK243" i="3"/>
  <c r="AK232" i="3"/>
  <c r="AK223" i="3"/>
  <c r="AK193" i="3"/>
  <c r="AK182" i="3"/>
  <c r="AK173" i="3"/>
  <c r="AK143" i="3"/>
  <c r="AL282" i="3"/>
  <c r="Q282" i="3" s="1"/>
  <c r="AL232" i="3"/>
  <c r="Q232" i="3" s="1"/>
  <c r="AK141" i="3"/>
  <c r="AK126" i="3"/>
  <c r="AL123" i="3"/>
  <c r="Q123" i="3" s="1"/>
  <c r="AK102" i="3"/>
  <c r="AK101" i="3"/>
  <c r="AL86" i="3"/>
  <c r="Q86" i="3" s="1"/>
  <c r="AK83" i="3"/>
  <c r="AK62" i="3"/>
  <c r="AK37" i="3"/>
  <c r="BB7" i="3"/>
  <c r="AK123" i="3"/>
  <c r="AK86" i="3"/>
  <c r="AL52" i="3"/>
  <c r="Q52" i="3" s="1"/>
  <c r="AL273" i="3"/>
  <c r="Q273" i="3" s="1"/>
  <c r="AL243" i="3"/>
  <c r="Q243" i="3" s="1"/>
  <c r="AL223" i="3"/>
  <c r="Q223" i="3" s="1"/>
  <c r="AL193" i="3"/>
  <c r="Q193" i="3" s="1"/>
  <c r="AL182" i="3"/>
  <c r="Q182" i="3" s="1"/>
  <c r="AL173" i="3"/>
  <c r="Q173" i="3" s="1"/>
  <c r="AL143" i="3"/>
  <c r="Q143" i="3" s="1"/>
  <c r="AK52" i="3"/>
  <c r="AL141" i="3"/>
  <c r="Q141" i="3" s="1"/>
  <c r="AL126" i="3"/>
  <c r="Q126" i="3" s="1"/>
  <c r="AL102" i="3"/>
  <c r="Q102" i="3" s="1"/>
  <c r="AL101" i="3"/>
  <c r="Q101" i="3" s="1"/>
  <c r="AL83" i="3"/>
  <c r="Q83" i="3" s="1"/>
  <c r="AL62" i="3"/>
  <c r="Q62" i="3" s="1"/>
  <c r="AL37" i="3"/>
  <c r="Q37" i="3" s="1"/>
  <c r="AK26" i="3"/>
  <c r="K9" i="3"/>
  <c r="AI9" i="3"/>
  <c r="N9" i="3" s="1"/>
  <c r="AZ59" i="3"/>
  <c r="BG59" i="3"/>
  <c r="BI59" i="3" s="1"/>
  <c r="AX59" i="3"/>
  <c r="BD59" i="3" s="1"/>
  <c r="BF59" i="3"/>
  <c r="BB59" i="3"/>
  <c r="P10" i="3"/>
  <c r="AL385" i="3"/>
  <c r="Q385" i="3" s="1"/>
  <c r="AL375" i="3"/>
  <c r="Q375" i="3" s="1"/>
  <c r="AK385" i="3"/>
  <c r="AK375" i="3"/>
  <c r="AK365" i="3"/>
  <c r="AK345" i="3"/>
  <c r="AK334" i="3"/>
  <c r="AL334" i="3"/>
  <c r="Q334" i="3" s="1"/>
  <c r="AK314" i="3"/>
  <c r="AL304" i="3"/>
  <c r="Q304" i="3" s="1"/>
  <c r="AL365" i="3"/>
  <c r="Q365" i="3" s="1"/>
  <c r="AL345" i="3"/>
  <c r="Q345" i="3" s="1"/>
  <c r="AK304" i="3"/>
  <c r="AL284" i="3"/>
  <c r="Q284" i="3" s="1"/>
  <c r="AL314" i="3"/>
  <c r="Q314" i="3" s="1"/>
  <c r="AK284" i="3"/>
  <c r="AK264" i="3"/>
  <c r="AK254" i="3"/>
  <c r="AK234" i="3"/>
  <c r="AK214" i="3"/>
  <c r="AK204" i="3"/>
  <c r="AK184" i="3"/>
  <c r="AK164" i="3"/>
  <c r="AK154" i="3"/>
  <c r="AL264" i="3"/>
  <c r="Q264" i="3" s="1"/>
  <c r="AL254" i="3"/>
  <c r="Q254" i="3" s="1"/>
  <c r="AL234" i="3"/>
  <c r="Q234" i="3" s="1"/>
  <c r="AL214" i="3"/>
  <c r="Q214" i="3" s="1"/>
  <c r="AL204" i="3"/>
  <c r="Q204" i="3" s="1"/>
  <c r="AL119" i="3"/>
  <c r="Q119" i="3" s="1"/>
  <c r="AL95" i="3"/>
  <c r="Q95" i="3" s="1"/>
  <c r="AK58" i="3"/>
  <c r="BB11" i="3"/>
  <c r="AL135" i="3"/>
  <c r="Q135" i="3" s="1"/>
  <c r="AK119" i="3"/>
  <c r="AK95" i="3"/>
  <c r="AL79" i="3"/>
  <c r="Q79" i="3" s="1"/>
  <c r="AL48" i="3"/>
  <c r="Q48" i="3" s="1"/>
  <c r="AL184" i="3"/>
  <c r="Q184" i="3" s="1"/>
  <c r="AL164" i="3"/>
  <c r="Q164" i="3" s="1"/>
  <c r="AL154" i="3"/>
  <c r="Q154" i="3" s="1"/>
  <c r="AK135" i="3"/>
  <c r="AK79" i="3"/>
  <c r="AK48" i="3"/>
  <c r="AL58" i="3"/>
  <c r="Q58" i="3" s="1"/>
  <c r="K13" i="3"/>
  <c r="AI13" i="3"/>
  <c r="N13" i="3" s="1"/>
  <c r="AK14" i="3"/>
  <c r="AL388" i="3"/>
  <c r="Q388" i="3" s="1"/>
  <c r="AK388" i="3"/>
  <c r="AK358" i="3"/>
  <c r="AK348" i="3"/>
  <c r="AK338" i="3"/>
  <c r="AL338" i="3"/>
  <c r="Q338" i="3" s="1"/>
  <c r="AK298" i="3"/>
  <c r="AL358" i="3"/>
  <c r="Q358" i="3" s="1"/>
  <c r="AL308" i="3"/>
  <c r="Q308" i="3" s="1"/>
  <c r="AL288" i="3"/>
  <c r="Q288" i="3" s="1"/>
  <c r="AK308" i="3"/>
  <c r="AK288" i="3"/>
  <c r="AL348" i="3"/>
  <c r="Q348" i="3" s="1"/>
  <c r="AL298" i="3"/>
  <c r="Q298" i="3" s="1"/>
  <c r="AK258" i="3"/>
  <c r="AK248" i="3"/>
  <c r="AK238" i="3"/>
  <c r="AK208" i="3"/>
  <c r="AK198" i="3"/>
  <c r="AK188" i="3"/>
  <c r="AK158" i="3"/>
  <c r="AK148" i="3"/>
  <c r="AL258" i="3"/>
  <c r="Q258" i="3" s="1"/>
  <c r="AL248" i="3"/>
  <c r="Q248" i="3" s="1"/>
  <c r="AL238" i="3"/>
  <c r="Q238" i="3" s="1"/>
  <c r="AL208" i="3"/>
  <c r="Q208" i="3" s="1"/>
  <c r="AK137" i="3"/>
  <c r="AL105" i="3"/>
  <c r="Q105" i="3" s="1"/>
  <c r="BB15" i="3"/>
  <c r="AL116" i="3"/>
  <c r="Q116" i="3" s="1"/>
  <c r="AK105" i="3"/>
  <c r="AL65" i="3"/>
  <c r="Q65" i="3" s="1"/>
  <c r="AL60" i="3"/>
  <c r="Q60" i="3" s="1"/>
  <c r="AL40" i="3"/>
  <c r="Q40" i="3" s="1"/>
  <c r="AL198" i="3"/>
  <c r="Q198" i="3" s="1"/>
  <c r="AL188" i="3"/>
  <c r="Q188" i="3" s="1"/>
  <c r="AL158" i="3"/>
  <c r="Q158" i="3" s="1"/>
  <c r="AL148" i="3"/>
  <c r="Q148" i="3" s="1"/>
  <c r="AK116" i="3"/>
  <c r="AL97" i="3"/>
  <c r="Q97" i="3" s="1"/>
  <c r="AL76" i="3"/>
  <c r="Q76" i="3" s="1"/>
  <c r="AK65" i="3"/>
  <c r="AK60" i="3"/>
  <c r="AL137" i="3"/>
  <c r="Q137" i="3" s="1"/>
  <c r="AK97" i="3"/>
  <c r="AK76" i="3"/>
  <c r="P22" i="3"/>
  <c r="K22" i="3"/>
  <c r="AI22" i="3"/>
  <c r="N22" i="3" s="1"/>
  <c r="AP23" i="3"/>
  <c r="L23" i="3" s="1"/>
  <c r="P32" i="3"/>
  <c r="P34" i="3"/>
  <c r="P36" i="3"/>
  <c r="P38" i="3"/>
  <c r="AI42" i="3"/>
  <c r="N42" i="3" s="1"/>
  <c r="K42" i="3"/>
  <c r="AJ42" i="3"/>
  <c r="O42" i="3" s="1"/>
  <c r="AG346" i="1"/>
  <c r="AG284" i="1"/>
  <c r="AG350" i="1"/>
  <c r="AG288" i="1"/>
  <c r="AG354" i="1"/>
  <c r="AG292" i="1"/>
  <c r="AU274" i="1"/>
  <c r="L274" i="1" s="1"/>
  <c r="AM274" i="1"/>
  <c r="AS276" i="1"/>
  <c r="AO276" i="1"/>
  <c r="AU278" i="1"/>
  <c r="L278" i="1" s="1"/>
  <c r="AM278" i="1"/>
  <c r="AS280" i="1"/>
  <c r="AN280" i="1" s="1"/>
  <c r="Q280" i="1" s="1"/>
  <c r="AO280" i="1"/>
  <c r="AU282" i="1"/>
  <c r="L282" i="1" s="1"/>
  <c r="AM282" i="1"/>
  <c r="AS284" i="1"/>
  <c r="AN284" i="1" s="1"/>
  <c r="Q284" i="1" s="1"/>
  <c r="AO284" i="1"/>
  <c r="AU286" i="1"/>
  <c r="L286" i="1" s="1"/>
  <c r="AM286" i="1"/>
  <c r="AS288" i="1"/>
  <c r="AN288" i="1" s="1"/>
  <c r="Q288" i="1" s="1"/>
  <c r="AO288" i="1"/>
  <c r="AU290" i="1"/>
  <c r="L290" i="1" s="1"/>
  <c r="AM290" i="1"/>
  <c r="AS292" i="1"/>
  <c r="AO292" i="1"/>
  <c r="AU294" i="1"/>
  <c r="L294" i="1" s="1"/>
  <c r="AM294" i="1"/>
  <c r="AO297" i="1"/>
  <c r="AG300" i="1"/>
  <c r="AG303" i="1"/>
  <c r="AT303" i="1"/>
  <c r="N303" i="1" s="1"/>
  <c r="AP303" i="1"/>
  <c r="S303" i="1" s="1"/>
  <c r="AT307" i="1"/>
  <c r="N307" i="1" s="1"/>
  <c r="AP307" i="1"/>
  <c r="S307" i="1" s="1"/>
  <c r="AT311" i="1"/>
  <c r="N311" i="1" s="1"/>
  <c r="AP311" i="1"/>
  <c r="S311" i="1" s="1"/>
  <c r="AG315" i="1"/>
  <c r="AT315" i="1"/>
  <c r="N315" i="1" s="1"/>
  <c r="AP315" i="1"/>
  <c r="S315" i="1" s="1"/>
  <c r="AG319" i="1"/>
  <c r="AT319" i="1"/>
  <c r="N319" i="1" s="1"/>
  <c r="AP319" i="1"/>
  <c r="S319" i="1" s="1"/>
  <c r="AG323" i="1"/>
  <c r="AT323" i="1"/>
  <c r="N323" i="1" s="1"/>
  <c r="AP323" i="1"/>
  <c r="S323" i="1" s="1"/>
  <c r="AG327" i="1"/>
  <c r="AT327" i="1"/>
  <c r="N327" i="1" s="1"/>
  <c r="AP327" i="1"/>
  <c r="S327" i="1" s="1"/>
  <c r="AG331" i="1"/>
  <c r="AT331" i="1"/>
  <c r="N331" i="1" s="1"/>
  <c r="AP331" i="1"/>
  <c r="S331" i="1" s="1"/>
  <c r="AG335" i="1"/>
  <c r="AT335" i="1"/>
  <c r="N335" i="1" s="1"/>
  <c r="AP335" i="1"/>
  <c r="S335" i="1" s="1"/>
  <c r="AT339" i="1"/>
  <c r="N339" i="1" s="1"/>
  <c r="AP339" i="1"/>
  <c r="S339" i="1" s="1"/>
  <c r="AT343" i="1"/>
  <c r="N343" i="1" s="1"/>
  <c r="AP343" i="1"/>
  <c r="S343" i="1" s="1"/>
  <c r="AT347" i="1"/>
  <c r="N347" i="1" s="1"/>
  <c r="AP347" i="1"/>
  <c r="S347" i="1" s="1"/>
  <c r="AT351" i="1"/>
  <c r="N351" i="1" s="1"/>
  <c r="AP351" i="1"/>
  <c r="S351" i="1" s="1"/>
  <c r="AT355" i="1"/>
  <c r="N355" i="1" s="1"/>
  <c r="AP355" i="1"/>
  <c r="S355" i="1" s="1"/>
  <c r="AT359" i="1"/>
  <c r="N359" i="1" s="1"/>
  <c r="AP359" i="1"/>
  <c r="S359" i="1" s="1"/>
  <c r="AT363" i="1"/>
  <c r="N363" i="1" s="1"/>
  <c r="AP363" i="1"/>
  <c r="S363" i="1" s="1"/>
  <c r="AT367" i="1"/>
  <c r="N367" i="1" s="1"/>
  <c r="AP367" i="1"/>
  <c r="S367" i="1" s="1"/>
  <c r="AS369" i="1"/>
  <c r="AO369" i="1"/>
  <c r="AU371" i="1"/>
  <c r="L371" i="1" s="1"/>
  <c r="AM371" i="1"/>
  <c r="AP372" i="1"/>
  <c r="S372" i="1" s="1"/>
  <c r="AM373" i="1"/>
  <c r="AO374" i="1"/>
  <c r="AQ375" i="1"/>
  <c r="AO376" i="1"/>
  <c r="AT378" i="1"/>
  <c r="N378" i="1" s="1"/>
  <c r="AP378" i="1"/>
  <c r="S378" i="1" s="1"/>
  <c r="AM380" i="1"/>
  <c r="AQ383" i="1"/>
  <c r="AO384" i="1"/>
  <c r="AT386" i="1"/>
  <c r="N386" i="1" s="1"/>
  <c r="AP386" i="1"/>
  <c r="S386" i="1" s="1"/>
  <c r="AM388" i="1"/>
  <c r="AO392" i="1"/>
  <c r="AM395" i="1"/>
  <c r="AN395" i="1"/>
  <c r="Q395" i="1" s="1"/>
  <c r="AL372" i="3"/>
  <c r="Q372" i="3" s="1"/>
  <c r="AK372" i="3"/>
  <c r="AK362" i="3"/>
  <c r="AK352" i="3"/>
  <c r="AK342" i="3"/>
  <c r="AK322" i="3"/>
  <c r="AL322" i="3"/>
  <c r="Q322" i="3" s="1"/>
  <c r="AK302" i="3"/>
  <c r="AL362" i="3"/>
  <c r="Q362" i="3" s="1"/>
  <c r="AL342" i="3"/>
  <c r="Q342" i="3" s="1"/>
  <c r="AL312" i="3"/>
  <c r="Q312" i="3" s="1"/>
  <c r="AL292" i="3"/>
  <c r="Q292" i="3" s="1"/>
  <c r="AK312" i="3"/>
  <c r="AK292" i="3"/>
  <c r="AL352" i="3"/>
  <c r="Q352" i="3" s="1"/>
  <c r="AL302" i="3"/>
  <c r="Q302" i="3" s="1"/>
  <c r="AK272" i="3"/>
  <c r="AK262" i="3"/>
  <c r="AK252" i="3"/>
  <c r="AK242" i="3"/>
  <c r="AK222" i="3"/>
  <c r="AK212" i="3"/>
  <c r="AK202" i="3"/>
  <c r="AK192" i="3"/>
  <c r="AK172" i="3"/>
  <c r="AK162" i="3"/>
  <c r="AK152" i="3"/>
  <c r="AK142" i="3"/>
  <c r="AL272" i="3"/>
  <c r="Q272" i="3" s="1"/>
  <c r="AL262" i="3"/>
  <c r="Q262" i="3" s="1"/>
  <c r="AL252" i="3"/>
  <c r="Q252" i="3" s="1"/>
  <c r="AL242" i="3"/>
  <c r="Q242" i="3" s="1"/>
  <c r="AL222" i="3"/>
  <c r="Q222" i="3" s="1"/>
  <c r="AL212" i="3"/>
  <c r="Q212" i="3" s="1"/>
  <c r="AL202" i="3"/>
  <c r="Q202" i="3" s="1"/>
  <c r="AK133" i="3"/>
  <c r="AK70" i="3"/>
  <c r="BB6" i="3"/>
  <c r="AL110" i="3"/>
  <c r="Q110" i="3" s="1"/>
  <c r="AL42" i="3"/>
  <c r="Q42" i="3" s="1"/>
  <c r="AL192" i="3"/>
  <c r="Q192" i="3" s="1"/>
  <c r="AL172" i="3"/>
  <c r="Q172" i="3" s="1"/>
  <c r="AL162" i="3"/>
  <c r="Q162" i="3" s="1"/>
  <c r="AL152" i="3"/>
  <c r="Q152" i="3" s="1"/>
  <c r="AL142" i="3"/>
  <c r="Q142" i="3" s="1"/>
  <c r="AK110" i="3"/>
  <c r="AL93" i="3"/>
  <c r="Q93" i="3" s="1"/>
  <c r="AL133" i="3"/>
  <c r="Q133" i="3" s="1"/>
  <c r="AK93" i="3"/>
  <c r="AL70" i="3"/>
  <c r="Q70" i="3" s="1"/>
  <c r="K8" i="3"/>
  <c r="AI8" i="3"/>
  <c r="N8" i="3" s="1"/>
  <c r="AK9" i="3"/>
  <c r="AL374" i="3"/>
  <c r="Q374" i="3" s="1"/>
  <c r="AK374" i="3"/>
  <c r="AK355" i="3"/>
  <c r="AK344" i="3"/>
  <c r="AK335" i="3"/>
  <c r="AK325" i="3"/>
  <c r="AL355" i="3"/>
  <c r="Q355" i="3" s="1"/>
  <c r="AL335" i="3"/>
  <c r="Q335" i="3" s="1"/>
  <c r="AL325" i="3"/>
  <c r="Q325" i="3" s="1"/>
  <c r="AL315" i="3"/>
  <c r="Q315" i="3" s="1"/>
  <c r="AL295" i="3"/>
  <c r="Q295" i="3" s="1"/>
  <c r="AL285" i="3"/>
  <c r="Q285" i="3" s="1"/>
  <c r="AL344" i="3"/>
  <c r="Q344" i="3" s="1"/>
  <c r="AK315" i="3"/>
  <c r="AK295" i="3"/>
  <c r="AK285" i="3"/>
  <c r="AK275" i="3"/>
  <c r="AK265" i="3"/>
  <c r="AK245" i="3"/>
  <c r="AK235" i="3"/>
  <c r="AK225" i="3"/>
  <c r="AK215" i="3"/>
  <c r="AK195" i="3"/>
  <c r="AK185" i="3"/>
  <c r="AK175" i="3"/>
  <c r="AK165" i="3"/>
  <c r="AK145" i="3"/>
  <c r="AK77" i="3"/>
  <c r="AK53" i="3"/>
  <c r="BB10" i="3"/>
  <c r="AL139" i="3"/>
  <c r="Q139" i="3" s="1"/>
  <c r="AL117" i="3"/>
  <c r="Q117" i="3" s="1"/>
  <c r="AL87" i="3"/>
  <c r="Q87" i="3" s="1"/>
  <c r="AL67" i="3"/>
  <c r="Q67" i="3" s="1"/>
  <c r="AL275" i="3"/>
  <c r="Q275" i="3" s="1"/>
  <c r="AL265" i="3"/>
  <c r="Q265" i="3" s="1"/>
  <c r="AL245" i="3"/>
  <c r="Q245" i="3" s="1"/>
  <c r="AL235" i="3"/>
  <c r="Q235" i="3" s="1"/>
  <c r="AL225" i="3"/>
  <c r="Q225" i="3" s="1"/>
  <c r="AL215" i="3"/>
  <c r="Q215" i="3" s="1"/>
  <c r="AL195" i="3"/>
  <c r="Q195" i="3" s="1"/>
  <c r="AL185" i="3"/>
  <c r="Q185" i="3" s="1"/>
  <c r="AL175" i="3"/>
  <c r="Q175" i="3" s="1"/>
  <c r="AL165" i="3"/>
  <c r="Q165" i="3" s="1"/>
  <c r="AL145" i="3"/>
  <c r="Q145" i="3" s="1"/>
  <c r="AK139" i="3"/>
  <c r="AL127" i="3"/>
  <c r="Q127" i="3" s="1"/>
  <c r="AK117" i="3"/>
  <c r="AL107" i="3"/>
  <c r="Q107" i="3" s="1"/>
  <c r="AL99" i="3"/>
  <c r="Q99" i="3" s="1"/>
  <c r="AK87" i="3"/>
  <c r="AK67" i="3"/>
  <c r="AK127" i="3"/>
  <c r="AK107" i="3"/>
  <c r="AK99" i="3"/>
  <c r="AL77" i="3"/>
  <c r="Q77" i="3" s="1"/>
  <c r="AL53" i="3"/>
  <c r="Q53" i="3" s="1"/>
  <c r="K12" i="3"/>
  <c r="AI12" i="3"/>
  <c r="N12" i="3" s="1"/>
  <c r="AL387" i="3"/>
  <c r="Q387" i="3" s="1"/>
  <c r="AL377" i="3"/>
  <c r="Q377" i="3" s="1"/>
  <c r="AK387" i="3"/>
  <c r="AK377" i="3"/>
  <c r="AK357" i="3"/>
  <c r="AK347" i="3"/>
  <c r="AK337" i="3"/>
  <c r="AK327" i="3"/>
  <c r="AL347" i="3"/>
  <c r="Q347" i="3" s="1"/>
  <c r="AL297" i="3"/>
  <c r="Q297" i="3" s="1"/>
  <c r="AK297" i="3"/>
  <c r="AL357" i="3"/>
  <c r="Q357" i="3" s="1"/>
  <c r="AL337" i="3"/>
  <c r="Q337" i="3" s="1"/>
  <c r="AL327" i="3"/>
  <c r="Q327" i="3" s="1"/>
  <c r="AL307" i="3"/>
  <c r="Q307" i="3" s="1"/>
  <c r="AL287" i="3"/>
  <c r="Q287" i="3" s="1"/>
  <c r="AK307" i="3"/>
  <c r="AK287" i="3"/>
  <c r="AK277" i="3"/>
  <c r="AK257" i="3"/>
  <c r="AK247" i="3"/>
  <c r="AK237" i="3"/>
  <c r="AK227" i="3"/>
  <c r="AK207" i="3"/>
  <c r="AK197" i="3"/>
  <c r="AK187" i="3"/>
  <c r="AK177" i="3"/>
  <c r="AK157" i="3"/>
  <c r="AK147" i="3"/>
  <c r="BB14" i="3"/>
  <c r="AL112" i="3"/>
  <c r="Q112" i="3" s="1"/>
  <c r="AL54" i="3"/>
  <c r="Q54" i="3" s="1"/>
  <c r="AL44" i="3"/>
  <c r="Q44" i="3" s="1"/>
  <c r="AL277" i="3"/>
  <c r="Q277" i="3" s="1"/>
  <c r="AL257" i="3"/>
  <c r="Q257" i="3" s="1"/>
  <c r="AL247" i="3"/>
  <c r="Q247" i="3" s="1"/>
  <c r="AL237" i="3"/>
  <c r="Q237" i="3" s="1"/>
  <c r="AL227" i="3"/>
  <c r="Q227" i="3" s="1"/>
  <c r="AL207" i="3"/>
  <c r="Q207" i="3" s="1"/>
  <c r="AL197" i="3"/>
  <c r="Q197" i="3" s="1"/>
  <c r="AL187" i="3"/>
  <c r="Q187" i="3" s="1"/>
  <c r="AL177" i="3"/>
  <c r="Q177" i="3" s="1"/>
  <c r="AL157" i="3"/>
  <c r="Q157" i="3" s="1"/>
  <c r="AL147" i="3"/>
  <c r="Q147" i="3" s="1"/>
  <c r="AK112" i="3"/>
  <c r="AL72" i="3"/>
  <c r="Q72" i="3" s="1"/>
  <c r="AK54" i="3"/>
  <c r="AK72" i="3"/>
  <c r="AP378" i="3"/>
  <c r="L378" i="3" s="1"/>
  <c r="AP328" i="3"/>
  <c r="L328" i="3" s="1"/>
  <c r="AP318" i="3"/>
  <c r="L318" i="3" s="1"/>
  <c r="AP349" i="3"/>
  <c r="L349" i="3" s="1"/>
  <c r="AP299" i="3"/>
  <c r="L299" i="3" s="1"/>
  <c r="AP368" i="3"/>
  <c r="L368" i="3" s="1"/>
  <c r="AP278" i="3"/>
  <c r="L278" i="3" s="1"/>
  <c r="AP268" i="3"/>
  <c r="L268" i="3" s="1"/>
  <c r="AP228" i="3"/>
  <c r="L228" i="3" s="1"/>
  <c r="AP218" i="3"/>
  <c r="L218" i="3" s="1"/>
  <c r="AP129" i="3"/>
  <c r="L129" i="3" s="1"/>
  <c r="AP89" i="3"/>
  <c r="L89" i="3" s="1"/>
  <c r="AP50" i="3"/>
  <c r="L50" i="3" s="1"/>
  <c r="AP249" i="3"/>
  <c r="L249" i="3" s="1"/>
  <c r="AP199" i="3"/>
  <c r="L199" i="3" s="1"/>
  <c r="AP178" i="3"/>
  <c r="L178" i="3" s="1"/>
  <c r="AP168" i="3"/>
  <c r="L168" i="3" s="1"/>
  <c r="AP149" i="3"/>
  <c r="L149" i="3" s="1"/>
  <c r="AP121" i="3"/>
  <c r="L121" i="3" s="1"/>
  <c r="AP108" i="3"/>
  <c r="L108" i="3" s="1"/>
  <c r="AP81" i="3"/>
  <c r="L81" i="3" s="1"/>
  <c r="AP68" i="3"/>
  <c r="L68" i="3" s="1"/>
  <c r="AG18" i="3"/>
  <c r="AP390" i="3"/>
  <c r="L390" i="3" s="1"/>
  <c r="AP380" i="3"/>
  <c r="L380" i="3" s="1"/>
  <c r="AP340" i="3"/>
  <c r="L340" i="3" s="1"/>
  <c r="AP330" i="3"/>
  <c r="L330" i="3" s="1"/>
  <c r="AP320" i="3"/>
  <c r="L320" i="3" s="1"/>
  <c r="AP370" i="3"/>
  <c r="L370" i="3" s="1"/>
  <c r="AP350" i="3"/>
  <c r="L350" i="3" s="1"/>
  <c r="AP300" i="3"/>
  <c r="L300" i="3" s="1"/>
  <c r="AP360" i="3"/>
  <c r="L360" i="3" s="1"/>
  <c r="AP310" i="3"/>
  <c r="L310" i="3" s="1"/>
  <c r="AP290" i="3"/>
  <c r="L290" i="3" s="1"/>
  <c r="AP280" i="3"/>
  <c r="L280" i="3" s="1"/>
  <c r="AP270" i="3"/>
  <c r="L270" i="3" s="1"/>
  <c r="AP260" i="3"/>
  <c r="L260" i="3" s="1"/>
  <c r="AP250" i="3"/>
  <c r="L250" i="3" s="1"/>
  <c r="AP240" i="3"/>
  <c r="L240" i="3" s="1"/>
  <c r="AP230" i="3"/>
  <c r="L230" i="3" s="1"/>
  <c r="AP220" i="3"/>
  <c r="L220" i="3" s="1"/>
  <c r="AP210" i="3"/>
  <c r="L210" i="3" s="1"/>
  <c r="AP200" i="3"/>
  <c r="L200" i="3" s="1"/>
  <c r="AP82" i="3"/>
  <c r="L82" i="3" s="1"/>
  <c r="AP122" i="3"/>
  <c r="L122" i="3" s="1"/>
  <c r="AP92" i="3"/>
  <c r="L92" i="3" s="1"/>
  <c r="AP190" i="3"/>
  <c r="L190" i="3" s="1"/>
  <c r="AP180" i="3"/>
  <c r="L180" i="3" s="1"/>
  <c r="AP170" i="3"/>
  <c r="L170" i="3" s="1"/>
  <c r="AP160" i="3"/>
  <c r="L160" i="3" s="1"/>
  <c r="AP150" i="3"/>
  <c r="L150" i="3" s="1"/>
  <c r="AP132" i="3"/>
  <c r="L132" i="3" s="1"/>
  <c r="AG20" i="3"/>
  <c r="AP391" i="3"/>
  <c r="L391" i="3" s="1"/>
  <c r="AP361" i="3"/>
  <c r="L361" i="3" s="1"/>
  <c r="AP341" i="3"/>
  <c r="L341" i="3" s="1"/>
  <c r="AP311" i="3"/>
  <c r="L311" i="3" s="1"/>
  <c r="AP291" i="3"/>
  <c r="L291" i="3" s="1"/>
  <c r="AP138" i="3"/>
  <c r="L138" i="3" s="1"/>
  <c r="AP114" i="3"/>
  <c r="L114" i="3" s="1"/>
  <c r="AP74" i="3"/>
  <c r="L74" i="3" s="1"/>
  <c r="AP46" i="3"/>
  <c r="L46" i="3" s="1"/>
  <c r="AP261" i="3"/>
  <c r="L261" i="3" s="1"/>
  <c r="AP241" i="3"/>
  <c r="L241" i="3" s="1"/>
  <c r="AP211" i="3"/>
  <c r="L211" i="3" s="1"/>
  <c r="AP191" i="3"/>
  <c r="L191" i="3" s="1"/>
  <c r="AP161" i="3"/>
  <c r="L161" i="3" s="1"/>
  <c r="AP98" i="3"/>
  <c r="L98" i="3" s="1"/>
  <c r="AP51" i="3"/>
  <c r="L51" i="3" s="1"/>
  <c r="AK33" i="3"/>
  <c r="BB24" i="3"/>
  <c r="AK16" i="3"/>
  <c r="AG31" i="3"/>
  <c r="AL33" i="3"/>
  <c r="Q33" i="3" s="1"/>
  <c r="AP35" i="3"/>
  <c r="L35" i="3" s="1"/>
  <c r="AI40" i="3"/>
  <c r="N40" i="3" s="1"/>
  <c r="K40" i="3"/>
  <c r="AJ40" i="3"/>
  <c r="O40" i="3" s="1"/>
  <c r="AK42" i="3"/>
  <c r="AU297" i="1"/>
  <c r="L297" i="1" s="1"/>
  <c r="AM297" i="1"/>
  <c r="AS372" i="1"/>
  <c r="M372" i="1" s="1"/>
  <c r="AO372" i="1"/>
  <c r="AU374" i="1"/>
  <c r="L374" i="1" s="1"/>
  <c r="AM374" i="1"/>
  <c r="AT376" i="1"/>
  <c r="N376" i="1" s="1"/>
  <c r="AP376" i="1"/>
  <c r="S376" i="1" s="1"/>
  <c r="AT384" i="1"/>
  <c r="N384" i="1" s="1"/>
  <c r="AP384" i="1"/>
  <c r="S384" i="1" s="1"/>
  <c r="AT392" i="1"/>
  <c r="N392" i="1" s="1"/>
  <c r="AP392" i="1"/>
  <c r="S392" i="1" s="1"/>
  <c r="AS394" i="1"/>
  <c r="AM394" i="1" s="1"/>
  <c r="AO394" i="1"/>
  <c r="AT394" i="1"/>
  <c r="N394" i="1" s="1"/>
  <c r="AP394" i="1"/>
  <c r="S394" i="1" s="1"/>
  <c r="AS398" i="1"/>
  <c r="AO398" i="1"/>
  <c r="AT398" i="1"/>
  <c r="N398" i="1" s="1"/>
  <c r="AP398" i="1"/>
  <c r="S398" i="1" s="1"/>
  <c r="AL15" i="3"/>
  <c r="Q15" i="3" s="1"/>
  <c r="AL14" i="3"/>
  <c r="Q14" i="3" s="1"/>
  <c r="AL13" i="3"/>
  <c r="Q13" i="3" s="1"/>
  <c r="AL12" i="3"/>
  <c r="Q12" i="3" s="1"/>
  <c r="AL11" i="3"/>
  <c r="Q11" i="3" s="1"/>
  <c r="AL10" i="3"/>
  <c r="Q10" i="3" s="1"/>
  <c r="AL9" i="3"/>
  <c r="Q9" i="3" s="1"/>
  <c r="AL8" i="3"/>
  <c r="Q8" i="3" s="1"/>
  <c r="AL7" i="3"/>
  <c r="Q7" i="3" s="1"/>
  <c r="AL6" i="3"/>
  <c r="Q6" i="3" s="1"/>
  <c r="BB5" i="3"/>
  <c r="AL5" i="3"/>
  <c r="Q5" i="3" s="1"/>
  <c r="AK4" i="3"/>
  <c r="AL4" i="3"/>
  <c r="Q4" i="3" s="1"/>
  <c r="K7" i="3"/>
  <c r="AI7" i="3"/>
  <c r="N7" i="3" s="1"/>
  <c r="AK8" i="3"/>
  <c r="AL384" i="3"/>
  <c r="Q384" i="3" s="1"/>
  <c r="AK384" i="3"/>
  <c r="AK364" i="3"/>
  <c r="AK354" i="3"/>
  <c r="AK324" i="3"/>
  <c r="AL324" i="3"/>
  <c r="Q324" i="3" s="1"/>
  <c r="AL305" i="3"/>
  <c r="Q305" i="3" s="1"/>
  <c r="AK294" i="3"/>
  <c r="AL354" i="3"/>
  <c r="Q354" i="3" s="1"/>
  <c r="AK305" i="3"/>
  <c r="AL364" i="3"/>
  <c r="Q364" i="3" s="1"/>
  <c r="AL294" i="3"/>
  <c r="Q294" i="3" s="1"/>
  <c r="AK274" i="3"/>
  <c r="AK255" i="3"/>
  <c r="AK244" i="3"/>
  <c r="AK224" i="3"/>
  <c r="AK205" i="3"/>
  <c r="AK194" i="3"/>
  <c r="AK174" i="3"/>
  <c r="AK155" i="3"/>
  <c r="AK144" i="3"/>
  <c r="AL274" i="3"/>
  <c r="Q274" i="3" s="1"/>
  <c r="AL244" i="3"/>
  <c r="Q244" i="3" s="1"/>
  <c r="AL224" i="3"/>
  <c r="Q224" i="3" s="1"/>
  <c r="AL103" i="3"/>
  <c r="Q103" i="3" s="1"/>
  <c r="AK43" i="3"/>
  <c r="BB9" i="3"/>
  <c r="AK103" i="3"/>
  <c r="AL71" i="3"/>
  <c r="Q71" i="3" s="1"/>
  <c r="AL63" i="3"/>
  <c r="Q63" i="3" s="1"/>
  <c r="AL255" i="3"/>
  <c r="Q255" i="3" s="1"/>
  <c r="AL205" i="3"/>
  <c r="Q205" i="3" s="1"/>
  <c r="AL194" i="3"/>
  <c r="Q194" i="3" s="1"/>
  <c r="AL174" i="3"/>
  <c r="Q174" i="3" s="1"/>
  <c r="AL155" i="3"/>
  <c r="Q155" i="3" s="1"/>
  <c r="AL144" i="3"/>
  <c r="Q144" i="3" s="1"/>
  <c r="AL111" i="3"/>
  <c r="Q111" i="3" s="1"/>
  <c r="AK71" i="3"/>
  <c r="AK63" i="3"/>
  <c r="AK111" i="3"/>
  <c r="AL43" i="3"/>
  <c r="Q43" i="3" s="1"/>
  <c r="AK29" i="3"/>
  <c r="K11" i="3"/>
  <c r="AI11" i="3"/>
  <c r="N11" i="3" s="1"/>
  <c r="AK12" i="3"/>
  <c r="AL376" i="3"/>
  <c r="Q376" i="3" s="1"/>
  <c r="AK376" i="3"/>
  <c r="AK367" i="3"/>
  <c r="AK346" i="3"/>
  <c r="AK326" i="3"/>
  <c r="AK317" i="3"/>
  <c r="AL367" i="3"/>
  <c r="Q367" i="3" s="1"/>
  <c r="AL326" i="3"/>
  <c r="Q326" i="3" s="1"/>
  <c r="AL346" i="3"/>
  <c r="Q346" i="3" s="1"/>
  <c r="AL296" i="3"/>
  <c r="Q296" i="3" s="1"/>
  <c r="AL317" i="3"/>
  <c r="Q317" i="3" s="1"/>
  <c r="AK296" i="3"/>
  <c r="AK276" i="3"/>
  <c r="AK267" i="3"/>
  <c r="AK246" i="3"/>
  <c r="AK226" i="3"/>
  <c r="AK217" i="3"/>
  <c r="AK196" i="3"/>
  <c r="AK176" i="3"/>
  <c r="AK167" i="3"/>
  <c r="AK146" i="3"/>
  <c r="AL276" i="3"/>
  <c r="Q276" i="3" s="1"/>
  <c r="AL246" i="3"/>
  <c r="Q246" i="3" s="1"/>
  <c r="AL226" i="3"/>
  <c r="Q226" i="3" s="1"/>
  <c r="AL128" i="3"/>
  <c r="Q128" i="3" s="1"/>
  <c r="AL125" i="3"/>
  <c r="Q125" i="3" s="1"/>
  <c r="AL104" i="3"/>
  <c r="Q104" i="3" s="1"/>
  <c r="AK88" i="3"/>
  <c r="AK85" i="3"/>
  <c r="AK64" i="3"/>
  <c r="AK39" i="3"/>
  <c r="BB13" i="3"/>
  <c r="AK128" i="3"/>
  <c r="AK125" i="3"/>
  <c r="AK104" i="3"/>
  <c r="AL267" i="3"/>
  <c r="Q267" i="3" s="1"/>
  <c r="AL217" i="3"/>
  <c r="Q217" i="3" s="1"/>
  <c r="AL196" i="3"/>
  <c r="Q196" i="3" s="1"/>
  <c r="AL176" i="3"/>
  <c r="Q176" i="3" s="1"/>
  <c r="AL167" i="3"/>
  <c r="Q167" i="3" s="1"/>
  <c r="AL146" i="3"/>
  <c r="Q146" i="3" s="1"/>
  <c r="AL88" i="3"/>
  <c r="Q88" i="3" s="1"/>
  <c r="AL85" i="3"/>
  <c r="Q85" i="3" s="1"/>
  <c r="AL64" i="3"/>
  <c r="Q64" i="3" s="1"/>
  <c r="AL39" i="3"/>
  <c r="Q39" i="3" s="1"/>
  <c r="K15" i="3"/>
  <c r="AI15" i="3"/>
  <c r="N15" i="3" s="1"/>
  <c r="AL21" i="3"/>
  <c r="Q21" i="3" s="1"/>
  <c r="P24" i="3"/>
  <c r="K24" i="3"/>
  <c r="AI24" i="3"/>
  <c r="N24" i="3" s="1"/>
  <c r="AG25" i="3"/>
  <c r="AL26" i="3"/>
  <c r="Q26" i="3" s="1"/>
  <c r="K36" i="3"/>
  <c r="K38" i="3"/>
  <c r="AK40" i="3"/>
  <c r="AI44" i="3"/>
  <c r="N44" i="3" s="1"/>
  <c r="K44" i="3"/>
  <c r="AJ44" i="3"/>
  <c r="O44" i="3" s="1"/>
  <c r="AP4" i="3"/>
  <c r="L4" i="3" s="1"/>
  <c r="AL378" i="3"/>
  <c r="Q378" i="3" s="1"/>
  <c r="AK378" i="3"/>
  <c r="AK368" i="3"/>
  <c r="AK349" i="3"/>
  <c r="AK328" i="3"/>
  <c r="AK318" i="3"/>
  <c r="AL328" i="3"/>
  <c r="Q328" i="3" s="1"/>
  <c r="AL318" i="3"/>
  <c r="Q318" i="3" s="1"/>
  <c r="AL349" i="3"/>
  <c r="Q349" i="3" s="1"/>
  <c r="AL299" i="3"/>
  <c r="Q299" i="3" s="1"/>
  <c r="AL368" i="3"/>
  <c r="Q368" i="3" s="1"/>
  <c r="AK299" i="3"/>
  <c r="AK278" i="3"/>
  <c r="AK268" i="3"/>
  <c r="AK249" i="3"/>
  <c r="AK228" i="3"/>
  <c r="AK218" i="3"/>
  <c r="AK199" i="3"/>
  <c r="AK178" i="3"/>
  <c r="AK168" i="3"/>
  <c r="AK149" i="3"/>
  <c r="AL389" i="3"/>
  <c r="Q389" i="3" s="1"/>
  <c r="AL379" i="3"/>
  <c r="Q379" i="3" s="1"/>
  <c r="AK389" i="3"/>
  <c r="AK379" i="3"/>
  <c r="AK369" i="3"/>
  <c r="AK359" i="3"/>
  <c r="AK339" i="3"/>
  <c r="AK329" i="3"/>
  <c r="AK319" i="3"/>
  <c r="AL359" i="3"/>
  <c r="Q359" i="3" s="1"/>
  <c r="AL309" i="3"/>
  <c r="Q309" i="3" s="1"/>
  <c r="AL289" i="3"/>
  <c r="Q289" i="3" s="1"/>
  <c r="AK309" i="3"/>
  <c r="AK289" i="3"/>
  <c r="AL369" i="3"/>
  <c r="Q369" i="3" s="1"/>
  <c r="AL339" i="3"/>
  <c r="Q339" i="3" s="1"/>
  <c r="AL329" i="3"/>
  <c r="Q329" i="3" s="1"/>
  <c r="AL319" i="3"/>
  <c r="Q319" i="3" s="1"/>
  <c r="AK279" i="3"/>
  <c r="AK269" i="3"/>
  <c r="AK259" i="3"/>
  <c r="AK239" i="3"/>
  <c r="AK229" i="3"/>
  <c r="AK219" i="3"/>
  <c r="AK209" i="3"/>
  <c r="AK189" i="3"/>
  <c r="AK179" i="3"/>
  <c r="AK169" i="3"/>
  <c r="AK159" i="3"/>
  <c r="AL390" i="3"/>
  <c r="Q390" i="3" s="1"/>
  <c r="AL380" i="3"/>
  <c r="Q380" i="3" s="1"/>
  <c r="AK390" i="3"/>
  <c r="AK380" i="3"/>
  <c r="AK370" i="3"/>
  <c r="AK360" i="3"/>
  <c r="AK350" i="3"/>
  <c r="AK340" i="3"/>
  <c r="AK330" i="3"/>
  <c r="AK320" i="3"/>
  <c r="AL340" i="3"/>
  <c r="Q340" i="3" s="1"/>
  <c r="AL330" i="3"/>
  <c r="Q330" i="3" s="1"/>
  <c r="AL320" i="3"/>
  <c r="Q320" i="3" s="1"/>
  <c r="AK310" i="3"/>
  <c r="AK290" i="3"/>
  <c r="AL370" i="3"/>
  <c r="Q370" i="3" s="1"/>
  <c r="AL350" i="3"/>
  <c r="Q350" i="3" s="1"/>
  <c r="AL300" i="3"/>
  <c r="Q300" i="3" s="1"/>
  <c r="AK300" i="3"/>
  <c r="AL360" i="3"/>
  <c r="Q360" i="3" s="1"/>
  <c r="AL310" i="3"/>
  <c r="Q310" i="3" s="1"/>
  <c r="AL290" i="3"/>
  <c r="Q290" i="3" s="1"/>
  <c r="AK280" i="3"/>
  <c r="AK270" i="3"/>
  <c r="AK260" i="3"/>
  <c r="AK250" i="3"/>
  <c r="AK240" i="3"/>
  <c r="AK230" i="3"/>
  <c r="AK220" i="3"/>
  <c r="AK210" i="3"/>
  <c r="AK200" i="3"/>
  <c r="AK190" i="3"/>
  <c r="AK180" i="3"/>
  <c r="AK170" i="3"/>
  <c r="AK160" i="3"/>
  <c r="AK150" i="3"/>
  <c r="AL381" i="3"/>
  <c r="Q381" i="3" s="1"/>
  <c r="AK381" i="3"/>
  <c r="AK371" i="3"/>
  <c r="AK351" i="3"/>
  <c r="AK331" i="3"/>
  <c r="AK321" i="3"/>
  <c r="AL371" i="3"/>
  <c r="Q371" i="3" s="1"/>
  <c r="AL351" i="3"/>
  <c r="Q351" i="3" s="1"/>
  <c r="AL301" i="3"/>
  <c r="Q301" i="3" s="1"/>
  <c r="AK301" i="3"/>
  <c r="AL331" i="3"/>
  <c r="Q331" i="3" s="1"/>
  <c r="AL321" i="3"/>
  <c r="Q321" i="3" s="1"/>
  <c r="AK281" i="3"/>
  <c r="AK271" i="3"/>
  <c r="AK251" i="3"/>
  <c r="AK231" i="3"/>
  <c r="AK221" i="3"/>
  <c r="AK201" i="3"/>
  <c r="AK181" i="3"/>
  <c r="AK171" i="3"/>
  <c r="AK151" i="3"/>
  <c r="AL391" i="3"/>
  <c r="Q391" i="3" s="1"/>
  <c r="AK391" i="3"/>
  <c r="AK361" i="3"/>
  <c r="AK341" i="3"/>
  <c r="AL361" i="3"/>
  <c r="Q361" i="3" s="1"/>
  <c r="AL341" i="3"/>
  <c r="Q341" i="3" s="1"/>
  <c r="AL311" i="3"/>
  <c r="Q311" i="3" s="1"/>
  <c r="AL291" i="3"/>
  <c r="Q291" i="3" s="1"/>
  <c r="AK311" i="3"/>
  <c r="AK291" i="3"/>
  <c r="AK261" i="3"/>
  <c r="AK241" i="3"/>
  <c r="AK211" i="3"/>
  <c r="AK191" i="3"/>
  <c r="AK161" i="3"/>
  <c r="AK35" i="3"/>
  <c r="AP37" i="3"/>
  <c r="L37" i="3" s="1"/>
  <c r="AP39" i="3"/>
  <c r="L39" i="3" s="1"/>
  <c r="P41" i="3"/>
  <c r="AL41" i="3"/>
  <c r="Q41" i="3" s="1"/>
  <c r="AP43" i="3"/>
  <c r="L43" i="3" s="1"/>
  <c r="P45" i="3"/>
  <c r="AL45" i="3"/>
  <c r="Q45" i="3" s="1"/>
  <c r="AJ46" i="3"/>
  <c r="O46" i="3" s="1"/>
  <c r="AP47" i="3"/>
  <c r="L47" i="3" s="1"/>
  <c r="AJ48" i="3"/>
  <c r="O48" i="3" s="1"/>
  <c r="AP49" i="3"/>
  <c r="L49" i="3" s="1"/>
  <c r="AJ50" i="3"/>
  <c r="O50" i="3" s="1"/>
  <c r="P51" i="3"/>
  <c r="AL51" i="3"/>
  <c r="Q51" i="3" s="1"/>
  <c r="AJ52" i="3"/>
  <c r="O52" i="3" s="1"/>
  <c r="AP53" i="3"/>
  <c r="L53" i="3" s="1"/>
  <c r="AJ54" i="3"/>
  <c r="O54" i="3" s="1"/>
  <c r="P55" i="3"/>
  <c r="AL55" i="3"/>
  <c r="Q55" i="3" s="1"/>
  <c r="AX55" i="3"/>
  <c r="BC55" i="3"/>
  <c r="BG55" i="3"/>
  <c r="BI55" i="3" s="1"/>
  <c r="AK56" i="3"/>
  <c r="AI57" i="3"/>
  <c r="N57" i="3" s="1"/>
  <c r="AP58" i="3"/>
  <c r="L58" i="3" s="1"/>
  <c r="AX58" i="3"/>
  <c r="BF58" i="3" s="1"/>
  <c r="AJ60" i="3"/>
  <c r="O60" i="3" s="1"/>
  <c r="AI61" i="3"/>
  <c r="N61" i="3" s="1"/>
  <c r="AP62" i="3"/>
  <c r="L62" i="3" s="1"/>
  <c r="AX62" i="3"/>
  <c r="BC62" i="3" s="1"/>
  <c r="AJ63" i="3"/>
  <c r="O63" i="3" s="1"/>
  <c r="AP64" i="3"/>
  <c r="L64" i="3" s="1"/>
  <c r="AX64" i="3"/>
  <c r="BF64" i="3" s="1"/>
  <c r="BC64" i="3"/>
  <c r="AJ65" i="3"/>
  <c r="O65" i="3" s="1"/>
  <c r="P66" i="3"/>
  <c r="AL66" i="3"/>
  <c r="Q66" i="3" s="1"/>
  <c r="AJ67" i="3"/>
  <c r="O67" i="3" s="1"/>
  <c r="P68" i="3"/>
  <c r="AL68" i="3"/>
  <c r="Q68" i="3" s="1"/>
  <c r="AJ69" i="3"/>
  <c r="O69" i="3" s="1"/>
  <c r="AP70" i="3"/>
  <c r="L70" i="3" s="1"/>
  <c r="AJ71" i="3"/>
  <c r="O71" i="3" s="1"/>
  <c r="P73" i="3"/>
  <c r="AL73" i="3"/>
  <c r="Q73" i="3" s="1"/>
  <c r="AI74" i="3"/>
  <c r="N74" i="3" s="1"/>
  <c r="AJ75" i="3"/>
  <c r="O75" i="3" s="1"/>
  <c r="AP77" i="3"/>
  <c r="L77" i="3" s="1"/>
  <c r="AI78" i="3"/>
  <c r="N78" i="3" s="1"/>
  <c r="AJ79" i="3"/>
  <c r="O79" i="3" s="1"/>
  <c r="P81" i="3"/>
  <c r="AL81" i="3"/>
  <c r="Q81" i="3" s="1"/>
  <c r="AI82" i="3"/>
  <c r="N82" i="3" s="1"/>
  <c r="AP83" i="3"/>
  <c r="L83" i="3" s="1"/>
  <c r="AI84" i="3"/>
  <c r="N84" i="3" s="1"/>
  <c r="AP85" i="3"/>
  <c r="L85" i="3" s="1"/>
  <c r="AI86" i="3"/>
  <c r="N86" i="3" s="1"/>
  <c r="AJ87" i="3"/>
  <c r="O87" i="3" s="1"/>
  <c r="AP88" i="3"/>
  <c r="L88" i="3" s="1"/>
  <c r="AJ89" i="3"/>
  <c r="O89" i="3" s="1"/>
  <c r="K90" i="3"/>
  <c r="AL90" i="3"/>
  <c r="Q90" i="3" s="1"/>
  <c r="AJ92" i="3"/>
  <c r="O92" i="3" s="1"/>
  <c r="K94" i="3"/>
  <c r="AP94" i="3"/>
  <c r="L94" i="3" s="1"/>
  <c r="AJ96" i="3"/>
  <c r="O96" i="3" s="1"/>
  <c r="AK98" i="3"/>
  <c r="K100" i="3"/>
  <c r="AL100" i="3"/>
  <c r="Q100" i="3" s="1"/>
  <c r="K101" i="3"/>
  <c r="AP101" i="3"/>
  <c r="L101" i="3" s="1"/>
  <c r="K102" i="3"/>
  <c r="AP102" i="3"/>
  <c r="L102" i="3" s="1"/>
  <c r="AJ106" i="3"/>
  <c r="O106" i="3" s="1"/>
  <c r="K108" i="3"/>
  <c r="AL108" i="3"/>
  <c r="Q108" i="3" s="1"/>
  <c r="AJ110" i="3"/>
  <c r="O110" i="3" s="1"/>
  <c r="AJ112" i="3"/>
  <c r="O112" i="3" s="1"/>
  <c r="AJ113" i="3"/>
  <c r="O113" i="3" s="1"/>
  <c r="AK115" i="3"/>
  <c r="AJ116" i="3"/>
  <c r="O116" i="3" s="1"/>
  <c r="AJ117" i="3"/>
  <c r="O117" i="3" s="1"/>
  <c r="AJ118" i="3"/>
  <c r="O118" i="3" s="1"/>
  <c r="K120" i="3"/>
  <c r="AP120" i="3"/>
  <c r="L120" i="3" s="1"/>
  <c r="AK121" i="3"/>
  <c r="AJ122" i="3"/>
  <c r="O122" i="3" s="1"/>
  <c r="AJ124" i="3"/>
  <c r="O124" i="3" s="1"/>
  <c r="K126" i="3"/>
  <c r="AP126" i="3"/>
  <c r="L126" i="3" s="1"/>
  <c r="AJ129" i="3"/>
  <c r="O129" i="3" s="1"/>
  <c r="K131" i="3"/>
  <c r="AL131" i="3"/>
  <c r="Q131" i="3" s="1"/>
  <c r="AK132" i="3"/>
  <c r="K133" i="3"/>
  <c r="AP133" i="3"/>
  <c r="L133" i="3" s="1"/>
  <c r="AJ135" i="3"/>
  <c r="O135" i="3" s="1"/>
  <c r="K137" i="3"/>
  <c r="AP137" i="3"/>
  <c r="L137" i="3" s="1"/>
  <c r="AJ139" i="3"/>
  <c r="O139" i="3" s="1"/>
  <c r="AK140" i="3"/>
  <c r="K141" i="3"/>
  <c r="AP141" i="3"/>
  <c r="L141" i="3" s="1"/>
  <c r="AP111" i="3"/>
  <c r="L111" i="3" s="1"/>
  <c r="AP127" i="3"/>
  <c r="L127" i="3" s="1"/>
  <c r="AP136" i="3"/>
  <c r="L136" i="3" s="1"/>
  <c r="AP142" i="3"/>
  <c r="L142" i="3" s="1"/>
  <c r="AP143" i="3"/>
  <c r="L143" i="3" s="1"/>
  <c r="AP144" i="3"/>
  <c r="L144" i="3" s="1"/>
  <c r="AP145" i="3"/>
  <c r="L145" i="3" s="1"/>
  <c r="AP146" i="3"/>
  <c r="L146" i="3" s="1"/>
  <c r="AP147" i="3"/>
  <c r="L147" i="3" s="1"/>
  <c r="AP148" i="3"/>
  <c r="L148" i="3" s="1"/>
  <c r="AP152" i="3"/>
  <c r="L152" i="3" s="1"/>
  <c r="AP153" i="3"/>
  <c r="L153" i="3" s="1"/>
  <c r="AP154" i="3"/>
  <c r="L154" i="3" s="1"/>
  <c r="AP155" i="3"/>
  <c r="L155" i="3" s="1"/>
  <c r="AP156" i="3"/>
  <c r="L156" i="3" s="1"/>
  <c r="AP157" i="3"/>
  <c r="L157" i="3" s="1"/>
  <c r="AP158" i="3"/>
  <c r="L158" i="3" s="1"/>
  <c r="AL159" i="3"/>
  <c r="Q159" i="3" s="1"/>
  <c r="AL160" i="3"/>
  <c r="Q160" i="3" s="1"/>
  <c r="AL161" i="3"/>
  <c r="Q161" i="3" s="1"/>
  <c r="AP162" i="3"/>
  <c r="L162" i="3" s="1"/>
  <c r="AP163" i="3"/>
  <c r="L163" i="3" s="1"/>
  <c r="AP164" i="3"/>
  <c r="L164" i="3" s="1"/>
  <c r="AP165" i="3"/>
  <c r="L165" i="3" s="1"/>
  <c r="AP166" i="3"/>
  <c r="L166" i="3" s="1"/>
  <c r="AP167" i="3"/>
  <c r="L167" i="3" s="1"/>
  <c r="AL168" i="3"/>
  <c r="Q168" i="3" s="1"/>
  <c r="AL169" i="3"/>
  <c r="Q169" i="3" s="1"/>
  <c r="AL170" i="3"/>
  <c r="Q170" i="3" s="1"/>
  <c r="AL171" i="3"/>
  <c r="Q171" i="3" s="1"/>
  <c r="AP172" i="3"/>
  <c r="L172" i="3" s="1"/>
  <c r="AP173" i="3"/>
  <c r="L173" i="3" s="1"/>
  <c r="AP174" i="3"/>
  <c r="L174" i="3" s="1"/>
  <c r="AP175" i="3"/>
  <c r="L175" i="3" s="1"/>
  <c r="AP176" i="3"/>
  <c r="L176" i="3" s="1"/>
  <c r="AP177" i="3"/>
  <c r="L177" i="3" s="1"/>
  <c r="AL178" i="3"/>
  <c r="Q178" i="3" s="1"/>
  <c r="AL179" i="3"/>
  <c r="Q179" i="3" s="1"/>
  <c r="AL180" i="3"/>
  <c r="Q180" i="3" s="1"/>
  <c r="AL181" i="3"/>
  <c r="Q181" i="3" s="1"/>
  <c r="AP182" i="3"/>
  <c r="L182" i="3" s="1"/>
  <c r="AP183" i="3"/>
  <c r="L183" i="3" s="1"/>
  <c r="AP184" i="3"/>
  <c r="L184" i="3" s="1"/>
  <c r="AP185" i="3"/>
  <c r="L185" i="3" s="1"/>
  <c r="AP186" i="3"/>
  <c r="L186" i="3" s="1"/>
  <c r="AP187" i="3"/>
  <c r="L187" i="3" s="1"/>
  <c r="AP188" i="3"/>
  <c r="L188" i="3" s="1"/>
  <c r="AL189" i="3"/>
  <c r="Q189" i="3" s="1"/>
  <c r="AL190" i="3"/>
  <c r="Q190" i="3" s="1"/>
  <c r="AL191" i="3"/>
  <c r="Q191" i="3" s="1"/>
  <c r="AP192" i="3"/>
  <c r="L192" i="3" s="1"/>
  <c r="AP193" i="3"/>
  <c r="L193" i="3" s="1"/>
  <c r="AP194" i="3"/>
  <c r="L194" i="3" s="1"/>
  <c r="AP195" i="3"/>
  <c r="L195" i="3" s="1"/>
  <c r="AP196" i="3"/>
  <c r="L196" i="3" s="1"/>
  <c r="AP197" i="3"/>
  <c r="L197" i="3" s="1"/>
  <c r="AP198" i="3"/>
  <c r="L198" i="3" s="1"/>
  <c r="AL199" i="3"/>
  <c r="Q199" i="3" s="1"/>
  <c r="AL201" i="3"/>
  <c r="Q201" i="3" s="1"/>
  <c r="AP203" i="3"/>
  <c r="L203" i="3" s="1"/>
  <c r="AP205" i="3"/>
  <c r="L205" i="3" s="1"/>
  <c r="AP207" i="3"/>
  <c r="L207" i="3" s="1"/>
  <c r="AL209" i="3"/>
  <c r="Q209" i="3" s="1"/>
  <c r="AL211" i="3"/>
  <c r="Q211" i="3" s="1"/>
  <c r="AP213" i="3"/>
  <c r="L213" i="3" s="1"/>
  <c r="AP215" i="3"/>
  <c r="L215" i="3" s="1"/>
  <c r="AP217" i="3"/>
  <c r="L217" i="3" s="1"/>
  <c r="AL219" i="3"/>
  <c r="Q219" i="3" s="1"/>
  <c r="AL221" i="3"/>
  <c r="Q221" i="3" s="1"/>
  <c r="AP223" i="3"/>
  <c r="L223" i="3" s="1"/>
  <c r="AP225" i="3"/>
  <c r="L225" i="3" s="1"/>
  <c r="AP227" i="3"/>
  <c r="L227" i="3" s="1"/>
  <c r="AL229" i="3"/>
  <c r="Q229" i="3" s="1"/>
  <c r="AL231" i="3"/>
  <c r="Q231" i="3" s="1"/>
  <c r="AP233" i="3"/>
  <c r="L233" i="3" s="1"/>
  <c r="AP235" i="3"/>
  <c r="L235" i="3" s="1"/>
  <c r="AP237" i="3"/>
  <c r="L237" i="3" s="1"/>
  <c r="AL239" i="3"/>
  <c r="Q239" i="3" s="1"/>
  <c r="AL241" i="3"/>
  <c r="Q241" i="3" s="1"/>
  <c r="AP243" i="3"/>
  <c r="L243" i="3" s="1"/>
  <c r="AP245" i="3"/>
  <c r="L245" i="3" s="1"/>
  <c r="AP247" i="3"/>
  <c r="L247" i="3" s="1"/>
  <c r="AL249" i="3"/>
  <c r="Q249" i="3" s="1"/>
  <c r="AL251" i="3"/>
  <c r="Q251" i="3" s="1"/>
  <c r="AP253" i="3"/>
  <c r="L253" i="3" s="1"/>
  <c r="AP257" i="3"/>
  <c r="L257" i="3" s="1"/>
  <c r="AL259" i="3"/>
  <c r="Q259" i="3" s="1"/>
  <c r="AL261" i="3"/>
  <c r="Q261" i="3" s="1"/>
  <c r="AP263" i="3"/>
  <c r="L263" i="3" s="1"/>
  <c r="AP265" i="3"/>
  <c r="L265" i="3" s="1"/>
  <c r="AL269" i="3"/>
  <c r="Q269" i="3" s="1"/>
  <c r="AL271" i="3"/>
  <c r="Q271" i="3" s="1"/>
  <c r="AP275" i="3"/>
  <c r="L275" i="3" s="1"/>
  <c r="AP277" i="3"/>
  <c r="L277" i="3" s="1"/>
  <c r="AL279" i="3"/>
  <c r="Q279" i="3" s="1"/>
  <c r="AL281" i="3"/>
  <c r="Q281" i="3" s="1"/>
  <c r="AP283" i="3"/>
  <c r="L283" i="3" s="1"/>
  <c r="K46" i="3"/>
  <c r="P46" i="3"/>
  <c r="K48" i="3"/>
  <c r="K50" i="3"/>
  <c r="P50" i="3"/>
  <c r="K52" i="3"/>
  <c r="K54" i="3"/>
  <c r="K60" i="3"/>
  <c r="AX60" i="3"/>
  <c r="BA60" i="3" s="1"/>
  <c r="BC60" i="3"/>
  <c r="BG60" i="3"/>
  <c r="BI60" i="3" s="1"/>
  <c r="K63" i="3"/>
  <c r="AX63" i="3"/>
  <c r="BG63" i="3" s="1"/>
  <c r="BI63" i="3" s="1"/>
  <c r="K65" i="3"/>
  <c r="AX65" i="3"/>
  <c r="BF65" i="3" s="1"/>
  <c r="K67" i="3"/>
  <c r="AX67" i="3"/>
  <c r="BD67" i="3" s="1"/>
  <c r="K69" i="3"/>
  <c r="AX69" i="3"/>
  <c r="BD69" i="3" s="1"/>
  <c r="K71" i="3"/>
  <c r="K75" i="3"/>
  <c r="P75" i="3"/>
  <c r="K79" i="3"/>
  <c r="K87" i="3"/>
  <c r="K89" i="3"/>
  <c r="P89" i="3"/>
  <c r="AL89" i="3"/>
  <c r="Q89" i="3" s="1"/>
  <c r="AK91" i="3"/>
  <c r="K92" i="3"/>
  <c r="P92" i="3"/>
  <c r="AL92" i="3"/>
  <c r="Q92" i="3" s="1"/>
  <c r="K96" i="3"/>
  <c r="K106" i="3"/>
  <c r="P106" i="3"/>
  <c r="AL106" i="3"/>
  <c r="Q106" i="3" s="1"/>
  <c r="K110" i="3"/>
  <c r="K112" i="3"/>
  <c r="K113" i="3"/>
  <c r="P113" i="3"/>
  <c r="AL113" i="3"/>
  <c r="Q113" i="3" s="1"/>
  <c r="AK114" i="3"/>
  <c r="K116" i="3"/>
  <c r="K117" i="3"/>
  <c r="AP117" i="3"/>
  <c r="L117" i="3" s="1"/>
  <c r="K118" i="3"/>
  <c r="K122" i="3"/>
  <c r="P122" i="3"/>
  <c r="AL122" i="3"/>
  <c r="Q122" i="3" s="1"/>
  <c r="K124" i="3"/>
  <c r="P124" i="3"/>
  <c r="AL124" i="3"/>
  <c r="Q124" i="3" s="1"/>
  <c r="K129" i="3"/>
  <c r="P129" i="3"/>
  <c r="AL129" i="3"/>
  <c r="Q129" i="3" s="1"/>
  <c r="AK130" i="3"/>
  <c r="K135" i="3"/>
  <c r="AK138" i="3"/>
  <c r="K139" i="3"/>
  <c r="AP6" i="3"/>
  <c r="L6" i="3" s="1"/>
  <c r="AP372" i="3"/>
  <c r="L372" i="3" s="1"/>
  <c r="AP322" i="3"/>
  <c r="L322" i="3" s="1"/>
  <c r="AP362" i="3"/>
  <c r="L362" i="3" s="1"/>
  <c r="AP342" i="3"/>
  <c r="L342" i="3" s="1"/>
  <c r="AP312" i="3"/>
  <c r="L312" i="3" s="1"/>
  <c r="AP292" i="3"/>
  <c r="L292" i="3" s="1"/>
  <c r="AP352" i="3"/>
  <c r="L352" i="3" s="1"/>
  <c r="AP302" i="3"/>
  <c r="L302" i="3" s="1"/>
  <c r="AP7" i="3"/>
  <c r="L7" i="3" s="1"/>
  <c r="AP382" i="3"/>
  <c r="L382" i="3" s="1"/>
  <c r="AP373" i="3"/>
  <c r="L373" i="3" s="1"/>
  <c r="AP343" i="3"/>
  <c r="L343" i="3" s="1"/>
  <c r="AP332" i="3"/>
  <c r="L332" i="3" s="1"/>
  <c r="AP293" i="3"/>
  <c r="L293" i="3" s="1"/>
  <c r="AP323" i="3"/>
  <c r="L323" i="3" s="1"/>
  <c r="AP8" i="3"/>
  <c r="L8" i="3" s="1"/>
  <c r="AP383" i="3"/>
  <c r="L383" i="3" s="1"/>
  <c r="AP363" i="3"/>
  <c r="L363" i="3" s="1"/>
  <c r="AP313" i="3"/>
  <c r="L313" i="3" s="1"/>
  <c r="AP353" i="3"/>
  <c r="L353" i="3" s="1"/>
  <c r="AP333" i="3"/>
  <c r="L333" i="3" s="1"/>
  <c r="AP303" i="3"/>
  <c r="L303" i="3" s="1"/>
  <c r="AP9" i="3"/>
  <c r="L9" i="3" s="1"/>
  <c r="AP384" i="3"/>
  <c r="L384" i="3" s="1"/>
  <c r="AP324" i="3"/>
  <c r="L324" i="3" s="1"/>
  <c r="AP305" i="3"/>
  <c r="L305" i="3" s="1"/>
  <c r="AP354" i="3"/>
  <c r="L354" i="3" s="1"/>
  <c r="AP364" i="3"/>
  <c r="L364" i="3" s="1"/>
  <c r="AP294" i="3"/>
  <c r="L294" i="3" s="1"/>
  <c r="AP10" i="3"/>
  <c r="L10" i="3" s="1"/>
  <c r="AP374" i="3"/>
  <c r="L374" i="3" s="1"/>
  <c r="AP355" i="3"/>
  <c r="L355" i="3" s="1"/>
  <c r="AP335" i="3"/>
  <c r="L335" i="3" s="1"/>
  <c r="AP325" i="3"/>
  <c r="L325" i="3" s="1"/>
  <c r="AP315" i="3"/>
  <c r="L315" i="3" s="1"/>
  <c r="AP295" i="3"/>
  <c r="L295" i="3" s="1"/>
  <c r="AP285" i="3"/>
  <c r="L285" i="3" s="1"/>
  <c r="AP344" i="3"/>
  <c r="L344" i="3" s="1"/>
  <c r="AP11" i="3"/>
  <c r="L11" i="3" s="1"/>
  <c r="AP385" i="3"/>
  <c r="L385" i="3" s="1"/>
  <c r="AP375" i="3"/>
  <c r="L375" i="3" s="1"/>
  <c r="AP334" i="3"/>
  <c r="L334" i="3" s="1"/>
  <c r="AP304" i="3"/>
  <c r="L304" i="3" s="1"/>
  <c r="AP365" i="3"/>
  <c r="L365" i="3" s="1"/>
  <c r="AP345" i="3"/>
  <c r="L345" i="3" s="1"/>
  <c r="AP284" i="3"/>
  <c r="L284" i="3" s="1"/>
  <c r="AP314" i="3"/>
  <c r="L314" i="3" s="1"/>
  <c r="AP12" i="3"/>
  <c r="L12" i="3" s="1"/>
  <c r="AP386" i="3"/>
  <c r="L386" i="3" s="1"/>
  <c r="AP336" i="3"/>
  <c r="L336" i="3" s="1"/>
  <c r="AP316" i="3"/>
  <c r="L316" i="3" s="1"/>
  <c r="AP366" i="3"/>
  <c r="L366" i="3" s="1"/>
  <c r="AP286" i="3"/>
  <c r="L286" i="3" s="1"/>
  <c r="AP356" i="3"/>
  <c r="L356" i="3" s="1"/>
  <c r="AP306" i="3"/>
  <c r="L306" i="3" s="1"/>
  <c r="AP13" i="3"/>
  <c r="L13" i="3" s="1"/>
  <c r="AP376" i="3"/>
  <c r="L376" i="3" s="1"/>
  <c r="AP367" i="3"/>
  <c r="L367" i="3" s="1"/>
  <c r="AP326" i="3"/>
  <c r="L326" i="3" s="1"/>
  <c r="AP346" i="3"/>
  <c r="L346" i="3" s="1"/>
  <c r="AP296" i="3"/>
  <c r="L296" i="3" s="1"/>
  <c r="AP317" i="3"/>
  <c r="L317" i="3" s="1"/>
  <c r="AP14" i="3"/>
  <c r="L14" i="3" s="1"/>
  <c r="AP387" i="3"/>
  <c r="L387" i="3" s="1"/>
  <c r="AP377" i="3"/>
  <c r="L377" i="3" s="1"/>
  <c r="AP347" i="3"/>
  <c r="L347" i="3" s="1"/>
  <c r="AP297" i="3"/>
  <c r="L297" i="3" s="1"/>
  <c r="AP357" i="3"/>
  <c r="L357" i="3" s="1"/>
  <c r="AP337" i="3"/>
  <c r="L337" i="3" s="1"/>
  <c r="AP327" i="3"/>
  <c r="L327" i="3" s="1"/>
  <c r="AP307" i="3"/>
  <c r="L307" i="3" s="1"/>
  <c r="AP287" i="3"/>
  <c r="L287" i="3" s="1"/>
  <c r="AP388" i="3"/>
  <c r="L388" i="3" s="1"/>
  <c r="AP338" i="3"/>
  <c r="L338" i="3" s="1"/>
  <c r="AP358" i="3"/>
  <c r="L358" i="3" s="1"/>
  <c r="AP308" i="3"/>
  <c r="L308" i="3" s="1"/>
  <c r="AP288" i="3"/>
  <c r="L288" i="3" s="1"/>
  <c r="AP348" i="3"/>
  <c r="L348" i="3" s="1"/>
  <c r="AP298" i="3"/>
  <c r="L298" i="3" s="1"/>
  <c r="BB55" i="3"/>
  <c r="AP57" i="3"/>
  <c r="L57" i="3" s="1"/>
  <c r="AX57" i="3"/>
  <c r="BC57" i="3" s="1"/>
  <c r="BB58" i="3"/>
  <c r="AZ60" i="3"/>
  <c r="P61" i="3"/>
  <c r="AX61" i="3"/>
  <c r="BC61" i="3"/>
  <c r="BB62" i="3"/>
  <c r="AZ63" i="3"/>
  <c r="BB64" i="3"/>
  <c r="AZ67" i="3"/>
  <c r="AZ69" i="3"/>
  <c r="P74" i="3"/>
  <c r="AP78" i="3"/>
  <c r="L78" i="3" s="1"/>
  <c r="P82" i="3"/>
  <c r="P84" i="3"/>
  <c r="AP86" i="3"/>
  <c r="L86" i="3" s="1"/>
  <c r="AK90" i="3"/>
  <c r="AL91" i="3"/>
  <c r="Q91" i="3" s="1"/>
  <c r="AP95" i="3"/>
  <c r="L95" i="3" s="1"/>
  <c r="AK100" i="3"/>
  <c r="AP103" i="3"/>
  <c r="L103" i="3" s="1"/>
  <c r="AP104" i="3"/>
  <c r="L104" i="3" s="1"/>
  <c r="AP105" i="3"/>
  <c r="L105" i="3" s="1"/>
  <c r="AK108" i="3"/>
  <c r="AP109" i="3"/>
  <c r="L109" i="3" s="1"/>
  <c r="AL114" i="3"/>
  <c r="Q114" i="3" s="1"/>
  <c r="AP119" i="3"/>
  <c r="L119" i="3" s="1"/>
  <c r="AP123" i="3"/>
  <c r="L123" i="3" s="1"/>
  <c r="AP125" i="3"/>
  <c r="L125" i="3" s="1"/>
  <c r="AP128" i="3"/>
  <c r="L128" i="3" s="1"/>
  <c r="AL130" i="3"/>
  <c r="Q130" i="3" s="1"/>
  <c r="AK131" i="3"/>
  <c r="AP134" i="3"/>
  <c r="L134" i="3" s="1"/>
  <c r="AL138" i="3"/>
  <c r="Q138" i="3" s="1"/>
  <c r="AL200" i="3"/>
  <c r="Q200" i="3" s="1"/>
  <c r="AP202" i="3"/>
  <c r="L202" i="3" s="1"/>
  <c r="AP204" i="3"/>
  <c r="L204" i="3" s="1"/>
  <c r="AP206" i="3"/>
  <c r="L206" i="3" s="1"/>
  <c r="AP208" i="3"/>
  <c r="L208" i="3" s="1"/>
  <c r="AL210" i="3"/>
  <c r="Q210" i="3" s="1"/>
  <c r="AP212" i="3"/>
  <c r="L212" i="3" s="1"/>
  <c r="AP214" i="3"/>
  <c r="L214" i="3" s="1"/>
  <c r="AP216" i="3"/>
  <c r="L216" i="3" s="1"/>
  <c r="AL218" i="3"/>
  <c r="Q218" i="3" s="1"/>
  <c r="AL220" i="3"/>
  <c r="Q220" i="3" s="1"/>
  <c r="AP222" i="3"/>
  <c r="L222" i="3" s="1"/>
  <c r="AP224" i="3"/>
  <c r="L224" i="3" s="1"/>
  <c r="AP226" i="3"/>
  <c r="L226" i="3" s="1"/>
  <c r="AL228" i="3"/>
  <c r="Q228" i="3" s="1"/>
  <c r="AL230" i="3"/>
  <c r="Q230" i="3" s="1"/>
  <c r="AP232" i="3"/>
  <c r="L232" i="3" s="1"/>
  <c r="AP234" i="3"/>
  <c r="L234" i="3" s="1"/>
  <c r="AP236" i="3"/>
  <c r="L236" i="3" s="1"/>
  <c r="AP238" i="3"/>
  <c r="L238" i="3" s="1"/>
  <c r="AL240" i="3"/>
  <c r="Q240" i="3" s="1"/>
  <c r="AP242" i="3"/>
  <c r="L242" i="3" s="1"/>
  <c r="AP244" i="3"/>
  <c r="L244" i="3" s="1"/>
  <c r="AP246" i="3"/>
  <c r="L246" i="3" s="1"/>
  <c r="AP248" i="3"/>
  <c r="L248" i="3" s="1"/>
  <c r="AL250" i="3"/>
  <c r="Q250" i="3" s="1"/>
  <c r="AP252" i="3"/>
  <c r="L252" i="3" s="1"/>
  <c r="AP254" i="3"/>
  <c r="L254" i="3" s="1"/>
  <c r="AP256" i="3"/>
  <c r="L256" i="3" s="1"/>
  <c r="AP258" i="3"/>
  <c r="L258" i="3" s="1"/>
  <c r="AL260" i="3"/>
  <c r="Q260" i="3" s="1"/>
  <c r="AP262" i="3"/>
  <c r="L262" i="3" s="1"/>
  <c r="AP264" i="3"/>
  <c r="L264" i="3" s="1"/>
  <c r="AP266" i="3"/>
  <c r="L266" i="3" s="1"/>
  <c r="AL268" i="3"/>
  <c r="Q268" i="3" s="1"/>
  <c r="AL270" i="3"/>
  <c r="Q270" i="3" s="1"/>
  <c r="AP272" i="3"/>
  <c r="L272" i="3" s="1"/>
  <c r="AP274" i="3"/>
  <c r="L274" i="3" s="1"/>
  <c r="AP276" i="3"/>
  <c r="L276" i="3" s="1"/>
  <c r="AL278" i="3"/>
  <c r="Q278" i="3" s="1"/>
  <c r="AL280" i="3"/>
  <c r="Q280" i="3" s="1"/>
  <c r="AP282" i="3"/>
  <c r="L282" i="3" s="1"/>
  <c r="AJ288" i="3"/>
  <c r="O288" i="3" s="1"/>
  <c r="AJ292" i="3"/>
  <c r="O292" i="3" s="1"/>
  <c r="AJ296" i="3"/>
  <c r="O296" i="3" s="1"/>
  <c r="AJ300" i="3"/>
  <c r="O300" i="3" s="1"/>
  <c r="AJ304" i="3"/>
  <c r="O304" i="3" s="1"/>
  <c r="AJ308" i="3"/>
  <c r="O308" i="3" s="1"/>
  <c r="AJ312" i="3"/>
  <c r="O312" i="3" s="1"/>
  <c r="R16" i="4"/>
  <c r="AR10" i="4"/>
  <c r="U10" i="4" s="1"/>
  <c r="T10" i="4"/>
  <c r="T19" i="4"/>
  <c r="AR19" i="4"/>
  <c r="U19" i="4" s="1"/>
  <c r="AR4" i="4"/>
  <c r="U4" i="4" s="1"/>
  <c r="T4" i="4"/>
  <c r="AJ290" i="3"/>
  <c r="O290" i="3" s="1"/>
  <c r="AJ294" i="3"/>
  <c r="O294" i="3" s="1"/>
  <c r="AJ298" i="3"/>
  <c r="O298" i="3" s="1"/>
  <c r="AJ302" i="3"/>
  <c r="O302" i="3" s="1"/>
  <c r="AJ306" i="3"/>
  <c r="O306" i="3" s="1"/>
  <c r="AJ310" i="3"/>
  <c r="O310" i="3" s="1"/>
  <c r="AJ314" i="3"/>
  <c r="O314" i="3" s="1"/>
  <c r="T21" i="4"/>
  <c r="AR21" i="4"/>
  <c r="U21" i="4" s="1"/>
  <c r="BE101" i="4"/>
  <c r="BC101" i="4"/>
  <c r="BF101" i="4" s="1"/>
  <c r="AR7" i="4"/>
  <c r="U7" i="4" s="1"/>
  <c r="T7" i="4"/>
  <c r="P4" i="4"/>
  <c r="M5" i="4"/>
  <c r="R5" i="4"/>
  <c r="AT14" i="4"/>
  <c r="N14" i="4" s="1"/>
  <c r="AT10" i="4"/>
  <c r="N10" i="4" s="1"/>
  <c r="AQ6" i="4"/>
  <c r="BJ88" i="4"/>
  <c r="BE88" i="4"/>
  <c r="BC88" i="4"/>
  <c r="BK88" i="4" s="1"/>
  <c r="P7" i="4"/>
  <c r="AO496" i="4"/>
  <c r="AP459" i="4"/>
  <c r="S459" i="4" s="1"/>
  <c r="AO459" i="4"/>
  <c r="AP422" i="4"/>
  <c r="S422" i="4" s="1"/>
  <c r="AO422" i="4"/>
  <c r="AP385" i="4"/>
  <c r="S385" i="4" s="1"/>
  <c r="AO385" i="4"/>
  <c r="AP311" i="4"/>
  <c r="S311" i="4" s="1"/>
  <c r="AO237" i="4"/>
  <c r="AO204" i="4"/>
  <c r="AP237" i="4"/>
  <c r="S237" i="4" s="1"/>
  <c r="AP138" i="4"/>
  <c r="S138" i="4" s="1"/>
  <c r="AP204" i="4"/>
  <c r="S204" i="4" s="1"/>
  <c r="AO171" i="4"/>
  <c r="AO138" i="4"/>
  <c r="AO72" i="4"/>
  <c r="BL90" i="4"/>
  <c r="BN90" i="4" s="1"/>
  <c r="BC90" i="4"/>
  <c r="BH90" i="4" s="1"/>
  <c r="BK90" i="4"/>
  <c r="BG90" i="4"/>
  <c r="BF90" i="4"/>
  <c r="BI90" i="4"/>
  <c r="BE90" i="4"/>
  <c r="AO488" i="4"/>
  <c r="AP451" i="4"/>
  <c r="S451" i="4" s="1"/>
  <c r="AP414" i="4"/>
  <c r="S414" i="4" s="1"/>
  <c r="AO414" i="4"/>
  <c r="AP377" i="4"/>
  <c r="S377" i="4" s="1"/>
  <c r="AO377" i="4"/>
  <c r="AO340" i="4"/>
  <c r="AP303" i="4"/>
  <c r="S303" i="4" s="1"/>
  <c r="AO229" i="4"/>
  <c r="AP229" i="4"/>
  <c r="S229" i="4" s="1"/>
  <c r="AP196" i="4"/>
  <c r="S196" i="4" s="1"/>
  <c r="AP130" i="4"/>
  <c r="S130" i="4" s="1"/>
  <c r="AO196" i="4"/>
  <c r="AO97" i="4"/>
  <c r="AO130" i="4"/>
  <c r="AP97" i="4"/>
  <c r="S97" i="4" s="1"/>
  <c r="BH10" i="4"/>
  <c r="BB92" i="4" s="1"/>
  <c r="AO543" i="4"/>
  <c r="AP543" i="4"/>
  <c r="S543" i="4" s="1"/>
  <c r="AP506" i="4"/>
  <c r="S506" i="4" s="1"/>
  <c r="AO395" i="4"/>
  <c r="AP395" i="4"/>
  <c r="S395" i="4" s="1"/>
  <c r="AP358" i="4"/>
  <c r="S358" i="4" s="1"/>
  <c r="AO358" i="4"/>
  <c r="AP321" i="4"/>
  <c r="S321" i="4" s="1"/>
  <c r="AP247" i="4"/>
  <c r="S247" i="4" s="1"/>
  <c r="AO181" i="4"/>
  <c r="AO247" i="4"/>
  <c r="AO214" i="4"/>
  <c r="AP181" i="4"/>
  <c r="S181" i="4" s="1"/>
  <c r="AP148" i="4"/>
  <c r="S148" i="4" s="1"/>
  <c r="AO148" i="4"/>
  <c r="AP115" i="4"/>
  <c r="S115" i="4" s="1"/>
  <c r="AO115" i="4"/>
  <c r="AO82" i="4"/>
  <c r="M12" i="4"/>
  <c r="AT12" i="4"/>
  <c r="N12" i="4" s="1"/>
  <c r="BC95" i="4"/>
  <c r="BF95" i="4" s="1"/>
  <c r="AT17" i="4"/>
  <c r="N17" i="4" s="1"/>
  <c r="AT556" i="4"/>
  <c r="N556" i="4" s="1"/>
  <c r="AT519" i="4"/>
  <c r="N519" i="4" s="1"/>
  <c r="AT445" i="4"/>
  <c r="N445" i="4" s="1"/>
  <c r="AT371" i="4"/>
  <c r="N371" i="4" s="1"/>
  <c r="AT297" i="4"/>
  <c r="N297" i="4" s="1"/>
  <c r="M20" i="4"/>
  <c r="AP536" i="4"/>
  <c r="S536" i="4" s="1"/>
  <c r="AO536" i="4"/>
  <c r="AO425" i="4"/>
  <c r="AO314" i="4"/>
  <c r="AO351" i="4"/>
  <c r="AO277" i="4"/>
  <c r="AP277" i="4"/>
  <c r="S277" i="4" s="1"/>
  <c r="AP240" i="4"/>
  <c r="S240" i="4" s="1"/>
  <c r="AP207" i="4"/>
  <c r="S207" i="4" s="1"/>
  <c r="AO240" i="4"/>
  <c r="AO207" i="4"/>
  <c r="AP174" i="4"/>
  <c r="S174" i="4" s="1"/>
  <c r="AP108" i="4"/>
  <c r="S108" i="4" s="1"/>
  <c r="AP75" i="4"/>
  <c r="S75" i="4" s="1"/>
  <c r="AO75" i="4"/>
  <c r="BG21" i="4"/>
  <c r="AO141" i="4"/>
  <c r="BH102" i="4"/>
  <c r="BC102" i="4"/>
  <c r="BI102" i="4" s="1"/>
  <c r="BJ102" i="4"/>
  <c r="BF102" i="4"/>
  <c r="AN23" i="4"/>
  <c r="Q23" i="4" s="1"/>
  <c r="M23" i="4"/>
  <c r="R24" i="4"/>
  <c r="AR25" i="4"/>
  <c r="U25" i="4" s="1"/>
  <c r="T25" i="4"/>
  <c r="R26" i="4"/>
  <c r="AR27" i="4"/>
  <c r="U27" i="4" s="1"/>
  <c r="T27" i="4"/>
  <c r="R28" i="4"/>
  <c r="AR29" i="4"/>
  <c r="U29" i="4" s="1"/>
  <c r="T29" i="4"/>
  <c r="AU30" i="4"/>
  <c r="L30" i="4" s="1"/>
  <c r="AS30" i="4"/>
  <c r="AM30" i="4" s="1"/>
  <c r="AO30" i="4"/>
  <c r="AS31" i="4"/>
  <c r="AO31" i="4"/>
  <c r="AU31" i="4"/>
  <c r="L31" i="4" s="1"/>
  <c r="AU34" i="4"/>
  <c r="L34" i="4" s="1"/>
  <c r="AS34" i="4"/>
  <c r="AM34" i="4" s="1"/>
  <c r="AO34" i="4"/>
  <c r="AS35" i="4"/>
  <c r="AO35" i="4"/>
  <c r="AU35" i="4"/>
  <c r="L35" i="4" s="1"/>
  <c r="AU38" i="4"/>
  <c r="L38" i="4" s="1"/>
  <c r="AS38" i="4"/>
  <c r="AM38" i="4" s="1"/>
  <c r="AO38" i="4"/>
  <c r="AS39" i="4"/>
  <c r="AO39" i="4"/>
  <c r="AU39" i="4"/>
  <c r="L39" i="4" s="1"/>
  <c r="AU42" i="4"/>
  <c r="L42" i="4" s="1"/>
  <c r="AS42" i="4"/>
  <c r="AM42" i="4" s="1"/>
  <c r="AO42" i="4"/>
  <c r="AS43" i="4"/>
  <c r="AO43" i="4"/>
  <c r="AU43" i="4"/>
  <c r="L43" i="4" s="1"/>
  <c r="AU46" i="4"/>
  <c r="L46" i="4" s="1"/>
  <c r="AS46" i="4"/>
  <c r="AM46" i="4" s="1"/>
  <c r="AO46" i="4"/>
  <c r="AS47" i="4"/>
  <c r="AO47" i="4"/>
  <c r="AU47" i="4"/>
  <c r="L47" i="4" s="1"/>
  <c r="AU50" i="4"/>
  <c r="L50" i="4" s="1"/>
  <c r="AS50" i="4"/>
  <c r="AM50" i="4" s="1"/>
  <c r="AO50" i="4"/>
  <c r="AS51" i="4"/>
  <c r="AO51" i="4"/>
  <c r="AU51" i="4"/>
  <c r="L51" i="4" s="1"/>
  <c r="AU54" i="4"/>
  <c r="L54" i="4" s="1"/>
  <c r="AS54" i="4"/>
  <c r="AM54" i="4" s="1"/>
  <c r="AO54" i="4"/>
  <c r="AS55" i="4"/>
  <c r="AO55" i="4"/>
  <c r="AU55" i="4"/>
  <c r="L55" i="4" s="1"/>
  <c r="M57" i="4"/>
  <c r="AN57" i="4"/>
  <c r="Q57" i="4" s="1"/>
  <c r="AU58" i="4"/>
  <c r="L58" i="4" s="1"/>
  <c r="AT58" i="4"/>
  <c r="N58" i="4" s="1"/>
  <c r="AP58" i="4"/>
  <c r="S58" i="4" s="1"/>
  <c r="AS58" i="4"/>
  <c r="M58" i="4" s="1"/>
  <c r="AO58" i="4"/>
  <c r="AN62" i="4"/>
  <c r="Q62" i="4" s="1"/>
  <c r="AM62" i="4"/>
  <c r="R66" i="4"/>
  <c r="M79" i="4"/>
  <c r="AN79" i="4"/>
  <c r="Q79" i="4" s="1"/>
  <c r="AM79" i="4"/>
  <c r="M90" i="4"/>
  <c r="AN90" i="4"/>
  <c r="Q90" i="4" s="1"/>
  <c r="AM90" i="4"/>
  <c r="P150" i="4"/>
  <c r="AQ150" i="4"/>
  <c r="K389" i="3"/>
  <c r="K390" i="3"/>
  <c r="K391" i="3"/>
  <c r="AM5" i="4"/>
  <c r="BH5" i="4"/>
  <c r="BB87" i="4" s="1"/>
  <c r="AP524" i="4"/>
  <c r="S524" i="4" s="1"/>
  <c r="AO524" i="4"/>
  <c r="AO450" i="4"/>
  <c r="AP413" i="4"/>
  <c r="S413" i="4" s="1"/>
  <c r="AO413" i="4"/>
  <c r="AO339" i="4"/>
  <c r="AO376" i="4"/>
  <c r="AP339" i="4"/>
  <c r="S339" i="4" s="1"/>
  <c r="AO265" i="4"/>
  <c r="AO302" i="4"/>
  <c r="AP265" i="4"/>
  <c r="S265" i="4" s="1"/>
  <c r="AP228" i="4"/>
  <c r="S228" i="4" s="1"/>
  <c r="AO228" i="4"/>
  <c r="AP63" i="4"/>
  <c r="S63" i="4" s="1"/>
  <c r="AO63" i="4"/>
  <c r="AO129" i="4"/>
  <c r="R8" i="4"/>
  <c r="R10" i="4"/>
  <c r="BL93" i="4"/>
  <c r="BN93" i="4" s="1"/>
  <c r="BC93" i="4"/>
  <c r="BI93" i="4" s="1"/>
  <c r="BF93" i="4"/>
  <c r="AT543" i="4"/>
  <c r="N543" i="4" s="1"/>
  <c r="AT506" i="4"/>
  <c r="N506" i="4" s="1"/>
  <c r="AT395" i="4"/>
  <c r="N395" i="4" s="1"/>
  <c r="AT358" i="4"/>
  <c r="N358" i="4" s="1"/>
  <c r="AT321" i="4"/>
  <c r="N321" i="4" s="1"/>
  <c r="AT247" i="4"/>
  <c r="N247" i="4" s="1"/>
  <c r="AT181" i="4"/>
  <c r="N181" i="4" s="1"/>
  <c r="AT148" i="4"/>
  <c r="N148" i="4" s="1"/>
  <c r="AT115" i="4"/>
  <c r="N115" i="4" s="1"/>
  <c r="BH12" i="4"/>
  <c r="BB94" i="4" s="1"/>
  <c r="AP526" i="4"/>
  <c r="S526" i="4" s="1"/>
  <c r="AO526" i="4"/>
  <c r="AP489" i="4"/>
  <c r="S489" i="4" s="1"/>
  <c r="AO489" i="4"/>
  <c r="AO452" i="4"/>
  <c r="AP452" i="4"/>
  <c r="S452" i="4" s="1"/>
  <c r="AP415" i="4"/>
  <c r="S415" i="4" s="1"/>
  <c r="AO341" i="4"/>
  <c r="AO378" i="4"/>
  <c r="AP341" i="4"/>
  <c r="S341" i="4" s="1"/>
  <c r="AP304" i="4"/>
  <c r="S304" i="4" s="1"/>
  <c r="AO304" i="4"/>
  <c r="AO267" i="4"/>
  <c r="AP230" i="4"/>
  <c r="S230" i="4" s="1"/>
  <c r="AO230" i="4"/>
  <c r="AP267" i="4"/>
  <c r="S267" i="4" s="1"/>
  <c r="AP164" i="4"/>
  <c r="S164" i="4" s="1"/>
  <c r="AP197" i="4"/>
  <c r="S197" i="4" s="1"/>
  <c r="AP65" i="4"/>
  <c r="S65" i="4" s="1"/>
  <c r="AO131" i="4"/>
  <c r="AO65" i="4"/>
  <c r="BH14" i="4"/>
  <c r="BB96" i="4" s="1"/>
  <c r="AK15" i="4"/>
  <c r="AP544" i="4"/>
  <c r="S544" i="4" s="1"/>
  <c r="AO544" i="4"/>
  <c r="AO470" i="4"/>
  <c r="AO322" i="4"/>
  <c r="AO359" i="4"/>
  <c r="AO285" i="4"/>
  <c r="AP248" i="4"/>
  <c r="S248" i="4" s="1"/>
  <c r="AP215" i="4"/>
  <c r="S215" i="4" s="1"/>
  <c r="AO248" i="4"/>
  <c r="AO215" i="4"/>
  <c r="AP285" i="4"/>
  <c r="S285" i="4" s="1"/>
  <c r="AP182" i="4"/>
  <c r="S182" i="4" s="1"/>
  <c r="AP83" i="4"/>
  <c r="S83" i="4" s="1"/>
  <c r="AP116" i="4"/>
  <c r="S116" i="4" s="1"/>
  <c r="AO149" i="4"/>
  <c r="AO116" i="4"/>
  <c r="M16" i="4"/>
  <c r="AT16" i="4"/>
  <c r="N16" i="4" s="1"/>
  <c r="M18" i="4"/>
  <c r="AP446" i="4"/>
  <c r="S446" i="4" s="1"/>
  <c r="AP409" i="4"/>
  <c r="S409" i="4" s="1"/>
  <c r="AP372" i="4"/>
  <c r="S372" i="4" s="1"/>
  <c r="AO298" i="4"/>
  <c r="AO261" i="4"/>
  <c r="AP192" i="4"/>
  <c r="S192" i="4" s="1"/>
  <c r="AO192" i="4"/>
  <c r="AO159" i="4"/>
  <c r="AO126" i="4"/>
  <c r="AP60" i="4"/>
  <c r="S60" i="4" s="1"/>
  <c r="AO60" i="4"/>
  <c r="BG19" i="4"/>
  <c r="AP126" i="4"/>
  <c r="S126" i="4" s="1"/>
  <c r="BH20" i="4"/>
  <c r="BB100" i="4" s="1"/>
  <c r="AK21" i="4"/>
  <c r="R21" i="4"/>
  <c r="AR22" i="4"/>
  <c r="U22" i="4" s="1"/>
  <c r="T22" i="4"/>
  <c r="R117" i="4"/>
  <c r="R23" i="4"/>
  <c r="BH23" i="4"/>
  <c r="AN25" i="4"/>
  <c r="Q25" i="4" s="1"/>
  <c r="M25" i="4"/>
  <c r="BH25" i="4"/>
  <c r="R67" i="4"/>
  <c r="AN27" i="4"/>
  <c r="Q27" i="4" s="1"/>
  <c r="M27" i="4"/>
  <c r="BH27" i="4"/>
  <c r="AQ28" i="4"/>
  <c r="R151" i="4"/>
  <c r="AN29" i="4"/>
  <c r="Q29" i="4" s="1"/>
  <c r="M29" i="4"/>
  <c r="BH29" i="4"/>
  <c r="AP30" i="4"/>
  <c r="S30" i="4" s="1"/>
  <c r="R110" i="4"/>
  <c r="AP31" i="4"/>
  <c r="S31" i="4" s="1"/>
  <c r="BH33" i="4"/>
  <c r="AP34" i="4"/>
  <c r="S34" i="4" s="1"/>
  <c r="AP35" i="4"/>
  <c r="S35" i="4" s="1"/>
  <c r="BH37" i="4"/>
  <c r="AP38" i="4"/>
  <c r="S38" i="4" s="1"/>
  <c r="R145" i="4"/>
  <c r="AP39" i="4"/>
  <c r="S39" i="4" s="1"/>
  <c r="R154" i="4"/>
  <c r="BH41" i="4"/>
  <c r="AP42" i="4"/>
  <c r="S42" i="4" s="1"/>
  <c r="AP43" i="4"/>
  <c r="S43" i="4" s="1"/>
  <c r="BH45" i="4"/>
  <c r="AP46" i="4"/>
  <c r="S46" i="4" s="1"/>
  <c r="AP47" i="4"/>
  <c r="S47" i="4" s="1"/>
  <c r="AT49" i="4"/>
  <c r="N49" i="4" s="1"/>
  <c r="BH49" i="4"/>
  <c r="AP50" i="4"/>
  <c r="S50" i="4" s="1"/>
  <c r="AP51" i="4"/>
  <c r="S51" i="4" s="1"/>
  <c r="BH53" i="4"/>
  <c r="AP54" i="4"/>
  <c r="S54" i="4" s="1"/>
  <c r="AP55" i="4"/>
  <c r="S55" i="4" s="1"/>
  <c r="AU56" i="4"/>
  <c r="L56" i="4" s="1"/>
  <c r="AT56" i="4"/>
  <c r="N56" i="4" s="1"/>
  <c r="AP56" i="4"/>
  <c r="S56" i="4" s="1"/>
  <c r="AS56" i="4"/>
  <c r="AM56" i="4" s="1"/>
  <c r="AO56" i="4"/>
  <c r="AU61" i="4"/>
  <c r="L61" i="4" s="1"/>
  <c r="AT61" i="4"/>
  <c r="N61" i="4" s="1"/>
  <c r="AP61" i="4"/>
  <c r="S61" i="4" s="1"/>
  <c r="AS61" i="4"/>
  <c r="AM61" i="4" s="1"/>
  <c r="AO61" i="4"/>
  <c r="AN66" i="4"/>
  <c r="Q66" i="4" s="1"/>
  <c r="M66" i="4"/>
  <c r="AQ67" i="4"/>
  <c r="M81" i="4"/>
  <c r="AN81" i="4"/>
  <c r="Q81" i="4" s="1"/>
  <c r="AM81" i="4"/>
  <c r="M83" i="4"/>
  <c r="AN83" i="4"/>
  <c r="Q83" i="4" s="1"/>
  <c r="AM83" i="4"/>
  <c r="M85" i="4"/>
  <c r="AN85" i="4"/>
  <c r="Q85" i="4" s="1"/>
  <c r="AM85" i="4"/>
  <c r="M87" i="4"/>
  <c r="AN87" i="4"/>
  <c r="Q87" i="4" s="1"/>
  <c r="AM87" i="4"/>
  <c r="M104" i="4"/>
  <c r="AN104" i="4"/>
  <c r="Q104" i="4" s="1"/>
  <c r="AM104" i="4"/>
  <c r="M108" i="4"/>
  <c r="AN108" i="4"/>
  <c r="Q108" i="4" s="1"/>
  <c r="AM108" i="4"/>
  <c r="AR115" i="4"/>
  <c r="U115" i="4" s="1"/>
  <c r="T115" i="4"/>
  <c r="R4" i="4"/>
  <c r="AT4" i="4"/>
  <c r="N4" i="4" s="1"/>
  <c r="AO17" i="4"/>
  <c r="AP14" i="4"/>
  <c r="S14" i="4" s="1"/>
  <c r="AO13" i="4"/>
  <c r="AP10" i="4"/>
  <c r="S10" i="4" s="1"/>
  <c r="AO9" i="4"/>
  <c r="AO6" i="4"/>
  <c r="R7" i="4"/>
  <c r="AP7" i="4"/>
  <c r="S7" i="4" s="1"/>
  <c r="AT7" i="4"/>
  <c r="N7" i="4" s="1"/>
  <c r="BG7" i="4"/>
  <c r="AT459" i="4"/>
  <c r="N459" i="4" s="1"/>
  <c r="AT422" i="4"/>
  <c r="N422" i="4" s="1"/>
  <c r="AT385" i="4"/>
  <c r="N385" i="4" s="1"/>
  <c r="AT237" i="4"/>
  <c r="N237" i="4" s="1"/>
  <c r="AT204" i="4"/>
  <c r="N204" i="4" s="1"/>
  <c r="AT138" i="4"/>
  <c r="N138" i="4" s="1"/>
  <c r="AT542" i="4"/>
  <c r="N542" i="4" s="1"/>
  <c r="AT505" i="4"/>
  <c r="N505" i="4" s="1"/>
  <c r="AT468" i="4"/>
  <c r="N468" i="4" s="1"/>
  <c r="AT431" i="4"/>
  <c r="N431" i="4" s="1"/>
  <c r="AT320" i="4"/>
  <c r="N320" i="4" s="1"/>
  <c r="AT283" i="4"/>
  <c r="N283" i="4" s="1"/>
  <c r="AT246" i="4"/>
  <c r="N246" i="4" s="1"/>
  <c r="AT180" i="4"/>
  <c r="N180" i="4" s="1"/>
  <c r="AT81" i="4"/>
  <c r="N81" i="4" s="1"/>
  <c r="AP9" i="4"/>
  <c r="S9" i="4" s="1"/>
  <c r="AT9" i="4"/>
  <c r="N9" i="4" s="1"/>
  <c r="BG9" i="4"/>
  <c r="AT451" i="4"/>
  <c r="N451" i="4" s="1"/>
  <c r="AT414" i="4"/>
  <c r="N414" i="4" s="1"/>
  <c r="AT377" i="4"/>
  <c r="N377" i="4" s="1"/>
  <c r="AT229" i="4"/>
  <c r="N229" i="4" s="1"/>
  <c r="AT196" i="4"/>
  <c r="N196" i="4" s="1"/>
  <c r="AT130" i="4"/>
  <c r="N130" i="4" s="1"/>
  <c r="AT97" i="4"/>
  <c r="N97" i="4" s="1"/>
  <c r="P10" i="4"/>
  <c r="AO534" i="4"/>
  <c r="AP534" i="4"/>
  <c r="S534" i="4" s="1"/>
  <c r="AO497" i="4"/>
  <c r="AP497" i="4"/>
  <c r="S497" i="4" s="1"/>
  <c r="AP460" i="4"/>
  <c r="S460" i="4" s="1"/>
  <c r="AO386" i="4"/>
  <c r="AO349" i="4"/>
  <c r="AP349" i="4"/>
  <c r="S349" i="4" s="1"/>
  <c r="AP312" i="4"/>
  <c r="S312" i="4" s="1"/>
  <c r="AO312" i="4"/>
  <c r="AO275" i="4"/>
  <c r="AP238" i="4"/>
  <c r="S238" i="4" s="1"/>
  <c r="AO238" i="4"/>
  <c r="AP275" i="4"/>
  <c r="S275" i="4" s="1"/>
  <c r="AP172" i="4"/>
  <c r="S172" i="4" s="1"/>
  <c r="AP205" i="4"/>
  <c r="S205" i="4" s="1"/>
  <c r="AO172" i="4"/>
  <c r="AP73" i="4"/>
  <c r="S73" i="4" s="1"/>
  <c r="AO139" i="4"/>
  <c r="AO73" i="4"/>
  <c r="BG10" i="4"/>
  <c r="AO106" i="4"/>
  <c r="M11" i="4"/>
  <c r="AO11" i="4"/>
  <c r="AT11" i="4"/>
  <c r="N11" i="4" s="1"/>
  <c r="BG11" i="4"/>
  <c r="AQ12" i="4"/>
  <c r="AO14" i="4"/>
  <c r="BC97" i="4"/>
  <c r="BJ97" i="4" s="1"/>
  <c r="AT544" i="4"/>
  <c r="N544" i="4" s="1"/>
  <c r="AT285" i="4"/>
  <c r="N285" i="4" s="1"/>
  <c r="AT215" i="4"/>
  <c r="N215" i="4" s="1"/>
  <c r="AT248" i="4"/>
  <c r="N248" i="4" s="1"/>
  <c r="AT182" i="4"/>
  <c r="N182" i="4" s="1"/>
  <c r="AT83" i="4"/>
  <c r="N83" i="4" s="1"/>
  <c r="AT116" i="4"/>
  <c r="N116" i="4" s="1"/>
  <c r="AP16" i="4"/>
  <c r="S16" i="4" s="1"/>
  <c r="BH16" i="4"/>
  <c r="BH18" i="4"/>
  <c r="BB98" i="4" s="1"/>
  <c r="AK19" i="4"/>
  <c r="R19" i="4"/>
  <c r="AQ20" i="4"/>
  <c r="P21" i="4"/>
  <c r="AQ24" i="4"/>
  <c r="AK25" i="4"/>
  <c r="R25" i="4"/>
  <c r="AQ26" i="4"/>
  <c r="AK27" i="4"/>
  <c r="R27" i="4"/>
  <c r="AN28" i="4"/>
  <c r="Q28" i="4" s="1"/>
  <c r="M28" i="4"/>
  <c r="AK29" i="4"/>
  <c r="R29" i="4"/>
  <c r="AU32" i="4"/>
  <c r="L32" i="4" s="1"/>
  <c r="AS32" i="4"/>
  <c r="AO32" i="4"/>
  <c r="BH32" i="4"/>
  <c r="AS33" i="4"/>
  <c r="AM33" i="4" s="1"/>
  <c r="AO33" i="4"/>
  <c r="AU33" i="4"/>
  <c r="L33" i="4" s="1"/>
  <c r="AU36" i="4"/>
  <c r="L36" i="4" s="1"/>
  <c r="AS36" i="4"/>
  <c r="AO36" i="4"/>
  <c r="BH36" i="4"/>
  <c r="AS37" i="4"/>
  <c r="AO37" i="4"/>
  <c r="AU37" i="4"/>
  <c r="L37" i="4" s="1"/>
  <c r="AU40" i="4"/>
  <c r="L40" i="4" s="1"/>
  <c r="AS40" i="4"/>
  <c r="AM40" i="4" s="1"/>
  <c r="AO40" i="4"/>
  <c r="BH40" i="4"/>
  <c r="AS41" i="4"/>
  <c r="AO41" i="4"/>
  <c r="AU41" i="4"/>
  <c r="L41" i="4" s="1"/>
  <c r="AU44" i="4"/>
  <c r="L44" i="4" s="1"/>
  <c r="AS44" i="4"/>
  <c r="AM44" i="4" s="1"/>
  <c r="AO44" i="4"/>
  <c r="BH44" i="4"/>
  <c r="AS45" i="4"/>
  <c r="AO45" i="4"/>
  <c r="AU45" i="4"/>
  <c r="L45" i="4" s="1"/>
  <c r="AM45" i="4"/>
  <c r="AU48" i="4"/>
  <c r="L48" i="4" s="1"/>
  <c r="AS48" i="4"/>
  <c r="AO48" i="4"/>
  <c r="BH48" i="4"/>
  <c r="AS49" i="4"/>
  <c r="AM49" i="4" s="1"/>
  <c r="AO49" i="4"/>
  <c r="AU49" i="4"/>
  <c r="L49" i="4" s="1"/>
  <c r="AU52" i="4"/>
  <c r="L52" i="4" s="1"/>
  <c r="AS52" i="4"/>
  <c r="AO52" i="4"/>
  <c r="BH52" i="4"/>
  <c r="AS53" i="4"/>
  <c r="AO53" i="4"/>
  <c r="AU53" i="4"/>
  <c r="L53" i="4" s="1"/>
  <c r="BJ57" i="4"/>
  <c r="BH57" i="4"/>
  <c r="AN58" i="4"/>
  <c r="Q58" i="4" s="1"/>
  <c r="AO64" i="4"/>
  <c r="M94" i="4"/>
  <c r="AN94" i="4"/>
  <c r="Q94" i="4" s="1"/>
  <c r="AM94" i="4"/>
  <c r="AT524" i="4"/>
  <c r="N524" i="4" s="1"/>
  <c r="AT413" i="4"/>
  <c r="N413" i="4" s="1"/>
  <c r="AT339" i="4"/>
  <c r="N339" i="4" s="1"/>
  <c r="AT265" i="4"/>
  <c r="N265" i="4" s="1"/>
  <c r="AT228" i="4"/>
  <c r="N228" i="4" s="1"/>
  <c r="AT63" i="4"/>
  <c r="N63" i="4" s="1"/>
  <c r="BE89" i="4"/>
  <c r="BL89" i="4"/>
  <c r="BN89" i="4" s="1"/>
  <c r="BC89" i="4"/>
  <c r="BI89" i="4" s="1"/>
  <c r="BK89" i="4"/>
  <c r="BG89" i="4"/>
  <c r="BF89" i="4"/>
  <c r="BC91" i="4"/>
  <c r="BF91" i="4" s="1"/>
  <c r="AT551" i="4"/>
  <c r="N551" i="4" s="1"/>
  <c r="AT514" i="4"/>
  <c r="N514" i="4" s="1"/>
  <c r="AT403" i="4"/>
  <c r="N403" i="4" s="1"/>
  <c r="AT329" i="4"/>
  <c r="N329" i="4" s="1"/>
  <c r="AT366" i="4"/>
  <c r="N366" i="4" s="1"/>
  <c r="AT292" i="4"/>
  <c r="N292" i="4" s="1"/>
  <c r="AT526" i="4"/>
  <c r="N526" i="4" s="1"/>
  <c r="AT489" i="4"/>
  <c r="N489" i="4" s="1"/>
  <c r="AT452" i="4"/>
  <c r="N452" i="4" s="1"/>
  <c r="AT415" i="4"/>
  <c r="N415" i="4" s="1"/>
  <c r="AT341" i="4"/>
  <c r="N341" i="4" s="1"/>
  <c r="AT304" i="4"/>
  <c r="N304" i="4" s="1"/>
  <c r="AT267" i="4"/>
  <c r="N267" i="4" s="1"/>
  <c r="AT230" i="4"/>
  <c r="N230" i="4" s="1"/>
  <c r="AT65" i="4"/>
  <c r="N65" i="4" s="1"/>
  <c r="AP498" i="4"/>
  <c r="S498" i="4" s="1"/>
  <c r="AO461" i="4"/>
  <c r="AP387" i="4"/>
  <c r="S387" i="4" s="1"/>
  <c r="AO387" i="4"/>
  <c r="AP313" i="4"/>
  <c r="S313" i="4" s="1"/>
  <c r="AP239" i="4"/>
  <c r="S239" i="4" s="1"/>
  <c r="AO173" i="4"/>
  <c r="AO206" i="4"/>
  <c r="AP173" i="4"/>
  <c r="S173" i="4" s="1"/>
  <c r="AP140" i="4"/>
  <c r="S140" i="4" s="1"/>
  <c r="AO140" i="4"/>
  <c r="AO107" i="4"/>
  <c r="BG14" i="4"/>
  <c r="AP107" i="4"/>
  <c r="S107" i="4" s="1"/>
  <c r="AO74" i="4"/>
  <c r="AT15" i="4"/>
  <c r="N15" i="4" s="1"/>
  <c r="AR16" i="4"/>
  <c r="U16" i="4" s="1"/>
  <c r="T16" i="4"/>
  <c r="AR18" i="4"/>
  <c r="T18" i="4"/>
  <c r="BG99" i="4"/>
  <c r="BE99" i="4"/>
  <c r="BC99" i="4"/>
  <c r="BF99" i="4" s="1"/>
  <c r="AT490" i="4"/>
  <c r="N490" i="4" s="1"/>
  <c r="AT379" i="4"/>
  <c r="N379" i="4" s="1"/>
  <c r="AT305" i="4"/>
  <c r="N305" i="4" s="1"/>
  <c r="AT165" i="4"/>
  <c r="N165" i="4" s="1"/>
  <c r="AT132" i="4"/>
  <c r="N132" i="4" s="1"/>
  <c r="AT99" i="4"/>
  <c r="N99" i="4" s="1"/>
  <c r="AR23" i="4"/>
  <c r="U23" i="4" s="1"/>
  <c r="T23" i="4"/>
  <c r="AN24" i="4"/>
  <c r="Q24" i="4" s="1"/>
  <c r="M24" i="4"/>
  <c r="AN26" i="4"/>
  <c r="Q26" i="4" s="1"/>
  <c r="M26" i="4"/>
  <c r="R142" i="4"/>
  <c r="R134" i="4"/>
  <c r="AT30" i="4"/>
  <c r="N30" i="4" s="1"/>
  <c r="AT31" i="4"/>
  <c r="N31" i="4" s="1"/>
  <c r="AP32" i="4"/>
  <c r="S32" i="4" s="1"/>
  <c r="AT39" i="4"/>
  <c r="N39" i="4" s="1"/>
  <c r="AP40" i="4"/>
  <c r="S40" i="4" s="1"/>
  <c r="R124" i="4"/>
  <c r="AP41" i="4"/>
  <c r="S41" i="4" s="1"/>
  <c r="R71" i="4"/>
  <c r="R92" i="4"/>
  <c r="AP49" i="4"/>
  <c r="S49" i="4" s="1"/>
  <c r="AT50" i="4"/>
  <c r="N50" i="4" s="1"/>
  <c r="M59" i="4"/>
  <c r="AN59" i="4"/>
  <c r="Q59" i="4" s="1"/>
  <c r="AN64" i="4"/>
  <c r="Q64" i="4" s="1"/>
  <c r="M64" i="4"/>
  <c r="P130" i="4"/>
  <c r="AQ130" i="4"/>
  <c r="P134" i="4"/>
  <c r="AQ134" i="4"/>
  <c r="P138" i="4"/>
  <c r="AQ138" i="4"/>
  <c r="P142" i="4"/>
  <c r="AQ142" i="4"/>
  <c r="P146" i="4"/>
  <c r="AQ146" i="4"/>
  <c r="AQ69" i="4"/>
  <c r="AQ71" i="4"/>
  <c r="AQ73" i="4"/>
  <c r="AQ75" i="4"/>
  <c r="AO76" i="4"/>
  <c r="AO78" i="4"/>
  <c r="AO84" i="4"/>
  <c r="AO86" i="4"/>
  <c r="AP88" i="4"/>
  <c r="S88" i="4" s="1"/>
  <c r="AP91" i="4"/>
  <c r="S91" i="4" s="1"/>
  <c r="AP95" i="4"/>
  <c r="S95" i="4" s="1"/>
  <c r="AP101" i="4"/>
  <c r="S101" i="4" s="1"/>
  <c r="AP103" i="4"/>
  <c r="S103" i="4" s="1"/>
  <c r="AP111" i="4"/>
  <c r="S111" i="4" s="1"/>
  <c r="AT112" i="4"/>
  <c r="N112" i="4" s="1"/>
  <c r="AS118" i="4"/>
  <c r="M118" i="4" s="1"/>
  <c r="AO118" i="4"/>
  <c r="AP122" i="4"/>
  <c r="S122" i="4" s="1"/>
  <c r="AO123" i="4"/>
  <c r="AT129" i="4"/>
  <c r="N129" i="4" s="1"/>
  <c r="M131" i="4"/>
  <c r="AN131" i="4"/>
  <c r="Q131" i="4" s="1"/>
  <c r="AQ132" i="4"/>
  <c r="AO133" i="4"/>
  <c r="AT133" i="4"/>
  <c r="N133" i="4" s="1"/>
  <c r="M135" i="4"/>
  <c r="AN135" i="4"/>
  <c r="Q135" i="4" s="1"/>
  <c r="AQ136" i="4"/>
  <c r="AO137" i="4"/>
  <c r="AT137" i="4"/>
  <c r="N137" i="4" s="1"/>
  <c r="M139" i="4"/>
  <c r="AN139" i="4"/>
  <c r="Q139" i="4" s="1"/>
  <c r="AQ140" i="4"/>
  <c r="AT141" i="4"/>
  <c r="N141" i="4" s="1"/>
  <c r="M143" i="4"/>
  <c r="AN143" i="4"/>
  <c r="Q143" i="4" s="1"/>
  <c r="AQ144" i="4"/>
  <c r="AT145" i="4"/>
  <c r="N145" i="4" s="1"/>
  <c r="M147" i="4"/>
  <c r="AN147" i="4"/>
  <c r="Q147" i="4" s="1"/>
  <c r="AT149" i="4"/>
  <c r="N149" i="4" s="1"/>
  <c r="M151" i="4"/>
  <c r="AN151" i="4"/>
  <c r="Q151" i="4" s="1"/>
  <c r="AO152" i="4"/>
  <c r="AT153" i="4"/>
  <c r="N153" i="4" s="1"/>
  <c r="AO156" i="4"/>
  <c r="AP542" i="4"/>
  <c r="S542" i="4" s="1"/>
  <c r="AO542" i="4"/>
  <c r="AO505" i="4"/>
  <c r="AP505" i="4"/>
  <c r="S505" i="4" s="1"/>
  <c r="AP468" i="4"/>
  <c r="S468" i="4" s="1"/>
  <c r="AP431" i="4"/>
  <c r="S431" i="4" s="1"/>
  <c r="AO357" i="4"/>
  <c r="AP320" i="4"/>
  <c r="S320" i="4" s="1"/>
  <c r="AO320" i="4"/>
  <c r="AO283" i="4"/>
  <c r="AP246" i="4"/>
  <c r="S246" i="4" s="1"/>
  <c r="AO246" i="4"/>
  <c r="AP213" i="4"/>
  <c r="S213" i="4" s="1"/>
  <c r="AP283" i="4"/>
  <c r="S283" i="4" s="1"/>
  <c r="AP180" i="4"/>
  <c r="S180" i="4" s="1"/>
  <c r="AO180" i="4"/>
  <c r="AT534" i="4"/>
  <c r="N534" i="4" s="1"/>
  <c r="AT497" i="4"/>
  <c r="N497" i="4" s="1"/>
  <c r="AT460" i="4"/>
  <c r="N460" i="4" s="1"/>
  <c r="AT423" i="4"/>
  <c r="N423" i="4" s="1"/>
  <c r="AT349" i="4"/>
  <c r="N349" i="4" s="1"/>
  <c r="AT312" i="4"/>
  <c r="N312" i="4" s="1"/>
  <c r="AT275" i="4"/>
  <c r="N275" i="4" s="1"/>
  <c r="AT205" i="4"/>
  <c r="N205" i="4" s="1"/>
  <c r="AT238" i="4"/>
  <c r="N238" i="4" s="1"/>
  <c r="AT172" i="4"/>
  <c r="N172" i="4" s="1"/>
  <c r="AO551" i="4"/>
  <c r="AP551" i="4"/>
  <c r="S551" i="4" s="1"/>
  <c r="AP514" i="4"/>
  <c r="S514" i="4" s="1"/>
  <c r="AO403" i="4"/>
  <c r="AP403" i="4"/>
  <c r="S403" i="4" s="1"/>
  <c r="AP366" i="4"/>
  <c r="S366" i="4" s="1"/>
  <c r="AP329" i="4"/>
  <c r="S329" i="4" s="1"/>
  <c r="AO366" i="4"/>
  <c r="AO255" i="4"/>
  <c r="AT498" i="4"/>
  <c r="N498" i="4" s="1"/>
  <c r="AT387" i="4"/>
  <c r="N387" i="4" s="1"/>
  <c r="AT313" i="4"/>
  <c r="N313" i="4" s="1"/>
  <c r="AT173" i="4"/>
  <c r="N173" i="4" s="1"/>
  <c r="AT140" i="4"/>
  <c r="N140" i="4" s="1"/>
  <c r="AP556" i="4"/>
  <c r="S556" i="4" s="1"/>
  <c r="AO556" i="4"/>
  <c r="AP519" i="4"/>
  <c r="S519" i="4" s="1"/>
  <c r="AO482" i="4"/>
  <c r="AO445" i="4"/>
  <c r="AP445" i="4"/>
  <c r="S445" i="4" s="1"/>
  <c r="AO408" i="4"/>
  <c r="AP371" i="4"/>
  <c r="S371" i="4" s="1"/>
  <c r="AO334" i="4"/>
  <c r="AO371" i="4"/>
  <c r="AP297" i="4"/>
  <c r="S297" i="4" s="1"/>
  <c r="AO297" i="4"/>
  <c r="AO260" i="4"/>
  <c r="AT446" i="4"/>
  <c r="N446" i="4" s="1"/>
  <c r="AT372" i="4"/>
  <c r="N372" i="4" s="1"/>
  <c r="AT192" i="4"/>
  <c r="N192" i="4" s="1"/>
  <c r="AT126" i="4"/>
  <c r="N126" i="4" s="1"/>
  <c r="AP490" i="4"/>
  <c r="S490" i="4" s="1"/>
  <c r="AP379" i="4"/>
  <c r="S379" i="4" s="1"/>
  <c r="AO379" i="4"/>
  <c r="AO342" i="4"/>
  <c r="AP231" i="4"/>
  <c r="S231" i="4" s="1"/>
  <c r="AO198" i="4"/>
  <c r="AP165" i="4"/>
  <c r="S165" i="4" s="1"/>
  <c r="AO165" i="4"/>
  <c r="AP132" i="4"/>
  <c r="S132" i="4" s="1"/>
  <c r="AT536" i="4"/>
  <c r="N536" i="4" s="1"/>
  <c r="AT277" i="4"/>
  <c r="N277" i="4" s="1"/>
  <c r="AT240" i="4"/>
  <c r="N240" i="4" s="1"/>
  <c r="AT207" i="4"/>
  <c r="N207" i="4" s="1"/>
  <c r="AT174" i="4"/>
  <c r="N174" i="4" s="1"/>
  <c r="AP545" i="4"/>
  <c r="S545" i="4" s="1"/>
  <c r="AO545" i="4"/>
  <c r="AO508" i="4"/>
  <c r="AP471" i="4"/>
  <c r="S471" i="4" s="1"/>
  <c r="AO471" i="4"/>
  <c r="AO434" i="4"/>
  <c r="AP434" i="4"/>
  <c r="S434" i="4" s="1"/>
  <c r="AO397" i="4"/>
  <c r="AP397" i="4"/>
  <c r="S397" i="4" s="1"/>
  <c r="AP360" i="4"/>
  <c r="S360" i="4" s="1"/>
  <c r="AO360" i="4"/>
  <c r="AP249" i="4"/>
  <c r="S249" i="4" s="1"/>
  <c r="AP216" i="4"/>
  <c r="S216" i="4" s="1"/>
  <c r="AO249" i="4"/>
  <c r="AO216" i="4"/>
  <c r="AO183" i="4"/>
  <c r="AP150" i="4"/>
  <c r="S150" i="4" s="1"/>
  <c r="AT558" i="4"/>
  <c r="N558" i="4" s="1"/>
  <c r="AT484" i="4"/>
  <c r="N484" i="4" s="1"/>
  <c r="AT410" i="4"/>
  <c r="N410" i="4" s="1"/>
  <c r="AT336" i="4"/>
  <c r="N336" i="4" s="1"/>
  <c r="AT193" i="4"/>
  <c r="N193" i="4" s="1"/>
  <c r="AT160" i="4"/>
  <c r="N160" i="4" s="1"/>
  <c r="AT559" i="4"/>
  <c r="N559" i="4" s="1"/>
  <c r="AT485" i="4"/>
  <c r="N485" i="4" s="1"/>
  <c r="AT411" i="4"/>
  <c r="N411" i="4" s="1"/>
  <c r="AT337" i="4"/>
  <c r="N337" i="4" s="1"/>
  <c r="AT374" i="4"/>
  <c r="N374" i="4" s="1"/>
  <c r="AT300" i="4"/>
  <c r="N300" i="4" s="1"/>
  <c r="AT128" i="4"/>
  <c r="N128" i="4" s="1"/>
  <c r="AT194" i="4"/>
  <c r="N194" i="4" s="1"/>
  <c r="BG26" i="4"/>
  <c r="AT528" i="4"/>
  <c r="N528" i="4" s="1"/>
  <c r="AT417" i="4"/>
  <c r="N417" i="4" s="1"/>
  <c r="AT343" i="4"/>
  <c r="N343" i="4" s="1"/>
  <c r="AT269" i="4"/>
  <c r="N269" i="4" s="1"/>
  <c r="AT232" i="4"/>
  <c r="N232" i="4" s="1"/>
  <c r="AT166" i="4"/>
  <c r="N166" i="4" s="1"/>
  <c r="BG27" i="4"/>
  <c r="AT463" i="4"/>
  <c r="N463" i="4" s="1"/>
  <c r="AT426" i="4"/>
  <c r="N426" i="4" s="1"/>
  <c r="AT389" i="4"/>
  <c r="N389" i="4" s="1"/>
  <c r="AT352" i="4"/>
  <c r="N352" i="4" s="1"/>
  <c r="AT241" i="4"/>
  <c r="N241" i="4" s="1"/>
  <c r="AT142" i="4"/>
  <c r="N142" i="4" s="1"/>
  <c r="AT208" i="4"/>
  <c r="N208" i="4" s="1"/>
  <c r="AP28" i="4"/>
  <c r="S28" i="4" s="1"/>
  <c r="BG28" i="4"/>
  <c r="AT546" i="4"/>
  <c r="N546" i="4" s="1"/>
  <c r="AT509" i="4"/>
  <c r="N509" i="4" s="1"/>
  <c r="AT472" i="4"/>
  <c r="N472" i="4" s="1"/>
  <c r="AT435" i="4"/>
  <c r="N435" i="4" s="1"/>
  <c r="AT324" i="4"/>
  <c r="N324" i="4" s="1"/>
  <c r="AT250" i="4"/>
  <c r="N250" i="4" s="1"/>
  <c r="AT287" i="4"/>
  <c r="N287" i="4" s="1"/>
  <c r="AT217" i="4"/>
  <c r="N217" i="4" s="1"/>
  <c r="AT184" i="4"/>
  <c r="N184" i="4" s="1"/>
  <c r="BG29" i="4"/>
  <c r="AT455" i="4"/>
  <c r="N455" i="4" s="1"/>
  <c r="AT418" i="4"/>
  <c r="N418" i="4" s="1"/>
  <c r="AT381" i="4"/>
  <c r="N381" i="4" s="1"/>
  <c r="AT233" i="4"/>
  <c r="N233" i="4" s="1"/>
  <c r="AT200" i="4"/>
  <c r="N200" i="4" s="1"/>
  <c r="AT134" i="4"/>
  <c r="N134" i="4" s="1"/>
  <c r="AP538" i="4"/>
  <c r="S538" i="4" s="1"/>
  <c r="AO538" i="4"/>
  <c r="AO501" i="4"/>
  <c r="AP501" i="4"/>
  <c r="S501" i="4" s="1"/>
  <c r="AP464" i="4"/>
  <c r="S464" i="4" s="1"/>
  <c r="AP427" i="4"/>
  <c r="S427" i="4" s="1"/>
  <c r="AO353" i="4"/>
  <c r="AP316" i="4"/>
  <c r="S316" i="4" s="1"/>
  <c r="AO279" i="4"/>
  <c r="AO316" i="4"/>
  <c r="AP242" i="4"/>
  <c r="S242" i="4" s="1"/>
  <c r="AO242" i="4"/>
  <c r="AP279" i="4"/>
  <c r="S279" i="4" s="1"/>
  <c r="AP176" i="4"/>
  <c r="S176" i="4" s="1"/>
  <c r="AO176" i="4"/>
  <c r="BG31" i="4"/>
  <c r="AT547" i="4"/>
  <c r="N547" i="4" s="1"/>
  <c r="AT510" i="4"/>
  <c r="N510" i="4" s="1"/>
  <c r="AT399" i="4"/>
  <c r="N399" i="4" s="1"/>
  <c r="AT325" i="4"/>
  <c r="N325" i="4" s="1"/>
  <c r="AT362" i="4"/>
  <c r="N362" i="4" s="1"/>
  <c r="AT185" i="4"/>
  <c r="N185" i="4" s="1"/>
  <c r="AT152" i="4"/>
  <c r="N152" i="4" s="1"/>
  <c r="AP530" i="4"/>
  <c r="S530" i="4" s="1"/>
  <c r="AO530" i="4"/>
  <c r="AP493" i="4"/>
  <c r="S493" i="4" s="1"/>
  <c r="AO493" i="4"/>
  <c r="AO456" i="4"/>
  <c r="AP456" i="4"/>
  <c r="S456" i="4" s="1"/>
  <c r="AO345" i="4"/>
  <c r="AO382" i="4"/>
  <c r="AP345" i="4"/>
  <c r="S345" i="4" s="1"/>
  <c r="AP308" i="4"/>
  <c r="S308" i="4" s="1"/>
  <c r="AO308" i="4"/>
  <c r="AO271" i="4"/>
  <c r="AP234" i="4"/>
  <c r="S234" i="4" s="1"/>
  <c r="AO234" i="4"/>
  <c r="AP168" i="4"/>
  <c r="S168" i="4" s="1"/>
  <c r="AP271" i="4"/>
  <c r="S271" i="4" s="1"/>
  <c r="AP201" i="4"/>
  <c r="S201" i="4" s="1"/>
  <c r="AO168" i="4"/>
  <c r="AT502" i="4"/>
  <c r="N502" i="4" s="1"/>
  <c r="AT391" i="4"/>
  <c r="N391" i="4" s="1"/>
  <c r="AT354" i="4"/>
  <c r="N354" i="4" s="1"/>
  <c r="AT317" i="4"/>
  <c r="N317" i="4" s="1"/>
  <c r="AT177" i="4"/>
  <c r="N177" i="4" s="1"/>
  <c r="AT144" i="4"/>
  <c r="N144" i="4" s="1"/>
  <c r="AP548" i="4"/>
  <c r="S548" i="4" s="1"/>
  <c r="AO548" i="4"/>
  <c r="AO474" i="4"/>
  <c r="AO326" i="4"/>
  <c r="AO289" i="4"/>
  <c r="AP289" i="4"/>
  <c r="S289" i="4" s="1"/>
  <c r="AO219" i="4"/>
  <c r="AO252" i="4"/>
  <c r="AP219" i="4"/>
  <c r="S219" i="4" s="1"/>
  <c r="AP186" i="4"/>
  <c r="S186" i="4" s="1"/>
  <c r="AO153" i="4"/>
  <c r="BG35" i="4"/>
  <c r="AT553" i="4"/>
  <c r="N553" i="4" s="1"/>
  <c r="AT516" i="4"/>
  <c r="N516" i="4" s="1"/>
  <c r="AT479" i="4"/>
  <c r="N479" i="4" s="1"/>
  <c r="AT442" i="4"/>
  <c r="N442" i="4" s="1"/>
  <c r="AT405" i="4"/>
  <c r="N405" i="4" s="1"/>
  <c r="AT368" i="4"/>
  <c r="N368" i="4" s="1"/>
  <c r="AT189" i="4"/>
  <c r="N189" i="4" s="1"/>
  <c r="AT156" i="4"/>
  <c r="N156" i="4" s="1"/>
  <c r="AO560" i="4"/>
  <c r="AP560" i="4"/>
  <c r="S560" i="4" s="1"/>
  <c r="AP486" i="4"/>
  <c r="S486" i="4" s="1"/>
  <c r="AO375" i="4"/>
  <c r="AO338" i="4"/>
  <c r="AP375" i="4"/>
  <c r="S375" i="4" s="1"/>
  <c r="AO264" i="4"/>
  <c r="AT494" i="4"/>
  <c r="N494" i="4" s="1"/>
  <c r="AT383" i="4"/>
  <c r="N383" i="4" s="1"/>
  <c r="AT309" i="4"/>
  <c r="N309" i="4" s="1"/>
  <c r="AT169" i="4"/>
  <c r="N169" i="4" s="1"/>
  <c r="AT136" i="4"/>
  <c r="N136" i="4" s="1"/>
  <c r="AP540" i="4"/>
  <c r="S540" i="4" s="1"/>
  <c r="AO540" i="4"/>
  <c r="AO466" i="4"/>
  <c r="AO318" i="4"/>
  <c r="AO281" i="4"/>
  <c r="AP211" i="4"/>
  <c r="S211" i="4" s="1"/>
  <c r="AP281" i="4"/>
  <c r="S281" i="4" s="1"/>
  <c r="AP244" i="4"/>
  <c r="S244" i="4" s="1"/>
  <c r="AO244" i="4"/>
  <c r="AP178" i="4"/>
  <c r="S178" i="4" s="1"/>
  <c r="BG39" i="4"/>
  <c r="AT549" i="4"/>
  <c r="N549" i="4" s="1"/>
  <c r="AT475" i="4"/>
  <c r="N475" i="4" s="1"/>
  <c r="AT438" i="4"/>
  <c r="N438" i="4" s="1"/>
  <c r="AT401" i="4"/>
  <c r="N401" i="4" s="1"/>
  <c r="AT364" i="4"/>
  <c r="N364" i="4" s="1"/>
  <c r="AT220" i="4"/>
  <c r="N220" i="4" s="1"/>
  <c r="AT154" i="4"/>
  <c r="N154" i="4" s="1"/>
  <c r="AP517" i="4"/>
  <c r="S517" i="4" s="1"/>
  <c r="AO517" i="4"/>
  <c r="AP480" i="4"/>
  <c r="S480" i="4" s="1"/>
  <c r="AO480" i="4"/>
  <c r="AO443" i="4"/>
  <c r="AP443" i="4"/>
  <c r="S443" i="4" s="1"/>
  <c r="AP406" i="4"/>
  <c r="S406" i="4" s="1"/>
  <c r="AO406" i="4"/>
  <c r="AO332" i="4"/>
  <c r="AP369" i="4"/>
  <c r="S369" i="4" s="1"/>
  <c r="AP332" i="4"/>
  <c r="S332" i="4" s="1"/>
  <c r="AO258" i="4"/>
  <c r="AP223" i="4"/>
  <c r="S223" i="4" s="1"/>
  <c r="AO223" i="4"/>
  <c r="AO157" i="4"/>
  <c r="AP190" i="4"/>
  <c r="S190" i="4" s="1"/>
  <c r="BG41" i="4"/>
  <c r="AT532" i="4"/>
  <c r="N532" i="4" s="1"/>
  <c r="AT458" i="4"/>
  <c r="N458" i="4" s="1"/>
  <c r="AT347" i="4"/>
  <c r="N347" i="4" s="1"/>
  <c r="AT273" i="4"/>
  <c r="N273" i="4" s="1"/>
  <c r="AT203" i="4"/>
  <c r="N203" i="4" s="1"/>
  <c r="AT236" i="4"/>
  <c r="N236" i="4" s="1"/>
  <c r="AT170" i="4"/>
  <c r="N170" i="4" s="1"/>
  <c r="AO541" i="4"/>
  <c r="AO504" i="4"/>
  <c r="AO467" i="4"/>
  <c r="AP467" i="4"/>
  <c r="S467" i="4" s="1"/>
  <c r="AP430" i="4"/>
  <c r="S430" i="4" s="1"/>
  <c r="AO393" i="4"/>
  <c r="AO430" i="4"/>
  <c r="AP393" i="4"/>
  <c r="S393" i="4" s="1"/>
  <c r="AO356" i="4"/>
  <c r="AP356" i="4"/>
  <c r="S356" i="4" s="1"/>
  <c r="AO245" i="4"/>
  <c r="AO212" i="4"/>
  <c r="AP245" i="4"/>
  <c r="S245" i="4" s="1"/>
  <c r="AP212" i="4"/>
  <c r="S212" i="4" s="1"/>
  <c r="AP146" i="4"/>
  <c r="S146" i="4" s="1"/>
  <c r="AO179" i="4"/>
  <c r="AT550" i="4"/>
  <c r="N550" i="4" s="1"/>
  <c r="AT513" i="4"/>
  <c r="N513" i="4" s="1"/>
  <c r="AT476" i="4"/>
  <c r="N476" i="4" s="1"/>
  <c r="AT439" i="4"/>
  <c r="N439" i="4" s="1"/>
  <c r="AT328" i="4"/>
  <c r="N328" i="4" s="1"/>
  <c r="AT291" i="4"/>
  <c r="N291" i="4" s="1"/>
  <c r="AT221" i="4"/>
  <c r="N221" i="4" s="1"/>
  <c r="AT188" i="4"/>
  <c r="N188" i="4" s="1"/>
  <c r="AP555" i="4"/>
  <c r="S555" i="4" s="1"/>
  <c r="AO555" i="4"/>
  <c r="AO518" i="4"/>
  <c r="AP518" i="4"/>
  <c r="S518" i="4" s="1"/>
  <c r="AP481" i="4"/>
  <c r="S481" i="4" s="1"/>
  <c r="AO481" i="4"/>
  <c r="AO444" i="4"/>
  <c r="AP444" i="4"/>
  <c r="S444" i="4" s="1"/>
  <c r="AP333" i="4"/>
  <c r="S333" i="4" s="1"/>
  <c r="AO296" i="4"/>
  <c r="AP296" i="4"/>
  <c r="S296" i="4" s="1"/>
  <c r="AO259" i="4"/>
  <c r="AP224" i="4"/>
  <c r="S224" i="4" s="1"/>
  <c r="AO224" i="4"/>
  <c r="AO191" i="4"/>
  <c r="AP158" i="4"/>
  <c r="S158" i="4" s="1"/>
  <c r="AO158" i="4"/>
  <c r="AM57" i="4"/>
  <c r="AU57" i="4"/>
  <c r="L57" i="4" s="1"/>
  <c r="AM59" i="4"/>
  <c r="AU59" i="4"/>
  <c r="L59" i="4" s="1"/>
  <c r="AP62" i="4"/>
  <c r="S62" i="4" s="1"/>
  <c r="AP64" i="4"/>
  <c r="S64" i="4" s="1"/>
  <c r="AT64" i="4"/>
  <c r="N64" i="4" s="1"/>
  <c r="AP66" i="4"/>
  <c r="S66" i="4" s="1"/>
  <c r="AT66" i="4"/>
  <c r="N66" i="4" s="1"/>
  <c r="M68" i="4"/>
  <c r="R68" i="4"/>
  <c r="AP68" i="4"/>
  <c r="S68" i="4" s="1"/>
  <c r="AT68" i="4"/>
  <c r="N68" i="4" s="1"/>
  <c r="M70" i="4"/>
  <c r="R70" i="4"/>
  <c r="AP70" i="4"/>
  <c r="S70" i="4" s="1"/>
  <c r="AT70" i="4"/>
  <c r="N70" i="4" s="1"/>
  <c r="M72" i="4"/>
  <c r="AP72" i="4"/>
  <c r="S72" i="4" s="1"/>
  <c r="AT72" i="4"/>
  <c r="N72" i="4" s="1"/>
  <c r="M74" i="4"/>
  <c r="AP74" i="4"/>
  <c r="S74" i="4" s="1"/>
  <c r="AT74" i="4"/>
  <c r="N74" i="4" s="1"/>
  <c r="M76" i="4"/>
  <c r="AP76" i="4"/>
  <c r="S76" i="4" s="1"/>
  <c r="AT76" i="4"/>
  <c r="N76" i="4" s="1"/>
  <c r="M78" i="4"/>
  <c r="AP78" i="4"/>
  <c r="S78" i="4" s="1"/>
  <c r="AT78" i="4"/>
  <c r="N78" i="4" s="1"/>
  <c r="M80" i="4"/>
  <c r="R80" i="4"/>
  <c r="AP80" i="4"/>
  <c r="S80" i="4" s="1"/>
  <c r="AT80" i="4"/>
  <c r="N80" i="4" s="1"/>
  <c r="M82" i="4"/>
  <c r="AP82" i="4"/>
  <c r="S82" i="4" s="1"/>
  <c r="AT82" i="4"/>
  <c r="N82" i="4" s="1"/>
  <c r="M84" i="4"/>
  <c r="AP84" i="4"/>
  <c r="S84" i="4" s="1"/>
  <c r="AT84" i="4"/>
  <c r="N84" i="4" s="1"/>
  <c r="M86" i="4"/>
  <c r="AP86" i="4"/>
  <c r="S86" i="4" s="1"/>
  <c r="AT86" i="4"/>
  <c r="N86" i="4" s="1"/>
  <c r="AM88" i="4"/>
  <c r="AO89" i="4"/>
  <c r="AS89" i="4"/>
  <c r="AM91" i="4"/>
  <c r="M92" i="4"/>
  <c r="AP92" i="4"/>
  <c r="S92" i="4" s="1"/>
  <c r="AT92" i="4"/>
  <c r="N92" i="4" s="1"/>
  <c r="AO93" i="4"/>
  <c r="AS93" i="4"/>
  <c r="AM95" i="4"/>
  <c r="AO96" i="4"/>
  <c r="AS96" i="4"/>
  <c r="AM97" i="4"/>
  <c r="AO98" i="4"/>
  <c r="AS98" i="4"/>
  <c r="AM99" i="4"/>
  <c r="AO100" i="4"/>
  <c r="AS100" i="4"/>
  <c r="AM101" i="4"/>
  <c r="AO102" i="4"/>
  <c r="AS102" i="4"/>
  <c r="AM103" i="4"/>
  <c r="AO105" i="4"/>
  <c r="AS105" i="4"/>
  <c r="AP106" i="4"/>
  <c r="S106" i="4" s="1"/>
  <c r="AT106" i="4"/>
  <c r="N106" i="4" s="1"/>
  <c r="AM107" i="4"/>
  <c r="AO109" i="4"/>
  <c r="AS109" i="4"/>
  <c r="AP110" i="4"/>
  <c r="S110" i="4" s="1"/>
  <c r="AT110" i="4"/>
  <c r="N110" i="4" s="1"/>
  <c r="AM111" i="4"/>
  <c r="AO113" i="4"/>
  <c r="AT114" i="4"/>
  <c r="N114" i="4" s="1"/>
  <c r="P115" i="4"/>
  <c r="AU116" i="4"/>
  <c r="L116" i="4" s="1"/>
  <c r="AM116" i="4"/>
  <c r="AT117" i="4"/>
  <c r="N117" i="4" s="1"/>
  <c r="AP117" i="4"/>
  <c r="S117" i="4" s="1"/>
  <c r="AM118" i="4"/>
  <c r="AO119" i="4"/>
  <c r="AT119" i="4"/>
  <c r="N119" i="4" s="1"/>
  <c r="AO120" i="4"/>
  <c r="AO121" i="4"/>
  <c r="AS122" i="4"/>
  <c r="AO122" i="4"/>
  <c r="AU123" i="4"/>
  <c r="L123" i="4" s="1"/>
  <c r="AM123" i="4"/>
  <c r="AT124" i="4"/>
  <c r="N124" i="4" s="1"/>
  <c r="AP124" i="4"/>
  <c r="S124" i="4" s="1"/>
  <c r="AS125" i="4"/>
  <c r="M125" i="4" s="1"/>
  <c r="BI126" i="4"/>
  <c r="AM131" i="4"/>
  <c r="AN132" i="4"/>
  <c r="Q132" i="4" s="1"/>
  <c r="M132" i="4"/>
  <c r="AQ133" i="4"/>
  <c r="AM135" i="4"/>
  <c r="AN136" i="4"/>
  <c r="Q136" i="4" s="1"/>
  <c r="M136" i="4"/>
  <c r="AM139" i="4"/>
  <c r="AN140" i="4"/>
  <c r="Q140" i="4" s="1"/>
  <c r="M140" i="4"/>
  <c r="AQ141" i="4"/>
  <c r="AM143" i="4"/>
  <c r="AN144" i="4"/>
  <c r="Q144" i="4" s="1"/>
  <c r="M144" i="4"/>
  <c r="AO146" i="4"/>
  <c r="AM147" i="4"/>
  <c r="AN148" i="4"/>
  <c r="Q148" i="4" s="1"/>
  <c r="M148" i="4"/>
  <c r="AQ149" i="4"/>
  <c r="AO150" i="4"/>
  <c r="AM151" i="4"/>
  <c r="AN152" i="4"/>
  <c r="Q152" i="4" s="1"/>
  <c r="AM152" i="4"/>
  <c r="M152" i="4"/>
  <c r="AQ153" i="4"/>
  <c r="AN156" i="4"/>
  <c r="Q156" i="4" s="1"/>
  <c r="AM156" i="4"/>
  <c r="M156" i="4"/>
  <c r="AT157" i="4"/>
  <c r="N157" i="4" s="1"/>
  <c r="AT159" i="4"/>
  <c r="N159" i="4" s="1"/>
  <c r="AT161" i="4"/>
  <c r="N161" i="4" s="1"/>
  <c r="AM64" i="4"/>
  <c r="AM66" i="4"/>
  <c r="AM68" i="4"/>
  <c r="AO69" i="4"/>
  <c r="AM70" i="4"/>
  <c r="AM72" i="4"/>
  <c r="AM74" i="4"/>
  <c r="AM76" i="4"/>
  <c r="AO77" i="4"/>
  <c r="AM78" i="4"/>
  <c r="AO79" i="4"/>
  <c r="AM80" i="4"/>
  <c r="AO81" i="4"/>
  <c r="AM82" i="4"/>
  <c r="AO83" i="4"/>
  <c r="AM84" i="4"/>
  <c r="AO85" i="4"/>
  <c r="AM86" i="4"/>
  <c r="AO87" i="4"/>
  <c r="AP89" i="4"/>
  <c r="S89" i="4" s="1"/>
  <c r="AT89" i="4"/>
  <c r="N89" i="4" s="1"/>
  <c r="AO90" i="4"/>
  <c r="AM92" i="4"/>
  <c r="AP93" i="4"/>
  <c r="S93" i="4" s="1"/>
  <c r="AT93" i="4"/>
  <c r="N93" i="4" s="1"/>
  <c r="AO94" i="4"/>
  <c r="AP96" i="4"/>
  <c r="S96" i="4" s="1"/>
  <c r="AT96" i="4"/>
  <c r="N96" i="4" s="1"/>
  <c r="AP98" i="4"/>
  <c r="S98" i="4" s="1"/>
  <c r="AT98" i="4"/>
  <c r="N98" i="4" s="1"/>
  <c r="AP100" i="4"/>
  <c r="S100" i="4" s="1"/>
  <c r="AT100" i="4"/>
  <c r="N100" i="4" s="1"/>
  <c r="AP102" i="4"/>
  <c r="S102" i="4" s="1"/>
  <c r="AT102" i="4"/>
  <c r="N102" i="4" s="1"/>
  <c r="AO104" i="4"/>
  <c r="AP105" i="4"/>
  <c r="S105" i="4" s="1"/>
  <c r="AT105" i="4"/>
  <c r="N105" i="4" s="1"/>
  <c r="AM106" i="4"/>
  <c r="AO108" i="4"/>
  <c r="AP109" i="4"/>
  <c r="S109" i="4" s="1"/>
  <c r="AT109" i="4"/>
  <c r="N109" i="4" s="1"/>
  <c r="AM110" i="4"/>
  <c r="AO112" i="4"/>
  <c r="AS112" i="4"/>
  <c r="AP113" i="4"/>
  <c r="S113" i="4" s="1"/>
  <c r="AU113" i="4"/>
  <c r="L113" i="4" s="1"/>
  <c r="AM113" i="4"/>
  <c r="AP114" i="4"/>
  <c r="S114" i="4" s="1"/>
  <c r="AM117" i="4"/>
  <c r="AN118" i="4"/>
  <c r="Q118" i="4" s="1"/>
  <c r="AT118" i="4"/>
  <c r="N118" i="4" s="1"/>
  <c r="AP120" i="4"/>
  <c r="S120" i="4" s="1"/>
  <c r="AU120" i="4"/>
  <c r="L120" i="4" s="1"/>
  <c r="AM120" i="4"/>
  <c r="AT121" i="4"/>
  <c r="N121" i="4" s="1"/>
  <c r="AP121" i="4"/>
  <c r="S121" i="4" s="1"/>
  <c r="AM122" i="4"/>
  <c r="AM124" i="4"/>
  <c r="AO125" i="4"/>
  <c r="AU127" i="4"/>
  <c r="L127" i="4" s="1"/>
  <c r="AM127" i="4"/>
  <c r="AS127" i="4"/>
  <c r="AO127" i="4"/>
  <c r="M129" i="4"/>
  <c r="AN129" i="4"/>
  <c r="Q129" i="4" s="1"/>
  <c r="AT131" i="4"/>
  <c r="N131" i="4" s="1"/>
  <c r="M133" i="4"/>
  <c r="AN133" i="4"/>
  <c r="Q133" i="4" s="1"/>
  <c r="AO135" i="4"/>
  <c r="AT135" i="4"/>
  <c r="N135" i="4" s="1"/>
  <c r="M137" i="4"/>
  <c r="AN137" i="4"/>
  <c r="Q137" i="4" s="1"/>
  <c r="AT139" i="4"/>
  <c r="N139" i="4" s="1"/>
  <c r="M141" i="4"/>
  <c r="AN141" i="4"/>
  <c r="Q141" i="4" s="1"/>
  <c r="AO143" i="4"/>
  <c r="AT143" i="4"/>
  <c r="N143" i="4" s="1"/>
  <c r="M145" i="4"/>
  <c r="AN145" i="4"/>
  <c r="Q145" i="4" s="1"/>
  <c r="AO147" i="4"/>
  <c r="AT147" i="4"/>
  <c r="N147" i="4" s="1"/>
  <c r="M149" i="4"/>
  <c r="AN149" i="4"/>
  <c r="Q149" i="4" s="1"/>
  <c r="AT151" i="4"/>
  <c r="N151" i="4" s="1"/>
  <c r="AT155" i="4"/>
  <c r="N155" i="4" s="1"/>
  <c r="AT164" i="4"/>
  <c r="N164" i="4" s="1"/>
  <c r="AT545" i="4"/>
  <c r="N545" i="4" s="1"/>
  <c r="AT471" i="4"/>
  <c r="N471" i="4" s="1"/>
  <c r="AT434" i="4"/>
  <c r="N434" i="4" s="1"/>
  <c r="AT397" i="4"/>
  <c r="N397" i="4" s="1"/>
  <c r="AT360" i="4"/>
  <c r="N360" i="4" s="1"/>
  <c r="AT249" i="4"/>
  <c r="N249" i="4" s="1"/>
  <c r="AT216" i="4"/>
  <c r="N216" i="4" s="1"/>
  <c r="AT150" i="4"/>
  <c r="N150" i="4" s="1"/>
  <c r="AP552" i="4"/>
  <c r="S552" i="4" s="1"/>
  <c r="AO552" i="4"/>
  <c r="AO478" i="4"/>
  <c r="AO330" i="4"/>
  <c r="AO367" i="4"/>
  <c r="AP293" i="4"/>
  <c r="S293" i="4" s="1"/>
  <c r="AO256" i="4"/>
  <c r="AP558" i="4"/>
  <c r="S558" i="4" s="1"/>
  <c r="AO558" i="4"/>
  <c r="AO484" i="4"/>
  <c r="AP410" i="4"/>
  <c r="S410" i="4" s="1"/>
  <c r="AO410" i="4"/>
  <c r="AO373" i="4"/>
  <c r="AO336" i="4"/>
  <c r="AP336" i="4"/>
  <c r="S336" i="4" s="1"/>
  <c r="AP299" i="4"/>
  <c r="S299" i="4" s="1"/>
  <c r="AO226" i="4"/>
  <c r="AO262" i="4"/>
  <c r="AO193" i="4"/>
  <c r="AP193" i="4"/>
  <c r="S193" i="4" s="1"/>
  <c r="AP160" i="4"/>
  <c r="S160" i="4" s="1"/>
  <c r="AO160" i="4"/>
  <c r="AP559" i="4"/>
  <c r="S559" i="4" s="1"/>
  <c r="AO559" i="4"/>
  <c r="AP485" i="4"/>
  <c r="S485" i="4" s="1"/>
  <c r="AP411" i="4"/>
  <c r="S411" i="4" s="1"/>
  <c r="AP337" i="4"/>
  <c r="S337" i="4" s="1"/>
  <c r="AP374" i="4"/>
  <c r="S374" i="4" s="1"/>
  <c r="AO374" i="4"/>
  <c r="AO300" i="4"/>
  <c r="AP300" i="4"/>
  <c r="S300" i="4" s="1"/>
  <c r="AO263" i="4"/>
  <c r="AP227" i="4"/>
  <c r="S227" i="4" s="1"/>
  <c r="AP194" i="4"/>
  <c r="S194" i="4" s="1"/>
  <c r="AO161" i="4"/>
  <c r="AP128" i="4"/>
  <c r="S128" i="4" s="1"/>
  <c r="AP528" i="4"/>
  <c r="S528" i="4" s="1"/>
  <c r="AO528" i="4"/>
  <c r="AO454" i="4"/>
  <c r="AP417" i="4"/>
  <c r="S417" i="4" s="1"/>
  <c r="AO417" i="4"/>
  <c r="AO380" i="4"/>
  <c r="AO343" i="4"/>
  <c r="AP343" i="4"/>
  <c r="S343" i="4" s="1"/>
  <c r="AO269" i="4"/>
  <c r="AO306" i="4"/>
  <c r="AP269" i="4"/>
  <c r="S269" i="4" s="1"/>
  <c r="AP232" i="4"/>
  <c r="S232" i="4" s="1"/>
  <c r="AO232" i="4"/>
  <c r="AP199" i="4"/>
  <c r="S199" i="4" s="1"/>
  <c r="AP166" i="4"/>
  <c r="S166" i="4" s="1"/>
  <c r="AO537" i="4"/>
  <c r="AO500" i="4"/>
  <c r="AP463" i="4"/>
  <c r="S463" i="4" s="1"/>
  <c r="AO463" i="4"/>
  <c r="AP426" i="4"/>
  <c r="S426" i="4" s="1"/>
  <c r="AO426" i="4"/>
  <c r="AP389" i="4"/>
  <c r="S389" i="4" s="1"/>
  <c r="AO389" i="4"/>
  <c r="AP352" i="4"/>
  <c r="S352" i="4" s="1"/>
  <c r="AO352" i="4"/>
  <c r="AO241" i="4"/>
  <c r="AP208" i="4"/>
  <c r="S208" i="4" s="1"/>
  <c r="AP241" i="4"/>
  <c r="S241" i="4" s="1"/>
  <c r="AO175" i="4"/>
  <c r="AO208" i="4"/>
  <c r="AP142" i="4"/>
  <c r="S142" i="4" s="1"/>
  <c r="AP546" i="4"/>
  <c r="S546" i="4" s="1"/>
  <c r="AO546" i="4"/>
  <c r="AO509" i="4"/>
  <c r="AP509" i="4"/>
  <c r="S509" i="4" s="1"/>
  <c r="AP472" i="4"/>
  <c r="S472" i="4" s="1"/>
  <c r="AP435" i="4"/>
  <c r="S435" i="4" s="1"/>
  <c r="AO361" i="4"/>
  <c r="AP324" i="4"/>
  <c r="S324" i="4" s="1"/>
  <c r="AO287" i="4"/>
  <c r="AO324" i="4"/>
  <c r="AP250" i="4"/>
  <c r="S250" i="4" s="1"/>
  <c r="AP287" i="4"/>
  <c r="S287" i="4" s="1"/>
  <c r="AP217" i="4"/>
  <c r="S217" i="4" s="1"/>
  <c r="AO250" i="4"/>
  <c r="AP184" i="4"/>
  <c r="S184" i="4" s="1"/>
  <c r="AO184" i="4"/>
  <c r="AO492" i="4"/>
  <c r="AP455" i="4"/>
  <c r="S455" i="4" s="1"/>
  <c r="AP418" i="4"/>
  <c r="S418" i="4" s="1"/>
  <c r="AO418" i="4"/>
  <c r="AP381" i="4"/>
  <c r="S381" i="4" s="1"/>
  <c r="AO344" i="4"/>
  <c r="AO381" i="4"/>
  <c r="AP307" i="4"/>
  <c r="S307" i="4" s="1"/>
  <c r="AO233" i="4"/>
  <c r="AP200" i="4"/>
  <c r="S200" i="4" s="1"/>
  <c r="AP233" i="4"/>
  <c r="S233" i="4" s="1"/>
  <c r="AO200" i="4"/>
  <c r="AO167" i="4"/>
  <c r="AP134" i="4"/>
  <c r="S134" i="4" s="1"/>
  <c r="AT538" i="4"/>
  <c r="N538" i="4" s="1"/>
  <c r="AT501" i="4"/>
  <c r="N501" i="4" s="1"/>
  <c r="AT464" i="4"/>
  <c r="N464" i="4" s="1"/>
  <c r="AT427" i="4"/>
  <c r="N427" i="4" s="1"/>
  <c r="AT316" i="4"/>
  <c r="N316" i="4" s="1"/>
  <c r="AT279" i="4"/>
  <c r="N279" i="4" s="1"/>
  <c r="AT242" i="4"/>
  <c r="N242" i="4" s="1"/>
  <c r="AT176" i="4"/>
  <c r="N176" i="4" s="1"/>
  <c r="AP547" i="4"/>
  <c r="S547" i="4" s="1"/>
  <c r="AO547" i="4"/>
  <c r="AP510" i="4"/>
  <c r="S510" i="4" s="1"/>
  <c r="AO399" i="4"/>
  <c r="AP399" i="4"/>
  <c r="S399" i="4" s="1"/>
  <c r="AP325" i="4"/>
  <c r="S325" i="4" s="1"/>
  <c r="AP362" i="4"/>
  <c r="S362" i="4" s="1"/>
  <c r="AO362" i="4"/>
  <c r="AO251" i="4"/>
  <c r="AO185" i="4"/>
  <c r="AP185" i="4"/>
  <c r="S185" i="4" s="1"/>
  <c r="AP152" i="4"/>
  <c r="S152" i="4" s="1"/>
  <c r="AT530" i="4"/>
  <c r="N530" i="4" s="1"/>
  <c r="AT493" i="4"/>
  <c r="N493" i="4" s="1"/>
  <c r="AT456" i="4"/>
  <c r="N456" i="4" s="1"/>
  <c r="AT419" i="4"/>
  <c r="N419" i="4" s="1"/>
  <c r="AT345" i="4"/>
  <c r="N345" i="4" s="1"/>
  <c r="AT308" i="4"/>
  <c r="N308" i="4" s="1"/>
  <c r="AT271" i="4"/>
  <c r="N271" i="4" s="1"/>
  <c r="AT234" i="4"/>
  <c r="N234" i="4" s="1"/>
  <c r="AT201" i="4"/>
  <c r="N201" i="4" s="1"/>
  <c r="AT168" i="4"/>
  <c r="N168" i="4" s="1"/>
  <c r="AO539" i="4"/>
  <c r="AP502" i="4"/>
  <c r="S502" i="4" s="1"/>
  <c r="AP391" i="4"/>
  <c r="S391" i="4" s="1"/>
  <c r="AO391" i="4"/>
  <c r="AP354" i="4"/>
  <c r="S354" i="4" s="1"/>
  <c r="AO354" i="4"/>
  <c r="AP317" i="4"/>
  <c r="S317" i="4" s="1"/>
  <c r="AO210" i="4"/>
  <c r="AP243" i="4"/>
  <c r="S243" i="4" s="1"/>
  <c r="AO177" i="4"/>
  <c r="AP177" i="4"/>
  <c r="S177" i="4" s="1"/>
  <c r="AP144" i="4"/>
  <c r="S144" i="4" s="1"/>
  <c r="AT548" i="4"/>
  <c r="N548" i="4" s="1"/>
  <c r="AT289" i="4"/>
  <c r="N289" i="4" s="1"/>
  <c r="AT219" i="4"/>
  <c r="N219" i="4" s="1"/>
  <c r="AT186" i="4"/>
  <c r="N186" i="4" s="1"/>
  <c r="AP553" i="4"/>
  <c r="S553" i="4" s="1"/>
  <c r="AO553" i="4"/>
  <c r="AP516" i="4"/>
  <c r="S516" i="4" s="1"/>
  <c r="AO516" i="4"/>
  <c r="AP479" i="4"/>
  <c r="S479" i="4" s="1"/>
  <c r="AO479" i="4"/>
  <c r="AO442" i="4"/>
  <c r="AP442" i="4"/>
  <c r="S442" i="4" s="1"/>
  <c r="AO405" i="4"/>
  <c r="AP405" i="4"/>
  <c r="S405" i="4" s="1"/>
  <c r="AP368" i="4"/>
  <c r="S368" i="4" s="1"/>
  <c r="AO368" i="4"/>
  <c r="AP294" i="4"/>
  <c r="S294" i="4" s="1"/>
  <c r="AO222" i="4"/>
  <c r="AO257" i="4"/>
  <c r="AO189" i="4"/>
  <c r="AP189" i="4"/>
  <c r="S189" i="4" s="1"/>
  <c r="AP156" i="4"/>
  <c r="S156" i="4" s="1"/>
  <c r="AT560" i="4"/>
  <c r="N560" i="4" s="1"/>
  <c r="AT486" i="4"/>
  <c r="N486" i="4" s="1"/>
  <c r="AT375" i="4"/>
  <c r="N375" i="4" s="1"/>
  <c r="AP494" i="4"/>
  <c r="S494" i="4" s="1"/>
  <c r="AP457" i="4"/>
  <c r="S457" i="4" s="1"/>
  <c r="AP383" i="4"/>
  <c r="S383" i="4" s="1"/>
  <c r="AO383" i="4"/>
  <c r="AP235" i="4"/>
  <c r="S235" i="4" s="1"/>
  <c r="AO169" i="4"/>
  <c r="AP169" i="4"/>
  <c r="S169" i="4" s="1"/>
  <c r="AP136" i="4"/>
  <c r="S136" i="4" s="1"/>
  <c r="AT540" i="4"/>
  <c r="N540" i="4" s="1"/>
  <c r="AT281" i="4"/>
  <c r="N281" i="4" s="1"/>
  <c r="AT244" i="4"/>
  <c r="N244" i="4" s="1"/>
  <c r="AT178" i="4"/>
  <c r="N178" i="4" s="1"/>
  <c r="AP549" i="4"/>
  <c r="S549" i="4" s="1"/>
  <c r="AO549" i="4"/>
  <c r="AO512" i="4"/>
  <c r="AP475" i="4"/>
  <c r="S475" i="4" s="1"/>
  <c r="AO475" i="4"/>
  <c r="AO438" i="4"/>
  <c r="AP438" i="4"/>
  <c r="S438" i="4" s="1"/>
  <c r="AO401" i="4"/>
  <c r="AP401" i="4"/>
  <c r="S401" i="4" s="1"/>
  <c r="AO364" i="4"/>
  <c r="AP364" i="4"/>
  <c r="S364" i="4" s="1"/>
  <c r="AP220" i="4"/>
  <c r="S220" i="4" s="1"/>
  <c r="AO253" i="4"/>
  <c r="AO220" i="4"/>
  <c r="AP154" i="4"/>
  <c r="S154" i="4" s="1"/>
  <c r="AO187" i="4"/>
  <c r="AT554" i="4"/>
  <c r="N554" i="4" s="1"/>
  <c r="AT517" i="4"/>
  <c r="N517" i="4" s="1"/>
  <c r="AT480" i="4"/>
  <c r="N480" i="4" s="1"/>
  <c r="AT443" i="4"/>
  <c r="N443" i="4" s="1"/>
  <c r="AT406" i="4"/>
  <c r="N406" i="4" s="1"/>
  <c r="AT369" i="4"/>
  <c r="N369" i="4" s="1"/>
  <c r="AT332" i="4"/>
  <c r="N332" i="4" s="1"/>
  <c r="AT223" i="4"/>
  <c r="N223" i="4" s="1"/>
  <c r="AT190" i="4"/>
  <c r="N190" i="4" s="1"/>
  <c r="AP532" i="4"/>
  <c r="S532" i="4" s="1"/>
  <c r="AO532" i="4"/>
  <c r="AP458" i="4"/>
  <c r="S458" i="4" s="1"/>
  <c r="AO458" i="4"/>
  <c r="AP421" i="4"/>
  <c r="S421" i="4" s="1"/>
  <c r="AO347" i="4"/>
  <c r="AO384" i="4"/>
  <c r="AP347" i="4"/>
  <c r="S347" i="4" s="1"/>
  <c r="AO273" i="4"/>
  <c r="AO310" i="4"/>
  <c r="AO203" i="4"/>
  <c r="AP273" i="4"/>
  <c r="S273" i="4" s="1"/>
  <c r="AP236" i="4"/>
  <c r="S236" i="4" s="1"/>
  <c r="AO236" i="4"/>
  <c r="AP203" i="4"/>
  <c r="S203" i="4" s="1"/>
  <c r="AP170" i="4"/>
  <c r="S170" i="4" s="1"/>
  <c r="AT467" i="4"/>
  <c r="N467" i="4" s="1"/>
  <c r="AT430" i="4"/>
  <c r="N430" i="4" s="1"/>
  <c r="AT393" i="4"/>
  <c r="N393" i="4" s="1"/>
  <c r="AT356" i="4"/>
  <c r="N356" i="4" s="1"/>
  <c r="AT245" i="4"/>
  <c r="N245" i="4" s="1"/>
  <c r="AT212" i="4"/>
  <c r="N212" i="4" s="1"/>
  <c r="AT146" i="4"/>
  <c r="N146" i="4" s="1"/>
  <c r="AP550" i="4"/>
  <c r="S550" i="4" s="1"/>
  <c r="AO550" i="4"/>
  <c r="AO513" i="4"/>
  <c r="AP513" i="4"/>
  <c r="S513" i="4" s="1"/>
  <c r="AP476" i="4"/>
  <c r="S476" i="4" s="1"/>
  <c r="AP439" i="4"/>
  <c r="S439" i="4" s="1"/>
  <c r="AO328" i="4"/>
  <c r="AO365" i="4"/>
  <c r="AP328" i="4"/>
  <c r="S328" i="4" s="1"/>
  <c r="AP291" i="4"/>
  <c r="S291" i="4" s="1"/>
  <c r="AO291" i="4"/>
  <c r="AO254" i="4"/>
  <c r="AP188" i="4"/>
  <c r="S188" i="4" s="1"/>
  <c r="AP221" i="4"/>
  <c r="S221" i="4" s="1"/>
  <c r="AO188" i="4"/>
  <c r="AO155" i="4"/>
  <c r="AT555" i="4"/>
  <c r="N555" i="4" s="1"/>
  <c r="AT518" i="4"/>
  <c r="N518" i="4" s="1"/>
  <c r="AT481" i="4"/>
  <c r="N481" i="4" s="1"/>
  <c r="AT444" i="4"/>
  <c r="N444" i="4" s="1"/>
  <c r="AT333" i="4"/>
  <c r="N333" i="4" s="1"/>
  <c r="AT296" i="4"/>
  <c r="N296" i="4" s="1"/>
  <c r="AT224" i="4"/>
  <c r="N224" i="4" s="1"/>
  <c r="AT158" i="4"/>
  <c r="N158" i="4" s="1"/>
  <c r="AO57" i="4"/>
  <c r="AO59" i="4"/>
  <c r="AT60" i="4"/>
  <c r="N60" i="4" s="1"/>
  <c r="AP67" i="4"/>
  <c r="S67" i="4" s="1"/>
  <c r="AT67" i="4"/>
  <c r="N67" i="4" s="1"/>
  <c r="AP69" i="4"/>
  <c r="S69" i="4" s="1"/>
  <c r="AT69" i="4"/>
  <c r="N69" i="4" s="1"/>
  <c r="AP71" i="4"/>
  <c r="S71" i="4" s="1"/>
  <c r="AT71" i="4"/>
  <c r="N71" i="4" s="1"/>
  <c r="AT73" i="4"/>
  <c r="N73" i="4" s="1"/>
  <c r="AT75" i="4"/>
  <c r="N75" i="4" s="1"/>
  <c r="AP77" i="4"/>
  <c r="S77" i="4" s="1"/>
  <c r="AT77" i="4"/>
  <c r="N77" i="4" s="1"/>
  <c r="AP79" i="4"/>
  <c r="S79" i="4" s="1"/>
  <c r="AT79" i="4"/>
  <c r="N79" i="4" s="1"/>
  <c r="AP81" i="4"/>
  <c r="S81" i="4" s="1"/>
  <c r="AP85" i="4"/>
  <c r="S85" i="4" s="1"/>
  <c r="AT85" i="4"/>
  <c r="N85" i="4" s="1"/>
  <c r="AP87" i="4"/>
  <c r="S87" i="4" s="1"/>
  <c r="AT87" i="4"/>
  <c r="N87" i="4" s="1"/>
  <c r="AO88" i="4"/>
  <c r="AM89" i="4"/>
  <c r="AP90" i="4"/>
  <c r="S90" i="4" s="1"/>
  <c r="AT90" i="4"/>
  <c r="N90" i="4" s="1"/>
  <c r="AO91" i="4"/>
  <c r="AM93" i="4"/>
  <c r="AP94" i="4"/>
  <c r="S94" i="4" s="1"/>
  <c r="AT94" i="4"/>
  <c r="N94" i="4" s="1"/>
  <c r="AO95" i="4"/>
  <c r="AM96" i="4"/>
  <c r="AM98" i="4"/>
  <c r="AO99" i="4"/>
  <c r="AM100" i="4"/>
  <c r="AO101" i="4"/>
  <c r="AM102" i="4"/>
  <c r="AO103" i="4"/>
  <c r="AP104" i="4"/>
  <c r="S104" i="4" s="1"/>
  <c r="AT104" i="4"/>
  <c r="N104" i="4" s="1"/>
  <c r="AM105" i="4"/>
  <c r="AT108" i="4"/>
  <c r="N108" i="4" s="1"/>
  <c r="AM109" i="4"/>
  <c r="AO111" i="4"/>
  <c r="AP112" i="4"/>
  <c r="S112" i="4" s="1"/>
  <c r="AU112" i="4"/>
  <c r="L112" i="4" s="1"/>
  <c r="AS114" i="4"/>
  <c r="AN114" i="4" s="1"/>
  <c r="Q114" i="4" s="1"/>
  <c r="AO114" i="4"/>
  <c r="AP118" i="4"/>
  <c r="S118" i="4" s="1"/>
  <c r="AU118" i="4"/>
  <c r="L118" i="4" s="1"/>
  <c r="AT122" i="4"/>
  <c r="N122" i="4" s="1"/>
  <c r="AP125" i="4"/>
  <c r="S125" i="4" s="1"/>
  <c r="AU125" i="4"/>
  <c r="L125" i="4" s="1"/>
  <c r="AM125" i="4"/>
  <c r="BK126" i="4"/>
  <c r="AP127" i="4"/>
  <c r="S127" i="4" s="1"/>
  <c r="AO128" i="4"/>
  <c r="AN130" i="4"/>
  <c r="Q130" i="4" s="1"/>
  <c r="M130" i="4"/>
  <c r="AO132" i="4"/>
  <c r="AN134" i="4"/>
  <c r="Q134" i="4" s="1"/>
  <c r="M134" i="4"/>
  <c r="AO136" i="4"/>
  <c r="AN138" i="4"/>
  <c r="Q138" i="4" s="1"/>
  <c r="M138" i="4"/>
  <c r="AN142" i="4"/>
  <c r="Q142" i="4" s="1"/>
  <c r="M142" i="4"/>
  <c r="AO144" i="4"/>
  <c r="AN146" i="4"/>
  <c r="Q146" i="4" s="1"/>
  <c r="M146" i="4"/>
  <c r="AN150" i="4"/>
  <c r="Q150" i="4" s="1"/>
  <c r="M150" i="4"/>
  <c r="AN154" i="4"/>
  <c r="Q154" i="4" s="1"/>
  <c r="AM154" i="4"/>
  <c r="M154" i="4"/>
  <c r="AP195" i="4"/>
  <c r="S195" i="4" s="1"/>
  <c r="AT199" i="4"/>
  <c r="N199" i="4" s="1"/>
  <c r="AQ157" i="4"/>
  <c r="AQ159" i="4"/>
  <c r="AQ161" i="4"/>
  <c r="AT163" i="4"/>
  <c r="N163" i="4" s="1"/>
  <c r="AP163" i="4"/>
  <c r="S163" i="4" s="1"/>
  <c r="AT171" i="4"/>
  <c r="N171" i="4" s="1"/>
  <c r="AP171" i="4"/>
  <c r="S171" i="4" s="1"/>
  <c r="AS171" i="4"/>
  <c r="M171" i="4" s="1"/>
  <c r="AT179" i="4"/>
  <c r="N179" i="4" s="1"/>
  <c r="AP179" i="4"/>
  <c r="S179" i="4" s="1"/>
  <c r="AS179" i="4"/>
  <c r="M179" i="4" s="1"/>
  <c r="AN179" i="4"/>
  <c r="Q179" i="4" s="1"/>
  <c r="AT187" i="4"/>
  <c r="N187" i="4" s="1"/>
  <c r="AP187" i="4"/>
  <c r="S187" i="4" s="1"/>
  <c r="AS187" i="4"/>
  <c r="M187" i="4" s="1"/>
  <c r="AN200" i="4"/>
  <c r="Q200" i="4" s="1"/>
  <c r="M200" i="4"/>
  <c r="AT202" i="4"/>
  <c r="N202" i="4" s="1"/>
  <c r="AP202" i="4"/>
  <c r="S202" i="4" s="1"/>
  <c r="AU202" i="4"/>
  <c r="L202" i="4" s="1"/>
  <c r="AO202" i="4"/>
  <c r="AS202" i="4"/>
  <c r="M202" i="4" s="1"/>
  <c r="AR214" i="4"/>
  <c r="U214" i="4" s="1"/>
  <c r="T214" i="4"/>
  <c r="AN153" i="4"/>
  <c r="Q153" i="4" s="1"/>
  <c r="AN155" i="4"/>
  <c r="Q155" i="4" s="1"/>
  <c r="AN157" i="4"/>
  <c r="Q157" i="4" s="1"/>
  <c r="M158" i="4"/>
  <c r="AN159" i="4"/>
  <c r="Q159" i="4" s="1"/>
  <c r="M160" i="4"/>
  <c r="AN161" i="4"/>
  <c r="Q161" i="4" s="1"/>
  <c r="AO162" i="4"/>
  <c r="AS162" i="4"/>
  <c r="AO164" i="4"/>
  <c r="AM175" i="4"/>
  <c r="AT211" i="4"/>
  <c r="N211" i="4" s="1"/>
  <c r="AT227" i="4"/>
  <c r="N227" i="4" s="1"/>
  <c r="AT235" i="4"/>
  <c r="N235" i="4" s="1"/>
  <c r="AT243" i="4"/>
  <c r="N243" i="4" s="1"/>
  <c r="AM158" i="4"/>
  <c r="AM160" i="4"/>
  <c r="AP162" i="4"/>
  <c r="S162" i="4" s="1"/>
  <c r="AT162" i="4"/>
  <c r="N162" i="4" s="1"/>
  <c r="AS163" i="4"/>
  <c r="M163" i="4" s="1"/>
  <c r="AU164" i="4"/>
  <c r="L164" i="4" s="1"/>
  <c r="AM164" i="4"/>
  <c r="AT167" i="4"/>
  <c r="N167" i="4" s="1"/>
  <c r="AP167" i="4"/>
  <c r="S167" i="4" s="1"/>
  <c r="AS167" i="4"/>
  <c r="M167" i="4" s="1"/>
  <c r="AQ173" i="4"/>
  <c r="AT175" i="4"/>
  <c r="N175" i="4" s="1"/>
  <c r="AP175" i="4"/>
  <c r="S175" i="4" s="1"/>
  <c r="AS175" i="4"/>
  <c r="M175" i="4" s="1"/>
  <c r="AN175" i="4"/>
  <c r="Q175" i="4" s="1"/>
  <c r="AQ181" i="4"/>
  <c r="AT183" i="4"/>
  <c r="N183" i="4" s="1"/>
  <c r="AP183" i="4"/>
  <c r="S183" i="4" s="1"/>
  <c r="AS183" i="4"/>
  <c r="M183" i="4" s="1"/>
  <c r="AT191" i="4"/>
  <c r="N191" i="4" s="1"/>
  <c r="AP191" i="4"/>
  <c r="S191" i="4" s="1"/>
  <c r="AS191" i="4"/>
  <c r="M191" i="4" s="1"/>
  <c r="M192" i="4"/>
  <c r="AQ198" i="4"/>
  <c r="P198" i="4"/>
  <c r="AU199" i="4"/>
  <c r="L199" i="4" s="1"/>
  <c r="AS199" i="4"/>
  <c r="M199" i="4" s="1"/>
  <c r="AN199" i="4"/>
  <c r="Q199" i="4" s="1"/>
  <c r="AM200" i="4"/>
  <c r="AT213" i="4"/>
  <c r="N213" i="4" s="1"/>
  <c r="AP129" i="4"/>
  <c r="S129" i="4" s="1"/>
  <c r="AP131" i="4"/>
  <c r="S131" i="4" s="1"/>
  <c r="AP133" i="4"/>
  <c r="S133" i="4" s="1"/>
  <c r="AP135" i="4"/>
  <c r="S135" i="4" s="1"/>
  <c r="AP137" i="4"/>
  <c r="S137" i="4" s="1"/>
  <c r="AP139" i="4"/>
  <c r="S139" i="4" s="1"/>
  <c r="AP141" i="4"/>
  <c r="S141" i="4" s="1"/>
  <c r="AP143" i="4"/>
  <c r="S143" i="4" s="1"/>
  <c r="AP145" i="4"/>
  <c r="S145" i="4" s="1"/>
  <c r="AP147" i="4"/>
  <c r="S147" i="4" s="1"/>
  <c r="AP149" i="4"/>
  <c r="S149" i="4" s="1"/>
  <c r="AP151" i="4"/>
  <c r="S151" i="4" s="1"/>
  <c r="AP153" i="4"/>
  <c r="S153" i="4" s="1"/>
  <c r="AP155" i="4"/>
  <c r="S155" i="4" s="1"/>
  <c r="AP157" i="4"/>
  <c r="S157" i="4" s="1"/>
  <c r="AP159" i="4"/>
  <c r="S159" i="4" s="1"/>
  <c r="AP161" i="4"/>
  <c r="S161" i="4" s="1"/>
  <c r="AO163" i="4"/>
  <c r="AU163" i="4"/>
  <c r="L163" i="4" s="1"/>
  <c r="AU171" i="4"/>
  <c r="L171" i="4" s="1"/>
  <c r="AM179" i="4"/>
  <c r="AU179" i="4"/>
  <c r="L179" i="4" s="1"/>
  <c r="AU187" i="4"/>
  <c r="L187" i="4" s="1"/>
  <c r="AU195" i="4"/>
  <c r="L195" i="4" s="1"/>
  <c r="AT195" i="4"/>
  <c r="N195" i="4" s="1"/>
  <c r="AO195" i="4"/>
  <c r="AS195" i="4"/>
  <c r="M195" i="4" s="1"/>
  <c r="P196" i="4"/>
  <c r="AQ196" i="4"/>
  <c r="AS197" i="4"/>
  <c r="M197" i="4" s="1"/>
  <c r="AO197" i="4"/>
  <c r="AT197" i="4"/>
  <c r="N197" i="4" s="1"/>
  <c r="AO199" i="4"/>
  <c r="AT231" i="4"/>
  <c r="N231" i="4" s="1"/>
  <c r="AT239" i="4"/>
  <c r="N239" i="4" s="1"/>
  <c r="AS201" i="4"/>
  <c r="AO201" i="4"/>
  <c r="AU203" i="4"/>
  <c r="L203" i="4" s="1"/>
  <c r="AM203" i="4"/>
  <c r="AM206" i="4"/>
  <c r="AT209" i="4"/>
  <c r="N209" i="4" s="1"/>
  <c r="AT210" i="4"/>
  <c r="N210" i="4" s="1"/>
  <c r="AP210" i="4"/>
  <c r="S210" i="4" s="1"/>
  <c r="AS211" i="4"/>
  <c r="M211" i="4" s="1"/>
  <c r="M216" i="4"/>
  <c r="AS217" i="4"/>
  <c r="AO217" i="4"/>
  <c r="AS218" i="4"/>
  <c r="M218" i="4" s="1"/>
  <c r="AU219" i="4"/>
  <c r="L219" i="4" s="1"/>
  <c r="AM219" i="4"/>
  <c r="AM222" i="4"/>
  <c r="AT225" i="4"/>
  <c r="N225" i="4" s="1"/>
  <c r="AT226" i="4"/>
  <c r="N226" i="4" s="1"/>
  <c r="AP226" i="4"/>
  <c r="S226" i="4" s="1"/>
  <c r="AS227" i="4"/>
  <c r="M227" i="4" s="1"/>
  <c r="AU229" i="4"/>
  <c r="L229" i="4" s="1"/>
  <c r="AM229" i="4"/>
  <c r="AS231" i="4"/>
  <c r="M231" i="4" s="1"/>
  <c r="AU233" i="4"/>
  <c r="L233" i="4" s="1"/>
  <c r="AM233" i="4"/>
  <c r="AS235" i="4"/>
  <c r="M235" i="4" s="1"/>
  <c r="AU237" i="4"/>
  <c r="L237" i="4" s="1"/>
  <c r="AM237" i="4"/>
  <c r="AS239" i="4"/>
  <c r="M239" i="4" s="1"/>
  <c r="AU241" i="4"/>
  <c r="L241" i="4" s="1"/>
  <c r="AM241" i="4"/>
  <c r="AS243" i="4"/>
  <c r="M243" i="4" s="1"/>
  <c r="AU245" i="4"/>
  <c r="L245" i="4" s="1"/>
  <c r="AM245" i="4"/>
  <c r="M250" i="4"/>
  <c r="AG488" i="4"/>
  <c r="AG451" i="4"/>
  <c r="AG414" i="4"/>
  <c r="AG303" i="4"/>
  <c r="AG492" i="4"/>
  <c r="AG455" i="4"/>
  <c r="AG418" i="4"/>
  <c r="AG307" i="4"/>
  <c r="AQ302" i="4"/>
  <c r="P302" i="4"/>
  <c r="AS166" i="4"/>
  <c r="AO166" i="4"/>
  <c r="AU168" i="4"/>
  <c r="L168" i="4" s="1"/>
  <c r="AM168" i="4"/>
  <c r="AS170" i="4"/>
  <c r="AO170" i="4"/>
  <c r="AU172" i="4"/>
  <c r="L172" i="4" s="1"/>
  <c r="AM172" i="4"/>
  <c r="AS174" i="4"/>
  <c r="AO174" i="4"/>
  <c r="AU176" i="4"/>
  <c r="L176" i="4" s="1"/>
  <c r="AM176" i="4"/>
  <c r="AS178" i="4"/>
  <c r="AO178" i="4"/>
  <c r="AU180" i="4"/>
  <c r="L180" i="4" s="1"/>
  <c r="AM180" i="4"/>
  <c r="AS182" i="4"/>
  <c r="AO182" i="4"/>
  <c r="AU184" i="4"/>
  <c r="L184" i="4" s="1"/>
  <c r="AM184" i="4"/>
  <c r="AS186" i="4"/>
  <c r="AO186" i="4"/>
  <c r="AU188" i="4"/>
  <c r="L188" i="4" s="1"/>
  <c r="AM188" i="4"/>
  <c r="AS190" i="4"/>
  <c r="AO190" i="4"/>
  <c r="AU192" i="4"/>
  <c r="L192" i="4" s="1"/>
  <c r="AM192" i="4"/>
  <c r="AS194" i="4"/>
  <c r="AO194" i="4"/>
  <c r="AT198" i="4"/>
  <c r="N198" i="4" s="1"/>
  <c r="AP198" i="4"/>
  <c r="S198" i="4" s="1"/>
  <c r="AM201" i="4"/>
  <c r="M204" i="4"/>
  <c r="AS205" i="4"/>
  <c r="AO205" i="4"/>
  <c r="AN206" i="4"/>
  <c r="Q206" i="4" s="1"/>
  <c r="AU207" i="4"/>
  <c r="L207" i="4" s="1"/>
  <c r="AM207" i="4"/>
  <c r="AP209" i="4"/>
  <c r="S209" i="4" s="1"/>
  <c r="AM210" i="4"/>
  <c r="AO211" i="4"/>
  <c r="AQ212" i="4"/>
  <c r="AN213" i="4"/>
  <c r="Q213" i="4" s="1"/>
  <c r="P214" i="4"/>
  <c r="AT214" i="4"/>
  <c r="N214" i="4" s="1"/>
  <c r="AP214" i="4"/>
  <c r="S214" i="4" s="1"/>
  <c r="AN215" i="4"/>
  <c r="Q215" i="4" s="1"/>
  <c r="AM217" i="4"/>
  <c r="AO218" i="4"/>
  <c r="M220" i="4"/>
  <c r="AS221" i="4"/>
  <c r="AO221" i="4"/>
  <c r="AN222" i="4"/>
  <c r="Q222" i="4" s="1"/>
  <c r="AU223" i="4"/>
  <c r="L223" i="4" s="1"/>
  <c r="AM223" i="4"/>
  <c r="AP225" i="4"/>
  <c r="S225" i="4" s="1"/>
  <c r="AM226" i="4"/>
  <c r="AO227" i="4"/>
  <c r="AU228" i="4"/>
  <c r="L228" i="4" s="1"/>
  <c r="AM228" i="4"/>
  <c r="AN230" i="4"/>
  <c r="Q230" i="4" s="1"/>
  <c r="AO231" i="4"/>
  <c r="AU232" i="4"/>
  <c r="L232" i="4" s="1"/>
  <c r="AM232" i="4"/>
  <c r="AN234" i="4"/>
  <c r="Q234" i="4" s="1"/>
  <c r="AO235" i="4"/>
  <c r="AU236" i="4"/>
  <c r="L236" i="4" s="1"/>
  <c r="AM236" i="4"/>
  <c r="AN238" i="4"/>
  <c r="Q238" i="4" s="1"/>
  <c r="AO239" i="4"/>
  <c r="AU240" i="4"/>
  <c r="L240" i="4" s="1"/>
  <c r="AM240" i="4"/>
  <c r="AN242" i="4"/>
  <c r="Q242" i="4" s="1"/>
  <c r="AO243" i="4"/>
  <c r="AU244" i="4"/>
  <c r="L244" i="4" s="1"/>
  <c r="AM244" i="4"/>
  <c r="M246" i="4"/>
  <c r="AU266" i="4"/>
  <c r="L266" i="4" s="1"/>
  <c r="AM266" i="4"/>
  <c r="AT266" i="4"/>
  <c r="N266" i="4" s="1"/>
  <c r="AP266" i="4"/>
  <c r="S266" i="4" s="1"/>
  <c r="AS266" i="4"/>
  <c r="AO266" i="4"/>
  <c r="AU270" i="4"/>
  <c r="L270" i="4" s="1"/>
  <c r="AT270" i="4"/>
  <c r="N270" i="4" s="1"/>
  <c r="AP270" i="4"/>
  <c r="S270" i="4" s="1"/>
  <c r="AS270" i="4"/>
  <c r="AM270" i="4" s="1"/>
  <c r="AO270" i="4"/>
  <c r="AT293" i="4"/>
  <c r="N293" i="4" s="1"/>
  <c r="AT303" i="4"/>
  <c r="N303" i="4" s="1"/>
  <c r="AT311" i="4"/>
  <c r="N311" i="4" s="1"/>
  <c r="AS209" i="4"/>
  <c r="M209" i="4" s="1"/>
  <c r="AO209" i="4"/>
  <c r="AU211" i="4"/>
  <c r="L211" i="4" s="1"/>
  <c r="AM211" i="4"/>
  <c r="AT218" i="4"/>
  <c r="N218" i="4" s="1"/>
  <c r="AP218" i="4"/>
  <c r="S218" i="4" s="1"/>
  <c r="AS225" i="4"/>
  <c r="M225" i="4" s="1"/>
  <c r="AO225" i="4"/>
  <c r="AU227" i="4"/>
  <c r="L227" i="4" s="1"/>
  <c r="AU231" i="4"/>
  <c r="L231" i="4" s="1"/>
  <c r="AM231" i="4"/>
  <c r="AU235" i="4"/>
  <c r="L235" i="4" s="1"/>
  <c r="AU239" i="4"/>
  <c r="L239" i="4" s="1"/>
  <c r="AM239" i="4"/>
  <c r="AU243" i="4"/>
  <c r="L243" i="4" s="1"/>
  <c r="AG490" i="4"/>
  <c r="AG453" i="4"/>
  <c r="AG416" i="4"/>
  <c r="AG305" i="4"/>
  <c r="AG494" i="4"/>
  <c r="AG457" i="4"/>
  <c r="AG420" i="4"/>
  <c r="AG309" i="4"/>
  <c r="AG496" i="4"/>
  <c r="AG459" i="4"/>
  <c r="AG422" i="4"/>
  <c r="AG311" i="4"/>
  <c r="AG498" i="4"/>
  <c r="AG461" i="4"/>
  <c r="AG424" i="4"/>
  <c r="AG313" i="4"/>
  <c r="AG500" i="4"/>
  <c r="AG463" i="4"/>
  <c r="AG426" i="4"/>
  <c r="AG315" i="4"/>
  <c r="AG502" i="4"/>
  <c r="AG465" i="4"/>
  <c r="AG428" i="4"/>
  <c r="AG317" i="4"/>
  <c r="AG504" i="4"/>
  <c r="AG467" i="4"/>
  <c r="AG430" i="4"/>
  <c r="AG319" i="4"/>
  <c r="AG506" i="4"/>
  <c r="AG469" i="4"/>
  <c r="AG432" i="4"/>
  <c r="AG321" i="4"/>
  <c r="AG508" i="4"/>
  <c r="AG471" i="4"/>
  <c r="AG434" i="4"/>
  <c r="AG323" i="4"/>
  <c r="AT288" i="4"/>
  <c r="N288" i="4" s="1"/>
  <c r="AT290" i="4"/>
  <c r="N290" i="4" s="1"/>
  <c r="AT299" i="4"/>
  <c r="N299" i="4" s="1"/>
  <c r="AT206" i="4"/>
  <c r="N206" i="4" s="1"/>
  <c r="AP206" i="4"/>
  <c r="S206" i="4" s="1"/>
  <c r="AM209" i="4"/>
  <c r="M212" i="4"/>
  <c r="AS213" i="4"/>
  <c r="M213" i="4" s="1"/>
  <c r="AO213" i="4"/>
  <c r="AU215" i="4"/>
  <c r="L215" i="4" s="1"/>
  <c r="AM215" i="4"/>
  <c r="AT222" i="4"/>
  <c r="N222" i="4" s="1"/>
  <c r="AP222" i="4"/>
  <c r="S222" i="4" s="1"/>
  <c r="AM225" i="4"/>
  <c r="AU230" i="4"/>
  <c r="L230" i="4" s="1"/>
  <c r="AM230" i="4"/>
  <c r="AU234" i="4"/>
  <c r="L234" i="4" s="1"/>
  <c r="AM234" i="4"/>
  <c r="AU238" i="4"/>
  <c r="L238" i="4" s="1"/>
  <c r="AM238" i="4"/>
  <c r="AU242" i="4"/>
  <c r="L242" i="4" s="1"/>
  <c r="AM242" i="4"/>
  <c r="AU268" i="4"/>
  <c r="L268" i="4" s="1"/>
  <c r="AM268" i="4"/>
  <c r="AT268" i="4"/>
  <c r="N268" i="4" s="1"/>
  <c r="AP268" i="4"/>
  <c r="S268" i="4" s="1"/>
  <c r="AS268" i="4"/>
  <c r="M268" i="4" s="1"/>
  <c r="AO268" i="4"/>
  <c r="AU272" i="4"/>
  <c r="L272" i="4" s="1"/>
  <c r="AT272" i="4"/>
  <c r="N272" i="4" s="1"/>
  <c r="AP272" i="4"/>
  <c r="S272" i="4" s="1"/>
  <c r="AS272" i="4"/>
  <c r="M272" i="4" s="1"/>
  <c r="AO272" i="4"/>
  <c r="AU274" i="4"/>
  <c r="L274" i="4" s="1"/>
  <c r="AM274" i="4"/>
  <c r="AT274" i="4"/>
  <c r="N274" i="4" s="1"/>
  <c r="AP274" i="4"/>
  <c r="S274" i="4" s="1"/>
  <c r="AS274" i="4"/>
  <c r="M274" i="4" s="1"/>
  <c r="AO274" i="4"/>
  <c r="AU276" i="4"/>
  <c r="L276" i="4" s="1"/>
  <c r="AT276" i="4"/>
  <c r="N276" i="4" s="1"/>
  <c r="AP276" i="4"/>
  <c r="S276" i="4" s="1"/>
  <c r="AS276" i="4"/>
  <c r="M276" i="4" s="1"/>
  <c r="AO276" i="4"/>
  <c r="AU278" i="4"/>
  <c r="L278" i="4" s="1"/>
  <c r="AM278" i="4"/>
  <c r="AT278" i="4"/>
  <c r="N278" i="4" s="1"/>
  <c r="AP278" i="4"/>
  <c r="S278" i="4" s="1"/>
  <c r="AS278" i="4"/>
  <c r="M278" i="4" s="1"/>
  <c r="AO278" i="4"/>
  <c r="AU280" i="4"/>
  <c r="L280" i="4" s="1"/>
  <c r="AT280" i="4"/>
  <c r="N280" i="4" s="1"/>
  <c r="AP280" i="4"/>
  <c r="S280" i="4" s="1"/>
  <c r="AS280" i="4"/>
  <c r="M280" i="4" s="1"/>
  <c r="AO280" i="4"/>
  <c r="AU282" i="4"/>
  <c r="L282" i="4" s="1"/>
  <c r="AM282" i="4"/>
  <c r="AT282" i="4"/>
  <c r="N282" i="4" s="1"/>
  <c r="AP282" i="4"/>
  <c r="S282" i="4" s="1"/>
  <c r="AS282" i="4"/>
  <c r="M282" i="4" s="1"/>
  <c r="AO282" i="4"/>
  <c r="AU284" i="4"/>
  <c r="L284" i="4" s="1"/>
  <c r="AT284" i="4"/>
  <c r="N284" i="4" s="1"/>
  <c r="AP284" i="4"/>
  <c r="S284" i="4" s="1"/>
  <c r="AS284" i="4"/>
  <c r="M284" i="4" s="1"/>
  <c r="AO284" i="4"/>
  <c r="AU286" i="4"/>
  <c r="L286" i="4" s="1"/>
  <c r="AM286" i="4"/>
  <c r="AT286" i="4"/>
  <c r="N286" i="4" s="1"/>
  <c r="AP286" i="4"/>
  <c r="S286" i="4" s="1"/>
  <c r="AS286" i="4"/>
  <c r="M286" i="4" s="1"/>
  <c r="AO286" i="4"/>
  <c r="AT307" i="4"/>
  <c r="N307" i="4" s="1"/>
  <c r="AG510" i="4"/>
  <c r="AG473" i="4"/>
  <c r="AG436" i="4"/>
  <c r="AG325" i="4"/>
  <c r="M289" i="4"/>
  <c r="AG512" i="4"/>
  <c r="AG475" i="4"/>
  <c r="AG438" i="4"/>
  <c r="AG327" i="4"/>
  <c r="AG515" i="4"/>
  <c r="AG478" i="4"/>
  <c r="AG441" i="4"/>
  <c r="AG330" i="4"/>
  <c r="AS294" i="4"/>
  <c r="M294" i="4" s="1"/>
  <c r="AO294" i="4"/>
  <c r="AU296" i="4"/>
  <c r="L296" i="4" s="1"/>
  <c r="AT298" i="4"/>
  <c r="N298" i="4" s="1"/>
  <c r="AP298" i="4"/>
  <c r="S298" i="4" s="1"/>
  <c r="AG523" i="4"/>
  <c r="AG486" i="4"/>
  <c r="AG449" i="4"/>
  <c r="AG338" i="4"/>
  <c r="AS305" i="4"/>
  <c r="AO305" i="4"/>
  <c r="AU305" i="4"/>
  <c r="L305" i="4" s="1"/>
  <c r="AM306" i="4"/>
  <c r="AS309" i="4"/>
  <c r="AO309" i="4"/>
  <c r="AU309" i="4"/>
  <c r="L309" i="4" s="1"/>
  <c r="AM310" i="4"/>
  <c r="AN320" i="4"/>
  <c r="Q320" i="4" s="1"/>
  <c r="AM320" i="4"/>
  <c r="AT322" i="4"/>
  <c r="N322" i="4" s="1"/>
  <c r="AU323" i="4"/>
  <c r="L323" i="4" s="1"/>
  <c r="AT323" i="4"/>
  <c r="N323" i="4" s="1"/>
  <c r="AP323" i="4"/>
  <c r="S323" i="4" s="1"/>
  <c r="AS323" i="4"/>
  <c r="AM323" i="4" s="1"/>
  <c r="AO323" i="4"/>
  <c r="AR342" i="4"/>
  <c r="U342" i="4" s="1"/>
  <c r="T342" i="4"/>
  <c r="AR357" i="4"/>
  <c r="U357" i="4" s="1"/>
  <c r="T357" i="4"/>
  <c r="AP251" i="4"/>
  <c r="S251" i="4" s="1"/>
  <c r="AT251" i="4"/>
  <c r="N251" i="4" s="1"/>
  <c r="AP252" i="4"/>
  <c r="S252" i="4" s="1"/>
  <c r="AT252" i="4"/>
  <c r="N252" i="4" s="1"/>
  <c r="AP253" i="4"/>
  <c r="S253" i="4" s="1"/>
  <c r="AT253" i="4"/>
  <c r="N253" i="4" s="1"/>
  <c r="AP254" i="4"/>
  <c r="S254" i="4" s="1"/>
  <c r="AT254" i="4"/>
  <c r="N254" i="4" s="1"/>
  <c r="AP255" i="4"/>
  <c r="S255" i="4" s="1"/>
  <c r="AT255" i="4"/>
  <c r="N255" i="4" s="1"/>
  <c r="AP256" i="4"/>
  <c r="S256" i="4" s="1"/>
  <c r="AT256" i="4"/>
  <c r="N256" i="4" s="1"/>
  <c r="AP257" i="4"/>
  <c r="S257" i="4" s="1"/>
  <c r="AT257" i="4"/>
  <c r="N257" i="4" s="1"/>
  <c r="AP258" i="4"/>
  <c r="S258" i="4" s="1"/>
  <c r="AT258" i="4"/>
  <c r="N258" i="4" s="1"/>
  <c r="AP259" i="4"/>
  <c r="S259" i="4" s="1"/>
  <c r="AT259" i="4"/>
  <c r="N259" i="4" s="1"/>
  <c r="AP260" i="4"/>
  <c r="S260" i="4" s="1"/>
  <c r="AT260" i="4"/>
  <c r="N260" i="4" s="1"/>
  <c r="AP261" i="4"/>
  <c r="S261" i="4" s="1"/>
  <c r="AT261" i="4"/>
  <c r="N261" i="4" s="1"/>
  <c r="AP262" i="4"/>
  <c r="S262" i="4" s="1"/>
  <c r="AT262" i="4"/>
  <c r="N262" i="4" s="1"/>
  <c r="AP263" i="4"/>
  <c r="S263" i="4" s="1"/>
  <c r="AT263" i="4"/>
  <c r="N263" i="4" s="1"/>
  <c r="AP264" i="4"/>
  <c r="S264" i="4" s="1"/>
  <c r="AT264" i="4"/>
  <c r="N264" i="4" s="1"/>
  <c r="AM265" i="4"/>
  <c r="AM267" i="4"/>
  <c r="AM269" i="4"/>
  <c r="AM271" i="4"/>
  <c r="AM273" i="4"/>
  <c r="AM275" i="4"/>
  <c r="AM277" i="4"/>
  <c r="AM279" i="4"/>
  <c r="AM281" i="4"/>
  <c r="AM283" i="4"/>
  <c r="AM285" i="4"/>
  <c r="AM287" i="4"/>
  <c r="AO288" i="4"/>
  <c r="AS288" i="4"/>
  <c r="AM289" i="4"/>
  <c r="AO290" i="4"/>
  <c r="AS290" i="4"/>
  <c r="AU291" i="4"/>
  <c r="L291" i="4" s="1"/>
  <c r="AM291" i="4"/>
  <c r="AP292" i="4"/>
  <c r="S292" i="4" s="1"/>
  <c r="AS293" i="4"/>
  <c r="M293" i="4" s="1"/>
  <c r="AG516" i="4"/>
  <c r="AG479" i="4"/>
  <c r="AG442" i="4"/>
  <c r="AG331" i="4"/>
  <c r="AO295" i="4"/>
  <c r="AG518" i="4"/>
  <c r="AG481" i="4"/>
  <c r="AG444" i="4"/>
  <c r="AG333" i="4"/>
  <c r="M297" i="4"/>
  <c r="AG520" i="4"/>
  <c r="AG483" i="4"/>
  <c r="AG446" i="4"/>
  <c r="AG335" i="4"/>
  <c r="AO299" i="4"/>
  <c r="AT301" i="4"/>
  <c r="N301" i="4" s="1"/>
  <c r="AT302" i="4"/>
  <c r="N302" i="4" s="1"/>
  <c r="AP302" i="4"/>
  <c r="S302" i="4" s="1"/>
  <c r="AS303" i="4"/>
  <c r="M303" i="4" s="1"/>
  <c r="AP305" i="4"/>
  <c r="S305" i="4" s="1"/>
  <c r="AT306" i="4"/>
  <c r="N306" i="4" s="1"/>
  <c r="AP309" i="4"/>
  <c r="S309" i="4" s="1"/>
  <c r="AT310" i="4"/>
  <c r="N310" i="4" s="1"/>
  <c r="AN316" i="4"/>
  <c r="Q316" i="4" s="1"/>
  <c r="AM316" i="4"/>
  <c r="AT318" i="4"/>
  <c r="N318" i="4" s="1"/>
  <c r="AU319" i="4"/>
  <c r="L319" i="4" s="1"/>
  <c r="AT319" i="4"/>
  <c r="N319" i="4" s="1"/>
  <c r="AP319" i="4"/>
  <c r="S319" i="4" s="1"/>
  <c r="AS319" i="4"/>
  <c r="AM319" i="4" s="1"/>
  <c r="AO319" i="4"/>
  <c r="AT346" i="4"/>
  <c r="N346" i="4" s="1"/>
  <c r="AT350" i="4"/>
  <c r="N350" i="4" s="1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G487" i="4"/>
  <c r="AG450" i="4"/>
  <c r="AG413" i="4"/>
  <c r="AG489" i="4"/>
  <c r="AG452" i="4"/>
  <c r="AG415" i="4"/>
  <c r="AG491" i="4"/>
  <c r="AG454" i="4"/>
  <c r="AG417" i="4"/>
  <c r="AG493" i="4"/>
  <c r="AG456" i="4"/>
  <c r="AG419" i="4"/>
  <c r="AG495" i="4"/>
  <c r="AG458" i="4"/>
  <c r="AG421" i="4"/>
  <c r="AG497" i="4"/>
  <c r="AG460" i="4"/>
  <c r="AG423" i="4"/>
  <c r="AG499" i="4"/>
  <c r="AG462" i="4"/>
  <c r="AG425" i="4"/>
  <c r="AG314" i="4"/>
  <c r="AG501" i="4"/>
  <c r="AG464" i="4"/>
  <c r="AG427" i="4"/>
  <c r="AG503" i="4"/>
  <c r="AG466" i="4"/>
  <c r="AG429" i="4"/>
  <c r="AG318" i="4"/>
  <c r="AG505" i="4"/>
  <c r="AG468" i="4"/>
  <c r="AG431" i="4"/>
  <c r="AG507" i="4"/>
  <c r="AG470" i="4"/>
  <c r="AG433" i="4"/>
  <c r="AG322" i="4"/>
  <c r="AG509" i="4"/>
  <c r="AG472" i="4"/>
  <c r="AG435" i="4"/>
  <c r="AP288" i="4"/>
  <c r="S288" i="4" s="1"/>
  <c r="AG511" i="4"/>
  <c r="AG474" i="4"/>
  <c r="AG437" i="4"/>
  <c r="AG326" i="4"/>
  <c r="AP290" i="4"/>
  <c r="S290" i="4" s="1"/>
  <c r="AG513" i="4"/>
  <c r="AG476" i="4"/>
  <c r="AG439" i="4"/>
  <c r="AG328" i="4"/>
  <c r="AS292" i="4"/>
  <c r="AO292" i="4"/>
  <c r="AO293" i="4"/>
  <c r="AN294" i="4"/>
  <c r="Q294" i="4" s="1"/>
  <c r="AT294" i="4"/>
  <c r="N294" i="4" s="1"/>
  <c r="AT295" i="4"/>
  <c r="N295" i="4" s="1"/>
  <c r="AP295" i="4"/>
  <c r="S295" i="4" s="1"/>
  <c r="AS296" i="4"/>
  <c r="M296" i="4" s="1"/>
  <c r="AS298" i="4"/>
  <c r="M298" i="4" s="1"/>
  <c r="AU299" i="4"/>
  <c r="L299" i="4" s="1"/>
  <c r="AM299" i="4"/>
  <c r="AP301" i="4"/>
  <c r="S301" i="4" s="1"/>
  <c r="AO303" i="4"/>
  <c r="AU307" i="4"/>
  <c r="L307" i="4" s="1"/>
  <c r="AS307" i="4"/>
  <c r="AO307" i="4"/>
  <c r="AU311" i="4"/>
  <c r="L311" i="4" s="1"/>
  <c r="AS311" i="4"/>
  <c r="AO311" i="4"/>
  <c r="AT314" i="4"/>
  <c r="N314" i="4" s="1"/>
  <c r="AU315" i="4"/>
  <c r="L315" i="4" s="1"/>
  <c r="AM315" i="4"/>
  <c r="AT315" i="4"/>
  <c r="N315" i="4" s="1"/>
  <c r="AP315" i="4"/>
  <c r="S315" i="4" s="1"/>
  <c r="AS315" i="4"/>
  <c r="M315" i="4" s="1"/>
  <c r="AO315" i="4"/>
  <c r="AG320" i="4"/>
  <c r="M321" i="4"/>
  <c r="AN321" i="4"/>
  <c r="Q321" i="4" s="1"/>
  <c r="P384" i="4"/>
  <c r="AQ384" i="4"/>
  <c r="AG514" i="4"/>
  <c r="AG477" i="4"/>
  <c r="AG440" i="4"/>
  <c r="AG329" i="4"/>
  <c r="AU293" i="4"/>
  <c r="L293" i="4" s="1"/>
  <c r="AG517" i="4"/>
  <c r="AG480" i="4"/>
  <c r="AG443" i="4"/>
  <c r="AG332" i="4"/>
  <c r="AG521" i="4"/>
  <c r="AG484" i="4"/>
  <c r="AG447" i="4"/>
  <c r="AG336" i="4"/>
  <c r="AS301" i="4"/>
  <c r="M301" i="4" s="1"/>
  <c r="AO301" i="4"/>
  <c r="AU303" i="4"/>
  <c r="L303" i="4" s="1"/>
  <c r="AM303" i="4"/>
  <c r="AG306" i="4"/>
  <c r="AG310" i="4"/>
  <c r="AG316" i="4"/>
  <c r="M317" i="4"/>
  <c r="AN317" i="4"/>
  <c r="Q317" i="4" s="1"/>
  <c r="AN324" i="4"/>
  <c r="Q324" i="4" s="1"/>
  <c r="AM324" i="4"/>
  <c r="M325" i="4"/>
  <c r="AN325" i="4"/>
  <c r="Q325" i="4" s="1"/>
  <c r="AT326" i="4"/>
  <c r="N326" i="4" s="1"/>
  <c r="M329" i="4"/>
  <c r="AN329" i="4"/>
  <c r="Q329" i="4" s="1"/>
  <c r="AT330" i="4"/>
  <c r="N330" i="4" s="1"/>
  <c r="M333" i="4"/>
  <c r="AN333" i="4"/>
  <c r="Q333" i="4" s="1"/>
  <c r="AT334" i="4"/>
  <c r="N334" i="4" s="1"/>
  <c r="M337" i="4"/>
  <c r="AN337" i="4"/>
  <c r="Q337" i="4" s="1"/>
  <c r="AT338" i="4"/>
  <c r="N338" i="4" s="1"/>
  <c r="AT340" i="4"/>
  <c r="N340" i="4" s="1"/>
  <c r="AT342" i="4"/>
  <c r="N342" i="4" s="1"/>
  <c r="AT344" i="4"/>
  <c r="N344" i="4" s="1"/>
  <c r="AT348" i="4"/>
  <c r="N348" i="4" s="1"/>
  <c r="AM313" i="4"/>
  <c r="AU313" i="4"/>
  <c r="L313" i="4" s="1"/>
  <c r="AM317" i="4"/>
  <c r="AU317" i="4"/>
  <c r="L317" i="4" s="1"/>
  <c r="AM321" i="4"/>
  <c r="AU321" i="4"/>
  <c r="L321" i="4" s="1"/>
  <c r="AM325" i="4"/>
  <c r="AU325" i="4"/>
  <c r="L325" i="4" s="1"/>
  <c r="AO327" i="4"/>
  <c r="AS327" i="4"/>
  <c r="AM327" i="4" s="1"/>
  <c r="AM329" i="4"/>
  <c r="AU329" i="4"/>
  <c r="L329" i="4" s="1"/>
  <c r="AO331" i="4"/>
  <c r="AS331" i="4"/>
  <c r="AM333" i="4"/>
  <c r="AU333" i="4"/>
  <c r="L333" i="4" s="1"/>
  <c r="AO335" i="4"/>
  <c r="AS335" i="4"/>
  <c r="AM337" i="4"/>
  <c r="AU337" i="4"/>
  <c r="L337" i="4" s="1"/>
  <c r="M339" i="4"/>
  <c r="AN340" i="4"/>
  <c r="Q340" i="4" s="1"/>
  <c r="M341" i="4"/>
  <c r="P342" i="4"/>
  <c r="AN342" i="4"/>
  <c r="Q342" i="4" s="1"/>
  <c r="M343" i="4"/>
  <c r="AN344" i="4"/>
  <c r="Q344" i="4" s="1"/>
  <c r="M345" i="4"/>
  <c r="M347" i="4"/>
  <c r="M349" i="4"/>
  <c r="AT353" i="4"/>
  <c r="N353" i="4" s="1"/>
  <c r="AP353" i="4"/>
  <c r="S353" i="4" s="1"/>
  <c r="M354" i="4"/>
  <c r="AT361" i="4"/>
  <c r="N361" i="4" s="1"/>
  <c r="AP361" i="4"/>
  <c r="S361" i="4" s="1"/>
  <c r="M362" i="4"/>
  <c r="AT373" i="4"/>
  <c r="N373" i="4" s="1"/>
  <c r="AP373" i="4"/>
  <c r="S373" i="4" s="1"/>
  <c r="AQ377" i="4"/>
  <c r="AT380" i="4"/>
  <c r="N380" i="4" s="1"/>
  <c r="AP380" i="4"/>
  <c r="S380" i="4" s="1"/>
  <c r="M381" i="4"/>
  <c r="AR382" i="4"/>
  <c r="U382" i="4" s="1"/>
  <c r="AN385" i="4"/>
  <c r="Q385" i="4" s="1"/>
  <c r="AM385" i="4"/>
  <c r="M385" i="4"/>
  <c r="AQ386" i="4"/>
  <c r="AT388" i="4"/>
  <c r="N388" i="4" s="1"/>
  <c r="AN391" i="4"/>
  <c r="Q391" i="4" s="1"/>
  <c r="AM391" i="4"/>
  <c r="M391" i="4"/>
  <c r="AT394" i="4"/>
  <c r="N394" i="4" s="1"/>
  <c r="AP327" i="4"/>
  <c r="S327" i="4" s="1"/>
  <c r="AT327" i="4"/>
  <c r="N327" i="4" s="1"/>
  <c r="AM328" i="4"/>
  <c r="AP331" i="4"/>
  <c r="S331" i="4" s="1"/>
  <c r="AT331" i="4"/>
  <c r="N331" i="4" s="1"/>
  <c r="AM332" i="4"/>
  <c r="AP335" i="4"/>
  <c r="S335" i="4" s="1"/>
  <c r="AT335" i="4"/>
  <c r="N335" i="4" s="1"/>
  <c r="AM336" i="4"/>
  <c r="AM339" i="4"/>
  <c r="AM341" i="4"/>
  <c r="AM343" i="4"/>
  <c r="AM345" i="4"/>
  <c r="AO346" i="4"/>
  <c r="AS346" i="4"/>
  <c r="AM347" i="4"/>
  <c r="AO348" i="4"/>
  <c r="AS348" i="4"/>
  <c r="AM349" i="4"/>
  <c r="AO350" i="4"/>
  <c r="AS350" i="4"/>
  <c r="AT351" i="4"/>
  <c r="N351" i="4" s="1"/>
  <c r="AP351" i="4"/>
  <c r="S351" i="4" s="1"/>
  <c r="M352" i="4"/>
  <c r="AS355" i="4"/>
  <c r="AT359" i="4"/>
  <c r="N359" i="4" s="1"/>
  <c r="AP359" i="4"/>
  <c r="S359" i="4" s="1"/>
  <c r="M360" i="4"/>
  <c r="AS363" i="4"/>
  <c r="AT367" i="4"/>
  <c r="N367" i="4" s="1"/>
  <c r="AP367" i="4"/>
  <c r="S367" i="4" s="1"/>
  <c r="M368" i="4"/>
  <c r="AS369" i="4"/>
  <c r="AO369" i="4"/>
  <c r="AS370" i="4"/>
  <c r="AN370" i="4" s="1"/>
  <c r="Q370" i="4" s="1"/>
  <c r="AU371" i="4"/>
  <c r="L371" i="4" s="1"/>
  <c r="AM371" i="4"/>
  <c r="AT378" i="4"/>
  <c r="N378" i="4" s="1"/>
  <c r="AP378" i="4"/>
  <c r="S378" i="4" s="1"/>
  <c r="AQ383" i="4"/>
  <c r="AT384" i="4"/>
  <c r="N384" i="4" s="1"/>
  <c r="AT390" i="4"/>
  <c r="N390" i="4" s="1"/>
  <c r="AG519" i="4"/>
  <c r="AG482" i="4"/>
  <c r="AG445" i="4"/>
  <c r="AG522" i="4"/>
  <c r="AG485" i="4"/>
  <c r="AG448" i="4"/>
  <c r="AP306" i="4"/>
  <c r="S306" i="4" s="1"/>
  <c r="AP310" i="4"/>
  <c r="S310" i="4" s="1"/>
  <c r="AO313" i="4"/>
  <c r="AP314" i="4"/>
  <c r="S314" i="4" s="1"/>
  <c r="AO317" i="4"/>
  <c r="AP318" i="4"/>
  <c r="S318" i="4" s="1"/>
  <c r="AO321" i="4"/>
  <c r="AP322" i="4"/>
  <c r="S322" i="4" s="1"/>
  <c r="AO325" i="4"/>
  <c r="AP326" i="4"/>
  <c r="S326" i="4" s="1"/>
  <c r="AO329" i="4"/>
  <c r="AP330" i="4"/>
  <c r="S330" i="4" s="1"/>
  <c r="AM331" i="4"/>
  <c r="AO333" i="4"/>
  <c r="AP334" i="4"/>
  <c r="S334" i="4" s="1"/>
  <c r="AM335" i="4"/>
  <c r="AG337" i="4"/>
  <c r="AO337" i="4"/>
  <c r="AP338" i="4"/>
  <c r="S338" i="4" s="1"/>
  <c r="AP340" i="4"/>
  <c r="S340" i="4" s="1"/>
  <c r="AP342" i="4"/>
  <c r="S342" i="4" s="1"/>
  <c r="AP344" i="4"/>
  <c r="S344" i="4" s="1"/>
  <c r="AP346" i="4"/>
  <c r="S346" i="4" s="1"/>
  <c r="AP348" i="4"/>
  <c r="S348" i="4" s="1"/>
  <c r="AP350" i="4"/>
  <c r="S350" i="4" s="1"/>
  <c r="AM351" i="4"/>
  <c r="AS353" i="4"/>
  <c r="M353" i="4" s="1"/>
  <c r="AO355" i="4"/>
  <c r="P357" i="4"/>
  <c r="AT357" i="4"/>
  <c r="N357" i="4" s="1"/>
  <c r="AP357" i="4"/>
  <c r="S357" i="4" s="1"/>
  <c r="M358" i="4"/>
  <c r="AM359" i="4"/>
  <c r="AS361" i="4"/>
  <c r="M361" i="4" s="1"/>
  <c r="AQ362" i="4"/>
  <c r="AO363" i="4"/>
  <c r="AT365" i="4"/>
  <c r="N365" i="4" s="1"/>
  <c r="AP365" i="4"/>
  <c r="S365" i="4" s="1"/>
  <c r="M366" i="4"/>
  <c r="AM367" i="4"/>
  <c r="AM369" i="4"/>
  <c r="AO370" i="4"/>
  <c r="AS372" i="4"/>
  <c r="AO372" i="4"/>
  <c r="AS373" i="4"/>
  <c r="M373" i="4" s="1"/>
  <c r="AU374" i="4"/>
  <c r="L374" i="4" s="1"/>
  <c r="AM374" i="4"/>
  <c r="AT376" i="4"/>
  <c r="N376" i="4" s="1"/>
  <c r="AP376" i="4"/>
  <c r="S376" i="4" s="1"/>
  <c r="M377" i="4"/>
  <c r="AM378" i="4"/>
  <c r="AS380" i="4"/>
  <c r="AN380" i="4" s="1"/>
  <c r="Q380" i="4" s="1"/>
  <c r="AQ381" i="4"/>
  <c r="AN383" i="4"/>
  <c r="Q383" i="4" s="1"/>
  <c r="M383" i="4"/>
  <c r="AN387" i="4"/>
  <c r="Q387" i="4" s="1"/>
  <c r="AM387" i="4"/>
  <c r="M387" i="4"/>
  <c r="AT392" i="4"/>
  <c r="N392" i="4" s="1"/>
  <c r="AT421" i="4"/>
  <c r="N421" i="4" s="1"/>
  <c r="AQ352" i="4"/>
  <c r="AT355" i="4"/>
  <c r="N355" i="4" s="1"/>
  <c r="AP355" i="4"/>
  <c r="S355" i="4" s="1"/>
  <c r="AQ360" i="4"/>
  <c r="AT363" i="4"/>
  <c r="N363" i="4" s="1"/>
  <c r="AP363" i="4"/>
  <c r="S363" i="4" s="1"/>
  <c r="AQ368" i="4"/>
  <c r="AT370" i="4"/>
  <c r="N370" i="4" s="1"/>
  <c r="AP370" i="4"/>
  <c r="S370" i="4" s="1"/>
  <c r="AT382" i="4"/>
  <c r="N382" i="4" s="1"/>
  <c r="M384" i="4"/>
  <c r="AN384" i="4"/>
  <c r="Q384" i="4" s="1"/>
  <c r="AT386" i="4"/>
  <c r="N386" i="4" s="1"/>
  <c r="AN389" i="4"/>
  <c r="Q389" i="4" s="1"/>
  <c r="AM389" i="4"/>
  <c r="M389" i="4"/>
  <c r="AR414" i="4"/>
  <c r="U414" i="4" s="1"/>
  <c r="T414" i="4"/>
  <c r="AR418" i="4"/>
  <c r="U418" i="4" s="1"/>
  <c r="T418" i="4"/>
  <c r="P427" i="4"/>
  <c r="AQ427" i="4"/>
  <c r="AN386" i="4"/>
  <c r="Q386" i="4" s="1"/>
  <c r="M393" i="4"/>
  <c r="M395" i="4"/>
  <c r="AQ406" i="4"/>
  <c r="AU409" i="4"/>
  <c r="L409" i="4" s="1"/>
  <c r="AP419" i="4"/>
  <c r="S419" i="4" s="1"/>
  <c r="AO421" i="4"/>
  <c r="AP423" i="4"/>
  <c r="S423" i="4" s="1"/>
  <c r="AU425" i="4"/>
  <c r="L425" i="4" s="1"/>
  <c r="AM425" i="4"/>
  <c r="AT425" i="4"/>
  <c r="N425" i="4" s="1"/>
  <c r="AP425" i="4"/>
  <c r="S425" i="4" s="1"/>
  <c r="AT428" i="4"/>
  <c r="N428" i="4" s="1"/>
  <c r="AP428" i="4"/>
  <c r="S428" i="4" s="1"/>
  <c r="AS428" i="4"/>
  <c r="AO428" i="4"/>
  <c r="AN462" i="4"/>
  <c r="Q462" i="4" s="1"/>
  <c r="M462" i="4"/>
  <c r="AO388" i="4"/>
  <c r="AS388" i="4"/>
  <c r="AO390" i="4"/>
  <c r="AS390" i="4"/>
  <c r="AO392" i="4"/>
  <c r="AS392" i="4"/>
  <c r="AM393" i="4"/>
  <c r="AO394" i="4"/>
  <c r="AS394" i="4"/>
  <c r="AM395" i="4"/>
  <c r="AO396" i="4"/>
  <c r="AS396" i="4"/>
  <c r="AM397" i="4"/>
  <c r="AO398" i="4"/>
  <c r="AS398" i="4"/>
  <c r="AM399" i="4"/>
  <c r="AO400" i="4"/>
  <c r="AS400" i="4"/>
  <c r="AM400" i="4" s="1"/>
  <c r="AM401" i="4"/>
  <c r="AO402" i="4"/>
  <c r="AS402" i="4"/>
  <c r="AM403" i="4"/>
  <c r="AO404" i="4"/>
  <c r="AS404" i="4"/>
  <c r="AM405" i="4"/>
  <c r="AO407" i="4"/>
  <c r="AS407" i="4"/>
  <c r="M408" i="4"/>
  <c r="AP408" i="4"/>
  <c r="S408" i="4" s="1"/>
  <c r="AT408" i="4"/>
  <c r="N408" i="4" s="1"/>
  <c r="M410" i="4"/>
  <c r="AS411" i="4"/>
  <c r="AO411" i="4"/>
  <c r="AN412" i="4"/>
  <c r="Q412" i="4" s="1"/>
  <c r="AS412" i="4"/>
  <c r="AU413" i="4"/>
  <c r="L413" i="4" s="1"/>
  <c r="AM413" i="4"/>
  <c r="AS415" i="4"/>
  <c r="AO415" i="4"/>
  <c r="AS416" i="4"/>
  <c r="AU417" i="4"/>
  <c r="L417" i="4" s="1"/>
  <c r="AM417" i="4"/>
  <c r="AS419" i="4"/>
  <c r="AM419" i="4" s="1"/>
  <c r="AO419" i="4"/>
  <c r="AN420" i="4"/>
  <c r="Q420" i="4" s="1"/>
  <c r="AS420" i="4"/>
  <c r="M420" i="4" s="1"/>
  <c r="AU421" i="4"/>
  <c r="L421" i="4" s="1"/>
  <c r="AM421" i="4"/>
  <c r="AS423" i="4"/>
  <c r="AM423" i="4" s="1"/>
  <c r="AO423" i="4"/>
  <c r="AS424" i="4"/>
  <c r="M424" i="4" s="1"/>
  <c r="M431" i="4"/>
  <c r="AN431" i="4"/>
  <c r="Q431" i="4" s="1"/>
  <c r="AM431" i="4"/>
  <c r="AT432" i="4"/>
  <c r="N432" i="4" s="1"/>
  <c r="AU433" i="4"/>
  <c r="L433" i="4" s="1"/>
  <c r="AT433" i="4"/>
  <c r="N433" i="4" s="1"/>
  <c r="AP433" i="4"/>
  <c r="S433" i="4" s="1"/>
  <c r="AS433" i="4"/>
  <c r="AM433" i="4" s="1"/>
  <c r="AO433" i="4"/>
  <c r="M435" i="4"/>
  <c r="AN435" i="4"/>
  <c r="Q435" i="4" s="1"/>
  <c r="AM435" i="4"/>
  <c r="AT436" i="4"/>
  <c r="N436" i="4" s="1"/>
  <c r="AT450" i="4"/>
  <c r="N450" i="4" s="1"/>
  <c r="AR452" i="4"/>
  <c r="U452" i="4" s="1"/>
  <c r="T452" i="4"/>
  <c r="AT454" i="4"/>
  <c r="N454" i="4" s="1"/>
  <c r="AR456" i="4"/>
  <c r="U456" i="4" s="1"/>
  <c r="T456" i="4"/>
  <c r="AP382" i="4"/>
  <c r="S382" i="4" s="1"/>
  <c r="AP384" i="4"/>
  <c r="S384" i="4" s="1"/>
  <c r="AP386" i="4"/>
  <c r="S386" i="4" s="1"/>
  <c r="AP388" i="4"/>
  <c r="S388" i="4" s="1"/>
  <c r="AP390" i="4"/>
  <c r="S390" i="4" s="1"/>
  <c r="AP392" i="4"/>
  <c r="S392" i="4" s="1"/>
  <c r="AP394" i="4"/>
  <c r="S394" i="4" s="1"/>
  <c r="AP396" i="4"/>
  <c r="S396" i="4" s="1"/>
  <c r="AT396" i="4"/>
  <c r="N396" i="4" s="1"/>
  <c r="AP398" i="4"/>
  <c r="S398" i="4" s="1"/>
  <c r="AT398" i="4"/>
  <c r="N398" i="4" s="1"/>
  <c r="AP400" i="4"/>
  <c r="S400" i="4" s="1"/>
  <c r="AT400" i="4"/>
  <c r="N400" i="4" s="1"/>
  <c r="AP402" i="4"/>
  <c r="S402" i="4" s="1"/>
  <c r="AT402" i="4"/>
  <c r="N402" i="4" s="1"/>
  <c r="AP404" i="4"/>
  <c r="S404" i="4" s="1"/>
  <c r="AT404" i="4"/>
  <c r="N404" i="4" s="1"/>
  <c r="AP407" i="4"/>
  <c r="S407" i="4" s="1"/>
  <c r="AT407" i="4"/>
  <c r="N407" i="4" s="1"/>
  <c r="AM408" i="4"/>
  <c r="AS409" i="4"/>
  <c r="M409" i="4" s="1"/>
  <c r="AM411" i="4"/>
  <c r="AO412" i="4"/>
  <c r="P414" i="4"/>
  <c r="AO416" i="4"/>
  <c r="P418" i="4"/>
  <c r="AO420" i="4"/>
  <c r="AO424" i="4"/>
  <c r="AN430" i="4"/>
  <c r="Q430" i="4" s="1"/>
  <c r="AM430" i="4"/>
  <c r="M439" i="4"/>
  <c r="AN439" i="4"/>
  <c r="Q439" i="4" s="1"/>
  <c r="AM439" i="4"/>
  <c r="AT440" i="4"/>
  <c r="N440" i="4" s="1"/>
  <c r="AM396" i="4"/>
  <c r="AM398" i="4"/>
  <c r="AM404" i="4"/>
  <c r="AM407" i="4"/>
  <c r="AO409" i="4"/>
  <c r="AT409" i="4"/>
  <c r="N409" i="4" s="1"/>
  <c r="AQ410" i="4"/>
  <c r="AT412" i="4"/>
  <c r="N412" i="4" s="1"/>
  <c r="AP412" i="4"/>
  <c r="S412" i="4" s="1"/>
  <c r="AT416" i="4"/>
  <c r="N416" i="4" s="1"/>
  <c r="AP416" i="4"/>
  <c r="S416" i="4" s="1"/>
  <c r="AT420" i="4"/>
  <c r="N420" i="4" s="1"/>
  <c r="AP420" i="4"/>
  <c r="S420" i="4" s="1"/>
  <c r="AT424" i="4"/>
  <c r="N424" i="4" s="1"/>
  <c r="AP424" i="4"/>
  <c r="S424" i="4" s="1"/>
  <c r="AN426" i="4"/>
  <c r="Q426" i="4" s="1"/>
  <c r="AM426" i="4"/>
  <c r="M427" i="4"/>
  <c r="AN427" i="4"/>
  <c r="Q427" i="4" s="1"/>
  <c r="AU429" i="4"/>
  <c r="L429" i="4" s="1"/>
  <c r="AT429" i="4"/>
  <c r="N429" i="4" s="1"/>
  <c r="AP429" i="4"/>
  <c r="S429" i="4" s="1"/>
  <c r="AS429" i="4"/>
  <c r="AM429" i="4" s="1"/>
  <c r="AO429" i="4"/>
  <c r="M446" i="4"/>
  <c r="AN446" i="4"/>
  <c r="Q446" i="4" s="1"/>
  <c r="AT447" i="4"/>
  <c r="N447" i="4" s="1"/>
  <c r="AT448" i="4"/>
  <c r="N448" i="4" s="1"/>
  <c r="AT449" i="4"/>
  <c r="N449" i="4" s="1"/>
  <c r="AT453" i="4"/>
  <c r="N453" i="4" s="1"/>
  <c r="AO437" i="4"/>
  <c r="AS437" i="4"/>
  <c r="AO441" i="4"/>
  <c r="AS441" i="4"/>
  <c r="AM441" i="4" s="1"/>
  <c r="AM446" i="4"/>
  <c r="AU446" i="4"/>
  <c r="L446" i="4" s="1"/>
  <c r="AU447" i="4"/>
  <c r="L447" i="4" s="1"/>
  <c r="AM448" i="4"/>
  <c r="AU448" i="4"/>
  <c r="L448" i="4" s="1"/>
  <c r="AU449" i="4"/>
  <c r="L449" i="4" s="1"/>
  <c r="AN450" i="4"/>
  <c r="Q450" i="4" s="1"/>
  <c r="AO451" i="4"/>
  <c r="AS451" i="4"/>
  <c r="AM451" i="4" s="1"/>
  <c r="AU453" i="4"/>
  <c r="L453" i="4" s="1"/>
  <c r="AN454" i="4"/>
  <c r="Q454" i="4" s="1"/>
  <c r="AO455" i="4"/>
  <c r="AS455" i="4"/>
  <c r="AM455" i="4" s="1"/>
  <c r="AT457" i="4"/>
  <c r="N457" i="4" s="1"/>
  <c r="AT461" i="4"/>
  <c r="N461" i="4" s="1"/>
  <c r="AP461" i="4"/>
  <c r="S461" i="4" s="1"/>
  <c r="AN463" i="4"/>
  <c r="Q463" i="4" s="1"/>
  <c r="AM463" i="4"/>
  <c r="M464" i="4"/>
  <c r="AN464" i="4"/>
  <c r="Q464" i="4" s="1"/>
  <c r="M468" i="4"/>
  <c r="AN468" i="4"/>
  <c r="Q468" i="4" s="1"/>
  <c r="AU469" i="4"/>
  <c r="L469" i="4" s="1"/>
  <c r="AT469" i="4"/>
  <c r="N469" i="4" s="1"/>
  <c r="AP469" i="4"/>
  <c r="S469" i="4" s="1"/>
  <c r="AS469" i="4"/>
  <c r="M469" i="4" s="1"/>
  <c r="AO469" i="4"/>
  <c r="AO432" i="4"/>
  <c r="AS432" i="4"/>
  <c r="AM434" i="4"/>
  <c r="AO436" i="4"/>
  <c r="AS436" i="4"/>
  <c r="AP437" i="4"/>
  <c r="S437" i="4" s="1"/>
  <c r="AT437" i="4"/>
  <c r="N437" i="4" s="1"/>
  <c r="AM438" i="4"/>
  <c r="AO440" i="4"/>
  <c r="AS440" i="4"/>
  <c r="AP441" i="4"/>
  <c r="S441" i="4" s="1"/>
  <c r="AT441" i="4"/>
  <c r="N441" i="4" s="1"/>
  <c r="AM442" i="4"/>
  <c r="AM443" i="4"/>
  <c r="AM444" i="4"/>
  <c r="AM445" i="4"/>
  <c r="AU462" i="4"/>
  <c r="L462" i="4" s="1"/>
  <c r="AM462" i="4"/>
  <c r="AT462" i="4"/>
  <c r="N462" i="4" s="1"/>
  <c r="AP462" i="4"/>
  <c r="S462" i="4" s="1"/>
  <c r="AT465" i="4"/>
  <c r="N465" i="4" s="1"/>
  <c r="AP465" i="4"/>
  <c r="S465" i="4" s="1"/>
  <c r="AS465" i="4"/>
  <c r="AM465" i="4" s="1"/>
  <c r="AO465" i="4"/>
  <c r="AN467" i="4"/>
  <c r="Q467" i="4" s="1"/>
  <c r="AM467" i="4"/>
  <c r="AM476" i="4"/>
  <c r="M476" i="4"/>
  <c r="AN476" i="4"/>
  <c r="Q476" i="4" s="1"/>
  <c r="AO427" i="4"/>
  <c r="AO431" i="4"/>
  <c r="AP432" i="4"/>
  <c r="S432" i="4" s="1"/>
  <c r="AO435" i="4"/>
  <c r="AP436" i="4"/>
  <c r="S436" i="4" s="1"/>
  <c r="AM437" i="4"/>
  <c r="AO439" i="4"/>
  <c r="AP440" i="4"/>
  <c r="S440" i="4" s="1"/>
  <c r="AO446" i="4"/>
  <c r="AO447" i="4"/>
  <c r="AS447" i="4"/>
  <c r="AO448" i="4"/>
  <c r="AS448" i="4"/>
  <c r="AO449" i="4"/>
  <c r="AS449" i="4"/>
  <c r="AP450" i="4"/>
  <c r="S450" i="4" s="1"/>
  <c r="AO453" i="4"/>
  <c r="AS453" i="4"/>
  <c r="AP454" i="4"/>
  <c r="S454" i="4" s="1"/>
  <c r="AO457" i="4"/>
  <c r="AS457" i="4"/>
  <c r="AU458" i="4"/>
  <c r="L458" i="4" s="1"/>
  <c r="AM458" i="4"/>
  <c r="AS460" i="4"/>
  <c r="AO460" i="4"/>
  <c r="AN461" i="4"/>
  <c r="Q461" i="4" s="1"/>
  <c r="AS461" i="4"/>
  <c r="AO462" i="4"/>
  <c r="AU466" i="4"/>
  <c r="L466" i="4" s="1"/>
  <c r="AM466" i="4"/>
  <c r="AT466" i="4"/>
  <c r="N466" i="4" s="1"/>
  <c r="AP466" i="4"/>
  <c r="S466" i="4" s="1"/>
  <c r="AQ468" i="4"/>
  <c r="AN469" i="4"/>
  <c r="Q469" i="4" s="1"/>
  <c r="AT482" i="4"/>
  <c r="N482" i="4" s="1"/>
  <c r="AP447" i="4"/>
  <c r="S447" i="4" s="1"/>
  <c r="AP448" i="4"/>
  <c r="S448" i="4" s="1"/>
  <c r="AP449" i="4"/>
  <c r="S449" i="4" s="1"/>
  <c r="AP453" i="4"/>
  <c r="S453" i="4" s="1"/>
  <c r="AU461" i="4"/>
  <c r="L461" i="4" s="1"/>
  <c r="AM472" i="4"/>
  <c r="M472" i="4"/>
  <c r="AN472" i="4"/>
  <c r="Q472" i="4" s="1"/>
  <c r="P498" i="4"/>
  <c r="AQ498" i="4"/>
  <c r="AP470" i="4"/>
  <c r="S470" i="4" s="1"/>
  <c r="AT470" i="4"/>
  <c r="N470" i="4" s="1"/>
  <c r="AM471" i="4"/>
  <c r="AO473" i="4"/>
  <c r="AS473" i="4"/>
  <c r="AP474" i="4"/>
  <c r="S474" i="4" s="1"/>
  <c r="AT474" i="4"/>
  <c r="N474" i="4" s="1"/>
  <c r="AM475" i="4"/>
  <c r="AO477" i="4"/>
  <c r="AS477" i="4"/>
  <c r="AP478" i="4"/>
  <c r="S478" i="4" s="1"/>
  <c r="AT478" i="4"/>
  <c r="N478" i="4" s="1"/>
  <c r="AM479" i="4"/>
  <c r="AM480" i="4"/>
  <c r="AM481" i="4"/>
  <c r="AU488" i="4"/>
  <c r="L488" i="4" s="1"/>
  <c r="AM488" i="4"/>
  <c r="AT488" i="4"/>
  <c r="N488" i="4" s="1"/>
  <c r="AP488" i="4"/>
  <c r="S488" i="4" s="1"/>
  <c r="AT491" i="4"/>
  <c r="N491" i="4" s="1"/>
  <c r="AP491" i="4"/>
  <c r="S491" i="4" s="1"/>
  <c r="AS491" i="4"/>
  <c r="AO491" i="4"/>
  <c r="AN493" i="4"/>
  <c r="Q493" i="4" s="1"/>
  <c r="AM493" i="4"/>
  <c r="M494" i="4"/>
  <c r="AN494" i="4"/>
  <c r="Q494" i="4" s="1"/>
  <c r="AO464" i="4"/>
  <c r="AO468" i="4"/>
  <c r="AM470" i="4"/>
  <c r="AO472" i="4"/>
  <c r="AP473" i="4"/>
  <c r="S473" i="4" s="1"/>
  <c r="AT473" i="4"/>
  <c r="N473" i="4" s="1"/>
  <c r="AM474" i="4"/>
  <c r="AO476" i="4"/>
  <c r="AP477" i="4"/>
  <c r="S477" i="4" s="1"/>
  <c r="AT477" i="4"/>
  <c r="N477" i="4" s="1"/>
  <c r="AM478" i="4"/>
  <c r="AO483" i="4"/>
  <c r="AS483" i="4"/>
  <c r="AS486" i="4"/>
  <c r="AO486" i="4"/>
  <c r="AS487" i="4"/>
  <c r="M487" i="4" s="1"/>
  <c r="AU492" i="4"/>
  <c r="L492" i="4" s="1"/>
  <c r="AM492" i="4"/>
  <c r="AT492" i="4"/>
  <c r="N492" i="4" s="1"/>
  <c r="AP492" i="4"/>
  <c r="S492" i="4" s="1"/>
  <c r="AT495" i="4"/>
  <c r="N495" i="4" s="1"/>
  <c r="AP495" i="4"/>
  <c r="S495" i="4" s="1"/>
  <c r="AS495" i="4"/>
  <c r="AO495" i="4"/>
  <c r="M502" i="4"/>
  <c r="AN502" i="4"/>
  <c r="Q502" i="4" s="1"/>
  <c r="AM502" i="4"/>
  <c r="M510" i="4"/>
  <c r="AN510" i="4"/>
  <c r="Q510" i="4" s="1"/>
  <c r="AM510" i="4"/>
  <c r="AM473" i="4"/>
  <c r="AM477" i="4"/>
  <c r="AP483" i="4"/>
  <c r="S483" i="4" s="1"/>
  <c r="AT483" i="4"/>
  <c r="N483" i="4" s="1"/>
  <c r="AP484" i="4"/>
  <c r="S484" i="4" s="1"/>
  <c r="AU484" i="4"/>
  <c r="L484" i="4" s="1"/>
  <c r="AS485" i="4"/>
  <c r="AO485" i="4"/>
  <c r="AO487" i="4"/>
  <c r="AU496" i="4"/>
  <c r="L496" i="4" s="1"/>
  <c r="AM496" i="4"/>
  <c r="AT496" i="4"/>
  <c r="N496" i="4" s="1"/>
  <c r="AP496" i="4"/>
  <c r="S496" i="4" s="1"/>
  <c r="AP482" i="4"/>
  <c r="S482" i="4" s="1"/>
  <c r="AM483" i="4"/>
  <c r="AT487" i="4"/>
  <c r="N487" i="4" s="1"/>
  <c r="AP487" i="4"/>
  <c r="S487" i="4" s="1"/>
  <c r="AN489" i="4"/>
  <c r="Q489" i="4" s="1"/>
  <c r="AM489" i="4"/>
  <c r="M490" i="4"/>
  <c r="AN490" i="4"/>
  <c r="Q490" i="4" s="1"/>
  <c r="AU491" i="4"/>
  <c r="L491" i="4" s="1"/>
  <c r="M498" i="4"/>
  <c r="AN498" i="4"/>
  <c r="Q498" i="4" s="1"/>
  <c r="AU499" i="4"/>
  <c r="L499" i="4" s="1"/>
  <c r="AT499" i="4"/>
  <c r="N499" i="4" s="1"/>
  <c r="AP499" i="4"/>
  <c r="S499" i="4" s="1"/>
  <c r="AS499" i="4"/>
  <c r="AM499" i="4" s="1"/>
  <c r="AO499" i="4"/>
  <c r="M506" i="4"/>
  <c r="AN506" i="4"/>
  <c r="Q506" i="4" s="1"/>
  <c r="AM506" i="4"/>
  <c r="M514" i="4"/>
  <c r="AN514" i="4"/>
  <c r="Q514" i="4" s="1"/>
  <c r="AM514" i="4"/>
  <c r="AR516" i="4"/>
  <c r="U516" i="4" s="1"/>
  <c r="T516" i="4"/>
  <c r="AR517" i="4"/>
  <c r="U517" i="4" s="1"/>
  <c r="T517" i="4"/>
  <c r="AT523" i="4"/>
  <c r="N523" i="4" s="1"/>
  <c r="AM497" i="4"/>
  <c r="AP500" i="4"/>
  <c r="S500" i="4" s="1"/>
  <c r="AT500" i="4"/>
  <c r="N500" i="4" s="1"/>
  <c r="AM501" i="4"/>
  <c r="AO503" i="4"/>
  <c r="AS503" i="4"/>
  <c r="AP504" i="4"/>
  <c r="S504" i="4" s="1"/>
  <c r="AT504" i="4"/>
  <c r="N504" i="4" s="1"/>
  <c r="AM505" i="4"/>
  <c r="AO507" i="4"/>
  <c r="AS507" i="4"/>
  <c r="AM507" i="4" s="1"/>
  <c r="AP508" i="4"/>
  <c r="S508" i="4" s="1"/>
  <c r="AT508" i="4"/>
  <c r="N508" i="4" s="1"/>
  <c r="AM509" i="4"/>
  <c r="AO511" i="4"/>
  <c r="AS511" i="4"/>
  <c r="AP512" i="4"/>
  <c r="S512" i="4" s="1"/>
  <c r="AT512" i="4"/>
  <c r="N512" i="4" s="1"/>
  <c r="AM513" i="4"/>
  <c r="AO515" i="4"/>
  <c r="AS515" i="4"/>
  <c r="P517" i="4"/>
  <c r="AM519" i="4"/>
  <c r="M519" i="4"/>
  <c r="AN519" i="4"/>
  <c r="Q519" i="4" s="1"/>
  <c r="AT520" i="4"/>
  <c r="N520" i="4" s="1"/>
  <c r="AO490" i="4"/>
  <c r="AO494" i="4"/>
  <c r="AO498" i="4"/>
  <c r="AM500" i="4"/>
  <c r="AO502" i="4"/>
  <c r="AP503" i="4"/>
  <c r="S503" i="4" s="1"/>
  <c r="AT503" i="4"/>
  <c r="N503" i="4" s="1"/>
  <c r="AM504" i="4"/>
  <c r="AO506" i="4"/>
  <c r="AP507" i="4"/>
  <c r="S507" i="4" s="1"/>
  <c r="AT507" i="4"/>
  <c r="N507" i="4" s="1"/>
  <c r="AM508" i="4"/>
  <c r="AO510" i="4"/>
  <c r="AP511" i="4"/>
  <c r="S511" i="4" s="1"/>
  <c r="AT511" i="4"/>
  <c r="N511" i="4" s="1"/>
  <c r="AM512" i="4"/>
  <c r="AO514" i="4"/>
  <c r="AP515" i="4"/>
  <c r="S515" i="4" s="1"/>
  <c r="AT515" i="4"/>
  <c r="N515" i="4" s="1"/>
  <c r="P516" i="4"/>
  <c r="AT521" i="4"/>
  <c r="N521" i="4" s="1"/>
  <c r="AT525" i="4"/>
  <c r="N525" i="4" s="1"/>
  <c r="AM503" i="4"/>
  <c r="AT522" i="4"/>
  <c r="N522" i="4" s="1"/>
  <c r="AO520" i="4"/>
  <c r="AS520" i="4"/>
  <c r="AO521" i="4"/>
  <c r="AS521" i="4"/>
  <c r="AO522" i="4"/>
  <c r="AS522" i="4"/>
  <c r="AO523" i="4"/>
  <c r="AS523" i="4"/>
  <c r="AM524" i="4"/>
  <c r="AO525" i="4"/>
  <c r="AS525" i="4"/>
  <c r="AM526" i="4"/>
  <c r="AO527" i="4"/>
  <c r="AS527" i="4"/>
  <c r="AM528" i="4"/>
  <c r="AO529" i="4"/>
  <c r="AS529" i="4"/>
  <c r="AM529" i="4" s="1"/>
  <c r="AM530" i="4"/>
  <c r="AO531" i="4"/>
  <c r="AS531" i="4"/>
  <c r="AM532" i="4"/>
  <c r="AS535" i="4"/>
  <c r="AQ536" i="4"/>
  <c r="AT539" i="4"/>
  <c r="N539" i="4" s="1"/>
  <c r="AP539" i="4"/>
  <c r="S539" i="4" s="1"/>
  <c r="M540" i="4"/>
  <c r="AO519" i="4"/>
  <c r="AP520" i="4"/>
  <c r="S520" i="4" s="1"/>
  <c r="AP521" i="4"/>
  <c r="S521" i="4" s="1"/>
  <c r="AP522" i="4"/>
  <c r="S522" i="4" s="1"/>
  <c r="AP523" i="4"/>
  <c r="S523" i="4" s="1"/>
  <c r="AN524" i="4"/>
  <c r="Q524" i="4" s="1"/>
  <c r="AP525" i="4"/>
  <c r="S525" i="4" s="1"/>
  <c r="AN526" i="4"/>
  <c r="Q526" i="4" s="1"/>
  <c r="AP527" i="4"/>
  <c r="S527" i="4" s="1"/>
  <c r="AT527" i="4"/>
  <c r="N527" i="4" s="1"/>
  <c r="AP529" i="4"/>
  <c r="S529" i="4" s="1"/>
  <c r="AT529" i="4"/>
  <c r="N529" i="4" s="1"/>
  <c r="AP531" i="4"/>
  <c r="S531" i="4" s="1"/>
  <c r="AT531" i="4"/>
  <c r="N531" i="4" s="1"/>
  <c r="AS533" i="4"/>
  <c r="M533" i="4" s="1"/>
  <c r="AQ534" i="4"/>
  <c r="AO535" i="4"/>
  <c r="AT537" i="4"/>
  <c r="N537" i="4" s="1"/>
  <c r="AP537" i="4"/>
  <c r="S537" i="4" s="1"/>
  <c r="AM539" i="4"/>
  <c r="AT541" i="4"/>
  <c r="N541" i="4" s="1"/>
  <c r="AM527" i="4"/>
  <c r="AM531" i="4"/>
  <c r="AO533" i="4"/>
  <c r="AT535" i="4"/>
  <c r="N535" i="4" s="1"/>
  <c r="AP535" i="4"/>
  <c r="S535" i="4" s="1"/>
  <c r="AM537" i="4"/>
  <c r="M544" i="4"/>
  <c r="AM544" i="4"/>
  <c r="AT533" i="4"/>
  <c r="N533" i="4" s="1"/>
  <c r="AP533" i="4"/>
  <c r="S533" i="4" s="1"/>
  <c r="AN541" i="4"/>
  <c r="Q541" i="4" s="1"/>
  <c r="AM541" i="4"/>
  <c r="M541" i="4"/>
  <c r="T550" i="4"/>
  <c r="AR550" i="4"/>
  <c r="U550" i="4" s="1"/>
  <c r="AN559" i="4"/>
  <c r="Q559" i="4" s="1"/>
  <c r="M559" i="4"/>
  <c r="AP541" i="4"/>
  <c r="S541" i="4" s="1"/>
  <c r="AQ543" i="4"/>
  <c r="M547" i="4"/>
  <c r="AM548" i="4"/>
  <c r="AP554" i="4"/>
  <c r="S554" i="4" s="1"/>
  <c r="AM555" i="4"/>
  <c r="M556" i="4"/>
  <c r="AT557" i="4"/>
  <c r="N557" i="4" s="1"/>
  <c r="AM546" i="4"/>
  <c r="AQ549" i="4"/>
  <c r="AS554" i="4"/>
  <c r="AO554" i="4"/>
  <c r="AQ547" i="4"/>
  <c r="P550" i="4"/>
  <c r="AM552" i="4"/>
  <c r="AM556" i="4"/>
  <c r="AO557" i="4"/>
  <c r="AS557" i="4"/>
  <c r="M558" i="4"/>
  <c r="AM559" i="4"/>
  <c r="AP557" i="4"/>
  <c r="S557" i="4" s="1"/>
  <c r="AL403" i="5" l="1"/>
  <c r="L491" i="5"/>
  <c r="AL411" i="5"/>
  <c r="AL114" i="5"/>
  <c r="AP114" i="5" s="1"/>
  <c r="AQ114" i="5" s="1"/>
  <c r="L375" i="5"/>
  <c r="L391" i="5"/>
  <c r="L253" i="5"/>
  <c r="AL297" i="5"/>
  <c r="O297" i="5" s="1"/>
  <c r="L297" i="5"/>
  <c r="L371" i="5"/>
  <c r="L114" i="5"/>
  <c r="AL371" i="5"/>
  <c r="AP371" i="5" s="1"/>
  <c r="AQ371" i="5" s="1"/>
  <c r="AL450" i="5"/>
  <c r="AL460" i="5"/>
  <c r="AP460" i="5" s="1"/>
  <c r="AQ460" i="5" s="1"/>
  <c r="AL98" i="5"/>
  <c r="AP98" i="5" s="1"/>
  <c r="AQ98" i="5" s="1"/>
  <c r="AL253" i="5"/>
  <c r="AP253" i="5" s="1"/>
  <c r="AQ253" i="5" s="1"/>
  <c r="AL418" i="5"/>
  <c r="AL266" i="5"/>
  <c r="AP266" i="5" s="1"/>
  <c r="AQ266" i="5" s="1"/>
  <c r="T266" i="5" s="1"/>
  <c r="L261" i="5"/>
  <c r="L432" i="5"/>
  <c r="L289" i="5"/>
  <c r="L266" i="5"/>
  <c r="AL261" i="5"/>
  <c r="AP261" i="5" s="1"/>
  <c r="AQ261" i="5" s="1"/>
  <c r="L415" i="5"/>
  <c r="AL355" i="5"/>
  <c r="AL126" i="5"/>
  <c r="O126" i="5" s="1"/>
  <c r="L270" i="5"/>
  <c r="L383" i="5"/>
  <c r="AL478" i="5"/>
  <c r="AL491" i="5"/>
  <c r="AP491" i="5" s="1"/>
  <c r="AQ491" i="5" s="1"/>
  <c r="L401" i="5"/>
  <c r="AL208" i="5"/>
  <c r="O208" i="5" s="1"/>
  <c r="L101" i="5"/>
  <c r="AL432" i="5"/>
  <c r="O432" i="5" s="1"/>
  <c r="AL319" i="5"/>
  <c r="AP319" i="5" s="1"/>
  <c r="AQ319" i="5" s="1"/>
  <c r="AL210" i="5"/>
  <c r="AP210" i="5" s="1"/>
  <c r="AQ210" i="5" s="1"/>
  <c r="O361" i="5"/>
  <c r="AM98" i="5"/>
  <c r="P98" i="5" s="1"/>
  <c r="AM234" i="5"/>
  <c r="P234" i="5" s="1"/>
  <c r="AM79" i="5"/>
  <c r="P79" i="5" s="1"/>
  <c r="AL462" i="5"/>
  <c r="L450" i="5"/>
  <c r="L361" i="5"/>
  <c r="L440" i="5"/>
  <c r="L460" i="5"/>
  <c r="AL194" i="5"/>
  <c r="O194" i="5" s="1"/>
  <c r="AL101" i="5"/>
  <c r="O101" i="5" s="1"/>
  <c r="AM210" i="5"/>
  <c r="P210" i="5" s="1"/>
  <c r="AL444" i="5"/>
  <c r="AL130" i="5"/>
  <c r="AP130" i="5" s="1"/>
  <c r="AQ130" i="5" s="1"/>
  <c r="AL222" i="5"/>
  <c r="O222" i="5" s="1"/>
  <c r="AL397" i="5"/>
  <c r="AP397" i="5" s="1"/>
  <c r="AQ397" i="5" s="1"/>
  <c r="T397" i="5" s="1"/>
  <c r="AL456" i="5"/>
  <c r="O384" i="5"/>
  <c r="L448" i="5"/>
  <c r="AM167" i="5"/>
  <c r="P167" i="5" s="1"/>
  <c r="AL448" i="5"/>
  <c r="O66" i="5"/>
  <c r="L384" i="5"/>
  <c r="L456" i="5"/>
  <c r="AM130" i="5"/>
  <c r="P130" i="5" s="1"/>
  <c r="AL216" i="5"/>
  <c r="AP216" i="5" s="1"/>
  <c r="AQ216" i="5" s="1"/>
  <c r="L307" i="5"/>
  <c r="AM252" i="5"/>
  <c r="P252" i="5" s="1"/>
  <c r="AM384" i="5"/>
  <c r="P384" i="5" s="1"/>
  <c r="AM361" i="5"/>
  <c r="P361" i="5" s="1"/>
  <c r="AM222" i="5"/>
  <c r="P222" i="5" s="1"/>
  <c r="AM194" i="5"/>
  <c r="P194" i="5" s="1"/>
  <c r="AM126" i="5"/>
  <c r="P126" i="5" s="1"/>
  <c r="AL472" i="5"/>
  <c r="O472" i="5" s="1"/>
  <c r="AL387" i="5"/>
  <c r="O387" i="5" s="1"/>
  <c r="AL401" i="5"/>
  <c r="AP401" i="5" s="1"/>
  <c r="AQ401" i="5" s="1"/>
  <c r="L444" i="5"/>
  <c r="L424" i="5"/>
  <c r="L342" i="5"/>
  <c r="L494" i="5"/>
  <c r="AL171" i="5"/>
  <c r="AP171" i="5" s="1"/>
  <c r="AQ171" i="5" s="1"/>
  <c r="AL132" i="5"/>
  <c r="AP132" i="5" s="1"/>
  <c r="AQ132" i="5" s="1"/>
  <c r="L387" i="5"/>
  <c r="AL494" i="5"/>
  <c r="O494" i="5" s="1"/>
  <c r="AP15" i="5"/>
  <c r="AQ15" i="5" s="1"/>
  <c r="L258" i="5"/>
  <c r="AL307" i="5"/>
  <c r="O307" i="5" s="1"/>
  <c r="AM132" i="5"/>
  <c r="P132" i="5" s="1"/>
  <c r="AM216" i="5"/>
  <c r="P216" i="5" s="1"/>
  <c r="AM445" i="5"/>
  <c r="P445" i="5" s="1"/>
  <c r="AL452" i="5"/>
  <c r="AP452" i="5" s="1"/>
  <c r="AQ452" i="5" s="1"/>
  <c r="L397" i="5"/>
  <c r="L452" i="5"/>
  <c r="AL310" i="5"/>
  <c r="O310" i="5" s="1"/>
  <c r="AL175" i="5"/>
  <c r="AP175" i="5" s="1"/>
  <c r="AQ175" i="5" s="1"/>
  <c r="L228" i="5"/>
  <c r="AP4" i="5"/>
  <c r="AQ4" i="5" s="1"/>
  <c r="T4" i="5" s="1"/>
  <c r="AM211" i="5"/>
  <c r="P211" i="5" s="1"/>
  <c r="AM179" i="5"/>
  <c r="P179" i="5" s="1"/>
  <c r="AM408" i="5"/>
  <c r="P408" i="5" s="1"/>
  <c r="AM208" i="5"/>
  <c r="P208" i="5" s="1"/>
  <c r="AL399" i="5"/>
  <c r="AP399" i="5" s="1"/>
  <c r="AQ399" i="5" s="1"/>
  <c r="L377" i="5"/>
  <c r="AL81" i="5"/>
  <c r="AP81" i="5" s="1"/>
  <c r="AQ81" i="5" s="1"/>
  <c r="L84" i="5"/>
  <c r="L376" i="5"/>
  <c r="AM286" i="5"/>
  <c r="P286" i="5" s="1"/>
  <c r="AM262" i="5"/>
  <c r="P262" i="5" s="1"/>
  <c r="AM109" i="5"/>
  <c r="P109" i="5" s="1"/>
  <c r="AM346" i="5"/>
  <c r="P346" i="5" s="1"/>
  <c r="AM205" i="5"/>
  <c r="P205" i="5" s="1"/>
  <c r="AM185" i="5"/>
  <c r="P185" i="5" s="1"/>
  <c r="AL440" i="5"/>
  <c r="AP440" i="5" s="1"/>
  <c r="AQ440" i="5" s="1"/>
  <c r="AL281" i="5"/>
  <c r="O281" i="5" s="1"/>
  <c r="AL277" i="5"/>
  <c r="O277" i="5" s="1"/>
  <c r="AL228" i="5"/>
  <c r="O228" i="5" s="1"/>
  <c r="L205" i="5"/>
  <c r="AL218" i="5"/>
  <c r="AP218" i="5" s="1"/>
  <c r="AQ218" i="5" s="1"/>
  <c r="L281" i="5"/>
  <c r="AL84" i="5"/>
  <c r="O84" i="5" s="1"/>
  <c r="AL376" i="5"/>
  <c r="O376" i="5" s="1"/>
  <c r="L446" i="5"/>
  <c r="AM310" i="5"/>
  <c r="P310" i="5" s="1"/>
  <c r="AM298" i="5"/>
  <c r="P298" i="5" s="1"/>
  <c r="AM175" i="5"/>
  <c r="P175" i="5" s="1"/>
  <c r="AM143" i="5"/>
  <c r="P143" i="5" s="1"/>
  <c r="AM135" i="5"/>
  <c r="AM462" i="5"/>
  <c r="P462" i="5" s="1"/>
  <c r="AM478" i="5"/>
  <c r="P478" i="5" s="1"/>
  <c r="AM218" i="5"/>
  <c r="P218" i="5" s="1"/>
  <c r="L123" i="5"/>
  <c r="AM123" i="5"/>
  <c r="P123" i="5" s="1"/>
  <c r="AL123" i="5"/>
  <c r="AP123" i="5" s="1"/>
  <c r="AQ123" i="5" s="1"/>
  <c r="L386" i="5"/>
  <c r="AM386" i="5"/>
  <c r="P386" i="5" s="1"/>
  <c r="AL340" i="5"/>
  <c r="O340" i="5" s="1"/>
  <c r="AM340" i="5"/>
  <c r="P340" i="5" s="1"/>
  <c r="L306" i="5"/>
  <c r="AM306" i="5"/>
  <c r="P306" i="5" s="1"/>
  <c r="AM283" i="5"/>
  <c r="P283" i="5" s="1"/>
  <c r="AM215" i="5"/>
  <c r="P215" i="5" s="1"/>
  <c r="AL215" i="5"/>
  <c r="O215" i="5" s="1"/>
  <c r="AM128" i="5"/>
  <c r="P128" i="5" s="1"/>
  <c r="L128" i="5"/>
  <c r="AL128" i="5"/>
  <c r="AP128" i="5" s="1"/>
  <c r="AQ128" i="5" s="1"/>
  <c r="AM405" i="5"/>
  <c r="P405" i="5" s="1"/>
  <c r="AL405" i="5"/>
  <c r="AP405" i="5" s="1"/>
  <c r="AQ405" i="5" s="1"/>
  <c r="T405" i="5" s="1"/>
  <c r="AM357" i="5"/>
  <c r="P357" i="5" s="1"/>
  <c r="AL357" i="5"/>
  <c r="O357" i="5" s="1"/>
  <c r="AM25" i="5"/>
  <c r="P25" i="5" s="1"/>
  <c r="L25" i="5"/>
  <c r="AM202" i="5"/>
  <c r="P202" i="5" s="1"/>
  <c r="L202" i="5"/>
  <c r="AL202" i="5"/>
  <c r="O202" i="5" s="1"/>
  <c r="AL295" i="5"/>
  <c r="AP295" i="5" s="1"/>
  <c r="AQ295" i="5" s="1"/>
  <c r="AM295" i="5"/>
  <c r="P295" i="5" s="1"/>
  <c r="AL233" i="5"/>
  <c r="O233" i="5" s="1"/>
  <c r="AM233" i="5"/>
  <c r="P233" i="5" s="1"/>
  <c r="AL380" i="5"/>
  <c r="AP380" i="5" s="1"/>
  <c r="AQ380" i="5" s="1"/>
  <c r="T380" i="5" s="1"/>
  <c r="AM380" i="5"/>
  <c r="P380" i="5" s="1"/>
  <c r="AM407" i="5"/>
  <c r="P407" i="5" s="1"/>
  <c r="L407" i="5"/>
  <c r="L90" i="5"/>
  <c r="AM90" i="5"/>
  <c r="P90" i="5" s="1"/>
  <c r="AL221" i="5"/>
  <c r="AM221" i="5"/>
  <c r="P221" i="5" s="1"/>
  <c r="L221" i="5"/>
  <c r="L493" i="5"/>
  <c r="L290" i="5"/>
  <c r="AM290" i="5"/>
  <c r="P290" i="5" s="1"/>
  <c r="L94" i="5"/>
  <c r="AM94" i="5"/>
  <c r="P94" i="5" s="1"/>
  <c r="L324" i="5"/>
  <c r="AM324" i="5"/>
  <c r="P324" i="5" s="1"/>
  <c r="AL263" i="5"/>
  <c r="AP263" i="5" s="1"/>
  <c r="AQ263" i="5" s="1"/>
  <c r="T263" i="5" s="1"/>
  <c r="AM263" i="5"/>
  <c r="P263" i="5" s="1"/>
  <c r="AM293" i="5"/>
  <c r="P293" i="5" s="1"/>
  <c r="L293" i="5"/>
  <c r="O74" i="5"/>
  <c r="AP74" i="5"/>
  <c r="AQ74" i="5" s="1"/>
  <c r="T74" i="5" s="1"/>
  <c r="O70" i="5"/>
  <c r="AP70" i="5"/>
  <c r="AQ70" i="5" s="1"/>
  <c r="T70" i="5" s="1"/>
  <c r="AM402" i="5"/>
  <c r="P402" i="5" s="1"/>
  <c r="L226" i="5"/>
  <c r="AM226" i="5"/>
  <c r="P226" i="5" s="1"/>
  <c r="L367" i="5"/>
  <c r="AM367" i="5"/>
  <c r="P367" i="5" s="1"/>
  <c r="AM393" i="5"/>
  <c r="P393" i="5" s="1"/>
  <c r="L393" i="5"/>
  <c r="AL493" i="5"/>
  <c r="AP493" i="5" s="1"/>
  <c r="AQ493" i="5" s="1"/>
  <c r="L331" i="5"/>
  <c r="AM331" i="5"/>
  <c r="P331" i="5" s="1"/>
  <c r="L140" i="5"/>
  <c r="AM140" i="5"/>
  <c r="P140" i="5" s="1"/>
  <c r="L136" i="5"/>
  <c r="AM136" i="5"/>
  <c r="P136" i="5" s="1"/>
  <c r="AL90" i="5"/>
  <c r="AP90" i="5" s="1"/>
  <c r="AQ90" i="5" s="1"/>
  <c r="L360" i="5"/>
  <c r="AM360" i="5"/>
  <c r="AM395" i="5"/>
  <c r="P395" i="5" s="1"/>
  <c r="L395" i="5"/>
  <c r="AM359" i="5"/>
  <c r="P359" i="5" s="1"/>
  <c r="L359" i="5"/>
  <c r="L273" i="5"/>
  <c r="AM273" i="5"/>
  <c r="P273" i="5" s="1"/>
  <c r="L488" i="5"/>
  <c r="AM488" i="5"/>
  <c r="P488" i="5" s="1"/>
  <c r="L212" i="5"/>
  <c r="AM212" i="5"/>
  <c r="P212" i="5" s="1"/>
  <c r="AL212" i="5"/>
  <c r="AP212" i="5" s="1"/>
  <c r="AQ212" i="5" s="1"/>
  <c r="AM381" i="5"/>
  <c r="P381" i="5" s="1"/>
  <c r="AL381" i="5"/>
  <c r="AP381" i="5" s="1"/>
  <c r="AQ381" i="5" s="1"/>
  <c r="T381" i="5" s="1"/>
  <c r="L232" i="5"/>
  <c r="AM232" i="5"/>
  <c r="P232" i="5" s="1"/>
  <c r="AM399" i="5"/>
  <c r="P399" i="5" s="1"/>
  <c r="AM249" i="5"/>
  <c r="P249" i="5" s="1"/>
  <c r="AM235" i="5"/>
  <c r="P235" i="5" s="1"/>
  <c r="AM207" i="5"/>
  <c r="P207" i="5" s="1"/>
  <c r="AM187" i="5"/>
  <c r="P187" i="5" s="1"/>
  <c r="AM171" i="5"/>
  <c r="P171" i="5" s="1"/>
  <c r="AM147" i="5"/>
  <c r="P147" i="5" s="1"/>
  <c r="AM80" i="5"/>
  <c r="P80" i="5" s="1"/>
  <c r="AM156" i="5"/>
  <c r="P156" i="5" s="1"/>
  <c r="AM412" i="5"/>
  <c r="P412" i="5" s="1"/>
  <c r="AM176" i="5"/>
  <c r="AM348" i="5"/>
  <c r="P348" i="5" s="1"/>
  <c r="AM319" i="5"/>
  <c r="P319" i="5" s="1"/>
  <c r="AM472" i="5"/>
  <c r="P472" i="5" s="1"/>
  <c r="AM272" i="5"/>
  <c r="AM480" i="5"/>
  <c r="P480" i="5" s="1"/>
  <c r="AM133" i="5"/>
  <c r="P133" i="5" s="1"/>
  <c r="AM425" i="5"/>
  <c r="P425" i="5" s="1"/>
  <c r="AM254" i="5"/>
  <c r="AM223" i="5"/>
  <c r="P223" i="5" s="1"/>
  <c r="AM404" i="5"/>
  <c r="P404" i="5" s="1"/>
  <c r="AM455" i="5"/>
  <c r="P455" i="5" s="1"/>
  <c r="AM22" i="5"/>
  <c r="P22" i="5" s="1"/>
  <c r="AM490" i="5"/>
  <c r="P490" i="5" s="1"/>
  <c r="L345" i="5"/>
  <c r="AM345" i="5"/>
  <c r="P345" i="5" s="1"/>
  <c r="L390" i="5"/>
  <c r="AM390" i="5"/>
  <c r="P390" i="5" s="1"/>
  <c r="AL116" i="5"/>
  <c r="O116" i="5" s="1"/>
  <c r="AM116" i="5"/>
  <c r="P116" i="5" s="1"/>
  <c r="L314" i="5"/>
  <c r="AM314" i="5"/>
  <c r="P314" i="5" s="1"/>
  <c r="AL247" i="5"/>
  <c r="AP247" i="5" s="1"/>
  <c r="AQ247" i="5" s="1"/>
  <c r="AM247" i="5"/>
  <c r="P247" i="5" s="1"/>
  <c r="AL162" i="5"/>
  <c r="O162" i="5" s="1"/>
  <c r="AM162" i="5"/>
  <c r="P162" i="5" s="1"/>
  <c r="AL429" i="5"/>
  <c r="AP429" i="5" s="1"/>
  <c r="AQ429" i="5" s="1"/>
  <c r="AM429" i="5"/>
  <c r="P429" i="5" s="1"/>
  <c r="L259" i="5"/>
  <c r="AM259" i="5"/>
  <c r="P259" i="5" s="1"/>
  <c r="AM353" i="5"/>
  <c r="P353" i="5" s="1"/>
  <c r="L353" i="5"/>
  <c r="AL353" i="5"/>
  <c r="O353" i="5" s="1"/>
  <c r="AL414" i="5"/>
  <c r="AP414" i="5" s="1"/>
  <c r="AQ414" i="5" s="1"/>
  <c r="AM414" i="5"/>
  <c r="P414" i="5" s="1"/>
  <c r="AL398" i="5"/>
  <c r="AP398" i="5" s="1"/>
  <c r="AQ398" i="5" s="1"/>
  <c r="AM398" i="5"/>
  <c r="P398" i="5" s="1"/>
  <c r="AL363" i="5"/>
  <c r="AP363" i="5" s="1"/>
  <c r="AQ363" i="5" s="1"/>
  <c r="AM363" i="5"/>
  <c r="P363" i="5" s="1"/>
  <c r="L300" i="5"/>
  <c r="AM300" i="5"/>
  <c r="P300" i="5" s="1"/>
  <c r="L129" i="5"/>
  <c r="AM129" i="5"/>
  <c r="P129" i="5" s="1"/>
  <c r="L125" i="5"/>
  <c r="AM125" i="5"/>
  <c r="P125" i="5" s="1"/>
  <c r="L206" i="5"/>
  <c r="AM206" i="5"/>
  <c r="P206" i="5" s="1"/>
  <c r="AM396" i="5"/>
  <c r="P396" i="5" s="1"/>
  <c r="AM296" i="5"/>
  <c r="P296" i="5" s="1"/>
  <c r="AM87" i="5"/>
  <c r="P87" i="5" s="1"/>
  <c r="L322" i="5"/>
  <c r="AM322" i="5"/>
  <c r="P322" i="5" s="1"/>
  <c r="AM433" i="5"/>
  <c r="P433" i="5" s="1"/>
  <c r="AM379" i="5"/>
  <c r="P379" i="5" s="1"/>
  <c r="L379" i="5"/>
  <c r="L256" i="5"/>
  <c r="AM256" i="5"/>
  <c r="P256" i="5" s="1"/>
  <c r="L248" i="5"/>
  <c r="AM248" i="5"/>
  <c r="P248" i="5" s="1"/>
  <c r="AL248" i="5"/>
  <c r="AP248" i="5" s="1"/>
  <c r="AQ248" i="5" s="1"/>
  <c r="AM243" i="5"/>
  <c r="P243" i="5" s="1"/>
  <c r="AL243" i="5"/>
  <c r="AP243" i="5" s="1"/>
  <c r="AQ243" i="5" s="1"/>
  <c r="L243" i="5"/>
  <c r="AM231" i="5"/>
  <c r="P231" i="5" s="1"/>
  <c r="AM164" i="5"/>
  <c r="AM338" i="5"/>
  <c r="P338" i="5" s="1"/>
  <c r="AM172" i="5"/>
  <c r="P172" i="5" s="1"/>
  <c r="L468" i="5"/>
  <c r="AM468" i="5"/>
  <c r="P468" i="5" s="1"/>
  <c r="AM230" i="5"/>
  <c r="P230" i="5" s="1"/>
  <c r="AL230" i="5"/>
  <c r="O230" i="5" s="1"/>
  <c r="AM154" i="5"/>
  <c r="P154" i="5" s="1"/>
  <c r="AL382" i="5"/>
  <c r="AM382" i="5"/>
  <c r="P382" i="5" s="1"/>
  <c r="L158" i="5"/>
  <c r="AM158" i="5"/>
  <c r="P158" i="5" s="1"/>
  <c r="L142" i="5"/>
  <c r="AM142" i="5"/>
  <c r="P142" i="5" s="1"/>
  <c r="AL260" i="5"/>
  <c r="AP260" i="5" s="1"/>
  <c r="AQ260" i="5" s="1"/>
  <c r="AM260" i="5"/>
  <c r="P260" i="5" s="1"/>
  <c r="AL180" i="5"/>
  <c r="AM180" i="5"/>
  <c r="P180" i="5" s="1"/>
  <c r="P352" i="5"/>
  <c r="AM496" i="5"/>
  <c r="P496" i="5" s="1"/>
  <c r="L496" i="5"/>
  <c r="AL496" i="5"/>
  <c r="AP496" i="5" s="1"/>
  <c r="AQ496" i="5" s="1"/>
  <c r="AL424" i="5"/>
  <c r="AP424" i="5" s="1"/>
  <c r="AQ424" i="5" s="1"/>
  <c r="AM343" i="5"/>
  <c r="P343" i="5" s="1"/>
  <c r="L96" i="5"/>
  <c r="AM96" i="5"/>
  <c r="P96" i="5" s="1"/>
  <c r="AL449" i="5"/>
  <c r="AP449" i="5" s="1"/>
  <c r="AQ449" i="5" s="1"/>
  <c r="AM449" i="5"/>
  <c r="P449" i="5" s="1"/>
  <c r="AL321" i="5"/>
  <c r="AP321" i="5" s="1"/>
  <c r="AQ321" i="5" s="1"/>
  <c r="AM321" i="5"/>
  <c r="P321" i="5" s="1"/>
  <c r="L282" i="5"/>
  <c r="AM282" i="5"/>
  <c r="P282" i="5" s="1"/>
  <c r="P280" i="5"/>
  <c r="L335" i="5"/>
  <c r="AM335" i="5"/>
  <c r="P335" i="5" s="1"/>
  <c r="AL275" i="5"/>
  <c r="AP275" i="5" s="1"/>
  <c r="AQ275" i="5" s="1"/>
  <c r="AM275" i="5"/>
  <c r="L482" i="5"/>
  <c r="AM482" i="5"/>
  <c r="P482" i="5" s="1"/>
  <c r="L442" i="5"/>
  <c r="AM442" i="5"/>
  <c r="AM416" i="5"/>
  <c r="P416" i="5" s="1"/>
  <c r="AM337" i="5"/>
  <c r="P337" i="5" s="1"/>
  <c r="AM326" i="5"/>
  <c r="P326" i="5" s="1"/>
  <c r="AL137" i="5"/>
  <c r="AP137" i="5" s="1"/>
  <c r="AQ137" i="5" s="1"/>
  <c r="AM137" i="5"/>
  <c r="P137" i="5" s="1"/>
  <c r="L464" i="5"/>
  <c r="AM464" i="5"/>
  <c r="P464" i="5" s="1"/>
  <c r="AM237" i="5"/>
  <c r="P237" i="5" s="1"/>
  <c r="AM113" i="5"/>
  <c r="P113" i="5" s="1"/>
  <c r="AL113" i="5"/>
  <c r="AP113" i="5" s="1"/>
  <c r="AQ113" i="5" s="1"/>
  <c r="AR34" i="5"/>
  <c r="AM34" i="5" s="1"/>
  <c r="P34" i="5" s="1"/>
  <c r="AO34" i="5"/>
  <c r="R34" i="5" s="1"/>
  <c r="AN34" i="5"/>
  <c r="Q34" i="5" s="1"/>
  <c r="AM83" i="5"/>
  <c r="P83" i="5" s="1"/>
  <c r="AM336" i="5"/>
  <c r="P336" i="5" s="1"/>
  <c r="AM308" i="5"/>
  <c r="AM305" i="5"/>
  <c r="P305" i="5" s="1"/>
  <c r="L301" i="5"/>
  <c r="AM301" i="5"/>
  <c r="P301" i="5" s="1"/>
  <c r="AL301" i="5"/>
  <c r="AM436" i="5"/>
  <c r="P436" i="5" s="1"/>
  <c r="L436" i="5"/>
  <c r="AM330" i="5"/>
  <c r="P330" i="5" s="1"/>
  <c r="AL330" i="5"/>
  <c r="O330" i="5" s="1"/>
  <c r="AM315" i="5"/>
  <c r="P315" i="5" s="1"/>
  <c r="L107" i="5"/>
  <c r="AM107" i="5"/>
  <c r="P107" i="5" s="1"/>
  <c r="AM204" i="5"/>
  <c r="P204" i="5" s="1"/>
  <c r="L204" i="5"/>
  <c r="L198" i="5"/>
  <c r="AM198" i="5"/>
  <c r="P198" i="5" s="1"/>
  <c r="AM138" i="5"/>
  <c r="AM88" i="5"/>
  <c r="P88" i="5" s="1"/>
  <c r="L95" i="5"/>
  <c r="AM95" i="5"/>
  <c r="P95" i="5" s="1"/>
  <c r="L181" i="5"/>
  <c r="AM181" i="5"/>
  <c r="P181" i="5" s="1"/>
  <c r="L165" i="5"/>
  <c r="AM165" i="5"/>
  <c r="P165" i="5" s="1"/>
  <c r="AL244" i="5"/>
  <c r="AM244" i="5"/>
  <c r="P244" i="5" s="1"/>
  <c r="AS37" i="5"/>
  <c r="M37" i="5" s="1"/>
  <c r="AO37" i="5"/>
  <c r="R37" i="5" s="1"/>
  <c r="AM224" i="5"/>
  <c r="P224" i="5" s="1"/>
  <c r="AL224" i="5"/>
  <c r="AP224" i="5" s="1"/>
  <c r="AQ224" i="5" s="1"/>
  <c r="L224" i="5"/>
  <c r="AM145" i="5"/>
  <c r="P145" i="5" s="1"/>
  <c r="L145" i="5"/>
  <c r="L214" i="5"/>
  <c r="AM214" i="5"/>
  <c r="P214" i="5" s="1"/>
  <c r="L406" i="5"/>
  <c r="AM406" i="5"/>
  <c r="P312" i="5"/>
  <c r="L323" i="5"/>
  <c r="AM323" i="5"/>
  <c r="P323" i="5" s="1"/>
  <c r="L150" i="5"/>
  <c r="AM150" i="5"/>
  <c r="P150" i="5" s="1"/>
  <c r="L144" i="5"/>
  <c r="AM144" i="5"/>
  <c r="P144" i="5" s="1"/>
  <c r="AL127" i="5"/>
  <c r="AM127" i="5"/>
  <c r="P127" i="5" s="1"/>
  <c r="L104" i="5"/>
  <c r="AM104" i="5"/>
  <c r="P104" i="5" s="1"/>
  <c r="L173" i="5"/>
  <c r="AM173" i="5"/>
  <c r="P173" i="5" s="1"/>
  <c r="L105" i="5"/>
  <c r="AM105" i="5"/>
  <c r="P105" i="5" s="1"/>
  <c r="AU46" i="5"/>
  <c r="L313" i="5"/>
  <c r="AM313" i="5"/>
  <c r="P313" i="5" s="1"/>
  <c r="AM178" i="5"/>
  <c r="P178" i="5" s="1"/>
  <c r="AS32" i="5"/>
  <c r="M32" i="5" s="1"/>
  <c r="AO32" i="5"/>
  <c r="R32" i="5" s="1"/>
  <c r="L155" i="5"/>
  <c r="AM155" i="5"/>
  <c r="P155" i="5" s="1"/>
  <c r="AM152" i="5"/>
  <c r="P152" i="5" s="1"/>
  <c r="AL99" i="5"/>
  <c r="O99" i="5" s="1"/>
  <c r="AM99" i="5"/>
  <c r="P99" i="5" s="1"/>
  <c r="AM16" i="5"/>
  <c r="P16" i="5" s="1"/>
  <c r="L328" i="5"/>
  <c r="AM328" i="5"/>
  <c r="P328" i="5" s="1"/>
  <c r="L474" i="5"/>
  <c r="AM474" i="5"/>
  <c r="P474" i="5" s="1"/>
  <c r="AM292" i="5"/>
  <c r="P292" i="5" s="1"/>
  <c r="AM285" i="5"/>
  <c r="P285" i="5" s="1"/>
  <c r="L285" i="5"/>
  <c r="AM276" i="5"/>
  <c r="P276" i="5" s="1"/>
  <c r="AM76" i="5"/>
  <c r="P76" i="5" s="1"/>
  <c r="AL76" i="5"/>
  <c r="AP76" i="5" s="1"/>
  <c r="AQ76" i="5" s="1"/>
  <c r="AM236" i="5"/>
  <c r="P236" i="5" s="1"/>
  <c r="L327" i="5"/>
  <c r="AM327" i="5"/>
  <c r="P327" i="5" s="1"/>
  <c r="AM201" i="5"/>
  <c r="P201" i="5" s="1"/>
  <c r="AM120" i="5"/>
  <c r="P120" i="5" s="1"/>
  <c r="AM18" i="5"/>
  <c r="P18" i="5" s="1"/>
  <c r="AM368" i="5"/>
  <c r="P368" i="5" s="1"/>
  <c r="L368" i="5"/>
  <c r="L119" i="5"/>
  <c r="AM119" i="5"/>
  <c r="P119" i="5" s="1"/>
  <c r="L486" i="5"/>
  <c r="AM486" i="5"/>
  <c r="P486" i="5" s="1"/>
  <c r="AM458" i="5"/>
  <c r="P458" i="5" s="1"/>
  <c r="AL458" i="5"/>
  <c r="O458" i="5" s="1"/>
  <c r="L458" i="5"/>
  <c r="AM410" i="5"/>
  <c r="P410" i="5" s="1"/>
  <c r="AM112" i="5"/>
  <c r="P112" i="5" s="1"/>
  <c r="AN38" i="5"/>
  <c r="Q38" i="5" s="1"/>
  <c r="AO38" i="5"/>
  <c r="R38" i="5" s="1"/>
  <c r="P97" i="5"/>
  <c r="AM309" i="5"/>
  <c r="P309" i="5" s="1"/>
  <c r="AM302" i="5"/>
  <c r="P302" i="5" s="1"/>
  <c r="AM287" i="5"/>
  <c r="P287" i="5" s="1"/>
  <c r="AM257" i="5"/>
  <c r="P257" i="5" s="1"/>
  <c r="AM121" i="5"/>
  <c r="P121" i="5" s="1"/>
  <c r="P342" i="5"/>
  <c r="AM364" i="5"/>
  <c r="P364" i="5" s="1"/>
  <c r="AM225" i="5"/>
  <c r="P225" i="5" s="1"/>
  <c r="AM213" i="5"/>
  <c r="P213" i="5" s="1"/>
  <c r="AM122" i="5"/>
  <c r="P122" i="5" s="1"/>
  <c r="AM392" i="5"/>
  <c r="P392" i="5" s="1"/>
  <c r="AM318" i="5"/>
  <c r="P318" i="5" s="1"/>
  <c r="AM354" i="5"/>
  <c r="P354" i="5" s="1"/>
  <c r="AM350" i="5"/>
  <c r="P350" i="5" s="1"/>
  <c r="AM190" i="5"/>
  <c r="P190" i="5" s="1"/>
  <c r="AO29" i="5"/>
  <c r="R29" i="5" s="1"/>
  <c r="L80" i="5"/>
  <c r="P372" i="5"/>
  <c r="L434" i="5"/>
  <c r="P110" i="5"/>
  <c r="AU43" i="5"/>
  <c r="AS43" i="5" s="1"/>
  <c r="M43" i="5" s="1"/>
  <c r="AO31" i="5"/>
  <c r="R31" i="5" s="1"/>
  <c r="AN30" i="5"/>
  <c r="Q30" i="5" s="1"/>
  <c r="AO30" i="5"/>
  <c r="R30" i="5" s="1"/>
  <c r="P344" i="5"/>
  <c r="P148" i="5"/>
  <c r="AM303" i="5"/>
  <c r="P303" i="5" s="1"/>
  <c r="AM284" i="5"/>
  <c r="P284" i="5" s="1"/>
  <c r="AM278" i="5"/>
  <c r="P278" i="5" s="1"/>
  <c r="AM267" i="5"/>
  <c r="P267" i="5" s="1"/>
  <c r="AM255" i="5"/>
  <c r="AM250" i="5"/>
  <c r="P250" i="5" s="1"/>
  <c r="AM199" i="5"/>
  <c r="AM191" i="5"/>
  <c r="P191" i="5" s="1"/>
  <c r="AM183" i="5"/>
  <c r="P183" i="5" s="1"/>
  <c r="AM139" i="5"/>
  <c r="P139" i="5" s="1"/>
  <c r="P101" i="5"/>
  <c r="AM466" i="5"/>
  <c r="P466" i="5" s="1"/>
  <c r="AM426" i="5"/>
  <c r="P426" i="5" s="1"/>
  <c r="AM220" i="5"/>
  <c r="P220" i="5" s="1"/>
  <c r="AM192" i="5"/>
  <c r="P192" i="5" s="1"/>
  <c r="AM470" i="5"/>
  <c r="P470" i="5" s="1"/>
  <c r="AM188" i="5"/>
  <c r="P188" i="5" s="1"/>
  <c r="AM117" i="5"/>
  <c r="P117" i="5" s="1"/>
  <c r="AM106" i="5"/>
  <c r="AM453" i="5"/>
  <c r="P453" i="5" s="1"/>
  <c r="AM437" i="5"/>
  <c r="P437" i="5" s="1"/>
  <c r="AM347" i="5"/>
  <c r="P347" i="5" s="1"/>
  <c r="AM193" i="5"/>
  <c r="P193" i="5" s="1"/>
  <c r="AM177" i="5"/>
  <c r="P177" i="5" s="1"/>
  <c r="AM153" i="5"/>
  <c r="P153" i="5" s="1"/>
  <c r="AM141" i="5"/>
  <c r="P141" i="5" s="1"/>
  <c r="AM91" i="5"/>
  <c r="P91" i="5" s="1"/>
  <c r="AM356" i="5"/>
  <c r="P356" i="5" s="1"/>
  <c r="AM334" i="5"/>
  <c r="P334" i="5" s="1"/>
  <c r="AM111" i="5"/>
  <c r="P111" i="5" s="1"/>
  <c r="AM27" i="5"/>
  <c r="P27" i="5" s="1"/>
  <c r="AM21" i="5"/>
  <c r="P21" i="5" s="1"/>
  <c r="AM438" i="5"/>
  <c r="P438" i="5" s="1"/>
  <c r="AM374" i="5"/>
  <c r="P374" i="5" s="1"/>
  <c r="AM366" i="5"/>
  <c r="P366" i="5" s="1"/>
  <c r="AM332" i="5"/>
  <c r="P332" i="5" s="1"/>
  <c r="AM242" i="5"/>
  <c r="P242" i="5" s="1"/>
  <c r="AM146" i="5"/>
  <c r="P146" i="5" s="1"/>
  <c r="AO35" i="5"/>
  <c r="R35" i="5" s="1"/>
  <c r="P400" i="5"/>
  <c r="AL434" i="5"/>
  <c r="AP434" i="5" s="1"/>
  <c r="AQ434" i="5" s="1"/>
  <c r="P299" i="5"/>
  <c r="L418" i="5"/>
  <c r="P349" i="5"/>
  <c r="P170" i="5"/>
  <c r="AN39" i="5"/>
  <c r="Q39" i="5" s="1"/>
  <c r="AO39" i="5"/>
  <c r="R39" i="5" s="1"/>
  <c r="AS28" i="5"/>
  <c r="M28" i="5" s="1"/>
  <c r="AO28" i="5"/>
  <c r="R28" i="5" s="1"/>
  <c r="P161" i="5"/>
  <c r="AO36" i="5"/>
  <c r="R36" i="5" s="1"/>
  <c r="AR33" i="5"/>
  <c r="L33" i="5" s="1"/>
  <c r="AO33" i="5"/>
  <c r="R33" i="5" s="1"/>
  <c r="AM497" i="5"/>
  <c r="P497" i="5" s="1"/>
  <c r="AM329" i="5"/>
  <c r="AM311" i="5"/>
  <c r="P311" i="5" s="1"/>
  <c r="AM294" i="5"/>
  <c r="P294" i="5" s="1"/>
  <c r="AM291" i="5"/>
  <c r="P291" i="5" s="1"/>
  <c r="AM288" i="5"/>
  <c r="P288" i="5" s="1"/>
  <c r="AM279" i="5"/>
  <c r="P279" i="5" s="1"/>
  <c r="AM271" i="5"/>
  <c r="P271" i="5" s="1"/>
  <c r="AM268" i="5"/>
  <c r="P268" i="5" s="1"/>
  <c r="AM264" i="5"/>
  <c r="P264" i="5" s="1"/>
  <c r="AM251" i="5"/>
  <c r="P251" i="5" s="1"/>
  <c r="AM245" i="5"/>
  <c r="P245" i="5" s="1"/>
  <c r="AM227" i="5"/>
  <c r="P227" i="5" s="1"/>
  <c r="AM195" i="5"/>
  <c r="AM151" i="5"/>
  <c r="P151" i="5" s="1"/>
  <c r="AM93" i="5"/>
  <c r="P93" i="5" s="1"/>
  <c r="AM476" i="5"/>
  <c r="P476" i="5" s="1"/>
  <c r="AM417" i="5"/>
  <c r="P417" i="5" s="1"/>
  <c r="AM196" i="5"/>
  <c r="P196" i="5" s="1"/>
  <c r="AM102" i="5"/>
  <c r="P102" i="5" s="1"/>
  <c r="AM484" i="5"/>
  <c r="P484" i="5" s="1"/>
  <c r="AM388" i="5"/>
  <c r="AM454" i="5"/>
  <c r="P454" i="5" s="1"/>
  <c r="AM365" i="5"/>
  <c r="P365" i="5" s="1"/>
  <c r="AM339" i="5"/>
  <c r="P339" i="5" s="1"/>
  <c r="AM217" i="5"/>
  <c r="AM209" i="5"/>
  <c r="P209" i="5" s="1"/>
  <c r="AM169" i="5"/>
  <c r="P169" i="5" s="1"/>
  <c r="AM157" i="5"/>
  <c r="P157" i="5" s="1"/>
  <c r="AM160" i="5"/>
  <c r="AM370" i="5"/>
  <c r="P370" i="5" s="1"/>
  <c r="AM186" i="5"/>
  <c r="P186" i="5" s="1"/>
  <c r="AM174" i="5"/>
  <c r="P174" i="5" s="1"/>
  <c r="AM134" i="5"/>
  <c r="AM118" i="5"/>
  <c r="P118" i="5" s="1"/>
  <c r="AM26" i="5"/>
  <c r="P26" i="5" s="1"/>
  <c r="T15" i="5"/>
  <c r="T373" i="5"/>
  <c r="T389" i="5"/>
  <c r="S133" i="5"/>
  <c r="BD98" i="5"/>
  <c r="BE98" i="5" s="1"/>
  <c r="BK98" i="5" s="1"/>
  <c r="BV18" i="5"/>
  <c r="BD97" i="5"/>
  <c r="BE97" i="5" s="1"/>
  <c r="BH97" i="5" s="1"/>
  <c r="BV17" i="5"/>
  <c r="BD100" i="5"/>
  <c r="BE100" i="5" s="1"/>
  <c r="BJ100" i="5" s="1"/>
  <c r="BV20" i="5"/>
  <c r="BD92" i="5"/>
  <c r="BE92" i="5" s="1"/>
  <c r="BH92" i="5" s="1"/>
  <c r="BD91" i="5"/>
  <c r="BE91" i="5" s="1"/>
  <c r="BI91" i="5" s="1"/>
  <c r="BD94" i="5"/>
  <c r="BE94" i="5" s="1"/>
  <c r="BH94" i="5" s="1"/>
  <c r="BD93" i="5"/>
  <c r="BE93" i="5" s="1"/>
  <c r="BJ93" i="5" s="1"/>
  <c r="BD90" i="5"/>
  <c r="BE90" i="5" s="1"/>
  <c r="BN90" i="5" s="1"/>
  <c r="BP90" i="5" s="1"/>
  <c r="BD88" i="5"/>
  <c r="BE88" i="5" s="1"/>
  <c r="BJ88" i="5" s="1"/>
  <c r="BD87" i="5"/>
  <c r="BE87" i="5" s="1"/>
  <c r="BG87" i="5" s="1"/>
  <c r="BD86" i="5"/>
  <c r="BE86" i="5" s="1"/>
  <c r="BM86" i="5" s="1"/>
  <c r="L196" i="5"/>
  <c r="L192" i="5"/>
  <c r="AS34" i="5"/>
  <c r="M34" i="5" s="1"/>
  <c r="L271" i="5"/>
  <c r="AL326" i="5"/>
  <c r="O326" i="5" s="1"/>
  <c r="L326" i="5"/>
  <c r="AL165" i="5"/>
  <c r="AP165" i="5" s="1"/>
  <c r="AQ165" i="5" s="1"/>
  <c r="AL278" i="5"/>
  <c r="O278" i="5" s="1"/>
  <c r="AL264" i="5"/>
  <c r="AP264" i="5" s="1"/>
  <c r="AQ264" i="5" s="1"/>
  <c r="L388" i="5"/>
  <c r="AL271" i="5"/>
  <c r="O271" i="5" s="1"/>
  <c r="L340" i="5"/>
  <c r="AL438" i="5"/>
  <c r="AP438" i="5" s="1"/>
  <c r="AQ438" i="5" s="1"/>
  <c r="P134" i="5"/>
  <c r="AL251" i="5"/>
  <c r="AP251" i="5" s="1"/>
  <c r="AQ251" i="5" s="1"/>
  <c r="O186" i="5"/>
  <c r="L336" i="5"/>
  <c r="AL417" i="5"/>
  <c r="AP417" i="5" s="1"/>
  <c r="AQ417" i="5" s="1"/>
  <c r="AL455" i="5"/>
  <c r="O455" i="5" s="1"/>
  <c r="L186" i="5"/>
  <c r="AL464" i="5"/>
  <c r="AP464" i="5" s="1"/>
  <c r="AQ464" i="5" s="1"/>
  <c r="P388" i="5"/>
  <c r="L237" i="5"/>
  <c r="AL176" i="5"/>
  <c r="O176" i="5" s="1"/>
  <c r="AL196" i="5"/>
  <c r="AP196" i="5" s="1"/>
  <c r="AQ196" i="5" s="1"/>
  <c r="L113" i="5"/>
  <c r="L18" i="5"/>
  <c r="L137" i="5"/>
  <c r="L332" i="5"/>
  <c r="L417" i="5"/>
  <c r="AL437" i="5"/>
  <c r="AP437" i="5" s="1"/>
  <c r="AQ437" i="5" s="1"/>
  <c r="L280" i="5"/>
  <c r="AL286" i="5"/>
  <c r="O286" i="5" s="1"/>
  <c r="AL332" i="5"/>
  <c r="O332" i="5" s="1"/>
  <c r="AL207" i="5"/>
  <c r="O207" i="5" s="1"/>
  <c r="AT34" i="5"/>
  <c r="K34" i="5" s="1"/>
  <c r="L433" i="5"/>
  <c r="P176" i="5"/>
  <c r="L380" i="5"/>
  <c r="AL294" i="5"/>
  <c r="AP294" i="5" s="1"/>
  <c r="AQ294" i="5" s="1"/>
  <c r="AL250" i="5"/>
  <c r="O250" i="5" s="1"/>
  <c r="AL188" i="5"/>
  <c r="O188" i="5" s="1"/>
  <c r="L133" i="5"/>
  <c r="AL97" i="5"/>
  <c r="O97" i="5" s="1"/>
  <c r="L97" i="5"/>
  <c r="L134" i="5"/>
  <c r="AL177" i="5"/>
  <c r="AP177" i="5" s="1"/>
  <c r="AQ177" i="5" s="1"/>
  <c r="L296" i="5"/>
  <c r="L437" i="5"/>
  <c r="AP376" i="5"/>
  <c r="AQ376" i="5" s="1"/>
  <c r="AL118" i="5"/>
  <c r="O118" i="5" s="1"/>
  <c r="AL16" i="5"/>
  <c r="O16" i="5" s="1"/>
  <c r="L284" i="5"/>
  <c r="AL470" i="5"/>
  <c r="O470" i="5" s="1"/>
  <c r="L233" i="5"/>
  <c r="AP388" i="5"/>
  <c r="AQ388" i="5" s="1"/>
  <c r="AP408" i="5"/>
  <c r="AQ408" i="5" s="1"/>
  <c r="AL96" i="5"/>
  <c r="AP96" i="5" s="1"/>
  <c r="AQ96" i="5" s="1"/>
  <c r="AN37" i="5"/>
  <c r="Q37" i="5" s="1"/>
  <c r="AL442" i="5"/>
  <c r="O442" i="5" s="1"/>
  <c r="L392" i="5"/>
  <c r="L408" i="5"/>
  <c r="AP368" i="5"/>
  <c r="AQ368" i="5" s="1"/>
  <c r="AL201" i="5"/>
  <c r="AP201" i="5" s="1"/>
  <c r="AQ201" i="5" s="1"/>
  <c r="L352" i="5"/>
  <c r="L83" i="5"/>
  <c r="AL300" i="5"/>
  <c r="AP300" i="5" s="1"/>
  <c r="AQ300" i="5" s="1"/>
  <c r="AL109" i="5"/>
  <c r="AP109" i="5" s="1"/>
  <c r="AQ109" i="5" s="1"/>
  <c r="AL352" i="5"/>
  <c r="AP352" i="5" s="1"/>
  <c r="AQ352" i="5" s="1"/>
  <c r="AP101" i="5"/>
  <c r="AQ101" i="5" s="1"/>
  <c r="S389" i="5"/>
  <c r="AP18" i="5"/>
  <c r="AQ18" i="5" s="1"/>
  <c r="AQ326" i="4"/>
  <c r="P326" i="4"/>
  <c r="P129" i="4"/>
  <c r="AQ129" i="4"/>
  <c r="P459" i="4"/>
  <c r="AQ459" i="4"/>
  <c r="P137" i="4"/>
  <c r="AQ137" i="4"/>
  <c r="P145" i="4"/>
  <c r="AQ145" i="4"/>
  <c r="P63" i="4"/>
  <c r="AQ63" i="4"/>
  <c r="AQ330" i="4"/>
  <c r="P330" i="4"/>
  <c r="AM197" i="4"/>
  <c r="BE91" i="4"/>
  <c r="BG93" i="4"/>
  <c r="BE93" i="4"/>
  <c r="BG102" i="4"/>
  <c r="BL102" i="4"/>
  <c r="BN102" i="4" s="1"/>
  <c r="BE95" i="4"/>
  <c r="BG88" i="4"/>
  <c r="BG101" i="4"/>
  <c r="BG58" i="3"/>
  <c r="BI58" i="3" s="1"/>
  <c r="BA59" i="3"/>
  <c r="AN294" i="1"/>
  <c r="Q294" i="1" s="1"/>
  <c r="BM88" i="1"/>
  <c r="BH88" i="1"/>
  <c r="BI99" i="1"/>
  <c r="BN100" i="1"/>
  <c r="BI97" i="1"/>
  <c r="BJ89" i="1"/>
  <c r="AP27" i="5"/>
  <c r="AQ27" i="5" s="1"/>
  <c r="O27" i="5"/>
  <c r="AQ494" i="4"/>
  <c r="P494" i="4"/>
  <c r="AM542" i="4"/>
  <c r="M542" i="4"/>
  <c r="AN482" i="4"/>
  <c r="Q482" i="4" s="1"/>
  <c r="M482" i="4"/>
  <c r="AM540" i="4"/>
  <c r="AN539" i="4"/>
  <c r="Q539" i="4" s="1"/>
  <c r="AN444" i="4"/>
  <c r="Q444" i="4" s="1"/>
  <c r="M444" i="4"/>
  <c r="P358" i="4"/>
  <c r="AQ358" i="4"/>
  <c r="P322" i="4"/>
  <c r="AQ322" i="4"/>
  <c r="AN300" i="4"/>
  <c r="Q300" i="4" s="1"/>
  <c r="M300" i="4"/>
  <c r="AN287" i="4"/>
  <c r="Q287" i="4" s="1"/>
  <c r="M287" i="4"/>
  <c r="AN279" i="4"/>
  <c r="Q279" i="4" s="1"/>
  <c r="M279" i="4"/>
  <c r="P224" i="4"/>
  <c r="AQ224" i="4"/>
  <c r="P364" i="4"/>
  <c r="AQ364" i="4"/>
  <c r="AM354" i="4"/>
  <c r="AN271" i="4"/>
  <c r="Q271" i="4" s="1"/>
  <c r="M271" i="4"/>
  <c r="AN204" i="4"/>
  <c r="Q204" i="4" s="1"/>
  <c r="AM204" i="4"/>
  <c r="AN189" i="4"/>
  <c r="Q189" i="4" s="1"/>
  <c r="AM189" i="4"/>
  <c r="M189" i="4"/>
  <c r="P148" i="4"/>
  <c r="AQ148" i="4"/>
  <c r="AM450" i="4"/>
  <c r="M450" i="4"/>
  <c r="AM344" i="4"/>
  <c r="AN338" i="4"/>
  <c r="Q338" i="4" s="1"/>
  <c r="M338" i="4"/>
  <c r="AN304" i="4"/>
  <c r="Q304" i="4" s="1"/>
  <c r="M304" i="4"/>
  <c r="AQ126" i="4"/>
  <c r="P126" i="4"/>
  <c r="AN119" i="4"/>
  <c r="Q119" i="4" s="1"/>
  <c r="M119" i="4"/>
  <c r="AQ128" i="4"/>
  <c r="P128" i="4"/>
  <c r="AN110" i="4"/>
  <c r="Q110" i="4" s="1"/>
  <c r="M110" i="4"/>
  <c r="AN99" i="4"/>
  <c r="Q99" i="4" s="1"/>
  <c r="M99" i="4"/>
  <c r="P155" i="4"/>
  <c r="AQ155" i="4"/>
  <c r="AN88" i="4"/>
  <c r="Q88" i="4" s="1"/>
  <c r="M88" i="4"/>
  <c r="AN123" i="4"/>
  <c r="Q123" i="4" s="1"/>
  <c r="AN106" i="4"/>
  <c r="Q106" i="4" s="1"/>
  <c r="M106" i="4"/>
  <c r="AN75" i="4"/>
  <c r="Q75" i="4" s="1"/>
  <c r="M75" i="4"/>
  <c r="AN65" i="4"/>
  <c r="Q65" i="4" s="1"/>
  <c r="M65" i="4"/>
  <c r="N23" i="3"/>
  <c r="AG23" i="3"/>
  <c r="AN385" i="1"/>
  <c r="Q385" i="1" s="1"/>
  <c r="AM385" i="1"/>
  <c r="M385" i="1"/>
  <c r="AN357" i="1"/>
  <c r="Q357" i="1" s="1"/>
  <c r="AM357" i="1"/>
  <c r="M357" i="1"/>
  <c r="AN341" i="1"/>
  <c r="Q341" i="1" s="1"/>
  <c r="AM341" i="1"/>
  <c r="M341" i="1"/>
  <c r="AN325" i="1"/>
  <c r="Q325" i="1" s="1"/>
  <c r="AM325" i="1"/>
  <c r="M325" i="1"/>
  <c r="AN309" i="1"/>
  <c r="Q309" i="1" s="1"/>
  <c r="AM309" i="1"/>
  <c r="M309" i="1"/>
  <c r="AQ299" i="1"/>
  <c r="P299" i="1"/>
  <c r="AN289" i="1"/>
  <c r="Q289" i="1" s="1"/>
  <c r="AN283" i="1"/>
  <c r="Q283" i="1" s="1"/>
  <c r="M283" i="1"/>
  <c r="AN360" i="1"/>
  <c r="Q360" i="1" s="1"/>
  <c r="AN344" i="1"/>
  <c r="Q344" i="1" s="1"/>
  <c r="AN328" i="1"/>
  <c r="Q328" i="1" s="1"/>
  <c r="AN312" i="1"/>
  <c r="Q312" i="1" s="1"/>
  <c r="AQ291" i="1"/>
  <c r="P291" i="1"/>
  <c r="AQ193" i="1"/>
  <c r="P193" i="1"/>
  <c r="AN175" i="1"/>
  <c r="Q175" i="1" s="1"/>
  <c r="M175" i="1"/>
  <c r="AM175" i="1"/>
  <c r="AN119" i="1"/>
  <c r="Q119" i="1" s="1"/>
  <c r="AM119" i="1"/>
  <c r="M119" i="1"/>
  <c r="AN64" i="1"/>
  <c r="Q64" i="1" s="1"/>
  <c r="M64" i="1"/>
  <c r="AN203" i="1"/>
  <c r="Q203" i="1" s="1"/>
  <c r="M203" i="1"/>
  <c r="AN196" i="1"/>
  <c r="Q196" i="1" s="1"/>
  <c r="M196" i="1"/>
  <c r="AN183" i="1"/>
  <c r="Q183" i="1" s="1"/>
  <c r="M183" i="1"/>
  <c r="P118" i="1"/>
  <c r="AQ118" i="1"/>
  <c r="AM469" i="4"/>
  <c r="AM409" i="4"/>
  <c r="AM296" i="4"/>
  <c r="AM284" i="4"/>
  <c r="AM280" i="4"/>
  <c r="AM276" i="4"/>
  <c r="AM272" i="4"/>
  <c r="AM213" i="4"/>
  <c r="AN191" i="4"/>
  <c r="Q191" i="4" s="1"/>
  <c r="BG91" i="4"/>
  <c r="BK93" i="4"/>
  <c r="AM58" i="4"/>
  <c r="BK102" i="4"/>
  <c r="BE102" i="4"/>
  <c r="BG95" i="4"/>
  <c r="BL88" i="4"/>
  <c r="BN88" i="4" s="1"/>
  <c r="AK4" i="4"/>
  <c r="BC58" i="3"/>
  <c r="BC59" i="3"/>
  <c r="BE59" i="3"/>
  <c r="AZ68" i="3"/>
  <c r="BG56" i="3"/>
  <c r="BI56" i="3" s="1"/>
  <c r="BI92" i="1"/>
  <c r="BN88" i="1"/>
  <c r="BL101" i="1"/>
  <c r="BJ98" i="1"/>
  <c r="BL100" i="1"/>
  <c r="BL97" i="1"/>
  <c r="BM94" i="1"/>
  <c r="BH93" i="1"/>
  <c r="BK89" i="1"/>
  <c r="AP26" i="5"/>
  <c r="AQ26" i="5" s="1"/>
  <c r="O26" i="5"/>
  <c r="AP11" i="5"/>
  <c r="AQ11" i="5" s="1"/>
  <c r="O11" i="5"/>
  <c r="AQ490" i="4"/>
  <c r="P490" i="4"/>
  <c r="AQ558" i="4"/>
  <c r="P558" i="4"/>
  <c r="AN512" i="4"/>
  <c r="Q512" i="4" s="1"/>
  <c r="M512" i="4"/>
  <c r="AN504" i="4"/>
  <c r="Q504" i="4" s="1"/>
  <c r="M504" i="4"/>
  <c r="AN434" i="4"/>
  <c r="Q434" i="4" s="1"/>
  <c r="M434" i="4"/>
  <c r="AN542" i="4"/>
  <c r="Q542" i="4" s="1"/>
  <c r="P379" i="4"/>
  <c r="AQ379" i="4"/>
  <c r="AN375" i="4"/>
  <c r="Q375" i="4" s="1"/>
  <c r="M375" i="4"/>
  <c r="AM340" i="4"/>
  <c r="P297" i="4"/>
  <c r="AQ297" i="4"/>
  <c r="AN285" i="4"/>
  <c r="Q285" i="4" s="1"/>
  <c r="M285" i="4"/>
  <c r="AN277" i="4"/>
  <c r="Q277" i="4" s="1"/>
  <c r="M277" i="4"/>
  <c r="AN258" i="4"/>
  <c r="Q258" i="4" s="1"/>
  <c r="M258" i="4"/>
  <c r="P208" i="4"/>
  <c r="AQ208" i="4"/>
  <c r="M365" i="4"/>
  <c r="AM365" i="4"/>
  <c r="AN359" i="4"/>
  <c r="Q359" i="4" s="1"/>
  <c r="AN267" i="4"/>
  <c r="Q267" i="4" s="1"/>
  <c r="M267" i="4"/>
  <c r="AN220" i="4"/>
  <c r="Q220" i="4" s="1"/>
  <c r="AM220" i="4"/>
  <c r="AN422" i="4"/>
  <c r="Q422" i="4" s="1"/>
  <c r="M422" i="4"/>
  <c r="AN326" i="4"/>
  <c r="Q326" i="4" s="1"/>
  <c r="M326" i="4"/>
  <c r="AQ318" i="4"/>
  <c r="P318" i="4"/>
  <c r="AQ308" i="4"/>
  <c r="P308" i="4"/>
  <c r="AN207" i="4"/>
  <c r="Q207" i="4" s="1"/>
  <c r="AM119" i="4"/>
  <c r="AN77" i="4"/>
  <c r="Q77" i="4" s="1"/>
  <c r="M77" i="4"/>
  <c r="AM77" i="4"/>
  <c r="AN63" i="4"/>
  <c r="Q63" i="4" s="1"/>
  <c r="M63" i="4"/>
  <c r="AQ11" i="4"/>
  <c r="P11" i="4"/>
  <c r="AQ60" i="4"/>
  <c r="P60" i="4"/>
  <c r="P389" i="1"/>
  <c r="AQ389" i="1"/>
  <c r="AN391" i="1"/>
  <c r="Q391" i="1" s="1"/>
  <c r="AM391" i="1"/>
  <c r="AN368" i="1"/>
  <c r="Q368" i="1" s="1"/>
  <c r="M368" i="1"/>
  <c r="AM368" i="1"/>
  <c r="AN353" i="1"/>
  <c r="Q353" i="1" s="1"/>
  <c r="AM353" i="1"/>
  <c r="M353" i="1"/>
  <c r="AN337" i="1"/>
  <c r="Q337" i="1" s="1"/>
  <c r="AM337" i="1"/>
  <c r="M337" i="1"/>
  <c r="AN321" i="1"/>
  <c r="Q321" i="1" s="1"/>
  <c r="AM321" i="1"/>
  <c r="M321" i="1"/>
  <c r="AN305" i="1"/>
  <c r="Q305" i="1" s="1"/>
  <c r="AM305" i="1"/>
  <c r="M305" i="1"/>
  <c r="P379" i="1"/>
  <c r="AQ379" i="1"/>
  <c r="AN293" i="1"/>
  <c r="Q293" i="1" s="1"/>
  <c r="AQ279" i="1"/>
  <c r="P279" i="1"/>
  <c r="AN209" i="1"/>
  <c r="Q209" i="1" s="1"/>
  <c r="M209" i="1"/>
  <c r="AN204" i="1"/>
  <c r="Q204" i="1" s="1"/>
  <c r="M204" i="1"/>
  <c r="AN147" i="1"/>
  <c r="Q147" i="1" s="1"/>
  <c r="M147" i="1"/>
  <c r="AN131" i="1"/>
  <c r="Q131" i="1" s="1"/>
  <c r="M131" i="1"/>
  <c r="P105" i="1"/>
  <c r="AQ105" i="1"/>
  <c r="AN356" i="1"/>
  <c r="Q356" i="1" s="1"/>
  <c r="AN340" i="1"/>
  <c r="Q340" i="1" s="1"/>
  <c r="AN324" i="1"/>
  <c r="Q324" i="1" s="1"/>
  <c r="AN308" i="1"/>
  <c r="Q308" i="1" s="1"/>
  <c r="P234" i="1"/>
  <c r="AQ234" i="1"/>
  <c r="AN205" i="1"/>
  <c r="Q205" i="1" s="1"/>
  <c r="M205" i="1"/>
  <c r="AQ148" i="1"/>
  <c r="P148" i="1"/>
  <c r="AQ132" i="1"/>
  <c r="P132" i="1"/>
  <c r="AN212" i="1"/>
  <c r="Q212" i="1" s="1"/>
  <c r="M212" i="1"/>
  <c r="AN201" i="1"/>
  <c r="Q201" i="1" s="1"/>
  <c r="M201" i="1"/>
  <c r="P91" i="1"/>
  <c r="AQ91" i="1"/>
  <c r="AN195" i="4"/>
  <c r="Q195" i="4" s="1"/>
  <c r="AM195" i="4"/>
  <c r="AN183" i="4"/>
  <c r="Q183" i="4" s="1"/>
  <c r="AP7" i="5"/>
  <c r="AQ7" i="5" s="1"/>
  <c r="O7" i="5"/>
  <c r="AP22" i="5"/>
  <c r="AQ22" i="5" s="1"/>
  <c r="O22" i="5"/>
  <c r="AP5" i="5"/>
  <c r="AQ5" i="5" s="1"/>
  <c r="O5" i="5"/>
  <c r="AN560" i="4"/>
  <c r="Q560" i="4" s="1"/>
  <c r="AM560" i="4"/>
  <c r="M560" i="4"/>
  <c r="P545" i="4"/>
  <c r="AQ545" i="4"/>
  <c r="AN459" i="4"/>
  <c r="Q459" i="4" s="1"/>
  <c r="M459" i="4"/>
  <c r="AQ482" i="4"/>
  <c r="P482" i="4"/>
  <c r="P314" i="4"/>
  <c r="AQ314" i="4"/>
  <c r="P312" i="4"/>
  <c r="AQ312" i="4"/>
  <c r="AN283" i="4"/>
  <c r="Q283" i="4" s="1"/>
  <c r="M283" i="4"/>
  <c r="AN275" i="4"/>
  <c r="Q275" i="4" s="1"/>
  <c r="M275" i="4"/>
  <c r="P185" i="4"/>
  <c r="AQ185" i="4"/>
  <c r="AN366" i="4"/>
  <c r="Q366" i="4" s="1"/>
  <c r="AM366" i="4"/>
  <c r="M295" i="4"/>
  <c r="AM295" i="4"/>
  <c r="AN216" i="4"/>
  <c r="Q216" i="4" s="1"/>
  <c r="AM216" i="4"/>
  <c r="AN169" i="4"/>
  <c r="Q169" i="4" s="1"/>
  <c r="M169" i="4"/>
  <c r="AM169" i="4"/>
  <c r="AN438" i="4"/>
  <c r="Q438" i="4" s="1"/>
  <c r="M438" i="4"/>
  <c r="AN356" i="4"/>
  <c r="Q356" i="4" s="1"/>
  <c r="M356" i="4"/>
  <c r="AM356" i="4"/>
  <c r="AN379" i="4"/>
  <c r="Q379" i="4" s="1"/>
  <c r="M379" i="4"/>
  <c r="AQ334" i="4"/>
  <c r="P334" i="4"/>
  <c r="AN330" i="4"/>
  <c r="Q330" i="4" s="1"/>
  <c r="M330" i="4"/>
  <c r="AM300" i="4"/>
  <c r="AM121" i="4"/>
  <c r="M121" i="4"/>
  <c r="AN103" i="4"/>
  <c r="Q103" i="4" s="1"/>
  <c r="M103" i="4"/>
  <c r="AN95" i="4"/>
  <c r="Q95" i="4" s="1"/>
  <c r="M95" i="4"/>
  <c r="AM375" i="4"/>
  <c r="AK8" i="4"/>
  <c r="AM376" i="4"/>
  <c r="AQ9" i="4"/>
  <c r="P9" i="4"/>
  <c r="AN124" i="4"/>
  <c r="Q124" i="4" s="1"/>
  <c r="AN381" i="1"/>
  <c r="Q381" i="1" s="1"/>
  <c r="AM381" i="1"/>
  <c r="AN365" i="1"/>
  <c r="Q365" i="1" s="1"/>
  <c r="AM365" i="1"/>
  <c r="M365" i="1"/>
  <c r="AN349" i="1"/>
  <c r="Q349" i="1" s="1"/>
  <c r="AM349" i="1"/>
  <c r="M349" i="1"/>
  <c r="AN333" i="1"/>
  <c r="Q333" i="1" s="1"/>
  <c r="AM333" i="1"/>
  <c r="M333" i="1"/>
  <c r="AN317" i="1"/>
  <c r="Q317" i="1" s="1"/>
  <c r="AM317" i="1"/>
  <c r="M317" i="1"/>
  <c r="AN301" i="1"/>
  <c r="Q301" i="1" s="1"/>
  <c r="AM301" i="1"/>
  <c r="M301" i="1"/>
  <c r="P171" i="1"/>
  <c r="AQ171" i="1"/>
  <c r="P163" i="1"/>
  <c r="AQ163" i="1"/>
  <c r="P113" i="1"/>
  <c r="AQ113" i="1"/>
  <c r="P99" i="1"/>
  <c r="AQ99" i="1"/>
  <c r="AN352" i="1"/>
  <c r="Q352" i="1" s="1"/>
  <c r="AN336" i="1"/>
  <c r="Q336" i="1" s="1"/>
  <c r="AN320" i="1"/>
  <c r="Q320" i="1" s="1"/>
  <c r="AN304" i="1"/>
  <c r="Q304" i="1" s="1"/>
  <c r="AQ287" i="1"/>
  <c r="P287" i="1"/>
  <c r="P226" i="1"/>
  <c r="AQ226" i="1"/>
  <c r="P169" i="1"/>
  <c r="AQ169" i="1"/>
  <c r="P161" i="1"/>
  <c r="AQ161" i="1"/>
  <c r="AN34" i="1"/>
  <c r="Q34" i="1" s="1"/>
  <c r="M34" i="1"/>
  <c r="AN187" i="1"/>
  <c r="Q187" i="1" s="1"/>
  <c r="M187" i="1"/>
  <c r="AN234" i="1"/>
  <c r="Q234" i="1" s="1"/>
  <c r="M234" i="1"/>
  <c r="AN114" i="1"/>
  <c r="Q114" i="1" s="1"/>
  <c r="M114" i="1"/>
  <c r="AQ144" i="1"/>
  <c r="P144" i="1"/>
  <c r="P101" i="1"/>
  <c r="AQ101" i="1"/>
  <c r="P159" i="1"/>
  <c r="AQ159" i="1"/>
  <c r="AQ128" i="1"/>
  <c r="P128" i="1"/>
  <c r="AN301" i="4"/>
  <c r="Q301" i="4" s="1"/>
  <c r="AK23" i="4"/>
  <c r="AN374" i="1"/>
  <c r="Q374" i="1" s="1"/>
  <c r="AN286" i="1"/>
  <c r="Q286" i="1" s="1"/>
  <c r="AN92" i="1"/>
  <c r="Q92" i="1" s="1"/>
  <c r="BI88" i="1"/>
  <c r="BK88" i="1"/>
  <c r="BK101" i="1"/>
  <c r="BM101" i="1"/>
  <c r="BH99" i="1"/>
  <c r="BI100" i="1"/>
  <c r="BK100" i="1"/>
  <c r="BO97" i="1"/>
  <c r="BQ97" i="1" s="1"/>
  <c r="BO93" i="1"/>
  <c r="BQ93" i="1" s="1"/>
  <c r="BI89" i="1"/>
  <c r="AP13" i="5"/>
  <c r="AQ13" i="5" s="1"/>
  <c r="O13" i="5"/>
  <c r="AP9" i="5"/>
  <c r="AQ9" i="5" s="1"/>
  <c r="O9" i="5"/>
  <c r="P553" i="4"/>
  <c r="AQ553" i="4"/>
  <c r="P464" i="4"/>
  <c r="AQ464" i="4"/>
  <c r="AN551" i="4"/>
  <c r="Q551" i="4" s="1"/>
  <c r="M551" i="4"/>
  <c r="P538" i="4"/>
  <c r="AQ538" i="4"/>
  <c r="AQ484" i="4"/>
  <c r="P484" i="4"/>
  <c r="AN478" i="4"/>
  <c r="Q478" i="4" s="1"/>
  <c r="M478" i="4"/>
  <c r="AN470" i="4"/>
  <c r="Q470" i="4" s="1"/>
  <c r="M470" i="4"/>
  <c r="AM551" i="4"/>
  <c r="P304" i="4"/>
  <c r="AQ304" i="4"/>
  <c r="AN281" i="4"/>
  <c r="Q281" i="4" s="1"/>
  <c r="M281" i="4"/>
  <c r="AN273" i="4"/>
  <c r="Q273" i="4" s="1"/>
  <c r="M273" i="4"/>
  <c r="AN262" i="4"/>
  <c r="Q262" i="4" s="1"/>
  <c r="M262" i="4"/>
  <c r="AN254" i="4"/>
  <c r="Q254" i="4" s="1"/>
  <c r="M254" i="4"/>
  <c r="AN247" i="4"/>
  <c r="Q247" i="4" s="1"/>
  <c r="M247" i="4"/>
  <c r="AN177" i="4"/>
  <c r="Q177" i="4" s="1"/>
  <c r="M177" i="4"/>
  <c r="AM177" i="4"/>
  <c r="AN165" i="4"/>
  <c r="Q165" i="4" s="1"/>
  <c r="M165" i="4"/>
  <c r="AM165" i="4"/>
  <c r="P422" i="4"/>
  <c r="AQ422" i="4"/>
  <c r="AM454" i="4"/>
  <c r="M454" i="4"/>
  <c r="AQ338" i="4"/>
  <c r="P338" i="4"/>
  <c r="AN334" i="4"/>
  <c r="Q334" i="4" s="1"/>
  <c r="M334" i="4"/>
  <c r="AN322" i="4"/>
  <c r="Q322" i="4" s="1"/>
  <c r="M322" i="4"/>
  <c r="AN312" i="4"/>
  <c r="Q312" i="4" s="1"/>
  <c r="M312" i="4"/>
  <c r="AQ193" i="4"/>
  <c r="P193" i="4"/>
  <c r="AN295" i="4"/>
  <c r="Q295" i="4" s="1"/>
  <c r="AQ14" i="4"/>
  <c r="P14" i="4"/>
  <c r="AM65" i="4"/>
  <c r="AN387" i="1"/>
  <c r="Q387" i="1" s="1"/>
  <c r="M387" i="1"/>
  <c r="AM387" i="1"/>
  <c r="M380" i="1"/>
  <c r="AN380" i="1"/>
  <c r="Q380" i="1" s="1"/>
  <c r="AN361" i="1"/>
  <c r="Q361" i="1" s="1"/>
  <c r="AM361" i="1"/>
  <c r="M361" i="1"/>
  <c r="AN345" i="1"/>
  <c r="Q345" i="1" s="1"/>
  <c r="AM345" i="1"/>
  <c r="M345" i="1"/>
  <c r="AN329" i="1"/>
  <c r="Q329" i="1" s="1"/>
  <c r="AM329" i="1"/>
  <c r="M329" i="1"/>
  <c r="AN313" i="1"/>
  <c r="Q313" i="1" s="1"/>
  <c r="AM313" i="1"/>
  <c r="M313" i="1"/>
  <c r="AN300" i="1"/>
  <c r="Q300" i="1" s="1"/>
  <c r="M300" i="1"/>
  <c r="AM300" i="1"/>
  <c r="AQ283" i="1"/>
  <c r="P283" i="1"/>
  <c r="AN211" i="1"/>
  <c r="Q211" i="1" s="1"/>
  <c r="M211" i="1"/>
  <c r="AN195" i="1"/>
  <c r="Q195" i="1" s="1"/>
  <c r="M195" i="1"/>
  <c r="P151" i="1"/>
  <c r="AQ151" i="1"/>
  <c r="AN139" i="1"/>
  <c r="Q139" i="1" s="1"/>
  <c r="M139" i="1"/>
  <c r="AN125" i="1"/>
  <c r="Q125" i="1" s="1"/>
  <c r="M125" i="1"/>
  <c r="P93" i="1"/>
  <c r="AQ93" i="1"/>
  <c r="AN364" i="1"/>
  <c r="Q364" i="1" s="1"/>
  <c r="AN348" i="1"/>
  <c r="Q348" i="1" s="1"/>
  <c r="AN332" i="1"/>
  <c r="Q332" i="1" s="1"/>
  <c r="AN316" i="1"/>
  <c r="Q316" i="1" s="1"/>
  <c r="AQ277" i="1"/>
  <c r="P277" i="1"/>
  <c r="P218" i="1"/>
  <c r="AQ218" i="1"/>
  <c r="AN165" i="1"/>
  <c r="Q165" i="1" s="1"/>
  <c r="M165" i="1"/>
  <c r="AM165" i="1"/>
  <c r="P155" i="1"/>
  <c r="AQ155" i="1"/>
  <c r="AQ140" i="1"/>
  <c r="P140" i="1"/>
  <c r="AN126" i="1"/>
  <c r="Q126" i="1" s="1"/>
  <c r="M126" i="1"/>
  <c r="AM126" i="1"/>
  <c r="AN109" i="1"/>
  <c r="Q109" i="1" s="1"/>
  <c r="M109" i="1"/>
  <c r="AM109" i="1"/>
  <c r="AN40" i="1"/>
  <c r="Q40" i="1" s="1"/>
  <c r="M40" i="1"/>
  <c r="AQ275" i="1"/>
  <c r="P275" i="1"/>
  <c r="AM281" i="1"/>
  <c r="M281" i="1"/>
  <c r="AN197" i="1"/>
  <c r="Q197" i="1" s="1"/>
  <c r="M197" i="1"/>
  <c r="AQ136" i="1"/>
  <c r="P136" i="1"/>
  <c r="P167" i="1"/>
  <c r="AQ167" i="1"/>
  <c r="P97" i="1"/>
  <c r="AQ97" i="1"/>
  <c r="AL309" i="5"/>
  <c r="O309" i="5" s="1"/>
  <c r="L303" i="5"/>
  <c r="AL160" i="5"/>
  <c r="AP160" i="5" s="1"/>
  <c r="AQ160" i="5" s="1"/>
  <c r="AL497" i="5"/>
  <c r="O497" i="5" s="1"/>
  <c r="L365" i="5"/>
  <c r="AL346" i="5"/>
  <c r="AP346" i="5" s="1"/>
  <c r="AQ346" i="5" s="1"/>
  <c r="AL402" i="5"/>
  <c r="AP402" i="5" s="1"/>
  <c r="AQ402" i="5" s="1"/>
  <c r="AP392" i="5"/>
  <c r="AQ392" i="5" s="1"/>
  <c r="AL282" i="5"/>
  <c r="O282" i="5" s="1"/>
  <c r="AL105" i="5"/>
  <c r="O105" i="5" s="1"/>
  <c r="AL187" i="5"/>
  <c r="AP187" i="5" s="1"/>
  <c r="AQ187" i="5" s="1"/>
  <c r="AR32" i="5"/>
  <c r="L32" i="5" s="1"/>
  <c r="AP72" i="5"/>
  <c r="AQ72" i="5" s="1"/>
  <c r="T133" i="5"/>
  <c r="L329" i="5"/>
  <c r="L91" i="5"/>
  <c r="BL89" i="5"/>
  <c r="L349" i="5"/>
  <c r="AL302" i="5"/>
  <c r="AP302" i="5" s="1"/>
  <c r="AQ302" i="5" s="1"/>
  <c r="AL156" i="5"/>
  <c r="AP156" i="5" s="1"/>
  <c r="AQ156" i="5" s="1"/>
  <c r="BH89" i="5"/>
  <c r="AL125" i="5"/>
  <c r="AP125" i="5" s="1"/>
  <c r="AQ125" i="5" s="1"/>
  <c r="AL94" i="5"/>
  <c r="AP94" i="5" s="1"/>
  <c r="AQ94" i="5" s="1"/>
  <c r="BH95" i="5"/>
  <c r="AL284" i="5"/>
  <c r="O284" i="5" s="1"/>
  <c r="AL231" i="5"/>
  <c r="O231" i="5" s="1"/>
  <c r="AL482" i="5"/>
  <c r="O482" i="5" s="1"/>
  <c r="AL347" i="5"/>
  <c r="AP347" i="5" s="1"/>
  <c r="AQ347" i="5" s="1"/>
  <c r="AR36" i="5"/>
  <c r="AL36" i="5" s="1"/>
  <c r="O36" i="5" s="1"/>
  <c r="AT36" i="5"/>
  <c r="K36" i="5" s="1"/>
  <c r="L87" i="5"/>
  <c r="AL328" i="5"/>
  <c r="O328" i="5" s="1"/>
  <c r="P442" i="5"/>
  <c r="AL209" i="5"/>
  <c r="AL83" i="5"/>
  <c r="AP83" i="5" s="1"/>
  <c r="AQ83" i="5" s="1"/>
  <c r="L231" i="5"/>
  <c r="AL135" i="5"/>
  <c r="AP135" i="5" s="1"/>
  <c r="AQ135" i="5" s="1"/>
  <c r="AL356" i="5"/>
  <c r="O356" i="5" s="1"/>
  <c r="O389" i="5"/>
  <c r="AN36" i="5"/>
  <c r="Q36" i="5" s="1"/>
  <c r="AU48" i="5"/>
  <c r="AL87" i="5"/>
  <c r="AP87" i="5" s="1"/>
  <c r="AQ87" i="5" s="1"/>
  <c r="AL296" i="5"/>
  <c r="O296" i="5" s="1"/>
  <c r="AL313" i="5"/>
  <c r="AP313" i="5" s="1"/>
  <c r="AQ313" i="5" s="1"/>
  <c r="AS36" i="5"/>
  <c r="M36" i="5" s="1"/>
  <c r="AL336" i="5"/>
  <c r="L338" i="5"/>
  <c r="L292" i="5"/>
  <c r="AL179" i="5"/>
  <c r="O179" i="5" s="1"/>
  <c r="L27" i="5"/>
  <c r="AL292" i="5"/>
  <c r="AP412" i="5"/>
  <c r="AQ412" i="5" s="1"/>
  <c r="O412" i="5"/>
  <c r="O174" i="5"/>
  <c r="AP174" i="5"/>
  <c r="AQ174" i="5" s="1"/>
  <c r="P406" i="5"/>
  <c r="AL169" i="5"/>
  <c r="AP169" i="5" s="1"/>
  <c r="AQ169" i="5" s="1"/>
  <c r="AL112" i="5"/>
  <c r="AP112" i="5" s="1"/>
  <c r="AQ112" i="5" s="1"/>
  <c r="AL195" i="5"/>
  <c r="AP195" i="5" s="1"/>
  <c r="AQ195" i="5" s="1"/>
  <c r="AL183" i="5"/>
  <c r="AP183" i="5" s="1"/>
  <c r="AQ183" i="5" s="1"/>
  <c r="AN32" i="5"/>
  <c r="Q32" i="5" s="1"/>
  <c r="AP68" i="5"/>
  <c r="AQ68" i="5" s="1"/>
  <c r="L412" i="5"/>
  <c r="L268" i="5"/>
  <c r="AL490" i="5"/>
  <c r="O490" i="5" s="1"/>
  <c r="AL220" i="5"/>
  <c r="AP220" i="5" s="1"/>
  <c r="AQ220" i="5" s="1"/>
  <c r="AL199" i="5"/>
  <c r="AP199" i="5" s="1"/>
  <c r="AQ199" i="5" s="1"/>
  <c r="AP213" i="5"/>
  <c r="AQ213" i="5" s="1"/>
  <c r="AP205" i="5"/>
  <c r="AQ205" i="5" s="1"/>
  <c r="AP106" i="5"/>
  <c r="AQ106" i="5" s="1"/>
  <c r="AU44" i="5"/>
  <c r="AL338" i="5"/>
  <c r="O338" i="5" s="1"/>
  <c r="AL161" i="5"/>
  <c r="O161" i="5" s="1"/>
  <c r="L223" i="5"/>
  <c r="AL141" i="5"/>
  <c r="O141" i="5" s="1"/>
  <c r="AL139" i="5"/>
  <c r="AL259" i="5"/>
  <c r="AP259" i="5" s="1"/>
  <c r="AQ259" i="5" s="1"/>
  <c r="P160" i="5"/>
  <c r="AL93" i="5"/>
  <c r="AP93" i="5" s="1"/>
  <c r="AQ93" i="5" s="1"/>
  <c r="AL237" i="5"/>
  <c r="AL484" i="5"/>
  <c r="O484" i="5" s="1"/>
  <c r="AL350" i="5"/>
  <c r="AP350" i="5" s="1"/>
  <c r="AQ350" i="5" s="1"/>
  <c r="AL315" i="5"/>
  <c r="O315" i="5" s="1"/>
  <c r="AL193" i="5"/>
  <c r="AP193" i="5" s="1"/>
  <c r="AQ193" i="5" s="1"/>
  <c r="AL191" i="5"/>
  <c r="AP191" i="5" s="1"/>
  <c r="AQ191" i="5" s="1"/>
  <c r="AL129" i="5"/>
  <c r="AP129" i="5" s="1"/>
  <c r="AQ129" i="5" s="1"/>
  <c r="AP69" i="5"/>
  <c r="AQ69" i="5" s="1"/>
  <c r="L26" i="5"/>
  <c r="L161" i="5"/>
  <c r="L93" i="5"/>
  <c r="AT32" i="5"/>
  <c r="K32" i="5" s="1"/>
  <c r="AP254" i="5"/>
  <c r="AQ254" i="5" s="1"/>
  <c r="O254" i="5"/>
  <c r="S263" i="5"/>
  <c r="O225" i="5"/>
  <c r="AP225" i="5"/>
  <c r="AQ225" i="5" s="1"/>
  <c r="AP329" i="5"/>
  <c r="AQ329" i="5" s="1"/>
  <c r="O329" i="5"/>
  <c r="P265" i="5"/>
  <c r="AL265" i="5"/>
  <c r="AP342" i="5"/>
  <c r="AQ342" i="5" s="1"/>
  <c r="P360" i="5"/>
  <c r="AP296" i="5"/>
  <c r="AQ296" i="5" s="1"/>
  <c r="AL181" i="5"/>
  <c r="AP181" i="5" s="1"/>
  <c r="AQ181" i="5" s="1"/>
  <c r="P138" i="5"/>
  <c r="AN33" i="5"/>
  <c r="Q33" i="5" s="1"/>
  <c r="O154" i="5"/>
  <c r="AS31" i="5"/>
  <c r="M31" i="5" s="1"/>
  <c r="L16" i="5"/>
  <c r="L404" i="5"/>
  <c r="L242" i="5"/>
  <c r="L257" i="5"/>
  <c r="L426" i="5"/>
  <c r="AL311" i="5"/>
  <c r="O311" i="5" s="1"/>
  <c r="AT33" i="5"/>
  <c r="K33" i="5" s="1"/>
  <c r="L118" i="5"/>
  <c r="AU45" i="5"/>
  <c r="L148" i="5"/>
  <c r="L453" i="5"/>
  <c r="AL466" i="5"/>
  <c r="AP466" i="5" s="1"/>
  <c r="AQ466" i="5" s="1"/>
  <c r="AL331" i="5"/>
  <c r="AP331" i="5" s="1"/>
  <c r="AQ331" i="5" s="1"/>
  <c r="AL323" i="5"/>
  <c r="O323" i="5" s="1"/>
  <c r="O404" i="5"/>
  <c r="AL360" i="5"/>
  <c r="O360" i="5" s="1"/>
  <c r="AP303" i="5"/>
  <c r="AQ303" i="5" s="1"/>
  <c r="AL138" i="5"/>
  <c r="AP138" i="5" s="1"/>
  <c r="AQ138" i="5" s="1"/>
  <c r="L22" i="5"/>
  <c r="O133" i="5"/>
  <c r="AS33" i="5"/>
  <c r="M33" i="5" s="1"/>
  <c r="L21" i="5"/>
  <c r="AR31" i="5"/>
  <c r="L31" i="5" s="1"/>
  <c r="AT31" i="5"/>
  <c r="K31" i="5" s="1"/>
  <c r="BL85" i="5"/>
  <c r="L264" i="5"/>
  <c r="AL426" i="5"/>
  <c r="AP426" i="5" s="1"/>
  <c r="AQ426" i="5" s="1"/>
  <c r="P329" i="5"/>
  <c r="L311" i="5"/>
  <c r="AL324" i="5"/>
  <c r="AL91" i="5"/>
  <c r="AL117" i="5"/>
  <c r="AP117" i="5" s="1"/>
  <c r="AQ117" i="5" s="1"/>
  <c r="AL148" i="5"/>
  <c r="AP148" i="5" s="1"/>
  <c r="AQ148" i="5" s="1"/>
  <c r="AL480" i="5"/>
  <c r="O480" i="5" s="1"/>
  <c r="AL453" i="5"/>
  <c r="AP453" i="5" s="1"/>
  <c r="AQ453" i="5" s="1"/>
  <c r="AL339" i="5"/>
  <c r="AP339" i="5" s="1"/>
  <c r="AQ339" i="5" s="1"/>
  <c r="AL242" i="5"/>
  <c r="AP242" i="5" s="1"/>
  <c r="AQ242" i="5" s="1"/>
  <c r="AL335" i="5"/>
  <c r="AP335" i="5" s="1"/>
  <c r="AQ335" i="5" s="1"/>
  <c r="AP330" i="5"/>
  <c r="AQ330" i="5" s="1"/>
  <c r="AL173" i="5"/>
  <c r="AP173" i="5" s="1"/>
  <c r="AQ173" i="5" s="1"/>
  <c r="AL142" i="5"/>
  <c r="AP142" i="5" s="1"/>
  <c r="AQ142" i="5" s="1"/>
  <c r="AL120" i="5"/>
  <c r="O120" i="5" s="1"/>
  <c r="AN31" i="5"/>
  <c r="Q31" i="5" s="1"/>
  <c r="L265" i="5"/>
  <c r="L263" i="5"/>
  <c r="AL147" i="5"/>
  <c r="AP262" i="5"/>
  <c r="AQ262" i="5" s="1"/>
  <c r="O262" i="5"/>
  <c r="T276" i="5"/>
  <c r="S276" i="5"/>
  <c r="O334" i="5"/>
  <c r="AP334" i="5"/>
  <c r="AQ334" i="5" s="1"/>
  <c r="P441" i="5"/>
  <c r="L441" i="5"/>
  <c r="AL476" i="5"/>
  <c r="O476" i="5" s="1"/>
  <c r="AL364" i="5"/>
  <c r="AP364" i="5" s="1"/>
  <c r="AQ364" i="5" s="1"/>
  <c r="AP239" i="5"/>
  <c r="AQ239" i="5" s="1"/>
  <c r="AL290" i="5"/>
  <c r="O290" i="5" s="1"/>
  <c r="AL206" i="5"/>
  <c r="AP206" i="5" s="1"/>
  <c r="AQ206" i="5" s="1"/>
  <c r="AL185" i="5"/>
  <c r="O185" i="5" s="1"/>
  <c r="AL122" i="5"/>
  <c r="AP122" i="5" s="1"/>
  <c r="AQ122" i="5" s="1"/>
  <c r="BG89" i="5"/>
  <c r="AR28" i="5"/>
  <c r="L28" i="5" s="1"/>
  <c r="AS46" i="5"/>
  <c r="M46" i="5" s="1"/>
  <c r="AU40" i="5"/>
  <c r="AT28" i="5"/>
  <c r="K28" i="5" s="1"/>
  <c r="BK99" i="5"/>
  <c r="BN99" i="5"/>
  <c r="BP99" i="5" s="1"/>
  <c r="BI95" i="5"/>
  <c r="BJ95" i="5"/>
  <c r="BI85" i="5"/>
  <c r="AL268" i="5"/>
  <c r="AP268" i="5" s="1"/>
  <c r="AQ268" i="5" s="1"/>
  <c r="L454" i="5"/>
  <c r="L429" i="5"/>
  <c r="AL249" i="5"/>
  <c r="L276" i="5"/>
  <c r="AL348" i="5"/>
  <c r="AP348" i="5" s="1"/>
  <c r="AQ348" i="5" s="1"/>
  <c r="S373" i="5"/>
  <c r="AP73" i="5"/>
  <c r="AQ73" i="5" s="1"/>
  <c r="AN28" i="5"/>
  <c r="Q28" i="5" s="1"/>
  <c r="BI89" i="5"/>
  <c r="BH99" i="5"/>
  <c r="BK95" i="5"/>
  <c r="BN95" i="5"/>
  <c r="BP95" i="5" s="1"/>
  <c r="BJ85" i="5"/>
  <c r="AL318" i="5"/>
  <c r="AL344" i="5"/>
  <c r="O276" i="5"/>
  <c r="AL102" i="5"/>
  <c r="L425" i="5"/>
  <c r="P246" i="5"/>
  <c r="AL246" i="5"/>
  <c r="L246" i="5"/>
  <c r="AL257" i="5"/>
  <c r="L174" i="5"/>
  <c r="P254" i="5"/>
  <c r="L254" i="5"/>
  <c r="AL441" i="5"/>
  <c r="O441" i="5" s="1"/>
  <c r="O321" i="5"/>
  <c r="AP233" i="5"/>
  <c r="AQ233" i="5" s="1"/>
  <c r="L334" i="5"/>
  <c r="L318" i="5"/>
  <c r="L288" i="5"/>
  <c r="O373" i="5"/>
  <c r="AL298" i="5"/>
  <c r="O298" i="5" s="1"/>
  <c r="BN89" i="5"/>
  <c r="BP89" i="5" s="1"/>
  <c r="AL146" i="5"/>
  <c r="O146" i="5" s="1"/>
  <c r="AL190" i="5"/>
  <c r="AP190" i="5" s="1"/>
  <c r="AQ190" i="5" s="1"/>
  <c r="BM99" i="5"/>
  <c r="BG95" i="5"/>
  <c r="BN85" i="5"/>
  <c r="BP85" i="5" s="1"/>
  <c r="L344" i="5"/>
  <c r="L445" i="5"/>
  <c r="AL416" i="5"/>
  <c r="L416" i="5"/>
  <c r="L337" i="5"/>
  <c r="AL337" i="5"/>
  <c r="AL322" i="5"/>
  <c r="L262" i="5"/>
  <c r="L245" i="5"/>
  <c r="L197" i="5"/>
  <c r="AL197" i="5"/>
  <c r="O197" i="5" s="1"/>
  <c r="L189" i="5"/>
  <c r="AL189" i="5"/>
  <c r="AP189" i="5" s="1"/>
  <c r="AQ189" i="5" s="1"/>
  <c r="AP244" i="5"/>
  <c r="AQ244" i="5" s="1"/>
  <c r="O244" i="5"/>
  <c r="AL370" i="5"/>
  <c r="AP370" i="5" s="1"/>
  <c r="AQ370" i="5" s="1"/>
  <c r="T321" i="5"/>
  <c r="S321" i="5"/>
  <c r="O217" i="5"/>
  <c r="AP217" i="5"/>
  <c r="AQ217" i="5" s="1"/>
  <c r="O247" i="5"/>
  <c r="O180" i="5"/>
  <c r="AP180" i="5"/>
  <c r="AQ180" i="5" s="1"/>
  <c r="O172" i="5"/>
  <c r="AP172" i="5"/>
  <c r="AQ172" i="5" s="1"/>
  <c r="AP252" i="5"/>
  <c r="AQ252" i="5" s="1"/>
  <c r="O252" i="5"/>
  <c r="O235" i="5"/>
  <c r="AP235" i="5"/>
  <c r="AQ235" i="5" s="1"/>
  <c r="BM89" i="5"/>
  <c r="BL99" i="5"/>
  <c r="BJ99" i="5"/>
  <c r="BG85" i="5"/>
  <c r="L449" i="5"/>
  <c r="P269" i="5"/>
  <c r="L269" i="5"/>
  <c r="P320" i="5"/>
  <c r="L320" i="5"/>
  <c r="AL320" i="5"/>
  <c r="AL280" i="5"/>
  <c r="AP418" i="5"/>
  <c r="AQ418" i="5" s="1"/>
  <c r="O418" i="5"/>
  <c r="P316" i="5"/>
  <c r="L316" i="5"/>
  <c r="AL316" i="5"/>
  <c r="AP273" i="5"/>
  <c r="AQ273" i="5" s="1"/>
  <c r="O273" i="5"/>
  <c r="AL349" i="5"/>
  <c r="P219" i="5"/>
  <c r="L219" i="5"/>
  <c r="AL288" i="5"/>
  <c r="P203" i="5"/>
  <c r="AL203" i="5"/>
  <c r="L203" i="5"/>
  <c r="P168" i="5"/>
  <c r="L168" i="5"/>
  <c r="AL168" i="5"/>
  <c r="AL157" i="5"/>
  <c r="AL219" i="5"/>
  <c r="P200" i="5"/>
  <c r="L200" i="5"/>
  <c r="AL143" i="5"/>
  <c r="AL269" i="5"/>
  <c r="AL153" i="5"/>
  <c r="O151" i="5"/>
  <c r="AP151" i="5"/>
  <c r="AQ151" i="5" s="1"/>
  <c r="P135" i="5"/>
  <c r="AL111" i="5"/>
  <c r="P275" i="5"/>
  <c r="L275" i="5"/>
  <c r="L227" i="5"/>
  <c r="L170" i="5"/>
  <c r="AL170" i="5"/>
  <c r="L106" i="5"/>
  <c r="P106" i="5"/>
  <c r="BH85" i="5"/>
  <c r="P419" i="5"/>
  <c r="L419" i="5"/>
  <c r="AL419" i="5"/>
  <c r="AL372" i="5"/>
  <c r="L372" i="5"/>
  <c r="O434" i="5"/>
  <c r="AP430" i="5"/>
  <c r="AQ430" i="5" s="1"/>
  <c r="O430" i="5"/>
  <c r="AL299" i="5"/>
  <c r="L299" i="5"/>
  <c r="AP245" i="5"/>
  <c r="AQ245" i="5" s="1"/>
  <c r="O245" i="5"/>
  <c r="L244" i="5"/>
  <c r="L235" i="5"/>
  <c r="O211" i="5"/>
  <c r="AP211" i="5"/>
  <c r="AQ211" i="5" s="1"/>
  <c r="P184" i="5"/>
  <c r="L184" i="5"/>
  <c r="AL184" i="5"/>
  <c r="AL166" i="5"/>
  <c r="L166" i="5"/>
  <c r="P166" i="5"/>
  <c r="L154" i="5"/>
  <c r="L180" i="5"/>
  <c r="AL178" i="5"/>
  <c r="L178" i="5"/>
  <c r="O134" i="5"/>
  <c r="AP134" i="5"/>
  <c r="AQ134" i="5" s="1"/>
  <c r="P108" i="5"/>
  <c r="L108" i="5"/>
  <c r="AL108" i="5"/>
  <c r="L172" i="5"/>
  <c r="AR30" i="5"/>
  <c r="AM30" i="5" s="1"/>
  <c r="AU42" i="5"/>
  <c r="AS30" i="5"/>
  <c r="M30" i="5" s="1"/>
  <c r="AT30" i="5"/>
  <c r="K30" i="5" s="1"/>
  <c r="AL200" i="5"/>
  <c r="AL400" i="5"/>
  <c r="L400" i="5"/>
  <c r="AP446" i="5"/>
  <c r="AQ446" i="5" s="1"/>
  <c r="O446" i="5"/>
  <c r="AP267" i="5"/>
  <c r="AQ267" i="5" s="1"/>
  <c r="O267" i="5"/>
  <c r="O261" i="5"/>
  <c r="AL314" i="5"/>
  <c r="P274" i="5"/>
  <c r="L274" i="5"/>
  <c r="AL274" i="5"/>
  <c r="AP270" i="5"/>
  <c r="AQ270" i="5" s="1"/>
  <c r="O270" i="5"/>
  <c r="L252" i="5"/>
  <c r="P217" i="5"/>
  <c r="L217" i="5"/>
  <c r="AP255" i="5"/>
  <c r="AQ255" i="5" s="1"/>
  <c r="O255" i="5"/>
  <c r="L247" i="5"/>
  <c r="P229" i="5"/>
  <c r="L229" i="5"/>
  <c r="AL229" i="5"/>
  <c r="AL182" i="5"/>
  <c r="L182" i="5"/>
  <c r="P182" i="5"/>
  <c r="L162" i="5"/>
  <c r="AR46" i="5"/>
  <c r="AU58" i="5"/>
  <c r="AT46" i="5"/>
  <c r="K46" i="5" s="1"/>
  <c r="AL110" i="5"/>
  <c r="L110" i="5"/>
  <c r="AP272" i="5"/>
  <c r="AQ272" i="5" s="1"/>
  <c r="O272" i="5"/>
  <c r="O223" i="5"/>
  <c r="AP223" i="5"/>
  <c r="AQ223" i="5" s="1"/>
  <c r="AL155" i="5"/>
  <c r="O145" i="5"/>
  <c r="AP145" i="5"/>
  <c r="AQ145" i="5" s="1"/>
  <c r="O227" i="5"/>
  <c r="AP227" i="5"/>
  <c r="AQ227" i="5" s="1"/>
  <c r="L99" i="5"/>
  <c r="AR39" i="5"/>
  <c r="AM39" i="5" s="1"/>
  <c r="AU51" i="5"/>
  <c r="AS39" i="5"/>
  <c r="M39" i="5" s="1"/>
  <c r="AT39" i="5"/>
  <c r="K39" i="5" s="1"/>
  <c r="L151" i="5"/>
  <c r="AR38" i="5"/>
  <c r="AM38" i="5" s="1"/>
  <c r="AT38" i="5"/>
  <c r="K38" i="5" s="1"/>
  <c r="AU50" i="5"/>
  <c r="AS38" i="5"/>
  <c r="M38" i="5" s="1"/>
  <c r="P164" i="5"/>
  <c r="P195" i="5"/>
  <c r="AL396" i="5"/>
  <c r="L396" i="5"/>
  <c r="L321" i="5"/>
  <c r="AP365" i="5"/>
  <c r="AQ365" i="5" s="1"/>
  <c r="O365" i="5"/>
  <c r="L267" i="5"/>
  <c r="AP258" i="5"/>
  <c r="AQ258" i="5" s="1"/>
  <c r="O258" i="5"/>
  <c r="L260" i="5"/>
  <c r="AP256" i="5"/>
  <c r="AQ256" i="5" s="1"/>
  <c r="O256" i="5"/>
  <c r="L225" i="5"/>
  <c r="P255" i="5"/>
  <c r="L255" i="5"/>
  <c r="P159" i="5"/>
  <c r="AL159" i="5"/>
  <c r="L159" i="5"/>
  <c r="AR37" i="5"/>
  <c r="AM37" i="5" s="1"/>
  <c r="AU49" i="5"/>
  <c r="AT37" i="5"/>
  <c r="K37" i="5" s="1"/>
  <c r="L213" i="5"/>
  <c r="AP192" i="5"/>
  <c r="AQ192" i="5" s="1"/>
  <c r="O192" i="5"/>
  <c r="P272" i="5"/>
  <c r="L272" i="5"/>
  <c r="L152" i="5"/>
  <c r="AL152" i="5"/>
  <c r="L115" i="5"/>
  <c r="P115" i="5"/>
  <c r="AL115" i="5"/>
  <c r="AL88" i="5"/>
  <c r="L88" i="5"/>
  <c r="AQ50" i="4"/>
  <c r="P50" i="4"/>
  <c r="AQ42" i="4"/>
  <c r="P42" i="4"/>
  <c r="AQ34" i="4"/>
  <c r="P34" i="4"/>
  <c r="AQ268" i="1"/>
  <c r="P268" i="1"/>
  <c r="O236" i="5"/>
  <c r="AP236" i="5"/>
  <c r="AQ236" i="5" s="1"/>
  <c r="AQ507" i="4"/>
  <c r="P507" i="4"/>
  <c r="AQ33" i="4"/>
  <c r="P33" i="4"/>
  <c r="P394" i="1"/>
  <c r="AQ394" i="1"/>
  <c r="AQ419" i="4"/>
  <c r="P419" i="4"/>
  <c r="AQ44" i="4"/>
  <c r="P44" i="4"/>
  <c r="AQ56" i="4"/>
  <c r="P56" i="4"/>
  <c r="AQ54" i="4"/>
  <c r="P54" i="4"/>
  <c r="AQ46" i="4"/>
  <c r="P46" i="4"/>
  <c r="AQ38" i="4"/>
  <c r="P38" i="4"/>
  <c r="AQ30" i="4"/>
  <c r="P30" i="4"/>
  <c r="AQ145" i="1"/>
  <c r="P145" i="1"/>
  <c r="AP127" i="5"/>
  <c r="AQ127" i="5" s="1"/>
  <c r="O127" i="5"/>
  <c r="AP121" i="5"/>
  <c r="AQ121" i="5" s="1"/>
  <c r="O121" i="5"/>
  <c r="AQ455" i="4"/>
  <c r="P455" i="4"/>
  <c r="AQ429" i="4"/>
  <c r="P429" i="4"/>
  <c r="AQ400" i="4"/>
  <c r="P400" i="4"/>
  <c r="AQ49" i="4"/>
  <c r="P49" i="4"/>
  <c r="AQ243" i="1"/>
  <c r="P243" i="1"/>
  <c r="AP354" i="5"/>
  <c r="AQ354" i="5" s="1"/>
  <c r="O354" i="5"/>
  <c r="AP116" i="5"/>
  <c r="AQ116" i="5" s="1"/>
  <c r="AQ555" i="4"/>
  <c r="P555" i="4"/>
  <c r="R529" i="4"/>
  <c r="AN521" i="4"/>
  <c r="Q521" i="4" s="1"/>
  <c r="M521" i="4"/>
  <c r="AM521" i="4"/>
  <c r="R498" i="4"/>
  <c r="R499" i="4"/>
  <c r="R468" i="4"/>
  <c r="M491" i="4"/>
  <c r="AN491" i="4"/>
  <c r="Q491" i="4" s="1"/>
  <c r="R448" i="4"/>
  <c r="R427" i="4"/>
  <c r="AQ443" i="4"/>
  <c r="P443" i="4"/>
  <c r="M432" i="4"/>
  <c r="AN432" i="4"/>
  <c r="Q432" i="4" s="1"/>
  <c r="AM432" i="4"/>
  <c r="AQ469" i="4"/>
  <c r="P469" i="4"/>
  <c r="R437" i="4"/>
  <c r="P556" i="4"/>
  <c r="AQ556" i="4"/>
  <c r="AQ546" i="4"/>
  <c r="P546" i="4"/>
  <c r="AR543" i="4"/>
  <c r="U543" i="4" s="1"/>
  <c r="T543" i="4"/>
  <c r="P528" i="4"/>
  <c r="AQ528" i="4"/>
  <c r="AN525" i="4"/>
  <c r="Q525" i="4" s="1"/>
  <c r="AM525" i="4"/>
  <c r="M525" i="4"/>
  <c r="R515" i="4"/>
  <c r="M499" i="4"/>
  <c r="AN499" i="4"/>
  <c r="Q499" i="4" s="1"/>
  <c r="AM491" i="4"/>
  <c r="R495" i="4"/>
  <c r="M483" i="4"/>
  <c r="AN483" i="4"/>
  <c r="Q483" i="4" s="1"/>
  <c r="R464" i="4"/>
  <c r="AQ488" i="4"/>
  <c r="P488" i="4"/>
  <c r="AQ472" i="4"/>
  <c r="P472" i="4"/>
  <c r="R554" i="4"/>
  <c r="AQ544" i="4"/>
  <c r="P544" i="4"/>
  <c r="AM533" i="4"/>
  <c r="M557" i="4"/>
  <c r="AN557" i="4"/>
  <c r="Q557" i="4" s="1"/>
  <c r="AM557" i="4"/>
  <c r="AQ552" i="4"/>
  <c r="P552" i="4"/>
  <c r="AM554" i="4"/>
  <c r="AN554" i="4"/>
  <c r="Q554" i="4" s="1"/>
  <c r="M554" i="4"/>
  <c r="AQ548" i="4"/>
  <c r="P548" i="4"/>
  <c r="R533" i="4"/>
  <c r="AQ539" i="4"/>
  <c r="P539" i="4"/>
  <c r="AR534" i="4"/>
  <c r="U534" i="4" s="1"/>
  <c r="T534" i="4"/>
  <c r="R519" i="4"/>
  <c r="AR536" i="4"/>
  <c r="U536" i="4" s="1"/>
  <c r="T536" i="4"/>
  <c r="P532" i="4"/>
  <c r="AQ532" i="4"/>
  <c r="AN529" i="4"/>
  <c r="Q529" i="4" s="1"/>
  <c r="M529" i="4"/>
  <c r="R527" i="4"/>
  <c r="P524" i="4"/>
  <c r="AQ524" i="4"/>
  <c r="R522" i="4"/>
  <c r="R520" i="4"/>
  <c r="AQ512" i="4"/>
  <c r="P512" i="4"/>
  <c r="AQ508" i="4"/>
  <c r="P508" i="4"/>
  <c r="AQ504" i="4"/>
  <c r="P504" i="4"/>
  <c r="AQ500" i="4"/>
  <c r="P500" i="4"/>
  <c r="AQ509" i="4"/>
  <c r="P509" i="4"/>
  <c r="R507" i="4"/>
  <c r="M503" i="4"/>
  <c r="AN503" i="4"/>
  <c r="Q503" i="4" s="1"/>
  <c r="R485" i="4"/>
  <c r="AQ510" i="4"/>
  <c r="P510" i="4"/>
  <c r="AQ492" i="4"/>
  <c r="P492" i="4"/>
  <c r="R486" i="4"/>
  <c r="AQ478" i="4"/>
  <c r="P478" i="4"/>
  <c r="AQ474" i="4"/>
  <c r="P474" i="4"/>
  <c r="AQ470" i="4"/>
  <c r="P470" i="4"/>
  <c r="R491" i="4"/>
  <c r="AM487" i="4"/>
  <c r="AQ475" i="4"/>
  <c r="P475" i="4"/>
  <c r="R473" i="4"/>
  <c r="AR498" i="4"/>
  <c r="U498" i="4" s="1"/>
  <c r="T498" i="4"/>
  <c r="M461" i="4"/>
  <c r="AM461" i="4"/>
  <c r="AQ458" i="4"/>
  <c r="P458" i="4"/>
  <c r="AQ451" i="4"/>
  <c r="P451" i="4"/>
  <c r="M448" i="4"/>
  <c r="AN448" i="4"/>
  <c r="Q448" i="4" s="1"/>
  <c r="R446" i="4"/>
  <c r="AQ437" i="4"/>
  <c r="P437" i="4"/>
  <c r="R431" i="4"/>
  <c r="AQ476" i="4"/>
  <c r="P476" i="4"/>
  <c r="M465" i="4"/>
  <c r="AN465" i="4"/>
  <c r="Q465" i="4" s="1"/>
  <c r="AQ444" i="4"/>
  <c r="P444" i="4"/>
  <c r="AQ434" i="4"/>
  <c r="P434" i="4"/>
  <c r="AQ463" i="4"/>
  <c r="P463" i="4"/>
  <c r="AR459" i="4"/>
  <c r="U459" i="4" s="1"/>
  <c r="T459" i="4"/>
  <c r="R451" i="4"/>
  <c r="AN437" i="4"/>
  <c r="Q437" i="4" s="1"/>
  <c r="M437" i="4"/>
  <c r="R429" i="4"/>
  <c r="AQ426" i="4"/>
  <c r="P426" i="4"/>
  <c r="R409" i="4"/>
  <c r="AQ439" i="4"/>
  <c r="P439" i="4"/>
  <c r="AN409" i="4"/>
  <c r="Q409" i="4" s="1"/>
  <c r="AQ435" i="4"/>
  <c r="P435" i="4"/>
  <c r="M433" i="4"/>
  <c r="AN433" i="4"/>
  <c r="Q433" i="4" s="1"/>
  <c r="M423" i="4"/>
  <c r="AN423" i="4"/>
  <c r="Q423" i="4" s="1"/>
  <c r="AQ417" i="4"/>
  <c r="P417" i="4"/>
  <c r="R415" i="4"/>
  <c r="M412" i="4"/>
  <c r="AM412" i="4"/>
  <c r="M407" i="4"/>
  <c r="AN407" i="4"/>
  <c r="Q407" i="4" s="1"/>
  <c r="R404" i="4"/>
  <c r="P401" i="4"/>
  <c r="AQ401" i="4"/>
  <c r="M398" i="4"/>
  <c r="AN398" i="4"/>
  <c r="Q398" i="4" s="1"/>
  <c r="R396" i="4"/>
  <c r="P393" i="4"/>
  <c r="AQ393" i="4"/>
  <c r="R390" i="4"/>
  <c r="AM420" i="4"/>
  <c r="AR406" i="4"/>
  <c r="U406" i="4" s="1"/>
  <c r="T406" i="4"/>
  <c r="AR427" i="4"/>
  <c r="U427" i="4" s="1"/>
  <c r="T427" i="4"/>
  <c r="AR360" i="4"/>
  <c r="U360" i="4" s="1"/>
  <c r="T360" i="4"/>
  <c r="M380" i="4"/>
  <c r="AM380" i="4"/>
  <c r="AM372" i="4"/>
  <c r="AN372" i="4"/>
  <c r="Q372" i="4" s="1"/>
  <c r="M372" i="4"/>
  <c r="R363" i="4"/>
  <c r="AQ359" i="4"/>
  <c r="P359" i="4"/>
  <c r="AN353" i="4"/>
  <c r="Q353" i="4" s="1"/>
  <c r="R329" i="4"/>
  <c r="AR383" i="4"/>
  <c r="U383" i="4" s="1"/>
  <c r="T383" i="4"/>
  <c r="M370" i="4"/>
  <c r="AM370" i="4"/>
  <c r="R350" i="4"/>
  <c r="P347" i="4"/>
  <c r="AQ347" i="4"/>
  <c r="P343" i="4"/>
  <c r="AQ343" i="4"/>
  <c r="AN335" i="4"/>
  <c r="Q335" i="4" s="1"/>
  <c r="M335" i="4"/>
  <c r="AN331" i="4"/>
  <c r="Q331" i="4" s="1"/>
  <c r="M331" i="4"/>
  <c r="AN327" i="4"/>
  <c r="Q327" i="4" s="1"/>
  <c r="M327" i="4"/>
  <c r="AN296" i="4"/>
  <c r="Q296" i="4" s="1"/>
  <c r="AM292" i="4"/>
  <c r="AN292" i="4"/>
  <c r="Q292" i="4" s="1"/>
  <c r="M292" i="4"/>
  <c r="AQ262" i="4"/>
  <c r="P262" i="4"/>
  <c r="AQ258" i="4"/>
  <c r="P258" i="4"/>
  <c r="AQ254" i="4"/>
  <c r="P254" i="4"/>
  <c r="AQ250" i="4"/>
  <c r="P250" i="4"/>
  <c r="AQ246" i="4"/>
  <c r="P246" i="4"/>
  <c r="M319" i="4"/>
  <c r="AN319" i="4"/>
  <c r="Q319" i="4" s="1"/>
  <c r="R299" i="4"/>
  <c r="AM294" i="4"/>
  <c r="AQ291" i="4"/>
  <c r="P291" i="4"/>
  <c r="P289" i="4"/>
  <c r="AQ289" i="4"/>
  <c r="P285" i="4"/>
  <c r="AQ285" i="4"/>
  <c r="P277" i="4"/>
  <c r="AQ277" i="4"/>
  <c r="P269" i="4"/>
  <c r="AQ269" i="4"/>
  <c r="M323" i="4"/>
  <c r="AN323" i="4"/>
  <c r="Q323" i="4" s="1"/>
  <c r="R309" i="4"/>
  <c r="R294" i="4"/>
  <c r="AM218" i="4"/>
  <c r="AM243" i="4"/>
  <c r="AM235" i="4"/>
  <c r="AM227" i="4"/>
  <c r="AQ211" i="4"/>
  <c r="P211" i="4"/>
  <c r="M270" i="4"/>
  <c r="AN270" i="4"/>
  <c r="Q270" i="4" s="1"/>
  <c r="AQ244" i="4"/>
  <c r="P244" i="4"/>
  <c r="AQ240" i="4"/>
  <c r="P240" i="4"/>
  <c r="AQ236" i="4"/>
  <c r="P236" i="4"/>
  <c r="AQ232" i="4"/>
  <c r="P232" i="4"/>
  <c r="AQ228" i="4"/>
  <c r="P228" i="4"/>
  <c r="R221" i="4"/>
  <c r="AQ217" i="4"/>
  <c r="P217" i="4"/>
  <c r="AQ210" i="4"/>
  <c r="P210" i="4"/>
  <c r="AQ201" i="4"/>
  <c r="P201" i="4"/>
  <c r="M194" i="4"/>
  <c r="AN194" i="4"/>
  <c r="Q194" i="4" s="1"/>
  <c r="AM194" i="4"/>
  <c r="M190" i="4"/>
  <c r="AN190" i="4"/>
  <c r="Q190" i="4" s="1"/>
  <c r="AM190" i="4"/>
  <c r="M186" i="4"/>
  <c r="AN186" i="4"/>
  <c r="Q186" i="4" s="1"/>
  <c r="AM186" i="4"/>
  <c r="M182" i="4"/>
  <c r="AN182" i="4"/>
  <c r="Q182" i="4" s="1"/>
  <c r="AM182" i="4"/>
  <c r="M178" i="4"/>
  <c r="AN178" i="4"/>
  <c r="Q178" i="4" s="1"/>
  <c r="AM178" i="4"/>
  <c r="M174" i="4"/>
  <c r="AN174" i="4"/>
  <c r="Q174" i="4" s="1"/>
  <c r="AM174" i="4"/>
  <c r="M170" i="4"/>
  <c r="AN170" i="4"/>
  <c r="Q170" i="4" s="1"/>
  <c r="AM170" i="4"/>
  <c r="M166" i="4"/>
  <c r="AN166" i="4"/>
  <c r="Q166" i="4" s="1"/>
  <c r="AM166" i="4"/>
  <c r="AQ245" i="4"/>
  <c r="P245" i="4"/>
  <c r="AQ241" i="4"/>
  <c r="P241" i="4"/>
  <c r="AQ237" i="4"/>
  <c r="P237" i="4"/>
  <c r="AQ233" i="4"/>
  <c r="P233" i="4"/>
  <c r="AQ229" i="4"/>
  <c r="P229" i="4"/>
  <c r="AN217" i="4"/>
  <c r="Q217" i="4" s="1"/>
  <c r="M217" i="4"/>
  <c r="AN211" i="4"/>
  <c r="Q211" i="4" s="1"/>
  <c r="AN209" i="4"/>
  <c r="Q209" i="4" s="1"/>
  <c r="AQ203" i="4"/>
  <c r="P203" i="4"/>
  <c r="AN197" i="4"/>
  <c r="Q197" i="4" s="1"/>
  <c r="AR196" i="4"/>
  <c r="U196" i="4" s="1"/>
  <c r="T196" i="4"/>
  <c r="R195" i="4"/>
  <c r="AM199" i="4"/>
  <c r="AN167" i="4"/>
  <c r="Q167" i="4" s="1"/>
  <c r="AN163" i="4"/>
  <c r="Q163" i="4" s="1"/>
  <c r="P158" i="4"/>
  <c r="AQ158" i="4"/>
  <c r="AN280" i="4"/>
  <c r="Q280" i="4" s="1"/>
  <c r="AN272" i="4"/>
  <c r="Q272" i="4" s="1"/>
  <c r="AM183" i="4"/>
  <c r="AM163" i="4"/>
  <c r="AN202" i="4"/>
  <c r="Q202" i="4" s="1"/>
  <c r="AN187" i="4"/>
  <c r="Q187" i="4" s="1"/>
  <c r="AN171" i="4"/>
  <c r="Q171" i="4" s="1"/>
  <c r="AR161" i="4"/>
  <c r="U161" i="4" s="1"/>
  <c r="T161" i="4"/>
  <c r="P154" i="4"/>
  <c r="AQ154" i="4"/>
  <c r="AQ125" i="4"/>
  <c r="P125" i="4"/>
  <c r="R103" i="4"/>
  <c r="R99" i="4"/>
  <c r="R155" i="4"/>
  <c r="R254" i="4"/>
  <c r="R365" i="4"/>
  <c r="R203" i="4"/>
  <c r="R384" i="4"/>
  <c r="R187" i="4"/>
  <c r="R401" i="4"/>
  <c r="AK383" i="4"/>
  <c r="R383" i="4"/>
  <c r="R405" i="4"/>
  <c r="R539" i="4"/>
  <c r="R167" i="4"/>
  <c r="R233" i="4"/>
  <c r="R492" i="4"/>
  <c r="R287" i="4"/>
  <c r="R537" i="4"/>
  <c r="R263" i="4"/>
  <c r="R559" i="4"/>
  <c r="R410" i="4"/>
  <c r="R330" i="4"/>
  <c r="M127" i="4"/>
  <c r="AN127" i="4"/>
  <c r="Q127" i="4" s="1"/>
  <c r="AQ124" i="4"/>
  <c r="P124" i="4"/>
  <c r="AQ120" i="4"/>
  <c r="P120" i="4"/>
  <c r="AQ113" i="4"/>
  <c r="P113" i="4"/>
  <c r="R112" i="4"/>
  <c r="R108" i="4"/>
  <c r="R104" i="4"/>
  <c r="P92" i="4"/>
  <c r="AQ92" i="4"/>
  <c r="R87" i="4"/>
  <c r="R83" i="4"/>
  <c r="R79" i="4"/>
  <c r="P74" i="4"/>
  <c r="AQ74" i="4"/>
  <c r="P68" i="4"/>
  <c r="AQ68" i="4"/>
  <c r="AR145" i="4"/>
  <c r="U145" i="4" s="1"/>
  <c r="T145" i="4"/>
  <c r="AR141" i="4"/>
  <c r="U141" i="4" s="1"/>
  <c r="T141" i="4"/>
  <c r="AR137" i="4"/>
  <c r="U137" i="4" s="1"/>
  <c r="T137" i="4"/>
  <c r="AR133" i="4"/>
  <c r="U133" i="4" s="1"/>
  <c r="T133" i="4"/>
  <c r="AR129" i="4"/>
  <c r="U129" i="4" s="1"/>
  <c r="T129" i="4"/>
  <c r="R122" i="4"/>
  <c r="AQ111" i="4"/>
  <c r="P111" i="4"/>
  <c r="R109" i="4"/>
  <c r="M105" i="4"/>
  <c r="AN105" i="4"/>
  <c r="Q105" i="4" s="1"/>
  <c r="R102" i="4"/>
  <c r="AQ99" i="4"/>
  <c r="P99" i="4"/>
  <c r="M96" i="4"/>
  <c r="AN96" i="4"/>
  <c r="Q96" i="4" s="1"/>
  <c r="R93" i="4"/>
  <c r="P91" i="4"/>
  <c r="AQ91" i="4"/>
  <c r="R191" i="4"/>
  <c r="R444" i="4"/>
  <c r="AK518" i="4"/>
  <c r="R518" i="4"/>
  <c r="R245" i="4"/>
  <c r="R430" i="4"/>
  <c r="R467" i="4"/>
  <c r="R157" i="4"/>
  <c r="R244" i="4"/>
  <c r="R281" i="4"/>
  <c r="R338" i="4"/>
  <c r="R560" i="4"/>
  <c r="R289" i="4"/>
  <c r="R456" i="4"/>
  <c r="AK456" i="4"/>
  <c r="R242" i="4"/>
  <c r="R183" i="4"/>
  <c r="R397" i="4"/>
  <c r="R198" i="4"/>
  <c r="R408" i="4"/>
  <c r="R255" i="4"/>
  <c r="R551" i="4"/>
  <c r="AK357" i="4"/>
  <c r="R357" i="4"/>
  <c r="R505" i="4"/>
  <c r="AR132" i="4"/>
  <c r="U132" i="4" s="1"/>
  <c r="T132" i="4"/>
  <c r="R123" i="4"/>
  <c r="R84" i="4"/>
  <c r="AR75" i="4"/>
  <c r="U75" i="4" s="1"/>
  <c r="T75" i="4"/>
  <c r="AR146" i="4"/>
  <c r="U146" i="4" s="1"/>
  <c r="T146" i="4"/>
  <c r="AR138" i="4"/>
  <c r="U138" i="4" s="1"/>
  <c r="T138" i="4"/>
  <c r="AR130" i="4"/>
  <c r="U130" i="4" s="1"/>
  <c r="T130" i="4"/>
  <c r="BL99" i="4"/>
  <c r="BN99" i="4" s="1"/>
  <c r="BJ99" i="4"/>
  <c r="AK18" i="4"/>
  <c r="U18" i="4"/>
  <c r="R74" i="4"/>
  <c r="R140" i="4"/>
  <c r="R173" i="4"/>
  <c r="BL91" i="4"/>
  <c r="BN91" i="4" s="1"/>
  <c r="BJ91" i="4"/>
  <c r="BJ89" i="4"/>
  <c r="BH89" i="4"/>
  <c r="R52" i="4"/>
  <c r="M45" i="4"/>
  <c r="AN45" i="4"/>
  <c r="Q45" i="4" s="1"/>
  <c r="R41" i="4"/>
  <c r="M40" i="4"/>
  <c r="AN40" i="4"/>
  <c r="Q40" i="4" s="1"/>
  <c r="R36" i="4"/>
  <c r="AR20" i="4"/>
  <c r="U20" i="4" s="1"/>
  <c r="T20" i="4"/>
  <c r="BE97" i="4"/>
  <c r="BG97" i="4"/>
  <c r="R106" i="4"/>
  <c r="R312" i="4"/>
  <c r="R386" i="4"/>
  <c r="R6" i="4"/>
  <c r="AQ108" i="4"/>
  <c r="P108" i="4"/>
  <c r="P83" i="4"/>
  <c r="AQ83" i="4"/>
  <c r="R56" i="4"/>
  <c r="R60" i="4"/>
  <c r="R192" i="4"/>
  <c r="R215" i="4"/>
  <c r="R285" i="4"/>
  <c r="R544" i="4"/>
  <c r="R65" i="4"/>
  <c r="R267" i="4"/>
  <c r="R378" i="4"/>
  <c r="R452" i="4"/>
  <c r="AK452" i="4"/>
  <c r="BJ93" i="4"/>
  <c r="BH93" i="4"/>
  <c r="R63" i="4"/>
  <c r="R376" i="4"/>
  <c r="R450" i="4"/>
  <c r="P5" i="4"/>
  <c r="AQ5" i="4"/>
  <c r="AR150" i="4"/>
  <c r="U150" i="4" s="1"/>
  <c r="T150" i="4"/>
  <c r="P90" i="4"/>
  <c r="AQ90" i="4"/>
  <c r="AQ62" i="4"/>
  <c r="P62" i="4"/>
  <c r="R55" i="4"/>
  <c r="R51" i="4"/>
  <c r="R47" i="4"/>
  <c r="R43" i="4"/>
  <c r="R39" i="4"/>
  <c r="R35" i="4"/>
  <c r="R31" i="4"/>
  <c r="R240" i="4"/>
  <c r="R277" i="4"/>
  <c r="R536" i="4"/>
  <c r="AK536" i="4"/>
  <c r="BL95" i="4"/>
  <c r="BN95" i="4" s="1"/>
  <c r="BJ95" i="4"/>
  <c r="R148" i="4"/>
  <c r="R247" i="4"/>
  <c r="R358" i="4"/>
  <c r="AK414" i="4"/>
  <c r="R414" i="4"/>
  <c r="BJ90" i="4"/>
  <c r="R171" i="4"/>
  <c r="R204" i="4"/>
  <c r="BH88" i="4"/>
  <c r="BF88" i="4"/>
  <c r="AR6" i="4"/>
  <c r="U6" i="4" s="1"/>
  <c r="T6" i="4"/>
  <c r="BL101" i="4"/>
  <c r="BN101" i="4" s="1"/>
  <c r="BJ101" i="4"/>
  <c r="AK20" i="4"/>
  <c r="AK16" i="4"/>
  <c r="AG131" i="3"/>
  <c r="P131" i="3"/>
  <c r="AG108" i="3"/>
  <c r="P108" i="3"/>
  <c r="AG100" i="3"/>
  <c r="P100" i="3"/>
  <c r="BE61" i="3"/>
  <c r="BA61" i="3"/>
  <c r="BC69" i="3"/>
  <c r="BC67" i="3"/>
  <c r="BC65" i="3"/>
  <c r="BC63" i="3"/>
  <c r="BB61" i="3"/>
  <c r="BB69" i="3"/>
  <c r="BB65" i="3"/>
  <c r="BB60" i="3"/>
  <c r="AG115" i="3"/>
  <c r="P115" i="3"/>
  <c r="BA69" i="3"/>
  <c r="BE67" i="3"/>
  <c r="BG64" i="3"/>
  <c r="BI64" i="3" s="1"/>
  <c r="BE63" i="3"/>
  <c r="AZ61" i="3"/>
  <c r="AG56" i="3"/>
  <c r="P56" i="3"/>
  <c r="P161" i="3"/>
  <c r="AG161" i="3"/>
  <c r="AG261" i="3"/>
  <c r="P261" i="3"/>
  <c r="AG361" i="3"/>
  <c r="P361" i="3"/>
  <c r="P171" i="3"/>
  <c r="AG171" i="3"/>
  <c r="AG231" i="3"/>
  <c r="P231" i="3"/>
  <c r="P351" i="3"/>
  <c r="AG351" i="3"/>
  <c r="P150" i="3"/>
  <c r="AG150" i="3"/>
  <c r="P190" i="3"/>
  <c r="AG190" i="3"/>
  <c r="P230" i="3"/>
  <c r="AG230" i="3"/>
  <c r="P270" i="3"/>
  <c r="AG270" i="3"/>
  <c r="P340" i="3"/>
  <c r="AG340" i="3"/>
  <c r="AG380" i="3"/>
  <c r="P380" i="3"/>
  <c r="P159" i="3"/>
  <c r="AG159" i="3"/>
  <c r="AG209" i="3"/>
  <c r="P209" i="3"/>
  <c r="AG259" i="3"/>
  <c r="P259" i="3"/>
  <c r="P309" i="3"/>
  <c r="AG309" i="3"/>
  <c r="AG319" i="3"/>
  <c r="P319" i="3"/>
  <c r="AG369" i="3"/>
  <c r="P369" i="3"/>
  <c r="P199" i="3"/>
  <c r="AG199" i="3"/>
  <c r="P268" i="3"/>
  <c r="AG268" i="3"/>
  <c r="P318" i="3"/>
  <c r="AG318" i="3"/>
  <c r="AG378" i="3"/>
  <c r="P378" i="3"/>
  <c r="AG113" i="3"/>
  <c r="AG68" i="3"/>
  <c r="AG50" i="3"/>
  <c r="AG40" i="3"/>
  <c r="P40" i="3"/>
  <c r="AG24" i="3"/>
  <c r="AG128" i="3"/>
  <c r="P128" i="3"/>
  <c r="AG85" i="3"/>
  <c r="P85" i="3"/>
  <c r="P146" i="3"/>
  <c r="AG146" i="3"/>
  <c r="AG217" i="3"/>
  <c r="P217" i="3"/>
  <c r="P276" i="3"/>
  <c r="AG276" i="3"/>
  <c r="P326" i="3"/>
  <c r="AG326" i="3"/>
  <c r="AG29" i="3"/>
  <c r="P29" i="3"/>
  <c r="AG71" i="3"/>
  <c r="P71" i="3"/>
  <c r="AG43" i="3"/>
  <c r="P43" i="3"/>
  <c r="P194" i="3"/>
  <c r="AG194" i="3"/>
  <c r="AG255" i="3"/>
  <c r="P255" i="3"/>
  <c r="P305" i="3"/>
  <c r="AG305" i="3"/>
  <c r="AG384" i="3"/>
  <c r="P384" i="3"/>
  <c r="AG106" i="3"/>
  <c r="AG33" i="3"/>
  <c r="P33" i="3"/>
  <c r="P187" i="3"/>
  <c r="AG187" i="3"/>
  <c r="AG237" i="3"/>
  <c r="P237" i="3"/>
  <c r="AG287" i="3"/>
  <c r="P287" i="3"/>
  <c r="P347" i="3"/>
  <c r="AG347" i="3"/>
  <c r="AG127" i="3"/>
  <c r="P127" i="3"/>
  <c r="AG53" i="3"/>
  <c r="P53" i="3"/>
  <c r="P175" i="3"/>
  <c r="AG175" i="3"/>
  <c r="AG225" i="3"/>
  <c r="P225" i="3"/>
  <c r="AG275" i="3"/>
  <c r="P275" i="3"/>
  <c r="AG335" i="3"/>
  <c r="P335" i="3"/>
  <c r="AG110" i="3"/>
  <c r="P110" i="3"/>
  <c r="P162" i="3"/>
  <c r="AG162" i="3"/>
  <c r="P212" i="3"/>
  <c r="AG212" i="3"/>
  <c r="P262" i="3"/>
  <c r="AG262" i="3"/>
  <c r="AG292" i="3"/>
  <c r="P292" i="3"/>
  <c r="P322" i="3"/>
  <c r="AG322" i="3"/>
  <c r="AG372" i="3"/>
  <c r="P372" i="3"/>
  <c r="AQ395" i="1"/>
  <c r="P395" i="1"/>
  <c r="AQ388" i="1"/>
  <c r="P388" i="1"/>
  <c r="AR383" i="1"/>
  <c r="U383" i="1" s="1"/>
  <c r="T383" i="1"/>
  <c r="R376" i="1"/>
  <c r="AM369" i="1"/>
  <c r="M369" i="1"/>
  <c r="AQ294" i="1"/>
  <c r="P294" i="1"/>
  <c r="AQ290" i="1"/>
  <c r="P290" i="1"/>
  <c r="AQ286" i="1"/>
  <c r="P286" i="1"/>
  <c r="AQ282" i="1"/>
  <c r="P282" i="1"/>
  <c r="AQ278" i="1"/>
  <c r="P278" i="1"/>
  <c r="AQ274" i="1"/>
  <c r="P274" i="1"/>
  <c r="AG124" i="3"/>
  <c r="AG66" i="3"/>
  <c r="AG45" i="3"/>
  <c r="AG22" i="3"/>
  <c r="AG60" i="3"/>
  <c r="P60" i="3"/>
  <c r="AG116" i="3"/>
  <c r="P116" i="3"/>
  <c r="AG105" i="3"/>
  <c r="P105" i="3"/>
  <c r="AG137" i="3"/>
  <c r="P137" i="3"/>
  <c r="P198" i="3"/>
  <c r="AG198" i="3"/>
  <c r="P258" i="3"/>
  <c r="AG258" i="3"/>
  <c r="AG308" i="3"/>
  <c r="P308" i="3"/>
  <c r="P298" i="3"/>
  <c r="AG298" i="3"/>
  <c r="P358" i="3"/>
  <c r="AG358" i="3"/>
  <c r="AG79" i="3"/>
  <c r="P79" i="3"/>
  <c r="AG119" i="3"/>
  <c r="P119" i="3"/>
  <c r="P164" i="3"/>
  <c r="AG164" i="3"/>
  <c r="P234" i="3"/>
  <c r="AG234" i="3"/>
  <c r="P334" i="3"/>
  <c r="AG334" i="3"/>
  <c r="AG385" i="3"/>
  <c r="P385" i="3"/>
  <c r="AG10" i="3"/>
  <c r="P26" i="3"/>
  <c r="AG26" i="3"/>
  <c r="AG52" i="3"/>
  <c r="P52" i="3"/>
  <c r="AG37" i="3"/>
  <c r="P37" i="3"/>
  <c r="AG101" i="3"/>
  <c r="P101" i="3"/>
  <c r="AG141" i="3"/>
  <c r="P141" i="3"/>
  <c r="P173" i="3"/>
  <c r="AG173" i="3"/>
  <c r="P232" i="3"/>
  <c r="AG232" i="3"/>
  <c r="AG373" i="3"/>
  <c r="P373" i="3"/>
  <c r="M396" i="1"/>
  <c r="AN396" i="1"/>
  <c r="Q396" i="1" s="1"/>
  <c r="AM396" i="1"/>
  <c r="AR377" i="1"/>
  <c r="U377" i="1" s="1"/>
  <c r="T377" i="1"/>
  <c r="AN372" i="1"/>
  <c r="Q372" i="1" s="1"/>
  <c r="R367" i="1"/>
  <c r="R363" i="1"/>
  <c r="R359" i="1"/>
  <c r="R355" i="1"/>
  <c r="R351" i="1"/>
  <c r="R347" i="1"/>
  <c r="R343" i="1"/>
  <c r="R339" i="1"/>
  <c r="R335" i="1"/>
  <c r="R331" i="1"/>
  <c r="P326" i="1"/>
  <c r="AQ326" i="1"/>
  <c r="P322" i="1"/>
  <c r="AQ322" i="1"/>
  <c r="P318" i="1"/>
  <c r="AQ318" i="1"/>
  <c r="P314" i="1"/>
  <c r="AQ314" i="1"/>
  <c r="AQ295" i="1"/>
  <c r="P295" i="1"/>
  <c r="P293" i="1"/>
  <c r="AQ293" i="1"/>
  <c r="P264" i="1"/>
  <c r="AQ264" i="1"/>
  <c r="P248" i="1"/>
  <c r="AQ248" i="1"/>
  <c r="P232" i="1"/>
  <c r="AQ232" i="1"/>
  <c r="P216" i="1"/>
  <c r="AQ216" i="1"/>
  <c r="AQ209" i="1"/>
  <c r="P209" i="1"/>
  <c r="AQ205" i="1"/>
  <c r="P205" i="1"/>
  <c r="AQ201" i="1"/>
  <c r="P201" i="1"/>
  <c r="AQ197" i="1"/>
  <c r="P197" i="1"/>
  <c r="AK185" i="1"/>
  <c r="R185" i="1"/>
  <c r="R179" i="1"/>
  <c r="P172" i="1"/>
  <c r="AQ172" i="1"/>
  <c r="P164" i="1"/>
  <c r="AQ164" i="1"/>
  <c r="AG74" i="3"/>
  <c r="AZ70" i="3"/>
  <c r="BB70" i="3"/>
  <c r="BG68" i="3"/>
  <c r="BI68" i="3" s="1"/>
  <c r="BE68" i="3"/>
  <c r="AZ66" i="3"/>
  <c r="BB66" i="3"/>
  <c r="AG80" i="3"/>
  <c r="P80" i="3"/>
  <c r="AG49" i="3"/>
  <c r="P49" i="3"/>
  <c r="P166" i="3"/>
  <c r="AG166" i="3"/>
  <c r="P236" i="3"/>
  <c r="AG236" i="3"/>
  <c r="P306" i="3"/>
  <c r="AG306" i="3"/>
  <c r="P336" i="3"/>
  <c r="AG336" i="3"/>
  <c r="AG118" i="3"/>
  <c r="P118" i="3"/>
  <c r="AG78" i="3"/>
  <c r="P78" i="3"/>
  <c r="AG94" i="3"/>
  <c r="P94" i="3"/>
  <c r="P163" i="3"/>
  <c r="AG163" i="3"/>
  <c r="AG233" i="3"/>
  <c r="P233" i="3"/>
  <c r="P303" i="3"/>
  <c r="AG303" i="3"/>
  <c r="P313" i="3"/>
  <c r="AG313" i="3"/>
  <c r="AG353" i="3"/>
  <c r="P353" i="3"/>
  <c r="BD56" i="3"/>
  <c r="AQ397" i="1"/>
  <c r="P397" i="1"/>
  <c r="R366" i="1"/>
  <c r="M362" i="1"/>
  <c r="AN362" i="1"/>
  <c r="Q362" i="1" s="1"/>
  <c r="AM359" i="1"/>
  <c r="M359" i="1"/>
  <c r="AQ356" i="1"/>
  <c r="P356" i="1"/>
  <c r="R350" i="1"/>
  <c r="M346" i="1"/>
  <c r="AN346" i="1"/>
  <c r="Q346" i="1" s="1"/>
  <c r="M338" i="1"/>
  <c r="AN338" i="1"/>
  <c r="Q338" i="1" s="1"/>
  <c r="AM335" i="1"/>
  <c r="M335" i="1"/>
  <c r="AQ332" i="1"/>
  <c r="P332" i="1"/>
  <c r="R326" i="1"/>
  <c r="M322" i="1"/>
  <c r="AN322" i="1"/>
  <c r="Q322" i="1" s="1"/>
  <c r="AM319" i="1"/>
  <c r="M319" i="1"/>
  <c r="AQ316" i="1"/>
  <c r="P316" i="1"/>
  <c r="R310" i="1"/>
  <c r="M306" i="1"/>
  <c r="AN306" i="1"/>
  <c r="Q306" i="1" s="1"/>
  <c r="AM303" i="1"/>
  <c r="M303" i="1"/>
  <c r="P269" i="1"/>
  <c r="AQ269" i="1"/>
  <c r="P257" i="1"/>
  <c r="AQ257" i="1"/>
  <c r="P241" i="1"/>
  <c r="AQ241" i="1"/>
  <c r="P225" i="1"/>
  <c r="AQ225" i="1"/>
  <c r="AQ135" i="1"/>
  <c r="P135" i="1"/>
  <c r="AQ123" i="1"/>
  <c r="P123" i="1"/>
  <c r="P114" i="1"/>
  <c r="AQ114" i="1"/>
  <c r="R203" i="1"/>
  <c r="R191" i="1"/>
  <c r="R183" i="1"/>
  <c r="R178" i="1"/>
  <c r="R168" i="1"/>
  <c r="P149" i="1"/>
  <c r="AQ149" i="1"/>
  <c r="AQ146" i="1"/>
  <c r="P146" i="1"/>
  <c r="AQ121" i="1"/>
  <c r="P121" i="1"/>
  <c r="R115" i="1"/>
  <c r="R111" i="1"/>
  <c r="AQ104" i="1"/>
  <c r="P104" i="1"/>
  <c r="AQ100" i="1"/>
  <c r="P100" i="1"/>
  <c r="R84" i="1"/>
  <c r="R76" i="1"/>
  <c r="R54" i="1"/>
  <c r="R50" i="1"/>
  <c r="R43" i="1"/>
  <c r="R261" i="1"/>
  <c r="R222" i="1"/>
  <c r="R377" i="1"/>
  <c r="AK377" i="1"/>
  <c r="Q452" i="5"/>
  <c r="Q436" i="5"/>
  <c r="AG38" i="3"/>
  <c r="R264" i="1"/>
  <c r="R248" i="1"/>
  <c r="R224" i="1"/>
  <c r="R210" i="1"/>
  <c r="R158" i="1"/>
  <c r="R150" i="1"/>
  <c r="R137" i="1"/>
  <c r="R135" i="1"/>
  <c r="M129" i="1"/>
  <c r="AN129" i="1"/>
  <c r="Q129" i="1" s="1"/>
  <c r="R125" i="1"/>
  <c r="R112" i="1"/>
  <c r="R101" i="1"/>
  <c r="R94" i="1"/>
  <c r="R64" i="1"/>
  <c r="R58" i="1"/>
  <c r="R269" i="1"/>
  <c r="R305" i="1"/>
  <c r="R126" i="1"/>
  <c r="R262" i="1"/>
  <c r="R324" i="1"/>
  <c r="AR15" i="1"/>
  <c r="U15" i="1" s="1"/>
  <c r="T15" i="1"/>
  <c r="R391" i="1"/>
  <c r="AK298" i="1"/>
  <c r="R298" i="1"/>
  <c r="R167" i="1"/>
  <c r="R291" i="1"/>
  <c r="AR4" i="1"/>
  <c r="U4" i="1" s="1"/>
  <c r="T4" i="1"/>
  <c r="T285" i="1"/>
  <c r="AR285" i="1"/>
  <c r="U285" i="1" s="1"/>
  <c r="R272" i="1"/>
  <c r="AQ272" i="1"/>
  <c r="P272" i="1"/>
  <c r="R266" i="1"/>
  <c r="AQ266" i="1"/>
  <c r="P266" i="1"/>
  <c r="R259" i="1"/>
  <c r="AQ259" i="1"/>
  <c r="P259" i="1"/>
  <c r="R251" i="1"/>
  <c r="AQ251" i="1"/>
  <c r="P251" i="1"/>
  <c r="M219" i="1"/>
  <c r="AN219" i="1"/>
  <c r="Q219" i="1" s="1"/>
  <c r="R194" i="1"/>
  <c r="AQ194" i="1"/>
  <c r="P194" i="1"/>
  <c r="M186" i="1"/>
  <c r="AN186" i="1"/>
  <c r="Q186" i="1" s="1"/>
  <c r="R182" i="1"/>
  <c r="AQ182" i="1"/>
  <c r="P182" i="1"/>
  <c r="R174" i="1"/>
  <c r="AQ154" i="1"/>
  <c r="P154" i="1"/>
  <c r="M122" i="1"/>
  <c r="AN122" i="1"/>
  <c r="Q122" i="1" s="1"/>
  <c r="AM122" i="1"/>
  <c r="AQ108" i="1"/>
  <c r="P108" i="1"/>
  <c r="P103" i="1"/>
  <c r="AQ103" i="1"/>
  <c r="P96" i="1"/>
  <c r="AQ96" i="1"/>
  <c r="R88" i="1"/>
  <c r="R85" i="1"/>
  <c r="P80" i="1"/>
  <c r="AQ80" i="1"/>
  <c r="R77" i="1"/>
  <c r="R56" i="1"/>
  <c r="P50" i="1"/>
  <c r="AQ50" i="1"/>
  <c r="R332" i="1"/>
  <c r="AK25" i="1"/>
  <c r="R25" i="1"/>
  <c r="AK14" i="1"/>
  <c r="R14" i="1"/>
  <c r="R184" i="1"/>
  <c r="AK10" i="1"/>
  <c r="R10" i="1"/>
  <c r="Q457" i="5"/>
  <c r="Q450" i="5"/>
  <c r="AG13" i="3"/>
  <c r="R252" i="1"/>
  <c r="R236" i="1"/>
  <c r="R220" i="1"/>
  <c r="R149" i="1"/>
  <c r="R147" i="1"/>
  <c r="M141" i="1"/>
  <c r="AN141" i="1"/>
  <c r="Q141" i="1" s="1"/>
  <c r="R138" i="1"/>
  <c r="R109" i="1"/>
  <c r="R103" i="1"/>
  <c r="R97" i="1"/>
  <c r="R87" i="1"/>
  <c r="R73" i="1"/>
  <c r="R70" i="1"/>
  <c r="AN66" i="1"/>
  <c r="Q66" i="1" s="1"/>
  <c r="AM66" i="1"/>
  <c r="M66" i="1"/>
  <c r="AN51" i="1"/>
  <c r="Q51" i="1" s="1"/>
  <c r="AM51" i="1"/>
  <c r="M51" i="1"/>
  <c r="P49" i="1"/>
  <c r="AQ49" i="1"/>
  <c r="R128" i="1"/>
  <c r="R221" i="1"/>
  <c r="AN41" i="1"/>
  <c r="Q41" i="1" s="1"/>
  <c r="AM41" i="1"/>
  <c r="M41" i="1"/>
  <c r="R265" i="1"/>
  <c r="AN39" i="1"/>
  <c r="Q39" i="1" s="1"/>
  <c r="AM39" i="1"/>
  <c r="M39" i="1"/>
  <c r="R37" i="1"/>
  <c r="R175" i="1"/>
  <c r="R299" i="1"/>
  <c r="R35" i="1"/>
  <c r="R295" i="1"/>
  <c r="R140" i="1"/>
  <c r="R31" i="1"/>
  <c r="R325" i="1"/>
  <c r="R387" i="1"/>
  <c r="R226" i="1"/>
  <c r="R155" i="1"/>
  <c r="R119" i="1"/>
  <c r="R397" i="1"/>
  <c r="R163" i="1"/>
  <c r="R287" i="1"/>
  <c r="R395" i="1"/>
  <c r="R271" i="1"/>
  <c r="P17" i="1"/>
  <c r="AQ17" i="1"/>
  <c r="R317" i="1"/>
  <c r="R161" i="1"/>
  <c r="BO91" i="1"/>
  <c r="BQ91" i="1" s="1"/>
  <c r="BN91" i="1"/>
  <c r="BF91" i="1"/>
  <c r="BI91" i="1" s="1"/>
  <c r="BK91" i="1"/>
  <c r="P5" i="1"/>
  <c r="AQ5" i="1"/>
  <c r="P487" i="5"/>
  <c r="AL487" i="5"/>
  <c r="L487" i="5"/>
  <c r="Q485" i="5"/>
  <c r="P479" i="5"/>
  <c r="AL479" i="5"/>
  <c r="L479" i="5"/>
  <c r="Q477" i="5"/>
  <c r="O474" i="5"/>
  <c r="AP474" i="5"/>
  <c r="AQ474" i="5" s="1"/>
  <c r="P471" i="5"/>
  <c r="AL471" i="5"/>
  <c r="L471" i="5"/>
  <c r="Q469" i="5"/>
  <c r="P463" i="5"/>
  <c r="AL463" i="5"/>
  <c r="L463" i="5"/>
  <c r="Q461" i="5"/>
  <c r="Q451" i="5"/>
  <c r="P447" i="5"/>
  <c r="AL447" i="5"/>
  <c r="L447" i="5"/>
  <c r="Q435" i="5"/>
  <c r="P431" i="5"/>
  <c r="AL431" i="5"/>
  <c r="L431" i="5"/>
  <c r="P422" i="5"/>
  <c r="AL422" i="5"/>
  <c r="L422" i="5"/>
  <c r="P420" i="5"/>
  <c r="AL420" i="5"/>
  <c r="L420" i="5"/>
  <c r="AP415" i="5"/>
  <c r="AQ415" i="5" s="1"/>
  <c r="O415" i="5"/>
  <c r="Q353" i="5"/>
  <c r="AN239" i="1"/>
  <c r="Q239" i="1" s="1"/>
  <c r="AK15" i="1"/>
  <c r="O385" i="5"/>
  <c r="AP385" i="5"/>
  <c r="AQ385" i="5" s="1"/>
  <c r="Q382" i="5"/>
  <c r="L362" i="5"/>
  <c r="P362" i="5"/>
  <c r="AL362" i="5"/>
  <c r="Q351" i="5"/>
  <c r="Q347" i="5"/>
  <c r="L333" i="5"/>
  <c r="AL333" i="5"/>
  <c r="Q327" i="5"/>
  <c r="L317" i="5"/>
  <c r="AL317" i="5"/>
  <c r="P304" i="5"/>
  <c r="L304" i="5"/>
  <c r="AL304" i="5"/>
  <c r="Q289" i="5"/>
  <c r="AP283" i="5"/>
  <c r="AQ283" i="5" s="1"/>
  <c r="O283" i="5"/>
  <c r="Q240" i="5"/>
  <c r="AQ57" i="1"/>
  <c r="P57" i="1"/>
  <c r="S404" i="5"/>
  <c r="T404" i="5"/>
  <c r="Q370" i="5"/>
  <c r="AP355" i="5"/>
  <c r="AQ355" i="5" s="1"/>
  <c r="O355" i="5"/>
  <c r="Q346" i="5"/>
  <c r="L238" i="5"/>
  <c r="P238" i="5"/>
  <c r="Q236" i="5"/>
  <c r="Q350" i="5"/>
  <c r="L343" i="5"/>
  <c r="AL343" i="5"/>
  <c r="Q339" i="5"/>
  <c r="AP327" i="5"/>
  <c r="AQ327" i="5" s="1"/>
  <c r="O327" i="5"/>
  <c r="Q323" i="5"/>
  <c r="Q312" i="5"/>
  <c r="AP301" i="5"/>
  <c r="AQ301" i="5" s="1"/>
  <c r="O301" i="5"/>
  <c r="L291" i="5"/>
  <c r="O289" i="5"/>
  <c r="AP289" i="5"/>
  <c r="AQ289" i="5" s="1"/>
  <c r="L283" i="5"/>
  <c r="AQ72" i="1"/>
  <c r="P72" i="1"/>
  <c r="AK21" i="1"/>
  <c r="AQ48" i="1"/>
  <c r="P48" i="1"/>
  <c r="BL90" i="1"/>
  <c r="AP410" i="5"/>
  <c r="AQ410" i="5" s="1"/>
  <c r="O410" i="5"/>
  <c r="Q366" i="5"/>
  <c r="Q305" i="5"/>
  <c r="Q186" i="5"/>
  <c r="Q170" i="5"/>
  <c r="L149" i="5"/>
  <c r="P149" i="5"/>
  <c r="Q133" i="5"/>
  <c r="P131" i="5"/>
  <c r="L131" i="5"/>
  <c r="Q128" i="5"/>
  <c r="Q118" i="5"/>
  <c r="Q115" i="5"/>
  <c r="Q113" i="5"/>
  <c r="Q106" i="5"/>
  <c r="Q271" i="5"/>
  <c r="Q234" i="5"/>
  <c r="Q454" i="5"/>
  <c r="Q263" i="5"/>
  <c r="Q207" i="5"/>
  <c r="Q318" i="5"/>
  <c r="Q466" i="5"/>
  <c r="Q446" i="5"/>
  <c r="Q272" i="5"/>
  <c r="Q288" i="5"/>
  <c r="Q399" i="5"/>
  <c r="Q341" i="5"/>
  <c r="Q472" i="5"/>
  <c r="Q221" i="5"/>
  <c r="Q332" i="5"/>
  <c r="Q388" i="5"/>
  <c r="Q280" i="5"/>
  <c r="Q391" i="5"/>
  <c r="Q259" i="5"/>
  <c r="Q434" i="5"/>
  <c r="Q201" i="5"/>
  <c r="Q193" i="5"/>
  <c r="Q188" i="5"/>
  <c r="Q180" i="5"/>
  <c r="Q177" i="5"/>
  <c r="Q172" i="5"/>
  <c r="Q169" i="5"/>
  <c r="AL158" i="5"/>
  <c r="Q147" i="5"/>
  <c r="Q135" i="5"/>
  <c r="Q109" i="5"/>
  <c r="Q97" i="5"/>
  <c r="Q91" i="5"/>
  <c r="Q256" i="5"/>
  <c r="Q367" i="5"/>
  <c r="Q478" i="5"/>
  <c r="Q264" i="5"/>
  <c r="Q375" i="5"/>
  <c r="Q486" i="5"/>
  <c r="Q254" i="5"/>
  <c r="Q497" i="5"/>
  <c r="BM96" i="5"/>
  <c r="AP10" i="5"/>
  <c r="AQ10" i="5" s="1"/>
  <c r="Q403" i="5"/>
  <c r="Q225" i="5"/>
  <c r="Q299" i="5"/>
  <c r="Q484" i="5"/>
  <c r="Q274" i="5"/>
  <c r="Q316" i="5"/>
  <c r="AP214" i="5"/>
  <c r="AQ214" i="5" s="1"/>
  <c r="O214" i="5"/>
  <c r="Q206" i="5"/>
  <c r="Q195" i="5"/>
  <c r="Q183" i="5"/>
  <c r="Q175" i="5"/>
  <c r="AL164" i="5"/>
  <c r="Q159" i="5"/>
  <c r="Q141" i="5"/>
  <c r="Q130" i="5"/>
  <c r="Q126" i="5"/>
  <c r="Q107" i="5"/>
  <c r="Q90" i="5"/>
  <c r="Q430" i="5"/>
  <c r="T361" i="5"/>
  <c r="S361" i="5"/>
  <c r="Q228" i="5"/>
  <c r="Q216" i="5"/>
  <c r="Q164" i="5"/>
  <c r="Q161" i="5"/>
  <c r="Q100" i="5"/>
  <c r="BL96" i="5"/>
  <c r="Q93" i="5"/>
  <c r="Q80" i="5"/>
  <c r="Q69" i="5"/>
  <c r="Q359" i="5"/>
  <c r="Q396" i="5"/>
  <c r="Q270" i="5"/>
  <c r="Q418" i="5"/>
  <c r="Q276" i="5"/>
  <c r="Q313" i="5"/>
  <c r="Q468" i="5"/>
  <c r="Q364" i="5"/>
  <c r="Q438" i="5"/>
  <c r="Q379" i="5"/>
  <c r="Q490" i="5"/>
  <c r="Q252" i="5"/>
  <c r="Q474" i="5"/>
  <c r="Q260" i="5"/>
  <c r="Q334" i="5"/>
  <c r="Q482" i="5"/>
  <c r="T65" i="5"/>
  <c r="S65" i="5"/>
  <c r="AP204" i="5"/>
  <c r="AQ204" i="5" s="1"/>
  <c r="O204" i="5"/>
  <c r="S186" i="5"/>
  <c r="T186" i="5"/>
  <c r="AL131" i="5"/>
  <c r="AP77" i="5"/>
  <c r="AQ77" i="5" s="1"/>
  <c r="O77" i="5"/>
  <c r="AP25" i="5"/>
  <c r="AQ25" i="5" s="1"/>
  <c r="P541" i="4"/>
  <c r="AQ541" i="4"/>
  <c r="M535" i="4"/>
  <c r="AM535" i="4"/>
  <c r="AN523" i="4"/>
  <c r="Q523" i="4" s="1"/>
  <c r="M523" i="4"/>
  <c r="AM523" i="4"/>
  <c r="AQ497" i="4"/>
  <c r="P497" i="4"/>
  <c r="AQ483" i="4"/>
  <c r="P483" i="4"/>
  <c r="M485" i="4"/>
  <c r="AM485" i="4"/>
  <c r="AN485" i="4"/>
  <c r="Q485" i="4" s="1"/>
  <c r="AQ481" i="4"/>
  <c r="P481" i="4"/>
  <c r="AQ462" i="4"/>
  <c r="P462" i="4"/>
  <c r="R469" i="4"/>
  <c r="AQ448" i="4"/>
  <c r="P448" i="4"/>
  <c r="AN429" i="4"/>
  <c r="Q429" i="4" s="1"/>
  <c r="M429" i="4"/>
  <c r="AQ407" i="4"/>
  <c r="P407" i="4"/>
  <c r="AQ398" i="4"/>
  <c r="P398" i="4"/>
  <c r="R424" i="4"/>
  <c r="R412" i="4"/>
  <c r="P408" i="4"/>
  <c r="AQ408" i="4"/>
  <c r="M415" i="4"/>
  <c r="AN415" i="4"/>
  <c r="Q415" i="4" s="1"/>
  <c r="R407" i="4"/>
  <c r="P403" i="4"/>
  <c r="AQ403" i="4"/>
  <c r="M400" i="4"/>
  <c r="AN400" i="4"/>
  <c r="Q400" i="4" s="1"/>
  <c r="R398" i="4"/>
  <c r="P395" i="4"/>
  <c r="AQ395" i="4"/>
  <c r="AM392" i="4"/>
  <c r="M392" i="4"/>
  <c r="AN392" i="4"/>
  <c r="Q392" i="4" s="1"/>
  <c r="M388" i="4"/>
  <c r="AN388" i="4"/>
  <c r="Q388" i="4" s="1"/>
  <c r="AM388" i="4"/>
  <c r="R428" i="4"/>
  <c r="AM424" i="4"/>
  <c r="AR368" i="4"/>
  <c r="U368" i="4" s="1"/>
  <c r="T368" i="4"/>
  <c r="R370" i="4"/>
  <c r="AR362" i="4"/>
  <c r="U362" i="4" s="1"/>
  <c r="T362" i="4"/>
  <c r="R355" i="4"/>
  <c r="AQ351" i="4"/>
  <c r="P351" i="4"/>
  <c r="R337" i="4"/>
  <c r="R333" i="4"/>
  <c r="AQ327" i="4"/>
  <c r="P327" i="4"/>
  <c r="R321" i="4"/>
  <c r="R313" i="4"/>
  <c r="AM373" i="4"/>
  <c r="M363" i="4"/>
  <c r="AM363" i="4"/>
  <c r="M355" i="4"/>
  <c r="AM355" i="4"/>
  <c r="P349" i="4"/>
  <c r="AQ349" i="4"/>
  <c r="AM346" i="4"/>
  <c r="M346" i="4"/>
  <c r="AN346" i="4"/>
  <c r="Q346" i="4" s="1"/>
  <c r="P341" i="4"/>
  <c r="AQ341" i="4"/>
  <c r="AQ328" i="4"/>
  <c r="P328" i="4"/>
  <c r="AR386" i="4"/>
  <c r="U386" i="4" s="1"/>
  <c r="T386" i="4"/>
  <c r="AR377" i="4"/>
  <c r="U377" i="4" s="1"/>
  <c r="T377" i="4"/>
  <c r="R335" i="4"/>
  <c r="R331" i="4"/>
  <c r="R327" i="4"/>
  <c r="AQ321" i="4"/>
  <c r="P321" i="4"/>
  <c r="AQ313" i="4"/>
  <c r="P313" i="4"/>
  <c r="AQ303" i="4"/>
  <c r="P303" i="4"/>
  <c r="AR384" i="4"/>
  <c r="U384" i="4" s="1"/>
  <c r="T384" i="4"/>
  <c r="R311" i="4"/>
  <c r="R307" i="4"/>
  <c r="R303" i="4"/>
  <c r="AQ261" i="4"/>
  <c r="P261" i="4"/>
  <c r="AQ257" i="4"/>
  <c r="P257" i="4"/>
  <c r="AQ253" i="4"/>
  <c r="P253" i="4"/>
  <c r="AQ249" i="4"/>
  <c r="P249" i="4"/>
  <c r="AM298" i="4"/>
  <c r="AM288" i="4"/>
  <c r="M288" i="4"/>
  <c r="AN288" i="4"/>
  <c r="Q288" i="4" s="1"/>
  <c r="P283" i="4"/>
  <c r="AQ283" i="4"/>
  <c r="P275" i="4"/>
  <c r="AQ275" i="4"/>
  <c r="P267" i="4"/>
  <c r="AQ267" i="4"/>
  <c r="AQ310" i="4"/>
  <c r="P310" i="4"/>
  <c r="M309" i="4"/>
  <c r="AN309" i="4"/>
  <c r="Q309" i="4" s="1"/>
  <c r="R305" i="4"/>
  <c r="R286" i="4"/>
  <c r="AQ286" i="4"/>
  <c r="P286" i="4"/>
  <c r="R282" i="4"/>
  <c r="AQ282" i="4"/>
  <c r="P282" i="4"/>
  <c r="R278" i="4"/>
  <c r="AQ278" i="4"/>
  <c r="P278" i="4"/>
  <c r="R274" i="4"/>
  <c r="AQ274" i="4"/>
  <c r="P274" i="4"/>
  <c r="R268" i="4"/>
  <c r="AQ268" i="4"/>
  <c r="P268" i="4"/>
  <c r="AQ238" i="4"/>
  <c r="P238" i="4"/>
  <c r="AQ230" i="4"/>
  <c r="P230" i="4"/>
  <c r="AQ215" i="4"/>
  <c r="P215" i="4"/>
  <c r="R266" i="4"/>
  <c r="AQ266" i="4"/>
  <c r="P266" i="4"/>
  <c r="AQ223" i="4"/>
  <c r="P223" i="4"/>
  <c r="AN221" i="4"/>
  <c r="Q221" i="4" s="1"/>
  <c r="M221" i="4"/>
  <c r="AM221" i="4"/>
  <c r="R205" i="4"/>
  <c r="AQ192" i="4"/>
  <c r="P192" i="4"/>
  <c r="AQ188" i="4"/>
  <c r="P188" i="4"/>
  <c r="AQ184" i="4"/>
  <c r="P184" i="4"/>
  <c r="AQ180" i="4"/>
  <c r="P180" i="4"/>
  <c r="AQ176" i="4"/>
  <c r="P176" i="4"/>
  <c r="AQ172" i="4"/>
  <c r="P172" i="4"/>
  <c r="AQ168" i="4"/>
  <c r="P168" i="4"/>
  <c r="P179" i="4"/>
  <c r="AQ179" i="4"/>
  <c r="R163" i="4"/>
  <c r="P200" i="4"/>
  <c r="AQ200" i="4"/>
  <c r="AQ164" i="4"/>
  <c r="P164" i="4"/>
  <c r="AN286" i="4"/>
  <c r="Q286" i="4" s="1"/>
  <c r="AN278" i="4"/>
  <c r="Q278" i="4" s="1"/>
  <c r="AN268" i="4"/>
  <c r="Q268" i="4" s="1"/>
  <c r="AQ175" i="4"/>
  <c r="P175" i="4"/>
  <c r="M162" i="4"/>
  <c r="AN162" i="4"/>
  <c r="Q162" i="4" s="1"/>
  <c r="AR159" i="4"/>
  <c r="U159" i="4" s="1"/>
  <c r="T159" i="4"/>
  <c r="R128" i="4"/>
  <c r="AQ105" i="4"/>
  <c r="P105" i="4"/>
  <c r="AQ102" i="4"/>
  <c r="P102" i="4"/>
  <c r="AQ98" i="4"/>
  <c r="P98" i="4"/>
  <c r="R188" i="4"/>
  <c r="R291" i="4"/>
  <c r="R328" i="4"/>
  <c r="R513" i="4"/>
  <c r="R236" i="4"/>
  <c r="R310" i="4"/>
  <c r="R347" i="4"/>
  <c r="R532" i="4"/>
  <c r="R512" i="4"/>
  <c r="R189" i="4"/>
  <c r="AK368" i="4"/>
  <c r="R368" i="4"/>
  <c r="AK516" i="4"/>
  <c r="R516" i="4"/>
  <c r="R210" i="4"/>
  <c r="R391" i="4"/>
  <c r="R185" i="4"/>
  <c r="R547" i="4"/>
  <c r="R200" i="4"/>
  <c r="AK418" i="4"/>
  <c r="R418" i="4"/>
  <c r="R184" i="4"/>
  <c r="R389" i="4"/>
  <c r="R463" i="4"/>
  <c r="R343" i="4"/>
  <c r="R454" i="4"/>
  <c r="AK161" i="4"/>
  <c r="R161" i="4"/>
  <c r="R193" i="4"/>
  <c r="R256" i="4"/>
  <c r="R478" i="4"/>
  <c r="R135" i="4"/>
  <c r="AQ127" i="4"/>
  <c r="P127" i="4"/>
  <c r="AQ122" i="4"/>
  <c r="P122" i="4"/>
  <c r="AQ110" i="4"/>
  <c r="P110" i="4"/>
  <c r="AQ106" i="4"/>
  <c r="P106" i="4"/>
  <c r="R94" i="4"/>
  <c r="R90" i="4"/>
  <c r="P86" i="4"/>
  <c r="AQ86" i="4"/>
  <c r="P82" i="4"/>
  <c r="AQ82" i="4"/>
  <c r="P78" i="4"/>
  <c r="AQ78" i="4"/>
  <c r="P72" i="4"/>
  <c r="AQ72" i="4"/>
  <c r="P66" i="4"/>
  <c r="AQ66" i="4"/>
  <c r="AR153" i="4"/>
  <c r="U153" i="4" s="1"/>
  <c r="T153" i="4"/>
  <c r="P151" i="4"/>
  <c r="AQ151" i="4"/>
  <c r="M122" i="4"/>
  <c r="AN122" i="4"/>
  <c r="Q122" i="4" s="1"/>
  <c r="R119" i="4"/>
  <c r="AQ116" i="4"/>
  <c r="P116" i="4"/>
  <c r="AQ107" i="4"/>
  <c r="P107" i="4"/>
  <c r="R105" i="4"/>
  <c r="AQ101" i="4"/>
  <c r="P101" i="4"/>
  <c r="M98" i="4"/>
  <c r="AN98" i="4"/>
  <c r="Q98" i="4" s="1"/>
  <c r="R96" i="4"/>
  <c r="M89" i="4"/>
  <c r="AN89" i="4"/>
  <c r="Q89" i="4" s="1"/>
  <c r="AQ57" i="4"/>
  <c r="P57" i="4"/>
  <c r="R224" i="4"/>
  <c r="R296" i="4"/>
  <c r="R481" i="4"/>
  <c r="R555" i="4"/>
  <c r="R393" i="4"/>
  <c r="R504" i="4"/>
  <c r="R223" i="4"/>
  <c r="AK517" i="4"/>
  <c r="R517" i="4"/>
  <c r="R318" i="4"/>
  <c r="R375" i="4"/>
  <c r="R252" i="4"/>
  <c r="R326" i="4"/>
  <c r="R271" i="4"/>
  <c r="AK382" i="4"/>
  <c r="R382" i="4"/>
  <c r="R493" i="4"/>
  <c r="R176" i="4"/>
  <c r="R353" i="4"/>
  <c r="R501" i="4"/>
  <c r="R216" i="4"/>
  <c r="AK360" i="4"/>
  <c r="R360" i="4"/>
  <c r="R508" i="4"/>
  <c r="R371" i="4"/>
  <c r="R556" i="4"/>
  <c r="R366" i="4"/>
  <c r="R403" i="4"/>
  <c r="R283" i="4"/>
  <c r="R542" i="4"/>
  <c r="R152" i="4"/>
  <c r="R78" i="4"/>
  <c r="AR73" i="4"/>
  <c r="U73" i="4" s="1"/>
  <c r="T73" i="4"/>
  <c r="R461" i="4"/>
  <c r="R53" i="4"/>
  <c r="M52" i="4"/>
  <c r="AN52" i="4"/>
  <c r="Q52" i="4" s="1"/>
  <c r="R48" i="4"/>
  <c r="AQ45" i="4"/>
  <c r="P45" i="4"/>
  <c r="M41" i="4"/>
  <c r="AN41" i="4"/>
  <c r="Q41" i="4" s="1"/>
  <c r="AQ40" i="4"/>
  <c r="P40" i="4"/>
  <c r="R37" i="4"/>
  <c r="M36" i="4"/>
  <c r="AN36" i="4"/>
  <c r="Q36" i="4" s="1"/>
  <c r="R32" i="4"/>
  <c r="BI97" i="4"/>
  <c r="BK97" i="4"/>
  <c r="R172" i="4"/>
  <c r="R238" i="4"/>
  <c r="R534" i="4"/>
  <c r="AK534" i="4"/>
  <c r="R9" i="4"/>
  <c r="R17" i="4"/>
  <c r="AK17" i="4"/>
  <c r="P85" i="4"/>
  <c r="AQ85" i="4"/>
  <c r="AR63" i="4"/>
  <c r="U63" i="4" s="1"/>
  <c r="T63" i="4"/>
  <c r="M56" i="4"/>
  <c r="AN56" i="4"/>
  <c r="Q56" i="4" s="1"/>
  <c r="BC100" i="4"/>
  <c r="BE100" i="4" s="1"/>
  <c r="BG100" i="4"/>
  <c r="BF100" i="4"/>
  <c r="R248" i="4"/>
  <c r="R359" i="4"/>
  <c r="R131" i="4"/>
  <c r="R304" i="4"/>
  <c r="R341" i="4"/>
  <c r="R489" i="4"/>
  <c r="BH94" i="4"/>
  <c r="BC94" i="4"/>
  <c r="BL94" i="4" s="1"/>
  <c r="BN94" i="4" s="1"/>
  <c r="BJ94" i="4"/>
  <c r="BF94" i="4"/>
  <c r="BI94" i="4"/>
  <c r="AK10" i="4"/>
  <c r="R302" i="4"/>
  <c r="R339" i="4"/>
  <c r="R524" i="4"/>
  <c r="M55" i="4"/>
  <c r="AN55" i="4"/>
  <c r="Q55" i="4" s="1"/>
  <c r="M51" i="4"/>
  <c r="AN51" i="4"/>
  <c r="Q51" i="4" s="1"/>
  <c r="M47" i="4"/>
  <c r="AN47" i="4"/>
  <c r="Q47" i="4" s="1"/>
  <c r="M43" i="4"/>
  <c r="AN43" i="4"/>
  <c r="Q43" i="4" s="1"/>
  <c r="M39" i="4"/>
  <c r="AN39" i="4"/>
  <c r="Q39" i="4" s="1"/>
  <c r="M35" i="4"/>
  <c r="AN35" i="4"/>
  <c r="Q35" i="4" s="1"/>
  <c r="M31" i="4"/>
  <c r="AN31" i="4"/>
  <c r="Q31" i="4" s="1"/>
  <c r="AK141" i="4"/>
  <c r="R141" i="4"/>
  <c r="R351" i="4"/>
  <c r="R82" i="4"/>
  <c r="R181" i="4"/>
  <c r="AK130" i="4"/>
  <c r="R130" i="4"/>
  <c r="R340" i="4"/>
  <c r="R237" i="4"/>
  <c r="R422" i="4"/>
  <c r="R496" i="4"/>
  <c r="BE57" i="3"/>
  <c r="BA57" i="3"/>
  <c r="AG138" i="3"/>
  <c r="P138" i="3"/>
  <c r="AG114" i="3"/>
  <c r="P114" i="3"/>
  <c r="BF57" i="3"/>
  <c r="BF67" i="3"/>
  <c r="BF63" i="3"/>
  <c r="AG98" i="3"/>
  <c r="P98" i="3"/>
  <c r="BA67" i="3"/>
  <c r="BE65" i="3"/>
  <c r="BA63" i="3"/>
  <c r="BE62" i="3"/>
  <c r="BA62" i="3"/>
  <c r="BD62" i="3"/>
  <c r="AZ62" i="3"/>
  <c r="BD57" i="3"/>
  <c r="P191" i="3"/>
  <c r="AG191" i="3"/>
  <c r="P291" i="3"/>
  <c r="AG291" i="3"/>
  <c r="AG391" i="3"/>
  <c r="P391" i="3"/>
  <c r="P181" i="3"/>
  <c r="AG181" i="3"/>
  <c r="AG251" i="3"/>
  <c r="P251" i="3"/>
  <c r="P371" i="3"/>
  <c r="AG371" i="3"/>
  <c r="P160" i="3"/>
  <c r="AG160" i="3"/>
  <c r="P200" i="3"/>
  <c r="AG200" i="3"/>
  <c r="P240" i="3"/>
  <c r="AG240" i="3"/>
  <c r="P280" i="3"/>
  <c r="AG280" i="3"/>
  <c r="AG300" i="3"/>
  <c r="P300" i="3"/>
  <c r="P290" i="3"/>
  <c r="AG290" i="3"/>
  <c r="P350" i="3"/>
  <c r="AG350" i="3"/>
  <c r="AG390" i="3"/>
  <c r="P390" i="3"/>
  <c r="P169" i="3"/>
  <c r="AG169" i="3"/>
  <c r="AG219" i="3"/>
  <c r="P219" i="3"/>
  <c r="AG269" i="3"/>
  <c r="P269" i="3"/>
  <c r="AG329" i="3"/>
  <c r="P329" i="3"/>
  <c r="AG379" i="3"/>
  <c r="P379" i="3"/>
  <c r="P149" i="3"/>
  <c r="AG149" i="3"/>
  <c r="P218" i="3"/>
  <c r="AG218" i="3"/>
  <c r="P278" i="3"/>
  <c r="AG278" i="3"/>
  <c r="P328" i="3"/>
  <c r="AG328" i="3"/>
  <c r="AG84" i="3"/>
  <c r="BD65" i="3"/>
  <c r="AG88" i="3"/>
  <c r="P88" i="3"/>
  <c r="P167" i="3"/>
  <c r="AG167" i="3"/>
  <c r="P226" i="3"/>
  <c r="AG226" i="3"/>
  <c r="AG296" i="3"/>
  <c r="P296" i="3"/>
  <c r="P346" i="3"/>
  <c r="AG346" i="3"/>
  <c r="AG12" i="3"/>
  <c r="P12" i="3"/>
  <c r="P144" i="3"/>
  <c r="AG144" i="3"/>
  <c r="AG205" i="3"/>
  <c r="P205" i="3"/>
  <c r="P274" i="3"/>
  <c r="AG274" i="3"/>
  <c r="P324" i="3"/>
  <c r="AG324" i="3"/>
  <c r="R398" i="1"/>
  <c r="R394" i="1"/>
  <c r="AQ374" i="1"/>
  <c r="P374" i="1"/>
  <c r="AQ297" i="1"/>
  <c r="P297" i="1"/>
  <c r="AG92" i="3"/>
  <c r="AG51" i="3"/>
  <c r="AG112" i="3"/>
  <c r="P112" i="3"/>
  <c r="P147" i="3"/>
  <c r="AG147" i="3"/>
  <c r="P197" i="3"/>
  <c r="AG197" i="3"/>
  <c r="AG247" i="3"/>
  <c r="P247" i="3"/>
  <c r="P307" i="3"/>
  <c r="AG307" i="3"/>
  <c r="AG357" i="3"/>
  <c r="P357" i="3"/>
  <c r="AG67" i="3"/>
  <c r="P67" i="3"/>
  <c r="AG117" i="3"/>
  <c r="P117" i="3"/>
  <c r="AG77" i="3"/>
  <c r="P77" i="3"/>
  <c r="P185" i="3"/>
  <c r="AG185" i="3"/>
  <c r="AG235" i="3"/>
  <c r="P235" i="3"/>
  <c r="AG285" i="3"/>
  <c r="P285" i="3"/>
  <c r="AG344" i="3"/>
  <c r="P344" i="3"/>
  <c r="AG9" i="3"/>
  <c r="P9" i="3"/>
  <c r="AG93" i="3"/>
  <c r="P93" i="3"/>
  <c r="AG70" i="3"/>
  <c r="P70" i="3"/>
  <c r="P172" i="3"/>
  <c r="AG172" i="3"/>
  <c r="P222" i="3"/>
  <c r="AG222" i="3"/>
  <c r="P272" i="3"/>
  <c r="AG272" i="3"/>
  <c r="AG312" i="3"/>
  <c r="P312" i="3"/>
  <c r="P342" i="3"/>
  <c r="AG342" i="3"/>
  <c r="AQ380" i="1"/>
  <c r="P380" i="1"/>
  <c r="AR375" i="1"/>
  <c r="U375" i="1" s="1"/>
  <c r="T375" i="1"/>
  <c r="AQ371" i="1"/>
  <c r="P371" i="1"/>
  <c r="AG81" i="3"/>
  <c r="BD63" i="3"/>
  <c r="AG76" i="3"/>
  <c r="P76" i="3"/>
  <c r="AG65" i="3"/>
  <c r="P65" i="3"/>
  <c r="P148" i="3"/>
  <c r="AG148" i="3"/>
  <c r="P208" i="3"/>
  <c r="AG208" i="3"/>
  <c r="AG388" i="3"/>
  <c r="P388" i="3"/>
  <c r="AG135" i="3"/>
  <c r="P135" i="3"/>
  <c r="P184" i="3"/>
  <c r="AG184" i="3"/>
  <c r="P254" i="3"/>
  <c r="AG254" i="3"/>
  <c r="AG345" i="3"/>
  <c r="P345" i="3"/>
  <c r="AG86" i="3"/>
  <c r="P86" i="3"/>
  <c r="AG62" i="3"/>
  <c r="P62" i="3"/>
  <c r="AG102" i="3"/>
  <c r="P102" i="3"/>
  <c r="P182" i="3"/>
  <c r="AG182" i="3"/>
  <c r="AG243" i="3"/>
  <c r="P243" i="3"/>
  <c r="P293" i="3"/>
  <c r="AG293" i="3"/>
  <c r="AG323" i="3"/>
  <c r="P323" i="3"/>
  <c r="AG382" i="3"/>
  <c r="P382" i="3"/>
  <c r="AG6" i="3"/>
  <c r="R371" i="1"/>
  <c r="P366" i="1"/>
  <c r="AQ366" i="1"/>
  <c r="P362" i="1"/>
  <c r="AQ362" i="1"/>
  <c r="P358" i="1"/>
  <c r="AQ358" i="1"/>
  <c r="P354" i="1"/>
  <c r="AQ354" i="1"/>
  <c r="P350" i="1"/>
  <c r="AQ350" i="1"/>
  <c r="P346" i="1"/>
  <c r="AQ346" i="1"/>
  <c r="P342" i="1"/>
  <c r="AQ342" i="1"/>
  <c r="P338" i="1"/>
  <c r="AQ338" i="1"/>
  <c r="P334" i="1"/>
  <c r="AQ334" i="1"/>
  <c r="P330" i="1"/>
  <c r="AQ330" i="1"/>
  <c r="R307" i="1"/>
  <c r="R303" i="1"/>
  <c r="R286" i="1"/>
  <c r="R278" i="1"/>
  <c r="P260" i="1"/>
  <c r="AQ260" i="1"/>
  <c r="P244" i="1"/>
  <c r="AQ244" i="1"/>
  <c r="P228" i="1"/>
  <c r="AQ228" i="1"/>
  <c r="AQ212" i="1"/>
  <c r="P212" i="1"/>
  <c r="AQ208" i="1"/>
  <c r="P208" i="1"/>
  <c r="AQ204" i="1"/>
  <c r="P204" i="1"/>
  <c r="AQ200" i="1"/>
  <c r="P200" i="1"/>
  <c r="AQ196" i="1"/>
  <c r="P196" i="1"/>
  <c r="AQ191" i="1"/>
  <c r="P191" i="1"/>
  <c r="AQ183" i="1"/>
  <c r="P183" i="1"/>
  <c r="P178" i="1"/>
  <c r="AQ178" i="1"/>
  <c r="P170" i="1"/>
  <c r="AQ170" i="1"/>
  <c r="P162" i="1"/>
  <c r="AQ162" i="1"/>
  <c r="AG44" i="3"/>
  <c r="BD70" i="3"/>
  <c r="BF70" i="3"/>
  <c r="BD66" i="3"/>
  <c r="BF66" i="3"/>
  <c r="AG96" i="3"/>
  <c r="P96" i="3"/>
  <c r="AG120" i="3"/>
  <c r="P120" i="3"/>
  <c r="P186" i="3"/>
  <c r="AG186" i="3"/>
  <c r="P256" i="3"/>
  <c r="AG256" i="3"/>
  <c r="AG356" i="3"/>
  <c r="P356" i="3"/>
  <c r="AG109" i="3"/>
  <c r="P109" i="3"/>
  <c r="AG47" i="3"/>
  <c r="P47" i="3"/>
  <c r="P183" i="3"/>
  <c r="AG183" i="3"/>
  <c r="AG253" i="3"/>
  <c r="P253" i="3"/>
  <c r="P363" i="3"/>
  <c r="AG363" i="3"/>
  <c r="AG7" i="3"/>
  <c r="BC56" i="3"/>
  <c r="BA56" i="3"/>
  <c r="M386" i="1"/>
  <c r="AM386" i="1"/>
  <c r="M378" i="1"/>
  <c r="AM378" i="1"/>
  <c r="AM372" i="1"/>
  <c r="M366" i="1"/>
  <c r="AN366" i="1"/>
  <c r="Q366" i="1" s="1"/>
  <c r="AM363" i="1"/>
  <c r="M363" i="1"/>
  <c r="AQ360" i="1"/>
  <c r="P360" i="1"/>
  <c r="AN359" i="1"/>
  <c r="Q359" i="1" s="1"/>
  <c r="R354" i="1"/>
  <c r="M350" i="1"/>
  <c r="AN350" i="1"/>
  <c r="Q350" i="1" s="1"/>
  <c r="AM347" i="1"/>
  <c r="M347" i="1"/>
  <c r="AQ344" i="1"/>
  <c r="P344" i="1"/>
  <c r="R342" i="1"/>
  <c r="AM339" i="1"/>
  <c r="M339" i="1"/>
  <c r="AQ336" i="1"/>
  <c r="P336" i="1"/>
  <c r="AN335" i="1"/>
  <c r="Q335" i="1" s="1"/>
  <c r="R330" i="1"/>
  <c r="M326" i="1"/>
  <c r="AN326" i="1"/>
  <c r="Q326" i="1" s="1"/>
  <c r="AM323" i="1"/>
  <c r="M323" i="1"/>
  <c r="AQ320" i="1"/>
  <c r="P320" i="1"/>
  <c r="AN319" i="1"/>
  <c r="Q319" i="1" s="1"/>
  <c r="R314" i="1"/>
  <c r="M310" i="1"/>
  <c r="AN310" i="1"/>
  <c r="Q310" i="1" s="1"/>
  <c r="AM307" i="1"/>
  <c r="M307" i="1"/>
  <c r="AQ304" i="1"/>
  <c r="P304" i="1"/>
  <c r="AN303" i="1"/>
  <c r="Q303" i="1" s="1"/>
  <c r="AN290" i="1"/>
  <c r="Q290" i="1" s="1"/>
  <c r="AN274" i="1"/>
  <c r="Q274" i="1" s="1"/>
  <c r="P267" i="1"/>
  <c r="AQ267" i="1"/>
  <c r="P261" i="1"/>
  <c r="AQ261" i="1"/>
  <c r="P245" i="1"/>
  <c r="AQ245" i="1"/>
  <c r="P229" i="1"/>
  <c r="AQ229" i="1"/>
  <c r="P213" i="1"/>
  <c r="AQ213" i="1"/>
  <c r="AQ147" i="1"/>
  <c r="P147" i="1"/>
  <c r="AQ131" i="1"/>
  <c r="P131" i="1"/>
  <c r="AQ120" i="1"/>
  <c r="P120" i="1"/>
  <c r="R255" i="1"/>
  <c r="AM255" i="1"/>
  <c r="R239" i="1"/>
  <c r="AM239" i="1"/>
  <c r="R223" i="1"/>
  <c r="AM223" i="1"/>
  <c r="R199" i="1"/>
  <c r="AR181" i="1"/>
  <c r="U181" i="1" s="1"/>
  <c r="T181" i="1"/>
  <c r="AR177" i="1"/>
  <c r="U177" i="1" s="1"/>
  <c r="T177" i="1"/>
  <c r="R164" i="1"/>
  <c r="P141" i="1"/>
  <c r="AQ141" i="1"/>
  <c r="AQ138" i="1"/>
  <c r="P138" i="1"/>
  <c r="R123" i="1"/>
  <c r="R108" i="1"/>
  <c r="R96" i="1"/>
  <c r="AQ92" i="1"/>
  <c r="P92" i="1"/>
  <c r="R82" i="1"/>
  <c r="R74" i="1"/>
  <c r="R67" i="1"/>
  <c r="R59" i="1"/>
  <c r="Q448" i="5"/>
  <c r="Q432" i="5"/>
  <c r="AR258" i="1"/>
  <c r="U258" i="1" s="1"/>
  <c r="T258" i="1"/>
  <c r="AR242" i="1"/>
  <c r="U242" i="1" s="1"/>
  <c r="T242" i="1"/>
  <c r="R232" i="1"/>
  <c r="R206" i="1"/>
  <c r="M137" i="1"/>
  <c r="AN137" i="1"/>
  <c r="Q137" i="1" s="1"/>
  <c r="R134" i="1"/>
  <c r="R124" i="1"/>
  <c r="R110" i="1"/>
  <c r="R105" i="1"/>
  <c r="AQ102" i="1"/>
  <c r="P102" i="1"/>
  <c r="R238" i="1"/>
  <c r="R321" i="1"/>
  <c r="R336" i="1"/>
  <c r="R157" i="1"/>
  <c r="R281" i="1"/>
  <c r="R165" i="1"/>
  <c r="R289" i="1"/>
  <c r="R309" i="1"/>
  <c r="R360" i="1"/>
  <c r="AG36" i="3"/>
  <c r="M272" i="1"/>
  <c r="AN272" i="1"/>
  <c r="Q272" i="1" s="1"/>
  <c r="R268" i="1"/>
  <c r="M266" i="1"/>
  <c r="AN266" i="1"/>
  <c r="Q266" i="1" s="1"/>
  <c r="M259" i="1"/>
  <c r="AN259" i="1"/>
  <c r="Q259" i="1" s="1"/>
  <c r="M251" i="1"/>
  <c r="AN251" i="1"/>
  <c r="Q251" i="1" s="1"/>
  <c r="R243" i="1"/>
  <c r="M194" i="1"/>
  <c r="AN194" i="1"/>
  <c r="Q194" i="1" s="1"/>
  <c r="M182" i="1"/>
  <c r="AN182" i="1"/>
  <c r="Q182" i="1" s="1"/>
  <c r="R170" i="1"/>
  <c r="AR157" i="1"/>
  <c r="U157" i="1" s="1"/>
  <c r="T157" i="1"/>
  <c r="AQ150" i="1"/>
  <c r="P150" i="1"/>
  <c r="AQ142" i="1"/>
  <c r="P142" i="1"/>
  <c r="AM137" i="1"/>
  <c r="AQ134" i="1"/>
  <c r="P134" i="1"/>
  <c r="AM129" i="1"/>
  <c r="AQ124" i="1"/>
  <c r="P124" i="1"/>
  <c r="R116" i="1"/>
  <c r="AR111" i="1"/>
  <c r="U111" i="1" s="1"/>
  <c r="T111" i="1"/>
  <c r="R102" i="1"/>
  <c r="R90" i="1"/>
  <c r="P82" i="1"/>
  <c r="AQ82" i="1"/>
  <c r="R79" i="1"/>
  <c r="AQ74" i="1"/>
  <c r="P74" i="1"/>
  <c r="AQ71" i="1"/>
  <c r="P71" i="1"/>
  <c r="AQ67" i="1"/>
  <c r="P67" i="1"/>
  <c r="AQ63" i="1"/>
  <c r="P63" i="1"/>
  <c r="P59" i="1"/>
  <c r="AQ59" i="1"/>
  <c r="R52" i="1"/>
  <c r="P46" i="1"/>
  <c r="AQ46" i="1"/>
  <c r="AK177" i="1"/>
  <c r="R177" i="1"/>
  <c r="R44" i="1"/>
  <c r="R214" i="1"/>
  <c r="AK6" i="1"/>
  <c r="R6" i="1"/>
  <c r="Q460" i="5"/>
  <c r="AP444" i="5"/>
  <c r="AQ444" i="5" s="1"/>
  <c r="O444" i="5"/>
  <c r="AP428" i="5"/>
  <c r="AQ428" i="5" s="1"/>
  <c r="O428" i="5"/>
  <c r="AR262" i="1"/>
  <c r="U262" i="1" s="1"/>
  <c r="T262" i="1"/>
  <c r="AR246" i="1"/>
  <c r="U246" i="1" s="1"/>
  <c r="T246" i="1"/>
  <c r="AR230" i="1"/>
  <c r="U230" i="1" s="1"/>
  <c r="T230" i="1"/>
  <c r="AR214" i="1"/>
  <c r="U214" i="1" s="1"/>
  <c r="T214" i="1"/>
  <c r="M149" i="1"/>
  <c r="AN149" i="1"/>
  <c r="Q149" i="1" s="1"/>
  <c r="R146" i="1"/>
  <c r="M103" i="1"/>
  <c r="AN103" i="1"/>
  <c r="Q103" i="1" s="1"/>
  <c r="AN100" i="1"/>
  <c r="Q100" i="1" s="1"/>
  <c r="AQ68" i="1"/>
  <c r="P68" i="1"/>
  <c r="R66" i="1"/>
  <c r="AN62" i="1"/>
  <c r="Q62" i="1" s="1"/>
  <c r="AM62" i="1"/>
  <c r="M62" i="1"/>
  <c r="AN55" i="1"/>
  <c r="Q55" i="1" s="1"/>
  <c r="AM55" i="1"/>
  <c r="M55" i="1"/>
  <c r="R51" i="1"/>
  <c r="R159" i="1"/>
  <c r="R283" i="1"/>
  <c r="R41" i="1"/>
  <c r="R234" i="1"/>
  <c r="R39" i="1"/>
  <c r="R375" i="1"/>
  <c r="AQ36" i="1"/>
  <c r="P36" i="1"/>
  <c r="AQ34" i="1"/>
  <c r="P34" i="1"/>
  <c r="R357" i="1"/>
  <c r="R171" i="1"/>
  <c r="R233" i="1"/>
  <c r="AQ30" i="1"/>
  <c r="P30" i="1"/>
  <c r="R249" i="1"/>
  <c r="R356" i="1"/>
  <c r="R381" i="1"/>
  <c r="R242" i="1"/>
  <c r="R304" i="1"/>
  <c r="R365" i="1"/>
  <c r="R349" i="1"/>
  <c r="R117" i="1"/>
  <c r="R379" i="1"/>
  <c r="BM95" i="1"/>
  <c r="BL95" i="1"/>
  <c r="BF95" i="1"/>
  <c r="BI95" i="1" s="1"/>
  <c r="BK95" i="1"/>
  <c r="BJ95" i="1"/>
  <c r="BN95" i="1"/>
  <c r="BH95" i="1"/>
  <c r="R254" i="1"/>
  <c r="AK285" i="1"/>
  <c r="R285" i="1"/>
  <c r="P9" i="1"/>
  <c r="AQ9" i="1"/>
  <c r="R213" i="1"/>
  <c r="P498" i="5"/>
  <c r="AL498" i="5"/>
  <c r="L498" i="5"/>
  <c r="P489" i="5"/>
  <c r="AL489" i="5"/>
  <c r="L489" i="5"/>
  <c r="Q487" i="5"/>
  <c r="P481" i="5"/>
  <c r="AL481" i="5"/>
  <c r="L481" i="5"/>
  <c r="Q479" i="5"/>
  <c r="P473" i="5"/>
  <c r="AL473" i="5"/>
  <c r="L473" i="5"/>
  <c r="Q471" i="5"/>
  <c r="O468" i="5"/>
  <c r="AP468" i="5"/>
  <c r="AQ468" i="5" s="1"/>
  <c r="P465" i="5"/>
  <c r="AL465" i="5"/>
  <c r="L465" i="5"/>
  <c r="Q463" i="5"/>
  <c r="AP456" i="5"/>
  <c r="AQ456" i="5" s="1"/>
  <c r="O456" i="5"/>
  <c r="Q447" i="5"/>
  <c r="P443" i="5"/>
  <c r="AL443" i="5"/>
  <c r="L443" i="5"/>
  <c r="AP433" i="5"/>
  <c r="AQ433" i="5" s="1"/>
  <c r="O433" i="5"/>
  <c r="Q431" i="5"/>
  <c r="P427" i="5"/>
  <c r="AL427" i="5"/>
  <c r="L427" i="5"/>
  <c r="Q422" i="5"/>
  <c r="Q420" i="5"/>
  <c r="P413" i="5"/>
  <c r="L413" i="5"/>
  <c r="AL413" i="5"/>
  <c r="AP411" i="5"/>
  <c r="AQ411" i="5" s="1"/>
  <c r="O411" i="5"/>
  <c r="Q365" i="5"/>
  <c r="AN263" i="1"/>
  <c r="Q263" i="1" s="1"/>
  <c r="AN231" i="1"/>
  <c r="Q231" i="1" s="1"/>
  <c r="AK27" i="1"/>
  <c r="BN92" i="1"/>
  <c r="BK92" i="1"/>
  <c r="BL88" i="1"/>
  <c r="L382" i="5"/>
  <c r="AP359" i="5"/>
  <c r="AQ359" i="5" s="1"/>
  <c r="O359" i="5"/>
  <c r="Q355" i="5"/>
  <c r="P333" i="5"/>
  <c r="P317" i="5"/>
  <c r="L305" i="5"/>
  <c r="AL305" i="5"/>
  <c r="Q293" i="5"/>
  <c r="AP287" i="5"/>
  <c r="AQ287" i="5" s="1"/>
  <c r="O287" i="5"/>
  <c r="Q277" i="5"/>
  <c r="AQ90" i="1"/>
  <c r="P90" i="1"/>
  <c r="BI101" i="1"/>
  <c r="Q386" i="5"/>
  <c r="L241" i="5"/>
  <c r="P241" i="5"/>
  <c r="Q238" i="5"/>
  <c r="AQ65" i="1"/>
  <c r="P65" i="1"/>
  <c r="AK24" i="1"/>
  <c r="BN102" i="1"/>
  <c r="BH102" i="1"/>
  <c r="BK99" i="1"/>
  <c r="BN99" i="1"/>
  <c r="BM99" i="1"/>
  <c r="BL98" i="1"/>
  <c r="BK98" i="1"/>
  <c r="AR16" i="1"/>
  <c r="T16" i="1"/>
  <c r="AR8" i="1"/>
  <c r="T8" i="1"/>
  <c r="AL406" i="5"/>
  <c r="AL390" i="5"/>
  <c r="AL374" i="5"/>
  <c r="AL345" i="5"/>
  <c r="L312" i="5"/>
  <c r="AL312" i="5"/>
  <c r="Q291" i="5"/>
  <c r="Q283" i="5"/>
  <c r="AQ69" i="1"/>
  <c r="P69" i="1"/>
  <c r="BJ97" i="1"/>
  <c r="BM97" i="1"/>
  <c r="BI94" i="1"/>
  <c r="BK94" i="1"/>
  <c r="BK93" i="1"/>
  <c r="BN93" i="1"/>
  <c r="BM90" i="1"/>
  <c r="BK90" i="1"/>
  <c r="BL89" i="1"/>
  <c r="BN89" i="1"/>
  <c r="Q394" i="5"/>
  <c r="Q378" i="5"/>
  <c r="L366" i="5"/>
  <c r="O232" i="5"/>
  <c r="AP232" i="5"/>
  <c r="AQ232" i="5" s="1"/>
  <c r="AP240" i="5"/>
  <c r="AQ240" i="5" s="1"/>
  <c r="O240" i="5"/>
  <c r="Q205" i="5"/>
  <c r="Q190" i="5"/>
  <c r="Q174" i="5"/>
  <c r="Q127" i="5"/>
  <c r="Q124" i="5"/>
  <c r="Q121" i="5"/>
  <c r="Q110" i="5"/>
  <c r="BK96" i="5"/>
  <c r="Q81" i="5"/>
  <c r="Q345" i="5"/>
  <c r="Q419" i="5"/>
  <c r="Q244" i="5"/>
  <c r="Q325" i="5"/>
  <c r="Q213" i="5"/>
  <c r="Q324" i="5"/>
  <c r="Q258" i="5"/>
  <c r="Q425" i="5"/>
  <c r="Q317" i="5"/>
  <c r="Q296" i="5"/>
  <c r="Q407" i="5"/>
  <c r="Q204" i="5"/>
  <c r="Q196" i="5"/>
  <c r="Q181" i="5"/>
  <c r="Q173" i="5"/>
  <c r="AP126" i="5"/>
  <c r="AQ126" i="5" s="1"/>
  <c r="Q112" i="5"/>
  <c r="Q102" i="5"/>
  <c r="AL95" i="5"/>
  <c r="L86" i="5"/>
  <c r="P86" i="5"/>
  <c r="L82" i="5"/>
  <c r="P82" i="5"/>
  <c r="L78" i="5"/>
  <c r="P78" i="5"/>
  <c r="Q229" i="5"/>
  <c r="Q330" i="5"/>
  <c r="Q328" i="5"/>
  <c r="L17" i="5"/>
  <c r="P17" i="5"/>
  <c r="AP12" i="5"/>
  <c r="AQ12" i="5" s="1"/>
  <c r="Q262" i="5"/>
  <c r="Q242" i="5"/>
  <c r="Q278" i="5"/>
  <c r="AP226" i="5"/>
  <c r="AQ226" i="5" s="1"/>
  <c r="O226" i="5"/>
  <c r="Q199" i="5"/>
  <c r="AP194" i="5"/>
  <c r="AQ194" i="5" s="1"/>
  <c r="AL140" i="5"/>
  <c r="Q129" i="5"/>
  <c r="Q125" i="5"/>
  <c r="Q123" i="5"/>
  <c r="Q120" i="5"/>
  <c r="Q83" i="5"/>
  <c r="Q294" i="5"/>
  <c r="Q442" i="5"/>
  <c r="Q282" i="5"/>
  <c r="P199" i="5"/>
  <c r="P197" i="5"/>
  <c r="P189" i="5"/>
  <c r="Q163" i="5"/>
  <c r="Q158" i="5"/>
  <c r="Q144" i="5"/>
  <c r="Q136" i="5"/>
  <c r="AP119" i="5"/>
  <c r="AQ119" i="5" s="1"/>
  <c r="O119" i="5"/>
  <c r="Q117" i="5"/>
  <c r="Q104" i="5"/>
  <c r="Q101" i="5"/>
  <c r="P100" i="5"/>
  <c r="L100" i="5"/>
  <c r="AL100" i="5"/>
  <c r="BG96" i="5"/>
  <c r="BJ89" i="5"/>
  <c r="Q87" i="5"/>
  <c r="AL82" i="5"/>
  <c r="Q211" i="5"/>
  <c r="Q433" i="5"/>
  <c r="Q307" i="5"/>
  <c r="Q344" i="5"/>
  <c r="Q455" i="5"/>
  <c r="AU47" i="5"/>
  <c r="AT35" i="5"/>
  <c r="K35" i="5" s="1"/>
  <c r="AS35" i="5"/>
  <c r="M35" i="5" s="1"/>
  <c r="AR35" i="5"/>
  <c r="L35" i="5" s="1"/>
  <c r="AN35" i="5"/>
  <c r="Q35" i="5" s="1"/>
  <c r="Q387" i="5"/>
  <c r="Q209" i="5"/>
  <c r="Q290" i="5"/>
  <c r="Q371" i="5"/>
  <c r="BN96" i="5"/>
  <c r="BP96" i="5" s="1"/>
  <c r="S154" i="5"/>
  <c r="T154" i="5"/>
  <c r="T64" i="5"/>
  <c r="S64" i="5"/>
  <c r="P531" i="4"/>
  <c r="AQ531" i="4"/>
  <c r="P526" i="4"/>
  <c r="AQ526" i="4"/>
  <c r="AQ503" i="4"/>
  <c r="P503" i="4"/>
  <c r="M515" i="4"/>
  <c r="AN515" i="4"/>
  <c r="Q515" i="4" s="1"/>
  <c r="AQ505" i="4"/>
  <c r="P505" i="4"/>
  <c r="AQ489" i="4"/>
  <c r="P489" i="4"/>
  <c r="AQ466" i="4"/>
  <c r="P466" i="4"/>
  <c r="AQ467" i="4"/>
  <c r="P467" i="4"/>
  <c r="AN535" i="4"/>
  <c r="Q535" i="4" s="1"/>
  <c r="R523" i="4"/>
  <c r="AQ506" i="4"/>
  <c r="P506" i="4"/>
  <c r="AR468" i="4"/>
  <c r="U468" i="4" s="1"/>
  <c r="T468" i="4"/>
  <c r="R460" i="4"/>
  <c r="M457" i="4"/>
  <c r="AN457" i="4"/>
  <c r="Q457" i="4" s="1"/>
  <c r="AM457" i="4"/>
  <c r="M453" i="4"/>
  <c r="AN453" i="4"/>
  <c r="Q453" i="4" s="1"/>
  <c r="M449" i="4"/>
  <c r="AN449" i="4"/>
  <c r="Q449" i="4" s="1"/>
  <c r="M447" i="4"/>
  <c r="AN447" i="4"/>
  <c r="Q447" i="4" s="1"/>
  <c r="R435" i="4"/>
  <c r="AQ442" i="4"/>
  <c r="P442" i="4"/>
  <c r="R440" i="4"/>
  <c r="AM436" i="4"/>
  <c r="M436" i="4"/>
  <c r="AN436" i="4"/>
  <c r="Q436" i="4" s="1"/>
  <c r="R432" i="4"/>
  <c r="AN455" i="4"/>
  <c r="Q455" i="4" s="1"/>
  <c r="M455" i="4"/>
  <c r="AM453" i="4"/>
  <c r="AN441" i="4"/>
  <c r="Q441" i="4" s="1"/>
  <c r="M441" i="4"/>
  <c r="AR410" i="4"/>
  <c r="U410" i="4" s="1"/>
  <c r="T410" i="4"/>
  <c r="AQ404" i="4"/>
  <c r="P404" i="4"/>
  <c r="AQ396" i="4"/>
  <c r="P396" i="4"/>
  <c r="AQ423" i="4"/>
  <c r="P423" i="4"/>
  <c r="R416" i="4"/>
  <c r="AQ411" i="4"/>
  <c r="P411" i="4"/>
  <c r="AQ431" i="4"/>
  <c r="P431" i="4"/>
  <c r="AN424" i="4"/>
  <c r="Q424" i="4" s="1"/>
  <c r="AQ421" i="4"/>
  <c r="P421" i="4"/>
  <c r="R419" i="4"/>
  <c r="M416" i="4"/>
  <c r="AM416" i="4"/>
  <c r="AQ413" i="4"/>
  <c r="P413" i="4"/>
  <c r="R411" i="4"/>
  <c r="P405" i="4"/>
  <c r="AQ405" i="4"/>
  <c r="M402" i="4"/>
  <c r="AN402" i="4"/>
  <c r="Q402" i="4" s="1"/>
  <c r="R400" i="4"/>
  <c r="P397" i="4"/>
  <c r="AQ397" i="4"/>
  <c r="AM394" i="4"/>
  <c r="M394" i="4"/>
  <c r="AN394" i="4"/>
  <c r="Q394" i="4" s="1"/>
  <c r="R392" i="4"/>
  <c r="R388" i="4"/>
  <c r="M428" i="4"/>
  <c r="AM428" i="4"/>
  <c r="AN428" i="4"/>
  <c r="Q428" i="4" s="1"/>
  <c r="AQ409" i="4"/>
  <c r="P409" i="4"/>
  <c r="AQ378" i="4"/>
  <c r="P378" i="4"/>
  <c r="AN373" i="4"/>
  <c r="Q373" i="4" s="1"/>
  <c r="AQ369" i="4"/>
  <c r="P369" i="4"/>
  <c r="AQ331" i="4"/>
  <c r="P331" i="4"/>
  <c r="AQ371" i="4"/>
  <c r="P371" i="4"/>
  <c r="R369" i="4"/>
  <c r="AN363" i="4"/>
  <c r="Q363" i="4" s="1"/>
  <c r="AN355" i="4"/>
  <c r="Q355" i="4" s="1"/>
  <c r="AM348" i="4"/>
  <c r="M348" i="4"/>
  <c r="AN348" i="4"/>
  <c r="Q348" i="4" s="1"/>
  <c r="R346" i="4"/>
  <c r="P339" i="4"/>
  <c r="AQ339" i="4"/>
  <c r="AQ332" i="4"/>
  <c r="P332" i="4"/>
  <c r="P391" i="4"/>
  <c r="AQ391" i="4"/>
  <c r="AQ324" i="4"/>
  <c r="P324" i="4"/>
  <c r="R315" i="4"/>
  <c r="AQ315" i="4"/>
  <c r="P315" i="4"/>
  <c r="M311" i="4"/>
  <c r="AN311" i="4"/>
  <c r="Q311" i="4" s="1"/>
  <c r="M307" i="4"/>
  <c r="AN307" i="4"/>
  <c r="Q307" i="4" s="1"/>
  <c r="AN298" i="4"/>
  <c r="Q298" i="4" s="1"/>
  <c r="R293" i="4"/>
  <c r="AQ264" i="4"/>
  <c r="P264" i="4"/>
  <c r="AQ260" i="4"/>
  <c r="P260" i="4"/>
  <c r="AQ256" i="4"/>
  <c r="P256" i="4"/>
  <c r="AQ252" i="4"/>
  <c r="P252" i="4"/>
  <c r="AQ248" i="4"/>
  <c r="P248" i="4"/>
  <c r="AQ316" i="4"/>
  <c r="P316" i="4"/>
  <c r="AN303" i="4"/>
  <c r="Q303" i="4" s="1"/>
  <c r="AN293" i="4"/>
  <c r="Q293" i="4" s="1"/>
  <c r="AM290" i="4"/>
  <c r="M290" i="4"/>
  <c r="AN290" i="4"/>
  <c r="Q290" i="4" s="1"/>
  <c r="R288" i="4"/>
  <c r="P281" i="4"/>
  <c r="AQ281" i="4"/>
  <c r="P273" i="4"/>
  <c r="AQ273" i="4"/>
  <c r="P265" i="4"/>
  <c r="AQ265" i="4"/>
  <c r="AQ320" i="4"/>
  <c r="P320" i="4"/>
  <c r="AM309" i="4"/>
  <c r="AQ306" i="4"/>
  <c r="P306" i="4"/>
  <c r="M305" i="4"/>
  <c r="AN305" i="4"/>
  <c r="Q305" i="4" s="1"/>
  <c r="AQ296" i="4"/>
  <c r="P296" i="4"/>
  <c r="P209" i="4"/>
  <c r="AQ209" i="4"/>
  <c r="AQ239" i="4"/>
  <c r="P239" i="4"/>
  <c r="AQ231" i="4"/>
  <c r="P231" i="4"/>
  <c r="R225" i="4"/>
  <c r="R209" i="4"/>
  <c r="M266" i="4"/>
  <c r="AN266" i="4"/>
  <c r="Q266" i="4" s="1"/>
  <c r="R243" i="4"/>
  <c r="R239" i="4"/>
  <c r="R235" i="4"/>
  <c r="R231" i="4"/>
  <c r="R227" i="4"/>
  <c r="AR212" i="4"/>
  <c r="U212" i="4" s="1"/>
  <c r="T212" i="4"/>
  <c r="AQ207" i="4"/>
  <c r="P207" i="4"/>
  <c r="AN205" i="4"/>
  <c r="Q205" i="4" s="1"/>
  <c r="M205" i="4"/>
  <c r="AM205" i="4"/>
  <c r="T302" i="4"/>
  <c r="AR302" i="4"/>
  <c r="U302" i="4" s="1"/>
  <c r="AQ222" i="4"/>
  <c r="P222" i="4"/>
  <c r="AN218" i="4"/>
  <c r="Q218" i="4" s="1"/>
  <c r="AQ213" i="4"/>
  <c r="P213" i="4"/>
  <c r="R201" i="4"/>
  <c r="R199" i="4"/>
  <c r="R197" i="4"/>
  <c r="AQ195" i="4"/>
  <c r="P195" i="4"/>
  <c r="AM162" i="4"/>
  <c r="AR181" i="4"/>
  <c r="U181" i="4" s="1"/>
  <c r="T181" i="4"/>
  <c r="AN284" i="4"/>
  <c r="Q284" i="4" s="1"/>
  <c r="AN276" i="4"/>
  <c r="Q276" i="4" s="1"/>
  <c r="AM202" i="4"/>
  <c r="AM167" i="4"/>
  <c r="R162" i="4"/>
  <c r="R202" i="4"/>
  <c r="AR157" i="4"/>
  <c r="U157" i="4" s="1"/>
  <c r="T157" i="4"/>
  <c r="R144" i="4"/>
  <c r="AK132" i="4"/>
  <c r="R132" i="4"/>
  <c r="R114" i="4"/>
  <c r="R111" i="4"/>
  <c r="R101" i="4"/>
  <c r="AQ96" i="4"/>
  <c r="P96" i="4"/>
  <c r="AQ93" i="4"/>
  <c r="P93" i="4"/>
  <c r="AQ89" i="4"/>
  <c r="P89" i="4"/>
  <c r="R59" i="4"/>
  <c r="AK550" i="4"/>
  <c r="R550" i="4"/>
  <c r="R273" i="4"/>
  <c r="R220" i="4"/>
  <c r="R364" i="4"/>
  <c r="R438" i="4"/>
  <c r="R549" i="4"/>
  <c r="R169" i="4"/>
  <c r="R257" i="4"/>
  <c r="R442" i="4"/>
  <c r="R251" i="4"/>
  <c r="R381" i="4"/>
  <c r="R361" i="4"/>
  <c r="R509" i="4"/>
  <c r="R208" i="4"/>
  <c r="R241" i="4"/>
  <c r="R306" i="4"/>
  <c r="R380" i="4"/>
  <c r="R528" i="4"/>
  <c r="R300" i="4"/>
  <c r="R160" i="4"/>
  <c r="R262" i="4"/>
  <c r="R336" i="4"/>
  <c r="R484" i="4"/>
  <c r="R552" i="4"/>
  <c r="R147" i="4"/>
  <c r="R143" i="4"/>
  <c r="AQ117" i="4"/>
  <c r="P117" i="4"/>
  <c r="R85" i="4"/>
  <c r="R81" i="4"/>
  <c r="R77" i="4"/>
  <c r="P70" i="4"/>
  <c r="AQ70" i="4"/>
  <c r="P64" i="4"/>
  <c r="AQ64" i="4"/>
  <c r="AK150" i="4"/>
  <c r="R150" i="4"/>
  <c r="P147" i="4"/>
  <c r="AQ147" i="4"/>
  <c r="AQ123" i="4"/>
  <c r="P123" i="4"/>
  <c r="R121" i="4"/>
  <c r="P118" i="4"/>
  <c r="AQ118" i="4"/>
  <c r="R113" i="4"/>
  <c r="AQ103" i="4"/>
  <c r="P103" i="4"/>
  <c r="M100" i="4"/>
  <c r="AN100" i="4"/>
  <c r="Q100" i="4" s="1"/>
  <c r="R98" i="4"/>
  <c r="P95" i="4"/>
  <c r="AQ95" i="4"/>
  <c r="R89" i="4"/>
  <c r="R158" i="4"/>
  <c r="R356" i="4"/>
  <c r="R541" i="4"/>
  <c r="R332" i="4"/>
  <c r="R443" i="4"/>
  <c r="R466" i="4"/>
  <c r="R264" i="4"/>
  <c r="AK153" i="4"/>
  <c r="R153" i="4"/>
  <c r="R219" i="4"/>
  <c r="R474" i="4"/>
  <c r="R308" i="4"/>
  <c r="R345" i="4"/>
  <c r="R316" i="4"/>
  <c r="R538" i="4"/>
  <c r="R249" i="4"/>
  <c r="R434" i="4"/>
  <c r="R545" i="4"/>
  <c r="R165" i="4"/>
  <c r="AK342" i="4"/>
  <c r="R342" i="4"/>
  <c r="R260" i="4"/>
  <c r="R334" i="4"/>
  <c r="R445" i="4"/>
  <c r="R320" i="4"/>
  <c r="AR144" i="4"/>
  <c r="U144" i="4" s="1"/>
  <c r="T144" i="4"/>
  <c r="AR140" i="4"/>
  <c r="U140" i="4" s="1"/>
  <c r="T140" i="4"/>
  <c r="AK137" i="4"/>
  <c r="R137" i="4"/>
  <c r="R118" i="4"/>
  <c r="AR71" i="4"/>
  <c r="U71" i="4" s="1"/>
  <c r="T71" i="4"/>
  <c r="AR142" i="4"/>
  <c r="U142" i="4" s="1"/>
  <c r="T142" i="4"/>
  <c r="AR134" i="4"/>
  <c r="U134" i="4" s="1"/>
  <c r="T134" i="4"/>
  <c r="BI99" i="4"/>
  <c r="BK99" i="4"/>
  <c r="BI91" i="4"/>
  <c r="BK91" i="4"/>
  <c r="P94" i="4"/>
  <c r="AQ94" i="4"/>
  <c r="M53" i="4"/>
  <c r="AN53" i="4"/>
  <c r="Q53" i="4" s="1"/>
  <c r="AM52" i="4"/>
  <c r="R49" i="4"/>
  <c r="M48" i="4"/>
  <c r="AN48" i="4"/>
  <c r="Q48" i="4" s="1"/>
  <c r="R44" i="4"/>
  <c r="AM41" i="4"/>
  <c r="M37" i="4"/>
  <c r="AN37" i="4"/>
  <c r="Q37" i="4" s="1"/>
  <c r="AM36" i="4"/>
  <c r="R33" i="4"/>
  <c r="M32" i="4"/>
  <c r="AN32" i="4"/>
  <c r="Q32" i="4" s="1"/>
  <c r="AR24" i="4"/>
  <c r="U24" i="4" s="1"/>
  <c r="T24" i="4"/>
  <c r="BH97" i="4"/>
  <c r="BF97" i="4"/>
  <c r="R14" i="4"/>
  <c r="R11" i="4"/>
  <c r="AK73" i="4"/>
  <c r="R73" i="4"/>
  <c r="P87" i="4"/>
  <c r="AQ87" i="4"/>
  <c r="AR67" i="4"/>
  <c r="U67" i="4" s="1"/>
  <c r="T67" i="4"/>
  <c r="R61" i="4"/>
  <c r="AQ61" i="4"/>
  <c r="P61" i="4"/>
  <c r="AR28" i="4"/>
  <c r="U28" i="4" s="1"/>
  <c r="T28" i="4"/>
  <c r="AK22" i="4"/>
  <c r="R126" i="4"/>
  <c r="R261" i="4"/>
  <c r="R116" i="4"/>
  <c r="R322" i="4"/>
  <c r="R230" i="4"/>
  <c r="R228" i="4"/>
  <c r="R265" i="4"/>
  <c r="R413" i="4"/>
  <c r="R58" i="4"/>
  <c r="AQ58" i="4"/>
  <c r="P58" i="4"/>
  <c r="AM55" i="4"/>
  <c r="R54" i="4"/>
  <c r="AM51" i="4"/>
  <c r="R50" i="4"/>
  <c r="AM47" i="4"/>
  <c r="R46" i="4"/>
  <c r="AM43" i="4"/>
  <c r="R42" i="4"/>
  <c r="AM39" i="4"/>
  <c r="R38" i="4"/>
  <c r="AM35" i="4"/>
  <c r="R34" i="4"/>
  <c r="AM31" i="4"/>
  <c r="R30" i="4"/>
  <c r="R314" i="4"/>
  <c r="BI95" i="4"/>
  <c r="BK95" i="4"/>
  <c r="AK115" i="4"/>
  <c r="R115" i="4"/>
  <c r="R543" i="4"/>
  <c r="AK543" i="4"/>
  <c r="R97" i="4"/>
  <c r="R377" i="4"/>
  <c r="AK377" i="4"/>
  <c r="R72" i="4"/>
  <c r="BI101" i="4"/>
  <c r="BK101" i="4"/>
  <c r="AK7" i="4"/>
  <c r="AG91" i="3"/>
  <c r="P91" i="3"/>
  <c r="BB57" i="3"/>
  <c r="BB67" i="3"/>
  <c r="BB63" i="3"/>
  <c r="AG132" i="3"/>
  <c r="P132" i="3"/>
  <c r="AG121" i="3"/>
  <c r="P121" i="3"/>
  <c r="BA65" i="3"/>
  <c r="BE64" i="3"/>
  <c r="BA64" i="3"/>
  <c r="BD64" i="3"/>
  <c r="AZ64" i="3"/>
  <c r="BE60" i="3"/>
  <c r="AZ57" i="3"/>
  <c r="AG211" i="3"/>
  <c r="P211" i="3"/>
  <c r="P311" i="3"/>
  <c r="AG311" i="3"/>
  <c r="AG201" i="3"/>
  <c r="P201" i="3"/>
  <c r="AG271" i="3"/>
  <c r="P271" i="3"/>
  <c r="P301" i="3"/>
  <c r="AG301" i="3"/>
  <c r="AG321" i="3"/>
  <c r="P321" i="3"/>
  <c r="AG381" i="3"/>
  <c r="P381" i="3"/>
  <c r="P170" i="3"/>
  <c r="AG170" i="3"/>
  <c r="P210" i="3"/>
  <c r="AG210" i="3"/>
  <c r="P250" i="3"/>
  <c r="AG250" i="3"/>
  <c r="P310" i="3"/>
  <c r="AG310" i="3"/>
  <c r="P320" i="3"/>
  <c r="AG320" i="3"/>
  <c r="AG360" i="3"/>
  <c r="P360" i="3"/>
  <c r="P179" i="3"/>
  <c r="AG179" i="3"/>
  <c r="AG229" i="3"/>
  <c r="P229" i="3"/>
  <c r="AG279" i="3"/>
  <c r="P279" i="3"/>
  <c r="AG339" i="3"/>
  <c r="P339" i="3"/>
  <c r="AG389" i="3"/>
  <c r="P389" i="3"/>
  <c r="P168" i="3"/>
  <c r="AG168" i="3"/>
  <c r="P228" i="3"/>
  <c r="AG228" i="3"/>
  <c r="P299" i="3"/>
  <c r="AG299" i="3"/>
  <c r="AG349" i="3"/>
  <c r="P349" i="3"/>
  <c r="AG75" i="3"/>
  <c r="BD60" i="3"/>
  <c r="AG104" i="3"/>
  <c r="P104" i="3"/>
  <c r="AG39" i="3"/>
  <c r="P39" i="3"/>
  <c r="P176" i="3"/>
  <c r="AG176" i="3"/>
  <c r="P246" i="3"/>
  <c r="AG246" i="3"/>
  <c r="P367" i="3"/>
  <c r="AG367" i="3"/>
  <c r="AG111" i="3"/>
  <c r="P111" i="3"/>
  <c r="AG103" i="3"/>
  <c r="P103" i="3"/>
  <c r="P155" i="3"/>
  <c r="AG155" i="3"/>
  <c r="P224" i="3"/>
  <c r="AG224" i="3"/>
  <c r="P294" i="3"/>
  <c r="AG294" i="3"/>
  <c r="P354" i="3"/>
  <c r="AG354" i="3"/>
  <c r="AG8" i="3"/>
  <c r="P8" i="3"/>
  <c r="AG4" i="3"/>
  <c r="P4" i="3"/>
  <c r="M398" i="1"/>
  <c r="AN398" i="1"/>
  <c r="Q398" i="1" s="1"/>
  <c r="M394" i="1"/>
  <c r="AN394" i="1"/>
  <c r="Q394" i="1" s="1"/>
  <c r="AG89" i="3"/>
  <c r="AG46" i="3"/>
  <c r="AG16" i="3"/>
  <c r="P16" i="3"/>
  <c r="AG72" i="3"/>
  <c r="P72" i="3"/>
  <c r="P157" i="3"/>
  <c r="AG157" i="3"/>
  <c r="AG207" i="3"/>
  <c r="P207" i="3"/>
  <c r="AG257" i="3"/>
  <c r="P257" i="3"/>
  <c r="AG327" i="3"/>
  <c r="P327" i="3"/>
  <c r="AG377" i="3"/>
  <c r="P377" i="3"/>
  <c r="AG99" i="3"/>
  <c r="P99" i="3"/>
  <c r="AG87" i="3"/>
  <c r="P87" i="3"/>
  <c r="P145" i="3"/>
  <c r="AG145" i="3"/>
  <c r="P195" i="3"/>
  <c r="AG195" i="3"/>
  <c r="AG245" i="3"/>
  <c r="P245" i="3"/>
  <c r="P295" i="3"/>
  <c r="AG295" i="3"/>
  <c r="P355" i="3"/>
  <c r="AG355" i="3"/>
  <c r="AG133" i="3"/>
  <c r="P133" i="3"/>
  <c r="P142" i="3"/>
  <c r="AG142" i="3"/>
  <c r="P192" i="3"/>
  <c r="AG192" i="3"/>
  <c r="P242" i="3"/>
  <c r="AG242" i="3"/>
  <c r="P302" i="3"/>
  <c r="AG302" i="3"/>
  <c r="AG352" i="3"/>
  <c r="P352" i="3"/>
  <c r="AM398" i="1"/>
  <c r="R392" i="1"/>
  <c r="R374" i="1"/>
  <c r="R292" i="1"/>
  <c r="R288" i="1"/>
  <c r="R284" i="1"/>
  <c r="R280" i="1"/>
  <c r="R276" i="1"/>
  <c r="AG73" i="3"/>
  <c r="AG61" i="3"/>
  <c r="AG97" i="3"/>
  <c r="P97" i="3"/>
  <c r="P158" i="3"/>
  <c r="AG158" i="3"/>
  <c r="P238" i="3"/>
  <c r="AG238" i="3"/>
  <c r="P338" i="3"/>
  <c r="AG338" i="3"/>
  <c r="P204" i="3"/>
  <c r="AG204" i="3"/>
  <c r="P264" i="3"/>
  <c r="AG264" i="3"/>
  <c r="AG304" i="3"/>
  <c r="P304" i="3"/>
  <c r="P314" i="3"/>
  <c r="AG314" i="3"/>
  <c r="AG365" i="3"/>
  <c r="P365" i="3"/>
  <c r="AG123" i="3"/>
  <c r="P123" i="3"/>
  <c r="AG83" i="3"/>
  <c r="P83" i="3"/>
  <c r="P193" i="3"/>
  <c r="AG193" i="3"/>
  <c r="AG273" i="3"/>
  <c r="P273" i="3"/>
  <c r="P332" i="3"/>
  <c r="AG332" i="3"/>
  <c r="AN392" i="1"/>
  <c r="Q392" i="1" s="1"/>
  <c r="AN384" i="1"/>
  <c r="Q384" i="1" s="1"/>
  <c r="AN376" i="1"/>
  <c r="Q376" i="1" s="1"/>
  <c r="AQ370" i="1"/>
  <c r="P370" i="1"/>
  <c r="R311" i="1"/>
  <c r="P306" i="1"/>
  <c r="AQ306" i="1"/>
  <c r="P302" i="1"/>
  <c r="AQ302" i="1"/>
  <c r="R290" i="1"/>
  <c r="P256" i="1"/>
  <c r="AQ256" i="1"/>
  <c r="P240" i="1"/>
  <c r="AQ240" i="1"/>
  <c r="P224" i="1"/>
  <c r="AQ224" i="1"/>
  <c r="AQ211" i="1"/>
  <c r="P211" i="1"/>
  <c r="AQ207" i="1"/>
  <c r="P207" i="1"/>
  <c r="AQ203" i="1"/>
  <c r="P203" i="1"/>
  <c r="AQ199" i="1"/>
  <c r="P199" i="1"/>
  <c r="AQ195" i="1"/>
  <c r="P195" i="1"/>
  <c r="AK189" i="1"/>
  <c r="R189" i="1"/>
  <c r="AK181" i="1"/>
  <c r="R181" i="1"/>
  <c r="P176" i="1"/>
  <c r="AQ176" i="1"/>
  <c r="P168" i="1"/>
  <c r="AQ168" i="1"/>
  <c r="P160" i="1"/>
  <c r="AQ160" i="1"/>
  <c r="BG61" i="3"/>
  <c r="BI61" i="3" s="1"/>
  <c r="AG41" i="3"/>
  <c r="BC70" i="3"/>
  <c r="BA70" i="3"/>
  <c r="BD68" i="3"/>
  <c r="BF68" i="3"/>
  <c r="BC66" i="3"/>
  <c r="BA66" i="3"/>
  <c r="AG136" i="3"/>
  <c r="P136" i="3"/>
  <c r="P206" i="3"/>
  <c r="AG206" i="3"/>
  <c r="P266" i="3"/>
  <c r="AG266" i="3"/>
  <c r="P366" i="3"/>
  <c r="AG366" i="3"/>
  <c r="AG11" i="3"/>
  <c r="AG57" i="3"/>
  <c r="P57" i="3"/>
  <c r="AG203" i="3"/>
  <c r="P203" i="3"/>
  <c r="AG263" i="3"/>
  <c r="P263" i="3"/>
  <c r="AG383" i="3"/>
  <c r="P383" i="3"/>
  <c r="AQ393" i="1"/>
  <c r="P393" i="1"/>
  <c r="AM367" i="1"/>
  <c r="M367" i="1"/>
  <c r="AQ364" i="1"/>
  <c r="P364" i="1"/>
  <c r="R358" i="1"/>
  <c r="M354" i="1"/>
  <c r="AN354" i="1"/>
  <c r="Q354" i="1" s="1"/>
  <c r="AM351" i="1"/>
  <c r="M351" i="1"/>
  <c r="AQ348" i="1"/>
  <c r="P348" i="1"/>
  <c r="M342" i="1"/>
  <c r="AN342" i="1"/>
  <c r="Q342" i="1" s="1"/>
  <c r="R334" i="1"/>
  <c r="M330" i="1"/>
  <c r="AN330" i="1"/>
  <c r="Q330" i="1" s="1"/>
  <c r="AM327" i="1"/>
  <c r="M327" i="1"/>
  <c r="AQ324" i="1"/>
  <c r="P324" i="1"/>
  <c r="R318" i="1"/>
  <c r="M314" i="1"/>
  <c r="AN314" i="1"/>
  <c r="Q314" i="1" s="1"/>
  <c r="AM311" i="1"/>
  <c r="M311" i="1"/>
  <c r="AQ308" i="1"/>
  <c r="P308" i="1"/>
  <c r="R302" i="1"/>
  <c r="AQ296" i="1"/>
  <c r="P296" i="1"/>
  <c r="P273" i="1"/>
  <c r="AQ273" i="1"/>
  <c r="P265" i="1"/>
  <c r="AQ265" i="1"/>
  <c r="P249" i="1"/>
  <c r="AQ249" i="1"/>
  <c r="P233" i="1"/>
  <c r="AQ233" i="1"/>
  <c r="P217" i="1"/>
  <c r="AQ217" i="1"/>
  <c r="AQ143" i="1"/>
  <c r="P143" i="1"/>
  <c r="AQ127" i="1"/>
  <c r="P127" i="1"/>
  <c r="P116" i="1"/>
  <c r="AQ116" i="1"/>
  <c r="R211" i="1"/>
  <c r="R195" i="1"/>
  <c r="R187" i="1"/>
  <c r="R180" i="1"/>
  <c r="R176" i="1"/>
  <c r="R160" i="1"/>
  <c r="AQ156" i="1"/>
  <c r="P156" i="1"/>
  <c r="AQ152" i="1"/>
  <c r="P152" i="1"/>
  <c r="P133" i="1"/>
  <c r="AQ133" i="1"/>
  <c r="AQ130" i="1"/>
  <c r="P130" i="1"/>
  <c r="AR107" i="1"/>
  <c r="U107" i="1" s="1"/>
  <c r="T107" i="1"/>
  <c r="R89" i="1"/>
  <c r="R80" i="1"/>
  <c r="R71" i="1"/>
  <c r="R63" i="1"/>
  <c r="R328" i="1"/>
  <c r="AK230" i="1"/>
  <c r="R230" i="1"/>
  <c r="R385" i="1"/>
  <c r="R253" i="1"/>
  <c r="Q496" i="5"/>
  <c r="Q444" i="5"/>
  <c r="Q428" i="5"/>
  <c r="R256" i="1"/>
  <c r="R240" i="1"/>
  <c r="R202" i="1"/>
  <c r="R154" i="1"/>
  <c r="R145" i="1"/>
  <c r="R143" i="1"/>
  <c r="R93" i="1"/>
  <c r="R68" i="1"/>
  <c r="R300" i="1"/>
  <c r="R393" i="1"/>
  <c r="R36" i="1"/>
  <c r="R250" i="1"/>
  <c r="R312" i="1"/>
  <c r="AK258" i="1"/>
  <c r="R258" i="1"/>
  <c r="R320" i="1"/>
  <c r="R329" i="1"/>
  <c r="AR11" i="1"/>
  <c r="U11" i="1" s="1"/>
  <c r="T11" i="1"/>
  <c r="R353" i="1"/>
  <c r="R270" i="1"/>
  <c r="AQ270" i="1"/>
  <c r="P270" i="1"/>
  <c r="M268" i="1"/>
  <c r="AN268" i="1"/>
  <c r="Q268" i="1" s="1"/>
  <c r="M243" i="1"/>
  <c r="AN243" i="1"/>
  <c r="Q243" i="1" s="1"/>
  <c r="R235" i="1"/>
  <c r="AQ235" i="1"/>
  <c r="P235" i="1"/>
  <c r="R227" i="1"/>
  <c r="AQ227" i="1"/>
  <c r="P227" i="1"/>
  <c r="R209" i="1"/>
  <c r="R190" i="1"/>
  <c r="AQ190" i="1"/>
  <c r="P190" i="1"/>
  <c r="R166" i="1"/>
  <c r="AQ158" i="1"/>
  <c r="P158" i="1"/>
  <c r="R114" i="1"/>
  <c r="AQ112" i="1"/>
  <c r="P112" i="1"/>
  <c r="AK107" i="1"/>
  <c r="R107" i="1"/>
  <c r="R100" i="1"/>
  <c r="R92" i="1"/>
  <c r="P84" i="1"/>
  <c r="AQ84" i="1"/>
  <c r="R81" i="1"/>
  <c r="P76" i="1"/>
  <c r="AQ76" i="1"/>
  <c r="R48" i="1"/>
  <c r="AQ43" i="1"/>
  <c r="P43" i="1"/>
  <c r="AK29" i="1"/>
  <c r="R29" i="1"/>
  <c r="R153" i="1"/>
  <c r="R308" i="1"/>
  <c r="Q494" i="5"/>
  <c r="Q491" i="5"/>
  <c r="Q459" i="5"/>
  <c r="O452" i="5"/>
  <c r="AP448" i="5"/>
  <c r="AQ448" i="5" s="1"/>
  <c r="O448" i="5"/>
  <c r="AP432" i="5"/>
  <c r="AQ432" i="5" s="1"/>
  <c r="R260" i="1"/>
  <c r="R244" i="1"/>
  <c r="R228" i="1"/>
  <c r="R204" i="1"/>
  <c r="AR173" i="1"/>
  <c r="U173" i="1" s="1"/>
  <c r="T173" i="1"/>
  <c r="R156" i="1"/>
  <c r="R133" i="1"/>
  <c r="R131" i="1"/>
  <c r="AK98" i="1"/>
  <c r="R98" i="1"/>
  <c r="AQ94" i="1"/>
  <c r="P94" i="1"/>
  <c r="AQ64" i="1"/>
  <c r="P64" i="1"/>
  <c r="R62" i="1"/>
  <c r="P58" i="1"/>
  <c r="AQ58" i="1"/>
  <c r="R55" i="1"/>
  <c r="P53" i="1"/>
  <c r="AQ53" i="1"/>
  <c r="AN47" i="1"/>
  <c r="Q47" i="1" s="1"/>
  <c r="AM47" i="1"/>
  <c r="M47" i="1"/>
  <c r="P45" i="1"/>
  <c r="AQ45" i="1"/>
  <c r="R389" i="1"/>
  <c r="R296" i="1"/>
  <c r="AQ38" i="1"/>
  <c r="P38" i="1"/>
  <c r="R344" i="1"/>
  <c r="R361" i="1"/>
  <c r="AN33" i="1"/>
  <c r="Q33" i="1" s="1"/>
  <c r="AM33" i="1"/>
  <c r="M33" i="1"/>
  <c r="R388" i="1"/>
  <c r="R373" i="1"/>
  <c r="R217" i="1"/>
  <c r="R118" i="1"/>
  <c r="R241" i="1"/>
  <c r="R380" i="1"/>
  <c r="R333" i="1"/>
  <c r="R364" i="1"/>
  <c r="R348" i="1"/>
  <c r="P13" i="1"/>
  <c r="AQ13" i="1"/>
  <c r="R316" i="1"/>
  <c r="R337" i="1"/>
  <c r="R275" i="1"/>
  <c r="Q498" i="5"/>
  <c r="P495" i="5"/>
  <c r="AL495" i="5"/>
  <c r="L495" i="5"/>
  <c r="P492" i="5"/>
  <c r="AL492" i="5"/>
  <c r="L492" i="5"/>
  <c r="Q489" i="5"/>
  <c r="O486" i="5"/>
  <c r="AP486" i="5"/>
  <c r="AQ486" i="5" s="1"/>
  <c r="P483" i="5"/>
  <c r="AL483" i="5"/>
  <c r="L483" i="5"/>
  <c r="Q481" i="5"/>
  <c r="O478" i="5"/>
  <c r="AP478" i="5"/>
  <c r="AQ478" i="5" s="1"/>
  <c r="P475" i="5"/>
  <c r="AL475" i="5"/>
  <c r="L475" i="5"/>
  <c r="Q473" i="5"/>
  <c r="P467" i="5"/>
  <c r="AL467" i="5"/>
  <c r="L467" i="5"/>
  <c r="Q465" i="5"/>
  <c r="O462" i="5"/>
  <c r="AP462" i="5"/>
  <c r="AQ462" i="5" s="1"/>
  <c r="AP445" i="5"/>
  <c r="AQ445" i="5" s="1"/>
  <c r="O445" i="5"/>
  <c r="Q443" i="5"/>
  <c r="P439" i="5"/>
  <c r="AL439" i="5"/>
  <c r="L439" i="5"/>
  <c r="Q427" i="5"/>
  <c r="P423" i="5"/>
  <c r="AL423" i="5"/>
  <c r="L423" i="5"/>
  <c r="P421" i="5"/>
  <c r="AL421" i="5"/>
  <c r="L421" i="5"/>
  <c r="Q413" i="5"/>
  <c r="P409" i="5"/>
  <c r="L409" i="5"/>
  <c r="AL409" i="5"/>
  <c r="AP407" i="5"/>
  <c r="AQ407" i="5" s="1"/>
  <c r="O407" i="5"/>
  <c r="AP403" i="5"/>
  <c r="AQ403" i="5" s="1"/>
  <c r="O403" i="5"/>
  <c r="AP395" i="5"/>
  <c r="AQ395" i="5" s="1"/>
  <c r="O395" i="5"/>
  <c r="AP391" i="5"/>
  <c r="AQ391" i="5" s="1"/>
  <c r="O391" i="5"/>
  <c r="AP387" i="5"/>
  <c r="AQ387" i="5" s="1"/>
  <c r="AP383" i="5"/>
  <c r="AQ383" i="5" s="1"/>
  <c r="O383" i="5"/>
  <c r="AP379" i="5"/>
  <c r="AQ379" i="5" s="1"/>
  <c r="O379" i="5"/>
  <c r="AP375" i="5"/>
  <c r="AQ375" i="5" s="1"/>
  <c r="O375" i="5"/>
  <c r="O371" i="5"/>
  <c r="Q361" i="5"/>
  <c r="AN255" i="1"/>
  <c r="Q255" i="1" s="1"/>
  <c r="AN223" i="1"/>
  <c r="Q223" i="1" s="1"/>
  <c r="AQ110" i="1"/>
  <c r="P110" i="1"/>
  <c r="AQ85" i="1"/>
  <c r="P85" i="1"/>
  <c r="AQ52" i="1"/>
  <c r="P52" i="1"/>
  <c r="BH92" i="1"/>
  <c r="BJ92" i="1"/>
  <c r="BO92" i="1"/>
  <c r="BQ92" i="1" s="1"/>
  <c r="Q414" i="5"/>
  <c r="Q398" i="5"/>
  <c r="S384" i="5"/>
  <c r="T384" i="5"/>
  <c r="AP382" i="5"/>
  <c r="AQ382" i="5" s="1"/>
  <c r="O382" i="5"/>
  <c r="O369" i="5"/>
  <c r="AP369" i="5"/>
  <c r="AQ369" i="5" s="1"/>
  <c r="O366" i="5"/>
  <c r="AP366" i="5"/>
  <c r="AQ366" i="5" s="1"/>
  <c r="L341" i="5"/>
  <c r="AL341" i="5"/>
  <c r="Q335" i="5"/>
  <c r="L325" i="5"/>
  <c r="AL325" i="5"/>
  <c r="Q319" i="5"/>
  <c r="Q297" i="5"/>
  <c r="AP291" i="5"/>
  <c r="AQ291" i="5" s="1"/>
  <c r="O291" i="5"/>
  <c r="Q281" i="5"/>
  <c r="AQ88" i="1"/>
  <c r="P88" i="1"/>
  <c r="Q402" i="5"/>
  <c r="Q358" i="5"/>
  <c r="Q300" i="5"/>
  <c r="Q241" i="5"/>
  <c r="AQ81" i="1"/>
  <c r="P81" i="1"/>
  <c r="AQ56" i="1"/>
  <c r="P56" i="1"/>
  <c r="BJ102" i="1"/>
  <c r="BL102" i="1"/>
  <c r="BJ99" i="1"/>
  <c r="BI98" i="1"/>
  <c r="BH98" i="1"/>
  <c r="BO98" i="1"/>
  <c r="BQ98" i="1" s="1"/>
  <c r="AP457" i="5"/>
  <c r="AQ457" i="5" s="1"/>
  <c r="O457" i="5"/>
  <c r="Q354" i="5"/>
  <c r="Q348" i="5"/>
  <c r="Q331" i="5"/>
  <c r="O319" i="5"/>
  <c r="Q315" i="5"/>
  <c r="Q309" i="5"/>
  <c r="L295" i="5"/>
  <c r="O293" i="5"/>
  <c r="AP293" i="5"/>
  <c r="AQ293" i="5" s="1"/>
  <c r="L287" i="5"/>
  <c r="O285" i="5"/>
  <c r="AP285" i="5"/>
  <c r="AQ285" i="5" s="1"/>
  <c r="L279" i="5"/>
  <c r="AQ83" i="1"/>
  <c r="P83" i="1"/>
  <c r="AQ61" i="1"/>
  <c r="P61" i="1"/>
  <c r="BL94" i="1"/>
  <c r="BN94" i="1"/>
  <c r="BO94" i="1"/>
  <c r="BQ94" i="1" s="1"/>
  <c r="BI93" i="1"/>
  <c r="BJ90" i="1"/>
  <c r="BO90" i="1"/>
  <c r="BQ90" i="1" s="1"/>
  <c r="Q410" i="5"/>
  <c r="L394" i="5"/>
  <c r="P394" i="5"/>
  <c r="L378" i="5"/>
  <c r="P378" i="5"/>
  <c r="AP351" i="5"/>
  <c r="AQ351" i="5" s="1"/>
  <c r="O351" i="5"/>
  <c r="Q308" i="5"/>
  <c r="Q202" i="5"/>
  <c r="Q198" i="5"/>
  <c r="Q194" i="5"/>
  <c r="Q178" i="5"/>
  <c r="Q160" i="5"/>
  <c r="Q155" i="5"/>
  <c r="Q152" i="5"/>
  <c r="Q148" i="5"/>
  <c r="Q132" i="5"/>
  <c r="L127" i="5"/>
  <c r="P124" i="5"/>
  <c r="L124" i="5"/>
  <c r="L121" i="5"/>
  <c r="Q119" i="5"/>
  <c r="Q116" i="5"/>
  <c r="Q114" i="5"/>
  <c r="Q269" i="5"/>
  <c r="Q232" i="5"/>
  <c r="Q380" i="5"/>
  <c r="Q337" i="5"/>
  <c r="Q392" i="5"/>
  <c r="Q298" i="5"/>
  <c r="Q415" i="5"/>
  <c r="Q250" i="5"/>
  <c r="Q462" i="5"/>
  <c r="Q333" i="5"/>
  <c r="Q249" i="5"/>
  <c r="Q286" i="5"/>
  <c r="Q210" i="5"/>
  <c r="Q200" i="5"/>
  <c r="Q197" i="5"/>
  <c r="Q189" i="5"/>
  <c r="Q168" i="5"/>
  <c r="Q165" i="5"/>
  <c r="Q157" i="5"/>
  <c r="Q154" i="5"/>
  <c r="AL150" i="5"/>
  <c r="Q139" i="5"/>
  <c r="Q108" i="5"/>
  <c r="Q105" i="5"/>
  <c r="BJ96" i="5"/>
  <c r="Q86" i="5"/>
  <c r="Q82" i="5"/>
  <c r="Q78" i="5"/>
  <c r="Q266" i="5"/>
  <c r="Q340" i="5"/>
  <c r="Q488" i="5"/>
  <c r="Q404" i="5"/>
  <c r="Q412" i="5"/>
  <c r="AR29" i="5"/>
  <c r="L29" i="5" s="1"/>
  <c r="AN29" i="5"/>
  <c r="Q29" i="5" s="1"/>
  <c r="AU41" i="5"/>
  <c r="AT29" i="5"/>
  <c r="K29" i="5" s="1"/>
  <c r="AS29" i="5"/>
  <c r="M29" i="5" s="1"/>
  <c r="Q476" i="5"/>
  <c r="Q275" i="5"/>
  <c r="Q349" i="5"/>
  <c r="L23" i="5"/>
  <c r="P23" i="5"/>
  <c r="AP14" i="5"/>
  <c r="AQ14" i="5" s="1"/>
  <c r="AP6" i="5"/>
  <c r="AQ6" i="5" s="1"/>
  <c r="Q255" i="5"/>
  <c r="Q336" i="5"/>
  <c r="Q464" i="5"/>
  <c r="O198" i="5"/>
  <c r="AP198" i="5"/>
  <c r="AQ198" i="5" s="1"/>
  <c r="Q187" i="5"/>
  <c r="Q179" i="5"/>
  <c r="Q171" i="5"/>
  <c r="Q145" i="5"/>
  <c r="Q142" i="5"/>
  <c r="Q137" i="5"/>
  <c r="Q122" i="5"/>
  <c r="AL104" i="5"/>
  <c r="Q74" i="5"/>
  <c r="Q247" i="5"/>
  <c r="Q321" i="5"/>
  <c r="Q245" i="5"/>
  <c r="Q356" i="5"/>
  <c r="Q224" i="5"/>
  <c r="Q212" i="5"/>
  <c r="P163" i="5"/>
  <c r="L163" i="5"/>
  <c r="AL163" i="5"/>
  <c r="Q150" i="5"/>
  <c r="O114" i="5"/>
  <c r="Q103" i="5"/>
  <c r="Q92" i="5"/>
  <c r="Q89" i="5"/>
  <c r="Q84" i="5"/>
  <c r="Q76" i="5"/>
  <c r="O71" i="5"/>
  <c r="AP71" i="5"/>
  <c r="AQ71" i="5" s="1"/>
  <c r="O67" i="5"/>
  <c r="AP67" i="5"/>
  <c r="AQ67" i="5" s="1"/>
  <c r="Q248" i="5"/>
  <c r="Q322" i="5"/>
  <c r="Q470" i="5"/>
  <c r="Q246" i="5"/>
  <c r="Q253" i="5"/>
  <c r="Q231" i="5"/>
  <c r="Q342" i="5"/>
  <c r="Q416" i="5"/>
  <c r="Q326" i="5"/>
  <c r="Q400" i="5"/>
  <c r="Q408" i="5"/>
  <c r="AP20" i="5"/>
  <c r="AQ20" i="5" s="1"/>
  <c r="BG99" i="5"/>
  <c r="AL124" i="5"/>
  <c r="S79" i="5"/>
  <c r="T79" i="5"/>
  <c r="BM95" i="5"/>
  <c r="BK85" i="5"/>
  <c r="AP85" i="5"/>
  <c r="AQ85" i="5" s="1"/>
  <c r="O85" i="5"/>
  <c r="AP24" i="5"/>
  <c r="AQ24" i="5" s="1"/>
  <c r="R557" i="4"/>
  <c r="AR549" i="4"/>
  <c r="U549" i="4" s="1"/>
  <c r="T549" i="4"/>
  <c r="AQ537" i="4"/>
  <c r="P537" i="4"/>
  <c r="AN531" i="4"/>
  <c r="Q531" i="4" s="1"/>
  <c r="M531" i="4"/>
  <c r="R503" i="4"/>
  <c r="AQ499" i="4"/>
  <c r="P499" i="4"/>
  <c r="AQ496" i="4"/>
  <c r="P496" i="4"/>
  <c r="M486" i="4"/>
  <c r="AN486" i="4"/>
  <c r="Q486" i="4" s="1"/>
  <c r="AM486" i="4"/>
  <c r="AQ471" i="4"/>
  <c r="P471" i="4"/>
  <c r="AQ441" i="4"/>
  <c r="P441" i="4"/>
  <c r="AM440" i="4"/>
  <c r="M440" i="4"/>
  <c r="AN440" i="4"/>
  <c r="Q440" i="4" s="1"/>
  <c r="AQ465" i="4"/>
  <c r="P465" i="4"/>
  <c r="AQ446" i="4"/>
  <c r="P446" i="4"/>
  <c r="P559" i="4"/>
  <c r="AQ559" i="4"/>
  <c r="AR547" i="4"/>
  <c r="U547" i="4" s="1"/>
  <c r="T547" i="4"/>
  <c r="P529" i="4"/>
  <c r="AQ529" i="4"/>
  <c r="AN533" i="4"/>
  <c r="Q533" i="4" s="1"/>
  <c r="R531" i="4"/>
  <c r="R521" i="4"/>
  <c r="AM515" i="4"/>
  <c r="R494" i="4"/>
  <c r="M511" i="4"/>
  <c r="AN511" i="4"/>
  <c r="Q511" i="4" s="1"/>
  <c r="AQ501" i="4"/>
  <c r="P501" i="4"/>
  <c r="AQ477" i="4"/>
  <c r="P477" i="4"/>
  <c r="AQ493" i="4"/>
  <c r="P493" i="4"/>
  <c r="AQ480" i="4"/>
  <c r="P480" i="4"/>
  <c r="AN477" i="4"/>
  <c r="Q477" i="4" s="1"/>
  <c r="M477" i="4"/>
  <c r="P527" i="4"/>
  <c r="AQ527" i="4"/>
  <c r="R535" i="4"/>
  <c r="P530" i="4"/>
  <c r="AQ530" i="4"/>
  <c r="AN527" i="4"/>
  <c r="Q527" i="4" s="1"/>
  <c r="M527" i="4"/>
  <c r="R525" i="4"/>
  <c r="AN522" i="4"/>
  <c r="Q522" i="4" s="1"/>
  <c r="M522" i="4"/>
  <c r="AM522" i="4"/>
  <c r="AN520" i="4"/>
  <c r="Q520" i="4" s="1"/>
  <c r="M520" i="4"/>
  <c r="AM520" i="4"/>
  <c r="AM511" i="4"/>
  <c r="R514" i="4"/>
  <c r="R510" i="4"/>
  <c r="R506" i="4"/>
  <c r="R502" i="4"/>
  <c r="R490" i="4"/>
  <c r="AQ519" i="4"/>
  <c r="P519" i="4"/>
  <c r="AQ513" i="4"/>
  <c r="P513" i="4"/>
  <c r="R511" i="4"/>
  <c r="M507" i="4"/>
  <c r="AN507" i="4"/>
  <c r="Q507" i="4" s="1"/>
  <c r="AQ514" i="4"/>
  <c r="P514" i="4"/>
  <c r="R487" i="4"/>
  <c r="AQ473" i="4"/>
  <c r="P473" i="4"/>
  <c r="AQ502" i="4"/>
  <c r="P502" i="4"/>
  <c r="M495" i="4"/>
  <c r="AN495" i="4"/>
  <c r="Q495" i="4" s="1"/>
  <c r="AN487" i="4"/>
  <c r="Q487" i="4" s="1"/>
  <c r="R483" i="4"/>
  <c r="R476" i="4"/>
  <c r="R472" i="4"/>
  <c r="AM495" i="4"/>
  <c r="AQ479" i="4"/>
  <c r="P479" i="4"/>
  <c r="R477" i="4"/>
  <c r="AN473" i="4"/>
  <c r="Q473" i="4" s="1"/>
  <c r="M473" i="4"/>
  <c r="R462" i="4"/>
  <c r="M460" i="4"/>
  <c r="AM460" i="4"/>
  <c r="AN460" i="4"/>
  <c r="Q460" i="4" s="1"/>
  <c r="R457" i="4"/>
  <c r="R453" i="4"/>
  <c r="R449" i="4"/>
  <c r="R447" i="4"/>
  <c r="R439" i="4"/>
  <c r="R465" i="4"/>
  <c r="AQ445" i="4"/>
  <c r="P445" i="4"/>
  <c r="AQ438" i="4"/>
  <c r="P438" i="4"/>
  <c r="R436" i="4"/>
  <c r="R455" i="4"/>
  <c r="AN451" i="4"/>
  <c r="Q451" i="4" s="1"/>
  <c r="M451" i="4"/>
  <c r="AM449" i="4"/>
  <c r="AM447" i="4"/>
  <c r="R441" i="4"/>
  <c r="AM402" i="4"/>
  <c r="AQ430" i="4"/>
  <c r="P430" i="4"/>
  <c r="R420" i="4"/>
  <c r="AM415" i="4"/>
  <c r="R433" i="4"/>
  <c r="AQ433" i="4"/>
  <c r="P433" i="4"/>
  <c r="R423" i="4"/>
  <c r="M419" i="4"/>
  <c r="AN419" i="4"/>
  <c r="Q419" i="4" s="1"/>
  <c r="AN416" i="4"/>
  <c r="Q416" i="4" s="1"/>
  <c r="AN411" i="4"/>
  <c r="Q411" i="4" s="1"/>
  <c r="M411" i="4"/>
  <c r="M404" i="4"/>
  <c r="AN404" i="4"/>
  <c r="Q404" i="4" s="1"/>
  <c r="R402" i="4"/>
  <c r="P399" i="4"/>
  <c r="AQ399" i="4"/>
  <c r="M396" i="4"/>
  <c r="AN396" i="4"/>
  <c r="Q396" i="4" s="1"/>
  <c r="R394" i="4"/>
  <c r="M390" i="4"/>
  <c r="AN390" i="4"/>
  <c r="Q390" i="4" s="1"/>
  <c r="AM390" i="4"/>
  <c r="AQ425" i="4"/>
  <c r="P425" i="4"/>
  <c r="R421" i="4"/>
  <c r="P389" i="4"/>
  <c r="AQ389" i="4"/>
  <c r="AR352" i="4"/>
  <c r="U352" i="4" s="1"/>
  <c r="T352" i="4"/>
  <c r="P387" i="4"/>
  <c r="AQ387" i="4"/>
  <c r="AR381" i="4"/>
  <c r="U381" i="4" s="1"/>
  <c r="T381" i="4"/>
  <c r="AQ374" i="4"/>
  <c r="P374" i="4"/>
  <c r="R372" i="4"/>
  <c r="AQ367" i="4"/>
  <c r="P367" i="4"/>
  <c r="AN361" i="4"/>
  <c r="Q361" i="4" s="1"/>
  <c r="AQ335" i="4"/>
  <c r="P335" i="4"/>
  <c r="R325" i="4"/>
  <c r="R317" i="4"/>
  <c r="AN369" i="4"/>
  <c r="Q369" i="4" s="1"/>
  <c r="M369" i="4"/>
  <c r="AM361" i="4"/>
  <c r="AM353" i="4"/>
  <c r="AM350" i="4"/>
  <c r="M350" i="4"/>
  <c r="AN350" i="4"/>
  <c r="Q350" i="4" s="1"/>
  <c r="R348" i="4"/>
  <c r="P345" i="4"/>
  <c r="AQ345" i="4"/>
  <c r="AQ336" i="4"/>
  <c r="P336" i="4"/>
  <c r="P385" i="4"/>
  <c r="AQ385" i="4"/>
  <c r="AQ337" i="4"/>
  <c r="P337" i="4"/>
  <c r="AQ333" i="4"/>
  <c r="P333" i="4"/>
  <c r="AQ329" i="4"/>
  <c r="P329" i="4"/>
  <c r="AQ325" i="4"/>
  <c r="P325" i="4"/>
  <c r="AQ317" i="4"/>
  <c r="P317" i="4"/>
  <c r="R301" i="4"/>
  <c r="AM293" i="4"/>
  <c r="AM311" i="4"/>
  <c r="AM307" i="4"/>
  <c r="AQ299" i="4"/>
  <c r="P299" i="4"/>
  <c r="R292" i="4"/>
  <c r="AQ263" i="4"/>
  <c r="P263" i="4"/>
  <c r="AQ259" i="4"/>
  <c r="P259" i="4"/>
  <c r="AQ255" i="4"/>
  <c r="P255" i="4"/>
  <c r="AQ251" i="4"/>
  <c r="P251" i="4"/>
  <c r="AQ247" i="4"/>
  <c r="P247" i="4"/>
  <c r="R319" i="4"/>
  <c r="AQ319" i="4"/>
  <c r="P319" i="4"/>
  <c r="R295" i="4"/>
  <c r="R290" i="4"/>
  <c r="P287" i="4"/>
  <c r="AQ287" i="4"/>
  <c r="P279" i="4"/>
  <c r="AQ279" i="4"/>
  <c r="P271" i="4"/>
  <c r="AQ271" i="4"/>
  <c r="R323" i="4"/>
  <c r="AQ323" i="4"/>
  <c r="P323" i="4"/>
  <c r="AM305" i="4"/>
  <c r="AM301" i="4"/>
  <c r="AN315" i="4"/>
  <c r="Q315" i="4" s="1"/>
  <c r="R284" i="4"/>
  <c r="AQ284" i="4"/>
  <c r="P284" i="4"/>
  <c r="R280" i="4"/>
  <c r="AQ280" i="4"/>
  <c r="P280" i="4"/>
  <c r="R276" i="4"/>
  <c r="AQ276" i="4"/>
  <c r="P276" i="4"/>
  <c r="R272" i="4"/>
  <c r="AQ272" i="4"/>
  <c r="P272" i="4"/>
  <c r="AQ242" i="4"/>
  <c r="P242" i="4"/>
  <c r="AQ234" i="4"/>
  <c r="P234" i="4"/>
  <c r="AQ225" i="4"/>
  <c r="P225" i="4"/>
  <c r="R213" i="4"/>
  <c r="R270" i="4"/>
  <c r="AQ270" i="4"/>
  <c r="P270" i="4"/>
  <c r="AQ226" i="4"/>
  <c r="P226" i="4"/>
  <c r="R218" i="4"/>
  <c r="R211" i="4"/>
  <c r="R194" i="4"/>
  <c r="R190" i="4"/>
  <c r="R186" i="4"/>
  <c r="R182" i="4"/>
  <c r="R178" i="4"/>
  <c r="R174" i="4"/>
  <c r="R170" i="4"/>
  <c r="R166" i="4"/>
  <c r="AN243" i="4"/>
  <c r="Q243" i="4" s="1"/>
  <c r="AN239" i="4"/>
  <c r="Q239" i="4" s="1"/>
  <c r="AN235" i="4"/>
  <c r="Q235" i="4" s="1"/>
  <c r="AN231" i="4"/>
  <c r="Q231" i="4" s="1"/>
  <c r="AN227" i="4"/>
  <c r="Q227" i="4" s="1"/>
  <c r="AN225" i="4"/>
  <c r="Q225" i="4" s="1"/>
  <c r="AQ219" i="4"/>
  <c r="P219" i="4"/>
  <c r="R217" i="4"/>
  <c r="AQ206" i="4"/>
  <c r="P206" i="4"/>
  <c r="AN201" i="4"/>
  <c r="Q201" i="4" s="1"/>
  <c r="M201" i="4"/>
  <c r="AQ197" i="4"/>
  <c r="P197" i="4"/>
  <c r="AM187" i="4"/>
  <c r="AM171" i="4"/>
  <c r="T198" i="4"/>
  <c r="AR198" i="4"/>
  <c r="U198" i="4" s="1"/>
  <c r="AR173" i="4"/>
  <c r="U173" i="4" s="1"/>
  <c r="T173" i="4"/>
  <c r="P160" i="4"/>
  <c r="AQ160" i="4"/>
  <c r="AN282" i="4"/>
  <c r="Q282" i="4" s="1"/>
  <c r="AN274" i="4"/>
  <c r="Q274" i="4" s="1"/>
  <c r="AM191" i="4"/>
  <c r="R164" i="4"/>
  <c r="R136" i="4"/>
  <c r="M114" i="4"/>
  <c r="AM114" i="4"/>
  <c r="AQ109" i="4"/>
  <c r="P109" i="4"/>
  <c r="AQ100" i="4"/>
  <c r="P100" i="4"/>
  <c r="R95" i="4"/>
  <c r="R91" i="4"/>
  <c r="R88" i="4"/>
  <c r="R57" i="4"/>
  <c r="R458" i="4"/>
  <c r="R253" i="4"/>
  <c r="R475" i="4"/>
  <c r="R222" i="4"/>
  <c r="R479" i="4"/>
  <c r="R553" i="4"/>
  <c r="R177" i="4"/>
  <c r="R354" i="4"/>
  <c r="R362" i="4"/>
  <c r="AK362" i="4"/>
  <c r="R399" i="4"/>
  <c r="R344" i="4"/>
  <c r="R250" i="4"/>
  <c r="R324" i="4"/>
  <c r="R546" i="4"/>
  <c r="R175" i="4"/>
  <c r="AK352" i="4"/>
  <c r="R352" i="4"/>
  <c r="R426" i="4"/>
  <c r="R500" i="4"/>
  <c r="R232" i="4"/>
  <c r="R269" i="4"/>
  <c r="R417" i="4"/>
  <c r="R374" i="4"/>
  <c r="R226" i="4"/>
  <c r="R373" i="4"/>
  <c r="R558" i="4"/>
  <c r="R367" i="4"/>
  <c r="R127" i="4"/>
  <c r="R125" i="4"/>
  <c r="M112" i="4"/>
  <c r="AM112" i="4"/>
  <c r="P84" i="4"/>
  <c r="AQ84" i="4"/>
  <c r="P80" i="4"/>
  <c r="AQ80" i="4"/>
  <c r="P76" i="4"/>
  <c r="AQ76" i="4"/>
  <c r="R69" i="4"/>
  <c r="P156" i="4"/>
  <c r="AQ156" i="4"/>
  <c r="P152" i="4"/>
  <c r="AQ152" i="4"/>
  <c r="AR149" i="4"/>
  <c r="U149" i="4" s="1"/>
  <c r="T149" i="4"/>
  <c r="AK146" i="4"/>
  <c r="R146" i="4"/>
  <c r="P143" i="4"/>
  <c r="AQ143" i="4"/>
  <c r="P139" i="4"/>
  <c r="AQ139" i="4"/>
  <c r="P135" i="4"/>
  <c r="AQ135" i="4"/>
  <c r="P131" i="4"/>
  <c r="AQ131" i="4"/>
  <c r="AN125" i="4"/>
  <c r="Q125" i="4" s="1"/>
  <c r="R120" i="4"/>
  <c r="AN112" i="4"/>
  <c r="Q112" i="4" s="1"/>
  <c r="M109" i="4"/>
  <c r="AN109" i="4"/>
  <c r="Q109" i="4" s="1"/>
  <c r="M102" i="4"/>
  <c r="AN102" i="4"/>
  <c r="Q102" i="4" s="1"/>
  <c r="R100" i="4"/>
  <c r="AQ97" i="4"/>
  <c r="P97" i="4"/>
  <c r="M93" i="4"/>
  <c r="AN93" i="4"/>
  <c r="Q93" i="4" s="1"/>
  <c r="P88" i="4"/>
  <c r="AQ88" i="4"/>
  <c r="AQ59" i="4"/>
  <c r="P59" i="4"/>
  <c r="R259" i="4"/>
  <c r="R179" i="4"/>
  <c r="R212" i="4"/>
  <c r="AK212" i="4"/>
  <c r="R258" i="4"/>
  <c r="AK406" i="4"/>
  <c r="R406" i="4"/>
  <c r="R480" i="4"/>
  <c r="R540" i="4"/>
  <c r="R548" i="4"/>
  <c r="R168" i="4"/>
  <c r="R234" i="4"/>
  <c r="R530" i="4"/>
  <c r="R279" i="4"/>
  <c r="R471" i="4"/>
  <c r="R379" i="4"/>
  <c r="R297" i="4"/>
  <c r="R482" i="4"/>
  <c r="R180" i="4"/>
  <c r="R246" i="4"/>
  <c r="R156" i="4"/>
  <c r="AR136" i="4"/>
  <c r="U136" i="4" s="1"/>
  <c r="T136" i="4"/>
  <c r="AK133" i="4"/>
  <c r="R133" i="4"/>
  <c r="R86" i="4"/>
  <c r="R76" i="4"/>
  <c r="AR69" i="4"/>
  <c r="U69" i="4" s="1"/>
  <c r="T69" i="4"/>
  <c r="AK134" i="4"/>
  <c r="BH99" i="4"/>
  <c r="R107" i="4"/>
  <c r="R206" i="4"/>
  <c r="R387" i="4"/>
  <c r="BH91" i="4"/>
  <c r="R64" i="4"/>
  <c r="AM53" i="4"/>
  <c r="M49" i="4"/>
  <c r="AN49" i="4"/>
  <c r="Q49" i="4" s="1"/>
  <c r="AM48" i="4"/>
  <c r="R45" i="4"/>
  <c r="M44" i="4"/>
  <c r="AN44" i="4"/>
  <c r="Q44" i="4" s="1"/>
  <c r="R40" i="4"/>
  <c r="AM37" i="4"/>
  <c r="M33" i="4"/>
  <c r="AN33" i="4"/>
  <c r="Q33" i="4" s="1"/>
  <c r="AM32" i="4"/>
  <c r="AR26" i="4"/>
  <c r="U26" i="4" s="1"/>
  <c r="T26" i="4"/>
  <c r="BC98" i="4"/>
  <c r="BE98" i="4" s="1"/>
  <c r="BG98" i="4"/>
  <c r="BL97" i="4"/>
  <c r="BN97" i="4" s="1"/>
  <c r="AR12" i="4"/>
  <c r="U12" i="4" s="1"/>
  <c r="T12" i="4"/>
  <c r="R139" i="4"/>
  <c r="R275" i="4"/>
  <c r="R349" i="4"/>
  <c r="R497" i="4"/>
  <c r="R13" i="4"/>
  <c r="AK13" i="4"/>
  <c r="AQ104" i="4"/>
  <c r="P104" i="4"/>
  <c r="P81" i="4"/>
  <c r="AQ81" i="4"/>
  <c r="M61" i="4"/>
  <c r="AN61" i="4"/>
  <c r="Q61" i="4" s="1"/>
  <c r="AK145" i="4"/>
  <c r="AK67" i="4"/>
  <c r="AK159" i="4"/>
  <c r="R159" i="4"/>
  <c r="R298" i="4"/>
  <c r="R149" i="4"/>
  <c r="R470" i="4"/>
  <c r="BC96" i="4"/>
  <c r="BE96" i="4" s="1"/>
  <c r="BG96" i="4"/>
  <c r="R526" i="4"/>
  <c r="AK129" i="4"/>
  <c r="R129" i="4"/>
  <c r="BC87" i="4"/>
  <c r="BL87" i="4" s="1"/>
  <c r="BN87" i="4" s="1"/>
  <c r="BJ87" i="4"/>
  <c r="P79" i="4"/>
  <c r="AQ79" i="4"/>
  <c r="M54" i="4"/>
  <c r="AN54" i="4"/>
  <c r="Q54" i="4" s="1"/>
  <c r="M50" i="4"/>
  <c r="AN50" i="4"/>
  <c r="Q50" i="4" s="1"/>
  <c r="M46" i="4"/>
  <c r="AN46" i="4"/>
  <c r="Q46" i="4" s="1"/>
  <c r="M42" i="4"/>
  <c r="AN42" i="4"/>
  <c r="Q42" i="4" s="1"/>
  <c r="M38" i="4"/>
  <c r="AN38" i="4"/>
  <c r="Q38" i="4" s="1"/>
  <c r="M34" i="4"/>
  <c r="AN34" i="4"/>
  <c r="Q34" i="4" s="1"/>
  <c r="M30" i="4"/>
  <c r="AN30" i="4"/>
  <c r="Q30" i="4" s="1"/>
  <c r="AK75" i="4"/>
  <c r="R75" i="4"/>
  <c r="R207" i="4"/>
  <c r="R425" i="4"/>
  <c r="BH95" i="4"/>
  <c r="AK214" i="4"/>
  <c r="R214" i="4"/>
  <c r="R395" i="4"/>
  <c r="BC92" i="4"/>
  <c r="BF92" i="4" s="1"/>
  <c r="AK196" i="4"/>
  <c r="R196" i="4"/>
  <c r="R229" i="4"/>
  <c r="R488" i="4"/>
  <c r="AK138" i="4"/>
  <c r="R138" i="4"/>
  <c r="R385" i="4"/>
  <c r="AK459" i="4"/>
  <c r="R459" i="4"/>
  <c r="BI88" i="4"/>
  <c r="BH101" i="4"/>
  <c r="AG90" i="3"/>
  <c r="P90" i="3"/>
  <c r="AZ65" i="3"/>
  <c r="AG130" i="3"/>
  <c r="P130" i="3"/>
  <c r="BG69" i="3"/>
  <c r="BI69" i="3" s="1"/>
  <c r="BG67" i="3"/>
  <c r="BI67" i="3" s="1"/>
  <c r="BG65" i="3"/>
  <c r="BI65" i="3" s="1"/>
  <c r="BF61" i="3"/>
  <c r="BF69" i="3"/>
  <c r="BF60" i="3"/>
  <c r="AG140" i="3"/>
  <c r="P140" i="3"/>
  <c r="BE69" i="3"/>
  <c r="BG62" i="3"/>
  <c r="BI62" i="3" s="1"/>
  <c r="BD61" i="3"/>
  <c r="BE58" i="3"/>
  <c r="BA58" i="3"/>
  <c r="BD58" i="3"/>
  <c r="AZ58" i="3"/>
  <c r="BE55" i="3"/>
  <c r="BA55" i="3"/>
  <c r="BD55" i="3"/>
  <c r="AZ55" i="3"/>
  <c r="AG35" i="3"/>
  <c r="P35" i="3"/>
  <c r="AG241" i="3"/>
  <c r="P241" i="3"/>
  <c r="AG341" i="3"/>
  <c r="P341" i="3"/>
  <c r="P151" i="3"/>
  <c r="AG151" i="3"/>
  <c r="AG221" i="3"/>
  <c r="P221" i="3"/>
  <c r="AG281" i="3"/>
  <c r="P281" i="3"/>
  <c r="AG331" i="3"/>
  <c r="P331" i="3"/>
  <c r="P180" i="3"/>
  <c r="AG180" i="3"/>
  <c r="P220" i="3"/>
  <c r="AG220" i="3"/>
  <c r="P260" i="3"/>
  <c r="AG260" i="3"/>
  <c r="P330" i="3"/>
  <c r="AG330" i="3"/>
  <c r="P370" i="3"/>
  <c r="AG370" i="3"/>
  <c r="P189" i="3"/>
  <c r="AG189" i="3"/>
  <c r="AG239" i="3"/>
  <c r="P239" i="3"/>
  <c r="P289" i="3"/>
  <c r="AG289" i="3"/>
  <c r="P359" i="3"/>
  <c r="AG359" i="3"/>
  <c r="P178" i="3"/>
  <c r="AG178" i="3"/>
  <c r="AG249" i="3"/>
  <c r="P249" i="3"/>
  <c r="AG368" i="3"/>
  <c r="P368" i="3"/>
  <c r="AG129" i="3"/>
  <c r="AG55" i="3"/>
  <c r="AG125" i="3"/>
  <c r="P125" i="3"/>
  <c r="AG64" i="3"/>
  <c r="P64" i="3"/>
  <c r="P196" i="3"/>
  <c r="AG196" i="3"/>
  <c r="AG267" i="3"/>
  <c r="P267" i="3"/>
  <c r="AG317" i="3"/>
  <c r="P317" i="3"/>
  <c r="AG376" i="3"/>
  <c r="P376" i="3"/>
  <c r="AG63" i="3"/>
  <c r="P63" i="3"/>
  <c r="P174" i="3"/>
  <c r="AG174" i="3"/>
  <c r="P244" i="3"/>
  <c r="AG244" i="3"/>
  <c r="AG364" i="3"/>
  <c r="P364" i="3"/>
  <c r="R372" i="1"/>
  <c r="AG122" i="3"/>
  <c r="BF62" i="3"/>
  <c r="AG42" i="3"/>
  <c r="P42" i="3"/>
  <c r="AG54" i="3"/>
  <c r="P54" i="3"/>
  <c r="P177" i="3"/>
  <c r="AG177" i="3"/>
  <c r="AG227" i="3"/>
  <c r="P227" i="3"/>
  <c r="AG277" i="3"/>
  <c r="P277" i="3"/>
  <c r="P297" i="3"/>
  <c r="AG297" i="3"/>
  <c r="AG337" i="3"/>
  <c r="P337" i="3"/>
  <c r="AG387" i="3"/>
  <c r="P387" i="3"/>
  <c r="AG107" i="3"/>
  <c r="P107" i="3"/>
  <c r="AG139" i="3"/>
  <c r="P139" i="3"/>
  <c r="P165" i="3"/>
  <c r="AG165" i="3"/>
  <c r="AG215" i="3"/>
  <c r="P215" i="3"/>
  <c r="AG265" i="3"/>
  <c r="P265" i="3"/>
  <c r="P315" i="3"/>
  <c r="AG315" i="3"/>
  <c r="AG325" i="3"/>
  <c r="P325" i="3"/>
  <c r="AG374" i="3"/>
  <c r="P374" i="3"/>
  <c r="P152" i="3"/>
  <c r="AG152" i="3"/>
  <c r="P202" i="3"/>
  <c r="AG202" i="3"/>
  <c r="P252" i="3"/>
  <c r="AG252" i="3"/>
  <c r="P362" i="3"/>
  <c r="AG362" i="3"/>
  <c r="R384" i="1"/>
  <c r="AQ373" i="1"/>
  <c r="P373" i="1"/>
  <c r="R369" i="1"/>
  <c r="R297" i="1"/>
  <c r="M292" i="1"/>
  <c r="AM292" i="1"/>
  <c r="M288" i="1"/>
  <c r="AM288" i="1"/>
  <c r="M284" i="1"/>
  <c r="AM284" i="1"/>
  <c r="M280" i="1"/>
  <c r="AM280" i="1"/>
  <c r="M276" i="1"/>
  <c r="AM276" i="1"/>
  <c r="BF55" i="3"/>
  <c r="P188" i="3"/>
  <c r="AG188" i="3"/>
  <c r="P248" i="3"/>
  <c r="AG248" i="3"/>
  <c r="AG288" i="3"/>
  <c r="P288" i="3"/>
  <c r="AG348" i="3"/>
  <c r="P348" i="3"/>
  <c r="AG14" i="3"/>
  <c r="P14" i="3"/>
  <c r="AG48" i="3"/>
  <c r="P48" i="3"/>
  <c r="AG95" i="3"/>
  <c r="P95" i="3"/>
  <c r="AG58" i="3"/>
  <c r="P58" i="3"/>
  <c r="P154" i="3"/>
  <c r="AG154" i="3"/>
  <c r="P214" i="3"/>
  <c r="AG214" i="3"/>
  <c r="AG284" i="3"/>
  <c r="P284" i="3"/>
  <c r="AG375" i="3"/>
  <c r="P375" i="3"/>
  <c r="AG126" i="3"/>
  <c r="P126" i="3"/>
  <c r="P143" i="3"/>
  <c r="AG143" i="3"/>
  <c r="AG223" i="3"/>
  <c r="P223" i="3"/>
  <c r="P282" i="3"/>
  <c r="AG282" i="3"/>
  <c r="P343" i="3"/>
  <c r="AG343" i="3"/>
  <c r="AG5" i="3"/>
  <c r="R396" i="1"/>
  <c r="AQ390" i="1"/>
  <c r="P390" i="1"/>
  <c r="R386" i="1"/>
  <c r="AQ382" i="1"/>
  <c r="P382" i="1"/>
  <c r="R378" i="1"/>
  <c r="R327" i="1"/>
  <c r="R323" i="1"/>
  <c r="R319" i="1"/>
  <c r="R315" i="1"/>
  <c r="P310" i="1"/>
  <c r="AQ310" i="1"/>
  <c r="AN297" i="1"/>
  <c r="Q297" i="1" s="1"/>
  <c r="R294" i="1"/>
  <c r="P289" i="1"/>
  <c r="AQ289" i="1"/>
  <c r="R282" i="1"/>
  <c r="R274" i="1"/>
  <c r="P252" i="1"/>
  <c r="AQ252" i="1"/>
  <c r="P236" i="1"/>
  <c r="AQ236" i="1"/>
  <c r="P220" i="1"/>
  <c r="AQ220" i="1"/>
  <c r="AQ210" i="1"/>
  <c r="P210" i="1"/>
  <c r="AQ206" i="1"/>
  <c r="P206" i="1"/>
  <c r="AQ202" i="1"/>
  <c r="P202" i="1"/>
  <c r="AQ198" i="1"/>
  <c r="P198" i="1"/>
  <c r="R193" i="1"/>
  <c r="AQ187" i="1"/>
  <c r="P187" i="1"/>
  <c r="P180" i="1"/>
  <c r="AQ180" i="1"/>
  <c r="P174" i="1"/>
  <c r="AQ174" i="1"/>
  <c r="P166" i="1"/>
  <c r="AQ166" i="1"/>
  <c r="AG82" i="3"/>
  <c r="BG57" i="3"/>
  <c r="BI57" i="3" s="1"/>
  <c r="P21" i="3"/>
  <c r="AG21" i="3"/>
  <c r="BG70" i="3"/>
  <c r="BI70" i="3" s="1"/>
  <c r="BC68" i="3"/>
  <c r="BG66" i="3"/>
  <c r="BI66" i="3" s="1"/>
  <c r="AG15" i="3"/>
  <c r="AG59" i="3"/>
  <c r="P59" i="3"/>
  <c r="P156" i="3"/>
  <c r="AG156" i="3"/>
  <c r="P216" i="3"/>
  <c r="AG216" i="3"/>
  <c r="AG286" i="3"/>
  <c r="P286" i="3"/>
  <c r="P316" i="3"/>
  <c r="AG316" i="3"/>
  <c r="AG386" i="3"/>
  <c r="P386" i="3"/>
  <c r="AG69" i="3"/>
  <c r="P69" i="3"/>
  <c r="AG134" i="3"/>
  <c r="P134" i="3"/>
  <c r="P153" i="3"/>
  <c r="AG153" i="3"/>
  <c r="AG213" i="3"/>
  <c r="P213" i="3"/>
  <c r="AG283" i="3"/>
  <c r="P283" i="3"/>
  <c r="AG333" i="3"/>
  <c r="P333" i="3"/>
  <c r="BF56" i="3"/>
  <c r="AM392" i="1"/>
  <c r="AM384" i="1"/>
  <c r="AM376" i="1"/>
  <c r="AN371" i="1"/>
  <c r="Q371" i="1" s="1"/>
  <c r="AN369" i="1"/>
  <c r="Q369" i="1" s="1"/>
  <c r="AN367" i="1"/>
  <c r="Q367" i="1" s="1"/>
  <c r="R362" i="1"/>
  <c r="M358" i="1"/>
  <c r="AN358" i="1"/>
  <c r="Q358" i="1" s="1"/>
  <c r="AM355" i="1"/>
  <c r="M355" i="1"/>
  <c r="AQ352" i="1"/>
  <c r="P352" i="1"/>
  <c r="AN351" i="1"/>
  <c r="Q351" i="1" s="1"/>
  <c r="R346" i="1"/>
  <c r="AM343" i="1"/>
  <c r="M343" i="1"/>
  <c r="AQ340" i="1"/>
  <c r="P340" i="1"/>
  <c r="R338" i="1"/>
  <c r="M334" i="1"/>
  <c r="AN334" i="1"/>
  <c r="Q334" i="1" s="1"/>
  <c r="AM331" i="1"/>
  <c r="M331" i="1"/>
  <c r="AQ328" i="1"/>
  <c r="P328" i="1"/>
  <c r="AN327" i="1"/>
  <c r="Q327" i="1" s="1"/>
  <c r="R322" i="1"/>
  <c r="M318" i="1"/>
  <c r="AN318" i="1"/>
  <c r="Q318" i="1" s="1"/>
  <c r="AM315" i="1"/>
  <c r="M315" i="1"/>
  <c r="AQ312" i="1"/>
  <c r="P312" i="1"/>
  <c r="AN311" i="1"/>
  <c r="Q311" i="1" s="1"/>
  <c r="R306" i="1"/>
  <c r="M302" i="1"/>
  <c r="AN302" i="1"/>
  <c r="Q302" i="1" s="1"/>
  <c r="AN292" i="1"/>
  <c r="Q292" i="1" s="1"/>
  <c r="AN282" i="1"/>
  <c r="Q282" i="1" s="1"/>
  <c r="AN276" i="1"/>
  <c r="Q276" i="1" s="1"/>
  <c r="P271" i="1"/>
  <c r="AQ271" i="1"/>
  <c r="P253" i="1"/>
  <c r="AQ253" i="1"/>
  <c r="P237" i="1"/>
  <c r="AQ237" i="1"/>
  <c r="P221" i="1"/>
  <c r="AQ221" i="1"/>
  <c r="AQ192" i="1"/>
  <c r="P192" i="1"/>
  <c r="AQ188" i="1"/>
  <c r="P188" i="1"/>
  <c r="AQ184" i="1"/>
  <c r="P184" i="1"/>
  <c r="AQ139" i="1"/>
  <c r="P139" i="1"/>
  <c r="AQ125" i="1"/>
  <c r="P125" i="1"/>
  <c r="P115" i="1"/>
  <c r="AQ115" i="1"/>
  <c r="R263" i="1"/>
  <c r="AM263" i="1"/>
  <c r="R247" i="1"/>
  <c r="AM247" i="1"/>
  <c r="R231" i="1"/>
  <c r="AM231" i="1"/>
  <c r="R215" i="1"/>
  <c r="AM215" i="1"/>
  <c r="R207" i="1"/>
  <c r="AR179" i="1"/>
  <c r="U179" i="1" s="1"/>
  <c r="T179" i="1"/>
  <c r="R172" i="1"/>
  <c r="R86" i="1"/>
  <c r="R78" i="1"/>
  <c r="R46" i="1"/>
  <c r="AK173" i="1"/>
  <c r="R173" i="1"/>
  <c r="R390" i="1"/>
  <c r="Q493" i="5"/>
  <c r="Q440" i="5"/>
  <c r="Q424" i="5"/>
  <c r="AR250" i="1"/>
  <c r="U250" i="1" s="1"/>
  <c r="T250" i="1"/>
  <c r="R216" i="1"/>
  <c r="R198" i="1"/>
  <c r="M145" i="1"/>
  <c r="AN145" i="1"/>
  <c r="Q145" i="1" s="1"/>
  <c r="R129" i="1"/>
  <c r="R127" i="1"/>
  <c r="R60" i="1"/>
  <c r="R383" i="1"/>
  <c r="AK383" i="1"/>
  <c r="R352" i="1"/>
  <c r="R188" i="1"/>
  <c r="R382" i="1"/>
  <c r="R169" i="1"/>
  <c r="R293" i="1"/>
  <c r="R340" i="1"/>
  <c r="R267" i="1"/>
  <c r="R136" i="1"/>
  <c r="R229" i="1"/>
  <c r="AR7" i="1"/>
  <c r="U7" i="1" s="1"/>
  <c r="T7" i="1"/>
  <c r="M270" i="1"/>
  <c r="AN270" i="1"/>
  <c r="Q270" i="1" s="1"/>
  <c r="M235" i="1"/>
  <c r="AN235" i="1"/>
  <c r="Q235" i="1" s="1"/>
  <c r="M227" i="1"/>
  <c r="AN227" i="1"/>
  <c r="Q227" i="1" s="1"/>
  <c r="R219" i="1"/>
  <c r="AM219" i="1"/>
  <c r="R201" i="1"/>
  <c r="M190" i="1"/>
  <c r="AN190" i="1"/>
  <c r="Q190" i="1" s="1"/>
  <c r="R186" i="1"/>
  <c r="AM186" i="1"/>
  <c r="R162" i="1"/>
  <c r="AR153" i="1"/>
  <c r="U153" i="1" s="1"/>
  <c r="T153" i="1"/>
  <c r="R122" i="1"/>
  <c r="R120" i="1"/>
  <c r="R104" i="1"/>
  <c r="R99" i="1"/>
  <c r="P89" i="1"/>
  <c r="AQ89" i="1"/>
  <c r="P86" i="1"/>
  <c r="AQ86" i="1"/>
  <c r="R83" i="1"/>
  <c r="P78" i="1"/>
  <c r="AQ78" i="1"/>
  <c r="R75" i="1"/>
  <c r="R72" i="1"/>
  <c r="R69" i="1"/>
  <c r="R65" i="1"/>
  <c r="R61" i="1"/>
  <c r="R57" i="1"/>
  <c r="P54" i="1"/>
  <c r="AQ54" i="1"/>
  <c r="R301" i="1"/>
  <c r="R42" i="1"/>
  <c r="AK26" i="1"/>
  <c r="R26" i="1"/>
  <c r="AK246" i="1"/>
  <c r="R246" i="1"/>
  <c r="R370" i="1"/>
  <c r="R245" i="1"/>
  <c r="Q458" i="5"/>
  <c r="AP436" i="5"/>
  <c r="AQ436" i="5" s="1"/>
  <c r="O436" i="5"/>
  <c r="AR254" i="1"/>
  <c r="U254" i="1" s="1"/>
  <c r="T254" i="1"/>
  <c r="AR238" i="1"/>
  <c r="U238" i="1" s="1"/>
  <c r="T238" i="1"/>
  <c r="AR222" i="1"/>
  <c r="U222" i="1" s="1"/>
  <c r="T222" i="1"/>
  <c r="R141" i="1"/>
  <c r="R139" i="1"/>
  <c r="M133" i="1"/>
  <c r="AN133" i="1"/>
  <c r="Q133" i="1" s="1"/>
  <c r="R130" i="1"/>
  <c r="R121" i="1"/>
  <c r="AR117" i="1"/>
  <c r="U117" i="1" s="1"/>
  <c r="T117" i="1"/>
  <c r="AK106" i="1"/>
  <c r="R106" i="1"/>
  <c r="AN104" i="1"/>
  <c r="Q104" i="1" s="1"/>
  <c r="AN102" i="1"/>
  <c r="Q102" i="1" s="1"/>
  <c r="AN87" i="1"/>
  <c r="Q87" i="1" s="1"/>
  <c r="AM87" i="1"/>
  <c r="M87" i="1"/>
  <c r="AN73" i="1"/>
  <c r="Q73" i="1" s="1"/>
  <c r="AM73" i="1"/>
  <c r="M73" i="1"/>
  <c r="AN70" i="1"/>
  <c r="Q70" i="1" s="1"/>
  <c r="AM70" i="1"/>
  <c r="M70" i="1"/>
  <c r="AQ60" i="1"/>
  <c r="P60" i="1"/>
  <c r="R47" i="1"/>
  <c r="R345" i="1"/>
  <c r="AQ40" i="1"/>
  <c r="P40" i="1"/>
  <c r="R313" i="1"/>
  <c r="AN37" i="1"/>
  <c r="Q37" i="1" s="1"/>
  <c r="AM37" i="1"/>
  <c r="M37" i="1"/>
  <c r="R144" i="1"/>
  <c r="R237" i="1"/>
  <c r="AN35" i="1"/>
  <c r="Q35" i="1" s="1"/>
  <c r="AM35" i="1"/>
  <c r="M35" i="1"/>
  <c r="R33" i="1"/>
  <c r="AQ32" i="1"/>
  <c r="P32" i="1"/>
  <c r="R113" i="1"/>
  <c r="AN31" i="1"/>
  <c r="Q31" i="1" s="1"/>
  <c r="AM31" i="1"/>
  <c r="M31" i="1"/>
  <c r="R218" i="1"/>
  <c r="R257" i="1"/>
  <c r="R341" i="1"/>
  <c r="R279" i="1"/>
  <c r="R273" i="1"/>
  <c r="R148" i="1"/>
  <c r="R132" i="1"/>
  <c r="R225" i="1"/>
  <c r="R192" i="1"/>
  <c r="R151" i="1"/>
  <c r="R368" i="1"/>
  <c r="BF87" i="1"/>
  <c r="BM87" i="1" s="1"/>
  <c r="Q495" i="5"/>
  <c r="Q492" i="5"/>
  <c r="O488" i="5"/>
  <c r="AP488" i="5"/>
  <c r="AQ488" i="5" s="1"/>
  <c r="P485" i="5"/>
  <c r="AL485" i="5"/>
  <c r="L485" i="5"/>
  <c r="Q483" i="5"/>
  <c r="P477" i="5"/>
  <c r="AL477" i="5"/>
  <c r="L477" i="5"/>
  <c r="Q475" i="5"/>
  <c r="P469" i="5"/>
  <c r="AL469" i="5"/>
  <c r="L469" i="5"/>
  <c r="Q467" i="5"/>
  <c r="P461" i="5"/>
  <c r="AL461" i="5"/>
  <c r="L461" i="5"/>
  <c r="AP454" i="5"/>
  <c r="AQ454" i="5" s="1"/>
  <c r="O454" i="5"/>
  <c r="P451" i="5"/>
  <c r="AL451" i="5"/>
  <c r="L451" i="5"/>
  <c r="Q439" i="5"/>
  <c r="P435" i="5"/>
  <c r="AL435" i="5"/>
  <c r="L435" i="5"/>
  <c r="AP425" i="5"/>
  <c r="AQ425" i="5" s="1"/>
  <c r="O425" i="5"/>
  <c r="Q423" i="5"/>
  <c r="Q421" i="5"/>
  <c r="Q409" i="5"/>
  <c r="Q405" i="5"/>
  <c r="Q401" i="5"/>
  <c r="Q397" i="5"/>
  <c r="Q393" i="5"/>
  <c r="AJ389" i="5"/>
  <c r="Q389" i="5"/>
  <c r="Q385" i="5"/>
  <c r="Q381" i="5"/>
  <c r="Q377" i="5"/>
  <c r="AJ373" i="5"/>
  <c r="Q373" i="5"/>
  <c r="Q369" i="5"/>
  <c r="Q357" i="5"/>
  <c r="AN247" i="1"/>
  <c r="Q247" i="1" s="1"/>
  <c r="AN215" i="1"/>
  <c r="Q215" i="1" s="1"/>
  <c r="AQ77" i="1"/>
  <c r="P77" i="1"/>
  <c r="AQ44" i="1"/>
  <c r="P44" i="1"/>
  <c r="AK95" i="1"/>
  <c r="BM92" i="1"/>
  <c r="BJ88" i="1"/>
  <c r="AP459" i="5"/>
  <c r="AQ459" i="5" s="1"/>
  <c r="O459" i="5"/>
  <c r="AP450" i="5"/>
  <c r="AQ450" i="5" s="1"/>
  <c r="O450" i="5"/>
  <c r="L414" i="5"/>
  <c r="L398" i="5"/>
  <c r="L363" i="5"/>
  <c r="Q362" i="5"/>
  <c r="P341" i="5"/>
  <c r="P325" i="5"/>
  <c r="Q310" i="5"/>
  <c r="AP306" i="5"/>
  <c r="AQ306" i="5" s="1"/>
  <c r="O306" i="5"/>
  <c r="Q304" i="5"/>
  <c r="Q301" i="5"/>
  <c r="O295" i="5"/>
  <c r="Q285" i="5"/>
  <c r="AP279" i="5"/>
  <c r="AQ279" i="5" s="1"/>
  <c r="O279" i="5"/>
  <c r="AQ79" i="1"/>
  <c r="P79" i="1"/>
  <c r="AQ42" i="1"/>
  <c r="P42" i="1"/>
  <c r="BO101" i="1"/>
  <c r="BQ101" i="1" s="1"/>
  <c r="AL386" i="5"/>
  <c r="L358" i="5"/>
  <c r="P358" i="5"/>
  <c r="L236" i="5"/>
  <c r="BM102" i="1"/>
  <c r="AR22" i="1"/>
  <c r="U22" i="1" s="1"/>
  <c r="T22" i="1"/>
  <c r="AR20" i="1"/>
  <c r="T20" i="1"/>
  <c r="BL99" i="1"/>
  <c r="BN98" i="1"/>
  <c r="AR18" i="1"/>
  <c r="U18" i="1" s="1"/>
  <c r="T18" i="1"/>
  <c r="AR12" i="1"/>
  <c r="T12" i="1"/>
  <c r="Q406" i="5"/>
  <c r="O393" i="5"/>
  <c r="AP393" i="5"/>
  <c r="AQ393" i="5" s="1"/>
  <c r="Q390" i="5"/>
  <c r="O377" i="5"/>
  <c r="AP377" i="5"/>
  <c r="AQ377" i="5" s="1"/>
  <c r="Q374" i="5"/>
  <c r="AP367" i="5"/>
  <c r="AQ367" i="5" s="1"/>
  <c r="O367" i="5"/>
  <c r="AL358" i="5"/>
  <c r="L354" i="5"/>
  <c r="Q343" i="5"/>
  <c r="AP308" i="5"/>
  <c r="AQ308" i="5" s="1"/>
  <c r="O308" i="5"/>
  <c r="Q302" i="5"/>
  <c r="Q295" i="5"/>
  <c r="Q287" i="5"/>
  <c r="Q279" i="5"/>
  <c r="AQ75" i="1"/>
  <c r="P75" i="1"/>
  <c r="BH100" i="1"/>
  <c r="BJ100" i="1"/>
  <c r="BH97" i="1"/>
  <c r="BH94" i="1"/>
  <c r="BJ93" i="1"/>
  <c r="BL93" i="1"/>
  <c r="BN90" i="1"/>
  <c r="BO89" i="1"/>
  <c r="BQ89" i="1" s="1"/>
  <c r="L410" i="5"/>
  <c r="AL394" i="5"/>
  <c r="S380" i="5"/>
  <c r="AL378" i="5"/>
  <c r="P308" i="5"/>
  <c r="L308" i="5"/>
  <c r="AL241" i="5"/>
  <c r="AL238" i="5"/>
  <c r="O234" i="5"/>
  <c r="AP234" i="5"/>
  <c r="AQ234" i="5" s="1"/>
  <c r="Q182" i="5"/>
  <c r="Q166" i="5"/>
  <c r="Q149" i="5"/>
  <c r="Q131" i="5"/>
  <c r="L116" i="5"/>
  <c r="Q94" i="5"/>
  <c r="Q85" i="5"/>
  <c r="Q77" i="5"/>
  <c r="Q456" i="5"/>
  <c r="Q265" i="5"/>
  <c r="Q376" i="5"/>
  <c r="Q306" i="5"/>
  <c r="Q417" i="5"/>
  <c r="Q411" i="5"/>
  <c r="Q429" i="5"/>
  <c r="Q261" i="5"/>
  <c r="Q372" i="5"/>
  <c r="Q235" i="5"/>
  <c r="Q383" i="5"/>
  <c r="Q251" i="5"/>
  <c r="Q267" i="5"/>
  <c r="Q480" i="5"/>
  <c r="Q314" i="5"/>
  <c r="Q243" i="5"/>
  <c r="Q360" i="5"/>
  <c r="Q218" i="5"/>
  <c r="Q192" i="5"/>
  <c r="Q185" i="5"/>
  <c r="O175" i="5"/>
  <c r="AP167" i="5"/>
  <c r="AQ167" i="5" s="1"/>
  <c r="O167" i="5"/>
  <c r="Q143" i="5"/>
  <c r="Q111" i="5"/>
  <c r="AP107" i="5"/>
  <c r="AQ107" i="5" s="1"/>
  <c r="O107" i="5"/>
  <c r="Q99" i="5"/>
  <c r="Q96" i="5"/>
  <c r="Q75" i="5"/>
  <c r="Q303" i="5"/>
  <c r="Q219" i="5"/>
  <c r="Q441" i="5"/>
  <c r="Q227" i="5"/>
  <c r="Q338" i="5"/>
  <c r="Q449" i="5"/>
  <c r="Q217" i="5"/>
  <c r="Q273" i="5"/>
  <c r="Q384" i="5"/>
  <c r="BI96" i="5"/>
  <c r="AP8" i="5"/>
  <c r="AQ8" i="5" s="1"/>
  <c r="Q292" i="5"/>
  <c r="Q329" i="5"/>
  <c r="Q237" i="5"/>
  <c r="Q311" i="5"/>
  <c r="Q352" i="5"/>
  <c r="Q426" i="5"/>
  <c r="AP222" i="5"/>
  <c r="AQ222" i="5" s="1"/>
  <c r="Q191" i="5"/>
  <c r="Q156" i="5"/>
  <c r="Q146" i="5"/>
  <c r="AL144" i="5"/>
  <c r="Q138" i="5"/>
  <c r="AL136" i="5"/>
  <c r="Q79" i="5"/>
  <c r="Q257" i="5"/>
  <c r="Q368" i="5"/>
  <c r="Q284" i="5"/>
  <c r="Q395" i="5"/>
  <c r="Q203" i="5"/>
  <c r="Q140" i="5"/>
  <c r="Q134" i="5"/>
  <c r="P103" i="5"/>
  <c r="L103" i="5"/>
  <c r="AL103" i="5"/>
  <c r="Q95" i="5"/>
  <c r="P92" i="5"/>
  <c r="L92" i="5"/>
  <c r="AL92" i="5"/>
  <c r="L89" i="5"/>
  <c r="P89" i="5"/>
  <c r="AL89" i="5"/>
  <c r="AL86" i="5"/>
  <c r="AL78" i="5"/>
  <c r="O75" i="5"/>
  <c r="AP75" i="5"/>
  <c r="AQ75" i="5" s="1"/>
  <c r="Q233" i="5"/>
  <c r="Q239" i="5"/>
  <c r="Q320" i="5"/>
  <c r="AL23" i="5"/>
  <c r="O23" i="5" s="1"/>
  <c r="Q268" i="5"/>
  <c r="Q453" i="5"/>
  <c r="Q215" i="5"/>
  <c r="Q363" i="5"/>
  <c r="Q437" i="5"/>
  <c r="P19" i="5"/>
  <c r="AL19" i="5"/>
  <c r="O19" i="5" s="1"/>
  <c r="L19" i="5"/>
  <c r="AL17" i="5"/>
  <c r="O17" i="5" s="1"/>
  <c r="Q223" i="5"/>
  <c r="Q445" i="5"/>
  <c r="AP21" i="5"/>
  <c r="AQ21" i="5" s="1"/>
  <c r="AL149" i="5"/>
  <c r="AP80" i="5"/>
  <c r="AQ80" i="5" s="1"/>
  <c r="O80" i="5"/>
  <c r="T66" i="5"/>
  <c r="S66" i="5"/>
  <c r="O210" i="5" l="1"/>
  <c r="AP458" i="5"/>
  <c r="AQ458" i="5" s="1"/>
  <c r="AP297" i="5"/>
  <c r="AQ297" i="5" s="1"/>
  <c r="O253" i="5"/>
  <c r="AP84" i="5"/>
  <c r="AQ84" i="5" s="1"/>
  <c r="O132" i="5"/>
  <c r="S266" i="5"/>
  <c r="O460" i="5"/>
  <c r="AP472" i="5"/>
  <c r="AQ472" i="5" s="1"/>
  <c r="T472" i="5" s="1"/>
  <c r="O399" i="5"/>
  <c r="O130" i="5"/>
  <c r="O216" i="5"/>
  <c r="AP281" i="5"/>
  <c r="AQ281" i="5" s="1"/>
  <c r="O491" i="5"/>
  <c r="O266" i="5"/>
  <c r="AP277" i="5"/>
  <c r="AQ277" i="5" s="1"/>
  <c r="T277" i="5" s="1"/>
  <c r="O429" i="5"/>
  <c r="O98" i="5"/>
  <c r="O405" i="5"/>
  <c r="O263" i="5"/>
  <c r="AP307" i="5"/>
  <c r="AQ307" i="5" s="1"/>
  <c r="O165" i="5"/>
  <c r="O496" i="5"/>
  <c r="S405" i="5"/>
  <c r="O380" i="5"/>
  <c r="O224" i="5"/>
  <c r="O381" i="5"/>
  <c r="AP208" i="5"/>
  <c r="AQ208" i="5" s="1"/>
  <c r="O401" i="5"/>
  <c r="AP494" i="5"/>
  <c r="AQ494" i="5" s="1"/>
  <c r="BH98" i="5"/>
  <c r="O398" i="5"/>
  <c r="O260" i="5"/>
  <c r="O397" i="5"/>
  <c r="S397" i="5"/>
  <c r="O81" i="5"/>
  <c r="AJ381" i="5"/>
  <c r="AP228" i="5"/>
  <c r="AQ228" i="5" s="1"/>
  <c r="T228" i="5" s="1"/>
  <c r="O76" i="5"/>
  <c r="S74" i="5"/>
  <c r="AP99" i="5"/>
  <c r="AQ99" i="5" s="1"/>
  <c r="T99" i="5" s="1"/>
  <c r="AJ397" i="5"/>
  <c r="S381" i="5"/>
  <c r="AP340" i="5"/>
  <c r="AQ340" i="5" s="1"/>
  <c r="T340" i="5" s="1"/>
  <c r="O128" i="5"/>
  <c r="O171" i="5"/>
  <c r="O440" i="5"/>
  <c r="AP162" i="5"/>
  <c r="AQ162" i="5" s="1"/>
  <c r="T162" i="5" s="1"/>
  <c r="BI100" i="5"/>
  <c r="AP357" i="5"/>
  <c r="AQ357" i="5" s="1"/>
  <c r="S15" i="5"/>
  <c r="BL87" i="5"/>
  <c r="BI98" i="5"/>
  <c r="O123" i="5"/>
  <c r="O90" i="5"/>
  <c r="BJ98" i="5"/>
  <c r="BN98" i="5"/>
  <c r="BP98" i="5" s="1"/>
  <c r="S4" i="5"/>
  <c r="BL98" i="5"/>
  <c r="BG98" i="5"/>
  <c r="AL33" i="5"/>
  <c r="AP33" i="5" s="1"/>
  <c r="AQ33" i="5" s="1"/>
  <c r="BM98" i="5"/>
  <c r="BG100" i="5"/>
  <c r="O218" i="5"/>
  <c r="AP310" i="5"/>
  <c r="AQ310" i="5" s="1"/>
  <c r="O113" i="5"/>
  <c r="O248" i="5"/>
  <c r="O493" i="5"/>
  <c r="O363" i="5"/>
  <c r="BG97" i="5"/>
  <c r="BG91" i="5"/>
  <c r="BK100" i="5"/>
  <c r="O449" i="5"/>
  <c r="O212" i="5"/>
  <c r="O414" i="5"/>
  <c r="O424" i="5"/>
  <c r="O221" i="5"/>
  <c r="AP221" i="5"/>
  <c r="AP230" i="5"/>
  <c r="AQ230" i="5" s="1"/>
  <c r="AJ405" i="5"/>
  <c r="S70" i="5"/>
  <c r="BJ91" i="5"/>
  <c r="AP215" i="5"/>
  <c r="AQ215" i="5" s="1"/>
  <c r="T215" i="5" s="1"/>
  <c r="BM100" i="5"/>
  <c r="BH100" i="5"/>
  <c r="AP202" i="5"/>
  <c r="AQ202" i="5" s="1"/>
  <c r="T202" i="5" s="1"/>
  <c r="BN91" i="5"/>
  <c r="BP91" i="5" s="1"/>
  <c r="AS44" i="5"/>
  <c r="M44" i="5" s="1"/>
  <c r="AO44" i="5"/>
  <c r="R44" i="5" s="1"/>
  <c r="AO43" i="5"/>
  <c r="R43" i="5" s="1"/>
  <c r="AN43" i="5"/>
  <c r="Q43" i="5" s="1"/>
  <c r="AT43" i="5"/>
  <c r="K43" i="5" s="1"/>
  <c r="BN87" i="5"/>
  <c r="BP87" i="5" s="1"/>
  <c r="AO41" i="5"/>
  <c r="AP353" i="5"/>
  <c r="AQ353" i="5" s="1"/>
  <c r="T353" i="5" s="1"/>
  <c r="BK87" i="5"/>
  <c r="AO50" i="5"/>
  <c r="R50" i="5" s="1"/>
  <c r="AO51" i="5"/>
  <c r="R51" i="5" s="1"/>
  <c r="O137" i="5"/>
  <c r="O243" i="5"/>
  <c r="BH87" i="5"/>
  <c r="BL97" i="5"/>
  <c r="BI97" i="5"/>
  <c r="AS40" i="5"/>
  <c r="M40" i="5" s="1"/>
  <c r="AO40" i="5"/>
  <c r="R40" i="5" s="1"/>
  <c r="AM36" i="5"/>
  <c r="P36" i="5" s="1"/>
  <c r="AM28" i="5"/>
  <c r="P28" i="5" s="1"/>
  <c r="O275" i="5"/>
  <c r="AO49" i="5"/>
  <c r="R49" i="5" s="1"/>
  <c r="AO58" i="5"/>
  <c r="R58" i="5" s="1"/>
  <c r="AO42" i="5"/>
  <c r="R42" i="5" s="1"/>
  <c r="BN97" i="5"/>
  <c r="BP97" i="5" s="1"/>
  <c r="BL100" i="5"/>
  <c r="AM33" i="5"/>
  <c r="P33" i="5" s="1"/>
  <c r="AM35" i="5"/>
  <c r="P35" i="5" s="1"/>
  <c r="AN46" i="5"/>
  <c r="Q46" i="5" s="1"/>
  <c r="AO46" i="5"/>
  <c r="R46" i="5" s="1"/>
  <c r="AM46" i="5"/>
  <c r="P46" i="5" s="1"/>
  <c r="AO45" i="5"/>
  <c r="R45" i="5" s="1"/>
  <c r="AR43" i="5"/>
  <c r="L43" i="5" s="1"/>
  <c r="AU55" i="5"/>
  <c r="AR55" i="5" s="1"/>
  <c r="L55" i="5" s="1"/>
  <c r="AO47" i="5"/>
  <c r="R47" i="5" s="1"/>
  <c r="AU60" i="5"/>
  <c r="AN60" i="5" s="1"/>
  <c r="Q60" i="5" s="1"/>
  <c r="AO48" i="5"/>
  <c r="R48" i="5" s="1"/>
  <c r="BN100" i="5"/>
  <c r="BP100" i="5" s="1"/>
  <c r="BI87" i="5"/>
  <c r="AM31" i="5"/>
  <c r="P31" i="5" s="1"/>
  <c r="AM29" i="5"/>
  <c r="P29" i="5" s="1"/>
  <c r="AM32" i="5"/>
  <c r="P32" i="5" s="1"/>
  <c r="L34" i="5"/>
  <c r="AL34" i="5"/>
  <c r="S21" i="5"/>
  <c r="S24" i="5"/>
  <c r="S25" i="5"/>
  <c r="S26" i="5"/>
  <c r="T26" i="5"/>
  <c r="S6" i="5"/>
  <c r="S27" i="5"/>
  <c r="T27" i="5"/>
  <c r="S20" i="5"/>
  <c r="S14" i="5"/>
  <c r="T14" i="5"/>
  <c r="S12" i="5"/>
  <c r="S10" i="5"/>
  <c r="T10" i="5"/>
  <c r="S11" i="5"/>
  <c r="S18" i="5"/>
  <c r="T18" i="5"/>
  <c r="S8" i="5"/>
  <c r="S22" i="5"/>
  <c r="S330" i="5"/>
  <c r="T225" i="5"/>
  <c r="T69" i="5"/>
  <c r="S106" i="5"/>
  <c r="S180" i="5"/>
  <c r="S217" i="5"/>
  <c r="S233" i="5"/>
  <c r="T73" i="5"/>
  <c r="T334" i="5"/>
  <c r="T296" i="5"/>
  <c r="T205" i="5"/>
  <c r="T68" i="5"/>
  <c r="T412" i="5"/>
  <c r="T72" i="5"/>
  <c r="T101" i="5"/>
  <c r="S376" i="5"/>
  <c r="S213" i="5"/>
  <c r="S174" i="5"/>
  <c r="T174" i="5"/>
  <c r="S83" i="5"/>
  <c r="S368" i="5"/>
  <c r="T408" i="5"/>
  <c r="T235" i="5"/>
  <c r="T172" i="5"/>
  <c r="S239" i="5"/>
  <c r="T239" i="5"/>
  <c r="T303" i="5"/>
  <c r="T342" i="5"/>
  <c r="T313" i="5"/>
  <c r="T135" i="5"/>
  <c r="T392" i="5"/>
  <c r="S388" i="5"/>
  <c r="BM87" i="5"/>
  <c r="BM97" i="5"/>
  <c r="BK97" i="5"/>
  <c r="BJ97" i="5"/>
  <c r="AP278" i="5"/>
  <c r="AQ278" i="5" s="1"/>
  <c r="T278" i="5" s="1"/>
  <c r="BJ87" i="5"/>
  <c r="BM93" i="5"/>
  <c r="BM91" i="5"/>
  <c r="BH91" i="5"/>
  <c r="BL91" i="5"/>
  <c r="BK91" i="5"/>
  <c r="BN93" i="5"/>
  <c r="BP93" i="5" s="1"/>
  <c r="BL93" i="5"/>
  <c r="BK93" i="5"/>
  <c r="BI93" i="5"/>
  <c r="BG93" i="5"/>
  <c r="BH93" i="5"/>
  <c r="AP271" i="5"/>
  <c r="AQ271" i="5" s="1"/>
  <c r="AP188" i="5"/>
  <c r="AQ188" i="5" s="1"/>
  <c r="AP176" i="5"/>
  <c r="AQ176" i="5" s="1"/>
  <c r="O177" i="5"/>
  <c r="O437" i="5"/>
  <c r="AP326" i="5"/>
  <c r="AQ326" i="5" s="1"/>
  <c r="O264" i="5"/>
  <c r="AP455" i="5"/>
  <c r="AQ455" i="5" s="1"/>
  <c r="O438" i="5"/>
  <c r="O96" i="5"/>
  <c r="AP105" i="5"/>
  <c r="AQ105" i="5" s="1"/>
  <c r="O251" i="5"/>
  <c r="T330" i="5"/>
  <c r="AL32" i="5"/>
  <c r="O32" i="5" s="1"/>
  <c r="AP120" i="5"/>
  <c r="AQ120" i="5" s="1"/>
  <c r="O417" i="5"/>
  <c r="AP282" i="5"/>
  <c r="AQ282" i="5" s="1"/>
  <c r="O187" i="5"/>
  <c r="AP290" i="5"/>
  <c r="AQ290" i="5" s="1"/>
  <c r="AP480" i="5"/>
  <c r="AQ480" i="5" s="1"/>
  <c r="AP442" i="5"/>
  <c r="AQ442" i="5" s="1"/>
  <c r="AP360" i="5"/>
  <c r="AQ360" i="5" s="1"/>
  <c r="S69" i="5"/>
  <c r="O294" i="5"/>
  <c r="AP315" i="5"/>
  <c r="AQ315" i="5" s="1"/>
  <c r="AP470" i="5"/>
  <c r="AQ470" i="5" s="1"/>
  <c r="O466" i="5"/>
  <c r="O196" i="5"/>
  <c r="AP332" i="5"/>
  <c r="AQ332" i="5" s="1"/>
  <c r="O464" i="5"/>
  <c r="O335" i="5"/>
  <c r="AP286" i="5"/>
  <c r="AQ286" i="5" s="1"/>
  <c r="AP250" i="5"/>
  <c r="AQ250" i="5" s="1"/>
  <c r="T368" i="5"/>
  <c r="AP207" i="5"/>
  <c r="AQ207" i="5" s="1"/>
  <c r="AP328" i="5"/>
  <c r="AQ328" i="5" s="1"/>
  <c r="AP356" i="5"/>
  <c r="AQ356" i="5" s="1"/>
  <c r="AP97" i="5"/>
  <c r="AQ97" i="5" s="1"/>
  <c r="O402" i="5"/>
  <c r="AP309" i="5"/>
  <c r="AQ309" i="5" s="1"/>
  <c r="S225" i="5"/>
  <c r="S392" i="5"/>
  <c r="L36" i="5"/>
  <c r="T388" i="5"/>
  <c r="AP118" i="5"/>
  <c r="AQ118" i="5" s="1"/>
  <c r="T11" i="5"/>
  <c r="AP482" i="5"/>
  <c r="AQ482" i="5" s="1"/>
  <c r="AT40" i="5"/>
  <c r="K40" i="5" s="1"/>
  <c r="AP197" i="5"/>
  <c r="AQ197" i="5" s="1"/>
  <c r="O183" i="5"/>
  <c r="AN44" i="5"/>
  <c r="Q44" i="5" s="1"/>
  <c r="S408" i="5"/>
  <c r="S342" i="5"/>
  <c r="AJ266" i="5"/>
  <c r="AT44" i="5"/>
  <c r="K44" i="5" s="1"/>
  <c r="O352" i="5"/>
  <c r="O199" i="5"/>
  <c r="AR44" i="5"/>
  <c r="L44" i="5" s="1"/>
  <c r="AU56" i="5"/>
  <c r="AP179" i="5"/>
  <c r="AQ179" i="5" s="1"/>
  <c r="O169" i="5"/>
  <c r="T376" i="5"/>
  <c r="S135" i="5"/>
  <c r="O193" i="5"/>
  <c r="T357" i="5"/>
  <c r="AJ101" i="5"/>
  <c r="O191" i="5"/>
  <c r="AP16" i="5"/>
  <c r="AQ16" i="5" s="1"/>
  <c r="O331" i="5"/>
  <c r="AP484" i="5"/>
  <c r="AQ484" i="5" s="1"/>
  <c r="O125" i="5"/>
  <c r="S101" i="5"/>
  <c r="O302" i="5"/>
  <c r="O160" i="5"/>
  <c r="O201" i="5"/>
  <c r="O190" i="5"/>
  <c r="AU52" i="5"/>
  <c r="AR40" i="5"/>
  <c r="L40" i="5" s="1"/>
  <c r="AP185" i="5"/>
  <c r="AQ185" i="5" s="1"/>
  <c r="O94" i="5"/>
  <c r="O300" i="5"/>
  <c r="AN40" i="5"/>
  <c r="Q40" i="5" s="1"/>
  <c r="AP441" i="5"/>
  <c r="AQ441" i="5" s="1"/>
  <c r="AJ74" i="5"/>
  <c r="O195" i="5"/>
  <c r="O87" i="5"/>
  <c r="AP497" i="5"/>
  <c r="AQ497" i="5" s="1"/>
  <c r="AJ11" i="5"/>
  <c r="O109" i="5"/>
  <c r="O142" i="5"/>
  <c r="O156" i="5"/>
  <c r="AP161" i="5"/>
  <c r="AQ161" i="5" s="1"/>
  <c r="AJ133" i="5"/>
  <c r="AP36" i="5"/>
  <c r="AQ36" i="5" s="1"/>
  <c r="BI86" i="5"/>
  <c r="S73" i="5"/>
  <c r="T213" i="5"/>
  <c r="T83" i="5"/>
  <c r="AJ263" i="5"/>
  <c r="S205" i="5"/>
  <c r="S72" i="5"/>
  <c r="S412" i="5"/>
  <c r="T22" i="5"/>
  <c r="BK87" i="1"/>
  <c r="BH87" i="4"/>
  <c r="BF96" i="4"/>
  <c r="BH96" i="4"/>
  <c r="BF98" i="4"/>
  <c r="BH98" i="4"/>
  <c r="AK375" i="1"/>
  <c r="AK157" i="1"/>
  <c r="BM91" i="1"/>
  <c r="AR167" i="1"/>
  <c r="T167" i="1"/>
  <c r="P109" i="1"/>
  <c r="AQ109" i="1"/>
  <c r="AR155" i="1"/>
  <c r="T155" i="1"/>
  <c r="AR277" i="1"/>
  <c r="T277" i="1"/>
  <c r="AQ361" i="1"/>
  <c r="P361" i="1"/>
  <c r="P387" i="1"/>
  <c r="AQ387" i="1"/>
  <c r="AR193" i="4"/>
  <c r="T193" i="4"/>
  <c r="T338" i="4"/>
  <c r="AR338" i="4"/>
  <c r="P177" i="4"/>
  <c r="AQ177" i="4"/>
  <c r="AR553" i="4"/>
  <c r="T553" i="4"/>
  <c r="T144" i="1"/>
  <c r="AR144" i="1"/>
  <c r="AR287" i="1"/>
  <c r="T287" i="1"/>
  <c r="AQ333" i="1"/>
  <c r="P333" i="1"/>
  <c r="P381" i="1"/>
  <c r="AQ381" i="1"/>
  <c r="T9" i="4"/>
  <c r="AR9" i="4"/>
  <c r="P560" i="4"/>
  <c r="AQ560" i="4"/>
  <c r="AR148" i="1"/>
  <c r="T148" i="1"/>
  <c r="AR279" i="1"/>
  <c r="T279" i="1"/>
  <c r="AQ321" i="1"/>
  <c r="P321" i="1"/>
  <c r="P368" i="1"/>
  <c r="AQ368" i="1"/>
  <c r="AR60" i="4"/>
  <c r="T60" i="4"/>
  <c r="AQ119" i="4"/>
  <c r="P119" i="4"/>
  <c r="AR558" i="4"/>
  <c r="T558" i="4"/>
  <c r="AQ309" i="1"/>
  <c r="P309" i="1"/>
  <c r="P385" i="1"/>
  <c r="AQ385" i="1"/>
  <c r="AR128" i="4"/>
  <c r="T128" i="4"/>
  <c r="AR126" i="4"/>
  <c r="T126" i="4"/>
  <c r="T148" i="4"/>
  <c r="AR148" i="4"/>
  <c r="AR224" i="4"/>
  <c r="T224" i="4"/>
  <c r="AR322" i="4"/>
  <c r="T322" i="4"/>
  <c r="BI87" i="1"/>
  <c r="BF87" i="4"/>
  <c r="BJ96" i="4"/>
  <c r="BL96" i="4"/>
  <c r="BN96" i="4" s="1"/>
  <c r="BJ98" i="4"/>
  <c r="BL98" i="4"/>
  <c r="BN98" i="4" s="1"/>
  <c r="BL100" i="4"/>
  <c r="BN100" i="4" s="1"/>
  <c r="BL91" i="1"/>
  <c r="AR275" i="1"/>
  <c r="T275" i="1"/>
  <c r="T218" i="1"/>
  <c r="AR218" i="1"/>
  <c r="AR93" i="1"/>
  <c r="T93" i="1"/>
  <c r="AQ345" i="1"/>
  <c r="P345" i="1"/>
  <c r="T14" i="4"/>
  <c r="AR14" i="4"/>
  <c r="P165" i="4"/>
  <c r="AQ165" i="4"/>
  <c r="AR304" i="4"/>
  <c r="T304" i="4"/>
  <c r="AR484" i="4"/>
  <c r="T484" i="4"/>
  <c r="S13" i="5"/>
  <c r="AR101" i="1"/>
  <c r="T101" i="1"/>
  <c r="T161" i="1"/>
  <c r="AR161" i="1"/>
  <c r="AR226" i="1"/>
  <c r="T226" i="1"/>
  <c r="AR99" i="1"/>
  <c r="T99" i="1"/>
  <c r="AR163" i="1"/>
  <c r="T163" i="1"/>
  <c r="AQ317" i="1"/>
  <c r="P317" i="1"/>
  <c r="AQ376" i="4"/>
  <c r="P376" i="4"/>
  <c r="AQ121" i="4"/>
  <c r="P121" i="4"/>
  <c r="P356" i="4"/>
  <c r="AQ356" i="4"/>
  <c r="P216" i="4"/>
  <c r="AQ216" i="4"/>
  <c r="P366" i="4"/>
  <c r="AQ366" i="4"/>
  <c r="AR312" i="4"/>
  <c r="T312" i="4"/>
  <c r="AR545" i="4"/>
  <c r="T545" i="4"/>
  <c r="AR105" i="1"/>
  <c r="T105" i="1"/>
  <c r="AQ305" i="1"/>
  <c r="P305" i="1"/>
  <c r="T389" i="1"/>
  <c r="AR389" i="1"/>
  <c r="P77" i="4"/>
  <c r="AQ77" i="4"/>
  <c r="AR318" i="4"/>
  <c r="T318" i="4"/>
  <c r="AR208" i="4"/>
  <c r="T208" i="4"/>
  <c r="AR297" i="4"/>
  <c r="T297" i="4"/>
  <c r="P119" i="1"/>
  <c r="AQ119" i="1"/>
  <c r="AR291" i="1"/>
  <c r="T291" i="1"/>
  <c r="AQ357" i="1"/>
  <c r="P357" i="1"/>
  <c r="AR155" i="4"/>
  <c r="T155" i="4"/>
  <c r="AQ344" i="4"/>
  <c r="P344" i="4"/>
  <c r="P204" i="4"/>
  <c r="AQ204" i="4"/>
  <c r="P354" i="4"/>
  <c r="AQ354" i="4"/>
  <c r="T494" i="4"/>
  <c r="AR494" i="4"/>
  <c r="AR97" i="1"/>
  <c r="T97" i="1"/>
  <c r="P165" i="1"/>
  <c r="AQ165" i="1"/>
  <c r="AR283" i="1"/>
  <c r="T283" i="1"/>
  <c r="AQ329" i="1"/>
  <c r="P329" i="1"/>
  <c r="P454" i="4"/>
  <c r="AQ454" i="4"/>
  <c r="T538" i="4"/>
  <c r="AR538" i="4"/>
  <c r="AR464" i="4"/>
  <c r="T464" i="4"/>
  <c r="T128" i="1"/>
  <c r="AR128" i="1"/>
  <c r="AQ301" i="1"/>
  <c r="P301" i="1"/>
  <c r="AQ365" i="1"/>
  <c r="P365" i="1"/>
  <c r="P300" i="4"/>
  <c r="AQ300" i="4"/>
  <c r="AR334" i="4"/>
  <c r="T334" i="4"/>
  <c r="P169" i="4"/>
  <c r="AQ169" i="4"/>
  <c r="T482" i="4"/>
  <c r="AR482" i="4"/>
  <c r="AR132" i="1"/>
  <c r="T132" i="1"/>
  <c r="AR379" i="1"/>
  <c r="T379" i="1"/>
  <c r="AQ353" i="1"/>
  <c r="P353" i="1"/>
  <c r="T11" i="4"/>
  <c r="AR11" i="4"/>
  <c r="P220" i="4"/>
  <c r="AQ220" i="4"/>
  <c r="AR379" i="4"/>
  <c r="T379" i="4"/>
  <c r="AR490" i="4"/>
  <c r="T490" i="4"/>
  <c r="T118" i="1"/>
  <c r="AR118" i="1"/>
  <c r="AR299" i="1"/>
  <c r="T299" i="1"/>
  <c r="AQ341" i="1"/>
  <c r="P341" i="1"/>
  <c r="AR364" i="4"/>
  <c r="T364" i="4"/>
  <c r="AR358" i="4"/>
  <c r="T358" i="4"/>
  <c r="O33" i="5"/>
  <c r="AP231" i="5"/>
  <c r="AQ231" i="5" s="1"/>
  <c r="AR136" i="1"/>
  <c r="T136" i="1"/>
  <c r="AQ281" i="1"/>
  <c r="P281" i="1"/>
  <c r="AQ126" i="1"/>
  <c r="P126" i="1"/>
  <c r="AR140" i="1"/>
  <c r="T140" i="1"/>
  <c r="AR151" i="1"/>
  <c r="T151" i="1"/>
  <c r="P300" i="1"/>
  <c r="AQ300" i="1"/>
  <c r="AQ313" i="1"/>
  <c r="P313" i="1"/>
  <c r="P65" i="4"/>
  <c r="AQ65" i="4"/>
  <c r="AR422" i="4"/>
  <c r="T422" i="4"/>
  <c r="P551" i="4"/>
  <c r="AQ551" i="4"/>
  <c r="S9" i="5"/>
  <c r="AR159" i="1"/>
  <c r="T159" i="1"/>
  <c r="T169" i="1"/>
  <c r="AR169" i="1"/>
  <c r="AR113" i="1"/>
  <c r="T113" i="1"/>
  <c r="AR171" i="1"/>
  <c r="T171" i="1"/>
  <c r="AQ349" i="1"/>
  <c r="P349" i="1"/>
  <c r="P375" i="4"/>
  <c r="AQ375" i="4"/>
  <c r="AQ295" i="4"/>
  <c r="P295" i="4"/>
  <c r="AR185" i="4"/>
  <c r="T185" i="4"/>
  <c r="AR314" i="4"/>
  <c r="T314" i="4"/>
  <c r="S5" i="5"/>
  <c r="S7" i="5"/>
  <c r="AR91" i="1"/>
  <c r="T91" i="1"/>
  <c r="AR234" i="1"/>
  <c r="T234" i="1"/>
  <c r="AQ337" i="1"/>
  <c r="P337" i="1"/>
  <c r="P391" i="1"/>
  <c r="AQ391" i="1"/>
  <c r="AR308" i="4"/>
  <c r="T308" i="4"/>
  <c r="AQ365" i="4"/>
  <c r="P365" i="4"/>
  <c r="AQ340" i="4"/>
  <c r="P340" i="4"/>
  <c r="P175" i="1"/>
  <c r="AQ175" i="1"/>
  <c r="AR193" i="1"/>
  <c r="T193" i="1"/>
  <c r="AQ325" i="1"/>
  <c r="P325" i="1"/>
  <c r="AQ450" i="4"/>
  <c r="P450" i="4"/>
  <c r="P189" i="4"/>
  <c r="AQ189" i="4"/>
  <c r="P540" i="4"/>
  <c r="AQ540" i="4"/>
  <c r="AQ542" i="4"/>
  <c r="P542" i="4"/>
  <c r="T330" i="4"/>
  <c r="AR330" i="4"/>
  <c r="AR326" i="4"/>
  <c r="T326" i="4"/>
  <c r="T160" i="5"/>
  <c r="S160" i="5"/>
  <c r="O129" i="5"/>
  <c r="O112" i="5"/>
  <c r="AJ160" i="5"/>
  <c r="O189" i="5"/>
  <c r="O364" i="5"/>
  <c r="O346" i="5"/>
  <c r="AP323" i="5"/>
  <c r="AQ323" i="5" s="1"/>
  <c r="O339" i="5"/>
  <c r="AP141" i="5"/>
  <c r="AQ141" i="5" s="1"/>
  <c r="O135" i="5"/>
  <c r="AJ342" i="5"/>
  <c r="O173" i="5"/>
  <c r="S296" i="5"/>
  <c r="AP490" i="5"/>
  <c r="AQ490" i="5" s="1"/>
  <c r="O93" i="5"/>
  <c r="O148" i="5"/>
  <c r="AP311" i="5"/>
  <c r="AQ311" i="5" s="1"/>
  <c r="O350" i="5"/>
  <c r="AJ276" i="5"/>
  <c r="AP284" i="5"/>
  <c r="AQ284" i="5" s="1"/>
  <c r="AS48" i="5"/>
  <c r="M48" i="5" s="1"/>
  <c r="S313" i="5"/>
  <c r="O209" i="5"/>
  <c r="AP209" i="5"/>
  <c r="AQ209" i="5" s="1"/>
  <c r="AJ73" i="5"/>
  <c r="T106" i="5"/>
  <c r="O347" i="5"/>
  <c r="AN48" i="5"/>
  <c r="Q48" i="5" s="1"/>
  <c r="AT48" i="5"/>
  <c r="K48" i="5" s="1"/>
  <c r="S68" i="5"/>
  <c r="BJ92" i="5"/>
  <c r="AP338" i="5"/>
  <c r="AQ338" i="5" s="1"/>
  <c r="O292" i="5"/>
  <c r="AP292" i="5"/>
  <c r="AQ292" i="5" s="1"/>
  <c r="AP336" i="5"/>
  <c r="AQ336" i="5" s="1"/>
  <c r="O336" i="5"/>
  <c r="AR48" i="5"/>
  <c r="L48" i="5" s="1"/>
  <c r="O242" i="5"/>
  <c r="O181" i="5"/>
  <c r="O83" i="5"/>
  <c r="O313" i="5"/>
  <c r="T180" i="5"/>
  <c r="AJ412" i="5"/>
  <c r="AJ392" i="5"/>
  <c r="AJ361" i="5"/>
  <c r="O220" i="5"/>
  <c r="O453" i="5"/>
  <c r="O259" i="5"/>
  <c r="O237" i="5"/>
  <c r="AP237" i="5"/>
  <c r="AQ237" i="5" s="1"/>
  <c r="O139" i="5"/>
  <c r="AP139" i="5"/>
  <c r="AQ139" i="5" s="1"/>
  <c r="AL28" i="5"/>
  <c r="S303" i="5"/>
  <c r="O117" i="5"/>
  <c r="AJ303" i="5"/>
  <c r="AL31" i="5"/>
  <c r="T233" i="5"/>
  <c r="S235" i="5"/>
  <c r="O426" i="5"/>
  <c r="O324" i="5"/>
  <c r="AP324" i="5"/>
  <c r="AQ324" i="5" s="1"/>
  <c r="O91" i="5"/>
  <c r="AP91" i="5"/>
  <c r="AQ91" i="5" s="1"/>
  <c r="O206" i="5"/>
  <c r="O138" i="5"/>
  <c r="AJ235" i="5"/>
  <c r="AJ408" i="5"/>
  <c r="BH88" i="5"/>
  <c r="AJ404" i="5"/>
  <c r="O348" i="5"/>
  <c r="O122" i="5"/>
  <c r="S172" i="5"/>
  <c r="BL92" i="5"/>
  <c r="AP147" i="5"/>
  <c r="AQ147" i="5" s="1"/>
  <c r="O147" i="5"/>
  <c r="AS45" i="5"/>
  <c r="M45" i="5" s="1"/>
  <c r="AU57" i="5"/>
  <c r="AN45" i="5"/>
  <c r="Q45" i="5" s="1"/>
  <c r="AT45" i="5"/>
  <c r="K45" i="5" s="1"/>
  <c r="AR45" i="5"/>
  <c r="AM45" i="5" s="1"/>
  <c r="O265" i="5"/>
  <c r="AP265" i="5"/>
  <c r="AQ265" i="5" s="1"/>
  <c r="BG86" i="5"/>
  <c r="AJ296" i="5"/>
  <c r="S329" i="5"/>
  <c r="S254" i="5"/>
  <c r="T254" i="5"/>
  <c r="AJ99" i="5"/>
  <c r="S334" i="5"/>
  <c r="AP102" i="5"/>
  <c r="AQ102" i="5" s="1"/>
  <c r="O102" i="5"/>
  <c r="AP246" i="5"/>
  <c r="AQ246" i="5" s="1"/>
  <c r="O246" i="5"/>
  <c r="O370" i="5"/>
  <c r="BI92" i="5"/>
  <c r="O322" i="5"/>
  <c r="AP322" i="5"/>
  <c r="AQ322" i="5" s="1"/>
  <c r="S262" i="5"/>
  <c r="AJ65" i="5"/>
  <c r="AJ79" i="5"/>
  <c r="T217" i="5"/>
  <c r="AP298" i="5"/>
  <c r="AQ298" i="5" s="1"/>
  <c r="AJ154" i="5"/>
  <c r="AJ64" i="5"/>
  <c r="BH86" i="5"/>
  <c r="BJ86" i="5"/>
  <c r="AP146" i="5"/>
  <c r="AQ146" i="5" s="1"/>
  <c r="AP476" i="5"/>
  <c r="AQ476" i="5" s="1"/>
  <c r="BK92" i="5"/>
  <c r="BM92" i="5"/>
  <c r="O268" i="5"/>
  <c r="O416" i="5"/>
  <c r="AP416" i="5"/>
  <c r="AQ416" i="5" s="1"/>
  <c r="AP257" i="5"/>
  <c r="AQ257" i="5" s="1"/>
  <c r="O257" i="5"/>
  <c r="O249" i="5"/>
  <c r="AP249" i="5"/>
  <c r="AQ249" i="5" s="1"/>
  <c r="O318" i="5"/>
  <c r="AP318" i="5"/>
  <c r="AQ318" i="5" s="1"/>
  <c r="AJ384" i="5"/>
  <c r="AJ68" i="5"/>
  <c r="AJ321" i="5"/>
  <c r="BL86" i="5"/>
  <c r="BN86" i="5"/>
  <c r="BP86" i="5" s="1"/>
  <c r="AJ313" i="5"/>
  <c r="BG92" i="5"/>
  <c r="AP337" i="5"/>
  <c r="AQ337" i="5" s="1"/>
  <c r="O337" i="5"/>
  <c r="AP344" i="5"/>
  <c r="AQ344" i="5" s="1"/>
  <c r="O344" i="5"/>
  <c r="S259" i="5"/>
  <c r="AP88" i="5"/>
  <c r="AQ88" i="5" s="1"/>
  <c r="O88" i="5"/>
  <c r="AP152" i="5"/>
  <c r="AQ152" i="5" s="1"/>
  <c r="O152" i="5"/>
  <c r="AL37" i="5"/>
  <c r="O37" i="5" s="1"/>
  <c r="L37" i="5"/>
  <c r="P37" i="5"/>
  <c r="AR50" i="5"/>
  <c r="L50" i="5" s="1"/>
  <c r="AT50" i="5"/>
  <c r="K50" i="5" s="1"/>
  <c r="AU62" i="5"/>
  <c r="AS50" i="5"/>
  <c r="M50" i="5" s="1"/>
  <c r="AN50" i="5"/>
  <c r="Q50" i="5" s="1"/>
  <c r="AU63" i="5"/>
  <c r="AT51" i="5"/>
  <c r="K51" i="5" s="1"/>
  <c r="AS51" i="5"/>
  <c r="M51" i="5" s="1"/>
  <c r="AR51" i="5"/>
  <c r="AM51" i="5" s="1"/>
  <c r="AN51" i="5"/>
  <c r="Q51" i="5" s="1"/>
  <c r="S227" i="5"/>
  <c r="O155" i="5"/>
  <c r="AP155" i="5"/>
  <c r="AQ155" i="5" s="1"/>
  <c r="O229" i="5"/>
  <c r="AP229" i="5"/>
  <c r="AQ229" i="5" s="1"/>
  <c r="S438" i="5"/>
  <c r="S270" i="5"/>
  <c r="O314" i="5"/>
  <c r="AP314" i="5"/>
  <c r="AQ314" i="5" s="1"/>
  <c r="AL30" i="5"/>
  <c r="O30" i="5" s="1"/>
  <c r="L30" i="5"/>
  <c r="P30" i="5"/>
  <c r="O166" i="5"/>
  <c r="AP166" i="5"/>
  <c r="AQ166" i="5" s="1"/>
  <c r="S196" i="5"/>
  <c r="S117" i="5"/>
  <c r="O153" i="5"/>
  <c r="AP153" i="5"/>
  <c r="AQ153" i="5" s="1"/>
  <c r="O157" i="5"/>
  <c r="AP157" i="5"/>
  <c r="AQ157" i="5" s="1"/>
  <c r="O288" i="5"/>
  <c r="AP288" i="5"/>
  <c r="AQ288" i="5" s="1"/>
  <c r="O316" i="5"/>
  <c r="AP316" i="5"/>
  <c r="AQ316" i="5" s="1"/>
  <c r="S418" i="5"/>
  <c r="S252" i="5"/>
  <c r="BL94" i="5"/>
  <c r="O115" i="5"/>
  <c r="AP115" i="5"/>
  <c r="AQ115" i="5" s="1"/>
  <c r="S256" i="5"/>
  <c r="S417" i="5"/>
  <c r="L39" i="5"/>
  <c r="P39" i="5"/>
  <c r="AL39" i="5"/>
  <c r="O39" i="5" s="1"/>
  <c r="S251" i="5"/>
  <c r="O110" i="5"/>
  <c r="AP110" i="5"/>
  <c r="AQ110" i="5" s="1"/>
  <c r="AS58" i="5"/>
  <c r="M58" i="5" s="1"/>
  <c r="AR58" i="5"/>
  <c r="AM58" i="5" s="1"/>
  <c r="AT58" i="5"/>
  <c r="K58" i="5" s="1"/>
  <c r="AN58" i="5"/>
  <c r="Q58" i="5" s="1"/>
  <c r="AP274" i="5"/>
  <c r="AQ274" i="5" s="1"/>
  <c r="O274" i="5"/>
  <c r="S253" i="5"/>
  <c r="S267" i="5"/>
  <c r="S264" i="5"/>
  <c r="O200" i="5"/>
  <c r="AP200" i="5"/>
  <c r="AQ200" i="5" s="1"/>
  <c r="S137" i="5"/>
  <c r="O178" i="5"/>
  <c r="AP178" i="5"/>
  <c r="AQ178" i="5" s="1"/>
  <c r="O184" i="5"/>
  <c r="AP184" i="5"/>
  <c r="AQ184" i="5" s="1"/>
  <c r="S426" i="5"/>
  <c r="O299" i="5"/>
  <c r="AP299" i="5"/>
  <c r="AQ299" i="5" s="1"/>
  <c r="AP372" i="5"/>
  <c r="AQ372" i="5" s="1"/>
  <c r="O372" i="5"/>
  <c r="O349" i="5"/>
  <c r="AP349" i="5"/>
  <c r="AQ349" i="5" s="1"/>
  <c r="O280" i="5"/>
  <c r="AP280" i="5"/>
  <c r="AQ280" i="5" s="1"/>
  <c r="S244" i="5"/>
  <c r="BK86" i="5"/>
  <c r="BI94" i="5"/>
  <c r="BM94" i="5"/>
  <c r="BN92" i="5"/>
  <c r="BP92" i="5" s="1"/>
  <c r="S275" i="5"/>
  <c r="O159" i="5"/>
  <c r="AP159" i="5"/>
  <c r="AQ159" i="5" s="1"/>
  <c r="L38" i="5"/>
  <c r="P38" i="5"/>
  <c r="AL38" i="5"/>
  <c r="O38" i="5" s="1"/>
  <c r="S145" i="5"/>
  <c r="S223" i="5"/>
  <c r="L46" i="5"/>
  <c r="AL46" i="5"/>
  <c r="O46" i="5" s="1"/>
  <c r="S255" i="5"/>
  <c r="S113" i="5"/>
  <c r="S148" i="5"/>
  <c r="S134" i="5"/>
  <c r="S211" i="5"/>
  <c r="AP419" i="5"/>
  <c r="AQ419" i="5" s="1"/>
  <c r="O419" i="5"/>
  <c r="O170" i="5"/>
  <c r="AP170" i="5"/>
  <c r="AQ170" i="5" s="1"/>
  <c r="AP111" i="5"/>
  <c r="AQ111" i="5" s="1"/>
  <c r="O111" i="5"/>
  <c r="S151" i="5"/>
  <c r="AP269" i="5"/>
  <c r="AQ269" i="5" s="1"/>
  <c r="O269" i="5"/>
  <c r="O219" i="5"/>
  <c r="AP219" i="5"/>
  <c r="AQ219" i="5" s="1"/>
  <c r="O168" i="5"/>
  <c r="AP168" i="5"/>
  <c r="AQ168" i="5" s="1"/>
  <c r="O203" i="5"/>
  <c r="AP203" i="5"/>
  <c r="AQ203" i="5" s="1"/>
  <c r="S268" i="5"/>
  <c r="O320" i="5"/>
  <c r="AP320" i="5"/>
  <c r="AQ320" i="5" s="1"/>
  <c r="S247" i="5"/>
  <c r="BJ94" i="5"/>
  <c r="BK94" i="5"/>
  <c r="S93" i="5"/>
  <c r="S192" i="5"/>
  <c r="AS49" i="5"/>
  <c r="M49" i="5" s="1"/>
  <c r="AR49" i="5"/>
  <c r="AM49" i="5" s="1"/>
  <c r="AT49" i="5"/>
  <c r="K49" i="5" s="1"/>
  <c r="AU61" i="5"/>
  <c r="AN49" i="5"/>
  <c r="Q49" i="5" s="1"/>
  <c r="S352" i="5"/>
  <c r="S248" i="5"/>
  <c r="S258" i="5"/>
  <c r="S365" i="5"/>
  <c r="AP396" i="5"/>
  <c r="AQ396" i="5" s="1"/>
  <c r="O396" i="5"/>
  <c r="S272" i="5"/>
  <c r="O182" i="5"/>
  <c r="AP182" i="5"/>
  <c r="AQ182" i="5" s="1"/>
  <c r="S261" i="5"/>
  <c r="S446" i="5"/>
  <c r="AP400" i="5"/>
  <c r="AQ400" i="5" s="1"/>
  <c r="O400" i="5"/>
  <c r="AR42" i="5"/>
  <c r="L42" i="5" s="1"/>
  <c r="AT42" i="5"/>
  <c r="K42" i="5" s="1"/>
  <c r="AU54" i="5"/>
  <c r="AS42" i="5"/>
  <c r="M42" i="5" s="1"/>
  <c r="AN42" i="5"/>
  <c r="Q42" i="5" s="1"/>
  <c r="O108" i="5"/>
  <c r="AP108" i="5"/>
  <c r="AQ108" i="5" s="1"/>
  <c r="S245" i="5"/>
  <c r="S430" i="5"/>
  <c r="S434" i="5"/>
  <c r="S243" i="5"/>
  <c r="O143" i="5"/>
  <c r="AP143" i="5"/>
  <c r="AQ143" i="5" s="1"/>
  <c r="S273" i="5"/>
  <c r="S260" i="5"/>
  <c r="T234" i="5"/>
  <c r="S234" i="5"/>
  <c r="S460" i="5"/>
  <c r="T460" i="5"/>
  <c r="T425" i="5"/>
  <c r="S425" i="5"/>
  <c r="AR60" i="1"/>
  <c r="U60" i="1" s="1"/>
  <c r="T60" i="1"/>
  <c r="AR54" i="1"/>
  <c r="U54" i="1" s="1"/>
  <c r="T54" i="1"/>
  <c r="AP149" i="5"/>
  <c r="AQ149" i="5" s="1"/>
  <c r="O149" i="5"/>
  <c r="AP17" i="5"/>
  <c r="AQ17" i="5" s="1"/>
  <c r="AP23" i="5"/>
  <c r="AQ23" i="5" s="1"/>
  <c r="AP78" i="5"/>
  <c r="AQ78" i="5" s="1"/>
  <c r="O78" i="5"/>
  <c r="AP103" i="5"/>
  <c r="AQ103" i="5" s="1"/>
  <c r="O103" i="5"/>
  <c r="AP136" i="5"/>
  <c r="AQ136" i="5" s="1"/>
  <c r="O136" i="5"/>
  <c r="BH90" i="5"/>
  <c r="BJ90" i="5"/>
  <c r="O238" i="5"/>
  <c r="AP238" i="5"/>
  <c r="AQ238" i="5" s="1"/>
  <c r="AP394" i="5"/>
  <c r="AQ394" i="5" s="1"/>
  <c r="O394" i="5"/>
  <c r="S308" i="5"/>
  <c r="T308" i="5"/>
  <c r="S347" i="5"/>
  <c r="T347" i="5"/>
  <c r="U12" i="1"/>
  <c r="AK12" i="1"/>
  <c r="S450" i="5"/>
  <c r="T450" i="5"/>
  <c r="T44" i="1"/>
  <c r="AR44" i="1"/>
  <c r="U44" i="1" s="1"/>
  <c r="AP435" i="5"/>
  <c r="AQ435" i="5" s="1"/>
  <c r="O435" i="5"/>
  <c r="AP461" i="5"/>
  <c r="AQ461" i="5" s="1"/>
  <c r="O461" i="5"/>
  <c r="BN87" i="1"/>
  <c r="BH87" i="1"/>
  <c r="AR32" i="1"/>
  <c r="U32" i="1" s="1"/>
  <c r="T32" i="1"/>
  <c r="AQ35" i="1"/>
  <c r="P35" i="1"/>
  <c r="AR40" i="1"/>
  <c r="U40" i="1" s="1"/>
  <c r="T40" i="1"/>
  <c r="AQ70" i="1"/>
  <c r="P70" i="1"/>
  <c r="AR78" i="1"/>
  <c r="T78" i="1"/>
  <c r="AR86" i="1"/>
  <c r="U86" i="1" s="1"/>
  <c r="T86" i="1"/>
  <c r="AQ186" i="1"/>
  <c r="P186" i="1"/>
  <c r="AQ247" i="1"/>
  <c r="P247" i="1"/>
  <c r="AR237" i="1"/>
  <c r="T237" i="1"/>
  <c r="AR271" i="1"/>
  <c r="U271" i="1" s="1"/>
  <c r="T271" i="1"/>
  <c r="T328" i="1"/>
  <c r="AR328" i="1"/>
  <c r="U328" i="1" s="1"/>
  <c r="T340" i="1"/>
  <c r="AR340" i="1"/>
  <c r="AR187" i="1"/>
  <c r="U187" i="1" s="1"/>
  <c r="T187" i="1"/>
  <c r="AR198" i="1"/>
  <c r="U198" i="1" s="1"/>
  <c r="T198" i="1"/>
  <c r="AR206" i="1"/>
  <c r="U206" i="1" s="1"/>
  <c r="T206" i="1"/>
  <c r="AQ280" i="1"/>
  <c r="P280" i="1"/>
  <c r="AQ288" i="1"/>
  <c r="P288" i="1"/>
  <c r="BG92" i="4"/>
  <c r="BL92" i="4"/>
  <c r="BN92" i="4" s="1"/>
  <c r="BJ92" i="4"/>
  <c r="BI87" i="4"/>
  <c r="BK87" i="4"/>
  <c r="BI96" i="4"/>
  <c r="AK149" i="4"/>
  <c r="BI98" i="4"/>
  <c r="AQ53" i="4"/>
  <c r="P53" i="4"/>
  <c r="AR97" i="4"/>
  <c r="U97" i="4" s="1"/>
  <c r="T97" i="4"/>
  <c r="AK69" i="4"/>
  <c r="T109" i="4"/>
  <c r="AR109" i="4"/>
  <c r="U109" i="4" s="1"/>
  <c r="AK136" i="4"/>
  <c r="P171" i="4"/>
  <c r="AQ171" i="4"/>
  <c r="T323" i="4"/>
  <c r="AR323" i="4"/>
  <c r="T319" i="4"/>
  <c r="AR319" i="4"/>
  <c r="AR247" i="4"/>
  <c r="U247" i="4" s="1"/>
  <c r="T247" i="4"/>
  <c r="AR255" i="4"/>
  <c r="U255" i="4" s="1"/>
  <c r="T255" i="4"/>
  <c r="AR263" i="4"/>
  <c r="U263" i="4" s="1"/>
  <c r="T263" i="4"/>
  <c r="AR299" i="4"/>
  <c r="U299" i="4" s="1"/>
  <c r="T299" i="4"/>
  <c r="AR385" i="4"/>
  <c r="T385" i="4"/>
  <c r="AR345" i="4"/>
  <c r="U345" i="4" s="1"/>
  <c r="T345" i="4"/>
  <c r="AQ361" i="4"/>
  <c r="P361" i="4"/>
  <c r="AR335" i="4"/>
  <c r="U335" i="4" s="1"/>
  <c r="T335" i="4"/>
  <c r="P390" i="4"/>
  <c r="AQ390" i="4"/>
  <c r="AQ415" i="4"/>
  <c r="P415" i="4"/>
  <c r="AR430" i="4"/>
  <c r="U430" i="4" s="1"/>
  <c r="T430" i="4"/>
  <c r="AR479" i="4"/>
  <c r="T479" i="4"/>
  <c r="AR502" i="4"/>
  <c r="T502" i="4"/>
  <c r="AR513" i="4"/>
  <c r="U513" i="4" s="1"/>
  <c r="T513" i="4"/>
  <c r="AR530" i="4"/>
  <c r="T530" i="4"/>
  <c r="AR527" i="4"/>
  <c r="U527" i="4" s="1"/>
  <c r="T527" i="4"/>
  <c r="AR529" i="4"/>
  <c r="U529" i="4" s="1"/>
  <c r="T529" i="4"/>
  <c r="AR559" i="4"/>
  <c r="U559" i="4" s="1"/>
  <c r="T559" i="4"/>
  <c r="AQ440" i="4"/>
  <c r="P440" i="4"/>
  <c r="AR471" i="4"/>
  <c r="T471" i="4"/>
  <c r="S67" i="5"/>
  <c r="S198" i="5"/>
  <c r="T198" i="5"/>
  <c r="BI88" i="5"/>
  <c r="BN88" i="5"/>
  <c r="BP88" i="5" s="1"/>
  <c r="AP150" i="5"/>
  <c r="AQ150" i="5" s="1"/>
  <c r="O150" i="5"/>
  <c r="T112" i="5"/>
  <c r="S112" i="5"/>
  <c r="T173" i="5"/>
  <c r="S173" i="5"/>
  <c r="T189" i="5"/>
  <c r="S189" i="5"/>
  <c r="AK22" i="1"/>
  <c r="AR56" i="1"/>
  <c r="U56" i="1" s="1"/>
  <c r="T56" i="1"/>
  <c r="AR88" i="1"/>
  <c r="U88" i="1" s="1"/>
  <c r="T88" i="1"/>
  <c r="T331" i="5"/>
  <c r="S331" i="5"/>
  <c r="S364" i="5"/>
  <c r="T364" i="5"/>
  <c r="AP421" i="5"/>
  <c r="AQ421" i="5" s="1"/>
  <c r="O421" i="5"/>
  <c r="S429" i="5"/>
  <c r="T478" i="5"/>
  <c r="S478" i="5"/>
  <c r="O492" i="5"/>
  <c r="AP492" i="5"/>
  <c r="AQ492" i="5" s="1"/>
  <c r="AR64" i="1"/>
  <c r="U64" i="1" s="1"/>
  <c r="T64" i="1"/>
  <c r="T448" i="5"/>
  <c r="S448" i="5"/>
  <c r="AK153" i="1"/>
  <c r="AR43" i="1"/>
  <c r="U43" i="1" s="1"/>
  <c r="T43" i="1"/>
  <c r="AR112" i="1"/>
  <c r="U112" i="1" s="1"/>
  <c r="T112" i="1"/>
  <c r="AR158" i="1"/>
  <c r="U158" i="1" s="1"/>
  <c r="T158" i="1"/>
  <c r="T190" i="1"/>
  <c r="AR190" i="1"/>
  <c r="U190" i="1" s="1"/>
  <c r="AR156" i="1"/>
  <c r="T156" i="1"/>
  <c r="AR127" i="1"/>
  <c r="T127" i="1"/>
  <c r="AQ311" i="1"/>
  <c r="P311" i="1"/>
  <c r="AQ327" i="1"/>
  <c r="P327" i="1"/>
  <c r="T348" i="1"/>
  <c r="AR348" i="1"/>
  <c r="T364" i="1"/>
  <c r="AR364" i="1"/>
  <c r="AR393" i="1"/>
  <c r="T393" i="1"/>
  <c r="AR168" i="1"/>
  <c r="U168" i="1" s="1"/>
  <c r="T168" i="1"/>
  <c r="AR240" i="1"/>
  <c r="T240" i="1"/>
  <c r="T306" i="1"/>
  <c r="AR306" i="1"/>
  <c r="AQ43" i="4"/>
  <c r="P43" i="4"/>
  <c r="AR93" i="4"/>
  <c r="U93" i="4" s="1"/>
  <c r="T93" i="4"/>
  <c r="AK144" i="4"/>
  <c r="AQ202" i="4"/>
  <c r="P202" i="4"/>
  <c r="AR209" i="4"/>
  <c r="T209" i="4"/>
  <c r="AQ309" i="4"/>
  <c r="P309" i="4"/>
  <c r="T315" i="4"/>
  <c r="AR315" i="4"/>
  <c r="U315" i="4" s="1"/>
  <c r="AR324" i="4"/>
  <c r="T324" i="4"/>
  <c r="AR332" i="4"/>
  <c r="T332" i="4"/>
  <c r="T409" i="4"/>
  <c r="AR409" i="4"/>
  <c r="U409" i="4" s="1"/>
  <c r="T421" i="4"/>
  <c r="AR421" i="4"/>
  <c r="AQ453" i="4"/>
  <c r="P453" i="4"/>
  <c r="AQ457" i="4"/>
  <c r="P457" i="4"/>
  <c r="AR506" i="4"/>
  <c r="T506" i="4"/>
  <c r="AR526" i="4"/>
  <c r="T526" i="4"/>
  <c r="AJ70" i="5"/>
  <c r="AP82" i="5"/>
  <c r="AQ82" i="5" s="1"/>
  <c r="O82" i="5"/>
  <c r="AP140" i="5"/>
  <c r="AQ140" i="5" s="1"/>
  <c r="O140" i="5"/>
  <c r="T169" i="5"/>
  <c r="S169" i="5"/>
  <c r="T240" i="5"/>
  <c r="S240" i="5"/>
  <c r="AP312" i="5"/>
  <c r="AQ312" i="5" s="1"/>
  <c r="O312" i="5"/>
  <c r="AP390" i="5"/>
  <c r="AQ390" i="5" s="1"/>
  <c r="O390" i="5"/>
  <c r="T65" i="1"/>
  <c r="AR65" i="1"/>
  <c r="S458" i="5"/>
  <c r="AP305" i="5"/>
  <c r="AQ305" i="5" s="1"/>
  <c r="O305" i="5"/>
  <c r="O413" i="5"/>
  <c r="AP413" i="5"/>
  <c r="AQ413" i="5" s="1"/>
  <c r="AP427" i="5"/>
  <c r="AQ427" i="5" s="1"/>
  <c r="O427" i="5"/>
  <c r="S449" i="5"/>
  <c r="T468" i="5"/>
  <c r="S468" i="5"/>
  <c r="O481" i="5"/>
  <c r="AP481" i="5"/>
  <c r="AQ481" i="5" s="1"/>
  <c r="AK242" i="1"/>
  <c r="AR30" i="1"/>
  <c r="T30" i="1"/>
  <c r="AR34" i="1"/>
  <c r="T34" i="1"/>
  <c r="T134" i="1"/>
  <c r="AR134" i="1"/>
  <c r="AK238" i="1"/>
  <c r="AQ239" i="1"/>
  <c r="P239" i="1"/>
  <c r="AR229" i="1"/>
  <c r="T229" i="1"/>
  <c r="AR261" i="1"/>
  <c r="U261" i="1" s="1"/>
  <c r="T261" i="1"/>
  <c r="T304" i="1"/>
  <c r="AR304" i="1"/>
  <c r="AQ339" i="1"/>
  <c r="P339" i="1"/>
  <c r="T344" i="1"/>
  <c r="AR344" i="1"/>
  <c r="AR191" i="1"/>
  <c r="U191" i="1" s="1"/>
  <c r="T191" i="1"/>
  <c r="AR200" i="1"/>
  <c r="T200" i="1"/>
  <c r="AR208" i="1"/>
  <c r="T208" i="1"/>
  <c r="AK181" i="4"/>
  <c r="AK26" i="4"/>
  <c r="BK94" i="4"/>
  <c r="BI100" i="4"/>
  <c r="AR151" i="4"/>
  <c r="T151" i="4"/>
  <c r="AR66" i="4"/>
  <c r="T66" i="4"/>
  <c r="AR78" i="4"/>
  <c r="U78" i="4" s="1"/>
  <c r="T78" i="4"/>
  <c r="AR86" i="4"/>
  <c r="T86" i="4"/>
  <c r="T164" i="4"/>
  <c r="AR164" i="4"/>
  <c r="T172" i="4"/>
  <c r="AR172" i="4"/>
  <c r="T180" i="4"/>
  <c r="AR180" i="4"/>
  <c r="T188" i="4"/>
  <c r="AR188" i="4"/>
  <c r="AR275" i="4"/>
  <c r="T275" i="4"/>
  <c r="AR407" i="4"/>
  <c r="T407" i="4"/>
  <c r="AR448" i="4"/>
  <c r="U448" i="4" s="1"/>
  <c r="T448" i="4"/>
  <c r="T462" i="4"/>
  <c r="AR462" i="4"/>
  <c r="AQ485" i="4"/>
  <c r="P485" i="4"/>
  <c r="AJ66" i="5"/>
  <c r="S77" i="5"/>
  <c r="S87" i="5"/>
  <c r="AJ334" i="5"/>
  <c r="AJ69" i="5"/>
  <c r="S132" i="5"/>
  <c r="S190" i="5"/>
  <c r="S130" i="5"/>
  <c r="S142" i="5"/>
  <c r="S156" i="5"/>
  <c r="AJ186" i="5"/>
  <c r="S212" i="5"/>
  <c r="S220" i="5"/>
  <c r="T72" i="1"/>
  <c r="AR72" i="1"/>
  <c r="S301" i="5"/>
  <c r="AR57" i="1"/>
  <c r="T57" i="1"/>
  <c r="S283" i="5"/>
  <c r="T300" i="5"/>
  <c r="S300" i="5"/>
  <c r="AP333" i="5"/>
  <c r="AQ333" i="5" s="1"/>
  <c r="O333" i="5"/>
  <c r="O362" i="5"/>
  <c r="AP362" i="5"/>
  <c r="AQ362" i="5" s="1"/>
  <c r="AP447" i="5"/>
  <c r="AQ447" i="5" s="1"/>
  <c r="O447" i="5"/>
  <c r="O471" i="5"/>
  <c r="AP471" i="5"/>
  <c r="AQ471" i="5" s="1"/>
  <c r="AK271" i="1"/>
  <c r="P51" i="1"/>
  <c r="AQ51" i="1"/>
  <c r="S493" i="5"/>
  <c r="AR80" i="1"/>
  <c r="T80" i="1"/>
  <c r="T103" i="1"/>
  <c r="AR103" i="1"/>
  <c r="U103" i="1" s="1"/>
  <c r="AQ122" i="1"/>
  <c r="P122" i="1"/>
  <c r="AR154" i="1"/>
  <c r="T154" i="1"/>
  <c r="T182" i="1"/>
  <c r="AR182" i="1"/>
  <c r="U182" i="1" s="1"/>
  <c r="T251" i="1"/>
  <c r="AR251" i="1"/>
  <c r="U251" i="1" s="1"/>
  <c r="T259" i="1"/>
  <c r="AR259" i="1"/>
  <c r="U259" i="1" s="1"/>
  <c r="T266" i="1"/>
  <c r="AR266" i="1"/>
  <c r="U266" i="1" s="1"/>
  <c r="T272" i="1"/>
  <c r="AR272" i="1"/>
  <c r="U272" i="1" s="1"/>
  <c r="AK262" i="1"/>
  <c r="AK158" i="1"/>
  <c r="AK43" i="1"/>
  <c r="AR225" i="1"/>
  <c r="T225" i="1"/>
  <c r="AR257" i="1"/>
  <c r="T257" i="1"/>
  <c r="AK326" i="1"/>
  <c r="AR172" i="1"/>
  <c r="T172" i="1"/>
  <c r="AR232" i="1"/>
  <c r="T232" i="1"/>
  <c r="AR264" i="1"/>
  <c r="T264" i="1"/>
  <c r="T318" i="1"/>
  <c r="AR318" i="1"/>
  <c r="U318" i="1" s="1"/>
  <c r="T326" i="1"/>
  <c r="AR326" i="1"/>
  <c r="U326" i="1" s="1"/>
  <c r="T278" i="1"/>
  <c r="AR278" i="1"/>
  <c r="T286" i="1"/>
  <c r="AR286" i="1"/>
  <c r="T294" i="1"/>
  <c r="AR294" i="1"/>
  <c r="AR388" i="1"/>
  <c r="T388" i="1"/>
  <c r="AR74" i="4"/>
  <c r="U74" i="4" s="1"/>
  <c r="T74" i="4"/>
  <c r="AR92" i="4"/>
  <c r="T92" i="4"/>
  <c r="AR154" i="4"/>
  <c r="U154" i="4" s="1"/>
  <c r="T154" i="4"/>
  <c r="AQ183" i="4"/>
  <c r="P183" i="4"/>
  <c r="T229" i="4"/>
  <c r="AR229" i="4"/>
  <c r="T237" i="4"/>
  <c r="AR237" i="4"/>
  <c r="T245" i="4"/>
  <c r="AR245" i="4"/>
  <c r="U245" i="4" s="1"/>
  <c r="AQ170" i="4"/>
  <c r="P170" i="4"/>
  <c r="AQ186" i="4"/>
  <c r="P186" i="4"/>
  <c r="T210" i="4"/>
  <c r="AR210" i="4"/>
  <c r="T232" i="4"/>
  <c r="AR232" i="4"/>
  <c r="T240" i="4"/>
  <c r="AR240" i="4"/>
  <c r="AQ235" i="4"/>
  <c r="P235" i="4"/>
  <c r="AQ292" i="4"/>
  <c r="P292" i="4"/>
  <c r="AR343" i="4"/>
  <c r="T343" i="4"/>
  <c r="AQ380" i="4"/>
  <c r="P380" i="4"/>
  <c r="AQ420" i="4"/>
  <c r="P420" i="4"/>
  <c r="T417" i="4"/>
  <c r="AR417" i="4"/>
  <c r="P461" i="4"/>
  <c r="AQ461" i="4"/>
  <c r="AQ487" i="4"/>
  <c r="P487" i="4"/>
  <c r="AR470" i="4"/>
  <c r="T470" i="4"/>
  <c r="AR478" i="4"/>
  <c r="T478" i="4"/>
  <c r="T492" i="4"/>
  <c r="AR492" i="4"/>
  <c r="AR500" i="4"/>
  <c r="T500" i="4"/>
  <c r="AR508" i="4"/>
  <c r="T508" i="4"/>
  <c r="P557" i="4"/>
  <c r="AQ557" i="4"/>
  <c r="P525" i="4"/>
  <c r="AQ525" i="4"/>
  <c r="AR556" i="4"/>
  <c r="T556" i="4"/>
  <c r="T33" i="4"/>
  <c r="AR33" i="4"/>
  <c r="U33" i="4" s="1"/>
  <c r="T268" i="1"/>
  <c r="AR268" i="1"/>
  <c r="U268" i="1" s="1"/>
  <c r="T42" i="4"/>
  <c r="AR42" i="4"/>
  <c r="U42" i="4" s="1"/>
  <c r="O89" i="5"/>
  <c r="AP89" i="5"/>
  <c r="AQ89" i="5" s="1"/>
  <c r="AR75" i="1"/>
  <c r="U75" i="1" s="1"/>
  <c r="T75" i="1"/>
  <c r="T377" i="5"/>
  <c r="S377" i="5"/>
  <c r="U20" i="1"/>
  <c r="AK20" i="1"/>
  <c r="AR77" i="1"/>
  <c r="U77" i="1" s="1"/>
  <c r="T77" i="1"/>
  <c r="T454" i="5"/>
  <c r="S454" i="5"/>
  <c r="O477" i="5"/>
  <c r="AP477" i="5"/>
  <c r="AQ477" i="5" s="1"/>
  <c r="T80" i="5"/>
  <c r="S80" i="5"/>
  <c r="AP86" i="5"/>
  <c r="AQ86" i="5" s="1"/>
  <c r="O86" i="5"/>
  <c r="AP92" i="5"/>
  <c r="AQ92" i="5" s="1"/>
  <c r="O92" i="5"/>
  <c r="T222" i="5"/>
  <c r="S222" i="5"/>
  <c r="T8" i="5"/>
  <c r="BM90" i="5"/>
  <c r="BG90" i="5"/>
  <c r="S107" i="5"/>
  <c r="T107" i="5"/>
  <c r="S138" i="5"/>
  <c r="S167" i="5"/>
  <c r="S199" i="5"/>
  <c r="T199" i="5"/>
  <c r="T96" i="5"/>
  <c r="S96" i="5"/>
  <c r="T177" i="5"/>
  <c r="S177" i="5"/>
  <c r="T193" i="5"/>
  <c r="S193" i="5"/>
  <c r="T201" i="5"/>
  <c r="S201" i="5"/>
  <c r="AP241" i="5"/>
  <c r="AQ241" i="5" s="1"/>
  <c r="O241" i="5"/>
  <c r="AP378" i="5"/>
  <c r="AQ378" i="5" s="1"/>
  <c r="O378" i="5"/>
  <c r="AP358" i="5"/>
  <c r="AQ358" i="5" s="1"/>
  <c r="O358" i="5"/>
  <c r="AR79" i="1"/>
  <c r="U79" i="1" s="1"/>
  <c r="T79" i="1"/>
  <c r="S306" i="5"/>
  <c r="O485" i="5"/>
  <c r="AP485" i="5"/>
  <c r="AQ485" i="5" s="1"/>
  <c r="BL87" i="1"/>
  <c r="AQ231" i="1"/>
  <c r="P231" i="1"/>
  <c r="AR125" i="1"/>
  <c r="U125" i="1" s="1"/>
  <c r="T125" i="1"/>
  <c r="AR184" i="1"/>
  <c r="U184" i="1" s="1"/>
  <c r="T184" i="1"/>
  <c r="AR192" i="1"/>
  <c r="T192" i="1"/>
  <c r="AQ315" i="1"/>
  <c r="P315" i="1"/>
  <c r="AQ355" i="1"/>
  <c r="P355" i="1"/>
  <c r="AQ376" i="1"/>
  <c r="P376" i="1"/>
  <c r="AR166" i="1"/>
  <c r="U166" i="1" s="1"/>
  <c r="T166" i="1"/>
  <c r="AR180" i="1"/>
  <c r="U180" i="1" s="1"/>
  <c r="T180" i="1"/>
  <c r="AR236" i="1"/>
  <c r="U236" i="1" s="1"/>
  <c r="T236" i="1"/>
  <c r="T289" i="1"/>
  <c r="AR289" i="1"/>
  <c r="U289" i="1" s="1"/>
  <c r="AR373" i="1"/>
  <c r="U373" i="1" s="1"/>
  <c r="T373" i="1"/>
  <c r="BK92" i="4"/>
  <c r="BE92" i="4"/>
  <c r="AQ48" i="4"/>
  <c r="P48" i="4"/>
  <c r="AR135" i="4"/>
  <c r="U135" i="4" s="1"/>
  <c r="T135" i="4"/>
  <c r="AR143" i="4"/>
  <c r="U143" i="4" s="1"/>
  <c r="T143" i="4"/>
  <c r="AR156" i="4"/>
  <c r="U156" i="4" s="1"/>
  <c r="T156" i="4"/>
  <c r="AR76" i="4"/>
  <c r="U76" i="4" s="1"/>
  <c r="T76" i="4"/>
  <c r="AR84" i="4"/>
  <c r="U84" i="4" s="1"/>
  <c r="T84" i="4"/>
  <c r="AQ114" i="4"/>
  <c r="P114" i="4"/>
  <c r="P187" i="4"/>
  <c r="AQ187" i="4"/>
  <c r="T270" i="4"/>
  <c r="AR270" i="4"/>
  <c r="U270" i="4" s="1"/>
  <c r="T234" i="4"/>
  <c r="AR234" i="4"/>
  <c r="AR272" i="4"/>
  <c r="U272" i="4" s="1"/>
  <c r="T272" i="4"/>
  <c r="AR276" i="4"/>
  <c r="U276" i="4" s="1"/>
  <c r="T276" i="4"/>
  <c r="AR280" i="4"/>
  <c r="U280" i="4" s="1"/>
  <c r="T280" i="4"/>
  <c r="AR284" i="4"/>
  <c r="U284" i="4" s="1"/>
  <c r="T284" i="4"/>
  <c r="AQ301" i="4"/>
  <c r="P301" i="4"/>
  <c r="AR279" i="4"/>
  <c r="T279" i="4"/>
  <c r="AQ307" i="4"/>
  <c r="P307" i="4"/>
  <c r="AR325" i="4"/>
  <c r="U325" i="4" s="1"/>
  <c r="T325" i="4"/>
  <c r="AR333" i="4"/>
  <c r="U333" i="4" s="1"/>
  <c r="T333" i="4"/>
  <c r="AK325" i="4"/>
  <c r="T433" i="4"/>
  <c r="AR433" i="4"/>
  <c r="U433" i="4" s="1"/>
  <c r="AQ402" i="4"/>
  <c r="P402" i="4"/>
  <c r="AR445" i="4"/>
  <c r="U445" i="4" s="1"/>
  <c r="T445" i="4"/>
  <c r="AQ495" i="4"/>
  <c r="P495" i="4"/>
  <c r="AQ511" i="4"/>
  <c r="P511" i="4"/>
  <c r="P522" i="4"/>
  <c r="AQ522" i="4"/>
  <c r="AR493" i="4"/>
  <c r="U493" i="4" s="1"/>
  <c r="T493" i="4"/>
  <c r="AR501" i="4"/>
  <c r="U501" i="4" s="1"/>
  <c r="T501" i="4"/>
  <c r="AR465" i="4"/>
  <c r="U465" i="4" s="1"/>
  <c r="T465" i="4"/>
  <c r="AQ486" i="4"/>
  <c r="P486" i="4"/>
  <c r="T496" i="4"/>
  <c r="AR496" i="4"/>
  <c r="U496" i="4" s="1"/>
  <c r="AR537" i="4"/>
  <c r="U537" i="4" s="1"/>
  <c r="T537" i="4"/>
  <c r="S85" i="5"/>
  <c r="AP124" i="5"/>
  <c r="AQ124" i="5" s="1"/>
  <c r="O124" i="5"/>
  <c r="AP104" i="5"/>
  <c r="AQ104" i="5" s="1"/>
  <c r="O104" i="5"/>
  <c r="S218" i="5"/>
  <c r="T6" i="5"/>
  <c r="BM88" i="5"/>
  <c r="BG88" i="5"/>
  <c r="AS41" i="5"/>
  <c r="M41" i="5" s="1"/>
  <c r="R41" i="5"/>
  <c r="AR41" i="5"/>
  <c r="L41" i="5" s="1"/>
  <c r="AN41" i="5"/>
  <c r="Q41" i="5" s="1"/>
  <c r="AU53" i="5"/>
  <c r="AT41" i="5"/>
  <c r="K41" i="5" s="1"/>
  <c r="T123" i="5"/>
  <c r="S123" i="5"/>
  <c r="AJ380" i="5"/>
  <c r="T294" i="5"/>
  <c r="S294" i="5"/>
  <c r="AK40" i="1"/>
  <c r="AR83" i="1"/>
  <c r="T83" i="1"/>
  <c r="S319" i="5"/>
  <c r="T319" i="5"/>
  <c r="S335" i="5"/>
  <c r="AP325" i="5"/>
  <c r="AQ325" i="5" s="1"/>
  <c r="O325" i="5"/>
  <c r="T366" i="5"/>
  <c r="S366" i="5"/>
  <c r="AR52" i="1"/>
  <c r="U52" i="1" s="1"/>
  <c r="T52" i="1"/>
  <c r="T110" i="1"/>
  <c r="AR110" i="1"/>
  <c r="U110" i="1" s="1"/>
  <c r="T375" i="5"/>
  <c r="S375" i="5"/>
  <c r="S383" i="5"/>
  <c r="T391" i="5"/>
  <c r="S391" i="5"/>
  <c r="T399" i="5"/>
  <c r="S399" i="5"/>
  <c r="T407" i="5"/>
  <c r="S407" i="5"/>
  <c r="O483" i="5"/>
  <c r="AP483" i="5"/>
  <c r="AQ483" i="5" s="1"/>
  <c r="AR13" i="1"/>
  <c r="U13" i="1" s="1"/>
  <c r="T13" i="1"/>
  <c r="AR38" i="1"/>
  <c r="T38" i="1"/>
  <c r="P47" i="1"/>
  <c r="AQ47" i="1"/>
  <c r="AR116" i="1"/>
  <c r="U116" i="1" s="1"/>
  <c r="T116" i="1"/>
  <c r="AR233" i="1"/>
  <c r="U233" i="1" s="1"/>
  <c r="T233" i="1"/>
  <c r="AR265" i="1"/>
  <c r="U265" i="1" s="1"/>
  <c r="T265" i="1"/>
  <c r="AR195" i="1"/>
  <c r="T195" i="1"/>
  <c r="AR203" i="1"/>
  <c r="U203" i="1" s="1"/>
  <c r="T203" i="1"/>
  <c r="AR211" i="1"/>
  <c r="T211" i="1"/>
  <c r="T370" i="1"/>
  <c r="AR370" i="1"/>
  <c r="P398" i="1"/>
  <c r="AQ398" i="1"/>
  <c r="AQ39" i="4"/>
  <c r="P39" i="4"/>
  <c r="AQ55" i="4"/>
  <c r="P55" i="4"/>
  <c r="AK33" i="4"/>
  <c r="AQ52" i="4"/>
  <c r="P52" i="4"/>
  <c r="AR94" i="4"/>
  <c r="U94" i="4" s="1"/>
  <c r="T94" i="4"/>
  <c r="AK445" i="4"/>
  <c r="T118" i="4"/>
  <c r="AR118" i="4"/>
  <c r="U118" i="4" s="1"/>
  <c r="AR70" i="4"/>
  <c r="U70" i="4" s="1"/>
  <c r="T70" i="4"/>
  <c r="AK381" i="4"/>
  <c r="AQ162" i="4"/>
  <c r="P162" i="4"/>
  <c r="AQ205" i="4"/>
  <c r="P205" i="4"/>
  <c r="T207" i="4"/>
  <c r="AR207" i="4"/>
  <c r="T231" i="4"/>
  <c r="AR231" i="4"/>
  <c r="U231" i="4" s="1"/>
  <c r="AR273" i="4"/>
  <c r="U273" i="4" s="1"/>
  <c r="T273" i="4"/>
  <c r="AQ290" i="4"/>
  <c r="P290" i="4"/>
  <c r="AR316" i="4"/>
  <c r="T316" i="4"/>
  <c r="AR252" i="4"/>
  <c r="U252" i="4" s="1"/>
  <c r="T252" i="4"/>
  <c r="AR260" i="4"/>
  <c r="T260" i="4"/>
  <c r="AR391" i="4"/>
  <c r="U391" i="4" s="1"/>
  <c r="T391" i="4"/>
  <c r="AR339" i="4"/>
  <c r="U339" i="4" s="1"/>
  <c r="T339" i="4"/>
  <c r="AR371" i="4"/>
  <c r="U371" i="4" s="1"/>
  <c r="T371" i="4"/>
  <c r="AR405" i="4"/>
  <c r="U405" i="4" s="1"/>
  <c r="T405" i="4"/>
  <c r="AR411" i="4"/>
  <c r="U411" i="4" s="1"/>
  <c r="T411" i="4"/>
  <c r="T423" i="4"/>
  <c r="AR423" i="4"/>
  <c r="AR404" i="4"/>
  <c r="U404" i="4" s="1"/>
  <c r="T404" i="4"/>
  <c r="AR467" i="4"/>
  <c r="U467" i="4" s="1"/>
  <c r="T467" i="4"/>
  <c r="AR489" i="4"/>
  <c r="U489" i="4" s="1"/>
  <c r="T489" i="4"/>
  <c r="AU59" i="5"/>
  <c r="AT47" i="5"/>
  <c r="K47" i="5" s="1"/>
  <c r="AS47" i="5"/>
  <c r="M47" i="5" s="1"/>
  <c r="AR47" i="5"/>
  <c r="L47" i="5" s="1"/>
  <c r="AN47" i="5"/>
  <c r="Q47" i="5" s="1"/>
  <c r="AP100" i="5"/>
  <c r="AQ100" i="5" s="1"/>
  <c r="O100" i="5"/>
  <c r="S128" i="5"/>
  <c r="T128" i="5"/>
  <c r="S194" i="5"/>
  <c r="T12" i="5"/>
  <c r="BG94" i="5"/>
  <c r="S122" i="5"/>
  <c r="AP374" i="5"/>
  <c r="AQ374" i="5" s="1"/>
  <c r="O374" i="5"/>
  <c r="U16" i="1"/>
  <c r="AK16" i="1"/>
  <c r="T90" i="1"/>
  <c r="AR90" i="1"/>
  <c r="U90" i="1" s="1"/>
  <c r="S287" i="5"/>
  <c r="T350" i="5"/>
  <c r="S350" i="5"/>
  <c r="S359" i="5"/>
  <c r="T359" i="5"/>
  <c r="S433" i="5"/>
  <c r="O473" i="5"/>
  <c r="AP473" i="5"/>
  <c r="AQ473" i="5" s="1"/>
  <c r="AQ62" i="1"/>
  <c r="P62" i="1"/>
  <c r="S428" i="5"/>
  <c r="AK214" i="1"/>
  <c r="AR63" i="1"/>
  <c r="T63" i="1"/>
  <c r="AR71" i="1"/>
  <c r="T71" i="1"/>
  <c r="AK90" i="1"/>
  <c r="T124" i="1"/>
  <c r="AR124" i="1"/>
  <c r="U124" i="1" s="1"/>
  <c r="AQ137" i="1"/>
  <c r="P137" i="1"/>
  <c r="T150" i="1"/>
  <c r="AR150" i="1"/>
  <c r="U150" i="1" s="1"/>
  <c r="AQ223" i="1"/>
  <c r="P223" i="1"/>
  <c r="AR120" i="1"/>
  <c r="T120" i="1"/>
  <c r="AR147" i="1"/>
  <c r="U147" i="1" s="1"/>
  <c r="T147" i="1"/>
  <c r="T320" i="1"/>
  <c r="AR320" i="1"/>
  <c r="T360" i="1"/>
  <c r="AR360" i="1"/>
  <c r="AQ386" i="1"/>
  <c r="P386" i="1"/>
  <c r="AR170" i="1"/>
  <c r="T170" i="1"/>
  <c r="AR244" i="1"/>
  <c r="T244" i="1"/>
  <c r="T330" i="1"/>
  <c r="AR330" i="1"/>
  <c r="U330" i="1" s="1"/>
  <c r="T338" i="1"/>
  <c r="AR338" i="1"/>
  <c r="T346" i="1"/>
  <c r="AR346" i="1"/>
  <c r="T354" i="1"/>
  <c r="AR354" i="1"/>
  <c r="U354" i="1" s="1"/>
  <c r="T362" i="1"/>
  <c r="AR362" i="1"/>
  <c r="AR371" i="1"/>
  <c r="U371" i="1" s="1"/>
  <c r="T371" i="1"/>
  <c r="AR380" i="1"/>
  <c r="T380" i="1"/>
  <c r="T374" i="1"/>
  <c r="AR374" i="1"/>
  <c r="AK28" i="4"/>
  <c r="AK302" i="4"/>
  <c r="BJ100" i="4"/>
  <c r="BH100" i="4"/>
  <c r="AK142" i="4"/>
  <c r="AR57" i="4"/>
  <c r="T57" i="4"/>
  <c r="AR101" i="4"/>
  <c r="T101" i="4"/>
  <c r="AR107" i="4"/>
  <c r="T107" i="4"/>
  <c r="AK94" i="4"/>
  <c r="AR110" i="4"/>
  <c r="T110" i="4"/>
  <c r="T127" i="4"/>
  <c r="AR127" i="4"/>
  <c r="T102" i="4"/>
  <c r="AR102" i="4"/>
  <c r="U102" i="4" s="1"/>
  <c r="AQ221" i="4"/>
  <c r="P221" i="4"/>
  <c r="AR223" i="4"/>
  <c r="T223" i="4"/>
  <c r="T230" i="4"/>
  <c r="AR230" i="4"/>
  <c r="AR268" i="4"/>
  <c r="U268" i="4" s="1"/>
  <c r="T268" i="4"/>
  <c r="AR274" i="4"/>
  <c r="U274" i="4" s="1"/>
  <c r="T274" i="4"/>
  <c r="AR278" i="4"/>
  <c r="U278" i="4" s="1"/>
  <c r="T278" i="4"/>
  <c r="AR282" i="4"/>
  <c r="U282" i="4" s="1"/>
  <c r="T282" i="4"/>
  <c r="AR286" i="4"/>
  <c r="U286" i="4" s="1"/>
  <c r="T286" i="4"/>
  <c r="AR310" i="4"/>
  <c r="U310" i="4" s="1"/>
  <c r="T310" i="4"/>
  <c r="AR249" i="4"/>
  <c r="T249" i="4"/>
  <c r="AR257" i="4"/>
  <c r="T257" i="4"/>
  <c r="T303" i="4"/>
  <c r="AR303" i="4"/>
  <c r="U303" i="4" s="1"/>
  <c r="AR321" i="4"/>
  <c r="U321" i="4" s="1"/>
  <c r="T321" i="4"/>
  <c r="AR328" i="4"/>
  <c r="T328" i="4"/>
  <c r="AQ355" i="4"/>
  <c r="P355" i="4"/>
  <c r="AQ373" i="4"/>
  <c r="P373" i="4"/>
  <c r="AK333" i="4"/>
  <c r="AR351" i="4"/>
  <c r="T351" i="4"/>
  <c r="P388" i="4"/>
  <c r="AQ388" i="4"/>
  <c r="AR403" i="4"/>
  <c r="T403" i="4"/>
  <c r="AR497" i="4"/>
  <c r="T497" i="4"/>
  <c r="AQ535" i="4"/>
  <c r="P535" i="4"/>
  <c r="AJ4" i="5"/>
  <c r="T25" i="5"/>
  <c r="AP131" i="5"/>
  <c r="AQ131" i="5" s="1"/>
  <c r="O131" i="5"/>
  <c r="S204" i="5"/>
  <c r="AR48" i="1"/>
  <c r="T48" i="1"/>
  <c r="S281" i="5"/>
  <c r="S289" i="5"/>
  <c r="S297" i="5"/>
  <c r="AP343" i="5"/>
  <c r="AQ343" i="5" s="1"/>
  <c r="O343" i="5"/>
  <c r="AK4" i="1"/>
  <c r="AP304" i="5"/>
  <c r="AQ304" i="5" s="1"/>
  <c r="O304" i="5"/>
  <c r="S415" i="5"/>
  <c r="AP431" i="5"/>
  <c r="AQ431" i="5" s="1"/>
  <c r="O431" i="5"/>
  <c r="S453" i="5"/>
  <c r="O463" i="5"/>
  <c r="AP463" i="5"/>
  <c r="AQ463" i="5" s="1"/>
  <c r="BJ91" i="1"/>
  <c r="AR17" i="1"/>
  <c r="T17" i="1"/>
  <c r="AK265" i="1"/>
  <c r="AR49" i="1"/>
  <c r="T49" i="1"/>
  <c r="AK103" i="1"/>
  <c r="S424" i="5"/>
  <c r="AK56" i="1"/>
  <c r="AK88" i="1"/>
  <c r="AK125" i="1"/>
  <c r="AK222" i="1"/>
  <c r="AK54" i="1"/>
  <c r="AR104" i="1"/>
  <c r="U104" i="1" s="1"/>
  <c r="T104" i="1"/>
  <c r="T146" i="1"/>
  <c r="AR146" i="1"/>
  <c r="AK168" i="1"/>
  <c r="AR123" i="1"/>
  <c r="T123" i="1"/>
  <c r="AQ303" i="1"/>
  <c r="P303" i="1"/>
  <c r="AQ319" i="1"/>
  <c r="P319" i="1"/>
  <c r="AQ335" i="1"/>
  <c r="P335" i="1"/>
  <c r="T356" i="1"/>
  <c r="AR356" i="1"/>
  <c r="AR397" i="1"/>
  <c r="T397" i="1"/>
  <c r="AR201" i="1"/>
  <c r="T201" i="1"/>
  <c r="AR209" i="1"/>
  <c r="T209" i="1"/>
  <c r="T295" i="1"/>
  <c r="AR295" i="1"/>
  <c r="AR108" i="4"/>
  <c r="U108" i="4" s="1"/>
  <c r="T108" i="4"/>
  <c r="AK386" i="4"/>
  <c r="AK173" i="4"/>
  <c r="AK74" i="4"/>
  <c r="AK84" i="4"/>
  <c r="AK255" i="4"/>
  <c r="AK198" i="4"/>
  <c r="AK157" i="4"/>
  <c r="AK430" i="4"/>
  <c r="AK93" i="4"/>
  <c r="AR99" i="4"/>
  <c r="T99" i="4"/>
  <c r="AR111" i="4"/>
  <c r="T111" i="4"/>
  <c r="AK108" i="4"/>
  <c r="T113" i="4"/>
  <c r="AR113" i="4"/>
  <c r="T124" i="4"/>
  <c r="AR124" i="4"/>
  <c r="AK559" i="4"/>
  <c r="AK537" i="4"/>
  <c r="AK405" i="4"/>
  <c r="AK384" i="4"/>
  <c r="AQ166" i="4"/>
  <c r="P166" i="4"/>
  <c r="AQ182" i="4"/>
  <c r="P182" i="4"/>
  <c r="AQ243" i="4"/>
  <c r="P243" i="4"/>
  <c r="AR269" i="4"/>
  <c r="T269" i="4"/>
  <c r="AR285" i="4"/>
  <c r="T285" i="4"/>
  <c r="AK299" i="4"/>
  <c r="AR246" i="4"/>
  <c r="T246" i="4"/>
  <c r="AR254" i="4"/>
  <c r="T254" i="4"/>
  <c r="AR262" i="4"/>
  <c r="T262" i="4"/>
  <c r="AR401" i="4"/>
  <c r="T401" i="4"/>
  <c r="AR439" i="4"/>
  <c r="T439" i="4"/>
  <c r="AR426" i="4"/>
  <c r="T426" i="4"/>
  <c r="AR434" i="4"/>
  <c r="T434" i="4"/>
  <c r="AR451" i="4"/>
  <c r="U451" i="4" s="1"/>
  <c r="T451" i="4"/>
  <c r="AR532" i="4"/>
  <c r="T532" i="4"/>
  <c r="AQ554" i="4"/>
  <c r="P554" i="4"/>
  <c r="T472" i="4"/>
  <c r="AR472" i="4"/>
  <c r="T469" i="4"/>
  <c r="AR469" i="4"/>
  <c r="T354" i="5"/>
  <c r="S354" i="5"/>
  <c r="T49" i="4"/>
  <c r="AR49" i="4"/>
  <c r="U49" i="4" s="1"/>
  <c r="T429" i="4"/>
  <c r="AR429" i="4"/>
  <c r="U429" i="4" s="1"/>
  <c r="S121" i="5"/>
  <c r="T121" i="5"/>
  <c r="T145" i="1"/>
  <c r="AR145" i="1"/>
  <c r="U145" i="1" s="1"/>
  <c r="T38" i="4"/>
  <c r="AR38" i="4"/>
  <c r="U38" i="4" s="1"/>
  <c r="T54" i="4"/>
  <c r="AR54" i="4"/>
  <c r="U54" i="4" s="1"/>
  <c r="T44" i="4"/>
  <c r="AR44" i="4"/>
  <c r="U44" i="4" s="1"/>
  <c r="AR394" i="1"/>
  <c r="U394" i="1" s="1"/>
  <c r="T394" i="1"/>
  <c r="AP19" i="5"/>
  <c r="AQ19" i="5" s="1"/>
  <c r="T75" i="5"/>
  <c r="S75" i="5"/>
  <c r="BI90" i="5"/>
  <c r="BK90" i="5"/>
  <c r="T393" i="5"/>
  <c r="S393" i="5"/>
  <c r="S459" i="5"/>
  <c r="T459" i="5"/>
  <c r="T464" i="5"/>
  <c r="S464" i="5"/>
  <c r="P87" i="1"/>
  <c r="AQ87" i="1"/>
  <c r="AR89" i="1"/>
  <c r="U89" i="1" s="1"/>
  <c r="T89" i="1"/>
  <c r="AQ215" i="1"/>
  <c r="P215" i="1"/>
  <c r="AR115" i="1"/>
  <c r="U115" i="1" s="1"/>
  <c r="T115" i="1"/>
  <c r="AR221" i="1"/>
  <c r="U221" i="1" s="1"/>
  <c r="T221" i="1"/>
  <c r="AR253" i="1"/>
  <c r="U253" i="1" s="1"/>
  <c r="T253" i="1"/>
  <c r="AQ331" i="1"/>
  <c r="P331" i="1"/>
  <c r="AQ343" i="1"/>
  <c r="P343" i="1"/>
  <c r="AQ384" i="1"/>
  <c r="P384" i="1"/>
  <c r="AR202" i="1"/>
  <c r="U202" i="1" s="1"/>
  <c r="T202" i="1"/>
  <c r="AR210" i="1"/>
  <c r="U210" i="1" s="1"/>
  <c r="T210" i="1"/>
  <c r="T310" i="1"/>
  <c r="AR310" i="1"/>
  <c r="U310" i="1" s="1"/>
  <c r="AQ276" i="1"/>
  <c r="P276" i="1"/>
  <c r="AQ284" i="1"/>
  <c r="P284" i="1"/>
  <c r="AQ292" i="1"/>
  <c r="P292" i="1"/>
  <c r="BI92" i="4"/>
  <c r="AR104" i="4"/>
  <c r="U104" i="4" s="1"/>
  <c r="T104" i="4"/>
  <c r="AQ37" i="4"/>
  <c r="P37" i="4"/>
  <c r="AR59" i="4"/>
  <c r="U59" i="4" s="1"/>
  <c r="T59" i="4"/>
  <c r="T100" i="4"/>
  <c r="AR100" i="4"/>
  <c r="AR160" i="4"/>
  <c r="U160" i="4" s="1"/>
  <c r="T160" i="4"/>
  <c r="AQ305" i="4"/>
  <c r="P305" i="4"/>
  <c r="AR251" i="4"/>
  <c r="U251" i="4" s="1"/>
  <c r="T251" i="4"/>
  <c r="AR259" i="4"/>
  <c r="U259" i="4" s="1"/>
  <c r="T259" i="4"/>
  <c r="AQ311" i="4"/>
  <c r="P311" i="4"/>
  <c r="AQ350" i="4"/>
  <c r="P350" i="4"/>
  <c r="AR387" i="4"/>
  <c r="U387" i="4" s="1"/>
  <c r="T387" i="4"/>
  <c r="AR389" i="4"/>
  <c r="U389" i="4" s="1"/>
  <c r="T389" i="4"/>
  <c r="AQ447" i="4"/>
  <c r="P447" i="4"/>
  <c r="AR473" i="4"/>
  <c r="U473" i="4" s="1"/>
  <c r="T473" i="4"/>
  <c r="AR514" i="4"/>
  <c r="U514" i="4" s="1"/>
  <c r="T514" i="4"/>
  <c r="T519" i="4"/>
  <c r="AR519" i="4"/>
  <c r="U519" i="4" s="1"/>
  <c r="AQ520" i="4"/>
  <c r="P520" i="4"/>
  <c r="AQ515" i="4"/>
  <c r="P515" i="4"/>
  <c r="AR441" i="4"/>
  <c r="U441" i="4" s="1"/>
  <c r="T441" i="4"/>
  <c r="T24" i="5"/>
  <c r="T71" i="5"/>
  <c r="S71" i="5"/>
  <c r="S114" i="5"/>
  <c r="T114" i="5"/>
  <c r="AJ15" i="5"/>
  <c r="BK88" i="5"/>
  <c r="S183" i="5"/>
  <c r="T183" i="5"/>
  <c r="S195" i="5"/>
  <c r="T195" i="5"/>
  <c r="T109" i="5"/>
  <c r="S109" i="5"/>
  <c r="S285" i="5"/>
  <c r="T293" i="5"/>
  <c r="S293" i="5"/>
  <c r="AR81" i="1"/>
  <c r="U81" i="1" s="1"/>
  <c r="T81" i="1"/>
  <c r="T348" i="5"/>
  <c r="S348" i="5"/>
  <c r="S370" i="5"/>
  <c r="T370" i="5"/>
  <c r="S242" i="5"/>
  <c r="T242" i="5"/>
  <c r="T291" i="5"/>
  <c r="S291" i="5"/>
  <c r="S382" i="5"/>
  <c r="T382" i="5"/>
  <c r="O409" i="5"/>
  <c r="AP409" i="5"/>
  <c r="AQ409" i="5" s="1"/>
  <c r="AP439" i="5"/>
  <c r="AQ439" i="5" s="1"/>
  <c r="O439" i="5"/>
  <c r="S462" i="5"/>
  <c r="O475" i="5"/>
  <c r="AP475" i="5"/>
  <c r="AQ475" i="5" s="1"/>
  <c r="AK373" i="1"/>
  <c r="AQ33" i="1"/>
  <c r="P33" i="1"/>
  <c r="AR45" i="1"/>
  <c r="U45" i="1" s="1"/>
  <c r="T45" i="1"/>
  <c r="T94" i="1"/>
  <c r="AR94" i="1"/>
  <c r="U94" i="1" s="1"/>
  <c r="T432" i="5"/>
  <c r="S432" i="5"/>
  <c r="T452" i="5"/>
  <c r="S452" i="5"/>
  <c r="AK81" i="1"/>
  <c r="AK166" i="1"/>
  <c r="AK190" i="1"/>
  <c r="T227" i="1"/>
  <c r="AR227" i="1"/>
  <c r="U227" i="1" s="1"/>
  <c r="T235" i="1"/>
  <c r="AR235" i="1"/>
  <c r="U235" i="1" s="1"/>
  <c r="T270" i="1"/>
  <c r="AR270" i="1"/>
  <c r="U270" i="1" s="1"/>
  <c r="AK250" i="1"/>
  <c r="AK328" i="1"/>
  <c r="AK89" i="1"/>
  <c r="T130" i="1"/>
  <c r="AR130" i="1"/>
  <c r="AR152" i="1"/>
  <c r="U152" i="1" s="1"/>
  <c r="T152" i="1"/>
  <c r="AK180" i="1"/>
  <c r="AR143" i="1"/>
  <c r="U143" i="1" s="1"/>
  <c r="T143" i="1"/>
  <c r="T296" i="1"/>
  <c r="AR296" i="1"/>
  <c r="U296" i="1" s="1"/>
  <c r="T308" i="1"/>
  <c r="AR308" i="1"/>
  <c r="T324" i="1"/>
  <c r="AR324" i="1"/>
  <c r="U324" i="1" s="1"/>
  <c r="AQ351" i="1"/>
  <c r="P351" i="1"/>
  <c r="AQ367" i="1"/>
  <c r="P367" i="1"/>
  <c r="AR160" i="1"/>
  <c r="T160" i="1"/>
  <c r="AR176" i="1"/>
  <c r="U176" i="1" s="1"/>
  <c r="T176" i="1"/>
  <c r="AR224" i="1"/>
  <c r="U224" i="1" s="1"/>
  <c r="T224" i="1"/>
  <c r="AR256" i="1"/>
  <c r="U256" i="1" s="1"/>
  <c r="T256" i="1"/>
  <c r="T302" i="1"/>
  <c r="AR302" i="1"/>
  <c r="U302" i="1" s="1"/>
  <c r="AQ35" i="4"/>
  <c r="P35" i="4"/>
  <c r="AK42" i="4"/>
  <c r="AQ51" i="4"/>
  <c r="P51" i="4"/>
  <c r="T61" i="4"/>
  <c r="AR61" i="4"/>
  <c r="U61" i="4" s="1"/>
  <c r="AQ41" i="4"/>
  <c r="P41" i="4"/>
  <c r="AK345" i="4"/>
  <c r="AR103" i="4"/>
  <c r="U103" i="4" s="1"/>
  <c r="T103" i="4"/>
  <c r="T123" i="4"/>
  <c r="AR123" i="4"/>
  <c r="U123" i="4" s="1"/>
  <c r="T117" i="4"/>
  <c r="AR117" i="4"/>
  <c r="AR89" i="4"/>
  <c r="T89" i="4"/>
  <c r="T96" i="4"/>
  <c r="AR96" i="4"/>
  <c r="U96" i="4" s="1"/>
  <c r="T222" i="4"/>
  <c r="AR222" i="4"/>
  <c r="AR320" i="4"/>
  <c r="U320" i="4" s="1"/>
  <c r="T320" i="4"/>
  <c r="AK315" i="4"/>
  <c r="AR378" i="4"/>
  <c r="U378" i="4" s="1"/>
  <c r="T378" i="4"/>
  <c r="P428" i="4"/>
  <c r="AQ428" i="4"/>
  <c r="AQ394" i="4"/>
  <c r="P394" i="4"/>
  <c r="T413" i="4"/>
  <c r="AR413" i="4"/>
  <c r="U413" i="4" s="1"/>
  <c r="AR531" i="4"/>
  <c r="T531" i="4"/>
  <c r="S226" i="5"/>
  <c r="S90" i="5"/>
  <c r="T90" i="5"/>
  <c r="S224" i="5"/>
  <c r="AP345" i="5"/>
  <c r="AQ345" i="5" s="1"/>
  <c r="O345" i="5"/>
  <c r="S456" i="5"/>
  <c r="O465" i="5"/>
  <c r="AP465" i="5"/>
  <c r="AQ465" i="5" s="1"/>
  <c r="O498" i="5"/>
  <c r="AP498" i="5"/>
  <c r="AQ498" i="5" s="1"/>
  <c r="AR9" i="1"/>
  <c r="U9" i="1" s="1"/>
  <c r="T9" i="1"/>
  <c r="AK233" i="1"/>
  <c r="AR36" i="1"/>
  <c r="T36" i="1"/>
  <c r="P55" i="1"/>
  <c r="AQ55" i="1"/>
  <c r="AR68" i="1"/>
  <c r="T68" i="1"/>
  <c r="AR46" i="1"/>
  <c r="T46" i="1"/>
  <c r="AR59" i="1"/>
  <c r="U59" i="1" s="1"/>
  <c r="T59" i="1"/>
  <c r="AR82" i="1"/>
  <c r="U82" i="1" s="1"/>
  <c r="T82" i="1"/>
  <c r="AK116" i="1"/>
  <c r="AQ129" i="1"/>
  <c r="P129" i="1"/>
  <c r="T102" i="1"/>
  <c r="AR102" i="1"/>
  <c r="U102" i="1" s="1"/>
  <c r="AK110" i="1"/>
  <c r="AK206" i="1"/>
  <c r="AR92" i="1"/>
  <c r="T92" i="1"/>
  <c r="T138" i="1"/>
  <c r="AR138" i="1"/>
  <c r="U138" i="1" s="1"/>
  <c r="AR213" i="1"/>
  <c r="U213" i="1" s="1"/>
  <c r="T213" i="1"/>
  <c r="AR245" i="1"/>
  <c r="T245" i="1"/>
  <c r="AR267" i="1"/>
  <c r="T267" i="1"/>
  <c r="AQ307" i="1"/>
  <c r="P307" i="1"/>
  <c r="AK330" i="1"/>
  <c r="T336" i="1"/>
  <c r="AR336" i="1"/>
  <c r="U336" i="1" s="1"/>
  <c r="AQ347" i="1"/>
  <c r="P347" i="1"/>
  <c r="AQ372" i="1"/>
  <c r="P372" i="1"/>
  <c r="AR183" i="1"/>
  <c r="U183" i="1" s="1"/>
  <c r="T183" i="1"/>
  <c r="AR196" i="1"/>
  <c r="T196" i="1"/>
  <c r="AR204" i="1"/>
  <c r="T204" i="1"/>
  <c r="AR212" i="1"/>
  <c r="U212" i="1" s="1"/>
  <c r="T212" i="1"/>
  <c r="AK371" i="1"/>
  <c r="AK496" i="4"/>
  <c r="AR85" i="4"/>
  <c r="T85" i="4"/>
  <c r="AK70" i="4"/>
  <c r="AK71" i="4"/>
  <c r="AK493" i="4"/>
  <c r="AR72" i="4"/>
  <c r="T72" i="4"/>
  <c r="AR82" i="4"/>
  <c r="T82" i="4"/>
  <c r="AK513" i="4"/>
  <c r="T168" i="4"/>
  <c r="AR168" i="4"/>
  <c r="T176" i="4"/>
  <c r="AR176" i="4"/>
  <c r="U176" i="4" s="1"/>
  <c r="T184" i="4"/>
  <c r="AR184" i="4"/>
  <c r="U184" i="4" s="1"/>
  <c r="T192" i="4"/>
  <c r="AR192" i="4"/>
  <c r="U192" i="4" s="1"/>
  <c r="AR267" i="4"/>
  <c r="U267" i="4" s="1"/>
  <c r="T267" i="4"/>
  <c r="AR283" i="4"/>
  <c r="U283" i="4" s="1"/>
  <c r="T283" i="4"/>
  <c r="AQ288" i="4"/>
  <c r="P288" i="4"/>
  <c r="AR341" i="4"/>
  <c r="U341" i="4" s="1"/>
  <c r="T341" i="4"/>
  <c r="AQ346" i="4"/>
  <c r="P346" i="4"/>
  <c r="AQ424" i="4"/>
  <c r="P424" i="4"/>
  <c r="AQ392" i="4"/>
  <c r="P392" i="4"/>
  <c r="AR398" i="4"/>
  <c r="T398" i="4"/>
  <c r="AR481" i="4"/>
  <c r="U481" i="4" s="1"/>
  <c r="T481" i="4"/>
  <c r="P523" i="4"/>
  <c r="AQ523" i="4"/>
  <c r="S76" i="5"/>
  <c r="S94" i="5"/>
  <c r="S98" i="5"/>
  <c r="S125" i="5"/>
  <c r="AJ135" i="5"/>
  <c r="T165" i="5"/>
  <c r="S165" i="5"/>
  <c r="T181" i="5"/>
  <c r="S181" i="5"/>
  <c r="T216" i="5"/>
  <c r="S216" i="5"/>
  <c r="S327" i="5"/>
  <c r="T327" i="5"/>
  <c r="AK152" i="1"/>
  <c r="AP317" i="5"/>
  <c r="AQ317" i="5" s="1"/>
  <c r="O317" i="5"/>
  <c r="S398" i="5"/>
  <c r="T398" i="5"/>
  <c r="S414" i="5"/>
  <c r="T414" i="5"/>
  <c r="S491" i="5"/>
  <c r="AP422" i="5"/>
  <c r="AQ422" i="5" s="1"/>
  <c r="O422" i="5"/>
  <c r="S437" i="5"/>
  <c r="S474" i="5"/>
  <c r="O487" i="5"/>
  <c r="AP487" i="5"/>
  <c r="AQ487" i="5" s="1"/>
  <c r="AR5" i="1"/>
  <c r="T5" i="1"/>
  <c r="AQ39" i="1"/>
  <c r="P39" i="1"/>
  <c r="AK138" i="1"/>
  <c r="AK147" i="1"/>
  <c r="S496" i="5"/>
  <c r="AK184" i="1"/>
  <c r="AR50" i="1"/>
  <c r="U50" i="1" s="1"/>
  <c r="T50" i="1"/>
  <c r="T96" i="1"/>
  <c r="AR96" i="1"/>
  <c r="AK182" i="1"/>
  <c r="T194" i="1"/>
  <c r="AR194" i="1"/>
  <c r="U194" i="1" s="1"/>
  <c r="AK251" i="1"/>
  <c r="AK259" i="1"/>
  <c r="AK266" i="1"/>
  <c r="AK272" i="1"/>
  <c r="AK64" i="1"/>
  <c r="AK150" i="1"/>
  <c r="AK210" i="1"/>
  <c r="AK261" i="1"/>
  <c r="AK111" i="1"/>
  <c r="AR149" i="1"/>
  <c r="U149" i="1" s="1"/>
  <c r="T149" i="1"/>
  <c r="AR114" i="1"/>
  <c r="T114" i="1"/>
  <c r="AR241" i="1"/>
  <c r="T241" i="1"/>
  <c r="AR269" i="1"/>
  <c r="T269" i="1"/>
  <c r="AR164" i="1"/>
  <c r="T164" i="1"/>
  <c r="AR216" i="1"/>
  <c r="T216" i="1"/>
  <c r="AR248" i="1"/>
  <c r="T248" i="1"/>
  <c r="T293" i="1"/>
  <c r="AR293" i="1"/>
  <c r="T314" i="1"/>
  <c r="AR314" i="1"/>
  <c r="U314" i="1" s="1"/>
  <c r="T322" i="1"/>
  <c r="AR322" i="1"/>
  <c r="T274" i="1"/>
  <c r="AR274" i="1"/>
  <c r="T282" i="1"/>
  <c r="AR282" i="1"/>
  <c r="T290" i="1"/>
  <c r="AR290" i="1"/>
  <c r="AQ369" i="1"/>
  <c r="P369" i="1"/>
  <c r="AR395" i="1"/>
  <c r="T395" i="1"/>
  <c r="AR62" i="4"/>
  <c r="T62" i="4"/>
  <c r="AK63" i="4"/>
  <c r="AR83" i="4"/>
  <c r="U83" i="4" s="1"/>
  <c r="T83" i="4"/>
  <c r="AK467" i="4"/>
  <c r="AR91" i="4"/>
  <c r="T91" i="4"/>
  <c r="AR68" i="4"/>
  <c r="T68" i="4"/>
  <c r="T203" i="4"/>
  <c r="AR203" i="4"/>
  <c r="U203" i="4" s="1"/>
  <c r="T233" i="4"/>
  <c r="AR233" i="4"/>
  <c r="U233" i="4" s="1"/>
  <c r="T241" i="4"/>
  <c r="AR241" i="4"/>
  <c r="AQ178" i="4"/>
  <c r="P178" i="4"/>
  <c r="AQ194" i="4"/>
  <c r="P194" i="4"/>
  <c r="AR201" i="4"/>
  <c r="U201" i="4" s="1"/>
  <c r="T201" i="4"/>
  <c r="T217" i="4"/>
  <c r="AR217" i="4"/>
  <c r="T228" i="4"/>
  <c r="AR228" i="4"/>
  <c r="T236" i="4"/>
  <c r="AR236" i="4"/>
  <c r="T244" i="4"/>
  <c r="AR244" i="4"/>
  <c r="AR211" i="4"/>
  <c r="T211" i="4"/>
  <c r="AQ218" i="4"/>
  <c r="P218" i="4"/>
  <c r="AR291" i="4"/>
  <c r="T291" i="4"/>
  <c r="AR347" i="4"/>
  <c r="T347" i="4"/>
  <c r="AQ370" i="4"/>
  <c r="P370" i="4"/>
  <c r="AR359" i="4"/>
  <c r="T359" i="4"/>
  <c r="AR435" i="4"/>
  <c r="T435" i="4"/>
  <c r="AK409" i="4"/>
  <c r="AR474" i="4"/>
  <c r="T474" i="4"/>
  <c r="AR510" i="4"/>
  <c r="T510" i="4"/>
  <c r="AR509" i="4"/>
  <c r="T509" i="4"/>
  <c r="AR504" i="4"/>
  <c r="T504" i="4"/>
  <c r="AR512" i="4"/>
  <c r="T512" i="4"/>
  <c r="AK527" i="4"/>
  <c r="T539" i="4"/>
  <c r="AR539" i="4"/>
  <c r="T548" i="4"/>
  <c r="AR548" i="4"/>
  <c r="P491" i="4"/>
  <c r="AQ491" i="4"/>
  <c r="AR528" i="4"/>
  <c r="T528" i="4"/>
  <c r="AQ432" i="4"/>
  <c r="P432" i="4"/>
  <c r="AR443" i="4"/>
  <c r="T443" i="4"/>
  <c r="AK448" i="4"/>
  <c r="AK468" i="4"/>
  <c r="AK498" i="4"/>
  <c r="T507" i="4"/>
  <c r="AR507" i="4"/>
  <c r="U507" i="4" s="1"/>
  <c r="S363" i="5"/>
  <c r="T34" i="4"/>
  <c r="AR34" i="4"/>
  <c r="U34" i="4" s="1"/>
  <c r="T50" i="4"/>
  <c r="AR50" i="4"/>
  <c r="U50" i="4" s="1"/>
  <c r="T81" i="5"/>
  <c r="S81" i="5"/>
  <c r="T21" i="5"/>
  <c r="AP144" i="5"/>
  <c r="AQ144" i="5" s="1"/>
  <c r="O144" i="5"/>
  <c r="BL90" i="5"/>
  <c r="T129" i="5"/>
  <c r="S129" i="5"/>
  <c r="S175" i="5"/>
  <c r="T175" i="5"/>
  <c r="T206" i="5"/>
  <c r="S206" i="5"/>
  <c r="AK32" i="1"/>
  <c r="S367" i="5"/>
  <c r="T367" i="5"/>
  <c r="AP386" i="5"/>
  <c r="AQ386" i="5" s="1"/>
  <c r="O386" i="5"/>
  <c r="T42" i="1"/>
  <c r="AR42" i="1"/>
  <c r="U42" i="1" s="1"/>
  <c r="S279" i="5"/>
  <c r="S295" i="5"/>
  <c r="AP451" i="5"/>
  <c r="AQ451" i="5" s="1"/>
  <c r="O451" i="5"/>
  <c r="O469" i="5"/>
  <c r="AP469" i="5"/>
  <c r="AQ469" i="5" s="1"/>
  <c r="T488" i="5"/>
  <c r="S488" i="5"/>
  <c r="BJ87" i="1"/>
  <c r="BO87" i="1"/>
  <c r="BQ87" i="1" s="1"/>
  <c r="AQ31" i="1"/>
  <c r="P31" i="1"/>
  <c r="AQ37" i="1"/>
  <c r="P37" i="1"/>
  <c r="AQ73" i="1"/>
  <c r="P73" i="1"/>
  <c r="T436" i="5"/>
  <c r="S436" i="5"/>
  <c r="AK75" i="1"/>
  <c r="AK104" i="1"/>
  <c r="AQ219" i="1"/>
  <c r="P219" i="1"/>
  <c r="AK60" i="1"/>
  <c r="AK198" i="1"/>
  <c r="AK86" i="1"/>
  <c r="AQ263" i="1"/>
  <c r="P263" i="1"/>
  <c r="AR139" i="1"/>
  <c r="T139" i="1"/>
  <c r="AR188" i="1"/>
  <c r="T188" i="1"/>
  <c r="T312" i="1"/>
  <c r="AR312" i="1"/>
  <c r="U312" i="1" s="1"/>
  <c r="T352" i="1"/>
  <c r="AR352" i="1"/>
  <c r="AQ392" i="1"/>
  <c r="P392" i="1"/>
  <c r="AR174" i="1"/>
  <c r="U174" i="1" s="1"/>
  <c r="T174" i="1"/>
  <c r="AR220" i="1"/>
  <c r="U220" i="1" s="1"/>
  <c r="T220" i="1"/>
  <c r="AR252" i="1"/>
  <c r="U252" i="1" s="1"/>
  <c r="T252" i="1"/>
  <c r="T382" i="1"/>
  <c r="AR382" i="1"/>
  <c r="T390" i="1"/>
  <c r="AR390" i="1"/>
  <c r="BH92" i="4"/>
  <c r="AR79" i="4"/>
  <c r="U79" i="4" s="1"/>
  <c r="T79" i="4"/>
  <c r="BE87" i="4"/>
  <c r="BG87" i="4"/>
  <c r="BK96" i="4"/>
  <c r="AR81" i="4"/>
  <c r="U81" i="4" s="1"/>
  <c r="T81" i="4"/>
  <c r="BK98" i="4"/>
  <c r="AQ32" i="4"/>
  <c r="P32" i="4"/>
  <c r="AR88" i="4"/>
  <c r="T88" i="4"/>
  <c r="AR131" i="4"/>
  <c r="U131" i="4" s="1"/>
  <c r="T131" i="4"/>
  <c r="AR139" i="4"/>
  <c r="T139" i="4"/>
  <c r="AR152" i="4"/>
  <c r="U152" i="4" s="1"/>
  <c r="T152" i="4"/>
  <c r="AR80" i="4"/>
  <c r="U80" i="4" s="1"/>
  <c r="T80" i="4"/>
  <c r="AQ112" i="4"/>
  <c r="P112" i="4"/>
  <c r="AQ191" i="4"/>
  <c r="P191" i="4"/>
  <c r="AR197" i="4"/>
  <c r="U197" i="4" s="1"/>
  <c r="T197" i="4"/>
  <c r="AR206" i="4"/>
  <c r="T206" i="4"/>
  <c r="T219" i="4"/>
  <c r="AR219" i="4"/>
  <c r="U219" i="4" s="1"/>
  <c r="T226" i="4"/>
  <c r="AR226" i="4"/>
  <c r="AK270" i="4"/>
  <c r="AR225" i="4"/>
  <c r="U225" i="4" s="1"/>
  <c r="T225" i="4"/>
  <c r="T242" i="4"/>
  <c r="AR242" i="4"/>
  <c r="U242" i="4" s="1"/>
  <c r="AK272" i="4"/>
  <c r="AK276" i="4"/>
  <c r="AK280" i="4"/>
  <c r="AK284" i="4"/>
  <c r="AR271" i="4"/>
  <c r="U271" i="4" s="1"/>
  <c r="T271" i="4"/>
  <c r="AR287" i="4"/>
  <c r="U287" i="4" s="1"/>
  <c r="T287" i="4"/>
  <c r="AQ293" i="4"/>
  <c r="P293" i="4"/>
  <c r="AR317" i="4"/>
  <c r="U317" i="4" s="1"/>
  <c r="T317" i="4"/>
  <c r="AR329" i="4"/>
  <c r="U329" i="4" s="1"/>
  <c r="T329" i="4"/>
  <c r="AR337" i="4"/>
  <c r="U337" i="4" s="1"/>
  <c r="T337" i="4"/>
  <c r="AR336" i="4"/>
  <c r="U336" i="4" s="1"/>
  <c r="T336" i="4"/>
  <c r="AQ353" i="4"/>
  <c r="P353" i="4"/>
  <c r="AR367" i="4"/>
  <c r="T367" i="4"/>
  <c r="AR374" i="4"/>
  <c r="T374" i="4"/>
  <c r="T425" i="4"/>
  <c r="AR425" i="4"/>
  <c r="AR399" i="4"/>
  <c r="T399" i="4"/>
  <c r="AK433" i="4"/>
  <c r="AQ449" i="4"/>
  <c r="P449" i="4"/>
  <c r="AR438" i="4"/>
  <c r="U438" i="4" s="1"/>
  <c r="T438" i="4"/>
  <c r="AK465" i="4"/>
  <c r="AQ460" i="4"/>
  <c r="P460" i="4"/>
  <c r="AR480" i="4"/>
  <c r="T480" i="4"/>
  <c r="AR477" i="4"/>
  <c r="T477" i="4"/>
  <c r="AR446" i="4"/>
  <c r="U446" i="4" s="1"/>
  <c r="T446" i="4"/>
  <c r="T499" i="4"/>
  <c r="AR499" i="4"/>
  <c r="U499" i="4" s="1"/>
  <c r="T84" i="5"/>
  <c r="S84" i="5"/>
  <c r="T20" i="5"/>
  <c r="AP163" i="5"/>
  <c r="AQ163" i="5" s="1"/>
  <c r="O163" i="5"/>
  <c r="S210" i="5"/>
  <c r="BL88" i="5"/>
  <c r="AL29" i="5"/>
  <c r="O29" i="5" s="1"/>
  <c r="S351" i="5"/>
  <c r="T351" i="5"/>
  <c r="T61" i="1"/>
  <c r="AR61" i="1"/>
  <c r="S457" i="5"/>
  <c r="T457" i="5"/>
  <c r="AP341" i="5"/>
  <c r="AQ341" i="5" s="1"/>
  <c r="O341" i="5"/>
  <c r="S369" i="5"/>
  <c r="S401" i="5"/>
  <c r="AR85" i="1"/>
  <c r="U85" i="1" s="1"/>
  <c r="T85" i="1"/>
  <c r="T371" i="5"/>
  <c r="S371" i="5"/>
  <c r="T379" i="5"/>
  <c r="S379" i="5"/>
  <c r="T387" i="5"/>
  <c r="S387" i="5"/>
  <c r="S395" i="5"/>
  <c r="T403" i="5"/>
  <c r="S403" i="5"/>
  <c r="AP423" i="5"/>
  <c r="AQ423" i="5" s="1"/>
  <c r="O423" i="5"/>
  <c r="S445" i="5"/>
  <c r="O467" i="5"/>
  <c r="AP467" i="5"/>
  <c r="AQ467" i="5" s="1"/>
  <c r="T486" i="5"/>
  <c r="S486" i="5"/>
  <c r="O495" i="5"/>
  <c r="AP495" i="5"/>
  <c r="AQ495" i="5" s="1"/>
  <c r="AK296" i="1"/>
  <c r="AR53" i="1"/>
  <c r="U53" i="1" s="1"/>
  <c r="T53" i="1"/>
  <c r="AR58" i="1"/>
  <c r="U58" i="1" s="1"/>
  <c r="T58" i="1"/>
  <c r="AR76" i="1"/>
  <c r="U76" i="1" s="1"/>
  <c r="T76" i="1"/>
  <c r="AR84" i="1"/>
  <c r="U84" i="1" s="1"/>
  <c r="T84" i="1"/>
  <c r="AK253" i="1"/>
  <c r="AR133" i="1"/>
  <c r="U133" i="1" s="1"/>
  <c r="T133" i="1"/>
  <c r="AR217" i="1"/>
  <c r="T217" i="1"/>
  <c r="AR249" i="1"/>
  <c r="U249" i="1" s="1"/>
  <c r="T249" i="1"/>
  <c r="AR273" i="1"/>
  <c r="T273" i="1"/>
  <c r="AK302" i="1"/>
  <c r="AK318" i="1"/>
  <c r="AR199" i="1"/>
  <c r="U199" i="1" s="1"/>
  <c r="T199" i="1"/>
  <c r="AR207" i="1"/>
  <c r="T207" i="1"/>
  <c r="AK97" i="4"/>
  <c r="AQ31" i="4"/>
  <c r="P31" i="4"/>
  <c r="AK38" i="4"/>
  <c r="AQ47" i="4"/>
  <c r="P47" i="4"/>
  <c r="AK54" i="4"/>
  <c r="T58" i="4"/>
  <c r="AR58" i="4"/>
  <c r="AK413" i="4"/>
  <c r="AR87" i="4"/>
  <c r="U87" i="4" s="1"/>
  <c r="T87" i="4"/>
  <c r="AQ36" i="4"/>
  <c r="P36" i="4"/>
  <c r="AK44" i="4"/>
  <c r="AK49" i="4"/>
  <c r="AK118" i="4"/>
  <c r="AK219" i="4"/>
  <c r="AR95" i="4"/>
  <c r="T95" i="4"/>
  <c r="AR147" i="4"/>
  <c r="T147" i="4"/>
  <c r="AR64" i="4"/>
  <c r="T64" i="4"/>
  <c r="AK549" i="4"/>
  <c r="AK273" i="4"/>
  <c r="AK59" i="4"/>
  <c r="AQ167" i="4"/>
  <c r="P167" i="4"/>
  <c r="T195" i="4"/>
  <c r="AR195" i="4"/>
  <c r="U195" i="4" s="1"/>
  <c r="T213" i="4"/>
  <c r="AR213" i="4"/>
  <c r="AK231" i="4"/>
  <c r="T239" i="4"/>
  <c r="AR239" i="4"/>
  <c r="U239" i="4" s="1"/>
  <c r="T296" i="4"/>
  <c r="AR296" i="4"/>
  <c r="U296" i="4" s="1"/>
  <c r="AR306" i="4"/>
  <c r="T306" i="4"/>
  <c r="AR265" i="4"/>
  <c r="T265" i="4"/>
  <c r="AR281" i="4"/>
  <c r="U281" i="4" s="1"/>
  <c r="T281" i="4"/>
  <c r="AR248" i="4"/>
  <c r="U248" i="4" s="1"/>
  <c r="T248" i="4"/>
  <c r="AR256" i="4"/>
  <c r="U256" i="4" s="1"/>
  <c r="T256" i="4"/>
  <c r="AR264" i="4"/>
  <c r="T264" i="4"/>
  <c r="AQ348" i="4"/>
  <c r="P348" i="4"/>
  <c r="AR331" i="4"/>
  <c r="U331" i="4" s="1"/>
  <c r="T331" i="4"/>
  <c r="AR369" i="4"/>
  <c r="U369" i="4" s="1"/>
  <c r="T369" i="4"/>
  <c r="AR397" i="4"/>
  <c r="U397" i="4" s="1"/>
  <c r="T397" i="4"/>
  <c r="AK411" i="4"/>
  <c r="AQ416" i="4"/>
  <c r="P416" i="4"/>
  <c r="AR431" i="4"/>
  <c r="U431" i="4" s="1"/>
  <c r="T431" i="4"/>
  <c r="AR396" i="4"/>
  <c r="U396" i="4" s="1"/>
  <c r="T396" i="4"/>
  <c r="AQ436" i="4"/>
  <c r="P436" i="4"/>
  <c r="AR442" i="4"/>
  <c r="T442" i="4"/>
  <c r="T466" i="4"/>
  <c r="AR466" i="4"/>
  <c r="AR505" i="4"/>
  <c r="U505" i="4" s="1"/>
  <c r="T505" i="4"/>
  <c r="T503" i="4"/>
  <c r="AR503" i="4"/>
  <c r="AL35" i="5"/>
  <c r="O35" i="5" s="1"/>
  <c r="S119" i="5"/>
  <c r="BN94" i="5"/>
  <c r="BP94" i="5" s="1"/>
  <c r="AP95" i="5"/>
  <c r="AQ95" i="5" s="1"/>
  <c r="O95" i="5"/>
  <c r="T126" i="5"/>
  <c r="S126" i="5"/>
  <c r="S171" i="5"/>
  <c r="S187" i="5"/>
  <c r="AJ205" i="5"/>
  <c r="S232" i="5"/>
  <c r="T69" i="1"/>
  <c r="AR69" i="1"/>
  <c r="AP406" i="5"/>
  <c r="AQ406" i="5" s="1"/>
  <c r="O406" i="5"/>
  <c r="U8" i="1"/>
  <c r="AK8" i="1"/>
  <c r="T346" i="5"/>
  <c r="S346" i="5"/>
  <c r="AK11" i="1"/>
  <c r="S411" i="5"/>
  <c r="AP443" i="5"/>
  <c r="AQ443" i="5" s="1"/>
  <c r="O443" i="5"/>
  <c r="O489" i="5"/>
  <c r="AP489" i="5"/>
  <c r="AQ489" i="5" s="1"/>
  <c r="AK254" i="1"/>
  <c r="BO95" i="1"/>
  <c r="BQ95" i="1" s="1"/>
  <c r="AK117" i="1"/>
  <c r="S444" i="5"/>
  <c r="AK44" i="1"/>
  <c r="AR67" i="1"/>
  <c r="U67" i="1" s="1"/>
  <c r="T67" i="1"/>
  <c r="AR74" i="1"/>
  <c r="T74" i="1"/>
  <c r="AK102" i="1"/>
  <c r="T142" i="1"/>
  <c r="AR142" i="1"/>
  <c r="AK268" i="1"/>
  <c r="AR141" i="1"/>
  <c r="T141" i="1"/>
  <c r="AQ255" i="1"/>
  <c r="P255" i="1"/>
  <c r="AR131" i="1"/>
  <c r="T131" i="1"/>
  <c r="AQ323" i="1"/>
  <c r="P323" i="1"/>
  <c r="AQ363" i="1"/>
  <c r="P363" i="1"/>
  <c r="AQ378" i="1"/>
  <c r="P378" i="1"/>
  <c r="AR162" i="1"/>
  <c r="T162" i="1"/>
  <c r="AR178" i="1"/>
  <c r="U178" i="1" s="1"/>
  <c r="T178" i="1"/>
  <c r="AR228" i="1"/>
  <c r="T228" i="1"/>
  <c r="AR260" i="1"/>
  <c r="T260" i="1"/>
  <c r="T334" i="1"/>
  <c r="AR334" i="1"/>
  <c r="U334" i="1" s="1"/>
  <c r="T342" i="1"/>
  <c r="AR342" i="1"/>
  <c r="U342" i="1" s="1"/>
  <c r="T350" i="1"/>
  <c r="AR350" i="1"/>
  <c r="U350" i="1" s="1"/>
  <c r="T358" i="1"/>
  <c r="AR358" i="1"/>
  <c r="U358" i="1" s="1"/>
  <c r="T366" i="1"/>
  <c r="AR366" i="1"/>
  <c r="U366" i="1" s="1"/>
  <c r="T297" i="1"/>
  <c r="AR297" i="1"/>
  <c r="U297" i="1" s="1"/>
  <c r="AK394" i="1"/>
  <c r="AK24" i="4"/>
  <c r="AK339" i="4"/>
  <c r="BE94" i="4"/>
  <c r="BG94" i="4"/>
  <c r="AK341" i="4"/>
  <c r="AK131" i="4"/>
  <c r="BK100" i="4"/>
  <c r="T40" i="4"/>
  <c r="AR40" i="4"/>
  <c r="T45" i="4"/>
  <c r="AR45" i="4"/>
  <c r="AK78" i="4"/>
  <c r="AK271" i="4"/>
  <c r="AK252" i="4"/>
  <c r="AK481" i="4"/>
  <c r="T116" i="4"/>
  <c r="AR116" i="4"/>
  <c r="AR106" i="4"/>
  <c r="U106" i="4" s="1"/>
  <c r="T106" i="4"/>
  <c r="T122" i="4"/>
  <c r="AR122" i="4"/>
  <c r="U122" i="4" s="1"/>
  <c r="AK135" i="4"/>
  <c r="AK256" i="4"/>
  <c r="AK389" i="4"/>
  <c r="AK547" i="4"/>
  <c r="AK391" i="4"/>
  <c r="AK310" i="4"/>
  <c r="T98" i="4"/>
  <c r="AR98" i="4"/>
  <c r="T105" i="4"/>
  <c r="AR105" i="4"/>
  <c r="T175" i="4"/>
  <c r="AR175" i="4"/>
  <c r="AR200" i="4"/>
  <c r="T200" i="4"/>
  <c r="T179" i="4"/>
  <c r="AR179" i="4"/>
  <c r="T266" i="4"/>
  <c r="AR266" i="4"/>
  <c r="U266" i="4" s="1"/>
  <c r="T215" i="4"/>
  <c r="AR215" i="4"/>
  <c r="U215" i="4" s="1"/>
  <c r="T238" i="4"/>
  <c r="AR238" i="4"/>
  <c r="AK268" i="4"/>
  <c r="AK274" i="4"/>
  <c r="AK278" i="4"/>
  <c r="AK282" i="4"/>
  <c r="AK286" i="4"/>
  <c r="AQ298" i="4"/>
  <c r="P298" i="4"/>
  <c r="AR253" i="4"/>
  <c r="T253" i="4"/>
  <c r="AR261" i="4"/>
  <c r="T261" i="4"/>
  <c r="T313" i="4"/>
  <c r="AR313" i="4"/>
  <c r="AK335" i="4"/>
  <c r="AR349" i="4"/>
  <c r="T349" i="4"/>
  <c r="AQ363" i="4"/>
  <c r="P363" i="4"/>
  <c r="AR327" i="4"/>
  <c r="T327" i="4"/>
  <c r="AR395" i="4"/>
  <c r="T395" i="4"/>
  <c r="AR408" i="4"/>
  <c r="U408" i="4" s="1"/>
  <c r="T408" i="4"/>
  <c r="T483" i="4"/>
  <c r="AR483" i="4"/>
  <c r="AR541" i="4"/>
  <c r="T541" i="4"/>
  <c r="AJ72" i="5"/>
  <c r="AP164" i="5"/>
  <c r="AQ164" i="5" s="1"/>
  <c r="O164" i="5"/>
  <c r="S214" i="5"/>
  <c r="AJ225" i="5"/>
  <c r="AP158" i="5"/>
  <c r="AQ158" i="5" s="1"/>
  <c r="O158" i="5"/>
  <c r="AJ172" i="5"/>
  <c r="S191" i="5"/>
  <c r="S410" i="5"/>
  <c r="T410" i="5"/>
  <c r="AK18" i="1"/>
  <c r="S302" i="5"/>
  <c r="S355" i="5"/>
  <c r="S402" i="5"/>
  <c r="S339" i="5"/>
  <c r="S385" i="5"/>
  <c r="AK7" i="1"/>
  <c r="AP420" i="5"/>
  <c r="AQ420" i="5" s="1"/>
  <c r="O420" i="5"/>
  <c r="S466" i="5"/>
  <c r="O479" i="5"/>
  <c r="AP479" i="5"/>
  <c r="AQ479" i="5" s="1"/>
  <c r="BH91" i="1"/>
  <c r="AQ41" i="1"/>
  <c r="P41" i="1"/>
  <c r="AQ66" i="1"/>
  <c r="P66" i="1"/>
  <c r="S440" i="5"/>
  <c r="AK77" i="1"/>
  <c r="T108" i="1"/>
  <c r="AR108" i="1"/>
  <c r="AK50" i="1"/>
  <c r="AK76" i="1"/>
  <c r="AR100" i="1"/>
  <c r="T100" i="1"/>
  <c r="T121" i="1"/>
  <c r="AR121" i="1"/>
  <c r="AK178" i="1"/>
  <c r="AK191" i="1"/>
  <c r="AR135" i="1"/>
  <c r="T135" i="1"/>
  <c r="T316" i="1"/>
  <c r="AR316" i="1"/>
  <c r="T332" i="1"/>
  <c r="AR332" i="1"/>
  <c r="AQ359" i="1"/>
  <c r="P359" i="1"/>
  <c r="AK179" i="1"/>
  <c r="AR197" i="1"/>
  <c r="T197" i="1"/>
  <c r="AR205" i="1"/>
  <c r="T205" i="1"/>
  <c r="AQ396" i="1"/>
  <c r="P396" i="1"/>
  <c r="AR90" i="4"/>
  <c r="T90" i="4"/>
  <c r="AR5" i="4"/>
  <c r="T5" i="4"/>
  <c r="AK192" i="4"/>
  <c r="AK154" i="4"/>
  <c r="AK6" i="4"/>
  <c r="AK140" i="4"/>
  <c r="AK80" i="4"/>
  <c r="AK123" i="4"/>
  <c r="AK408" i="4"/>
  <c r="AK397" i="4"/>
  <c r="AK242" i="4"/>
  <c r="AK245" i="4"/>
  <c r="AK102" i="4"/>
  <c r="AK109" i="4"/>
  <c r="AK79" i="4"/>
  <c r="AK87" i="4"/>
  <c r="AK104" i="4"/>
  <c r="T120" i="4"/>
  <c r="AR120" i="4"/>
  <c r="AK410" i="4"/>
  <c r="AK263" i="4"/>
  <c r="AK233" i="4"/>
  <c r="AK203" i="4"/>
  <c r="T125" i="4"/>
  <c r="AR125" i="4"/>
  <c r="U125" i="4" s="1"/>
  <c r="P163" i="4"/>
  <c r="AQ163" i="4"/>
  <c r="AR158" i="4"/>
  <c r="T158" i="4"/>
  <c r="AQ199" i="4"/>
  <c r="P199" i="4"/>
  <c r="AQ174" i="4"/>
  <c r="P174" i="4"/>
  <c r="AQ190" i="4"/>
  <c r="P190" i="4"/>
  <c r="AQ227" i="4"/>
  <c r="P227" i="4"/>
  <c r="AR277" i="4"/>
  <c r="T277" i="4"/>
  <c r="AR289" i="4"/>
  <c r="T289" i="4"/>
  <c r="AQ294" i="4"/>
  <c r="P294" i="4"/>
  <c r="AR250" i="4"/>
  <c r="T250" i="4"/>
  <c r="AR258" i="4"/>
  <c r="T258" i="4"/>
  <c r="AK329" i="4"/>
  <c r="AQ372" i="4"/>
  <c r="P372" i="4"/>
  <c r="AR393" i="4"/>
  <c r="T393" i="4"/>
  <c r="AQ412" i="4"/>
  <c r="P412" i="4"/>
  <c r="AK429" i="4"/>
  <c r="AK451" i="4"/>
  <c r="AR463" i="4"/>
  <c r="T463" i="4"/>
  <c r="AR444" i="4"/>
  <c r="T444" i="4"/>
  <c r="T476" i="4"/>
  <c r="AR476" i="4"/>
  <c r="AR437" i="4"/>
  <c r="U437" i="4" s="1"/>
  <c r="T437" i="4"/>
  <c r="T458" i="4"/>
  <c r="AR458" i="4"/>
  <c r="AR475" i="4"/>
  <c r="T475" i="4"/>
  <c r="AR524" i="4"/>
  <c r="T524" i="4"/>
  <c r="AR552" i="4"/>
  <c r="T552" i="4"/>
  <c r="AQ533" i="4"/>
  <c r="P533" i="4"/>
  <c r="AR544" i="4"/>
  <c r="T544" i="4"/>
  <c r="T488" i="4"/>
  <c r="AR488" i="4"/>
  <c r="AR546" i="4"/>
  <c r="T546" i="4"/>
  <c r="AK437" i="4"/>
  <c r="AK427" i="4"/>
  <c r="P521" i="4"/>
  <c r="AQ521" i="4"/>
  <c r="AK529" i="4"/>
  <c r="T555" i="4"/>
  <c r="AR555" i="4"/>
  <c r="S116" i="5"/>
  <c r="T116" i="5"/>
  <c r="T243" i="1"/>
  <c r="AR243" i="1"/>
  <c r="U243" i="1" s="1"/>
  <c r="AR400" i="4"/>
  <c r="T400" i="4"/>
  <c r="AR455" i="4"/>
  <c r="T455" i="4"/>
  <c r="S127" i="5"/>
  <c r="T127" i="5"/>
  <c r="T30" i="4"/>
  <c r="AR30" i="4"/>
  <c r="U30" i="4" s="1"/>
  <c r="T46" i="4"/>
  <c r="AR46" i="4"/>
  <c r="U46" i="4" s="1"/>
  <c r="T56" i="4"/>
  <c r="AR56" i="4"/>
  <c r="U56" i="4" s="1"/>
  <c r="T419" i="4"/>
  <c r="AR419" i="4"/>
  <c r="U419" i="4" s="1"/>
  <c r="T236" i="5"/>
  <c r="S236" i="5"/>
  <c r="AK12" i="4"/>
  <c r="S208" i="5" l="1"/>
  <c r="AJ340" i="5"/>
  <c r="AL43" i="5"/>
  <c r="O43" i="5" s="1"/>
  <c r="S277" i="5"/>
  <c r="S340" i="5"/>
  <c r="S162" i="5"/>
  <c r="S472" i="5"/>
  <c r="AT55" i="5"/>
  <c r="K55" i="5" s="1"/>
  <c r="S99" i="5"/>
  <c r="S307" i="5"/>
  <c r="S310" i="5"/>
  <c r="S228" i="5"/>
  <c r="S357" i="5"/>
  <c r="S494" i="5"/>
  <c r="AS60" i="5"/>
  <c r="M60" i="5" s="1"/>
  <c r="S230" i="5"/>
  <c r="AJ215" i="5"/>
  <c r="S278" i="5"/>
  <c r="S353" i="5"/>
  <c r="AM40" i="5"/>
  <c r="S215" i="5"/>
  <c r="AM44" i="5"/>
  <c r="P44" i="5" s="1"/>
  <c r="AT60" i="5"/>
  <c r="K60" i="5" s="1"/>
  <c r="S202" i="5"/>
  <c r="S176" i="5"/>
  <c r="AQ221" i="5"/>
  <c r="T221" i="5" s="1"/>
  <c r="S221" i="5"/>
  <c r="AM43" i="5"/>
  <c r="P43" i="5" s="1"/>
  <c r="AO52" i="5"/>
  <c r="R52" i="5" s="1"/>
  <c r="O34" i="5"/>
  <c r="AP34" i="5"/>
  <c r="AO61" i="5"/>
  <c r="R61" i="5" s="1"/>
  <c r="AO60" i="5"/>
  <c r="R60" i="5" s="1"/>
  <c r="AO54" i="5"/>
  <c r="AO63" i="5"/>
  <c r="R63" i="5" s="1"/>
  <c r="AN55" i="5"/>
  <c r="Q55" i="5" s="1"/>
  <c r="AO53" i="5"/>
  <c r="R53" i="5" s="1"/>
  <c r="AR60" i="5"/>
  <c r="L60" i="5" s="1"/>
  <c r="AO56" i="5"/>
  <c r="R56" i="5" s="1"/>
  <c r="AM50" i="5"/>
  <c r="AM55" i="5"/>
  <c r="P55" i="5" s="1"/>
  <c r="AO55" i="5"/>
  <c r="R55" i="5" s="1"/>
  <c r="AO59" i="5"/>
  <c r="R59" i="5" s="1"/>
  <c r="AS55" i="5"/>
  <c r="M55" i="5" s="1"/>
  <c r="AO62" i="5"/>
  <c r="R62" i="5" s="1"/>
  <c r="AO57" i="5"/>
  <c r="R57" i="5" s="1"/>
  <c r="AM48" i="5"/>
  <c r="P48" i="5" s="1"/>
  <c r="AM47" i="5"/>
  <c r="P47" i="5" s="1"/>
  <c r="AM42" i="5"/>
  <c r="AM41" i="5"/>
  <c r="P41" i="5" s="1"/>
  <c r="S19" i="5"/>
  <c r="S36" i="5"/>
  <c r="T36" i="5"/>
  <c r="S23" i="5"/>
  <c r="S17" i="5"/>
  <c r="S33" i="5"/>
  <c r="S16" i="5"/>
  <c r="T16" i="5"/>
  <c r="S146" i="5"/>
  <c r="T338" i="5"/>
  <c r="S141" i="5"/>
  <c r="S484" i="5"/>
  <c r="T97" i="5"/>
  <c r="S120" i="5"/>
  <c r="T497" i="5"/>
  <c r="T197" i="5"/>
  <c r="S356" i="5"/>
  <c r="T356" i="5"/>
  <c r="S250" i="5"/>
  <c r="S470" i="5"/>
  <c r="S360" i="5"/>
  <c r="T455" i="5"/>
  <c r="T298" i="5"/>
  <c r="S185" i="5"/>
  <c r="T185" i="5"/>
  <c r="S328" i="5"/>
  <c r="AJ328" i="5"/>
  <c r="S286" i="5"/>
  <c r="AJ286" i="5"/>
  <c r="S315" i="5"/>
  <c r="T315" i="5"/>
  <c r="S442" i="5"/>
  <c r="T442" i="5"/>
  <c r="T282" i="5"/>
  <c r="T176" i="5"/>
  <c r="S161" i="5"/>
  <c r="S480" i="5"/>
  <c r="T480" i="5"/>
  <c r="S326" i="5"/>
  <c r="S188" i="5"/>
  <c r="S207" i="5"/>
  <c r="S271" i="5"/>
  <c r="S105" i="5"/>
  <c r="T470" i="5"/>
  <c r="S455" i="5"/>
  <c r="AS56" i="5"/>
  <c r="M56" i="5" s="1"/>
  <c r="T326" i="5"/>
  <c r="AT56" i="5"/>
  <c r="K56" i="5" s="1"/>
  <c r="AN56" i="5"/>
  <c r="Q56" i="5" s="1"/>
  <c r="AJ330" i="5"/>
  <c r="AP32" i="5"/>
  <c r="AQ32" i="5" s="1"/>
  <c r="AJ18" i="5"/>
  <c r="AJ174" i="5"/>
  <c r="T250" i="5"/>
  <c r="S179" i="5"/>
  <c r="T120" i="5"/>
  <c r="S290" i="5"/>
  <c r="AJ368" i="5"/>
  <c r="S482" i="5"/>
  <c r="AJ357" i="5"/>
  <c r="S118" i="5"/>
  <c r="S197" i="5"/>
  <c r="T360" i="5"/>
  <c r="S282" i="5"/>
  <c r="AR56" i="5"/>
  <c r="L56" i="5" s="1"/>
  <c r="AJ239" i="5"/>
  <c r="AJ376" i="5"/>
  <c r="AJ388" i="5"/>
  <c r="S309" i="5"/>
  <c r="S332" i="5"/>
  <c r="T332" i="5"/>
  <c r="S97" i="5"/>
  <c r="T484" i="5"/>
  <c r="AS52" i="5"/>
  <c r="M52" i="5" s="1"/>
  <c r="AL44" i="5"/>
  <c r="O44" i="5" s="1"/>
  <c r="AJ27" i="5"/>
  <c r="AN52" i="5"/>
  <c r="Q52" i="5" s="1"/>
  <c r="AT52" i="5"/>
  <c r="K52" i="5" s="1"/>
  <c r="AR52" i="5"/>
  <c r="L52" i="5" s="1"/>
  <c r="S441" i="5"/>
  <c r="AL40" i="5"/>
  <c r="O40" i="5" s="1"/>
  <c r="P50" i="5"/>
  <c r="P42" i="5"/>
  <c r="AJ161" i="5"/>
  <c r="AL48" i="5"/>
  <c r="O48" i="5" s="1"/>
  <c r="P40" i="5"/>
  <c r="S497" i="5"/>
  <c r="AJ26" i="5"/>
  <c r="AJ162" i="5"/>
  <c r="T141" i="5"/>
  <c r="AJ213" i="5"/>
  <c r="AJ454" i="5"/>
  <c r="AJ217" i="5"/>
  <c r="AJ450" i="5"/>
  <c r="S490" i="5"/>
  <c r="AJ83" i="5"/>
  <c r="AJ180" i="5"/>
  <c r="AJ109" i="5"/>
  <c r="AJ291" i="5"/>
  <c r="S323" i="5"/>
  <c r="AJ455" i="5"/>
  <c r="AJ123" i="5"/>
  <c r="AJ399" i="5"/>
  <c r="AJ308" i="5"/>
  <c r="AJ460" i="5"/>
  <c r="AJ202" i="5"/>
  <c r="AJ347" i="5"/>
  <c r="AJ128" i="5"/>
  <c r="AJ364" i="5"/>
  <c r="T33" i="5"/>
  <c r="AJ22" i="5"/>
  <c r="U330" i="4"/>
  <c r="AK330" i="4"/>
  <c r="AR540" i="4"/>
  <c r="U540" i="4" s="1"/>
  <c r="T540" i="4"/>
  <c r="T5" i="5"/>
  <c r="AJ5" i="5"/>
  <c r="T375" i="4"/>
  <c r="AR375" i="4"/>
  <c r="U375" i="4" s="1"/>
  <c r="AK375" i="4"/>
  <c r="U169" i="1"/>
  <c r="AK169" i="1"/>
  <c r="U364" i="4"/>
  <c r="AK364" i="4"/>
  <c r="U299" i="1"/>
  <c r="AK299" i="1"/>
  <c r="U490" i="4"/>
  <c r="AK490" i="4"/>
  <c r="AR353" i="1"/>
  <c r="U353" i="1" s="1"/>
  <c r="T353" i="1"/>
  <c r="U132" i="1"/>
  <c r="AK132" i="1"/>
  <c r="T301" i="1"/>
  <c r="AR301" i="1"/>
  <c r="U301" i="1" s="1"/>
  <c r="AK301" i="1"/>
  <c r="U464" i="4"/>
  <c r="AK464" i="4"/>
  <c r="U283" i="1"/>
  <c r="AK283" i="1"/>
  <c r="U97" i="1"/>
  <c r="AK97" i="1"/>
  <c r="T344" i="4"/>
  <c r="AR344" i="4"/>
  <c r="U344" i="4" s="1"/>
  <c r="AK344" i="4"/>
  <c r="T357" i="1"/>
  <c r="AR357" i="1"/>
  <c r="U357" i="1" s="1"/>
  <c r="AK357" i="1"/>
  <c r="U208" i="4"/>
  <c r="AK208" i="4"/>
  <c r="AR305" i="1"/>
  <c r="U305" i="1" s="1"/>
  <c r="T305" i="1"/>
  <c r="AK305" i="1"/>
  <c r="U545" i="4"/>
  <c r="AK545" i="4"/>
  <c r="AR376" i="4"/>
  <c r="U376" i="4" s="1"/>
  <c r="T376" i="4"/>
  <c r="AK376" i="4"/>
  <c r="U163" i="1"/>
  <c r="AK163" i="1"/>
  <c r="U226" i="1"/>
  <c r="AK226" i="1"/>
  <c r="U101" i="1"/>
  <c r="AK101" i="1"/>
  <c r="U484" i="4"/>
  <c r="AK484" i="4"/>
  <c r="AR345" i="1"/>
  <c r="U345" i="1" s="1"/>
  <c r="T345" i="1"/>
  <c r="AK345" i="1"/>
  <c r="U322" i="4"/>
  <c r="AK322" i="4"/>
  <c r="U128" i="4"/>
  <c r="AK128" i="4"/>
  <c r="T309" i="1"/>
  <c r="AR309" i="1"/>
  <c r="U309" i="1" s="1"/>
  <c r="AK309" i="1"/>
  <c r="AR119" i="4"/>
  <c r="U119" i="4" s="1"/>
  <c r="T119" i="4"/>
  <c r="U279" i="1"/>
  <c r="AK279" i="1"/>
  <c r="U287" i="1"/>
  <c r="AK287" i="1"/>
  <c r="U553" i="4"/>
  <c r="AK553" i="4"/>
  <c r="U277" i="1"/>
  <c r="AK277" i="1"/>
  <c r="AK52" i="1"/>
  <c r="AP31" i="5"/>
  <c r="AQ31" i="5" s="1"/>
  <c r="O31" i="5"/>
  <c r="AP28" i="5"/>
  <c r="AQ28" i="5" s="1"/>
  <c r="O28" i="5"/>
  <c r="T450" i="4"/>
  <c r="AR450" i="4"/>
  <c r="U193" i="1"/>
  <c r="AK193" i="1"/>
  <c r="T340" i="4"/>
  <c r="AR340" i="4"/>
  <c r="U340" i="4" s="1"/>
  <c r="AK340" i="4"/>
  <c r="U308" i="4"/>
  <c r="AK308" i="4"/>
  <c r="AR337" i="1"/>
  <c r="U337" i="1" s="1"/>
  <c r="T337" i="1"/>
  <c r="U91" i="1"/>
  <c r="AK91" i="1"/>
  <c r="U185" i="4"/>
  <c r="AK185" i="4"/>
  <c r="U171" i="1"/>
  <c r="AK171" i="1"/>
  <c r="T9" i="5"/>
  <c r="AJ9" i="5"/>
  <c r="U422" i="4"/>
  <c r="AK422" i="4"/>
  <c r="AR313" i="1"/>
  <c r="U313" i="1" s="1"/>
  <c r="T313" i="1"/>
  <c r="AK313" i="1"/>
  <c r="U151" i="1"/>
  <c r="AK151" i="1"/>
  <c r="AR126" i="1"/>
  <c r="U126" i="1" s="1"/>
  <c r="T126" i="1"/>
  <c r="AK126" i="1"/>
  <c r="U136" i="1"/>
  <c r="AK136" i="1"/>
  <c r="U118" i="1"/>
  <c r="AK118" i="1"/>
  <c r="U11" i="4"/>
  <c r="AK11" i="4"/>
  <c r="U482" i="4"/>
  <c r="AK482" i="4"/>
  <c r="U128" i="1"/>
  <c r="AK128" i="1"/>
  <c r="U538" i="4"/>
  <c r="AK538" i="4"/>
  <c r="T165" i="1"/>
  <c r="AR165" i="1"/>
  <c r="U165" i="1" s="1"/>
  <c r="AK165" i="1"/>
  <c r="U494" i="4"/>
  <c r="AK494" i="4"/>
  <c r="AR204" i="4"/>
  <c r="U204" i="4" s="1"/>
  <c r="T204" i="4"/>
  <c r="AK204" i="4"/>
  <c r="U389" i="1"/>
  <c r="AK389" i="1"/>
  <c r="AR216" i="4"/>
  <c r="U216" i="4" s="1"/>
  <c r="T216" i="4"/>
  <c r="U161" i="1"/>
  <c r="AK161" i="1"/>
  <c r="U14" i="4"/>
  <c r="AK14" i="4"/>
  <c r="AR385" i="1"/>
  <c r="U385" i="1" s="1"/>
  <c r="T385" i="1"/>
  <c r="AK385" i="1"/>
  <c r="U9" i="4"/>
  <c r="AK9" i="4"/>
  <c r="U144" i="1"/>
  <c r="AK144" i="1"/>
  <c r="AR177" i="4"/>
  <c r="U177" i="4" s="1"/>
  <c r="T177" i="4"/>
  <c r="AK177" i="4"/>
  <c r="AR189" i="4"/>
  <c r="T189" i="4"/>
  <c r="AR175" i="1"/>
  <c r="U175" i="1" s="1"/>
  <c r="T175" i="1"/>
  <c r="AK175" i="1"/>
  <c r="AR391" i="1"/>
  <c r="T391" i="1"/>
  <c r="T7" i="5"/>
  <c r="AJ7" i="5"/>
  <c r="AR551" i="4"/>
  <c r="U551" i="4" s="1"/>
  <c r="T551" i="4"/>
  <c r="AK551" i="4"/>
  <c r="AR65" i="4"/>
  <c r="U65" i="4" s="1"/>
  <c r="T65" i="4"/>
  <c r="AR300" i="1"/>
  <c r="U300" i="1" s="1"/>
  <c r="T300" i="1"/>
  <c r="S231" i="5"/>
  <c r="U358" i="4"/>
  <c r="AK358" i="4"/>
  <c r="T341" i="1"/>
  <c r="AR341" i="1"/>
  <c r="U341" i="1" s="1"/>
  <c r="U379" i="4"/>
  <c r="AK379" i="4"/>
  <c r="U379" i="1"/>
  <c r="AK379" i="1"/>
  <c r="U334" i="4"/>
  <c r="AK334" i="4"/>
  <c r="T365" i="1"/>
  <c r="AR365" i="1"/>
  <c r="U365" i="1" s="1"/>
  <c r="AR329" i="1"/>
  <c r="U329" i="1" s="1"/>
  <c r="T329" i="1"/>
  <c r="AK329" i="1"/>
  <c r="U155" i="4"/>
  <c r="AK155" i="4"/>
  <c r="U291" i="1"/>
  <c r="AK291" i="1"/>
  <c r="U297" i="4"/>
  <c r="AK297" i="4"/>
  <c r="U318" i="4"/>
  <c r="AK318" i="4"/>
  <c r="U105" i="1"/>
  <c r="AK105" i="1"/>
  <c r="U312" i="4"/>
  <c r="AK312" i="4"/>
  <c r="T121" i="4"/>
  <c r="AR121" i="4"/>
  <c r="T317" i="1"/>
  <c r="AR317" i="1"/>
  <c r="U317" i="1" s="1"/>
  <c r="U99" i="1"/>
  <c r="AK99" i="1"/>
  <c r="T13" i="5"/>
  <c r="AJ13" i="5"/>
  <c r="U304" i="4"/>
  <c r="AK304" i="4"/>
  <c r="U93" i="1"/>
  <c r="AK93" i="1"/>
  <c r="U275" i="1"/>
  <c r="AK275" i="1"/>
  <c r="U224" i="4"/>
  <c r="AK224" i="4"/>
  <c r="U126" i="4"/>
  <c r="AK126" i="4"/>
  <c r="U558" i="4"/>
  <c r="AK558" i="4"/>
  <c r="U60" i="4"/>
  <c r="AK60" i="4"/>
  <c r="AR321" i="1"/>
  <c r="U321" i="1" s="1"/>
  <c r="T321" i="1"/>
  <c r="U148" i="1"/>
  <c r="AK148" i="1"/>
  <c r="T333" i="1"/>
  <c r="AR333" i="1"/>
  <c r="U333" i="1" s="1"/>
  <c r="AK333" i="1"/>
  <c r="U193" i="4"/>
  <c r="AK193" i="4"/>
  <c r="AR361" i="1"/>
  <c r="U361" i="1" s="1"/>
  <c r="T361" i="1"/>
  <c r="AK361" i="1"/>
  <c r="U155" i="1"/>
  <c r="AK155" i="1"/>
  <c r="U167" i="1"/>
  <c r="AK167" i="1"/>
  <c r="AK366" i="1"/>
  <c r="AK112" i="1"/>
  <c r="U326" i="4"/>
  <c r="AK326" i="4"/>
  <c r="T542" i="4"/>
  <c r="AR542" i="4"/>
  <c r="U542" i="4" s="1"/>
  <c r="T325" i="1"/>
  <c r="AR325" i="1"/>
  <c r="U325" i="1" s="1"/>
  <c r="T365" i="4"/>
  <c r="AR365" i="4"/>
  <c r="U365" i="4" s="1"/>
  <c r="U234" i="1"/>
  <c r="AK234" i="1"/>
  <c r="U314" i="4"/>
  <c r="AK314" i="4"/>
  <c r="AR295" i="4"/>
  <c r="U295" i="4" s="1"/>
  <c r="T295" i="4"/>
  <c r="AK295" i="4"/>
  <c r="T349" i="1"/>
  <c r="AR349" i="1"/>
  <c r="U349" i="1" s="1"/>
  <c r="AK349" i="1"/>
  <c r="U113" i="1"/>
  <c r="AK113" i="1"/>
  <c r="U159" i="1"/>
  <c r="AK159" i="1"/>
  <c r="U140" i="1"/>
  <c r="AK140" i="1"/>
  <c r="AR281" i="1"/>
  <c r="T281" i="1"/>
  <c r="AR220" i="4"/>
  <c r="U220" i="4" s="1"/>
  <c r="T220" i="4"/>
  <c r="AR169" i="4"/>
  <c r="U169" i="4" s="1"/>
  <c r="T169" i="4"/>
  <c r="T300" i="4"/>
  <c r="AR300" i="4"/>
  <c r="AR454" i="4"/>
  <c r="T454" i="4"/>
  <c r="T354" i="4"/>
  <c r="AK354" i="4"/>
  <c r="AR354" i="4"/>
  <c r="U354" i="4" s="1"/>
  <c r="T119" i="1"/>
  <c r="AR119" i="1"/>
  <c r="AR77" i="4"/>
  <c r="T77" i="4"/>
  <c r="T366" i="4"/>
  <c r="AR366" i="4"/>
  <c r="U366" i="4" s="1"/>
  <c r="AK366" i="4"/>
  <c r="AR356" i="4"/>
  <c r="U356" i="4" s="1"/>
  <c r="T356" i="4"/>
  <c r="AR165" i="4"/>
  <c r="U165" i="4" s="1"/>
  <c r="T165" i="4"/>
  <c r="U218" i="1"/>
  <c r="AK218" i="1"/>
  <c r="U148" i="4"/>
  <c r="AK148" i="4"/>
  <c r="AR368" i="1"/>
  <c r="U368" i="1" s="1"/>
  <c r="T368" i="1"/>
  <c r="AK368" i="1"/>
  <c r="AR560" i="4"/>
  <c r="T560" i="4"/>
  <c r="T381" i="1"/>
  <c r="AR381" i="1"/>
  <c r="U381" i="1" s="1"/>
  <c r="U338" i="4"/>
  <c r="AK338" i="4"/>
  <c r="AR387" i="1"/>
  <c r="U387" i="1" s="1"/>
  <c r="T387" i="1"/>
  <c r="AR109" i="1"/>
  <c r="U109" i="1" s="1"/>
  <c r="T109" i="1"/>
  <c r="AJ353" i="5"/>
  <c r="AJ242" i="5"/>
  <c r="AJ391" i="5"/>
  <c r="S311" i="5"/>
  <c r="AJ367" i="5"/>
  <c r="AJ112" i="5"/>
  <c r="AJ326" i="5"/>
  <c r="S284" i="5"/>
  <c r="AJ375" i="5"/>
  <c r="S476" i="5"/>
  <c r="AJ331" i="5"/>
  <c r="AJ201" i="5"/>
  <c r="AJ8" i="5"/>
  <c r="AJ338" i="5"/>
  <c r="S338" i="5"/>
  <c r="S336" i="5"/>
  <c r="T336" i="5"/>
  <c r="AJ293" i="5"/>
  <c r="AJ106" i="5"/>
  <c r="T292" i="5"/>
  <c r="S292" i="5"/>
  <c r="S209" i="5"/>
  <c r="T307" i="5"/>
  <c r="AJ307" i="5"/>
  <c r="AJ189" i="5"/>
  <c r="AJ478" i="5"/>
  <c r="S139" i="5"/>
  <c r="AJ234" i="5"/>
  <c r="AJ300" i="5"/>
  <c r="T237" i="5"/>
  <c r="S237" i="5"/>
  <c r="T329" i="5"/>
  <c r="AJ329" i="5"/>
  <c r="AJ472" i="5"/>
  <c r="AJ294" i="5"/>
  <c r="T146" i="5"/>
  <c r="S298" i="5"/>
  <c r="S265" i="5"/>
  <c r="T265" i="5"/>
  <c r="AJ236" i="5"/>
  <c r="AJ282" i="5"/>
  <c r="S147" i="5"/>
  <c r="S91" i="5"/>
  <c r="AL45" i="5"/>
  <c r="O45" i="5" s="1"/>
  <c r="L45" i="5"/>
  <c r="P45" i="5"/>
  <c r="S324" i="5"/>
  <c r="AJ327" i="5"/>
  <c r="AJ183" i="5"/>
  <c r="AJ222" i="5"/>
  <c r="AJ497" i="5"/>
  <c r="AS57" i="5"/>
  <c r="M57" i="5" s="1"/>
  <c r="AR57" i="5"/>
  <c r="AM57" i="5" s="1"/>
  <c r="AT57" i="5"/>
  <c r="K57" i="5" s="1"/>
  <c r="AN57" i="5"/>
  <c r="Q57" i="5" s="1"/>
  <c r="AJ254" i="5"/>
  <c r="AJ233" i="5"/>
  <c r="T318" i="5"/>
  <c r="S318" i="5"/>
  <c r="T262" i="5"/>
  <c r="AJ262" i="5"/>
  <c r="AJ80" i="5"/>
  <c r="AJ173" i="5"/>
  <c r="S257" i="5"/>
  <c r="T257" i="5"/>
  <c r="T322" i="5"/>
  <c r="S322" i="5"/>
  <c r="S102" i="5"/>
  <c r="AJ195" i="5"/>
  <c r="AJ448" i="5"/>
  <c r="AJ81" i="5"/>
  <c r="AJ348" i="5"/>
  <c r="AJ107" i="5"/>
  <c r="AJ359" i="5"/>
  <c r="S337" i="5"/>
  <c r="T337" i="5"/>
  <c r="S249" i="5"/>
  <c r="T249" i="5"/>
  <c r="S416" i="5"/>
  <c r="T416" i="5"/>
  <c r="T344" i="5"/>
  <c r="S344" i="5"/>
  <c r="AJ277" i="5"/>
  <c r="AJ197" i="5"/>
  <c r="AJ457" i="5"/>
  <c r="AJ468" i="5"/>
  <c r="AJ407" i="5"/>
  <c r="AL47" i="5"/>
  <c r="S246" i="5"/>
  <c r="T260" i="5"/>
  <c r="AJ260" i="5"/>
  <c r="S143" i="5"/>
  <c r="T434" i="5"/>
  <c r="AJ434" i="5"/>
  <c r="T245" i="5"/>
  <c r="AJ245" i="5"/>
  <c r="T261" i="5"/>
  <c r="AJ261" i="5"/>
  <c r="T182" i="5"/>
  <c r="S182" i="5"/>
  <c r="P49" i="5"/>
  <c r="AL49" i="5"/>
  <c r="O49" i="5" s="1"/>
  <c r="L49" i="5"/>
  <c r="T268" i="5"/>
  <c r="AJ268" i="5"/>
  <c r="T168" i="5"/>
  <c r="S168" i="5"/>
  <c r="AP46" i="5"/>
  <c r="AQ46" i="5" s="1"/>
  <c r="T223" i="5"/>
  <c r="AJ223" i="5"/>
  <c r="T137" i="5"/>
  <c r="AJ137" i="5"/>
  <c r="T264" i="5"/>
  <c r="AJ264" i="5"/>
  <c r="S110" i="5"/>
  <c r="T110" i="5"/>
  <c r="AP39" i="5"/>
  <c r="AQ39" i="5" s="1"/>
  <c r="T256" i="5"/>
  <c r="AJ256" i="5"/>
  <c r="T118" i="5"/>
  <c r="AJ118" i="5"/>
  <c r="S157" i="5"/>
  <c r="T438" i="5"/>
  <c r="AJ438" i="5"/>
  <c r="AR63" i="5"/>
  <c r="L63" i="5" s="1"/>
  <c r="AT63" i="5"/>
  <c r="K63" i="5" s="1"/>
  <c r="AN63" i="5"/>
  <c r="Q63" i="5" s="1"/>
  <c r="AS63" i="5"/>
  <c r="M63" i="5" s="1"/>
  <c r="AJ84" i="5"/>
  <c r="AJ75" i="5"/>
  <c r="AJ228" i="5"/>
  <c r="AL55" i="5"/>
  <c r="AJ366" i="5"/>
  <c r="AJ193" i="5"/>
  <c r="AL42" i="5"/>
  <c r="O42" i="5" s="1"/>
  <c r="AS54" i="5"/>
  <c r="M54" i="5" s="1"/>
  <c r="AN54" i="5"/>
  <c r="Q54" i="5" s="1"/>
  <c r="R54" i="5"/>
  <c r="AT54" i="5"/>
  <c r="K54" i="5" s="1"/>
  <c r="AR54" i="5"/>
  <c r="AM54" i="5" s="1"/>
  <c r="S400" i="5"/>
  <c r="T400" i="5"/>
  <c r="T272" i="5"/>
  <c r="AJ272" i="5"/>
  <c r="T365" i="5"/>
  <c r="AJ365" i="5"/>
  <c r="T248" i="5"/>
  <c r="AJ248" i="5"/>
  <c r="AS61" i="5"/>
  <c r="M61" i="5" s="1"/>
  <c r="AT61" i="5"/>
  <c r="K61" i="5" s="1"/>
  <c r="AR61" i="5"/>
  <c r="L61" i="5" s="1"/>
  <c r="AN61" i="5"/>
  <c r="Q61" i="5" s="1"/>
  <c r="T93" i="5"/>
  <c r="AJ93" i="5"/>
  <c r="T247" i="5"/>
  <c r="AJ247" i="5"/>
  <c r="S269" i="5"/>
  <c r="T269" i="5"/>
  <c r="S111" i="5"/>
  <c r="T111" i="5"/>
  <c r="S419" i="5"/>
  <c r="T419" i="5"/>
  <c r="T134" i="5"/>
  <c r="AJ134" i="5"/>
  <c r="T113" i="5"/>
  <c r="AJ113" i="5"/>
  <c r="T275" i="5"/>
  <c r="AJ275" i="5"/>
  <c r="T280" i="5"/>
  <c r="S280" i="5"/>
  <c r="T426" i="5"/>
  <c r="AJ426" i="5"/>
  <c r="T178" i="5"/>
  <c r="S178" i="5"/>
  <c r="T200" i="5"/>
  <c r="S200" i="5"/>
  <c r="S115" i="5"/>
  <c r="T418" i="5"/>
  <c r="AJ418" i="5"/>
  <c r="T271" i="5"/>
  <c r="AJ271" i="5"/>
  <c r="T117" i="5"/>
  <c r="AJ117" i="5"/>
  <c r="T196" i="5"/>
  <c r="AJ196" i="5"/>
  <c r="S229" i="5"/>
  <c r="T227" i="5"/>
  <c r="AJ227" i="5"/>
  <c r="AL51" i="5"/>
  <c r="O51" i="5" s="1"/>
  <c r="L51" i="5"/>
  <c r="P51" i="5"/>
  <c r="AT62" i="5"/>
  <c r="K62" i="5" s="1"/>
  <c r="AR62" i="5"/>
  <c r="L62" i="5" s="1"/>
  <c r="AN62" i="5"/>
  <c r="Q62" i="5" s="1"/>
  <c r="AS62" i="5"/>
  <c r="M62" i="5" s="1"/>
  <c r="S88" i="5"/>
  <c r="AJ240" i="5"/>
  <c r="T273" i="5"/>
  <c r="AJ273" i="5"/>
  <c r="S108" i="5"/>
  <c r="T188" i="5"/>
  <c r="AJ188" i="5"/>
  <c r="S320" i="5"/>
  <c r="T320" i="5"/>
  <c r="S203" i="5"/>
  <c r="T203" i="5"/>
  <c r="T219" i="5"/>
  <c r="S219" i="5"/>
  <c r="T151" i="5"/>
  <c r="AJ151" i="5"/>
  <c r="S170" i="5"/>
  <c r="T145" i="5"/>
  <c r="AJ145" i="5"/>
  <c r="S159" i="5"/>
  <c r="T159" i="5"/>
  <c r="T207" i="5"/>
  <c r="AJ207" i="5"/>
  <c r="T372" i="5"/>
  <c r="S372" i="5"/>
  <c r="T267" i="5"/>
  <c r="AJ267" i="5"/>
  <c r="T274" i="5"/>
  <c r="S274" i="5"/>
  <c r="L58" i="5"/>
  <c r="AL58" i="5"/>
  <c r="O58" i="5" s="1"/>
  <c r="P58" i="5"/>
  <c r="T252" i="5"/>
  <c r="AJ252" i="5"/>
  <c r="S316" i="5"/>
  <c r="S288" i="5"/>
  <c r="T153" i="5"/>
  <c r="S153" i="5"/>
  <c r="S166" i="5"/>
  <c r="T166" i="5"/>
  <c r="AP30" i="5"/>
  <c r="AQ30" i="5" s="1"/>
  <c r="T270" i="5"/>
  <c r="AJ270" i="5"/>
  <c r="AL50" i="5"/>
  <c r="O50" i="5" s="1"/>
  <c r="AJ464" i="5"/>
  <c r="T243" i="5"/>
  <c r="AJ243" i="5"/>
  <c r="T430" i="5"/>
  <c r="AJ430" i="5"/>
  <c r="T446" i="5"/>
  <c r="AJ446" i="5"/>
  <c r="S396" i="5"/>
  <c r="T258" i="5"/>
  <c r="AJ258" i="5"/>
  <c r="T352" i="5"/>
  <c r="AJ352" i="5"/>
  <c r="T192" i="5"/>
  <c r="AJ192" i="5"/>
  <c r="T211" i="5"/>
  <c r="AJ211" i="5"/>
  <c r="T148" i="5"/>
  <c r="AJ148" i="5"/>
  <c r="T255" i="5"/>
  <c r="AJ255" i="5"/>
  <c r="AP38" i="5"/>
  <c r="AQ38" i="5" s="1"/>
  <c r="T244" i="5"/>
  <c r="AJ244" i="5"/>
  <c r="T349" i="5"/>
  <c r="S349" i="5"/>
  <c r="S299" i="5"/>
  <c r="S184" i="5"/>
  <c r="T184" i="5"/>
  <c r="T253" i="5"/>
  <c r="AJ253" i="5"/>
  <c r="T251" i="5"/>
  <c r="AJ251" i="5"/>
  <c r="T417" i="5"/>
  <c r="AJ417" i="5"/>
  <c r="S314" i="5"/>
  <c r="T155" i="5"/>
  <c r="S155" i="5"/>
  <c r="AP37" i="5"/>
  <c r="AQ37" i="5" s="1"/>
  <c r="T152" i="5"/>
  <c r="S152" i="5"/>
  <c r="T259" i="5"/>
  <c r="AJ259" i="5"/>
  <c r="U458" i="4"/>
  <c r="AK458" i="4"/>
  <c r="T294" i="4"/>
  <c r="AR294" i="4"/>
  <c r="U294" i="4" s="1"/>
  <c r="U5" i="4"/>
  <c r="AK5" i="4"/>
  <c r="AR359" i="1"/>
  <c r="U359" i="1" s="1"/>
  <c r="T359" i="1"/>
  <c r="T339" i="5"/>
  <c r="AJ339" i="5"/>
  <c r="T191" i="5"/>
  <c r="AJ191" i="5"/>
  <c r="U327" i="4"/>
  <c r="AK327" i="4"/>
  <c r="T436" i="4"/>
  <c r="AR436" i="4"/>
  <c r="U436" i="4" s="1"/>
  <c r="U306" i="4"/>
  <c r="AK306" i="4"/>
  <c r="T167" i="4"/>
  <c r="AR167" i="4"/>
  <c r="U167" i="4" s="1"/>
  <c r="T31" i="4"/>
  <c r="AR31" i="4"/>
  <c r="U31" i="4" s="1"/>
  <c r="U480" i="4"/>
  <c r="AK480" i="4"/>
  <c r="T353" i="4"/>
  <c r="AR353" i="4"/>
  <c r="U353" i="4" s="1"/>
  <c r="U188" i="1"/>
  <c r="AK188" i="1"/>
  <c r="U539" i="4"/>
  <c r="AK539" i="4"/>
  <c r="U435" i="4"/>
  <c r="AK435" i="4"/>
  <c r="U347" i="4"/>
  <c r="AK347" i="4"/>
  <c r="AR218" i="4"/>
  <c r="U218" i="4" s="1"/>
  <c r="T218" i="4"/>
  <c r="AR178" i="4"/>
  <c r="U178" i="4" s="1"/>
  <c r="T178" i="4"/>
  <c r="U68" i="4"/>
  <c r="AK68" i="4"/>
  <c r="U282" i="1"/>
  <c r="AK282" i="1"/>
  <c r="U322" i="1"/>
  <c r="AK322" i="1"/>
  <c r="U293" i="1"/>
  <c r="AK293" i="1"/>
  <c r="T437" i="5"/>
  <c r="AJ437" i="5"/>
  <c r="T208" i="5"/>
  <c r="AJ208" i="5"/>
  <c r="T98" i="5"/>
  <c r="AJ98" i="5"/>
  <c r="AR523" i="4"/>
  <c r="U523" i="4" s="1"/>
  <c r="T523" i="4"/>
  <c r="U455" i="4"/>
  <c r="AK455" i="4"/>
  <c r="AR521" i="4"/>
  <c r="U521" i="4" s="1"/>
  <c r="T521" i="4"/>
  <c r="U463" i="4"/>
  <c r="AK463" i="4"/>
  <c r="T412" i="4"/>
  <c r="AR412" i="4"/>
  <c r="U412" i="4" s="1"/>
  <c r="AK412" i="4"/>
  <c r="AR372" i="4"/>
  <c r="U372" i="4" s="1"/>
  <c r="T372" i="4"/>
  <c r="AR190" i="4"/>
  <c r="U190" i="4" s="1"/>
  <c r="T190" i="4"/>
  <c r="AR199" i="4"/>
  <c r="U199" i="4" s="1"/>
  <c r="T199" i="4"/>
  <c r="U120" i="4"/>
  <c r="AK120" i="4"/>
  <c r="U197" i="1"/>
  <c r="AK197" i="1"/>
  <c r="U332" i="1"/>
  <c r="AK332" i="1"/>
  <c r="U121" i="1"/>
  <c r="AK121" i="1"/>
  <c r="AK85" i="1"/>
  <c r="T440" i="5"/>
  <c r="AJ440" i="5"/>
  <c r="AR41" i="1"/>
  <c r="U41" i="1" s="1"/>
  <c r="T41" i="1"/>
  <c r="T385" i="5"/>
  <c r="AJ385" i="5"/>
  <c r="T158" i="5"/>
  <c r="S158" i="5"/>
  <c r="U261" i="4"/>
  <c r="AK261" i="4"/>
  <c r="T298" i="4"/>
  <c r="AR298" i="4"/>
  <c r="U298" i="4" s="1"/>
  <c r="U179" i="4"/>
  <c r="AK179" i="4"/>
  <c r="U175" i="4"/>
  <c r="AK175" i="4"/>
  <c r="U98" i="4"/>
  <c r="AK98" i="4"/>
  <c r="U45" i="4"/>
  <c r="AK45" i="4"/>
  <c r="U141" i="1"/>
  <c r="AK141" i="1"/>
  <c r="AK243" i="1"/>
  <c r="U69" i="1"/>
  <c r="AK69" i="1"/>
  <c r="T179" i="5"/>
  <c r="AJ179" i="5"/>
  <c r="AK239" i="4"/>
  <c r="AK336" i="4"/>
  <c r="U147" i="4"/>
  <c r="AK147" i="4"/>
  <c r="T36" i="4"/>
  <c r="AR36" i="4"/>
  <c r="U36" i="4" s="1"/>
  <c r="U58" i="4"/>
  <c r="AK58" i="4"/>
  <c r="T47" i="4"/>
  <c r="AR47" i="4"/>
  <c r="S163" i="5"/>
  <c r="T163" i="5"/>
  <c r="U367" i="4"/>
  <c r="AK367" i="4"/>
  <c r="U206" i="4"/>
  <c r="AK206" i="4"/>
  <c r="T191" i="4"/>
  <c r="AR191" i="4"/>
  <c r="U191" i="4" s="1"/>
  <c r="U139" i="4"/>
  <c r="AK139" i="4"/>
  <c r="U88" i="4"/>
  <c r="AK88" i="4"/>
  <c r="AK42" i="1"/>
  <c r="AR73" i="1"/>
  <c r="U73" i="1" s="1"/>
  <c r="T73" i="1"/>
  <c r="AR31" i="1"/>
  <c r="U31" i="1" s="1"/>
  <c r="T31" i="1"/>
  <c r="S451" i="5"/>
  <c r="T279" i="5"/>
  <c r="AJ279" i="5"/>
  <c r="S386" i="5"/>
  <c r="T386" i="5"/>
  <c r="AJ21" i="5"/>
  <c r="T363" i="5"/>
  <c r="AJ363" i="5"/>
  <c r="U443" i="4"/>
  <c r="AK443" i="4"/>
  <c r="U528" i="4"/>
  <c r="AK528" i="4"/>
  <c r="U512" i="4"/>
  <c r="AK512" i="4"/>
  <c r="U509" i="4"/>
  <c r="AK509" i="4"/>
  <c r="U474" i="4"/>
  <c r="AK474" i="4"/>
  <c r="AK396" i="4"/>
  <c r="U236" i="4"/>
  <c r="AK236" i="4"/>
  <c r="U217" i="4"/>
  <c r="AK217" i="4"/>
  <c r="U241" i="4"/>
  <c r="AK241" i="4"/>
  <c r="AK122" i="4"/>
  <c r="AK267" i="4"/>
  <c r="U62" i="4"/>
  <c r="AK62" i="4"/>
  <c r="AR369" i="1"/>
  <c r="U369" i="1" s="1"/>
  <c r="T369" i="1"/>
  <c r="U216" i="1"/>
  <c r="AK216" i="1"/>
  <c r="AK350" i="1"/>
  <c r="U241" i="1"/>
  <c r="AK241" i="1"/>
  <c r="T496" i="5"/>
  <c r="AJ496" i="5"/>
  <c r="T491" i="5"/>
  <c r="AJ491" i="5"/>
  <c r="T94" i="5"/>
  <c r="AJ94" i="5"/>
  <c r="U398" i="4"/>
  <c r="AK398" i="4"/>
  <c r="T424" i="4"/>
  <c r="AR424" i="4"/>
  <c r="U424" i="4" s="1"/>
  <c r="U72" i="4"/>
  <c r="AK72" i="4"/>
  <c r="U204" i="1"/>
  <c r="AK204" i="1"/>
  <c r="AR347" i="1"/>
  <c r="T347" i="1"/>
  <c r="AK59" i="1"/>
  <c r="AR55" i="1"/>
  <c r="U55" i="1" s="1"/>
  <c r="T55" i="1"/>
  <c r="T345" i="5"/>
  <c r="S345" i="5"/>
  <c r="T226" i="5"/>
  <c r="AJ226" i="5"/>
  <c r="U89" i="4"/>
  <c r="AK89" i="4"/>
  <c r="T35" i="4"/>
  <c r="AR35" i="4"/>
  <c r="U35" i="4" s="1"/>
  <c r="AR367" i="1"/>
  <c r="U367" i="1" s="1"/>
  <c r="T367" i="1"/>
  <c r="T439" i="5"/>
  <c r="S439" i="5"/>
  <c r="T285" i="5"/>
  <c r="AJ285" i="5"/>
  <c r="AJ114" i="5"/>
  <c r="U100" i="4"/>
  <c r="AK100" i="4"/>
  <c r="AR554" i="4"/>
  <c r="T554" i="4"/>
  <c r="AK473" i="4"/>
  <c r="U434" i="4"/>
  <c r="AK434" i="4"/>
  <c r="U439" i="4"/>
  <c r="AK439" i="4"/>
  <c r="U285" i="4"/>
  <c r="AK285" i="4"/>
  <c r="U113" i="4"/>
  <c r="AK113" i="4"/>
  <c r="U111" i="4"/>
  <c r="AK111" i="4"/>
  <c r="U295" i="1"/>
  <c r="AK295" i="1"/>
  <c r="U356" i="1"/>
  <c r="AK356" i="1"/>
  <c r="U146" i="1"/>
  <c r="AK146" i="1"/>
  <c r="T424" i="5"/>
  <c r="AJ424" i="5"/>
  <c r="T463" i="5"/>
  <c r="S463" i="5"/>
  <c r="AJ382" i="5"/>
  <c r="T289" i="5"/>
  <c r="AJ289" i="5"/>
  <c r="U48" i="1"/>
  <c r="AK48" i="1"/>
  <c r="T204" i="5"/>
  <c r="AJ204" i="5"/>
  <c r="AJ12" i="5"/>
  <c r="T373" i="4"/>
  <c r="AR373" i="4"/>
  <c r="U373" i="4" s="1"/>
  <c r="U328" i="4"/>
  <c r="AK328" i="4"/>
  <c r="AK266" i="4"/>
  <c r="AR221" i="4"/>
  <c r="T221" i="4"/>
  <c r="U127" i="4"/>
  <c r="AK127" i="4"/>
  <c r="U101" i="4"/>
  <c r="AK101" i="4"/>
  <c r="U380" i="1"/>
  <c r="AK380" i="1"/>
  <c r="U170" i="1"/>
  <c r="AK170" i="1"/>
  <c r="AR223" i="1"/>
  <c r="T223" i="1"/>
  <c r="T137" i="1"/>
  <c r="AR137" i="1"/>
  <c r="U137" i="1" s="1"/>
  <c r="AK79" i="1"/>
  <c r="U63" i="1"/>
  <c r="AK63" i="1"/>
  <c r="T473" i="5"/>
  <c r="S473" i="5"/>
  <c r="T194" i="5"/>
  <c r="AJ194" i="5"/>
  <c r="U260" i="4"/>
  <c r="AK260" i="4"/>
  <c r="U316" i="4"/>
  <c r="AK316" i="4"/>
  <c r="T39" i="4"/>
  <c r="AR39" i="4"/>
  <c r="U38" i="1"/>
  <c r="AK38" i="1"/>
  <c r="T383" i="5"/>
  <c r="AJ383" i="5"/>
  <c r="AJ398" i="5"/>
  <c r="U83" i="1"/>
  <c r="AK83" i="1"/>
  <c r="AL41" i="5"/>
  <c r="O41" i="5" s="1"/>
  <c r="T486" i="4"/>
  <c r="AR486" i="4"/>
  <c r="AR495" i="4"/>
  <c r="T495" i="4"/>
  <c r="AR402" i="4"/>
  <c r="U402" i="4" s="1"/>
  <c r="T402" i="4"/>
  <c r="AK402" i="4"/>
  <c r="U279" i="4"/>
  <c r="AK279" i="4"/>
  <c r="AR355" i="1"/>
  <c r="T355" i="1"/>
  <c r="U192" i="1"/>
  <c r="AK192" i="1"/>
  <c r="T306" i="5"/>
  <c r="AJ306" i="5"/>
  <c r="T167" i="5"/>
  <c r="AJ167" i="5"/>
  <c r="U556" i="4"/>
  <c r="AK556" i="4"/>
  <c r="U500" i="4"/>
  <c r="AK500" i="4"/>
  <c r="U417" i="4"/>
  <c r="AK417" i="4"/>
  <c r="T420" i="4"/>
  <c r="AR420" i="4"/>
  <c r="U420" i="4" s="1"/>
  <c r="U343" i="4"/>
  <c r="AK343" i="4"/>
  <c r="T235" i="4"/>
  <c r="AR235" i="4"/>
  <c r="AR186" i="4"/>
  <c r="U186" i="4" s="1"/>
  <c r="T186" i="4"/>
  <c r="U294" i="1"/>
  <c r="AK294" i="1"/>
  <c r="U278" i="1"/>
  <c r="AK278" i="1"/>
  <c r="AR122" i="1"/>
  <c r="U122" i="1" s="1"/>
  <c r="T122" i="1"/>
  <c r="U80" i="1"/>
  <c r="AK80" i="1"/>
  <c r="AR51" i="1"/>
  <c r="U51" i="1" s="1"/>
  <c r="T51" i="1"/>
  <c r="T490" i="5"/>
  <c r="AJ490" i="5"/>
  <c r="T447" i="5"/>
  <c r="S447" i="5"/>
  <c r="AJ370" i="5"/>
  <c r="AJ177" i="5"/>
  <c r="T190" i="5"/>
  <c r="AJ190" i="5"/>
  <c r="T77" i="5"/>
  <c r="AJ77" i="5"/>
  <c r="U462" i="4"/>
  <c r="AK462" i="4"/>
  <c r="U188" i="4"/>
  <c r="AK188" i="4"/>
  <c r="U172" i="4"/>
  <c r="AK172" i="4"/>
  <c r="U200" i="1"/>
  <c r="AK200" i="1"/>
  <c r="U229" i="1"/>
  <c r="AK229" i="1"/>
  <c r="U34" i="1"/>
  <c r="AK34" i="1"/>
  <c r="T481" i="5"/>
  <c r="S481" i="5"/>
  <c r="T413" i="5"/>
  <c r="S413" i="5"/>
  <c r="T458" i="5"/>
  <c r="AJ458" i="5"/>
  <c r="S312" i="5"/>
  <c r="AJ127" i="5"/>
  <c r="AJ425" i="5"/>
  <c r="AJ199" i="5"/>
  <c r="T82" i="5"/>
  <c r="S82" i="5"/>
  <c r="AK201" i="4"/>
  <c r="T43" i="4"/>
  <c r="AR43" i="4"/>
  <c r="U348" i="1"/>
  <c r="AK348" i="1"/>
  <c r="AK187" i="1"/>
  <c r="AK270" i="1"/>
  <c r="T421" i="5"/>
  <c r="S421" i="5"/>
  <c r="AJ298" i="5"/>
  <c r="U471" i="4"/>
  <c r="AK471" i="4"/>
  <c r="U319" i="4"/>
  <c r="AK319" i="4"/>
  <c r="T171" i="4"/>
  <c r="AR171" i="4"/>
  <c r="U340" i="1"/>
  <c r="AK340" i="1"/>
  <c r="S238" i="5"/>
  <c r="AK321" i="4"/>
  <c r="AK106" i="4"/>
  <c r="AK82" i="1"/>
  <c r="AK378" i="4"/>
  <c r="AJ486" i="5"/>
  <c r="AK446" i="4"/>
  <c r="AK197" i="4"/>
  <c r="AJ377" i="5"/>
  <c r="AK9" i="1"/>
  <c r="AK371" i="4"/>
  <c r="AK224" i="1"/>
  <c r="AK58" i="1"/>
  <c r="AJ278" i="5"/>
  <c r="AK519" i="4"/>
  <c r="AK160" i="4"/>
  <c r="AJ216" i="5"/>
  <c r="AK213" i="1"/>
  <c r="AK505" i="4"/>
  <c r="AK35" i="4"/>
  <c r="AJ387" i="5"/>
  <c r="AJ20" i="5"/>
  <c r="AK156" i="4"/>
  <c r="AK220" i="1"/>
  <c r="AK221" i="1"/>
  <c r="AK73" i="1"/>
  <c r="AK320" i="4"/>
  <c r="AK202" i="1"/>
  <c r="U524" i="4"/>
  <c r="AK524" i="4"/>
  <c r="U476" i="4"/>
  <c r="AK476" i="4"/>
  <c r="U258" i="4"/>
  <c r="AK258" i="4"/>
  <c r="U277" i="4"/>
  <c r="AK277" i="4"/>
  <c r="T163" i="4"/>
  <c r="AR163" i="4"/>
  <c r="U163" i="4" s="1"/>
  <c r="AR396" i="1"/>
  <c r="U396" i="1" s="1"/>
  <c r="T396" i="1"/>
  <c r="U100" i="1"/>
  <c r="AK100" i="1"/>
  <c r="U395" i="4"/>
  <c r="AK395" i="4"/>
  <c r="AR263" i="1"/>
  <c r="U263" i="1" s="1"/>
  <c r="T263" i="1"/>
  <c r="AK263" i="1"/>
  <c r="U250" i="4"/>
  <c r="AK250" i="4"/>
  <c r="U289" i="4"/>
  <c r="AK289" i="4"/>
  <c r="AK31" i="4"/>
  <c r="T466" i="5"/>
  <c r="AJ466" i="5"/>
  <c r="T420" i="5"/>
  <c r="S420" i="5"/>
  <c r="AJ351" i="5"/>
  <c r="T402" i="5"/>
  <c r="AJ402" i="5"/>
  <c r="T214" i="5"/>
  <c r="AJ214" i="5"/>
  <c r="T164" i="5"/>
  <c r="S164" i="5"/>
  <c r="U541" i="4"/>
  <c r="AK541" i="4"/>
  <c r="AK337" i="4"/>
  <c r="T363" i="4"/>
  <c r="AR363" i="4"/>
  <c r="U363" i="4" s="1"/>
  <c r="U313" i="4"/>
  <c r="AK313" i="4"/>
  <c r="U116" i="4"/>
  <c r="AK116" i="4"/>
  <c r="U260" i="1"/>
  <c r="AK260" i="1"/>
  <c r="AR378" i="1"/>
  <c r="U378" i="1" s="1"/>
  <c r="T378" i="1"/>
  <c r="AR323" i="1"/>
  <c r="U323" i="1" s="1"/>
  <c r="T323" i="1"/>
  <c r="AK323" i="1"/>
  <c r="AR255" i="1"/>
  <c r="U255" i="1" s="1"/>
  <c r="T255" i="1"/>
  <c r="AK67" i="1"/>
  <c r="U142" i="1"/>
  <c r="AK142" i="1"/>
  <c r="U74" i="1"/>
  <c r="AK74" i="1"/>
  <c r="T476" i="5"/>
  <c r="AJ476" i="5"/>
  <c r="T411" i="5"/>
  <c r="AJ411" i="5"/>
  <c r="T232" i="5"/>
  <c r="AJ232" i="5"/>
  <c r="T119" i="5"/>
  <c r="AJ119" i="5"/>
  <c r="AP35" i="5"/>
  <c r="AQ35" i="5" s="1"/>
  <c r="U503" i="4"/>
  <c r="AK503" i="4"/>
  <c r="U466" i="4"/>
  <c r="AK466" i="4"/>
  <c r="U442" i="4"/>
  <c r="AK442" i="4"/>
  <c r="U264" i="4"/>
  <c r="AK264" i="4"/>
  <c r="U265" i="4"/>
  <c r="AK265" i="4"/>
  <c r="AK334" i="1"/>
  <c r="U273" i="1"/>
  <c r="AK273" i="1"/>
  <c r="U217" i="1"/>
  <c r="AK217" i="1"/>
  <c r="T445" i="5"/>
  <c r="AJ445" i="5"/>
  <c r="T401" i="5"/>
  <c r="AJ401" i="5"/>
  <c r="T341" i="5"/>
  <c r="S341" i="5"/>
  <c r="U61" i="1"/>
  <c r="AK61" i="1"/>
  <c r="T310" i="5"/>
  <c r="AJ310" i="5"/>
  <c r="AJ116" i="5"/>
  <c r="AP29" i="5"/>
  <c r="AQ29" i="5" s="1"/>
  <c r="T210" i="5"/>
  <c r="AJ210" i="5"/>
  <c r="U477" i="4"/>
  <c r="AK477" i="4"/>
  <c r="AR460" i="4"/>
  <c r="T460" i="4"/>
  <c r="AK317" i="4"/>
  <c r="T293" i="4"/>
  <c r="AR293" i="4"/>
  <c r="U293" i="4" s="1"/>
  <c r="U390" i="1"/>
  <c r="AK390" i="1"/>
  <c r="T392" i="1"/>
  <c r="AR392" i="1"/>
  <c r="U392" i="1" s="1"/>
  <c r="U139" i="1"/>
  <c r="AK139" i="1"/>
  <c r="T219" i="1"/>
  <c r="AR219" i="1"/>
  <c r="U219" i="1" s="1"/>
  <c r="T469" i="5"/>
  <c r="S469" i="5"/>
  <c r="S144" i="5"/>
  <c r="T144" i="5"/>
  <c r="AP43" i="5"/>
  <c r="AQ43" i="5" s="1"/>
  <c r="U548" i="4"/>
  <c r="AK548" i="4"/>
  <c r="T370" i="4"/>
  <c r="AR370" i="4"/>
  <c r="U370" i="4" s="1"/>
  <c r="U291" i="4"/>
  <c r="AK291" i="4"/>
  <c r="U211" i="4"/>
  <c r="AK211" i="4"/>
  <c r="AR194" i="4"/>
  <c r="U194" i="4" s="1"/>
  <c r="T194" i="4"/>
  <c r="U290" i="1"/>
  <c r="AK290" i="1"/>
  <c r="U274" i="1"/>
  <c r="AK274" i="1"/>
  <c r="U5" i="1"/>
  <c r="AK5" i="1"/>
  <c r="T474" i="5"/>
  <c r="AJ474" i="5"/>
  <c r="T422" i="5"/>
  <c r="S422" i="5"/>
  <c r="T125" i="5"/>
  <c r="AJ125" i="5"/>
  <c r="U85" i="4"/>
  <c r="AK85" i="4"/>
  <c r="AR307" i="1"/>
  <c r="U307" i="1" s="1"/>
  <c r="T307" i="1"/>
  <c r="U245" i="1"/>
  <c r="AK245" i="1"/>
  <c r="U46" i="1"/>
  <c r="AK46" i="1"/>
  <c r="U531" i="4"/>
  <c r="AK531" i="4"/>
  <c r="AR394" i="4"/>
  <c r="U394" i="4" s="1"/>
  <c r="T394" i="4"/>
  <c r="U117" i="4"/>
  <c r="AK117" i="4"/>
  <c r="T41" i="4"/>
  <c r="AR41" i="4"/>
  <c r="T51" i="4"/>
  <c r="AR51" i="4"/>
  <c r="U51" i="4" s="1"/>
  <c r="U308" i="1"/>
  <c r="AK308" i="1"/>
  <c r="AR33" i="1"/>
  <c r="U33" i="1" s="1"/>
  <c r="T33" i="1"/>
  <c r="T409" i="5"/>
  <c r="S409" i="5"/>
  <c r="AJ24" i="5"/>
  <c r="T515" i="4"/>
  <c r="AR515" i="4"/>
  <c r="AR350" i="4"/>
  <c r="U350" i="4" s="1"/>
  <c r="T350" i="4"/>
  <c r="T305" i="4"/>
  <c r="AR305" i="4"/>
  <c r="U305" i="4" s="1"/>
  <c r="AR284" i="1"/>
  <c r="T284" i="1"/>
  <c r="AR343" i="1"/>
  <c r="U343" i="1" s="1"/>
  <c r="T343" i="1"/>
  <c r="U472" i="4"/>
  <c r="AK472" i="4"/>
  <c r="U262" i="4"/>
  <c r="AK262" i="4"/>
  <c r="U246" i="4"/>
  <c r="AK246" i="4"/>
  <c r="T243" i="4"/>
  <c r="AR243" i="4"/>
  <c r="AR166" i="4"/>
  <c r="U166" i="4" s="1"/>
  <c r="T166" i="4"/>
  <c r="AK166" i="4"/>
  <c r="U201" i="1"/>
  <c r="AK201" i="1"/>
  <c r="AR319" i="1"/>
  <c r="U319" i="1" s="1"/>
  <c r="T319" i="1"/>
  <c r="U123" i="1"/>
  <c r="AK123" i="1"/>
  <c r="T431" i="5"/>
  <c r="S431" i="5"/>
  <c r="T309" i="5"/>
  <c r="AJ309" i="5"/>
  <c r="AJ10" i="5"/>
  <c r="AR535" i="4"/>
  <c r="U535" i="4" s="1"/>
  <c r="T535" i="4"/>
  <c r="U403" i="4"/>
  <c r="AK403" i="4"/>
  <c r="U351" i="4"/>
  <c r="AK351" i="4"/>
  <c r="AK303" i="4"/>
  <c r="U249" i="4"/>
  <c r="AK249" i="4"/>
  <c r="U374" i="1"/>
  <c r="AK374" i="1"/>
  <c r="U338" i="1"/>
  <c r="AK338" i="1"/>
  <c r="AK354" i="1"/>
  <c r="AK314" i="1"/>
  <c r="U120" i="1"/>
  <c r="AK120" i="1"/>
  <c r="T428" i="5"/>
  <c r="AJ428" i="5"/>
  <c r="T287" i="5"/>
  <c r="AJ287" i="5"/>
  <c r="T290" i="5"/>
  <c r="AJ290" i="5"/>
  <c r="S100" i="5"/>
  <c r="T100" i="5"/>
  <c r="T205" i="4"/>
  <c r="AR205" i="4"/>
  <c r="U205" i="4" s="1"/>
  <c r="T55" i="4"/>
  <c r="AR55" i="4"/>
  <c r="AK30" i="4"/>
  <c r="U211" i="1"/>
  <c r="AK211" i="1"/>
  <c r="U195" i="1"/>
  <c r="AK195" i="1"/>
  <c r="AR47" i="1"/>
  <c r="U47" i="1" s="1"/>
  <c r="T47" i="1"/>
  <c r="AJ165" i="5"/>
  <c r="T218" i="5"/>
  <c r="AJ218" i="5"/>
  <c r="S358" i="5"/>
  <c r="T241" i="5"/>
  <c r="S241" i="5"/>
  <c r="S86" i="5"/>
  <c r="AR525" i="4"/>
  <c r="U525" i="4" s="1"/>
  <c r="T525" i="4"/>
  <c r="AK507" i="4"/>
  <c r="U478" i="4"/>
  <c r="AK478" i="4"/>
  <c r="T487" i="4"/>
  <c r="AR487" i="4"/>
  <c r="U487" i="4" s="1"/>
  <c r="U240" i="4"/>
  <c r="AK240" i="4"/>
  <c r="U210" i="4"/>
  <c r="AK210" i="4"/>
  <c r="U237" i="4"/>
  <c r="AK237" i="4"/>
  <c r="AK247" i="4"/>
  <c r="U232" i="1"/>
  <c r="AK232" i="1"/>
  <c r="AK310" i="1"/>
  <c r="U225" i="1"/>
  <c r="AK225" i="1"/>
  <c r="T471" i="5"/>
  <c r="S471" i="5"/>
  <c r="T333" i="5"/>
  <c r="S333" i="5"/>
  <c r="T283" i="5"/>
  <c r="AJ283" i="5"/>
  <c r="AJ346" i="5"/>
  <c r="U72" i="1"/>
  <c r="AK72" i="1"/>
  <c r="T220" i="5"/>
  <c r="AJ220" i="5"/>
  <c r="AJ169" i="5"/>
  <c r="T130" i="5"/>
  <c r="AJ130" i="5"/>
  <c r="U407" i="4"/>
  <c r="AK407" i="4"/>
  <c r="U86" i="4"/>
  <c r="AK86" i="4"/>
  <c r="U66" i="4"/>
  <c r="AK66" i="4"/>
  <c r="U134" i="1"/>
  <c r="AK134" i="1"/>
  <c r="T449" i="5"/>
  <c r="AJ449" i="5"/>
  <c r="AJ121" i="5"/>
  <c r="AJ181" i="5"/>
  <c r="U506" i="4"/>
  <c r="AK506" i="4"/>
  <c r="AR453" i="4"/>
  <c r="U453" i="4" s="1"/>
  <c r="T453" i="4"/>
  <c r="U324" i="4"/>
  <c r="AK324" i="4"/>
  <c r="T309" i="4"/>
  <c r="AR309" i="4"/>
  <c r="AK61" i="4"/>
  <c r="AK34" i="4"/>
  <c r="U240" i="1"/>
  <c r="AK240" i="1"/>
  <c r="U393" i="1"/>
  <c r="AK393" i="1"/>
  <c r="AR311" i="1"/>
  <c r="T311" i="1"/>
  <c r="AK235" i="1"/>
  <c r="T492" i="5"/>
  <c r="S492" i="5"/>
  <c r="AJ354" i="5"/>
  <c r="AJ198" i="5"/>
  <c r="U479" i="4"/>
  <c r="AK479" i="4"/>
  <c r="T415" i="4"/>
  <c r="AR415" i="4"/>
  <c r="T53" i="4"/>
  <c r="AR53" i="4"/>
  <c r="AR280" i="1"/>
  <c r="T280" i="1"/>
  <c r="AR247" i="1"/>
  <c r="U247" i="1" s="1"/>
  <c r="T247" i="1"/>
  <c r="AK247" i="1"/>
  <c r="AR70" i="1"/>
  <c r="T70" i="1"/>
  <c r="AR35" i="1"/>
  <c r="T35" i="1"/>
  <c r="S461" i="5"/>
  <c r="S394" i="5"/>
  <c r="S136" i="5"/>
  <c r="S78" i="5"/>
  <c r="T17" i="5"/>
  <c r="AK283" i="4"/>
  <c r="AK336" i="1"/>
  <c r="AK489" i="4"/>
  <c r="AK195" i="4"/>
  <c r="AK249" i="1"/>
  <c r="AK501" i="4"/>
  <c r="AK191" i="4"/>
  <c r="AK236" i="1"/>
  <c r="AK83" i="4"/>
  <c r="AJ126" i="5"/>
  <c r="AK205" i="4"/>
  <c r="AK176" i="1"/>
  <c r="AK45" i="1"/>
  <c r="AJ71" i="5"/>
  <c r="AK293" i="4"/>
  <c r="AJ129" i="5"/>
  <c r="AK212" i="1"/>
  <c r="AK281" i="4"/>
  <c r="AJ452" i="5"/>
  <c r="AJ379" i="5"/>
  <c r="AK143" i="4"/>
  <c r="AK174" i="1"/>
  <c r="AK115" i="1"/>
  <c r="AJ175" i="5"/>
  <c r="AK96" i="4"/>
  <c r="AK438" i="4"/>
  <c r="AK31" i="1"/>
  <c r="AJ96" i="5"/>
  <c r="T533" i="4"/>
  <c r="AR533" i="4"/>
  <c r="U533" i="4" s="1"/>
  <c r="T355" i="5"/>
  <c r="AJ355" i="5"/>
  <c r="U349" i="4"/>
  <c r="AK349" i="4"/>
  <c r="U200" i="4"/>
  <c r="AK200" i="4"/>
  <c r="U228" i="1"/>
  <c r="AK228" i="1"/>
  <c r="U162" i="1"/>
  <c r="AK162" i="1"/>
  <c r="AR363" i="1"/>
  <c r="U363" i="1" s="1"/>
  <c r="T363" i="1"/>
  <c r="U131" i="1"/>
  <c r="AK131" i="1"/>
  <c r="T443" i="5"/>
  <c r="S443" i="5"/>
  <c r="T494" i="5"/>
  <c r="AJ494" i="5"/>
  <c r="T95" i="5"/>
  <c r="S95" i="5"/>
  <c r="AR348" i="4"/>
  <c r="U348" i="4" s="1"/>
  <c r="T348" i="4"/>
  <c r="T423" i="5"/>
  <c r="S423" i="5"/>
  <c r="T395" i="5"/>
  <c r="AJ395" i="5"/>
  <c r="T369" i="5"/>
  <c r="AJ369" i="5"/>
  <c r="AR449" i="4"/>
  <c r="U449" i="4" s="1"/>
  <c r="T449" i="4"/>
  <c r="U425" i="4"/>
  <c r="AK425" i="4"/>
  <c r="U226" i="4"/>
  <c r="AK226" i="4"/>
  <c r="U382" i="1"/>
  <c r="AK382" i="1"/>
  <c r="U359" i="4"/>
  <c r="AK359" i="4"/>
  <c r="U555" i="4"/>
  <c r="AK555" i="4"/>
  <c r="U546" i="4"/>
  <c r="AK546" i="4"/>
  <c r="U544" i="4"/>
  <c r="AK544" i="4"/>
  <c r="U552" i="4"/>
  <c r="AK552" i="4"/>
  <c r="AR227" i="4"/>
  <c r="U227" i="4" s="1"/>
  <c r="T227" i="4"/>
  <c r="U90" i="4"/>
  <c r="AK90" i="4"/>
  <c r="U135" i="1"/>
  <c r="AK135" i="1"/>
  <c r="U400" i="4"/>
  <c r="AK400" i="4"/>
  <c r="U488" i="4"/>
  <c r="AK488" i="4"/>
  <c r="U475" i="4"/>
  <c r="AK475" i="4"/>
  <c r="U444" i="4"/>
  <c r="AK444" i="4"/>
  <c r="U393" i="4"/>
  <c r="AK393" i="4"/>
  <c r="AR174" i="4"/>
  <c r="U174" i="4" s="1"/>
  <c r="T174" i="4"/>
  <c r="U158" i="4"/>
  <c r="AK158" i="4"/>
  <c r="U205" i="1"/>
  <c r="AK205" i="1"/>
  <c r="U316" i="1"/>
  <c r="AK316" i="1"/>
  <c r="U108" i="1"/>
  <c r="AK108" i="1"/>
  <c r="AR66" i="1"/>
  <c r="U66" i="1" s="1"/>
  <c r="T66" i="1"/>
  <c r="T479" i="5"/>
  <c r="S479" i="5"/>
  <c r="T302" i="5"/>
  <c r="AJ302" i="5"/>
  <c r="U483" i="4"/>
  <c r="AK483" i="4"/>
  <c r="U253" i="4"/>
  <c r="AK253" i="4"/>
  <c r="U238" i="4"/>
  <c r="AK238" i="4"/>
  <c r="U105" i="4"/>
  <c r="AK105" i="4"/>
  <c r="AK353" i="4"/>
  <c r="U40" i="4"/>
  <c r="AK40" i="4"/>
  <c r="T444" i="5"/>
  <c r="AJ444" i="5"/>
  <c r="T489" i="5"/>
  <c r="S489" i="5"/>
  <c r="S406" i="5"/>
  <c r="T406" i="5"/>
  <c r="T187" i="5"/>
  <c r="AJ187" i="5"/>
  <c r="T171" i="5"/>
  <c r="AJ171" i="5"/>
  <c r="T416" i="4"/>
  <c r="AR416" i="4"/>
  <c r="U213" i="4"/>
  <c r="AK213" i="4"/>
  <c r="U64" i="4"/>
  <c r="AK64" i="4"/>
  <c r="U95" i="4"/>
  <c r="AK95" i="4"/>
  <c r="U207" i="1"/>
  <c r="AK207" i="1"/>
  <c r="T495" i="5"/>
  <c r="S495" i="5"/>
  <c r="T467" i="5"/>
  <c r="S467" i="5"/>
  <c r="U399" i="4"/>
  <c r="AK399" i="4"/>
  <c r="U374" i="4"/>
  <c r="AK374" i="4"/>
  <c r="AR112" i="4"/>
  <c r="T112" i="4"/>
  <c r="T32" i="4"/>
  <c r="AR32" i="4"/>
  <c r="U32" i="4" s="1"/>
  <c r="U352" i="1"/>
  <c r="AK352" i="1"/>
  <c r="AR37" i="1"/>
  <c r="U37" i="1" s="1"/>
  <c r="T37" i="1"/>
  <c r="T295" i="5"/>
  <c r="AJ295" i="5"/>
  <c r="AR432" i="4"/>
  <c r="U432" i="4" s="1"/>
  <c r="T432" i="4"/>
  <c r="AK432" i="4"/>
  <c r="AR491" i="4"/>
  <c r="U491" i="4" s="1"/>
  <c r="T491" i="4"/>
  <c r="U504" i="4"/>
  <c r="AK504" i="4"/>
  <c r="U510" i="4"/>
  <c r="AK510" i="4"/>
  <c r="U244" i="4"/>
  <c r="AK244" i="4"/>
  <c r="U228" i="4"/>
  <c r="AK228" i="4"/>
  <c r="U91" i="4"/>
  <c r="AK91" i="4"/>
  <c r="U395" i="1"/>
  <c r="AK395" i="1"/>
  <c r="U248" i="1"/>
  <c r="AK248" i="1"/>
  <c r="U164" i="1"/>
  <c r="AK164" i="1"/>
  <c r="U269" i="1"/>
  <c r="AK269" i="1"/>
  <c r="U114" i="1"/>
  <c r="AK114" i="1"/>
  <c r="AK324" i="1"/>
  <c r="U96" i="1"/>
  <c r="AK96" i="1"/>
  <c r="AR39" i="1"/>
  <c r="U39" i="1" s="1"/>
  <c r="T39" i="1"/>
  <c r="AK39" i="1"/>
  <c r="T487" i="5"/>
  <c r="S487" i="5"/>
  <c r="T317" i="5"/>
  <c r="S317" i="5"/>
  <c r="T76" i="5"/>
  <c r="AJ76" i="5"/>
  <c r="AR392" i="4"/>
  <c r="U392" i="4" s="1"/>
  <c r="T392" i="4"/>
  <c r="AK392" i="4"/>
  <c r="AR346" i="4"/>
  <c r="U346" i="4" s="1"/>
  <c r="T346" i="4"/>
  <c r="U168" i="4"/>
  <c r="AK168" i="4"/>
  <c r="U82" i="4"/>
  <c r="AK82" i="4"/>
  <c r="U196" i="1"/>
  <c r="AK196" i="1"/>
  <c r="T372" i="1"/>
  <c r="AR372" i="1"/>
  <c r="U372" i="1" s="1"/>
  <c r="AK372" i="1"/>
  <c r="T129" i="1"/>
  <c r="AR129" i="1"/>
  <c r="U129" i="1" s="1"/>
  <c r="T456" i="5"/>
  <c r="AJ456" i="5"/>
  <c r="AR428" i="4"/>
  <c r="U428" i="4" s="1"/>
  <c r="T428" i="4"/>
  <c r="AK369" i="4"/>
  <c r="AK225" i="4"/>
  <c r="U160" i="1"/>
  <c r="AK160" i="1"/>
  <c r="AR351" i="1"/>
  <c r="U351" i="1" s="1"/>
  <c r="T351" i="1"/>
  <c r="U130" i="1"/>
  <c r="AK130" i="1"/>
  <c r="T462" i="5"/>
  <c r="AJ462" i="5"/>
  <c r="AK125" i="4"/>
  <c r="T37" i="4"/>
  <c r="AR37" i="4"/>
  <c r="U37" i="4" s="1"/>
  <c r="AR87" i="1"/>
  <c r="T87" i="1"/>
  <c r="U469" i="4"/>
  <c r="AK469" i="4"/>
  <c r="U532" i="4"/>
  <c r="AK532" i="4"/>
  <c r="U426" i="4"/>
  <c r="AK426" i="4"/>
  <c r="U269" i="4"/>
  <c r="AK269" i="4"/>
  <c r="U124" i="4"/>
  <c r="AK124" i="4"/>
  <c r="U99" i="4"/>
  <c r="AK99" i="4"/>
  <c r="AK359" i="1"/>
  <c r="AK203" i="1"/>
  <c r="T482" i="5"/>
  <c r="AJ482" i="5"/>
  <c r="T297" i="5"/>
  <c r="AJ297" i="5"/>
  <c r="T281" i="5"/>
  <c r="AJ281" i="5"/>
  <c r="AJ25" i="5"/>
  <c r="AR388" i="4"/>
  <c r="U388" i="4" s="1"/>
  <c r="T388" i="4"/>
  <c r="T355" i="4"/>
  <c r="AR355" i="4"/>
  <c r="U230" i="4"/>
  <c r="AK230" i="4"/>
  <c r="U223" i="4"/>
  <c r="AK223" i="4"/>
  <c r="U107" i="4"/>
  <c r="AK107" i="4"/>
  <c r="U57" i="4"/>
  <c r="AK57" i="4"/>
  <c r="U244" i="1"/>
  <c r="AK244" i="1"/>
  <c r="AR386" i="1"/>
  <c r="U386" i="1" s="1"/>
  <c r="T386" i="1"/>
  <c r="AK386" i="1"/>
  <c r="AK342" i="1"/>
  <c r="AK255" i="1"/>
  <c r="U71" i="1"/>
  <c r="AK71" i="1"/>
  <c r="U423" i="4"/>
  <c r="AK423" i="4"/>
  <c r="AK419" i="4"/>
  <c r="AR290" i="4"/>
  <c r="U290" i="4" s="1"/>
  <c r="T290" i="4"/>
  <c r="U207" i="4"/>
  <c r="AK207" i="4"/>
  <c r="T52" i="4"/>
  <c r="AR52" i="4"/>
  <c r="AK46" i="4"/>
  <c r="AR398" i="1"/>
  <c r="T398" i="1"/>
  <c r="U370" i="1"/>
  <c r="AK370" i="1"/>
  <c r="AK358" i="1"/>
  <c r="T325" i="5"/>
  <c r="S325" i="5"/>
  <c r="AT53" i="5"/>
  <c r="K53" i="5" s="1"/>
  <c r="AS53" i="5"/>
  <c r="M53" i="5" s="1"/>
  <c r="AR53" i="5"/>
  <c r="L53" i="5" s="1"/>
  <c r="AN53" i="5"/>
  <c r="Q53" i="5" s="1"/>
  <c r="S124" i="5"/>
  <c r="T85" i="5"/>
  <c r="AJ85" i="5"/>
  <c r="T511" i="4"/>
  <c r="AR511" i="4"/>
  <c r="U511" i="4" s="1"/>
  <c r="T307" i="4"/>
  <c r="AR307" i="4"/>
  <c r="T301" i="4"/>
  <c r="AR301" i="4"/>
  <c r="T114" i="4"/>
  <c r="AR114" i="4"/>
  <c r="T48" i="4"/>
  <c r="AR48" i="4"/>
  <c r="U48" i="4" s="1"/>
  <c r="T376" i="1"/>
  <c r="AR376" i="1"/>
  <c r="U376" i="1" s="1"/>
  <c r="AR315" i="1"/>
  <c r="T315" i="1"/>
  <c r="AR231" i="1"/>
  <c r="T231" i="1"/>
  <c r="T485" i="5"/>
  <c r="S485" i="5"/>
  <c r="T138" i="5"/>
  <c r="AJ138" i="5"/>
  <c r="S477" i="5"/>
  <c r="T89" i="5"/>
  <c r="S89" i="5"/>
  <c r="AK499" i="4"/>
  <c r="U508" i="4"/>
  <c r="AK508" i="4"/>
  <c r="U492" i="4"/>
  <c r="AK492" i="4"/>
  <c r="T461" i="4"/>
  <c r="AR461" i="4"/>
  <c r="U461" i="4" s="1"/>
  <c r="AK404" i="4"/>
  <c r="T380" i="4"/>
  <c r="AR380" i="4"/>
  <c r="U380" i="4" s="1"/>
  <c r="AR292" i="4"/>
  <c r="U292" i="4" s="1"/>
  <c r="T292" i="4"/>
  <c r="AR170" i="4"/>
  <c r="U170" i="4" s="1"/>
  <c r="T170" i="4"/>
  <c r="AK170" i="4"/>
  <c r="T183" i="4"/>
  <c r="AR183" i="4"/>
  <c r="U183" i="4" s="1"/>
  <c r="U92" i="4"/>
  <c r="AK92" i="4"/>
  <c r="U286" i="1"/>
  <c r="AK286" i="1"/>
  <c r="AK194" i="1"/>
  <c r="U154" i="1"/>
  <c r="AK154" i="1"/>
  <c r="T493" i="5"/>
  <c r="AJ493" i="5"/>
  <c r="T362" i="5"/>
  <c r="S362" i="5"/>
  <c r="AJ350" i="5"/>
  <c r="T142" i="5"/>
  <c r="AJ142" i="5"/>
  <c r="T132" i="5"/>
  <c r="AJ132" i="5"/>
  <c r="U180" i="4"/>
  <c r="AK180" i="4"/>
  <c r="U164" i="4"/>
  <c r="AK164" i="4"/>
  <c r="U208" i="1"/>
  <c r="AK208" i="1"/>
  <c r="AR339" i="1"/>
  <c r="T339" i="1"/>
  <c r="AR239" i="1"/>
  <c r="U239" i="1" s="1"/>
  <c r="T239" i="1"/>
  <c r="U30" i="1"/>
  <c r="AK30" i="1"/>
  <c r="S390" i="5"/>
  <c r="T390" i="5"/>
  <c r="S140" i="5"/>
  <c r="T140" i="5"/>
  <c r="U421" i="4"/>
  <c r="AK421" i="4"/>
  <c r="T202" i="4"/>
  <c r="AR202" i="4"/>
  <c r="U202" i="4" s="1"/>
  <c r="AK50" i="4"/>
  <c r="U306" i="1"/>
  <c r="AK306" i="1"/>
  <c r="U364" i="1"/>
  <c r="AK364" i="1"/>
  <c r="U156" i="1"/>
  <c r="AK156" i="1"/>
  <c r="AK227" i="1"/>
  <c r="AK133" i="1"/>
  <c r="T429" i="5"/>
  <c r="AJ429" i="5"/>
  <c r="T67" i="5"/>
  <c r="AJ67" i="5"/>
  <c r="T440" i="4"/>
  <c r="AR440" i="4"/>
  <c r="U530" i="4"/>
  <c r="AK530" i="4"/>
  <c r="AR390" i="4"/>
  <c r="T390" i="4"/>
  <c r="U323" i="4"/>
  <c r="AK323" i="4"/>
  <c r="AK533" i="4"/>
  <c r="AK184" i="4"/>
  <c r="AK137" i="1"/>
  <c r="AK431" i="4"/>
  <c r="AK167" i="4"/>
  <c r="AK84" i="1"/>
  <c r="AJ14" i="5"/>
  <c r="AK514" i="4"/>
  <c r="AK152" i="4"/>
  <c r="AK363" i="4"/>
  <c r="AJ90" i="5"/>
  <c r="AK103" i="4"/>
  <c r="AK367" i="1"/>
  <c r="AK13" i="1"/>
  <c r="AK441" i="4"/>
  <c r="AK259" i="4"/>
  <c r="AK81" i="4"/>
  <c r="AK183" i="1"/>
  <c r="AK296" i="4"/>
  <c r="AJ432" i="5"/>
  <c r="AJ371" i="5"/>
  <c r="AK287" i="4"/>
  <c r="AK289" i="1"/>
  <c r="AK392" i="1"/>
  <c r="AK331" i="4"/>
  <c r="AK36" i="4"/>
  <c r="AK387" i="4"/>
  <c r="AJ488" i="5"/>
  <c r="AR288" i="4"/>
  <c r="U288" i="4" s="1"/>
  <c r="T288" i="4"/>
  <c r="U267" i="1"/>
  <c r="AK267" i="1"/>
  <c r="U92" i="1"/>
  <c r="AK92" i="1"/>
  <c r="U68" i="1"/>
  <c r="AK68" i="1"/>
  <c r="U36" i="1"/>
  <c r="AK36" i="1"/>
  <c r="T498" i="5"/>
  <c r="S498" i="5"/>
  <c r="T465" i="5"/>
  <c r="S465" i="5"/>
  <c r="T224" i="5"/>
  <c r="AJ224" i="5"/>
  <c r="U222" i="4"/>
  <c r="AK222" i="4"/>
  <c r="T475" i="5"/>
  <c r="S475" i="5"/>
  <c r="AR520" i="4"/>
  <c r="U520" i="4" s="1"/>
  <c r="T520" i="4"/>
  <c r="AR447" i="4"/>
  <c r="T447" i="4"/>
  <c r="T311" i="4"/>
  <c r="AR311" i="4"/>
  <c r="U311" i="4" s="1"/>
  <c r="AR292" i="1"/>
  <c r="T292" i="1"/>
  <c r="T276" i="1"/>
  <c r="AR276" i="1"/>
  <c r="T384" i="1"/>
  <c r="AR384" i="1"/>
  <c r="U384" i="1" s="1"/>
  <c r="AR331" i="1"/>
  <c r="T331" i="1"/>
  <c r="AR215" i="1"/>
  <c r="U215" i="1" s="1"/>
  <c r="T215" i="1"/>
  <c r="T19" i="5"/>
  <c r="U401" i="4"/>
  <c r="AK401" i="4"/>
  <c r="U254" i="4"/>
  <c r="AK254" i="4"/>
  <c r="AR182" i="4"/>
  <c r="U182" i="4" s="1"/>
  <c r="T182" i="4"/>
  <c r="AK182" i="4"/>
  <c r="AK56" i="4"/>
  <c r="U209" i="1"/>
  <c r="AK209" i="1"/>
  <c r="U397" i="1"/>
  <c r="AK397" i="1"/>
  <c r="AR335" i="1"/>
  <c r="T335" i="1"/>
  <c r="AR303" i="1"/>
  <c r="U303" i="1" s="1"/>
  <c r="T303" i="1"/>
  <c r="U49" i="1"/>
  <c r="AK49" i="1"/>
  <c r="U17" i="1"/>
  <c r="AK17" i="1"/>
  <c r="T453" i="5"/>
  <c r="AJ453" i="5"/>
  <c r="T415" i="5"/>
  <c r="AJ415" i="5"/>
  <c r="T323" i="5"/>
  <c r="AJ323" i="5"/>
  <c r="S304" i="5"/>
  <c r="T304" i="5"/>
  <c r="T343" i="5"/>
  <c r="S343" i="5"/>
  <c r="AJ206" i="5"/>
  <c r="S131" i="5"/>
  <c r="T131" i="5"/>
  <c r="U497" i="4"/>
  <c r="AK497" i="4"/>
  <c r="U257" i="4"/>
  <c r="AK257" i="4"/>
  <c r="U110" i="4"/>
  <c r="AK110" i="4"/>
  <c r="U362" i="1"/>
  <c r="AK362" i="1"/>
  <c r="U346" i="1"/>
  <c r="AK346" i="1"/>
  <c r="U360" i="1"/>
  <c r="AK360" i="1"/>
  <c r="U320" i="1"/>
  <c r="AK320" i="1"/>
  <c r="AR62" i="1"/>
  <c r="U62" i="1" s="1"/>
  <c r="T62" i="1"/>
  <c r="T433" i="5"/>
  <c r="AJ433" i="5"/>
  <c r="S374" i="5"/>
  <c r="T374" i="5"/>
  <c r="T122" i="5"/>
  <c r="AJ122" i="5"/>
  <c r="AR59" i="5"/>
  <c r="L59" i="5" s="1"/>
  <c r="AN59" i="5"/>
  <c r="Q59" i="5" s="1"/>
  <c r="AT59" i="5"/>
  <c r="K59" i="5" s="1"/>
  <c r="AS59" i="5"/>
  <c r="M59" i="5" s="1"/>
  <c r="T162" i="4"/>
  <c r="AR162" i="4"/>
  <c r="U162" i="4" s="1"/>
  <c r="T483" i="5"/>
  <c r="S483" i="5"/>
  <c r="AJ414" i="5"/>
  <c r="T335" i="5"/>
  <c r="AJ335" i="5"/>
  <c r="AJ6" i="5"/>
  <c r="S104" i="5"/>
  <c r="AR522" i="4"/>
  <c r="T522" i="4"/>
  <c r="U234" i="4"/>
  <c r="AK234" i="4"/>
  <c r="T187" i="4"/>
  <c r="AR187" i="4"/>
  <c r="AK297" i="1"/>
  <c r="T441" i="5"/>
  <c r="AJ441" i="5"/>
  <c r="S378" i="5"/>
  <c r="S92" i="5"/>
  <c r="AR557" i="4"/>
  <c r="U557" i="4" s="1"/>
  <c r="T557" i="4"/>
  <c r="U470" i="4"/>
  <c r="AK470" i="4"/>
  <c r="U232" i="4"/>
  <c r="AK232" i="4"/>
  <c r="U229" i="4"/>
  <c r="AK229" i="4"/>
  <c r="U388" i="1"/>
  <c r="AK388" i="1"/>
  <c r="U264" i="1"/>
  <c r="AK264" i="1"/>
  <c r="U172" i="1"/>
  <c r="AK172" i="1"/>
  <c r="U257" i="1"/>
  <c r="AK257" i="1"/>
  <c r="AK149" i="1"/>
  <c r="U57" i="1"/>
  <c r="AK57" i="1"/>
  <c r="T301" i="5"/>
  <c r="AJ301" i="5"/>
  <c r="T212" i="5"/>
  <c r="AJ212" i="5"/>
  <c r="T156" i="5"/>
  <c r="AJ156" i="5"/>
  <c r="T87" i="5"/>
  <c r="AJ87" i="5"/>
  <c r="AR485" i="4"/>
  <c r="T485" i="4"/>
  <c r="U275" i="4"/>
  <c r="AK275" i="4"/>
  <c r="U151" i="4"/>
  <c r="AK151" i="4"/>
  <c r="U344" i="1"/>
  <c r="AK344" i="1"/>
  <c r="U304" i="1"/>
  <c r="AK304" i="1"/>
  <c r="T427" i="5"/>
  <c r="S427" i="5"/>
  <c r="S305" i="5"/>
  <c r="U65" i="1"/>
  <c r="AK65" i="1"/>
  <c r="T105" i="5"/>
  <c r="AJ105" i="5"/>
  <c r="U526" i="4"/>
  <c r="AK526" i="4"/>
  <c r="AR457" i="4"/>
  <c r="U457" i="4" s="1"/>
  <c r="T457" i="4"/>
  <c r="U332" i="4"/>
  <c r="AK332" i="4"/>
  <c r="U209" i="4"/>
  <c r="AK209" i="4"/>
  <c r="AR327" i="1"/>
  <c r="T327" i="1"/>
  <c r="U127" i="1"/>
  <c r="AK127" i="1"/>
  <c r="AK145" i="1"/>
  <c r="AJ410" i="5"/>
  <c r="S150" i="5"/>
  <c r="T150" i="5"/>
  <c r="U502" i="4"/>
  <c r="AK502" i="4"/>
  <c r="T361" i="4"/>
  <c r="AR361" i="4"/>
  <c r="U361" i="4" s="1"/>
  <c r="U385" i="4"/>
  <c r="AK385" i="4"/>
  <c r="AR288" i="1"/>
  <c r="T288" i="1"/>
  <c r="U237" i="1"/>
  <c r="AK237" i="1"/>
  <c r="T186" i="1"/>
  <c r="AR186" i="1"/>
  <c r="U186" i="1" s="1"/>
  <c r="U78" i="1"/>
  <c r="AK78" i="1"/>
  <c r="T435" i="5"/>
  <c r="S435" i="5"/>
  <c r="T230" i="5"/>
  <c r="AJ230" i="5"/>
  <c r="S103" i="5"/>
  <c r="T23" i="5"/>
  <c r="S149" i="5"/>
  <c r="T149" i="5"/>
  <c r="AK424" i="4"/>
  <c r="AK176" i="4"/>
  <c r="AK124" i="1"/>
  <c r="AK428" i="4"/>
  <c r="AK199" i="1"/>
  <c r="AK53" i="1"/>
  <c r="AK350" i="4"/>
  <c r="AK48" i="4"/>
  <c r="AK215" i="4"/>
  <c r="AK256" i="1"/>
  <c r="AK143" i="1"/>
  <c r="AJ319" i="5"/>
  <c r="AK251" i="4"/>
  <c r="AK343" i="1"/>
  <c r="AJ393" i="5"/>
  <c r="AK307" i="1"/>
  <c r="AK51" i="4"/>
  <c r="AJ403" i="5"/>
  <c r="AK305" i="4"/>
  <c r="AK252" i="1"/>
  <c r="AK312" i="1"/>
  <c r="AJ436" i="5"/>
  <c r="AK248" i="4"/>
  <c r="AK94" i="1"/>
  <c r="AK76" i="4"/>
  <c r="AJ459" i="5"/>
  <c r="AL60" i="5" l="1"/>
  <c r="O60" i="5" s="1"/>
  <c r="AM52" i="5"/>
  <c r="AM62" i="5"/>
  <c r="P62" i="5" s="1"/>
  <c r="AM59" i="5"/>
  <c r="P59" i="5" s="1"/>
  <c r="AM56" i="5"/>
  <c r="P56" i="5" s="1"/>
  <c r="AJ221" i="5"/>
  <c r="AM53" i="5"/>
  <c r="P53" i="5" s="1"/>
  <c r="AM61" i="5"/>
  <c r="P61" i="5" s="1"/>
  <c r="P54" i="5"/>
  <c r="AM63" i="5"/>
  <c r="P63" i="5" s="1"/>
  <c r="AM60" i="5"/>
  <c r="P60" i="5" s="1"/>
  <c r="AQ34" i="5"/>
  <c r="S34" i="5"/>
  <c r="S32" i="5"/>
  <c r="S43" i="5"/>
  <c r="S46" i="5"/>
  <c r="S31" i="5"/>
  <c r="T31" i="5"/>
  <c r="S35" i="5"/>
  <c r="S37" i="5"/>
  <c r="T37" i="5"/>
  <c r="S39" i="5"/>
  <c r="S29" i="5"/>
  <c r="T29" i="5"/>
  <c r="S38" i="5"/>
  <c r="S30" i="5"/>
  <c r="T30" i="5"/>
  <c r="S28" i="5"/>
  <c r="AJ97" i="5"/>
  <c r="AJ176" i="5"/>
  <c r="AJ470" i="5"/>
  <c r="AJ442" i="5"/>
  <c r="AJ480" i="5"/>
  <c r="AJ16" i="5"/>
  <c r="T32" i="5"/>
  <c r="AJ484" i="5"/>
  <c r="AJ185" i="5"/>
  <c r="AJ250" i="5"/>
  <c r="T161" i="5"/>
  <c r="AJ120" i="5"/>
  <c r="T328" i="5"/>
  <c r="AL56" i="5"/>
  <c r="O56" i="5" s="1"/>
  <c r="AJ360" i="5"/>
  <c r="T286" i="5"/>
  <c r="AJ356" i="5"/>
  <c r="AJ36" i="5"/>
  <c r="AP40" i="5"/>
  <c r="AQ40" i="5" s="1"/>
  <c r="AJ315" i="5"/>
  <c r="AJ332" i="5"/>
  <c r="AP44" i="5"/>
  <c r="AQ44" i="5" s="1"/>
  <c r="AP60" i="5"/>
  <c r="AQ60" i="5" s="1"/>
  <c r="AP48" i="5"/>
  <c r="AQ48" i="5" s="1"/>
  <c r="AL52" i="5"/>
  <c r="O52" i="5" s="1"/>
  <c r="P52" i="5"/>
  <c r="AJ141" i="5"/>
  <c r="T28" i="5"/>
  <c r="AJ89" i="5"/>
  <c r="AJ163" i="5"/>
  <c r="AJ33" i="5"/>
  <c r="U454" i="4"/>
  <c r="AK454" i="4"/>
  <c r="AK341" i="1"/>
  <c r="U189" i="4"/>
  <c r="AK189" i="4"/>
  <c r="U450" i="4"/>
  <c r="AK450" i="4"/>
  <c r="AP55" i="5"/>
  <c r="AQ55" i="5" s="1"/>
  <c r="O55" i="5"/>
  <c r="U77" i="4"/>
  <c r="AK77" i="4"/>
  <c r="U300" i="4"/>
  <c r="AK300" i="4"/>
  <c r="AK457" i="4"/>
  <c r="AK557" i="4"/>
  <c r="AK376" i="1"/>
  <c r="AK183" i="4"/>
  <c r="AK380" i="4"/>
  <c r="AK461" i="4"/>
  <c r="AK129" i="1"/>
  <c r="AK449" i="4"/>
  <c r="AK525" i="4"/>
  <c r="AK194" i="4"/>
  <c r="AK163" i="4"/>
  <c r="AK186" i="4"/>
  <c r="AK55" i="1"/>
  <c r="AK199" i="4"/>
  <c r="AK218" i="4"/>
  <c r="AP47" i="5"/>
  <c r="AQ47" i="5" s="1"/>
  <c r="O47" i="5"/>
  <c r="AK387" i="1"/>
  <c r="AK356" i="4"/>
  <c r="U119" i="1"/>
  <c r="AK119" i="1"/>
  <c r="AK220" i="4"/>
  <c r="U281" i="1"/>
  <c r="AK281" i="1"/>
  <c r="AK325" i="1"/>
  <c r="AK321" i="1"/>
  <c r="U121" i="4"/>
  <c r="AK121" i="4"/>
  <c r="T231" i="5"/>
  <c r="AJ231" i="5"/>
  <c r="AK65" i="4"/>
  <c r="AK337" i="1"/>
  <c r="AK520" i="4"/>
  <c r="AK239" i="1"/>
  <c r="AK487" i="4"/>
  <c r="AK319" i="1"/>
  <c r="AK51" i="1"/>
  <c r="AK373" i="4"/>
  <c r="AK109" i="1"/>
  <c r="AK381" i="1"/>
  <c r="U560" i="4"/>
  <c r="AK560" i="4"/>
  <c r="AK165" i="4"/>
  <c r="AK169" i="4"/>
  <c r="AK365" i="4"/>
  <c r="AK542" i="4"/>
  <c r="AK317" i="1"/>
  <c r="AK365" i="1"/>
  <c r="AK300" i="1"/>
  <c r="U391" i="1"/>
  <c r="AK391" i="1"/>
  <c r="AK216" i="4"/>
  <c r="AK119" i="4"/>
  <c r="AK353" i="1"/>
  <c r="AK540" i="4"/>
  <c r="AJ471" i="5"/>
  <c r="AL62" i="5"/>
  <c r="O62" i="5" s="1"/>
  <c r="AJ269" i="5"/>
  <c r="AL61" i="5"/>
  <c r="O61" i="5" s="1"/>
  <c r="AJ400" i="5"/>
  <c r="AJ336" i="5"/>
  <c r="AJ237" i="5"/>
  <c r="T284" i="5"/>
  <c r="AJ284" i="5"/>
  <c r="T311" i="5"/>
  <c r="AJ311" i="5"/>
  <c r="T209" i="5"/>
  <c r="AJ209" i="5"/>
  <c r="AL63" i="5"/>
  <c r="O63" i="5" s="1"/>
  <c r="AJ447" i="5"/>
  <c r="AJ146" i="5"/>
  <c r="AJ168" i="5"/>
  <c r="AJ292" i="5"/>
  <c r="AJ155" i="5"/>
  <c r="AJ344" i="5"/>
  <c r="T139" i="5"/>
  <c r="AJ139" i="5"/>
  <c r="AJ465" i="5"/>
  <c r="AJ153" i="5"/>
  <c r="AJ203" i="5"/>
  <c r="AJ322" i="5"/>
  <c r="L57" i="5"/>
  <c r="P57" i="5"/>
  <c r="AL57" i="5"/>
  <c r="O57" i="5" s="1"/>
  <c r="T324" i="5"/>
  <c r="AJ324" i="5"/>
  <c r="AJ265" i="5"/>
  <c r="T147" i="5"/>
  <c r="AJ147" i="5"/>
  <c r="AP45" i="5"/>
  <c r="AQ45" i="5" s="1"/>
  <c r="AJ495" i="5"/>
  <c r="AJ489" i="5"/>
  <c r="AJ439" i="5"/>
  <c r="AJ152" i="5"/>
  <c r="T91" i="5"/>
  <c r="AJ91" i="5"/>
  <c r="AJ144" i="5"/>
  <c r="AJ406" i="5"/>
  <c r="AJ349" i="5"/>
  <c r="AJ337" i="5"/>
  <c r="AJ318" i="5"/>
  <c r="AJ257" i="5"/>
  <c r="AJ184" i="5"/>
  <c r="T246" i="5"/>
  <c r="AJ246" i="5"/>
  <c r="T102" i="5"/>
  <c r="AJ102" i="5"/>
  <c r="AL59" i="5"/>
  <c r="AJ362" i="5"/>
  <c r="AJ467" i="5"/>
  <c r="AJ345" i="5"/>
  <c r="AJ386" i="5"/>
  <c r="AJ416" i="5"/>
  <c r="AJ343" i="5"/>
  <c r="AJ140" i="5"/>
  <c r="AJ479" i="5"/>
  <c r="AJ372" i="5"/>
  <c r="AJ159" i="5"/>
  <c r="AJ249" i="5"/>
  <c r="AJ19" i="5"/>
  <c r="AJ483" i="5"/>
  <c r="AJ374" i="5"/>
  <c r="AJ475" i="5"/>
  <c r="AJ498" i="5"/>
  <c r="AJ100" i="5"/>
  <c r="AJ409" i="5"/>
  <c r="AJ421" i="5"/>
  <c r="AJ473" i="5"/>
  <c r="AJ158" i="5"/>
  <c r="T299" i="5"/>
  <c r="AJ299" i="5"/>
  <c r="T38" i="5"/>
  <c r="AP50" i="5"/>
  <c r="AQ50" i="5" s="1"/>
  <c r="AJ274" i="5"/>
  <c r="T170" i="5"/>
  <c r="AJ170" i="5"/>
  <c r="T229" i="5"/>
  <c r="AJ229" i="5"/>
  <c r="AJ200" i="5"/>
  <c r="AJ178" i="5"/>
  <c r="AJ280" i="5"/>
  <c r="AJ111" i="5"/>
  <c r="AP42" i="5"/>
  <c r="AQ42" i="5" s="1"/>
  <c r="T157" i="5"/>
  <c r="AJ157" i="5"/>
  <c r="AJ110" i="5"/>
  <c r="AJ182" i="5"/>
  <c r="T143" i="5"/>
  <c r="AJ143" i="5"/>
  <c r="AJ131" i="5"/>
  <c r="T396" i="5"/>
  <c r="AJ396" i="5"/>
  <c r="AJ166" i="5"/>
  <c r="T288" i="5"/>
  <c r="AJ288" i="5"/>
  <c r="AJ320" i="5"/>
  <c r="T108" i="5"/>
  <c r="AJ108" i="5"/>
  <c r="AP51" i="5"/>
  <c r="AQ51" i="5" s="1"/>
  <c r="AJ419" i="5"/>
  <c r="AP49" i="5"/>
  <c r="AQ49" i="5" s="1"/>
  <c r="T314" i="5"/>
  <c r="AJ314" i="5"/>
  <c r="AP58" i="5"/>
  <c r="AQ58" i="5" s="1"/>
  <c r="T88" i="5"/>
  <c r="AJ88" i="5"/>
  <c r="T39" i="5"/>
  <c r="AJ427" i="5"/>
  <c r="AJ469" i="5"/>
  <c r="AJ487" i="5"/>
  <c r="AJ423" i="5"/>
  <c r="AJ422" i="5"/>
  <c r="AJ164" i="5"/>
  <c r="AJ413" i="5"/>
  <c r="T316" i="5"/>
  <c r="AJ316" i="5"/>
  <c r="AJ219" i="5"/>
  <c r="T115" i="5"/>
  <c r="AJ115" i="5"/>
  <c r="AL54" i="5"/>
  <c r="O54" i="5" s="1"/>
  <c r="L54" i="5"/>
  <c r="T46" i="5"/>
  <c r="AK186" i="1"/>
  <c r="T305" i="5"/>
  <c r="AJ305" i="5"/>
  <c r="T378" i="5"/>
  <c r="AJ378" i="5"/>
  <c r="T104" i="5"/>
  <c r="AJ104" i="5"/>
  <c r="AK62" i="1"/>
  <c r="AJ304" i="5"/>
  <c r="U335" i="1"/>
  <c r="AK335" i="1"/>
  <c r="U292" i="1"/>
  <c r="AK292" i="1"/>
  <c r="U447" i="4"/>
  <c r="AK447" i="4"/>
  <c r="AK288" i="4"/>
  <c r="AK292" i="4"/>
  <c r="U301" i="4"/>
  <c r="AK301" i="4"/>
  <c r="AK511" i="4"/>
  <c r="AL53" i="5"/>
  <c r="O53" i="5" s="1"/>
  <c r="U52" i="4"/>
  <c r="AK52" i="4"/>
  <c r="AK290" i="4"/>
  <c r="AK388" i="4"/>
  <c r="U416" i="4"/>
  <c r="AK416" i="4"/>
  <c r="AK66" i="1"/>
  <c r="AK348" i="4"/>
  <c r="AJ443" i="5"/>
  <c r="T136" i="5"/>
  <c r="AJ136" i="5"/>
  <c r="AJ492" i="5"/>
  <c r="U309" i="4"/>
  <c r="AK309" i="4"/>
  <c r="AK453" i="4"/>
  <c r="AK535" i="4"/>
  <c r="AJ431" i="5"/>
  <c r="U284" i="1"/>
  <c r="AK284" i="1"/>
  <c r="AK33" i="1"/>
  <c r="AK370" i="4"/>
  <c r="AK219" i="1"/>
  <c r="AK378" i="1"/>
  <c r="AK396" i="1"/>
  <c r="U43" i="4"/>
  <c r="AK43" i="4"/>
  <c r="AJ481" i="5"/>
  <c r="AJ463" i="5"/>
  <c r="AK190" i="4"/>
  <c r="AK523" i="4"/>
  <c r="AK294" i="4"/>
  <c r="AJ435" i="5"/>
  <c r="AK384" i="1"/>
  <c r="AJ149" i="5"/>
  <c r="AJ325" i="5"/>
  <c r="AJ23" i="5"/>
  <c r="AJ150" i="5"/>
  <c r="U327" i="1"/>
  <c r="AK327" i="1"/>
  <c r="U485" i="4"/>
  <c r="AK485" i="4"/>
  <c r="U187" i="4"/>
  <c r="AK187" i="4"/>
  <c r="AK162" i="4"/>
  <c r="U276" i="1"/>
  <c r="AK276" i="1"/>
  <c r="AK202" i="4"/>
  <c r="AJ390" i="5"/>
  <c r="U315" i="1"/>
  <c r="AK315" i="1"/>
  <c r="T124" i="5"/>
  <c r="AJ124" i="5"/>
  <c r="U87" i="1"/>
  <c r="AK87" i="1"/>
  <c r="AJ17" i="5"/>
  <c r="T461" i="5"/>
  <c r="AJ461" i="5"/>
  <c r="U70" i="1"/>
  <c r="AK70" i="1"/>
  <c r="U415" i="4"/>
  <c r="AK415" i="4"/>
  <c r="U311" i="1"/>
  <c r="AK311" i="1"/>
  <c r="U243" i="4"/>
  <c r="AK243" i="4"/>
  <c r="U515" i="4"/>
  <c r="AK515" i="4"/>
  <c r="U460" i="4"/>
  <c r="AK460" i="4"/>
  <c r="U235" i="4"/>
  <c r="AK235" i="4"/>
  <c r="AK420" i="4"/>
  <c r="U495" i="4"/>
  <c r="AK495" i="4"/>
  <c r="U221" i="4"/>
  <c r="AK221" i="4"/>
  <c r="U47" i="4"/>
  <c r="AK47" i="4"/>
  <c r="AK298" i="4"/>
  <c r="AK311" i="4"/>
  <c r="AK361" i="4"/>
  <c r="AK37" i="1"/>
  <c r="AJ241" i="5"/>
  <c r="AK303" i="1"/>
  <c r="U288" i="1"/>
  <c r="AK288" i="1"/>
  <c r="T92" i="5"/>
  <c r="AJ92" i="5"/>
  <c r="U522" i="4"/>
  <c r="AK522" i="4"/>
  <c r="U331" i="1"/>
  <c r="AK331" i="1"/>
  <c r="U440" i="4"/>
  <c r="AK440" i="4"/>
  <c r="U339" i="1"/>
  <c r="AK339" i="1"/>
  <c r="T477" i="5"/>
  <c r="AJ477" i="5"/>
  <c r="U114" i="4"/>
  <c r="AK114" i="4"/>
  <c r="U307" i="4"/>
  <c r="AK307" i="4"/>
  <c r="U398" i="1"/>
  <c r="AK398" i="1"/>
  <c r="U355" i="4"/>
  <c r="AK355" i="4"/>
  <c r="U112" i="4"/>
  <c r="AK112" i="4"/>
  <c r="T394" i="5"/>
  <c r="AJ394" i="5"/>
  <c r="U280" i="1"/>
  <c r="AK280" i="1"/>
  <c r="T358" i="5"/>
  <c r="AJ358" i="5"/>
  <c r="T43" i="5"/>
  <c r="U171" i="4"/>
  <c r="AK171" i="4"/>
  <c r="T312" i="5"/>
  <c r="AJ312" i="5"/>
  <c r="U355" i="1"/>
  <c r="AK355" i="1"/>
  <c r="U486" i="4"/>
  <c r="AK486" i="4"/>
  <c r="AP41" i="5"/>
  <c r="AQ41" i="5" s="1"/>
  <c r="U39" i="4"/>
  <c r="AK39" i="4"/>
  <c r="AK351" i="1"/>
  <c r="AJ485" i="5"/>
  <c r="AK32" i="4"/>
  <c r="AK37" i="4"/>
  <c r="T103" i="5"/>
  <c r="AJ103" i="5"/>
  <c r="U390" i="4"/>
  <c r="AK390" i="4"/>
  <c r="U231" i="1"/>
  <c r="AK231" i="1"/>
  <c r="AK346" i="4"/>
  <c r="AJ317" i="5"/>
  <c r="AK491" i="4"/>
  <c r="AK174" i="4"/>
  <c r="AJ95" i="5"/>
  <c r="T78" i="5"/>
  <c r="AJ78" i="5"/>
  <c r="U35" i="1"/>
  <c r="AK35" i="1"/>
  <c r="U53" i="4"/>
  <c r="AK53" i="4"/>
  <c r="AJ333" i="5"/>
  <c r="T86" i="5"/>
  <c r="AJ86" i="5"/>
  <c r="AK47" i="1"/>
  <c r="U55" i="4"/>
  <c r="AK55" i="4"/>
  <c r="U41" i="4"/>
  <c r="AK41" i="4"/>
  <c r="AK394" i="4"/>
  <c r="T35" i="5"/>
  <c r="AJ420" i="5"/>
  <c r="T238" i="5"/>
  <c r="AJ238" i="5"/>
  <c r="AJ82" i="5"/>
  <c r="AK122" i="1"/>
  <c r="U223" i="1"/>
  <c r="AK223" i="1"/>
  <c r="U554" i="4"/>
  <c r="AK554" i="4"/>
  <c r="U347" i="1"/>
  <c r="AK347" i="1"/>
  <c r="AK369" i="1"/>
  <c r="T451" i="5"/>
  <c r="AJ451" i="5"/>
  <c r="AK41" i="1"/>
  <c r="AK372" i="4"/>
  <c r="AK521" i="4"/>
  <c r="AK178" i="4"/>
  <c r="AK436" i="4"/>
  <c r="AK363" i="1"/>
  <c r="AK215" i="1"/>
  <c r="AJ341" i="5"/>
  <c r="AK227" i="4"/>
  <c r="T34" i="5" l="1"/>
  <c r="AJ34" i="5"/>
  <c r="S55" i="5"/>
  <c r="S48" i="5"/>
  <c r="S51" i="5"/>
  <c r="S50" i="5"/>
  <c r="T50" i="5"/>
  <c r="S47" i="5"/>
  <c r="S49" i="5"/>
  <c r="S60" i="5"/>
  <c r="S40" i="5"/>
  <c r="T40" i="5"/>
  <c r="S42" i="5"/>
  <c r="S41" i="5"/>
  <c r="T41" i="5"/>
  <c r="S58" i="5"/>
  <c r="S45" i="5"/>
  <c r="T45" i="5"/>
  <c r="S44" i="5"/>
  <c r="T44" i="5"/>
  <c r="T60" i="5"/>
  <c r="AJ32" i="5"/>
  <c r="AP56" i="5"/>
  <c r="AQ56" i="5" s="1"/>
  <c r="T48" i="5"/>
  <c r="AP52" i="5"/>
  <c r="AQ52" i="5" s="1"/>
  <c r="AP61" i="5"/>
  <c r="AQ61" i="5" s="1"/>
  <c r="T47" i="5"/>
  <c r="AJ28" i="5"/>
  <c r="T55" i="5"/>
  <c r="AJ31" i="5"/>
  <c r="AP62" i="5"/>
  <c r="AQ62" i="5" s="1"/>
  <c r="AP63" i="5"/>
  <c r="AQ63" i="5" s="1"/>
  <c r="AP59" i="5"/>
  <c r="AQ59" i="5" s="1"/>
  <c r="O59" i="5"/>
  <c r="AP57" i="5"/>
  <c r="AQ57" i="5" s="1"/>
  <c r="AJ37" i="5"/>
  <c r="AJ30" i="5"/>
  <c r="AJ43" i="5"/>
  <c r="AJ35" i="5"/>
  <c r="T51" i="5"/>
  <c r="AP54" i="5"/>
  <c r="AQ54" i="5" s="1"/>
  <c r="AJ39" i="5"/>
  <c r="T58" i="5"/>
  <c r="T42" i="5"/>
  <c r="AJ46" i="5"/>
  <c r="T49" i="5"/>
  <c r="AJ38" i="5"/>
  <c r="AP53" i="5"/>
  <c r="AQ53" i="5" s="1"/>
  <c r="AJ29" i="5"/>
  <c r="S57" i="5" l="1"/>
  <c r="S62" i="5"/>
  <c r="T62" i="5"/>
  <c r="S56" i="5"/>
  <c r="S63" i="5"/>
  <c r="T63" i="5"/>
  <c r="S54" i="5"/>
  <c r="S61" i="5"/>
  <c r="S53" i="5"/>
  <c r="S59" i="5"/>
  <c r="S52" i="5"/>
  <c r="AJ48" i="5"/>
  <c r="T61" i="5"/>
  <c r="AJ60" i="5"/>
  <c r="AJ44" i="5"/>
  <c r="AJ40" i="5"/>
  <c r="T56" i="5"/>
  <c r="T52" i="5"/>
  <c r="AJ47" i="5"/>
  <c r="AJ55" i="5"/>
  <c r="T59" i="5"/>
  <c r="AJ51" i="5"/>
  <c r="AJ41" i="5"/>
  <c r="AJ45" i="5"/>
  <c r="T57" i="5"/>
  <c r="AJ50" i="5"/>
  <c r="AJ61" i="5"/>
  <c r="AJ42" i="5"/>
  <c r="T54" i="5"/>
  <c r="AJ49" i="5"/>
  <c r="AJ58" i="5"/>
  <c r="T53" i="5"/>
  <c r="AJ56" i="5" l="1"/>
  <c r="AJ52" i="5"/>
  <c r="AJ59" i="5"/>
  <c r="AJ63" i="5"/>
  <c r="AJ62" i="5"/>
  <c r="AJ57" i="5"/>
  <c r="AJ54" i="5"/>
  <c r="AJ53" i="5"/>
</calcChain>
</file>

<file path=xl/sharedStrings.xml><?xml version="1.0" encoding="utf-8"?>
<sst xmlns="http://schemas.openxmlformats.org/spreadsheetml/2006/main" count="15168" uniqueCount="1755">
  <si>
    <t>id</t>
  </si>
  <si>
    <t>name</t>
  </si>
  <si>
    <t>title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</si>
  <si>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</si>
  <si>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</si>
  <si>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</si>
  <si>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</si>
  <si>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</si>
  <si>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</si>
  <si>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</si>
  <si>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</si>
  <si>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</si>
  <si>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</si>
  <si>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</si>
  <si>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r>
      <rPr>
        <sz val="11"/>
        <color theme="1"/>
        <rFont val="宋体"/>
        <family val="3"/>
        <charset val="134"/>
        <scheme val="minor"/>
      </rPr>
      <t>atk</t>
    </r>
    <r>
      <rPr>
        <sz val="11"/>
        <color theme="1"/>
        <rFont val="宋体"/>
        <family val="3"/>
        <charset val="134"/>
        <scheme val="minor"/>
      </rPr>
      <t>_base</t>
    </r>
  </si>
  <si>
    <t>atk_up</t>
  </si>
  <si>
    <r>
      <rPr>
        <sz val="11"/>
        <color theme="1"/>
        <rFont val="宋体"/>
        <family val="3"/>
        <charset val="134"/>
        <scheme val="minor"/>
      </rPr>
      <t>hp</t>
    </r>
    <r>
      <rPr>
        <sz val="11"/>
        <color theme="1"/>
        <rFont val="宋体"/>
        <family val="3"/>
        <charset val="134"/>
        <scheme val="minor"/>
      </rPr>
      <t>_base</t>
    </r>
  </si>
  <si>
    <t>hp_up</t>
  </si>
  <si>
    <r>
      <rPr>
        <sz val="11"/>
        <color theme="1"/>
        <rFont val="宋体"/>
        <family val="3"/>
        <charset val="134"/>
        <scheme val="minor"/>
      </rPr>
      <t>def</t>
    </r>
    <r>
      <rPr>
        <sz val="11"/>
        <color theme="1"/>
        <rFont val="宋体"/>
        <family val="3"/>
        <charset val="134"/>
        <scheme val="minor"/>
      </rPr>
      <t>_base</t>
    </r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</si>
  <si>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</si>
  <si>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</si>
  <si>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</si>
  <si>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</si>
  <si>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</si>
  <si>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</si>
  <si>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</si>
  <si>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</si>
  <si>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alent_unlock_tier</t>
    </r>
  </si>
  <si>
    <t>next_id</t>
  </si>
  <si>
    <t>weight</t>
  </si>
  <si>
    <t>starup_type</t>
  </si>
  <si>
    <t>starup_param</t>
  </si>
  <si>
    <t>starup_num</t>
  </si>
  <si>
    <t>战力 = HP * 攻击 / 攻速 * (0.9 + 命中)* (1 + (0.5 + 暴伤) * (0.1 + 暴击)) * (1 + 破甲）/ ( 1- 闪避） / (1 - 免伤） / 系数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</si>
  <si>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</si>
  <si>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</si>
  <si>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</si>
  <si>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</si>
  <si>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</si>
  <si>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</si>
  <si>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list&lt;int32&gt;</t>
  </si>
  <si>
    <r>
      <rPr>
        <sz val="11"/>
        <color theme="1"/>
        <rFont val="宋体"/>
        <family val="3"/>
        <charset val="134"/>
        <scheme val="minor"/>
      </rPr>
      <t>l</t>
    </r>
    <r>
      <rPr>
        <sz val="11"/>
        <color theme="1"/>
        <rFont val="宋体"/>
        <family val="3"/>
        <charset val="134"/>
        <scheme val="minor"/>
      </rPr>
      <t>ist&lt;int32&gt;</t>
    </r>
  </si>
  <si>
    <t>ID</t>
  </si>
  <si>
    <t>名称</t>
  </si>
  <si>
    <t>头衔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</si>
  <si>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</si>
  <si>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</si>
  <si>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</si>
  <si>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</si>
  <si>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</si>
  <si>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</si>
  <si>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</si>
  <si>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</si>
  <si>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</si>
  <si>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</si>
  <si>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</si>
  <si>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</si>
  <si>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</si>
  <si>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</si>
  <si>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</si>
  <si>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</si>
  <si>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</si>
  <si>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</si>
  <si>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</si>
  <si>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</si>
  <si>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</si>
  <si>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</si>
  <si>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</si>
  <si>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</si>
  <si>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天赋解锁品阶列表</t>
  </si>
  <si>
    <t>升星或觉醒后续ID</t>
  </si>
  <si>
    <t>抽卡权值</t>
  </si>
  <si>
    <t>升星材料类型</t>
  </si>
  <si>
    <t>升星材料参数ID或星</t>
  </si>
  <si>
    <t>升星材料数量</t>
  </si>
  <si>
    <t>等级</t>
  </si>
  <si>
    <t>战力</t>
  </si>
  <si>
    <t>基础攻击</t>
  </si>
  <si>
    <t>攻击提升</t>
  </si>
  <si>
    <t>施法速度</t>
  </si>
  <si>
    <t>职业ID</t>
  </si>
  <si>
    <t>职业子ID</t>
  </si>
  <si>
    <t>初始星级</t>
  </si>
  <si>
    <t>超星提升</t>
  </si>
  <si>
    <t>职业编号</t>
  </si>
  <si>
    <t>阵营编号</t>
  </si>
  <si>
    <t>基础属性：1</t>
  </si>
  <si>
    <t>基础攻</t>
  </si>
  <si>
    <t>基础血</t>
  </si>
  <si>
    <t>基础防</t>
  </si>
  <si>
    <t>参照标准</t>
  </si>
  <si>
    <t>模型攻击动作时长</t>
  </si>
  <si>
    <t>language_data表</t>
  </si>
  <si>
    <t>名称（当前表）</t>
  </si>
  <si>
    <t>DATA_Role_Title1</t>
  </si>
  <si>
    <t>主角_0</t>
  </si>
  <si>
    <t>1011,1021,1031</t>
  </si>
  <si>
    <t>10,20,40</t>
  </si>
  <si>
    <r>
      <rPr>
        <sz val="11"/>
        <color theme="1"/>
        <rFont val="宋体"/>
        <family val="3"/>
        <charset val="134"/>
        <scheme val="minor"/>
      </rPr>
      <t>职业I</t>
    </r>
    <r>
      <rPr>
        <sz val="11"/>
        <color theme="1"/>
        <rFont val="宋体"/>
        <family val="3"/>
        <charset val="134"/>
        <scheme val="minor"/>
      </rPr>
      <t>D</t>
    </r>
  </si>
  <si>
    <t>职业名称</t>
  </si>
  <si>
    <t>攻击系数</t>
  </si>
  <si>
    <t>血量系数</t>
  </si>
  <si>
    <t>攻防比</t>
  </si>
  <si>
    <t>攻速（单位时间）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</si>
  <si>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ps</t>
    </r>
  </si>
  <si>
    <t>攻击时间</t>
  </si>
  <si>
    <t>普攻帧数</t>
  </si>
  <si>
    <t>施法时间</t>
  </si>
  <si>
    <t>技能帧数</t>
  </si>
  <si>
    <t>血系数不算攻速</t>
  </si>
  <si>
    <t>骑士侍从</t>
  </si>
  <si>
    <t>DATA_Role_Title2</t>
  </si>
  <si>
    <t>主角_1</t>
  </si>
  <si>
    <t>骑士</t>
  </si>
  <si>
    <t>见习骑士</t>
  </si>
  <si>
    <t>DATA_Role_Title3</t>
  </si>
  <si>
    <t>主角_2</t>
  </si>
  <si>
    <t>锤哥</t>
  </si>
  <si>
    <t>初级骑士</t>
  </si>
  <si>
    <t>DATA_Role_Title4</t>
  </si>
  <si>
    <t>主角_3</t>
  </si>
  <si>
    <t>1012,1021,1031</t>
  </si>
  <si>
    <t>刀客</t>
  </si>
  <si>
    <t>骑士队长</t>
  </si>
  <si>
    <t>DATA_Role_Title5</t>
  </si>
  <si>
    <t>主角_4</t>
  </si>
  <si>
    <t>1012,1022,1031</t>
  </si>
  <si>
    <t>狂风刀侠</t>
  </si>
  <si>
    <t>骑士团长</t>
  </si>
  <si>
    <t>DATA_Role_Title6</t>
  </si>
  <si>
    <t>主角_5</t>
  </si>
  <si>
    <t>1012,1022,1032</t>
  </si>
  <si>
    <t>剑盾士兵</t>
  </si>
  <si>
    <t>骑士统领</t>
  </si>
  <si>
    <t>DATA_Role_Title7</t>
  </si>
  <si>
    <t>主角_6</t>
  </si>
  <si>
    <t>美猴王</t>
  </si>
  <si>
    <t>贵族骑士</t>
  </si>
  <si>
    <t>DATA_Role_Title8</t>
  </si>
  <si>
    <t>主角_7</t>
  </si>
  <si>
    <t>1013,1022,1032</t>
  </si>
  <si>
    <t>兽人剑圣</t>
  </si>
  <si>
    <t>王族骑士</t>
  </si>
  <si>
    <t>DATA_Role_Title9</t>
  </si>
  <si>
    <t>主角_8</t>
  </si>
  <si>
    <t>1013,1023,1032</t>
  </si>
  <si>
    <t>圣骑</t>
  </si>
  <si>
    <t>皇族骑士</t>
  </si>
  <si>
    <t>DATA_Role_Title10</t>
  </si>
  <si>
    <t>主角_9</t>
  </si>
  <si>
    <t>1013,1023,1033</t>
  </si>
  <si>
    <t>枪战士</t>
  </si>
  <si>
    <t>守护骑士</t>
  </si>
  <si>
    <t>DATA_Role_Title11</t>
  </si>
  <si>
    <t>主角_10</t>
  </si>
  <si>
    <t>维京战士</t>
  </si>
  <si>
    <t>圣堂骑士</t>
  </si>
  <si>
    <t>DATA_Role_Title12</t>
  </si>
  <si>
    <t>主角_11</t>
  </si>
  <si>
    <t>斧战士</t>
  </si>
  <si>
    <t>神佑骑士</t>
  </si>
  <si>
    <t>新普攻粒子/魔导师普通攻击</t>
  </si>
  <si>
    <t>2011,2021,2031</t>
  </si>
  <si>
    <t>骷髅王</t>
  </si>
  <si>
    <t>武士</t>
  </si>
  <si>
    <t>剑术师</t>
  </si>
  <si>
    <t>2012,2021,2031</t>
  </si>
  <si>
    <t>佐罗</t>
  </si>
  <si>
    <t>2012,2022,2031</t>
  </si>
  <si>
    <t>精灵盗贼</t>
  </si>
  <si>
    <t>2012,2022,2032</t>
  </si>
  <si>
    <t>镰刀刺客</t>
  </si>
  <si>
    <t>刺杀者</t>
  </si>
  <si>
    <t>2013,2022,2032</t>
  </si>
  <si>
    <t>法老王</t>
  </si>
  <si>
    <t>2013,2023,2032</t>
  </si>
  <si>
    <t>魔导师</t>
  </si>
  <si>
    <t>2013,2023,2033</t>
  </si>
  <si>
    <t>秘法</t>
  </si>
  <si>
    <t>部落巫师</t>
  </si>
  <si>
    <t>虎法师</t>
  </si>
  <si>
    <t>3011,3021,3031</t>
  </si>
  <si>
    <t>女巫</t>
  </si>
  <si>
    <t>琴女</t>
  </si>
  <si>
    <t>海盗船长</t>
  </si>
  <si>
    <t>3012,3021,3031</t>
  </si>
  <si>
    <t>赏金女枪</t>
  </si>
  <si>
    <t>3012,3022,3031</t>
  </si>
  <si>
    <t>浪人猎手</t>
  </si>
  <si>
    <t>3012,3022,3032</t>
  </si>
  <si>
    <t>弓箭手</t>
  </si>
  <si>
    <t>暗夜游侠</t>
  </si>
  <si>
    <t>3013,3022,3032</t>
  </si>
  <si>
    <t>忍者</t>
  </si>
  <si>
    <t>3013,3023,3032</t>
  </si>
  <si>
    <t>赏金猎人</t>
  </si>
  <si>
    <t>3013,3023,3033</t>
  </si>
  <si>
    <t>弓箭游侠</t>
  </si>
  <si>
    <t>酒仙</t>
  </si>
  <si>
    <t>提灯牧师</t>
  </si>
  <si>
    <t>4011,4021,4031</t>
  </si>
  <si>
    <t>大主教</t>
  </si>
  <si>
    <t>女牧师</t>
  </si>
  <si>
    <t>占星师</t>
  </si>
  <si>
    <t>4012,4021,4031</t>
  </si>
  <si>
    <t>兽人战士</t>
  </si>
  <si>
    <t>4012,4022,4031</t>
  </si>
  <si>
    <t>血族战士</t>
  </si>
  <si>
    <t>4012,4022,4032</t>
  </si>
  <si>
    <t>骷髅战士</t>
  </si>
  <si>
    <t>鸟人战士</t>
  </si>
  <si>
    <t>4013,4022,4032</t>
  </si>
  <si>
    <t>史莱姆</t>
  </si>
  <si>
    <t>4013,4023,4032</t>
  </si>
  <si>
    <t>狼人</t>
  </si>
  <si>
    <t>4013,4023,4033</t>
  </si>
  <si>
    <t>兽人萨满</t>
  </si>
  <si>
    <t>血族法师</t>
  </si>
  <si>
    <t>骷髅法师</t>
  </si>
  <si>
    <t>5011,5021,5031</t>
  </si>
  <si>
    <t>鸟人法师</t>
  </si>
  <si>
    <t>树怪</t>
  </si>
  <si>
    <t>熊怪</t>
  </si>
  <si>
    <t>5012,5021,5031</t>
  </si>
  <si>
    <t>黑骑士</t>
  </si>
  <si>
    <t>5012,5022,5031</t>
  </si>
  <si>
    <t>狼骑兵</t>
  </si>
  <si>
    <t>5012,5022,5032</t>
  </si>
  <si>
    <t>骑士2</t>
  </si>
  <si>
    <t>骑士3</t>
  </si>
  <si>
    <t>5013,5022,5032</t>
  </si>
  <si>
    <t>骑士4</t>
  </si>
  <si>
    <t>5013,5023,5032</t>
  </si>
  <si>
    <t>骑士5</t>
  </si>
  <si>
    <t>5013,5023,5033</t>
  </si>
  <si>
    <t>DATA_Class_Base7</t>
  </si>
  <si>
    <t>怪_兽人战士_1</t>
  </si>
  <si>
    <t>兽人战士_1</t>
  </si>
  <si>
    <t>0</t>
  </si>
  <si>
    <t>DATA_Class_Base8</t>
  </si>
  <si>
    <t>怪_兽人萨满_1</t>
  </si>
  <si>
    <t>兽人法师_1</t>
  </si>
  <si>
    <t>DATA_Class_Base3</t>
  </si>
  <si>
    <r>
      <rPr>
        <sz val="11"/>
        <color theme="1"/>
        <rFont val="宋体"/>
        <family val="3"/>
        <charset val="134"/>
        <scheme val="minor"/>
      </rPr>
      <t>怪_骷髅战士_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</si>
  <si>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骷髅战士_</t>
    </r>
    <r>
      <rPr>
        <sz val="11"/>
        <color theme="1"/>
        <rFont val="宋体"/>
        <family val="3"/>
        <charset val="134"/>
        <scheme val="minor"/>
      </rPr>
      <t>2</t>
    </r>
  </si>
  <si>
    <t>DATA_Class_Base1</t>
  </si>
  <si>
    <t>鹰人战士</t>
  </si>
  <si>
    <t>DATA_Class_Base11</t>
  </si>
  <si>
    <t>怪_骷髅法师_2</t>
  </si>
  <si>
    <t>骷髅法师_2</t>
  </si>
  <si>
    <t>新普攻粒子/女巫普通攻击</t>
  </si>
  <si>
    <t>DATA_Class_Base2</t>
  </si>
  <si>
    <t>鹰人法师</t>
  </si>
  <si>
    <t>DATA_Class_Base5</t>
  </si>
  <si>
    <r>
      <rPr>
        <sz val="11"/>
        <color theme="1"/>
        <rFont val="宋体"/>
        <family val="3"/>
        <charset val="134"/>
        <scheme val="minor"/>
      </rPr>
      <t>怪_史莱姆_</t>
    </r>
    <r>
      <rPr>
        <sz val="11"/>
        <color theme="1"/>
        <rFont val="宋体"/>
        <family val="3"/>
        <charset val="134"/>
        <scheme val="minor"/>
      </rPr>
      <t>3</t>
    </r>
  </si>
  <si>
    <t>史莱母_3</t>
  </si>
  <si>
    <t>DATA_Class_Base4</t>
  </si>
  <si>
    <t>怪_趴趴熊_3</t>
  </si>
  <si>
    <r>
      <rPr>
        <sz val="11"/>
        <color theme="1"/>
        <rFont val="宋体"/>
        <family val="3"/>
        <charset val="134"/>
        <scheme val="minor"/>
      </rPr>
      <t>趴趴熊_</t>
    </r>
    <r>
      <rPr>
        <sz val="11"/>
        <color theme="1"/>
        <rFont val="宋体"/>
        <family val="3"/>
        <charset val="134"/>
        <scheme val="minor"/>
      </rPr>
      <t>3</t>
    </r>
  </si>
  <si>
    <t>棕熊</t>
  </si>
  <si>
    <t>怪_鸟人战士_1</t>
  </si>
  <si>
    <t>鸟人战士_1</t>
  </si>
  <si>
    <t>怪_鸟人法师_1</t>
  </si>
  <si>
    <r>
      <rPr>
        <sz val="11"/>
        <color theme="1"/>
        <rFont val="宋体"/>
        <family val="3"/>
        <charset val="134"/>
        <scheme val="minor"/>
      </rPr>
      <t>鸟人法师_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</si>
  <si>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DATA_Class_Base6</t>
  </si>
  <si>
    <t>恶魔战士</t>
  </si>
  <si>
    <r>
      <rPr>
        <sz val="11"/>
        <color theme="1"/>
        <rFont val="宋体"/>
        <family val="3"/>
        <charset val="134"/>
        <scheme val="minor"/>
      </rPr>
      <t>怪_血族战士_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</si>
  <si>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血族战士_</t>
    </r>
    <r>
      <rPr>
        <sz val="11"/>
        <color theme="1"/>
        <rFont val="宋体"/>
        <family val="3"/>
        <charset val="134"/>
        <scheme val="minor"/>
      </rPr>
      <t>2</t>
    </r>
  </si>
  <si>
    <t>DATA_Class_Base12</t>
  </si>
  <si>
    <r>
      <rPr>
        <sz val="11"/>
        <color theme="1"/>
        <rFont val="宋体"/>
        <family val="3"/>
        <charset val="134"/>
        <scheme val="minor"/>
      </rPr>
      <t>怪_血族法师_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</si>
  <si>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血族法师_</t>
    </r>
    <r>
      <rPr>
        <sz val="11"/>
        <color theme="1"/>
        <rFont val="宋体"/>
        <family val="3"/>
        <charset val="134"/>
        <scheme val="minor"/>
      </rPr>
      <t>2</t>
    </r>
  </si>
  <si>
    <t>DATA_Class_Base10</t>
  </si>
  <si>
    <r>
      <rPr>
        <sz val="11"/>
        <color theme="1"/>
        <rFont val="宋体"/>
        <family val="3"/>
        <charset val="134"/>
        <scheme val="minor"/>
      </rPr>
      <t>怪_树人_</t>
    </r>
    <r>
      <rPr>
        <sz val="11"/>
        <color theme="1"/>
        <rFont val="宋体"/>
        <family val="3"/>
        <charset val="134"/>
        <scheme val="minor"/>
      </rPr>
      <t>3</t>
    </r>
  </si>
  <si>
    <r>
      <rPr>
        <sz val="11"/>
        <color theme="1"/>
        <rFont val="宋体"/>
        <family val="3"/>
        <charset val="134"/>
        <scheme val="minor"/>
      </rPr>
      <t>树人_</t>
    </r>
    <r>
      <rPr>
        <sz val="11"/>
        <color theme="1"/>
        <rFont val="宋体"/>
        <family val="3"/>
        <charset val="134"/>
        <scheme val="minor"/>
      </rPr>
      <t>3</t>
    </r>
  </si>
  <si>
    <t>DATA_Class_Base9</t>
  </si>
  <si>
    <t>怪_狼人_3</t>
  </si>
  <si>
    <r>
      <rPr>
        <sz val="11"/>
        <color theme="1"/>
        <rFont val="宋体"/>
        <family val="3"/>
        <charset val="134"/>
        <scheme val="minor"/>
      </rPr>
      <t>狼人_</t>
    </r>
    <r>
      <rPr>
        <sz val="11"/>
        <color theme="1"/>
        <rFont val="宋体"/>
        <family val="3"/>
        <charset val="134"/>
        <scheme val="minor"/>
      </rPr>
      <t>3</t>
    </r>
  </si>
  <si>
    <t>恶魔祭祀</t>
  </si>
  <si>
    <t>DATA_Class_Base15</t>
  </si>
  <si>
    <t>战士2_33_1</t>
  </si>
  <si>
    <t>新普攻粒子/维京战士普通攻击</t>
  </si>
  <si>
    <t>1312021</t>
  </si>
  <si>
    <t>1</t>
  </si>
  <si>
    <t>DATA_Class_Base16</t>
  </si>
  <si>
    <t>刺客1_33_1</t>
  </si>
  <si>
    <t>新普攻粒子/佐罗普通攻击</t>
  </si>
  <si>
    <t>1313011</t>
  </si>
  <si>
    <t>伤害：</t>
  </si>
  <si>
    <t>攻击*（1-护甲/(200+20*(等级-1))*(1-破甲)</t>
  </si>
  <si>
    <t>DATA_Class_Base20</t>
  </si>
  <si>
    <t>游侠2_33_1</t>
  </si>
  <si>
    <t>新普攻粒子/火枪手普通攻击</t>
  </si>
  <si>
    <t>1315021</t>
  </si>
  <si>
    <t>从护甲公式可以看出，护甲主要是抵消伤害。但是由于护甲还和等级相关，所以同一个人等级高和低，他受到的伤害比率是一样的。</t>
  </si>
  <si>
    <t>DATA_Class_Base13</t>
  </si>
  <si>
    <t>无情刀客</t>
  </si>
  <si>
    <t>DATA_Class_Base14</t>
  </si>
  <si>
    <t>战士1_33_2</t>
  </si>
  <si>
    <t>新普攻粒子/坦克普通攻击</t>
  </si>
  <si>
    <t>1322011</t>
  </si>
  <si>
    <t>骑兵统领</t>
  </si>
  <si>
    <t>DATA_Class_Base19</t>
  </si>
  <si>
    <t>游侠0_33_2</t>
  </si>
  <si>
    <t>新普攻粒子/海盗船长普通攻击</t>
  </si>
  <si>
    <t>1325001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</si>
  <si>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</si>
  <si>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t>维京勇者</t>
  </si>
  <si>
    <t>DATA_Class_Base21</t>
  </si>
  <si>
    <t>牧师1_33_2</t>
  </si>
  <si>
    <t>新普攻粒子/牧师普通攻击</t>
  </si>
  <si>
    <t>1326011</t>
  </si>
  <si>
    <r>
      <rPr>
        <sz val="11"/>
        <color theme="1"/>
        <rFont val="宋体"/>
        <family val="3"/>
        <charset val="134"/>
        <scheme val="minor"/>
      </rPr>
      <t>攻击*（1-免伤率)*(1-</t>
    </r>
    <r>
      <rPr>
        <sz val="11"/>
        <color theme="1"/>
        <rFont val="宋体"/>
        <family val="3"/>
        <charset val="134"/>
        <scheme val="minor"/>
      </rPr>
      <t>破甲</t>
    </r>
    <r>
      <rPr>
        <sz val="11"/>
        <color theme="1"/>
        <rFont val="宋体"/>
        <family val="3"/>
        <charset val="134"/>
        <scheme val="minor"/>
      </rPr>
      <t>)</t>
    </r>
  </si>
  <si>
    <t>蒙面剑客</t>
  </si>
  <si>
    <t>战士0_33_3</t>
  </si>
  <si>
    <t>新普攻粒子/狂战士普通攻击</t>
  </si>
  <si>
    <t>1332001</t>
  </si>
  <si>
    <t>免伤率=基础免伤+护甲*等级*免伤系数</t>
  </si>
  <si>
    <t>DATA_Class_Base17</t>
  </si>
  <si>
    <t>魔法师</t>
  </si>
  <si>
    <t>法师1_33_1</t>
  </si>
  <si>
    <t>1334011</t>
  </si>
  <si>
    <t>免伤成长/防</t>
  </si>
  <si>
    <t>等级对应免伤</t>
  </si>
  <si>
    <t>DATA_Class_Base18</t>
  </si>
  <si>
    <t>红莲女巫</t>
  </si>
  <si>
    <t>法师2_33_3</t>
  </si>
  <si>
    <t>1334021</t>
  </si>
  <si>
    <t>基础防御</t>
  </si>
  <si>
    <t>防御成长</t>
  </si>
  <si>
    <t>基础免伤</t>
  </si>
  <si>
    <t>免伤上限</t>
  </si>
  <si>
    <t>大副</t>
  </si>
  <si>
    <t>DATA_Class_Base22</t>
  </si>
  <si>
    <t>游侠1_33_3</t>
  </si>
  <si>
    <t>新普攻粒子/猎人普通攻击</t>
  </si>
  <si>
    <t>1345011</t>
  </si>
  <si>
    <t>火枪牛仔</t>
  </si>
  <si>
    <t>DATA_Class_Base23</t>
  </si>
  <si>
    <t>牧师0_33_3</t>
  </si>
  <si>
    <t>新普攻粒子/酒仙普通攻击</t>
  </si>
  <si>
    <t>1346001</t>
  </si>
  <si>
    <t>狂战士</t>
  </si>
  <si>
    <t>圣职者</t>
  </si>
  <si>
    <t>DATA_Class_Base24</t>
  </si>
  <si>
    <t>牧师2_33_1</t>
  </si>
  <si>
    <t>新普攻粒子/占星师普攻蓄力</t>
  </si>
  <si>
    <t>新普攻粒子/占星师普通攻击</t>
  </si>
  <si>
    <t>1346021</t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</si>
  <si>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0*1.5</t>
    </r>
  </si>
  <si>
    <t>精灵射手</t>
  </si>
  <si>
    <t>DATA_Class_Base25</t>
  </si>
  <si>
    <t>刺客0_33_2</t>
  </si>
  <si>
    <t>新普攻粒子/忍者普通攻击</t>
  </si>
  <si>
    <t>1353001</t>
  </si>
  <si>
    <t>维京勇士</t>
  </si>
  <si>
    <t>护法武僧</t>
  </si>
  <si>
    <t>DATA_Class_Base26</t>
  </si>
  <si>
    <t>刺客2_33_3</t>
  </si>
  <si>
    <t>新普攻粒子/食人族长普通攻击</t>
  </si>
  <si>
    <t>1353021</t>
  </si>
  <si>
    <t>忍神</t>
  </si>
  <si>
    <t>殿前学者</t>
  </si>
  <si>
    <t>DATA_Class_Base27</t>
  </si>
  <si>
    <t>法师0_33_2</t>
  </si>
  <si>
    <t>新普攻粒子/法老普通攻击</t>
  </si>
  <si>
    <t>1354001</t>
  </si>
  <si>
    <t>精英忍者</t>
  </si>
  <si>
    <t>1312021,2312021</t>
  </si>
  <si>
    <t>1,3</t>
  </si>
  <si>
    <t>荒原猎手</t>
  </si>
  <si>
    <t>1313011,2313011</t>
  </si>
  <si>
    <t>法老</t>
  </si>
  <si>
    <t>1315021,2315021</t>
  </si>
  <si>
    <t>DATA_Class_Base28</t>
  </si>
  <si>
    <t>狂风大侠</t>
  </si>
  <si>
    <t>1322011,2322011</t>
  </si>
  <si>
    <t>火焰巫师</t>
  </si>
  <si>
    <t>DATA_Class_Base29</t>
  </si>
  <si>
    <t>剑盾骑士</t>
  </si>
  <si>
    <t>1325001,2325001</t>
  </si>
  <si>
    <t>DATA_Class_Base30</t>
  </si>
  <si>
    <t>维京战神</t>
  </si>
  <si>
    <t>1326011,2326011</t>
  </si>
  <si>
    <t>DATA_Class_Base31</t>
  </si>
  <si>
    <t>假面佐罗</t>
  </si>
  <si>
    <t>1332001,2332001</t>
  </si>
  <si>
    <t>火枪手</t>
  </si>
  <si>
    <t>DATA_Class_Base32</t>
  </si>
  <si>
    <t>魔法宗师</t>
  </si>
  <si>
    <t>1334011,2334011</t>
  </si>
  <si>
    <t>DATA_Class_Base33</t>
  </si>
  <si>
    <t>魔法圣使</t>
  </si>
  <si>
    <t>1334021,2334021</t>
  </si>
  <si>
    <t>牧师</t>
  </si>
  <si>
    <t>DATA_Class_Base34</t>
  </si>
  <si>
    <t>1345011,2345011</t>
  </si>
  <si>
    <t>DATA_Class_Base35</t>
  </si>
  <si>
    <t>1346001,2346001</t>
  </si>
  <si>
    <t>DATA_Class_Base36</t>
  </si>
  <si>
    <t>1346021,2346021</t>
  </si>
  <si>
    <t>主角升星加成</t>
  </si>
  <si>
    <t>DATA_Class_Base37</t>
  </si>
  <si>
    <t>精灵王</t>
  </si>
  <si>
    <t>1353001,2353001</t>
  </si>
  <si>
    <t>DATA_Class_Base38</t>
  </si>
  <si>
    <t>1353021,2353021</t>
  </si>
  <si>
    <t>DATA_Class_Base39</t>
  </si>
  <si>
    <t>先驱者</t>
  </si>
  <si>
    <t>1354001,2354001</t>
  </si>
  <si>
    <t>升星加成</t>
  </si>
  <si>
    <t>DATA_Class_Base40</t>
  </si>
  <si>
    <t>隐士</t>
  </si>
  <si>
    <t>DATA_Class_Base41</t>
  </si>
  <si>
    <t>高阶祭司</t>
  </si>
  <si>
    <t>DATA_Class_Base42</t>
  </si>
  <si>
    <t>DPS</t>
  </si>
  <si>
    <t>品阶</t>
  </si>
  <si>
    <t>攻</t>
  </si>
  <si>
    <t>血</t>
  </si>
  <si>
    <t>防</t>
  </si>
  <si>
    <t>提供</t>
  </si>
  <si>
    <t>英雄</t>
  </si>
  <si>
    <t>主角星级</t>
  </si>
  <si>
    <t>主角等级</t>
  </si>
  <si>
    <t>主角品阶</t>
  </si>
  <si>
    <t>主角-攻</t>
  </si>
  <si>
    <t>主角-血</t>
  </si>
  <si>
    <t>主角-防</t>
  </si>
  <si>
    <t>主角</t>
  </si>
  <si>
    <t>阵容1星级</t>
  </si>
  <si>
    <t>阵容2星级</t>
  </si>
  <si>
    <t>阵容3星级</t>
  </si>
  <si>
    <t>阵容4星级</t>
  </si>
  <si>
    <t>阵容5星级</t>
  </si>
  <si>
    <t>1312022,2312021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</si>
  <si>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</si>
  <si>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</si>
  <si>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</si>
  <si>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</si>
  <si>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</si>
  <si>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</si>
  <si>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1334012,2334011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</si>
  <si>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</si>
  <si>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</si>
  <si>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</si>
  <si>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</si>
  <si>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</si>
  <si>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</si>
  <si>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</si>
  <si>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</si>
  <si>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</si>
  <si>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</si>
  <si>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</si>
  <si>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</si>
  <si>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1326012,2326012</t>
  </si>
  <si>
    <t>1332002,2332002</t>
  </si>
  <si>
    <t>1334012,2334012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</si>
  <si>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</si>
  <si>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</si>
  <si>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</si>
  <si>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</si>
  <si>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</si>
  <si>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</si>
  <si>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</si>
  <si>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DATA_Hero5_Name1</t>
  </si>
  <si>
    <t>DATA_Hero5_Title1</t>
  </si>
  <si>
    <t>战士0_55_1</t>
  </si>
  <si>
    <t>新普攻粒子/水锻造大师普通攻击</t>
  </si>
  <si>
    <t>1512001,2512001,3512001</t>
  </si>
  <si>
    <t>1,3,4</t>
  </si>
  <si>
    <t>DATA_Hero5_Name2</t>
  </si>
  <si>
    <t>DATA_Hero5_Title2</t>
  </si>
  <si>
    <t>战士1_55_1</t>
  </si>
  <si>
    <t>1512011,2512011,3512011</t>
  </si>
  <si>
    <t>DATA_Hero5_Name3</t>
  </si>
  <si>
    <t>DATA_Hero5_Title3</t>
  </si>
  <si>
    <t>战士2_55_1</t>
  </si>
  <si>
    <t>新普攻粒子/水皇家枪卫普通攻击</t>
  </si>
  <si>
    <t>1512021,2512021,3512021</t>
  </si>
  <si>
    <t>DATA_Hero5_Name4</t>
  </si>
  <si>
    <t>DATA_Hero5_Title4</t>
  </si>
  <si>
    <t>刺客1_55_1</t>
  </si>
  <si>
    <t>新普攻粒子/水皇家刺客普通攻击</t>
  </si>
  <si>
    <t>1513011,2513011,3513011</t>
  </si>
  <si>
    <t>DATA_Hero5_Name5</t>
  </si>
  <si>
    <t>DATA_Hero5_Title5</t>
  </si>
  <si>
    <t>法师1_55_1</t>
  </si>
  <si>
    <t>1514011,2514011,3514011</t>
  </si>
  <si>
    <t>DATA_Hero5_Name6</t>
  </si>
  <si>
    <t>DATA_Hero5_Title6</t>
  </si>
  <si>
    <t>法师2_55_1</t>
  </si>
  <si>
    <t>1514021,2514021,3514021</t>
  </si>
  <si>
    <t>DATA_Hero5_Name7</t>
  </si>
  <si>
    <t>DATA_Hero5_Title7</t>
  </si>
  <si>
    <t>游侠0_55_1</t>
  </si>
  <si>
    <t>1515001,2515001,3515001</t>
  </si>
  <si>
    <t>DATA_Hero5_Name8</t>
  </si>
  <si>
    <t>DATA_Hero5_Title8</t>
  </si>
  <si>
    <t>游侠2_55_1</t>
  </si>
  <si>
    <t>1515021,2515021,3515021</t>
  </si>
  <si>
    <t>DATA_Hero5_Name9</t>
  </si>
  <si>
    <t>DATA_Hero5_Title9</t>
  </si>
  <si>
    <t>牧师1_55_1</t>
  </si>
  <si>
    <t>1516011,2516011,3516011</t>
  </si>
  <si>
    <t>DATA_Hero5_Name10</t>
  </si>
  <si>
    <t>DATA_Hero5_Title10</t>
  </si>
  <si>
    <t>战士0_55_2</t>
  </si>
  <si>
    <t>新普攻粒子/火无情刀客普通攻击</t>
  </si>
  <si>
    <t>1522001,2522001,3522001</t>
  </si>
  <si>
    <t>DATA_Hero5_Name11</t>
  </si>
  <si>
    <t>DATA_Hero5_Title11</t>
  </si>
  <si>
    <t>战士1_55_2</t>
  </si>
  <si>
    <t>新普攻粒子/美猴王普通攻击</t>
  </si>
  <si>
    <t>1522011,2522011,3522011</t>
  </si>
  <si>
    <t>DATA_Hero5_Name12</t>
  </si>
  <si>
    <t>DATA_Hero5_Title12</t>
  </si>
  <si>
    <t>战士2_55_2</t>
  </si>
  <si>
    <t>1522021,2522021,3522021</t>
  </si>
  <si>
    <t>DATA_Hero5_Name13</t>
  </si>
  <si>
    <t>DATA_Hero5_Title13</t>
  </si>
  <si>
    <t>刺客1_55_2</t>
  </si>
  <si>
    <t>1523011,2523011,3523011</t>
  </si>
  <si>
    <t>DATA_Hero5_Name14</t>
  </si>
  <si>
    <t>DATA_Hero5_Title14</t>
  </si>
  <si>
    <t>法师1_55_2</t>
  </si>
  <si>
    <t>1524011,2524011,3524011</t>
  </si>
  <si>
    <t>DATA_Hero5_Name15</t>
  </si>
  <si>
    <t>DATA_Hero5_Title15</t>
  </si>
  <si>
    <t>法师2_55_2</t>
  </si>
  <si>
    <t>1524021,2524021,3524021</t>
  </si>
  <si>
    <t>DATA_Hero5_Name16</t>
  </si>
  <si>
    <t>DATA_Hero5_Title16</t>
  </si>
  <si>
    <t>游侠0_55_2</t>
  </si>
  <si>
    <t>新普攻粒子/女枪普通攻击</t>
  </si>
  <si>
    <t>1525001,2525001,3525001</t>
  </si>
  <si>
    <t>DATA_Hero5_Name17</t>
  </si>
  <si>
    <t>DATA_Hero5_Title17</t>
  </si>
  <si>
    <t>游侠2_55_2</t>
  </si>
  <si>
    <t>1525021,2525021,3525021</t>
  </si>
  <si>
    <t>DATA_Hero5_Name18</t>
  </si>
  <si>
    <t>DATA_Hero5_Title18</t>
  </si>
  <si>
    <t>牧师1_55_2</t>
  </si>
  <si>
    <t>新普攻粒子/大主教普通攻击</t>
  </si>
  <si>
    <t>1526011,2526011,3526011</t>
  </si>
  <si>
    <t>DATA_Hero5_Name19</t>
  </si>
  <si>
    <t>DATA_Hero5_Title19</t>
  </si>
  <si>
    <t>战士0_55_3</t>
  </si>
  <si>
    <t>1532001,2532001,3532001</t>
  </si>
  <si>
    <t>DATA_Hero5_Name20</t>
  </si>
  <si>
    <t>DATA_Hero5_Title20</t>
  </si>
  <si>
    <t>战士1_55_3</t>
  </si>
  <si>
    <t>1532011,2532011,3532011</t>
  </si>
  <si>
    <t>DATA_Hero5_Name21</t>
  </si>
  <si>
    <t>DATA_Hero5_Title21</t>
  </si>
  <si>
    <t>战士2_55_3</t>
  </si>
  <si>
    <t>新普攻粒子/木精灵盗贼普通攻击</t>
  </si>
  <si>
    <t>1532021,2532021,3532021</t>
  </si>
  <si>
    <t>DATA_Hero5_Name22</t>
  </si>
  <si>
    <t>DATA_Hero5_Title22</t>
  </si>
  <si>
    <t>刺客1_55_3</t>
  </si>
  <si>
    <t>1533011,2533011,3533011</t>
  </si>
  <si>
    <t>DATA_Hero5_Name23</t>
  </si>
  <si>
    <t>DATA_Hero5_Title23</t>
  </si>
  <si>
    <t>法师1_55_3</t>
  </si>
  <si>
    <t>1534011,2534011,3534011</t>
  </si>
  <si>
    <t>DATA_Hero5_Name24</t>
  </si>
  <si>
    <t>DATA_Hero5_Title24</t>
  </si>
  <si>
    <t>法师2_55_3</t>
  </si>
  <si>
    <t>新普攻粒子/木法师普通攻击</t>
  </si>
  <si>
    <t>1534021,2534021,3534021</t>
  </si>
  <si>
    <t>DATA_Hero5_Name25</t>
  </si>
  <si>
    <t>DATA_Hero5_Title25</t>
  </si>
  <si>
    <t>游侠0_55_3</t>
  </si>
  <si>
    <t>1535001,2535001,3535001</t>
  </si>
  <si>
    <t>DATA_Hero5_Name26</t>
  </si>
  <si>
    <t>DATA_Hero5_Title26</t>
  </si>
  <si>
    <t>游侠2_55_3</t>
  </si>
  <si>
    <t>新普攻粒子/木丛林猎人普通攻击</t>
  </si>
  <si>
    <t>1535021,2535021,3535021</t>
  </si>
  <si>
    <t>DATA_Hero5_Name27</t>
  </si>
  <si>
    <t>DATA_Hero5_Title27</t>
  </si>
  <si>
    <t>牧师1_55_3</t>
  </si>
  <si>
    <t>1536011,2536011,3536011</t>
  </si>
  <si>
    <t>DATA_Hero5_Name28</t>
  </si>
  <si>
    <t>DATA_Hero5_Title28</t>
  </si>
  <si>
    <t>战士1_55_4</t>
  </si>
  <si>
    <t>1542011,2542011,3542011</t>
  </si>
  <si>
    <t>DATA_Hero5_Name29</t>
  </si>
  <si>
    <t>DATA_Hero5_Title29</t>
  </si>
  <si>
    <t>刺客2_55_4</t>
  </si>
  <si>
    <t>新普攻粒子/镰刀刺客普通攻击</t>
  </si>
  <si>
    <t>1543021,2543021,3543021</t>
  </si>
  <si>
    <t>DATA_Hero5_Name30</t>
  </si>
  <si>
    <t>DATA_Hero5_Title30</t>
  </si>
  <si>
    <t>游侠1_55_4</t>
  </si>
  <si>
    <t>1545011,2545011,3545011</t>
  </si>
  <si>
    <t>DATA_Hero5_Name31</t>
  </si>
  <si>
    <t>DATA_Hero5_Title31</t>
  </si>
  <si>
    <t>牧师0_55_4</t>
  </si>
  <si>
    <t>1546001,2546001,3546001</t>
  </si>
  <si>
    <t>DATA_Hero5_Name32</t>
  </si>
  <si>
    <t>DATA_Hero5_Title32</t>
  </si>
  <si>
    <t>牧师2_55_4</t>
  </si>
  <si>
    <t>1546021,2546021,3546021</t>
  </si>
  <si>
    <t>DATA_Hero5_Name33</t>
  </si>
  <si>
    <t>DATA_Hero5_Title33</t>
  </si>
  <si>
    <t>战士2_55_5</t>
  </si>
  <si>
    <t>新普攻粒子/骷髅王普通攻击</t>
  </si>
  <si>
    <t>1552021,2552021,3552021</t>
  </si>
  <si>
    <t>DATA_Hero5_Name34</t>
  </si>
  <si>
    <t>DATA_Hero5_Title34</t>
  </si>
  <si>
    <t>刺客0_55_5</t>
  </si>
  <si>
    <t>新普攻粒子/暗影武士普通攻击</t>
  </si>
  <si>
    <t>1553001,2553001,3553001</t>
  </si>
  <si>
    <t>DATA_Hero5_Name35</t>
  </si>
  <si>
    <t>DATA_Hero5_Title35</t>
  </si>
  <si>
    <t>刺客2_55_5</t>
  </si>
  <si>
    <t>1553021,2553021,3553021</t>
  </si>
  <si>
    <t>DATA_Hero5_Name36</t>
  </si>
  <si>
    <t>DATA_Hero5_Title36</t>
  </si>
  <si>
    <t>法师0_55_5</t>
  </si>
  <si>
    <t>1554001,2554001,3554001</t>
  </si>
  <si>
    <t>DATA_Hero5_Name37</t>
  </si>
  <si>
    <t>DATA_Hero5_Title37</t>
  </si>
  <si>
    <t>游侠1_55_5</t>
  </si>
  <si>
    <t>新普攻粒子/暗夜游侠普通攻击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</si>
  <si>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</si>
  <si>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</si>
  <si>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</si>
  <si>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</si>
  <si>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</si>
  <si>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</si>
  <si>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</si>
  <si>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</si>
  <si>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</si>
  <si>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</si>
  <si>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</si>
  <si>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</si>
  <si>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</si>
  <si>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</si>
  <si>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</si>
  <si>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</si>
  <si>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</si>
  <si>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</si>
  <si>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</si>
  <si>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</si>
  <si>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</si>
  <si>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</si>
  <si>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</si>
  <si>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</si>
  <si>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</si>
  <si>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</si>
  <si>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</si>
  <si>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</si>
  <si>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</si>
  <si>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</si>
  <si>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</si>
  <si>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</si>
  <si>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</si>
  <si>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</si>
  <si>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</si>
  <si>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</si>
  <si>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</si>
  <si>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</si>
  <si>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</si>
  <si>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</si>
  <si>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</si>
  <si>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</si>
  <si>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</si>
  <si>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</si>
  <si>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</si>
  <si>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</si>
  <si>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</si>
  <si>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</si>
  <si>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</si>
  <si>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</si>
  <si>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</si>
  <si>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</si>
  <si>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</si>
  <si>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</si>
  <si>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</si>
  <si>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</si>
  <si>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</si>
  <si>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</si>
  <si>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</si>
  <si>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</si>
  <si>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</si>
  <si>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</si>
  <si>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</si>
  <si>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</si>
  <si>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</si>
  <si>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</si>
  <si>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</si>
  <si>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</si>
  <si>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</si>
  <si>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</si>
  <si>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</si>
  <si>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</si>
  <si>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</si>
  <si>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</si>
  <si>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</si>
  <si>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</si>
  <si>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</si>
  <si>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</si>
  <si>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</si>
  <si>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</si>
  <si>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</si>
  <si>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</si>
  <si>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</si>
  <si>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</si>
  <si>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</si>
  <si>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</si>
  <si>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</si>
  <si>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</si>
  <si>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</si>
  <si>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</si>
  <si>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</si>
  <si>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</si>
  <si>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</si>
  <si>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</si>
  <si>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</si>
  <si>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</si>
  <si>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</si>
  <si>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</si>
  <si>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</si>
  <si>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</si>
  <si>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</si>
  <si>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</si>
  <si>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</si>
  <si>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</si>
  <si>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</si>
  <si>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</si>
  <si>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</si>
  <si>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</si>
  <si>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</si>
  <si>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</si>
  <si>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</si>
  <si>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</si>
  <si>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</si>
  <si>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</si>
  <si>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</si>
  <si>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</si>
  <si>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</si>
  <si>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</si>
  <si>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</si>
  <si>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</si>
  <si>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</si>
  <si>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</si>
  <si>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</si>
  <si>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</si>
  <si>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</si>
  <si>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</si>
  <si>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</si>
  <si>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</si>
  <si>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</si>
  <si>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</si>
  <si>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</si>
  <si>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</si>
  <si>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</si>
  <si>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</si>
  <si>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</si>
  <si>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</si>
  <si>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</si>
  <si>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</si>
  <si>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</si>
  <si>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</si>
  <si>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</si>
  <si>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</si>
  <si>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</si>
  <si>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</si>
  <si>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</si>
  <si>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</si>
  <si>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</si>
  <si>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</si>
  <si>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</si>
  <si>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</si>
  <si>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</si>
  <si>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</si>
  <si>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</si>
  <si>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</si>
  <si>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</si>
  <si>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</si>
  <si>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</si>
  <si>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</si>
  <si>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</si>
  <si>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</si>
  <si>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</si>
  <si>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</si>
  <si>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</si>
  <si>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</si>
  <si>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</si>
  <si>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</si>
  <si>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</si>
  <si>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</si>
  <si>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</si>
  <si>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</si>
  <si>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</si>
  <si>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</si>
  <si>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</si>
  <si>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</si>
  <si>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</si>
  <si>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</si>
  <si>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</si>
  <si>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</si>
  <si>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</si>
  <si>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</si>
  <si>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</si>
  <si>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</si>
  <si>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</si>
  <si>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</si>
  <si>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</si>
  <si>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</si>
  <si>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book_offsetX</t>
  </si>
  <si>
    <t>book_offsetY</t>
  </si>
  <si>
    <t>鉴中的偏移X</t>
  </si>
  <si>
    <t>图鉴中的偏移Y</t>
  </si>
  <si>
    <t>111,211,311</t>
  </si>
  <si>
    <t>0,0,0</t>
  </si>
  <si>
    <t>职业+阵营编号</t>
  </si>
  <si>
    <t>大雪山</t>
  </si>
  <si>
    <t>罗德里克</t>
  </si>
  <si>
    <t>蓝颜料骑士</t>
  </si>
  <si>
    <t>山姆</t>
  </si>
  <si>
    <t>蓝水晶</t>
  </si>
  <si>
    <t>苏珊</t>
  </si>
  <si>
    <t>水鬼</t>
  </si>
  <si>
    <t>杜瓦</t>
  </si>
  <si>
    <t>大师</t>
  </si>
  <si>
    <t>巴恩斯</t>
  </si>
  <si>
    <t>深冬之吼</t>
  </si>
  <si>
    <t>泰格</t>
  </si>
  <si>
    <t>铁钩船长</t>
  </si>
  <si>
    <t>瓦洛</t>
  </si>
  <si>
    <t>冰原狼</t>
  </si>
  <si>
    <t>莱克恩</t>
  </si>
  <si>
    <t>施水者</t>
  </si>
  <si>
    <t>弗瑞丝</t>
  </si>
  <si>
    <t>灰烬</t>
  </si>
  <si>
    <t>阿尔古</t>
  </si>
  <si>
    <t>孙悟空</t>
  </si>
  <si>
    <t>维京美人</t>
  </si>
  <si>
    <t>丹妮</t>
  </si>
  <si>
    <t>假面</t>
  </si>
  <si>
    <t>胡里奥</t>
  </si>
  <si>
    <t>烈火</t>
  </si>
  <si>
    <t>帕德林</t>
  </si>
  <si>
    <t>调皮的</t>
  </si>
  <si>
    <t>乌拉娅</t>
  </si>
  <si>
    <t>火爆双枪</t>
  </si>
  <si>
    <t>卡特琳娜</t>
  </si>
  <si>
    <t>火药桶</t>
  </si>
  <si>
    <t>胡伦特</t>
  </si>
  <si>
    <t>红衣主教</t>
  </si>
  <si>
    <t>耶苏斯</t>
  </si>
  <si>
    <t>罗列</t>
  </si>
  <si>
    <t>剑圣</t>
  </si>
  <si>
    <t>地狱咆哮</t>
  </si>
  <si>
    <t>橡木槌</t>
  </si>
  <si>
    <t>洛琳</t>
  </si>
  <si>
    <t>巡林者</t>
  </si>
  <si>
    <t>曼森</t>
  </si>
  <si>
    <t>苦叶</t>
  </si>
  <si>
    <t>格罗尼</t>
  </si>
  <si>
    <t>龙女</t>
  </si>
  <si>
    <t>瑟莱莎</t>
  </si>
  <si>
    <t>胡桃夹子</t>
  </si>
  <si>
    <t>费舍尔</t>
  </si>
  <si>
    <t>夜游神</t>
  </si>
  <si>
    <t>李特尔</t>
  </si>
  <si>
    <t>2</t>
  </si>
  <si>
    <t>圣洁者</t>
  </si>
  <si>
    <t>玛蒂</t>
  </si>
  <si>
    <t>帝国之盾</t>
  </si>
  <si>
    <t>苏利文</t>
  </si>
  <si>
    <t>戏命师</t>
  </si>
  <si>
    <t>哈利</t>
  </si>
  <si>
    <t>金树叶</t>
  </si>
  <si>
    <t>艾利文</t>
  </si>
  <si>
    <t>潘布</t>
  </si>
  <si>
    <t>凯东</t>
  </si>
  <si>
    <t>里奥瑞特</t>
  </si>
  <si>
    <t>半盏</t>
  </si>
  <si>
    <t>雾隐浩辅</t>
  </si>
  <si>
    <t>毒刺</t>
  </si>
  <si>
    <t>巴多斯</t>
  </si>
  <si>
    <t>黑沙</t>
  </si>
  <si>
    <t>赛瓦迪</t>
  </si>
  <si>
    <t>月夜公主</t>
  </si>
  <si>
    <t>露娜</t>
  </si>
  <si>
    <t>2,4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</si>
  <si>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,4,5</t>
    </r>
  </si>
  <si>
    <t>随从天赋</t>
  </si>
  <si>
    <t>防御系数</t>
  </si>
  <si>
    <t>鸟人法师_1</t>
  </si>
  <si>
    <t>怪_骷髅战士_1</t>
  </si>
  <si>
    <t>骷髅战士_1</t>
  </si>
  <si>
    <t>怪_趴趴熊_2</t>
  </si>
  <si>
    <t>趴趴熊_2</t>
  </si>
  <si>
    <t>怪_史莱姆_2</t>
  </si>
  <si>
    <t>史莱母_2</t>
  </si>
  <si>
    <t>怪_血族战士_2</t>
  </si>
  <si>
    <t>血族战士_2</t>
  </si>
  <si>
    <t>怪_兽人战士_3</t>
  </si>
  <si>
    <t>兽人战士_3</t>
  </si>
  <si>
    <t>怪_兽人萨满_3</t>
  </si>
  <si>
    <t>兽人法师_3</t>
  </si>
  <si>
    <t>狼人_3</t>
  </si>
  <si>
    <t>怪_狼人_1</t>
  </si>
  <si>
    <t>狼人_1</t>
  </si>
  <si>
    <t>221001</t>
  </si>
  <si>
    <t>初级战士</t>
  </si>
  <si>
    <t>战士1_33_1</t>
  </si>
  <si>
    <t>221002</t>
  </si>
  <si>
    <t>战士1</t>
  </si>
  <si>
    <t>怪_树人_1</t>
  </si>
  <si>
    <t>树人_1</t>
  </si>
  <si>
    <t>221003</t>
  </si>
  <si>
    <t>怪_骷髅法师_1</t>
  </si>
  <si>
    <t>骷髅法师_1</t>
  </si>
  <si>
    <t>新普攻粒子/骷髅法师普通攻击</t>
  </si>
  <si>
    <t>221004</t>
  </si>
  <si>
    <t>见习忍者</t>
  </si>
  <si>
    <t>221005</t>
  </si>
  <si>
    <t>刺客1</t>
  </si>
  <si>
    <t>怪_兽人萨满_2</t>
  </si>
  <si>
    <t>兽人法师_2</t>
  </si>
  <si>
    <t>221006</t>
  </si>
  <si>
    <t>初级弓箭手</t>
  </si>
  <si>
    <t>怪_树人_2</t>
  </si>
  <si>
    <t>树人_2</t>
  </si>
  <si>
    <t>221007</t>
  </si>
  <si>
    <t>骑兵</t>
  </si>
  <si>
    <t>怪_血族法师_2</t>
  </si>
  <si>
    <t>血族法师_2</t>
  </si>
  <si>
    <t>221008</t>
  </si>
  <si>
    <t>剑士</t>
  </si>
  <si>
    <t>怪_鸟人战士_3</t>
  </si>
  <si>
    <t>鸟人战士_3</t>
  </si>
  <si>
    <t>221009</t>
  </si>
  <si>
    <t>魔法学徒</t>
  </si>
  <si>
    <t>怪_鸟人法师_3</t>
  </si>
  <si>
    <t>鸟人法师_3</t>
  </si>
  <si>
    <t>221010</t>
  </si>
  <si>
    <t>海盗</t>
  </si>
  <si>
    <t>221011</t>
  </si>
  <si>
    <t>游侠1</t>
  </si>
  <si>
    <t>修女</t>
  </si>
  <si>
    <t>怪_树人_3</t>
  </si>
  <si>
    <t>树人_3</t>
  </si>
  <si>
    <t>221012</t>
  </si>
  <si>
    <t>331001</t>
  </si>
  <si>
    <t>331002</t>
  </si>
  <si>
    <t>331003</t>
  </si>
  <si>
    <t>法师1</t>
  </si>
  <si>
    <t>游侠0_33_1</t>
  </si>
  <si>
    <t>331004</t>
  </si>
  <si>
    <t>游侠0</t>
  </si>
  <si>
    <t>学士</t>
  </si>
  <si>
    <t>牧师1_33_1</t>
  </si>
  <si>
    <t>331005</t>
  </si>
  <si>
    <t>牧师1</t>
  </si>
  <si>
    <t>维京武士</t>
  </si>
  <si>
    <t>战士0_33_2</t>
  </si>
  <si>
    <t>331006</t>
  </si>
  <si>
    <t>战士0</t>
  </si>
  <si>
    <t>部落杀手</t>
  </si>
  <si>
    <t>331007</t>
  </si>
  <si>
    <t>刺客0</t>
  </si>
  <si>
    <t>巫师</t>
  </si>
  <si>
    <t>法师2_33_2</t>
  </si>
  <si>
    <t>331008</t>
  </si>
  <si>
    <t>法师2</t>
  </si>
  <si>
    <t>游侠2_33_2</t>
  </si>
  <si>
    <t>331009</t>
  </si>
  <si>
    <t>游侠2</t>
  </si>
  <si>
    <t>剑客</t>
  </si>
  <si>
    <t>牧师2_33_2</t>
  </si>
  <si>
    <t>331010</t>
  </si>
  <si>
    <t>牧师2</t>
  </si>
  <si>
    <t>战士2_33_3</t>
  </si>
  <si>
    <t>331011</t>
  </si>
  <si>
    <t>战士2</t>
  </si>
  <si>
    <t>331012</t>
  </si>
  <si>
    <t>刺客2</t>
  </si>
  <si>
    <t>法师0_33_3</t>
  </si>
  <si>
    <t>331013</t>
  </si>
  <si>
    <t>法师0</t>
  </si>
  <si>
    <t>331014</t>
  </si>
  <si>
    <t>牧师2_33_3</t>
  </si>
  <si>
    <t>331015</t>
  </si>
  <si>
    <t>牧师0</t>
  </si>
  <si>
    <t>战士1_33_4</t>
  </si>
  <si>
    <t>331016</t>
  </si>
  <si>
    <t>免伤率=护甲*等级*免伤系数</t>
  </si>
  <si>
    <t>游侠</t>
  </si>
  <si>
    <t>刺客1_33_4</t>
  </si>
  <si>
    <t>331017</t>
  </si>
  <si>
    <t>法师2_33_4</t>
  </si>
  <si>
    <t>331018</t>
  </si>
  <si>
    <t>刀侠</t>
  </si>
  <si>
    <t>游侠2_33_4</t>
  </si>
  <si>
    <t>331019</t>
  </si>
  <si>
    <t>牧师1_33_4</t>
  </si>
  <si>
    <t>331020</t>
  </si>
  <si>
    <t>猎人</t>
  </si>
  <si>
    <t>战士2_33_5</t>
  </si>
  <si>
    <t>331021</t>
  </si>
  <si>
    <t>学者</t>
  </si>
  <si>
    <t>刺客2_33_5</t>
  </si>
  <si>
    <t>331022</t>
  </si>
  <si>
    <t>DATA_Class_Base43</t>
  </si>
  <si>
    <t>盗贼</t>
  </si>
  <si>
    <t>法师0_33_5</t>
  </si>
  <si>
    <t>331023</t>
  </si>
  <si>
    <t>DATA_Class_Base44</t>
  </si>
  <si>
    <t>游侠0_33_5</t>
  </si>
  <si>
    <t>331024</t>
  </si>
  <si>
    <t>DATA_Class_Base45</t>
  </si>
  <si>
    <t>武僧</t>
  </si>
  <si>
    <t>牧师1_33_5</t>
  </si>
  <si>
    <t>331025</t>
  </si>
  <si>
    <t>DATA_Class_Base46</t>
  </si>
  <si>
    <t>刀狂</t>
  </si>
  <si>
    <t>战士1_44_1</t>
  </si>
  <si>
    <t>441001,442001</t>
  </si>
  <si>
    <t>DATA_Class_Base47</t>
  </si>
  <si>
    <t>刺客0_44_1</t>
  </si>
  <si>
    <t>441002,442002</t>
  </si>
  <si>
    <t>DATA_Class_Base48</t>
  </si>
  <si>
    <t>法师1_44_1</t>
  </si>
  <si>
    <t>441003,442003</t>
  </si>
  <si>
    <t>DATA_Class_Base49</t>
  </si>
  <si>
    <t>游侠0_44_1</t>
  </si>
  <si>
    <t>441004,442004</t>
  </si>
  <si>
    <t>DATA_Class_Base50</t>
  </si>
  <si>
    <t>牧师1_44_1</t>
  </si>
  <si>
    <t>441005,442005</t>
  </si>
  <si>
    <t>DATA_Class_Base51</t>
  </si>
  <si>
    <t>魔法圣女</t>
  </si>
  <si>
    <t>刺客1_44_1</t>
  </si>
  <si>
    <t>441006,442006</t>
  </si>
  <si>
    <t>DATA_Class_Base52</t>
  </si>
  <si>
    <t>游侠1_44_1</t>
  </si>
  <si>
    <t>441007,442007</t>
  </si>
  <si>
    <t>DATA_Class_Base53</t>
  </si>
  <si>
    <t>战士2_44_1</t>
  </si>
  <si>
    <t>441008,442008</t>
  </si>
  <si>
    <t>DATA_Class_Base54</t>
  </si>
  <si>
    <t>战士0_44_2</t>
  </si>
  <si>
    <t>441009,442009</t>
  </si>
  <si>
    <t>DATA_Class_Base55</t>
  </si>
  <si>
    <t>刺客0_44_2</t>
  </si>
  <si>
    <t>441010,442010</t>
  </si>
  <si>
    <t>DATA_Class_Base56</t>
  </si>
  <si>
    <t>法师2_44_2</t>
  </si>
  <si>
    <t>441011,442011</t>
  </si>
  <si>
    <t>DATA_Class_Base57</t>
  </si>
  <si>
    <t>祭祀</t>
  </si>
  <si>
    <t>游侠2_44_2</t>
  </si>
  <si>
    <t>441012,442012</t>
  </si>
  <si>
    <t>DATA_Class_Base58</t>
  </si>
  <si>
    <t>牧师2_44_2</t>
  </si>
  <si>
    <t>441013,442013</t>
  </si>
  <si>
    <t>DATA_Class_Base59</t>
  </si>
  <si>
    <t>牧师1_44_2</t>
  </si>
  <si>
    <t>441014,442014</t>
  </si>
  <si>
    <t>DATA_Class_Base60</t>
  </si>
  <si>
    <t>游侠0_44_2</t>
  </si>
  <si>
    <t>441015,442015</t>
  </si>
  <si>
    <t>刺客1_44_2</t>
  </si>
  <si>
    <t>441016,442016</t>
  </si>
  <si>
    <t>战士2_44_3</t>
  </si>
  <si>
    <t>441017,442017</t>
  </si>
  <si>
    <t>刺客2_44_3</t>
  </si>
  <si>
    <t>441018,442018</t>
  </si>
  <si>
    <t>法师0_44_3</t>
  </si>
  <si>
    <t>441019,442019</t>
  </si>
  <si>
    <t>游侠1_44_3</t>
  </si>
  <si>
    <t>441020,442020</t>
  </si>
  <si>
    <t>牧师0_44_3</t>
  </si>
  <si>
    <t>441021,442021</t>
  </si>
  <si>
    <t>战士1_44_3</t>
  </si>
  <si>
    <t>441022,442022</t>
  </si>
  <si>
    <t>游侠2_44_3</t>
  </si>
  <si>
    <t>441023,442023</t>
  </si>
  <si>
    <t>法师1_44_3</t>
  </si>
  <si>
    <t>441024,442024</t>
  </si>
  <si>
    <t>战士1_44_4</t>
  </si>
  <si>
    <t>441025,442025</t>
  </si>
  <si>
    <t>刺客1_44_4</t>
  </si>
  <si>
    <t>441026,442026</t>
  </si>
  <si>
    <t>法师1_44_4</t>
  </si>
  <si>
    <t>441027,442027</t>
  </si>
  <si>
    <t>游侠1_44_4</t>
  </si>
  <si>
    <t>441028,442028</t>
  </si>
  <si>
    <t>牧师1_44_4</t>
  </si>
  <si>
    <t>441029,442029</t>
  </si>
  <si>
    <t>游侠2_44_4</t>
  </si>
  <si>
    <t>441030,442030</t>
  </si>
  <si>
    <t>牧师0_44_4</t>
  </si>
  <si>
    <t>441031,442031</t>
  </si>
  <si>
    <t>400%-（1.5-攻速）*100%</t>
  </si>
  <si>
    <t>战士0_44_4</t>
  </si>
  <si>
    <t>441032,442032</t>
  </si>
  <si>
    <t>（100%-（1.5-攻速）*100%）*4</t>
  </si>
  <si>
    <t>战士2_44_5</t>
  </si>
  <si>
    <t>441033,442033</t>
  </si>
  <si>
    <t>刺客2_44_5</t>
  </si>
  <si>
    <t>441034,442034</t>
  </si>
  <si>
    <t>法师0_44_5</t>
  </si>
  <si>
    <t>441035,442035</t>
  </si>
  <si>
    <t>攻系数</t>
  </si>
  <si>
    <t>血系数</t>
  </si>
  <si>
    <t>防系数</t>
  </si>
  <si>
    <t>施法</t>
  </si>
  <si>
    <t>普攻</t>
  </si>
  <si>
    <t>技能</t>
  </si>
  <si>
    <t>每秒100%</t>
  </si>
  <si>
    <t>游侠0_44_5</t>
  </si>
  <si>
    <t>441036,442036</t>
  </si>
  <si>
    <t>总伤害</t>
  </si>
  <si>
    <t>牧师2_44_5</t>
  </si>
  <si>
    <t>441037,442037</t>
  </si>
  <si>
    <t>刺客1_44_5</t>
  </si>
  <si>
    <t>441038,442038</t>
  </si>
  <si>
    <t>游侠2_44_5</t>
  </si>
  <si>
    <t>441039,442039</t>
  </si>
  <si>
    <t>战士1_44_5</t>
  </si>
  <si>
    <t>441040,442040</t>
  </si>
  <si>
    <t>战士1_45_1</t>
  </si>
  <si>
    <t>3,5</t>
  </si>
  <si>
    <t>刺客0_45_1</t>
  </si>
  <si>
    <t>法师1_45_1</t>
  </si>
  <si>
    <t>游侠0_45_1</t>
  </si>
  <si>
    <t>牧师1_45_1</t>
  </si>
  <si>
    <t>刺客1_45_1</t>
  </si>
  <si>
    <t>4次攻击</t>
  </si>
  <si>
    <t>技能时间</t>
  </si>
  <si>
    <t>游侠1_45_1</t>
  </si>
  <si>
    <t>6秒</t>
  </si>
  <si>
    <t>2秒</t>
  </si>
  <si>
    <t>1.5秒</t>
  </si>
  <si>
    <t>基础攻速</t>
  </si>
  <si>
    <t>战士2_45_1</t>
  </si>
  <si>
    <t>权值</t>
  </si>
  <si>
    <t>单个权值</t>
  </si>
  <si>
    <t>基础施法速度</t>
  </si>
  <si>
    <t>战士0_45_2</t>
  </si>
  <si>
    <t>总</t>
  </si>
  <si>
    <t>刺客0_45_2</t>
  </si>
  <si>
    <t>水</t>
  </si>
  <si>
    <r>
      <rPr>
        <sz val="11"/>
        <color theme="1"/>
        <rFont val="宋体"/>
        <family val="3"/>
        <charset val="134"/>
        <scheme val="minor"/>
      </rPr>
      <t>400%-（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-施法时间）*100%</t>
    </r>
  </si>
  <si>
    <t>伤害</t>
  </si>
  <si>
    <t>法师2_45_2</t>
  </si>
  <si>
    <t>火</t>
  </si>
  <si>
    <t>时间</t>
  </si>
  <si>
    <t>游侠2_45_2</t>
  </si>
  <si>
    <t>木</t>
  </si>
  <si>
    <t>牧师2_45_2</t>
  </si>
  <si>
    <t>光</t>
  </si>
  <si>
    <r>
      <rPr>
        <sz val="11"/>
        <color theme="1"/>
        <rFont val="宋体"/>
        <family val="3"/>
        <charset val="134"/>
        <scheme val="minor"/>
      </rPr>
      <t>7</t>
    </r>
    <r>
      <rPr>
        <sz val="11"/>
        <color theme="1"/>
        <rFont val="宋体"/>
        <family val="3"/>
        <charset val="134"/>
        <scheme val="minor"/>
      </rPr>
      <t>50/7.5</t>
    </r>
  </si>
  <si>
    <t>牧师1_45_2</t>
  </si>
  <si>
    <t>暗</t>
  </si>
  <si>
    <t>游侠0_45_2</t>
  </si>
  <si>
    <t>刺客1_45_2</t>
  </si>
  <si>
    <t>战士2_45_3</t>
  </si>
  <si>
    <t>刺客2_45_3</t>
  </si>
  <si>
    <t>法师0_45_3</t>
  </si>
  <si>
    <t>游侠1_45_3</t>
  </si>
  <si>
    <t>牧师0_45_3</t>
  </si>
  <si>
    <t>战士1_45_3</t>
  </si>
  <si>
    <t>游侠2_45_3</t>
  </si>
  <si>
    <t>法师1_45_3</t>
  </si>
  <si>
    <t>战士1_45_4</t>
  </si>
  <si>
    <t>104+N</t>
  </si>
  <si>
    <r>
      <rPr>
        <sz val="11"/>
        <color theme="1"/>
        <rFont val="宋体"/>
        <family val="3"/>
        <charset val="134"/>
        <scheme val="minor"/>
      </rPr>
      <t>120</t>
    </r>
    <r>
      <rPr>
        <sz val="11"/>
        <color theme="1"/>
        <rFont val="宋体"/>
        <family val="3"/>
        <charset val="134"/>
        <scheme val="minor"/>
      </rPr>
      <t>+N</t>
    </r>
  </si>
  <si>
    <t>刺客1_45_4</t>
  </si>
  <si>
    <t>法师1_45_4</t>
  </si>
  <si>
    <t>游侠1_45_4</t>
  </si>
  <si>
    <t>牧师1_45_4</t>
  </si>
  <si>
    <t>技能伤害=秒伤*（攻速*4+施法时间）-（攻击力*4）</t>
  </si>
  <si>
    <t>游侠2_45_4</t>
  </si>
  <si>
    <t>攻击力=秒伤*攻速</t>
  </si>
  <si>
    <t>牧师0_45_4</t>
  </si>
  <si>
    <t>战士0_45_4</t>
  </si>
  <si>
    <t>战士2_45_5</t>
  </si>
  <si>
    <t>刺客2_45_5</t>
  </si>
  <si>
    <t>法师0_45_5</t>
  </si>
  <si>
    <t>游侠0_45_5</t>
  </si>
  <si>
    <t>牧师2_45_5</t>
  </si>
  <si>
    <t>刺客1_45_5</t>
  </si>
  <si>
    <t>游侠2_45_5</t>
  </si>
  <si>
    <t>战士1_45_5</t>
  </si>
  <si>
    <t>551001,552001,553001</t>
  </si>
  <si>
    <t>551002,552002,553002</t>
  </si>
  <si>
    <t>刺客0_55_1</t>
  </si>
  <si>
    <t>551003,552003,553003</t>
  </si>
  <si>
    <t>551004,552004,553004</t>
  </si>
  <si>
    <t>551005,552005,553005</t>
  </si>
  <si>
    <t>551006,552006,553006</t>
  </si>
  <si>
    <t>551007,552007,553007</t>
  </si>
  <si>
    <t>游侠1_55_1</t>
  </si>
  <si>
    <t>551008,552008,553008</t>
  </si>
  <si>
    <t>牧师0_55_1</t>
  </si>
  <si>
    <t>551009,552009,553009</t>
  </si>
  <si>
    <t>551010,552010,553010</t>
  </si>
  <si>
    <t>551011,552011,553011</t>
  </si>
  <si>
    <t>551012,552012,553012</t>
  </si>
  <si>
    <t>刺客2_55_2</t>
  </si>
  <si>
    <t>551013,552013,553013</t>
  </si>
  <si>
    <t>刺客0_55_2</t>
  </si>
  <si>
    <t>551014,552014,553014</t>
  </si>
  <si>
    <t>法师0_55_2</t>
  </si>
  <si>
    <t>551015,552015,553015</t>
  </si>
  <si>
    <t>551016,552016,553016</t>
  </si>
  <si>
    <t>551017,552017,553017</t>
  </si>
  <si>
    <t>551018,552018,553018</t>
  </si>
  <si>
    <t>牧师0_55_2</t>
  </si>
  <si>
    <t>551019,552019,553019</t>
  </si>
  <si>
    <t>牧师2_55_2</t>
  </si>
  <si>
    <t>551020,552020,553020</t>
  </si>
  <si>
    <t>551021,552021,553021</t>
  </si>
  <si>
    <t>551022,552022,553022</t>
  </si>
  <si>
    <t>刺客2_55_3</t>
  </si>
  <si>
    <t>551023,552023,553023</t>
  </si>
  <si>
    <t>551024,552024,553024</t>
  </si>
  <si>
    <t>法师0_55_3</t>
  </si>
  <si>
    <t>551025,552025,553025</t>
  </si>
  <si>
    <t>551026,552026,553026</t>
  </si>
  <si>
    <t>游侠1_55_3</t>
  </si>
  <si>
    <t>551027,552027,553027</t>
  </si>
  <si>
    <t>551028,552028,553028</t>
  </si>
  <si>
    <t>牧师0_55_3</t>
  </si>
  <si>
    <t>551029,552029,553029</t>
  </si>
  <si>
    <t>551030,552030,553030</t>
  </si>
  <si>
    <t>战士0_55_4</t>
  </si>
  <si>
    <t>551031,552031,553031</t>
  </si>
  <si>
    <t>551032,552032,553032</t>
  </si>
  <si>
    <t>刺客0_55_4</t>
  </si>
  <si>
    <t>551033,552033,553033</t>
  </si>
  <si>
    <t>刺客1_55_4</t>
  </si>
  <si>
    <t>551034,552034,553034</t>
  </si>
  <si>
    <t>法师1_55_4</t>
  </si>
  <si>
    <t>551035,552035,553035</t>
  </si>
  <si>
    <t>法师2_55_4</t>
  </si>
  <si>
    <t>551036,552036,553036</t>
  </si>
  <si>
    <t>551037,552037,553037</t>
  </si>
  <si>
    <t>游侠2_55_4</t>
  </si>
  <si>
    <t>551038,552038,553038</t>
  </si>
  <si>
    <t>551039,552039,553039</t>
  </si>
  <si>
    <t>牧师1_55_4</t>
  </si>
  <si>
    <t>551040,552040,553040</t>
  </si>
  <si>
    <r>
      <rPr>
        <sz val="11"/>
        <color theme="1"/>
        <rFont val="宋体"/>
        <family val="3"/>
        <charset val="134"/>
        <scheme val="minor"/>
      </rPr>
      <t>战士1_55_</t>
    </r>
    <r>
      <rPr>
        <sz val="11"/>
        <color theme="1"/>
        <rFont val="宋体"/>
        <family val="3"/>
        <charset val="134"/>
        <scheme val="minor"/>
      </rPr>
      <t>5</t>
    </r>
  </si>
  <si>
    <t>551041,552041,553041</t>
  </si>
  <si>
    <t>551042,552042,553042</t>
  </si>
  <si>
    <t>551043,552043,553043</t>
  </si>
  <si>
    <t>刺客1_55_5</t>
  </si>
  <si>
    <t>551044,552044,553044</t>
  </si>
  <si>
    <t>551045,552045,553045</t>
  </si>
  <si>
    <t>法师2_55_5</t>
  </si>
  <si>
    <t>551046,552046,553046</t>
  </si>
  <si>
    <t>游侠0_55_5</t>
  </si>
  <si>
    <t>551047,552047,553047</t>
  </si>
  <si>
    <t>游侠2_55_5</t>
  </si>
  <si>
    <t>551048,552048,553048</t>
  </si>
  <si>
    <t>牧师0_55_5</t>
  </si>
  <si>
    <t>551049,552049,553049</t>
  </si>
  <si>
    <t>牧师2_55_5</t>
  </si>
  <si>
    <t>551050,552050,553050</t>
  </si>
  <si>
    <t>战士0_56_1</t>
  </si>
  <si>
    <t>561001,562001,563001</t>
  </si>
  <si>
    <t>战士1_56_1</t>
  </si>
  <si>
    <t>561002,562002,563002</t>
  </si>
  <si>
    <t>刺客0_56_1</t>
  </si>
  <si>
    <t>561003,562003,563003</t>
  </si>
  <si>
    <t>刺客1_56_1</t>
  </si>
  <si>
    <t>561004,562004,563004</t>
  </si>
  <si>
    <t>法师1_56_1</t>
  </si>
  <si>
    <t>561005,562005,563005</t>
  </si>
  <si>
    <t>法师2_56_1</t>
  </si>
  <si>
    <t>561006,562006,563006</t>
  </si>
  <si>
    <t>游侠0_56_1</t>
  </si>
  <si>
    <t>561007,562007,563007</t>
  </si>
  <si>
    <t>游侠1_56_1</t>
  </si>
  <si>
    <t>561008,562008,563008</t>
  </si>
  <si>
    <t>牧师0_56_1</t>
  </si>
  <si>
    <t>561009,562009,563009</t>
  </si>
  <si>
    <t>牧师1_56_1</t>
  </si>
  <si>
    <t>561010,562010,563010</t>
  </si>
  <si>
    <t>战士0_56_2</t>
  </si>
  <si>
    <t>561011,562011,563011</t>
  </si>
  <si>
    <t>战士2_56_2</t>
  </si>
  <si>
    <t>561012,562012,563012</t>
  </si>
  <si>
    <t>刺客2_56_2</t>
  </si>
  <si>
    <t>561013,562013,563013</t>
  </si>
  <si>
    <t>刺客0_56_2</t>
  </si>
  <si>
    <t>561014,562014,563014</t>
  </si>
  <si>
    <t>法师0_56_2</t>
  </si>
  <si>
    <t>561015,562015,563015</t>
  </si>
  <si>
    <t>法师2_56_2</t>
  </si>
  <si>
    <t>561016,562016,563016</t>
  </si>
  <si>
    <t>游侠0_56_2</t>
  </si>
  <si>
    <t>561017,562017,563017</t>
  </si>
  <si>
    <t>游侠2_56_2</t>
  </si>
  <si>
    <t>561018,562018,563018</t>
  </si>
  <si>
    <t>牧师0_56_2</t>
  </si>
  <si>
    <t>561019,562019,563019</t>
  </si>
  <si>
    <t>牧师2_56_2</t>
  </si>
  <si>
    <t>561020,562020,563020</t>
  </si>
  <si>
    <t>战士0_56_3</t>
  </si>
  <si>
    <t>561021,562021,563021</t>
  </si>
  <si>
    <t>战士2_56_3</t>
  </si>
  <si>
    <t>561022,562022,563022</t>
  </si>
  <si>
    <t>刺客2_56_3</t>
  </si>
  <si>
    <t>561023,562023,563023</t>
  </si>
  <si>
    <t>刺客1_56_3</t>
  </si>
  <si>
    <t>561024,562024,563024</t>
  </si>
  <si>
    <t>法师0_56_3</t>
  </si>
  <si>
    <t>561025,562025,563025</t>
  </si>
  <si>
    <t>法师1_56_3</t>
  </si>
  <si>
    <t>561026,562026,563026</t>
  </si>
  <si>
    <t>游侠1_56_3</t>
  </si>
  <si>
    <t>561027,562027,563027</t>
  </si>
  <si>
    <t>游侠2_56_3</t>
  </si>
  <si>
    <t>561028,562028,563028</t>
  </si>
  <si>
    <t>牧师0_56_3</t>
  </si>
  <si>
    <t>561029,562029,563029</t>
  </si>
  <si>
    <t>牧师1_56_3</t>
  </si>
  <si>
    <t>561030,562030,563030</t>
  </si>
  <si>
    <t>战士0_56_4</t>
  </si>
  <si>
    <t>561031,562031,563031</t>
  </si>
  <si>
    <t>战士1_56_4</t>
  </si>
  <si>
    <t>561032,562032,563032</t>
  </si>
  <si>
    <t>刺客0_56_4</t>
  </si>
  <si>
    <t>561033,562033,563033</t>
  </si>
  <si>
    <t>刺客1_56_4</t>
  </si>
  <si>
    <t>561034,562034,563034</t>
  </si>
  <si>
    <t>法师1_56_4</t>
  </si>
  <si>
    <t>561035,562035,563035</t>
  </si>
  <si>
    <t>法师2_56_4</t>
  </si>
  <si>
    <t>561036,562036,563036</t>
  </si>
  <si>
    <t>游侠1_56_4</t>
  </si>
  <si>
    <t>561037,562037,563037</t>
  </si>
  <si>
    <t>游侠2_56_4</t>
  </si>
  <si>
    <t>561038,562038,563038</t>
  </si>
  <si>
    <t>牧师0_56_4</t>
  </si>
  <si>
    <t>561039,562039,563039</t>
  </si>
  <si>
    <t>牧师1_56_4</t>
  </si>
  <si>
    <t>561040,562040,563040</t>
  </si>
  <si>
    <r>
      <rPr>
        <sz val="11"/>
        <color theme="1"/>
        <rFont val="宋体"/>
        <family val="3"/>
        <charset val="134"/>
        <scheme val="minor"/>
      </rPr>
      <t>战士1_56_</t>
    </r>
    <r>
      <rPr>
        <sz val="11"/>
        <color theme="1"/>
        <rFont val="宋体"/>
        <family val="3"/>
        <charset val="134"/>
        <scheme val="minor"/>
      </rPr>
      <t>5</t>
    </r>
  </si>
  <si>
    <t>561041,562041,563041</t>
  </si>
  <si>
    <t>战士2_56_5</t>
  </si>
  <si>
    <t>561042,562042,563042</t>
  </si>
  <si>
    <t>刺客2_56_5</t>
  </si>
  <si>
    <t>561043,562043,563043</t>
  </si>
  <si>
    <t>刺客1_56_5</t>
  </si>
  <si>
    <t>561044,562044,563044</t>
  </si>
  <si>
    <t>法师0_56_5</t>
  </si>
  <si>
    <t>561045,562045,563045</t>
  </si>
  <si>
    <t>法师2_56_5</t>
  </si>
  <si>
    <t>561046,562046,563046</t>
  </si>
  <si>
    <t>游侠0_56_5</t>
  </si>
  <si>
    <t>561047,562047,563047</t>
  </si>
  <si>
    <t>游侠2_56_5</t>
  </si>
  <si>
    <t>561048,562048,563048</t>
  </si>
  <si>
    <t>牧师0_56_5</t>
  </si>
  <si>
    <t>561049,562049,563049</t>
  </si>
  <si>
    <t>牧师2_56_5</t>
  </si>
  <si>
    <t>561050,562050,563050</t>
  </si>
  <si>
    <t>571001,562001,563001</t>
  </si>
  <si>
    <t>571002,562002,563002</t>
  </si>
  <si>
    <t>571003,562003,563003</t>
  </si>
  <si>
    <t>571004,562004,563004</t>
  </si>
  <si>
    <t>571005,562005,563005</t>
  </si>
  <si>
    <t>571006,562006,563006</t>
  </si>
  <si>
    <t>571007,562007,563007</t>
  </si>
  <si>
    <t>571008,562008,563008</t>
  </si>
  <si>
    <t>571009,562009,563009</t>
  </si>
  <si>
    <t>571010,562010,563010</t>
  </si>
  <si>
    <t>571011,562011,563011</t>
  </si>
  <si>
    <t>571012,562012,563012</t>
  </si>
  <si>
    <t>571013,562013,563013</t>
  </si>
  <si>
    <t>571014,562014,563014</t>
  </si>
  <si>
    <t>571015,562015,563015</t>
  </si>
  <si>
    <t>571016,562016,563016</t>
  </si>
  <si>
    <t>571017,562017,563017</t>
  </si>
  <si>
    <t>571018,562018,563018</t>
  </si>
  <si>
    <t>571019,562019,563019</t>
  </si>
  <si>
    <t>571020,562020,563020</t>
  </si>
  <si>
    <t>571021,562021,563021</t>
  </si>
  <si>
    <t>571022,562022,563022</t>
  </si>
  <si>
    <t>571023,562023,563023</t>
  </si>
  <si>
    <t>571024,562024,563024</t>
  </si>
  <si>
    <t>571025,562025,563025</t>
  </si>
  <si>
    <t>571026,562026,563026</t>
  </si>
  <si>
    <t>571027,562027,563027</t>
  </si>
  <si>
    <t>571028,562028,563028</t>
  </si>
  <si>
    <t>571029,562029,563029</t>
  </si>
  <si>
    <t>571030,562030,563030</t>
  </si>
  <si>
    <t>571031,562031,563031</t>
  </si>
  <si>
    <t>571032,562032,563032</t>
  </si>
  <si>
    <t>571033,562033,563033</t>
  </si>
  <si>
    <t>571034,562034,563034</t>
  </si>
  <si>
    <t>571035,562035,563035</t>
  </si>
  <si>
    <t>571036,562036,563036</t>
  </si>
  <si>
    <t>571037,562037,563037</t>
  </si>
  <si>
    <t>571038,562038,563038</t>
  </si>
  <si>
    <t>571039,562039,563039</t>
  </si>
  <si>
    <t>571040,562040,563040</t>
  </si>
  <si>
    <t>战士1_56_5</t>
  </si>
  <si>
    <t>571041,562041,563041</t>
  </si>
  <si>
    <t>571042,562042,563042</t>
  </si>
  <si>
    <t>571043,562043,563043</t>
  </si>
  <si>
    <t>571044,562044,563044</t>
  </si>
  <si>
    <t>571045,562045,563045</t>
  </si>
  <si>
    <t>571046,562046,563046</t>
  </si>
  <si>
    <t>571047,562047,563047</t>
  </si>
  <si>
    <t>571048,562048,563048</t>
  </si>
  <si>
    <t>571049,562049,563049</t>
  </si>
  <si>
    <t>571050,562050,563050</t>
  </si>
  <si>
    <t>571001,582001,563001</t>
  </si>
  <si>
    <t>571002,582002,563002</t>
  </si>
  <si>
    <t>571003,582003,563003</t>
  </si>
  <si>
    <t>571004,582004,563004</t>
  </si>
  <si>
    <t>571005,582005,563005</t>
  </si>
  <si>
    <t>571006,582006,563006</t>
  </si>
  <si>
    <t>571007,582007,563007</t>
  </si>
  <si>
    <t>571008,582008,563008</t>
  </si>
  <si>
    <t>571009,582009,563009</t>
  </si>
  <si>
    <t>571010,582010,563010</t>
  </si>
  <si>
    <t>571011,582011,563011</t>
  </si>
  <si>
    <t>571012,582012,563012</t>
  </si>
  <si>
    <t>571013,582013,563013</t>
  </si>
  <si>
    <t>571014,582014,563014</t>
  </si>
  <si>
    <t>571015,582015,563015</t>
  </si>
  <si>
    <t>571016,582016,563016</t>
  </si>
  <si>
    <t>571017,582017,563017</t>
  </si>
  <si>
    <t>571018,582018,563018</t>
  </si>
  <si>
    <t>571019,582019,563019</t>
  </si>
  <si>
    <t>571020,582020,563020</t>
  </si>
  <si>
    <t>571021,582021,563021</t>
  </si>
  <si>
    <t>571022,582022,563022</t>
  </si>
  <si>
    <t>571023,582023,563023</t>
  </si>
  <si>
    <t>571024,582024,563024</t>
  </si>
  <si>
    <t>571025,582025,563025</t>
  </si>
  <si>
    <t>571026,582026,563026</t>
  </si>
  <si>
    <t>571027,582027,563027</t>
  </si>
  <si>
    <t>571028,582028,563028</t>
  </si>
  <si>
    <t>571029,582029,563029</t>
  </si>
  <si>
    <t>571030,582030,563030</t>
  </si>
  <si>
    <t>571031,582031,563031</t>
  </si>
  <si>
    <t>571032,582032,563032</t>
  </si>
  <si>
    <t>571033,582033,563033</t>
  </si>
  <si>
    <t>571034,582034,563034</t>
  </si>
  <si>
    <t>571035,582035,563035</t>
  </si>
  <si>
    <t>571036,582036,563036</t>
  </si>
  <si>
    <t>571037,582037,563037</t>
  </si>
  <si>
    <t>571038,582038,563038</t>
  </si>
  <si>
    <t>571039,582039,563039</t>
  </si>
  <si>
    <t>571040,582040,563040</t>
  </si>
  <si>
    <t>571041,582041,563041</t>
  </si>
  <si>
    <t>571042,582042,563042</t>
  </si>
  <si>
    <t>571043,582043,563043</t>
  </si>
  <si>
    <t>571044,582044,563044</t>
  </si>
  <si>
    <t>571045,582045,563045</t>
  </si>
  <si>
    <t>571046,582046,563046</t>
  </si>
  <si>
    <t>571047,582047,563047</t>
  </si>
  <si>
    <t>571048,582048,563048</t>
  </si>
  <si>
    <t>571049,582049,563049</t>
  </si>
  <si>
    <t>571050,582050,563050</t>
  </si>
  <si>
    <t>571001,582001,593001</t>
  </si>
  <si>
    <t>571002,582002,593002</t>
  </si>
  <si>
    <t>571003,582003,593003</t>
  </si>
  <si>
    <t>571004,582004,593004</t>
  </si>
  <si>
    <t>571005,582005,593005</t>
  </si>
  <si>
    <t>571006,582006,593006</t>
  </si>
  <si>
    <t>571007,582007,593007</t>
  </si>
  <si>
    <t>571008,582008,593008</t>
  </si>
  <si>
    <t>571009,582009,593009</t>
  </si>
  <si>
    <t>571010,582010,593010</t>
  </si>
  <si>
    <t>571011,582011,593011</t>
  </si>
  <si>
    <t>571012,582012,593012</t>
  </si>
  <si>
    <t>571013,582013,593013</t>
  </si>
  <si>
    <t>571014,582014,593014</t>
  </si>
  <si>
    <t>571015,582015,593015</t>
  </si>
  <si>
    <t>571016,582016,593016</t>
  </si>
  <si>
    <t>571017,582017,593017</t>
  </si>
  <si>
    <t>571018,582018,593018</t>
  </si>
  <si>
    <t>571019,582019,593019</t>
  </si>
  <si>
    <t>571020,582020,593020</t>
  </si>
  <si>
    <t>571021,582021,593021</t>
  </si>
  <si>
    <t>571022,582022,593022</t>
  </si>
  <si>
    <t>571023,582023,593023</t>
  </si>
  <si>
    <t>571024,582024,593024</t>
  </si>
  <si>
    <t>571025,582025,593025</t>
  </si>
  <si>
    <t>571026,582026,593026</t>
  </si>
  <si>
    <t>571027,582027,593027</t>
  </si>
  <si>
    <t>571028,582028,593028</t>
  </si>
  <si>
    <t>571029,582029,593029</t>
  </si>
  <si>
    <t>571030,582030,593030</t>
  </si>
  <si>
    <t>571031,582031,593031</t>
  </si>
  <si>
    <t>571032,582032,593032</t>
  </si>
  <si>
    <t>571033,582033,593033</t>
  </si>
  <si>
    <t>571034,582034,593034</t>
  </si>
  <si>
    <t>571035,582035,593035</t>
  </si>
  <si>
    <t>571036,582036,593036</t>
  </si>
  <si>
    <t>571037,582037,593037</t>
  </si>
  <si>
    <t>571038,582038,593038</t>
  </si>
  <si>
    <t>571039,582039,593039</t>
  </si>
  <si>
    <t>571040,582040,593040</t>
  </si>
  <si>
    <t>571041,582041,593041</t>
  </si>
  <si>
    <t>571042,582042,593042</t>
  </si>
  <si>
    <t>571043,582043,593043</t>
  </si>
  <si>
    <t>571044,582044,593044</t>
  </si>
  <si>
    <t>571045,582045,593045</t>
  </si>
  <si>
    <t>571046,582046,593046</t>
  </si>
  <si>
    <t>571047,582047,593047</t>
  </si>
  <si>
    <t>571048,582048,593048</t>
  </si>
  <si>
    <t>571049,582049,593049</t>
  </si>
  <si>
    <t>571050,582050,593050</t>
  </si>
  <si>
    <t>战士0_33_1</t>
  </si>
  <si>
    <t>1312001</t>
  </si>
  <si>
    <t>1312011</t>
  </si>
  <si>
    <t>1314011</t>
  </si>
  <si>
    <t>法师2_33_1</t>
  </si>
  <si>
    <t>1314021</t>
  </si>
  <si>
    <t>1315001</t>
  </si>
  <si>
    <t>1316011</t>
  </si>
  <si>
    <t>1322001</t>
  </si>
  <si>
    <t>战士2_33_2</t>
  </si>
  <si>
    <t>1322021</t>
  </si>
  <si>
    <t>刺客1_33_2</t>
  </si>
  <si>
    <t>1323011</t>
  </si>
  <si>
    <t>法师1_33_2</t>
  </si>
  <si>
    <t>1324011</t>
  </si>
  <si>
    <t>1324021</t>
  </si>
  <si>
    <t>1325021</t>
  </si>
  <si>
    <t>战士1_33_3</t>
  </si>
  <si>
    <t>1332011</t>
  </si>
  <si>
    <t>1332021</t>
  </si>
  <si>
    <t>刺客1_33_3</t>
  </si>
  <si>
    <t>1333011</t>
  </si>
  <si>
    <t>法师1_33_3</t>
  </si>
  <si>
    <t>游侠0_33_3</t>
  </si>
  <si>
    <t>1335001</t>
  </si>
  <si>
    <t>游侠2_33_3</t>
  </si>
  <si>
    <t>1335021</t>
  </si>
  <si>
    <t>牧师1_33_3</t>
  </si>
  <si>
    <t>1336011</t>
  </si>
  <si>
    <t>游侠1_33_4</t>
  </si>
  <si>
    <r>
      <rPr>
        <sz val="11"/>
        <color theme="1"/>
        <rFont val="宋体"/>
        <family val="3"/>
        <charset val="134"/>
        <scheme val="minor"/>
      </rPr>
      <t>牧师0_</t>
    </r>
    <r>
      <rPr>
        <sz val="11"/>
        <color theme="1"/>
        <rFont val="宋体"/>
        <family val="3"/>
        <charset val="134"/>
        <scheme val="minor"/>
      </rPr>
      <t>33</t>
    </r>
    <r>
      <rPr>
        <sz val="11"/>
        <color theme="1"/>
        <rFont val="宋体"/>
        <family val="3"/>
        <charset val="134"/>
        <scheme val="minor"/>
      </rPr>
      <t>_4</t>
    </r>
  </si>
  <si>
    <t>牧师2_33_4</t>
  </si>
  <si>
    <t>刺客0_33_5</t>
  </si>
  <si>
    <t>1312001,2312001</t>
  </si>
  <si>
    <t>1312011,2312011</t>
  </si>
  <si>
    <t>1314011,2314011</t>
  </si>
  <si>
    <t>1314021,2314021</t>
  </si>
  <si>
    <t>1315001,2315001</t>
  </si>
  <si>
    <t>1316011,2316011</t>
  </si>
  <si>
    <t>1322001,2322001</t>
  </si>
  <si>
    <t>1322021,2322021</t>
  </si>
  <si>
    <t>1323011,2323011</t>
  </si>
  <si>
    <t>1324011,2324011</t>
  </si>
  <si>
    <t>1324021,2324021</t>
  </si>
  <si>
    <t>1325021,2325021</t>
  </si>
  <si>
    <t>1332011,2332011</t>
  </si>
  <si>
    <t>1332021,2332021</t>
  </si>
  <si>
    <t>1333011,2333011</t>
  </si>
  <si>
    <t>1335001,2335001</t>
  </si>
  <si>
    <t>1335021,2335021</t>
  </si>
  <si>
    <t>1336011,2336011</t>
  </si>
  <si>
    <t>战士0_35_1</t>
  </si>
  <si>
    <t>战士1_35_1</t>
  </si>
  <si>
    <t>战士2_35_1</t>
  </si>
  <si>
    <t>刺客1_35_1</t>
  </si>
  <si>
    <t>法师1_35_1</t>
  </si>
  <si>
    <t>法师2_35_1</t>
  </si>
  <si>
    <t>游侠0_35_1</t>
  </si>
  <si>
    <t>游侠2_35_1</t>
  </si>
  <si>
    <t>牧师1_35_1</t>
  </si>
  <si>
    <t>战士0_35_2</t>
  </si>
  <si>
    <t>战士1_35_2</t>
  </si>
  <si>
    <t>战士2_35_2</t>
  </si>
  <si>
    <t>刺客1_35_2</t>
  </si>
  <si>
    <t>法师1_35_2</t>
  </si>
  <si>
    <t>法师2_35_2</t>
  </si>
  <si>
    <t>游侠0_35_2</t>
  </si>
  <si>
    <t>游侠2_35_2</t>
  </si>
  <si>
    <t>牧师1_35_2</t>
  </si>
  <si>
    <t>战士0_35_3</t>
  </si>
  <si>
    <t>战士1_35_3</t>
  </si>
  <si>
    <t>战士2_35_3</t>
  </si>
  <si>
    <t>刺客1_35_3</t>
  </si>
  <si>
    <t>法师1_35_3</t>
  </si>
  <si>
    <t>法师2_35_3</t>
  </si>
  <si>
    <t>游侠0_35_3</t>
  </si>
  <si>
    <t>游侠2_35_3</t>
  </si>
  <si>
    <t>牧师1_35_3</t>
  </si>
  <si>
    <t>游侠1_35_4</t>
  </si>
  <si>
    <t>牧师0_35_4</t>
  </si>
  <si>
    <t>牧师2_35_4</t>
  </si>
  <si>
    <t>刺客0_35_5</t>
  </si>
  <si>
    <t>刺客2_35_5</t>
  </si>
  <si>
    <t>法师0_35_5</t>
  </si>
  <si>
    <t>1312002,2312001</t>
  </si>
  <si>
    <t>1312012,2312011</t>
  </si>
  <si>
    <t>1314012,2314011</t>
  </si>
  <si>
    <t>1314022,2314021</t>
  </si>
  <si>
    <t>1315002,2315001</t>
  </si>
  <si>
    <t>1316012,2316011</t>
  </si>
  <si>
    <t>1322002,2322001</t>
  </si>
  <si>
    <t>1322022,2322021</t>
  </si>
  <si>
    <t>1323012,2323011</t>
  </si>
  <si>
    <t>1324012,2324011</t>
  </si>
  <si>
    <t>1324022,2324021</t>
  </si>
  <si>
    <t>1325022,2325021</t>
  </si>
  <si>
    <t>1332012,2332011</t>
  </si>
  <si>
    <t>1332022,2332021</t>
  </si>
  <si>
    <t>1333012,2333011</t>
  </si>
  <si>
    <t>1335002,2335001</t>
  </si>
  <si>
    <t>1335022,2335021</t>
  </si>
  <si>
    <t>1336012,2336011</t>
  </si>
  <si>
    <t>1312002,2312002</t>
  </si>
  <si>
    <t>1312012,2312012</t>
  </si>
  <si>
    <t>1314012,2314012</t>
  </si>
  <si>
    <t>1314022,2314022</t>
  </si>
  <si>
    <t>1315002,2315002</t>
  </si>
  <si>
    <t>1316012,2316012</t>
  </si>
  <si>
    <t>1322002,2322002</t>
  </si>
  <si>
    <t>1322022,2322022</t>
  </si>
  <si>
    <t>1323012,2323012</t>
  </si>
  <si>
    <t>1324012,2324012</t>
  </si>
  <si>
    <t>1324022,2324022</t>
  </si>
  <si>
    <t>1325022,2325022</t>
  </si>
  <si>
    <t>1332012,2332012</t>
  </si>
  <si>
    <t>1332022,2332022</t>
  </si>
  <si>
    <t>1333012,2333012</t>
  </si>
  <si>
    <t>1335002,2335002</t>
  </si>
  <si>
    <t>1335022,2335022</t>
  </si>
  <si>
    <t>1336012,2336012</t>
  </si>
  <si>
    <t>战士0_57_1</t>
  </si>
  <si>
    <t>战士1_57_1</t>
  </si>
  <si>
    <t>战士2_57_1</t>
  </si>
  <si>
    <t>刺客1_57_1</t>
  </si>
  <si>
    <t>法师1_57_1</t>
  </si>
  <si>
    <t>法师2_57_1</t>
  </si>
  <si>
    <t>游侠0_57_1</t>
  </si>
  <si>
    <t>游侠2_57_1</t>
  </si>
  <si>
    <t>牧师1_57_1</t>
  </si>
  <si>
    <t>战士0_57_2</t>
  </si>
  <si>
    <t>战士1_57_2</t>
  </si>
  <si>
    <t>战士2_57_2</t>
  </si>
  <si>
    <t>刺客1_57_2</t>
  </si>
  <si>
    <t>法师1_57_2</t>
  </si>
  <si>
    <t>法师2_57_2</t>
  </si>
  <si>
    <t>游侠0_57_2</t>
  </si>
  <si>
    <t>游侠2_57_2</t>
  </si>
  <si>
    <t>牧师1_57_2</t>
  </si>
  <si>
    <t>战士0_57_3</t>
  </si>
  <si>
    <t>战士1_57_3</t>
  </si>
  <si>
    <t>战士2_57_3</t>
  </si>
  <si>
    <t>刺客1_57_3</t>
  </si>
  <si>
    <t>法师1_57_3</t>
  </si>
  <si>
    <t>法师2_57_3</t>
  </si>
  <si>
    <t>游侠0_57_3</t>
  </si>
  <si>
    <t>游侠2_57_3</t>
  </si>
  <si>
    <t>牧师1_57_3</t>
  </si>
  <si>
    <t>战士1_57_4</t>
  </si>
  <si>
    <t>刺客2_57_4</t>
  </si>
  <si>
    <t>游侠1_57_4</t>
  </si>
  <si>
    <t>牧师0_57_4</t>
  </si>
  <si>
    <t>牧师2_57_4</t>
  </si>
  <si>
    <t>战士2_57_5</t>
  </si>
  <si>
    <t>刺客0_57_5</t>
  </si>
  <si>
    <t>刺客2_57_5</t>
  </si>
  <si>
    <t>法师0_57_5</t>
  </si>
  <si>
    <t>游侠1_57_5</t>
  </si>
  <si>
    <t>战士0_59_1</t>
  </si>
  <si>
    <t>战士1_59_1</t>
  </si>
  <si>
    <t>战士2_59_1</t>
  </si>
  <si>
    <t>刺客1_59_1</t>
  </si>
  <si>
    <t>法师1_59_1</t>
  </si>
  <si>
    <t>法师2_59_1</t>
  </si>
  <si>
    <t>游侠0_59_1</t>
  </si>
  <si>
    <t>游侠2_59_1</t>
  </si>
  <si>
    <t>牧师1_59_1</t>
  </si>
  <si>
    <t>战士0_59_2</t>
  </si>
  <si>
    <t>战士1_59_2</t>
  </si>
  <si>
    <t>战士2_59_2</t>
  </si>
  <si>
    <t>刺客1_59_2</t>
  </si>
  <si>
    <t>法师1_59_2</t>
  </si>
  <si>
    <t>法师2_59_2</t>
  </si>
  <si>
    <t>游侠0_59_2</t>
  </si>
  <si>
    <t>游侠2_59_2</t>
  </si>
  <si>
    <t>牧师1_59_2</t>
  </si>
  <si>
    <t>战士0_59_3</t>
  </si>
  <si>
    <t>战士1_59_3</t>
  </si>
  <si>
    <t>战士2_59_3</t>
  </si>
  <si>
    <t>刺客1_59_3</t>
  </si>
  <si>
    <t>法师1_59_3</t>
  </si>
  <si>
    <t>法师2_59_3</t>
  </si>
  <si>
    <t>游侠0_59_3</t>
  </si>
  <si>
    <t>游侠2_59_3</t>
  </si>
  <si>
    <t>牧师1_59_3</t>
  </si>
  <si>
    <t>战士1_59_4</t>
  </si>
  <si>
    <t>刺客2_59_4</t>
  </si>
  <si>
    <t>游侠1_59_4</t>
  </si>
  <si>
    <t>牧师0_59_4</t>
  </si>
  <si>
    <t>牧师2_59_4</t>
  </si>
  <si>
    <t>战士2_59_5</t>
  </si>
  <si>
    <t>刺客0_59_5</t>
  </si>
  <si>
    <t>刺客2_59_5</t>
  </si>
  <si>
    <t>法师0_59_5</t>
  </si>
  <si>
    <t>游侠1_59_5</t>
  </si>
  <si>
    <t>新普攻粒子/主角远程普攻火柱</t>
    <phoneticPr fontId="9" type="noConversion"/>
  </si>
  <si>
    <t>新普攻粒子/主角远程普攻刀光</t>
    <phoneticPr fontId="9" type="noConversion"/>
  </si>
  <si>
    <t>1314011</t>
    <phoneticPr fontId="9" type="noConversion"/>
  </si>
  <si>
    <t>1314011,2314011</t>
    <phoneticPr fontId="9" type="noConversion"/>
  </si>
  <si>
    <t>1314012,2314012</t>
    <phoneticPr fontId="9" type="noConversion"/>
  </si>
  <si>
    <t>1314012,2314011</t>
    <phoneticPr fontId="9" type="noConversion"/>
  </si>
  <si>
    <t>新普攻粒子/兽人剑圣普通攻击</t>
    <phoneticPr fontId="9" type="noConversion"/>
  </si>
  <si>
    <t>1546021,2546021,3546021</t>
    <phoneticPr fontId="9" type="noConversion"/>
  </si>
  <si>
    <t>1546022,2546021,3546021</t>
    <phoneticPr fontId="9" type="noConversion"/>
  </si>
  <si>
    <t>1546022,2546022,3546021</t>
    <phoneticPr fontId="9" type="noConversion"/>
  </si>
  <si>
    <t>1546022,2546022,3546022</t>
    <phoneticPr fontId="9" type="noConversion"/>
  </si>
  <si>
    <t>1546023,2546022,3546022</t>
    <phoneticPr fontId="9" type="noConversion"/>
  </si>
  <si>
    <t>1546023,2546023,3546023</t>
    <phoneticPr fontId="9" type="noConversion"/>
  </si>
  <si>
    <t>战力 = 血量 / (1-免伤) / (1 - 闪避) * (攻击 + 防御 * 攻防比)/2 /攻速 * (1 + 暴击率 * 暴击伤害) * 命中 * (1 + 破甲 + (技能伤害+治疗效果) / 2)</t>
  </si>
  <si>
    <t>免伤率</t>
    <phoneticPr fontId="9" type="noConversion"/>
  </si>
  <si>
    <t>星级</t>
    <phoneticPr fontId="9" type="noConversion"/>
  </si>
  <si>
    <t>品阶</t>
    <phoneticPr fontId="9" type="noConversion"/>
  </si>
  <si>
    <t>等级</t>
    <phoneticPr fontId="9" type="noConversion"/>
  </si>
  <si>
    <t>星级属性提升</t>
    <phoneticPr fontId="9" type="noConversion"/>
  </si>
  <si>
    <t>品阶提升</t>
    <phoneticPr fontId="9" type="noConversion"/>
  </si>
  <si>
    <t>备注</t>
    <phoneticPr fontId="9" type="noConversion"/>
  </si>
  <si>
    <t>解锁天赋加成≈20%</t>
    <phoneticPr fontId="9" type="noConversion"/>
  </si>
  <si>
    <t>前6阶品阶提升20%，6阶往后提升5%</t>
    <phoneticPr fontId="9" type="noConversion"/>
  </si>
  <si>
    <t>5升6</t>
    <phoneticPr fontId="9" type="noConversion"/>
  </si>
  <si>
    <t>水火木</t>
    <phoneticPr fontId="9" type="noConversion"/>
  </si>
  <si>
    <t>光暗</t>
    <phoneticPr fontId="9" type="noConversion"/>
  </si>
  <si>
    <t>5星本体*1</t>
    <phoneticPr fontId="9" type="noConversion"/>
  </si>
  <si>
    <t>6升7</t>
    <phoneticPr fontId="9" type="noConversion"/>
  </si>
  <si>
    <t>7升8</t>
    <phoneticPr fontId="9" type="noConversion"/>
  </si>
  <si>
    <t>8升9</t>
    <phoneticPr fontId="9" type="noConversion"/>
  </si>
  <si>
    <t>9升10</t>
    <phoneticPr fontId="9" type="noConversion"/>
  </si>
  <si>
    <t>10升11</t>
    <phoneticPr fontId="9" type="noConversion"/>
  </si>
  <si>
    <t>11升12</t>
    <phoneticPr fontId="9" type="noConversion"/>
  </si>
  <si>
    <t>12升13</t>
    <phoneticPr fontId="9" type="noConversion"/>
  </si>
  <si>
    <t>6星同阵营*2</t>
    <phoneticPr fontId="9" type="noConversion"/>
  </si>
  <si>
    <t>6星本体*1</t>
  </si>
  <si>
    <t>6星本体*1</t>
    <phoneticPr fontId="9" type="noConversion"/>
  </si>
  <si>
    <t>8星同阵营*1</t>
    <phoneticPr fontId="9" type="noConversion"/>
  </si>
  <si>
    <t>6星本体*2</t>
    <phoneticPr fontId="9" type="noConversion"/>
  </si>
  <si>
    <t>进阶石数量</t>
    <phoneticPr fontId="9" type="noConversion"/>
  </si>
  <si>
    <t>金币数量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</si>
</sst>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.00_ "/>
  </numFmts>
  <fonts count="15">
    <font>
      <sz val="11"/>
      <color theme="1"/>
      <name val="宋体"/>
      <charset val="134"/>
      <scheme val="minor"/>
    </font>
    <font>
      <sz val="11"/>
      <color rgb="FF00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family val="1"/>
    </font>
    <font>
      <sz val="11"/>
      <color theme="5" tint="-0.249977111117893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  <font>
      <sz val="11"/>
      <color indexed="8"/>
      <name val="宋体"/>
      <charset val="134"/>
    </font>
  </fonts>
  <fills count="15">
    <fill>
      <patternFill patternType="none"/>
    </fill>
    <fill>
      <patternFill patternType="gray125"/>
    </fill>
    <fill>
      <patternFill patternType="solid">
        <fgColor theme="9" tint="0.799615466780602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615466780602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4933927426984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4872890408032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1" fillId="12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0" fillId="2" borderId="0" xfId="0" applyFont="1" applyFill="1">
      <alignment vertical="center"/>
    </xf>
    <xf numFmtId="0" fontId="0" fillId="3" borderId="0" xfId="0" applyFont="1" applyFill="1">
      <alignment vertical="center"/>
    </xf>
    <xf numFmtId="0" fontId="0" fillId="4" borderId="0" xfId="0" applyFill="1" applyAlignment="1"/>
    <xf numFmtId="0" fontId="0" fillId="0" borderId="0" xfId="0" applyFont="1" applyAlignment="1"/>
    <xf numFmtId="0" fontId="0" fillId="3" borderId="0" xfId="0" applyFill="1" applyAlignment="1"/>
    <xf numFmtId="0" fontId="0" fillId="5" borderId="0" xfId="0" applyFill="1" applyAlignment="1"/>
    <xf numFmtId="49" fontId="0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ont="1" applyAlignme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>
      <alignment vertical="center"/>
    </xf>
    <xf numFmtId="0" fontId="2" fillId="0" borderId="0" xfId="0" applyFont="1" applyAlignment="1"/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177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0" fontId="0" fillId="6" borderId="0" xfId="0" applyFont="1" applyFill="1">
      <alignment vertical="center"/>
    </xf>
    <xf numFmtId="0" fontId="0" fillId="7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ont="1" applyFill="1">
      <alignment vertical="center"/>
    </xf>
    <xf numFmtId="0" fontId="0" fillId="8" borderId="0" xfId="0" applyFill="1">
      <alignment vertical="center"/>
    </xf>
    <xf numFmtId="0" fontId="5" fillId="8" borderId="0" xfId="0" applyFont="1" applyFill="1" applyAlignment="1">
      <alignment vertical="center" wrapText="1"/>
    </xf>
    <xf numFmtId="0" fontId="0" fillId="9" borderId="0" xfId="0" applyFill="1">
      <alignment vertical="center"/>
    </xf>
    <xf numFmtId="0" fontId="5" fillId="9" borderId="0" xfId="0" applyFont="1" applyFill="1" applyAlignment="1">
      <alignment vertical="center" wrapText="1"/>
    </xf>
    <xf numFmtId="0" fontId="0" fillId="10" borderId="0" xfId="0" applyFill="1">
      <alignment vertical="center"/>
    </xf>
    <xf numFmtId="0" fontId="5" fillId="10" borderId="0" xfId="0" applyFont="1" applyFill="1" applyAlignment="1">
      <alignment vertical="center" wrapText="1"/>
    </xf>
    <xf numFmtId="0" fontId="0" fillId="4" borderId="0" xfId="0" applyFill="1">
      <alignment vertical="center"/>
    </xf>
    <xf numFmtId="0" fontId="5" fillId="4" borderId="0" xfId="0" applyFont="1" applyFill="1" applyAlignment="1">
      <alignment vertical="center" wrapText="1"/>
    </xf>
    <xf numFmtId="0" fontId="0" fillId="11" borderId="0" xfId="0" applyFill="1">
      <alignment vertical="center"/>
    </xf>
    <xf numFmtId="0" fontId="5" fillId="11" borderId="0" xfId="0" applyFont="1" applyFill="1" applyAlignment="1">
      <alignment vertical="center" wrapText="1"/>
    </xf>
    <xf numFmtId="49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>
      <alignment vertical="center"/>
    </xf>
    <xf numFmtId="0" fontId="10" fillId="0" borderId="0" xfId="0" applyFont="1" applyAlignment="1"/>
    <xf numFmtId="49" fontId="10" fillId="0" borderId="0" xfId="0" applyNumberFormat="1" applyFont="1" applyAlignment="1"/>
    <xf numFmtId="0" fontId="13" fillId="14" borderId="0" xfId="3" applyAlignment="1"/>
    <xf numFmtId="0" fontId="12" fillId="13" borderId="0" xfId="2" applyAlignment="1"/>
    <xf numFmtId="0" fontId="11" fillId="12" borderId="0" xfId="1" applyAlignment="1"/>
    <xf numFmtId="49" fontId="6" fillId="0" borderId="0" xfId="0" applyNumberFormat="1" applyFont="1" applyAlignment="1"/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14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9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H608"/>
  <sheetViews>
    <sheetView tabSelected="1" zoomScale="85" zoomScaleNormal="85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D3" sqref="D3"/>
    </sheetView>
  </sheetViews>
  <sheetFormatPr defaultColWidth="9" defaultRowHeight="13.5"/>
  <cols>
    <col min="1" max="1" width="16.625" customWidth="1"/>
    <col min="2" max="3" width="19.375" customWidth="1"/>
    <col min="4" max="6" width="13" customWidth="1"/>
    <col min="7" max="8" width="13.25" customWidth="1"/>
    <col min="9" max="9" width="21.375" customWidth="1"/>
    <col min="10" max="10" width="28.75" customWidth="1"/>
    <col min="11" max="11" width="13.875" customWidth="1"/>
    <col min="12" max="12" width="10.75" customWidth="1"/>
    <col min="13" max="13" width="12.75" customWidth="1"/>
    <col min="14" max="14" width="20.625" customWidth="1"/>
    <col min="15" max="15" width="15" customWidth="1"/>
    <col min="16" max="16" width="12.75" customWidth="1"/>
    <col min="17" max="17" width="13.875" customWidth="1"/>
    <col min="18" max="18" width="8.5" customWidth="1"/>
    <col min="19" max="19" width="10.5" customWidth="1"/>
    <col min="20" max="20" width="11.625" customWidth="1"/>
    <col min="21" max="21" width="9.5" customWidth="1"/>
    <col min="22" max="24" width="9" customWidth="1"/>
    <col min="25" max="25" width="10.5" customWidth="1"/>
    <col min="26" max="26" width="11.125" customWidth="1"/>
    <col min="27" max="27" width="26.5" customWidth="1"/>
    <col min="28" max="28" width="20.5" customWidth="1"/>
    <col min="29" max="29" width="11" customWidth="1"/>
    <col min="30" max="30" width="9" customWidth="1"/>
    <col min="31" max="31" width="12.75" customWidth="1"/>
    <col min="32" max="32" width="13.875" customWidth="1"/>
    <col min="33" max="33" width="11.625" customWidth="1"/>
    <col min="36" max="36" width="12.625" style="1"/>
    <col min="38" max="43" width="12.625"/>
    <col min="52" max="53" width="9" customWidth="1"/>
    <col min="54" max="54" width="12" customWidth="1"/>
    <col min="55" max="55" width="14.5" customWidth="1"/>
    <col min="57" max="57" width="12.625"/>
    <col min="59" max="59" width="20.375" customWidth="1"/>
    <col min="63" max="63" width="11.625" customWidth="1"/>
    <col min="64" max="65" width="12.625"/>
    <col min="67" max="67" width="11" customWidth="1"/>
    <col min="68" max="68" width="11.625" customWidth="1"/>
    <col min="71" max="71" width="10.875" customWidth="1"/>
    <col min="74" max="74" width="12.375" customWidth="1"/>
    <col min="75" max="75" width="10.125" customWidth="1"/>
    <col min="76" max="76" width="13" bestFit="1" customWidth="1"/>
    <col min="77" max="77" width="11" bestFit="1" customWidth="1"/>
    <col min="78" max="78" width="10.125" customWidth="1"/>
    <col min="82" max="82" width="18.375" customWidth="1"/>
    <col min="85" max="85" width="19.375" customWidth="1"/>
  </cols>
  <sheetData>
    <row r="1" spans="1:8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t="s">
        <v>13</v>
      </c>
      <c r="O1" s="7" t="s">
        <v>14</v>
      </c>
      <c r="P1" s="2" t="s">
        <v>15</v>
      </c>
      <c r="Q1" s="9" t="s">
        <v>16</v>
      </c>
      <c r="R1" s="2" t="s">
        <v>17</v>
      </c>
      <c r="S1" s="10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/>
      <c r="AJ1" s="17"/>
      <c r="AK1" s="2"/>
      <c r="AL1" s="2"/>
      <c r="AM1" s="2"/>
      <c r="AN1" s="57" t="s">
        <v>1727</v>
      </c>
      <c r="AO1" s="2"/>
      <c r="AP1" s="2"/>
      <c r="AQ1" s="2"/>
      <c r="AR1" s="2"/>
      <c r="AS1" s="2"/>
      <c r="AT1" s="2"/>
    </row>
    <row r="2" spans="1:86">
      <c r="A2" s="2" t="s">
        <v>34</v>
      </c>
      <c r="B2" t="s">
        <v>35</v>
      </c>
      <c r="C2" t="s">
        <v>35</v>
      </c>
      <c r="D2" t="s">
        <v>36</v>
      </c>
      <c r="E2" t="s">
        <v>36</v>
      </c>
      <c r="F2" t="s">
        <v>36</v>
      </c>
      <c r="G2" t="s">
        <v>35</v>
      </c>
      <c r="H2" t="s">
        <v>35</v>
      </c>
      <c r="I2" s="2" t="s">
        <v>35</v>
      </c>
      <c r="J2" t="s">
        <v>35</v>
      </c>
      <c r="K2" t="s">
        <v>37</v>
      </c>
      <c r="L2" t="s">
        <v>38</v>
      </c>
      <c r="M2" t="s">
        <v>38</v>
      </c>
      <c r="N2" t="s">
        <v>39</v>
      </c>
      <c r="O2" s="7" t="s">
        <v>38</v>
      </c>
      <c r="P2" s="2" t="s">
        <v>38</v>
      </c>
      <c r="Q2" s="9" t="s">
        <v>38</v>
      </c>
      <c r="R2" s="2" t="s">
        <v>38</v>
      </c>
      <c r="S2" s="10" t="s">
        <v>38</v>
      </c>
      <c r="T2" s="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34</v>
      </c>
      <c r="AA2" t="s">
        <v>40</v>
      </c>
      <c r="AB2" t="s">
        <v>41</v>
      </c>
      <c r="AC2" t="s">
        <v>36</v>
      </c>
      <c r="AD2" t="s">
        <v>36</v>
      </c>
      <c r="AE2" t="s">
        <v>36</v>
      </c>
      <c r="AF2" t="s">
        <v>36</v>
      </c>
      <c r="AG2" t="s">
        <v>36</v>
      </c>
      <c r="BD2">
        <v>0.8</v>
      </c>
    </row>
    <row r="3" spans="1:86">
      <c r="A3" s="2" t="s">
        <v>42</v>
      </c>
      <c r="B3" s="2" t="s">
        <v>43</v>
      </c>
      <c r="C3" s="2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s="2" t="s">
        <v>50</v>
      </c>
      <c r="J3" s="2" t="s">
        <v>51</v>
      </c>
      <c r="K3" s="2" t="s">
        <v>52</v>
      </c>
      <c r="L3" s="2" t="s">
        <v>53</v>
      </c>
      <c r="M3" s="2" t="s">
        <v>54</v>
      </c>
      <c r="N3" t="s">
        <v>55</v>
      </c>
      <c r="O3" s="7" t="s">
        <v>56</v>
      </c>
      <c r="P3" s="2" t="s">
        <v>57</v>
      </c>
      <c r="Q3" s="9" t="s">
        <v>58</v>
      </c>
      <c r="R3" s="2" t="s">
        <v>59</v>
      </c>
      <c r="S3" s="10" t="s">
        <v>60</v>
      </c>
      <c r="T3" s="2" t="s">
        <v>61</v>
      </c>
      <c r="U3" s="2" t="s">
        <v>62</v>
      </c>
      <c r="V3" s="2" t="s">
        <v>63</v>
      </c>
      <c r="W3" s="2" t="s">
        <v>64</v>
      </c>
      <c r="X3" s="2" t="s">
        <v>65</v>
      </c>
      <c r="Y3" s="2" t="s">
        <v>66</v>
      </c>
      <c r="Z3" s="2" t="s">
        <v>67</v>
      </c>
      <c r="AA3" s="2" t="s">
        <v>68</v>
      </c>
      <c r="AB3" s="2" t="s">
        <v>69</v>
      </c>
      <c r="AC3" s="2" t="s">
        <v>70</v>
      </c>
      <c r="AD3" s="2" t="s">
        <v>71</v>
      </c>
      <c r="AE3" s="8" t="s">
        <v>72</v>
      </c>
      <c r="AF3" s="8" t="s">
        <v>73</v>
      </c>
      <c r="AG3" s="8" t="s">
        <v>74</v>
      </c>
      <c r="AI3" s="2" t="s">
        <v>75</v>
      </c>
      <c r="AJ3" s="1" t="s">
        <v>76</v>
      </c>
      <c r="AK3" s="2" t="s">
        <v>45</v>
      </c>
      <c r="AL3" s="2" t="s">
        <v>77</v>
      </c>
      <c r="AM3" s="2" t="s">
        <v>78</v>
      </c>
      <c r="AN3" s="2" t="s">
        <v>58</v>
      </c>
      <c r="AO3" s="2" t="s">
        <v>59</v>
      </c>
      <c r="AP3" s="2" t="s">
        <v>60</v>
      </c>
      <c r="AQ3" s="2" t="s">
        <v>61</v>
      </c>
      <c r="AR3" s="2" t="s">
        <v>53</v>
      </c>
      <c r="AS3" s="2" t="s">
        <v>79</v>
      </c>
      <c r="AT3" s="2" t="s">
        <v>52</v>
      </c>
      <c r="AU3" s="2" t="s">
        <v>80</v>
      </c>
      <c r="AV3" s="2" t="s">
        <v>81</v>
      </c>
      <c r="AW3" s="2" t="s">
        <v>82</v>
      </c>
      <c r="AX3" s="19" t="s">
        <v>83</v>
      </c>
      <c r="AY3" s="19"/>
      <c r="AZ3" s="19" t="s">
        <v>84</v>
      </c>
      <c r="BA3" s="19" t="s">
        <v>85</v>
      </c>
      <c r="BB3" t="s">
        <v>86</v>
      </c>
      <c r="BD3">
        <v>1</v>
      </c>
      <c r="BE3">
        <v>1</v>
      </c>
      <c r="BF3">
        <v>1</v>
      </c>
      <c r="BH3" s="24" t="s">
        <v>87</v>
      </c>
      <c r="BI3" s="24" t="s">
        <v>88</v>
      </c>
      <c r="BJ3" s="24" t="s">
        <v>89</v>
      </c>
      <c r="BM3" s="24" t="s">
        <v>90</v>
      </c>
      <c r="BO3" t="s">
        <v>91</v>
      </c>
      <c r="CD3" s="24" t="s">
        <v>92</v>
      </c>
      <c r="CG3" s="24" t="s">
        <v>93</v>
      </c>
    </row>
    <row r="4" spans="1:86">
      <c r="A4" s="2">
        <v>100</v>
      </c>
      <c r="B4" t="s">
        <v>94</v>
      </c>
      <c r="C4">
        <v>0</v>
      </c>
      <c r="D4">
        <v>3</v>
      </c>
      <c r="E4">
        <v>1</v>
      </c>
      <c r="F4">
        <v>0</v>
      </c>
      <c r="G4" t="s">
        <v>95</v>
      </c>
      <c r="H4" t="s">
        <v>95</v>
      </c>
      <c r="I4" s="2">
        <v>0</v>
      </c>
      <c r="J4" s="2">
        <v>0</v>
      </c>
      <c r="K4" s="2">
        <f t="shared" ref="K4:K65" si="0">AT4</f>
        <v>3</v>
      </c>
      <c r="L4" s="2">
        <f t="shared" ref="L4:M19" si="1">FLOOR(AR4/1,0.01)</f>
        <v>1.3</v>
      </c>
      <c r="M4" s="2">
        <f t="shared" si="1"/>
        <v>1.5</v>
      </c>
      <c r="N4" s="2">
        <v>10</v>
      </c>
      <c r="O4" s="2">
        <f>ROUND(AL4,2)</f>
        <v>145.6</v>
      </c>
      <c r="P4" s="2">
        <f>ROUND(AM4*(1+$AX4),2)</f>
        <v>9.65</v>
      </c>
      <c r="Q4" s="2">
        <f>ROUND(AN4,2)</f>
        <v>2016</v>
      </c>
      <c r="R4" s="2">
        <f t="shared" ref="R4:T4" si="2">ROUND(AO4*(1+$AX4),2)</f>
        <v>133.66</v>
      </c>
      <c r="S4" s="2">
        <f>ROUND(AP4,2)</f>
        <v>63.3</v>
      </c>
      <c r="T4" s="2">
        <f t="shared" si="2"/>
        <v>6.17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>
        <v>1001</v>
      </c>
      <c r="AA4" s="46" t="s">
        <v>96</v>
      </c>
      <c r="AB4" s="46" t="s">
        <v>97</v>
      </c>
      <c r="AC4">
        <f>A5</f>
        <v>101</v>
      </c>
      <c r="AD4" s="2">
        <v>0</v>
      </c>
      <c r="AE4">
        <v>0</v>
      </c>
      <c r="AF4">
        <v>0</v>
      </c>
      <c r="AG4">
        <v>0</v>
      </c>
      <c r="AI4">
        <v>1</v>
      </c>
      <c r="AJ4" s="1">
        <f t="shared" ref="AJ4:AJ63" si="3">(AN4+AO4*AI4)*(AL4+AM4*AI4)/AR4*(0.9)*(1+0.5*0.1)*1/1/(1-(AP4+AQ4*AI4)*0.0002)/3000</f>
        <v>79.648218617524776</v>
      </c>
      <c r="AK4">
        <v>4</v>
      </c>
      <c r="AL4">
        <f>INDEX($BD$5:$BD$60,MATCH($AU4,$BB$5:$BB$60,0))*$AR4/1.5*$BH$4*INDEX($BD$103:$BR$103,MATCH($AK4,$BD$102:$BR$102,0))</f>
        <v>145.6</v>
      </c>
      <c r="AM4">
        <f>(INDEX($BD$5:$BD$60,MATCH($AU4,$BB$5:$BB$60,0))*$AR4/1.5*$BH$4*INDEX($BD$103:$BR$103,MATCH($AK4,$BD$102:$BR$102,0)))*0.051</f>
        <v>7.4255999999999993</v>
      </c>
      <c r="AN4">
        <f>INDEX($BE$5:$BE$60,MATCH($AU4,$BB$5:$BB$60,0))*$BI$4*INDEX($BD$103:$BR$103,MATCH($AK4,$BD$102:$BR$102,0))</f>
        <v>2015.9999999999998</v>
      </c>
      <c r="AO4">
        <f>(INDEX($BE$5:$BE$60,MATCH($AU4,$BB$5:$BB$60,0))*$BI$4*INDEX($BD$103:$BR$103,MATCH($AK4,$BD$102:$BR$102,0)))*0.051</f>
        <v>102.81599999999999</v>
      </c>
      <c r="AP4">
        <f>$AL4/INDEX($BF$5:$BF$60,MATCH($AU4,$BB$5:$BB$60,0))</f>
        <v>63.304347826086961</v>
      </c>
      <c r="AQ4">
        <f>AP4*0.075</f>
        <v>4.7478260869565219</v>
      </c>
      <c r="AR4">
        <f t="shared" ref="AR4:AR39" si="4">INDEX($BG$5:$BG$60,MATCH($AU4,$BB$5:$BB$60,0))</f>
        <v>1.3</v>
      </c>
      <c r="AS4">
        <f t="shared" ref="AS4:AS39" si="5">ROUND(IF(INDEX($BO$5:$BO$60,MATCH($AU4,$BB$5:$BB$60,0))&lt;2,INDEX($BO$5:$BO$60,MATCH($AU4,$BB$5:$BB$60,0))+0.2,2),1)</f>
        <v>1.5</v>
      </c>
      <c r="AT4">
        <f t="shared" ref="AT4:AT39" si="6">INDEX($BK$5:$BK$60,MATCH($AU4,$BB$5:$BB$60,0))</f>
        <v>3</v>
      </c>
      <c r="AU4">
        <v>1</v>
      </c>
      <c r="AV4">
        <v>1</v>
      </c>
      <c r="AW4">
        <v>0</v>
      </c>
      <c r="AX4">
        <v>0.3</v>
      </c>
      <c r="BB4" t="s">
        <v>98</v>
      </c>
      <c r="BC4" s="2" t="s">
        <v>99</v>
      </c>
      <c r="BD4" s="2" t="s">
        <v>100</v>
      </c>
      <c r="BE4" s="2" t="s">
        <v>101</v>
      </c>
      <c r="BF4" s="8" t="s">
        <v>102</v>
      </c>
      <c r="BG4" s="2" t="s">
        <v>103</v>
      </c>
      <c r="BH4" s="19">
        <v>120</v>
      </c>
      <c r="BI4" s="19">
        <v>1440</v>
      </c>
      <c r="BJ4" s="19">
        <v>30</v>
      </c>
      <c r="BK4" t="s">
        <v>52</v>
      </c>
      <c r="BL4" t="s">
        <v>104</v>
      </c>
      <c r="BM4" t="s">
        <v>105</v>
      </c>
      <c r="BN4" t="s">
        <v>106</v>
      </c>
      <c r="BO4" t="s">
        <v>107</v>
      </c>
      <c r="BP4" t="s">
        <v>108</v>
      </c>
      <c r="BR4" t="s">
        <v>100</v>
      </c>
      <c r="BS4" t="s">
        <v>109</v>
      </c>
      <c r="BV4" s="57" t="s">
        <v>1728</v>
      </c>
      <c r="BW4">
        <f>1/(1+22300/(9000*5))</f>
        <v>0.66864784546805356</v>
      </c>
      <c r="CD4" s="2" t="s">
        <v>94</v>
      </c>
      <c r="CE4" t="s">
        <v>110</v>
      </c>
      <c r="CG4" s="2" t="s">
        <v>94</v>
      </c>
      <c r="CH4" t="s">
        <v>110</v>
      </c>
    </row>
    <row r="5" spans="1:86">
      <c r="A5" s="2">
        <v>101</v>
      </c>
      <c r="B5" t="s">
        <v>111</v>
      </c>
      <c r="C5">
        <v>0</v>
      </c>
      <c r="D5">
        <v>4</v>
      </c>
      <c r="E5">
        <v>1</v>
      </c>
      <c r="F5">
        <v>0</v>
      </c>
      <c r="G5" t="s">
        <v>112</v>
      </c>
      <c r="H5" t="s">
        <v>112</v>
      </c>
      <c r="I5" s="2">
        <v>0</v>
      </c>
      <c r="J5" s="2">
        <v>0</v>
      </c>
      <c r="K5" s="2">
        <f t="shared" si="0"/>
        <v>3</v>
      </c>
      <c r="L5" s="2">
        <f t="shared" si="1"/>
        <v>1.3</v>
      </c>
      <c r="M5" s="2">
        <f t="shared" si="1"/>
        <v>1.5</v>
      </c>
      <c r="N5" s="2">
        <v>10</v>
      </c>
      <c r="O5" s="2">
        <f t="shared" ref="O5:O63" si="7">ROUND(AL5,2)</f>
        <v>166.4</v>
      </c>
      <c r="P5" s="2">
        <f t="shared" ref="P5:P63" si="8">ROUND(AM5*(1+$AX5),2)</f>
        <v>11.88</v>
      </c>
      <c r="Q5" s="2">
        <f t="shared" ref="Q5:Q63" si="9">ROUND(AN5,2)</f>
        <v>2304</v>
      </c>
      <c r="R5" s="2">
        <f t="shared" ref="R5:R63" si="10">ROUND(AO5*(1+$AX5),2)</f>
        <v>164.51</v>
      </c>
      <c r="S5" s="2">
        <f t="shared" ref="S5:S63" si="11">ROUND(AP5,2)</f>
        <v>72.349999999999994</v>
      </c>
      <c r="T5" s="2">
        <f t="shared" ref="T5:T63" si="12">ROUND(AQ5*(1+$AX5),2)</f>
        <v>7.6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>
        <v>1001</v>
      </c>
      <c r="AA5" s="12" t="s">
        <v>96</v>
      </c>
      <c r="AB5" s="46" t="s">
        <v>97</v>
      </c>
      <c r="AC5">
        <f t="shared" ref="AC5:AC36" si="13">A6</f>
        <v>102</v>
      </c>
      <c r="AD5" s="2">
        <v>0</v>
      </c>
      <c r="AE5">
        <v>0</v>
      </c>
      <c r="AF5">
        <v>0</v>
      </c>
      <c r="AG5">
        <v>0</v>
      </c>
      <c r="AI5">
        <v>1</v>
      </c>
      <c r="AJ5" s="1">
        <f t="shared" si="3"/>
        <v>104.23579349311024</v>
      </c>
      <c r="AK5">
        <v>5</v>
      </c>
      <c r="AL5">
        <f t="shared" ref="AL5:AL63" si="14">INDEX($BD$5:$BD$60,MATCH($AU5,$BB$5:$BB$60,0))*$AR5/1.5*$BH$4*INDEX($BD$103:$BR$103,MATCH($AK5,$BD$102:$BR$102,0))</f>
        <v>166.4</v>
      </c>
      <c r="AM5">
        <f t="shared" ref="AM5:AM63" si="15">(INDEX($BD$5:$BD$60,MATCH($AU5,$BB$5:$BB$60,0))*$AR5/1.5*$BH$4*INDEX($BD$103:$BR$103,MATCH($AK5,$BD$102:$BR$102,0)))*0.051</f>
        <v>8.4863999999999997</v>
      </c>
      <c r="AN5">
        <f t="shared" ref="AN5:AN63" si="16">INDEX($BE$5:$BE$60,MATCH($AU5,$BB$5:$BB$60,0))*$BI$4*INDEX($BD$103:$BR$103,MATCH($AK5,$BD$102:$BR$102,0))</f>
        <v>2304</v>
      </c>
      <c r="AO5">
        <f t="shared" ref="AO5:AO63" si="17">(INDEX($BE$5:$BE$60,MATCH($AU5,$BB$5:$BB$60,0))*$BI$4*INDEX($BD$103:$BR$103,MATCH($AK5,$BD$102:$BR$102,0)))*0.051</f>
        <v>117.50399999999999</v>
      </c>
      <c r="AP5">
        <f t="shared" ref="AP5:AP64" si="18">$AL5/INDEX($BF$5:$BF$60,MATCH($AU5,$BB$5:$BB$60,0))</f>
        <v>72.34782608695653</v>
      </c>
      <c r="AQ5">
        <f t="shared" ref="AQ5:AQ63" si="19">AP5*0.075</f>
        <v>5.4260869565217398</v>
      </c>
      <c r="AR5">
        <f t="shared" si="4"/>
        <v>1.3</v>
      </c>
      <c r="AS5">
        <f t="shared" si="5"/>
        <v>1.5</v>
      </c>
      <c r="AT5">
        <f t="shared" si="6"/>
        <v>3</v>
      </c>
      <c r="AU5">
        <v>1</v>
      </c>
      <c r="AV5">
        <v>1</v>
      </c>
      <c r="AW5">
        <v>0</v>
      </c>
      <c r="AX5">
        <v>0.4</v>
      </c>
      <c r="BB5" s="20">
        <v>1</v>
      </c>
      <c r="BC5" s="21" t="s">
        <v>113</v>
      </c>
      <c r="BD5" s="58">
        <v>1</v>
      </c>
      <c r="BE5" s="20">
        <f>1/BD5</f>
        <v>1</v>
      </c>
      <c r="BF5" s="22">
        <v>2.2999999999999998</v>
      </c>
      <c r="BG5" s="23">
        <v>1.3</v>
      </c>
      <c r="BH5" s="25">
        <f t="shared" ref="BH5:BH15" si="20">BD5*$BH$4*BG5/1.5</f>
        <v>104</v>
      </c>
      <c r="BI5" s="25">
        <f t="shared" ref="BI5:BI15" si="21">BE5*$BI$4</f>
        <v>1440</v>
      </c>
      <c r="BJ5" s="25">
        <f t="shared" ref="BJ5:BJ13" si="22">BH5/BF5</f>
        <v>45.217391304347828</v>
      </c>
      <c r="BK5">
        <v>3</v>
      </c>
      <c r="BL5">
        <f t="shared" ref="BL5:BL13" si="23">BH5/BG5</f>
        <v>80</v>
      </c>
      <c r="BM5">
        <f t="shared" ref="BM5:BM13" si="24">BN5/30</f>
        <v>1.3333333333333333</v>
      </c>
      <c r="BN5" s="20">
        <v>40</v>
      </c>
      <c r="BO5">
        <f t="shared" ref="BO5:BO13" si="25">BP5/30</f>
        <v>1.3333333333333333</v>
      </c>
      <c r="BP5" s="20">
        <v>40</v>
      </c>
      <c r="BQ5">
        <v>1.5</v>
      </c>
      <c r="BR5">
        <v>1</v>
      </c>
      <c r="BS5" s="26">
        <f t="shared" ref="BS5:BS19" si="26">1/BR5</f>
        <v>1</v>
      </c>
      <c r="BT5">
        <f>$BH$4*(1-(1.5-BG5)*1)*BD5</f>
        <v>96</v>
      </c>
      <c r="BV5">
        <f>1/(1+80/(BJ5*5))</f>
        <v>0.73863636363636365</v>
      </c>
      <c r="CD5" s="2" t="s">
        <v>111</v>
      </c>
      <c r="CE5" t="s">
        <v>114</v>
      </c>
      <c r="CG5" s="2" t="s">
        <v>111</v>
      </c>
      <c r="CH5" t="s">
        <v>114</v>
      </c>
    </row>
    <row r="6" spans="1:86">
      <c r="A6" s="2">
        <v>102</v>
      </c>
      <c r="B6" t="s">
        <v>115</v>
      </c>
      <c r="C6">
        <v>0</v>
      </c>
      <c r="D6">
        <v>5</v>
      </c>
      <c r="E6">
        <v>1</v>
      </c>
      <c r="F6">
        <v>0</v>
      </c>
      <c r="G6" t="s">
        <v>116</v>
      </c>
      <c r="H6" t="s">
        <v>116</v>
      </c>
      <c r="I6" s="2">
        <v>0</v>
      </c>
      <c r="J6" s="2">
        <v>0</v>
      </c>
      <c r="K6" s="2">
        <f t="shared" si="0"/>
        <v>3</v>
      </c>
      <c r="L6" s="2">
        <f t="shared" si="1"/>
        <v>1.3</v>
      </c>
      <c r="M6" s="2">
        <f t="shared" si="1"/>
        <v>1.5</v>
      </c>
      <c r="N6" s="2">
        <v>10</v>
      </c>
      <c r="O6" s="2">
        <f t="shared" si="7"/>
        <v>187.2</v>
      </c>
      <c r="P6" s="2">
        <f t="shared" si="8"/>
        <v>14.32</v>
      </c>
      <c r="Q6" s="2">
        <f t="shared" si="9"/>
        <v>2592</v>
      </c>
      <c r="R6" s="2">
        <f t="shared" si="10"/>
        <v>198.29</v>
      </c>
      <c r="S6" s="2">
        <f t="shared" si="11"/>
        <v>81.39</v>
      </c>
      <c r="T6" s="2">
        <f t="shared" si="12"/>
        <v>9.16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>
        <v>1002</v>
      </c>
      <c r="AA6" s="12" t="s">
        <v>96</v>
      </c>
      <c r="AB6" s="46" t="s">
        <v>97</v>
      </c>
      <c r="AC6">
        <f t="shared" si="13"/>
        <v>103</v>
      </c>
      <c r="AD6" s="2">
        <v>0</v>
      </c>
      <c r="AE6">
        <v>0</v>
      </c>
      <c r="AF6">
        <v>0</v>
      </c>
      <c r="AG6">
        <v>0</v>
      </c>
      <c r="AI6">
        <v>1</v>
      </c>
      <c r="AJ6" s="1">
        <f t="shared" si="3"/>
        <v>132.1844997273046</v>
      </c>
      <c r="AK6">
        <v>6</v>
      </c>
      <c r="AL6">
        <f t="shared" si="14"/>
        <v>187.20000000000002</v>
      </c>
      <c r="AM6">
        <f t="shared" si="15"/>
        <v>9.5472000000000001</v>
      </c>
      <c r="AN6">
        <f t="shared" si="16"/>
        <v>2592</v>
      </c>
      <c r="AO6">
        <f t="shared" si="17"/>
        <v>132.19199999999998</v>
      </c>
      <c r="AP6">
        <f t="shared" si="18"/>
        <v>81.391304347826107</v>
      </c>
      <c r="AQ6">
        <f t="shared" si="19"/>
        <v>6.1043478260869577</v>
      </c>
      <c r="AR6">
        <f t="shared" si="4"/>
        <v>1.3</v>
      </c>
      <c r="AS6">
        <f t="shared" si="5"/>
        <v>1.5</v>
      </c>
      <c r="AT6">
        <f t="shared" si="6"/>
        <v>3</v>
      </c>
      <c r="AU6">
        <v>1</v>
      </c>
      <c r="AV6">
        <v>1</v>
      </c>
      <c r="AW6">
        <v>0</v>
      </c>
      <c r="AX6">
        <v>0.5</v>
      </c>
      <c r="BB6" s="20">
        <v>2001</v>
      </c>
      <c r="BC6" s="47" t="s">
        <v>117</v>
      </c>
      <c r="BD6" s="58">
        <v>0.8</v>
      </c>
      <c r="BE6" s="20">
        <f t="shared" ref="BE6:BE13" si="27">1/BD6</f>
        <v>1.25</v>
      </c>
      <c r="BF6" s="22">
        <v>2.5</v>
      </c>
      <c r="BG6" s="23">
        <v>1.5</v>
      </c>
      <c r="BH6" s="25">
        <f t="shared" si="20"/>
        <v>96</v>
      </c>
      <c r="BI6" s="25">
        <f t="shared" si="21"/>
        <v>1800</v>
      </c>
      <c r="BJ6" s="25">
        <f t="shared" si="22"/>
        <v>38.4</v>
      </c>
      <c r="BK6">
        <v>3</v>
      </c>
      <c r="BL6">
        <f t="shared" si="23"/>
        <v>64</v>
      </c>
      <c r="BM6">
        <f t="shared" si="24"/>
        <v>1</v>
      </c>
      <c r="BN6" s="56">
        <v>30</v>
      </c>
      <c r="BO6">
        <f t="shared" si="25"/>
        <v>1</v>
      </c>
      <c r="BP6" s="20">
        <v>30</v>
      </c>
      <c r="BQ6" s="2">
        <v>1.5</v>
      </c>
      <c r="BR6">
        <v>0.8</v>
      </c>
      <c r="BS6" s="26">
        <f t="shared" si="26"/>
        <v>1.25</v>
      </c>
      <c r="BT6">
        <f>$BH$4*(1-(1.5-BG6)*1)*BD6</f>
        <v>96</v>
      </c>
      <c r="BV6">
        <f t="shared" ref="BV6:BV42" si="28">1/(1+80/(BJ6*5))</f>
        <v>0.70588235294117641</v>
      </c>
      <c r="CD6" s="2" t="s">
        <v>115</v>
      </c>
      <c r="CE6" t="s">
        <v>118</v>
      </c>
      <c r="CG6" s="2" t="s">
        <v>115</v>
      </c>
      <c r="CH6" t="s">
        <v>118</v>
      </c>
    </row>
    <row r="7" spans="1:86">
      <c r="A7" s="2">
        <v>103</v>
      </c>
      <c r="B7" t="s">
        <v>119</v>
      </c>
      <c r="C7">
        <v>0</v>
      </c>
      <c r="D7">
        <v>6</v>
      </c>
      <c r="E7">
        <v>1</v>
      </c>
      <c r="F7">
        <v>0</v>
      </c>
      <c r="G7" t="s">
        <v>120</v>
      </c>
      <c r="H7" t="s">
        <v>120</v>
      </c>
      <c r="I7" s="2">
        <v>0</v>
      </c>
      <c r="J7" s="2">
        <v>0</v>
      </c>
      <c r="K7" s="2">
        <f t="shared" si="0"/>
        <v>3</v>
      </c>
      <c r="L7" s="2">
        <f t="shared" si="1"/>
        <v>1.3</v>
      </c>
      <c r="M7" s="2">
        <f t="shared" si="1"/>
        <v>1.5</v>
      </c>
      <c r="N7" s="2">
        <v>10</v>
      </c>
      <c r="O7" s="2">
        <f t="shared" si="7"/>
        <v>213.2</v>
      </c>
      <c r="P7" s="2">
        <f t="shared" si="8"/>
        <v>17.399999999999999</v>
      </c>
      <c r="Q7" s="2">
        <f t="shared" si="9"/>
        <v>2952</v>
      </c>
      <c r="R7" s="2">
        <f t="shared" si="10"/>
        <v>240.88</v>
      </c>
      <c r="S7" s="2">
        <f t="shared" si="11"/>
        <v>92.7</v>
      </c>
      <c r="T7" s="2">
        <f t="shared" si="12"/>
        <v>11.12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>
        <v>1002</v>
      </c>
      <c r="AA7" s="12" t="s">
        <v>121</v>
      </c>
      <c r="AB7" s="46" t="s">
        <v>97</v>
      </c>
      <c r="AC7">
        <f t="shared" si="13"/>
        <v>104</v>
      </c>
      <c r="AD7" s="2">
        <v>0</v>
      </c>
      <c r="AE7">
        <v>0</v>
      </c>
      <c r="AF7">
        <v>0</v>
      </c>
      <c r="AG7">
        <v>0</v>
      </c>
      <c r="AI7">
        <v>1</v>
      </c>
      <c r="AJ7" s="1">
        <f t="shared" si="3"/>
        <v>171.87744879752918</v>
      </c>
      <c r="AK7">
        <v>7</v>
      </c>
      <c r="AL7">
        <f t="shared" si="14"/>
        <v>213.2</v>
      </c>
      <c r="AM7">
        <f t="shared" si="15"/>
        <v>10.873199999999999</v>
      </c>
      <c r="AN7">
        <f t="shared" si="16"/>
        <v>2951.9999999999995</v>
      </c>
      <c r="AO7">
        <f t="shared" si="17"/>
        <v>150.55199999999996</v>
      </c>
      <c r="AP7">
        <f t="shared" si="18"/>
        <v>92.695652173913047</v>
      </c>
      <c r="AQ7">
        <f t="shared" si="19"/>
        <v>6.9521739130434783</v>
      </c>
      <c r="AR7">
        <f t="shared" si="4"/>
        <v>1.3</v>
      </c>
      <c r="AS7">
        <f t="shared" si="5"/>
        <v>1.5</v>
      </c>
      <c r="AT7">
        <f t="shared" si="6"/>
        <v>3</v>
      </c>
      <c r="AU7">
        <v>1</v>
      </c>
      <c r="AV7">
        <v>1</v>
      </c>
      <c r="AW7">
        <v>0</v>
      </c>
      <c r="AX7">
        <v>0.6</v>
      </c>
      <c r="BB7" s="20">
        <v>2002</v>
      </c>
      <c r="BC7" s="21" t="s">
        <v>122</v>
      </c>
      <c r="BD7" s="58">
        <v>1</v>
      </c>
      <c r="BE7" s="20">
        <f t="shared" si="27"/>
        <v>1</v>
      </c>
      <c r="BF7" s="22">
        <v>3</v>
      </c>
      <c r="BG7" s="23">
        <v>1.5</v>
      </c>
      <c r="BH7" s="25">
        <f t="shared" si="20"/>
        <v>120</v>
      </c>
      <c r="BI7" s="25">
        <f t="shared" si="21"/>
        <v>1440</v>
      </c>
      <c r="BJ7" s="25">
        <f t="shared" si="22"/>
        <v>40</v>
      </c>
      <c r="BK7">
        <v>3</v>
      </c>
      <c r="BL7">
        <f t="shared" si="23"/>
        <v>80</v>
      </c>
      <c r="BM7">
        <f t="shared" si="24"/>
        <v>1.1666666666666667</v>
      </c>
      <c r="BN7" s="56">
        <v>35</v>
      </c>
      <c r="BO7">
        <f t="shared" si="25"/>
        <v>1</v>
      </c>
      <c r="BP7" s="20">
        <v>30</v>
      </c>
      <c r="BQ7">
        <v>1.5</v>
      </c>
      <c r="BR7">
        <v>0.8</v>
      </c>
      <c r="BS7" s="26">
        <f t="shared" si="26"/>
        <v>1.25</v>
      </c>
      <c r="BT7">
        <f t="shared" ref="BT7:BT15" si="29">$BH$4*(1-(1.5-BG7)*1)*BD7</f>
        <v>120</v>
      </c>
      <c r="BV7">
        <f t="shared" si="28"/>
        <v>0.7142857142857143</v>
      </c>
      <c r="CD7" s="2" t="s">
        <v>119</v>
      </c>
      <c r="CE7" t="s">
        <v>123</v>
      </c>
      <c r="CG7" s="2" t="s">
        <v>119</v>
      </c>
      <c r="CH7" t="s">
        <v>123</v>
      </c>
    </row>
    <row r="8" spans="1:86">
      <c r="A8" s="2">
        <v>104</v>
      </c>
      <c r="B8" t="s">
        <v>124</v>
      </c>
      <c r="C8">
        <v>0</v>
      </c>
      <c r="D8">
        <v>7</v>
      </c>
      <c r="E8">
        <v>1</v>
      </c>
      <c r="F8">
        <v>0</v>
      </c>
      <c r="G8" t="s">
        <v>125</v>
      </c>
      <c r="H8" t="s">
        <v>125</v>
      </c>
      <c r="I8" s="2">
        <v>0</v>
      </c>
      <c r="J8" s="2">
        <v>0</v>
      </c>
      <c r="K8" s="2">
        <f t="shared" si="0"/>
        <v>3</v>
      </c>
      <c r="L8" s="2">
        <f t="shared" si="1"/>
        <v>1.3</v>
      </c>
      <c r="M8" s="2">
        <f t="shared" si="1"/>
        <v>1.5</v>
      </c>
      <c r="N8" s="2">
        <v>10</v>
      </c>
      <c r="O8" s="2">
        <f t="shared" si="7"/>
        <v>239.2</v>
      </c>
      <c r="P8" s="2">
        <f t="shared" si="8"/>
        <v>20.74</v>
      </c>
      <c r="Q8" s="2">
        <f t="shared" si="9"/>
        <v>3312</v>
      </c>
      <c r="R8" s="2">
        <f t="shared" si="10"/>
        <v>287.14999999999998</v>
      </c>
      <c r="S8" s="2">
        <f t="shared" si="11"/>
        <v>104</v>
      </c>
      <c r="T8" s="2">
        <f t="shared" si="12"/>
        <v>13.26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>
        <v>1002</v>
      </c>
      <c r="AA8" s="12" t="s">
        <v>126</v>
      </c>
      <c r="AB8" s="46" t="s">
        <v>97</v>
      </c>
      <c r="AC8">
        <f t="shared" si="13"/>
        <v>105</v>
      </c>
      <c r="AD8" s="2">
        <v>0</v>
      </c>
      <c r="AE8">
        <v>0</v>
      </c>
      <c r="AF8">
        <v>0</v>
      </c>
      <c r="AG8">
        <v>0</v>
      </c>
      <c r="AI8">
        <v>1</v>
      </c>
      <c r="AJ8" s="1">
        <f t="shared" si="3"/>
        <v>216.8928196018166</v>
      </c>
      <c r="AK8">
        <v>8</v>
      </c>
      <c r="AL8">
        <f t="shared" si="14"/>
        <v>239.2</v>
      </c>
      <c r="AM8">
        <f t="shared" si="15"/>
        <v>12.199199999999999</v>
      </c>
      <c r="AN8">
        <f t="shared" si="16"/>
        <v>3311.9999999999995</v>
      </c>
      <c r="AO8">
        <f t="shared" si="17"/>
        <v>168.91199999999998</v>
      </c>
      <c r="AP8">
        <f t="shared" si="18"/>
        <v>104</v>
      </c>
      <c r="AQ8">
        <f t="shared" si="19"/>
        <v>7.8</v>
      </c>
      <c r="AR8">
        <f t="shared" si="4"/>
        <v>1.3</v>
      </c>
      <c r="AS8">
        <f t="shared" si="5"/>
        <v>1.5</v>
      </c>
      <c r="AT8">
        <f t="shared" si="6"/>
        <v>3</v>
      </c>
      <c r="AU8">
        <v>1</v>
      </c>
      <c r="AV8">
        <v>1</v>
      </c>
      <c r="AW8">
        <v>0</v>
      </c>
      <c r="AX8">
        <v>0.7</v>
      </c>
      <c r="BB8" s="20">
        <v>2003</v>
      </c>
      <c r="BC8" s="21" t="s">
        <v>127</v>
      </c>
      <c r="BD8" s="58">
        <v>0.7</v>
      </c>
      <c r="BE8" s="20">
        <f t="shared" si="27"/>
        <v>1.4285714285714286</v>
      </c>
      <c r="BF8" s="22">
        <v>2</v>
      </c>
      <c r="BG8" s="23">
        <v>1.5</v>
      </c>
      <c r="BH8" s="25">
        <f t="shared" si="20"/>
        <v>84</v>
      </c>
      <c r="BI8" s="25">
        <f t="shared" si="21"/>
        <v>2057.1428571428573</v>
      </c>
      <c r="BJ8" s="25">
        <f t="shared" si="22"/>
        <v>42</v>
      </c>
      <c r="BK8">
        <v>3</v>
      </c>
      <c r="BL8">
        <f t="shared" si="23"/>
        <v>56</v>
      </c>
      <c r="BM8">
        <f t="shared" si="24"/>
        <v>1</v>
      </c>
      <c r="BN8" s="56">
        <v>30</v>
      </c>
      <c r="BO8">
        <f t="shared" si="25"/>
        <v>1</v>
      </c>
      <c r="BP8" s="20">
        <v>30</v>
      </c>
      <c r="BQ8" s="2">
        <v>1.5</v>
      </c>
      <c r="BR8">
        <v>0.8</v>
      </c>
      <c r="BS8" s="26">
        <f t="shared" si="26"/>
        <v>1.25</v>
      </c>
      <c r="BT8">
        <f t="shared" si="29"/>
        <v>84</v>
      </c>
      <c r="BV8">
        <f t="shared" si="28"/>
        <v>0.72413793103448276</v>
      </c>
      <c r="CD8" s="2" t="s">
        <v>124</v>
      </c>
      <c r="CE8" t="s">
        <v>128</v>
      </c>
      <c r="CG8" s="2" t="s">
        <v>124</v>
      </c>
      <c r="CH8" t="s">
        <v>128</v>
      </c>
    </row>
    <row r="9" spans="1:86">
      <c r="A9" s="2">
        <v>105</v>
      </c>
      <c r="B9" t="s">
        <v>129</v>
      </c>
      <c r="C9">
        <v>0</v>
      </c>
      <c r="D9">
        <v>8</v>
      </c>
      <c r="E9">
        <v>1</v>
      </c>
      <c r="F9">
        <v>0</v>
      </c>
      <c r="G9" t="s">
        <v>130</v>
      </c>
      <c r="H9" t="s">
        <v>130</v>
      </c>
      <c r="I9" s="2">
        <v>0</v>
      </c>
      <c r="J9" s="2">
        <v>0</v>
      </c>
      <c r="K9" s="2">
        <f t="shared" si="0"/>
        <v>3</v>
      </c>
      <c r="L9" s="2">
        <f t="shared" si="1"/>
        <v>1.3</v>
      </c>
      <c r="M9" s="2">
        <f t="shared" si="1"/>
        <v>1.5</v>
      </c>
      <c r="N9" s="2">
        <v>10</v>
      </c>
      <c r="O9" s="2">
        <f t="shared" si="7"/>
        <v>265.2</v>
      </c>
      <c r="P9" s="2">
        <f t="shared" si="8"/>
        <v>24.35</v>
      </c>
      <c r="Q9" s="2">
        <f t="shared" si="9"/>
        <v>3672</v>
      </c>
      <c r="R9" s="2">
        <f t="shared" si="10"/>
        <v>337.09</v>
      </c>
      <c r="S9" s="2">
        <f t="shared" si="11"/>
        <v>115.3</v>
      </c>
      <c r="T9" s="2">
        <f t="shared" si="12"/>
        <v>15.57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>
        <v>1002</v>
      </c>
      <c r="AA9" s="12" t="s">
        <v>131</v>
      </c>
      <c r="AB9" s="46" t="s">
        <v>97</v>
      </c>
      <c r="AC9">
        <f t="shared" si="13"/>
        <v>106</v>
      </c>
      <c r="AD9" s="2">
        <v>0</v>
      </c>
      <c r="AE9">
        <v>0</v>
      </c>
      <c r="AF9">
        <v>0</v>
      </c>
      <c r="AG9">
        <v>0</v>
      </c>
      <c r="AI9">
        <v>1</v>
      </c>
      <c r="AJ9" s="1">
        <f t="shared" si="3"/>
        <v>267.27040604510233</v>
      </c>
      <c r="AK9">
        <v>9</v>
      </c>
      <c r="AL9">
        <f t="shared" si="14"/>
        <v>265.2</v>
      </c>
      <c r="AM9">
        <f t="shared" si="15"/>
        <v>13.525199999999998</v>
      </c>
      <c r="AN9">
        <f t="shared" si="16"/>
        <v>3671.9999999999995</v>
      </c>
      <c r="AO9">
        <f t="shared" si="17"/>
        <v>187.27199999999996</v>
      </c>
      <c r="AP9">
        <f t="shared" si="18"/>
        <v>115.30434782608695</v>
      </c>
      <c r="AQ9">
        <f t="shared" si="19"/>
        <v>8.6478260869565204</v>
      </c>
      <c r="AR9">
        <f t="shared" si="4"/>
        <v>1.3</v>
      </c>
      <c r="AS9">
        <f t="shared" si="5"/>
        <v>1.5</v>
      </c>
      <c r="AT9">
        <f t="shared" si="6"/>
        <v>3</v>
      </c>
      <c r="AU9">
        <v>1</v>
      </c>
      <c r="AV9">
        <v>1</v>
      </c>
      <c r="AW9">
        <v>0</v>
      </c>
      <c r="AX9">
        <v>0.8</v>
      </c>
      <c r="BB9" s="20">
        <v>2011</v>
      </c>
      <c r="BC9" s="21" t="s">
        <v>132</v>
      </c>
      <c r="BD9" s="58">
        <v>0.6</v>
      </c>
      <c r="BE9" s="20">
        <f t="shared" si="27"/>
        <v>1.6666666666666667</v>
      </c>
      <c r="BF9" s="22">
        <v>1.7</v>
      </c>
      <c r="BG9" s="23">
        <v>1.6</v>
      </c>
      <c r="BH9" s="25">
        <f t="shared" si="20"/>
        <v>76.8</v>
      </c>
      <c r="BI9" s="25">
        <f t="shared" si="21"/>
        <v>2400</v>
      </c>
      <c r="BJ9" s="25">
        <f t="shared" si="22"/>
        <v>45.176470588235297</v>
      </c>
      <c r="BK9">
        <v>3</v>
      </c>
      <c r="BL9">
        <f t="shared" si="23"/>
        <v>47.999999999999993</v>
      </c>
      <c r="BM9">
        <f t="shared" si="24"/>
        <v>1.6666666666666667</v>
      </c>
      <c r="BN9" s="20">
        <v>50</v>
      </c>
      <c r="BO9">
        <f t="shared" si="25"/>
        <v>1.6</v>
      </c>
      <c r="BP9" s="20">
        <v>48</v>
      </c>
      <c r="BQ9" s="2">
        <v>1.2</v>
      </c>
      <c r="BR9">
        <v>0.9</v>
      </c>
      <c r="BS9" s="26">
        <f t="shared" si="26"/>
        <v>1.1111111111111112</v>
      </c>
      <c r="BT9">
        <f t="shared" si="29"/>
        <v>79.2</v>
      </c>
      <c r="BV9">
        <f t="shared" si="28"/>
        <v>0.7384615384615385</v>
      </c>
      <c r="CD9" s="2" t="s">
        <v>129</v>
      </c>
      <c r="CE9" t="s">
        <v>133</v>
      </c>
      <c r="CG9" s="2" t="s">
        <v>129</v>
      </c>
      <c r="CH9" t="s">
        <v>133</v>
      </c>
    </row>
    <row r="10" spans="1:86">
      <c r="A10" s="2">
        <v>106</v>
      </c>
      <c r="B10" t="s">
        <v>134</v>
      </c>
      <c r="C10">
        <v>0</v>
      </c>
      <c r="D10">
        <v>9</v>
      </c>
      <c r="E10">
        <v>1</v>
      </c>
      <c r="F10">
        <v>0</v>
      </c>
      <c r="G10" t="s">
        <v>135</v>
      </c>
      <c r="H10" t="s">
        <v>135</v>
      </c>
      <c r="I10" s="2">
        <v>0</v>
      </c>
      <c r="J10" s="2">
        <v>0</v>
      </c>
      <c r="K10" s="2">
        <f t="shared" si="0"/>
        <v>3</v>
      </c>
      <c r="L10" s="2">
        <f t="shared" si="1"/>
        <v>1.3</v>
      </c>
      <c r="M10" s="2">
        <f t="shared" si="1"/>
        <v>1.5</v>
      </c>
      <c r="N10" s="2">
        <v>10</v>
      </c>
      <c r="O10" s="2">
        <f t="shared" si="7"/>
        <v>291.2</v>
      </c>
      <c r="P10" s="2">
        <f t="shared" si="8"/>
        <v>28.22</v>
      </c>
      <c r="Q10" s="2">
        <f t="shared" si="9"/>
        <v>4032</v>
      </c>
      <c r="R10" s="2">
        <f t="shared" si="10"/>
        <v>390.7</v>
      </c>
      <c r="S10" s="2">
        <f t="shared" si="11"/>
        <v>126.61</v>
      </c>
      <c r="T10" s="2">
        <f t="shared" si="12"/>
        <v>18.04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>
        <v>1003</v>
      </c>
      <c r="AA10" s="12" t="s">
        <v>131</v>
      </c>
      <c r="AB10" s="46" t="s">
        <v>97</v>
      </c>
      <c r="AC10">
        <f t="shared" si="13"/>
        <v>107</v>
      </c>
      <c r="AD10" s="2">
        <v>0</v>
      </c>
      <c r="AE10">
        <v>0</v>
      </c>
      <c r="AF10">
        <v>0</v>
      </c>
      <c r="AG10">
        <v>0</v>
      </c>
      <c r="AI10">
        <v>1</v>
      </c>
      <c r="AJ10" s="1">
        <f t="shared" si="3"/>
        <v>323.05039972379268</v>
      </c>
      <c r="AK10">
        <v>10</v>
      </c>
      <c r="AL10">
        <f t="shared" si="14"/>
        <v>291.2</v>
      </c>
      <c r="AM10">
        <f t="shared" si="15"/>
        <v>14.851199999999999</v>
      </c>
      <c r="AN10">
        <f t="shared" si="16"/>
        <v>4031.9999999999995</v>
      </c>
      <c r="AO10">
        <f t="shared" si="17"/>
        <v>205.63199999999998</v>
      </c>
      <c r="AP10">
        <f t="shared" si="18"/>
        <v>126.60869565217392</v>
      </c>
      <c r="AQ10">
        <f t="shared" si="19"/>
        <v>9.4956521739130437</v>
      </c>
      <c r="AR10">
        <f t="shared" si="4"/>
        <v>1.3</v>
      </c>
      <c r="AS10">
        <f t="shared" si="5"/>
        <v>1.5</v>
      </c>
      <c r="AT10">
        <f t="shared" si="6"/>
        <v>3</v>
      </c>
      <c r="AU10">
        <v>1</v>
      </c>
      <c r="AV10">
        <v>1</v>
      </c>
      <c r="AW10">
        <v>0</v>
      </c>
      <c r="AX10">
        <v>0.9</v>
      </c>
      <c r="BB10" s="20">
        <v>2012</v>
      </c>
      <c r="BC10" s="21" t="s">
        <v>136</v>
      </c>
      <c r="BD10" s="58">
        <v>0.8</v>
      </c>
      <c r="BE10" s="20">
        <f t="shared" si="27"/>
        <v>1.25</v>
      </c>
      <c r="BF10" s="22">
        <v>2.2999999999999998</v>
      </c>
      <c r="BG10" s="23">
        <v>1.5</v>
      </c>
      <c r="BH10" s="25">
        <f t="shared" si="20"/>
        <v>96</v>
      </c>
      <c r="BI10" s="25">
        <f t="shared" si="21"/>
        <v>1800</v>
      </c>
      <c r="BJ10" s="25">
        <f t="shared" si="22"/>
        <v>41.739130434782609</v>
      </c>
      <c r="BK10">
        <v>3</v>
      </c>
      <c r="BL10">
        <f t="shared" si="23"/>
        <v>64</v>
      </c>
      <c r="BM10">
        <f t="shared" si="24"/>
        <v>1.3333333333333333</v>
      </c>
      <c r="BN10" s="20">
        <v>40</v>
      </c>
      <c r="BO10">
        <f t="shared" si="25"/>
        <v>1.6</v>
      </c>
      <c r="BP10" s="20">
        <v>48</v>
      </c>
      <c r="BQ10" s="2">
        <v>1</v>
      </c>
      <c r="BR10">
        <v>0.9</v>
      </c>
      <c r="BS10" s="26">
        <f t="shared" si="26"/>
        <v>1.1111111111111112</v>
      </c>
      <c r="BT10">
        <f t="shared" si="29"/>
        <v>96</v>
      </c>
      <c r="BV10">
        <f t="shared" si="28"/>
        <v>0.72289156626506024</v>
      </c>
      <c r="CD10" s="2" t="s">
        <v>134</v>
      </c>
      <c r="CE10" t="s">
        <v>137</v>
      </c>
      <c r="CG10" s="2" t="s">
        <v>134</v>
      </c>
      <c r="CH10" t="s">
        <v>137</v>
      </c>
    </row>
    <row r="11" spans="1:86">
      <c r="A11" s="2">
        <v>107</v>
      </c>
      <c r="B11" t="s">
        <v>138</v>
      </c>
      <c r="C11">
        <v>0</v>
      </c>
      <c r="D11">
        <v>10</v>
      </c>
      <c r="E11">
        <v>1</v>
      </c>
      <c r="F11">
        <v>0</v>
      </c>
      <c r="G11" t="s">
        <v>139</v>
      </c>
      <c r="H11" t="s">
        <v>139</v>
      </c>
      <c r="I11" s="2">
        <v>0</v>
      </c>
      <c r="J11" s="2">
        <v>0</v>
      </c>
      <c r="K11" s="2">
        <f t="shared" si="0"/>
        <v>3</v>
      </c>
      <c r="L11" s="2">
        <f t="shared" si="1"/>
        <v>1.3</v>
      </c>
      <c r="M11" s="2">
        <f t="shared" si="1"/>
        <v>1.5</v>
      </c>
      <c r="N11" s="2">
        <v>10</v>
      </c>
      <c r="O11" s="2">
        <f t="shared" si="7"/>
        <v>322.39999999999998</v>
      </c>
      <c r="P11" s="2">
        <f t="shared" si="8"/>
        <v>32.880000000000003</v>
      </c>
      <c r="Q11" s="2">
        <f t="shared" si="9"/>
        <v>4464</v>
      </c>
      <c r="R11" s="2">
        <f t="shared" si="10"/>
        <v>455.33</v>
      </c>
      <c r="S11" s="2">
        <f t="shared" si="11"/>
        <v>140.16999999999999</v>
      </c>
      <c r="T11" s="2">
        <f t="shared" si="12"/>
        <v>21.03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>
        <v>1003</v>
      </c>
      <c r="AA11" s="12" t="s">
        <v>140</v>
      </c>
      <c r="AB11" s="46" t="s">
        <v>97</v>
      </c>
      <c r="AC11">
        <f t="shared" si="13"/>
        <v>108</v>
      </c>
      <c r="AD11" s="2">
        <v>0</v>
      </c>
      <c r="AE11">
        <v>0</v>
      </c>
      <c r="AF11">
        <v>0</v>
      </c>
      <c r="AG11">
        <v>0</v>
      </c>
      <c r="AI11">
        <v>1</v>
      </c>
      <c r="AJ11" s="1">
        <f t="shared" si="3"/>
        <v>397.17475506529121</v>
      </c>
      <c r="AK11">
        <v>11</v>
      </c>
      <c r="AL11">
        <f t="shared" si="14"/>
        <v>322.40000000000003</v>
      </c>
      <c r="AM11">
        <f t="shared" si="15"/>
        <v>16.442399999999999</v>
      </c>
      <c r="AN11">
        <f t="shared" si="16"/>
        <v>4464</v>
      </c>
      <c r="AO11">
        <f t="shared" si="17"/>
        <v>227.66399999999999</v>
      </c>
      <c r="AP11">
        <f t="shared" si="18"/>
        <v>140.17391304347828</v>
      </c>
      <c r="AQ11">
        <f t="shared" si="19"/>
        <v>10.513043478260871</v>
      </c>
      <c r="AR11">
        <f t="shared" si="4"/>
        <v>1.3</v>
      </c>
      <c r="AS11">
        <f t="shared" si="5"/>
        <v>1.5</v>
      </c>
      <c r="AT11">
        <f t="shared" si="6"/>
        <v>3</v>
      </c>
      <c r="AU11">
        <v>1</v>
      </c>
      <c r="AV11">
        <v>1</v>
      </c>
      <c r="AW11">
        <v>0</v>
      </c>
      <c r="AX11">
        <v>1</v>
      </c>
      <c r="BB11" s="20">
        <v>2013</v>
      </c>
      <c r="BC11" s="21" t="s">
        <v>141</v>
      </c>
      <c r="BD11" s="58">
        <v>0.6</v>
      </c>
      <c r="BE11" s="20">
        <f t="shared" si="27"/>
        <v>1.6666666666666667</v>
      </c>
      <c r="BF11" s="22">
        <v>2</v>
      </c>
      <c r="BG11" s="23">
        <v>1.7</v>
      </c>
      <c r="BH11" s="25">
        <f t="shared" si="20"/>
        <v>81.599999999999994</v>
      </c>
      <c r="BI11" s="25">
        <f t="shared" si="21"/>
        <v>2400</v>
      </c>
      <c r="BJ11" s="25">
        <f t="shared" si="22"/>
        <v>40.799999999999997</v>
      </c>
      <c r="BK11">
        <v>3</v>
      </c>
      <c r="BL11">
        <f t="shared" si="23"/>
        <v>48</v>
      </c>
      <c r="BM11">
        <f t="shared" si="24"/>
        <v>1.6666666666666667</v>
      </c>
      <c r="BN11" s="20">
        <v>50</v>
      </c>
      <c r="BO11">
        <f t="shared" si="25"/>
        <v>1.6</v>
      </c>
      <c r="BP11" s="20">
        <v>48</v>
      </c>
      <c r="BQ11" s="2">
        <v>1.2</v>
      </c>
      <c r="BR11">
        <v>0.9</v>
      </c>
      <c r="BS11" s="26">
        <f t="shared" si="26"/>
        <v>1.1111111111111112</v>
      </c>
      <c r="BT11">
        <f t="shared" si="29"/>
        <v>86.399999999999991</v>
      </c>
      <c r="BV11">
        <f t="shared" si="28"/>
        <v>0.71830985915492962</v>
      </c>
      <c r="CD11" s="2" t="s">
        <v>138</v>
      </c>
      <c r="CE11" t="s">
        <v>142</v>
      </c>
      <c r="CG11" s="2" t="s">
        <v>138</v>
      </c>
      <c r="CH11" t="s">
        <v>142</v>
      </c>
    </row>
    <row r="12" spans="1:86">
      <c r="A12" s="2">
        <v>108</v>
      </c>
      <c r="B12" t="s">
        <v>143</v>
      </c>
      <c r="C12">
        <v>0</v>
      </c>
      <c r="D12">
        <v>11</v>
      </c>
      <c r="E12">
        <v>1</v>
      </c>
      <c r="F12">
        <v>0</v>
      </c>
      <c r="G12" t="s">
        <v>144</v>
      </c>
      <c r="H12" t="s">
        <v>144</v>
      </c>
      <c r="I12" s="2">
        <v>0</v>
      </c>
      <c r="J12" s="2">
        <v>0</v>
      </c>
      <c r="K12" s="2">
        <f t="shared" si="0"/>
        <v>3</v>
      </c>
      <c r="L12" s="2">
        <f t="shared" si="1"/>
        <v>1.3</v>
      </c>
      <c r="M12" s="2">
        <f t="shared" si="1"/>
        <v>1.5</v>
      </c>
      <c r="N12" s="2">
        <v>10</v>
      </c>
      <c r="O12" s="2">
        <f t="shared" si="7"/>
        <v>353.6</v>
      </c>
      <c r="P12" s="2">
        <f t="shared" si="8"/>
        <v>37.869999999999997</v>
      </c>
      <c r="Q12" s="2">
        <f t="shared" si="9"/>
        <v>4896</v>
      </c>
      <c r="R12" s="2">
        <f t="shared" si="10"/>
        <v>524.36</v>
      </c>
      <c r="S12" s="2">
        <f t="shared" si="11"/>
        <v>153.74</v>
      </c>
      <c r="T12" s="2">
        <f t="shared" si="12"/>
        <v>24.21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>
        <v>1003</v>
      </c>
      <c r="AA12" s="12" t="s">
        <v>145</v>
      </c>
      <c r="AB12" s="46" t="s">
        <v>97</v>
      </c>
      <c r="AC12">
        <f t="shared" si="13"/>
        <v>109</v>
      </c>
      <c r="AD12" s="2">
        <v>0</v>
      </c>
      <c r="AE12">
        <v>0</v>
      </c>
      <c r="AF12">
        <v>0</v>
      </c>
      <c r="AG12">
        <v>0</v>
      </c>
      <c r="AI12">
        <v>1</v>
      </c>
      <c r="AJ12" s="1">
        <f t="shared" si="3"/>
        <v>479.20797697805364</v>
      </c>
      <c r="AK12">
        <v>12</v>
      </c>
      <c r="AL12">
        <f t="shared" si="14"/>
        <v>353.59999999999997</v>
      </c>
      <c r="AM12">
        <f t="shared" si="15"/>
        <v>18.033599999999996</v>
      </c>
      <c r="AN12">
        <f t="shared" si="16"/>
        <v>4896</v>
      </c>
      <c r="AO12">
        <f t="shared" si="17"/>
        <v>249.696</v>
      </c>
      <c r="AP12">
        <f t="shared" si="18"/>
        <v>153.7391304347826</v>
      </c>
      <c r="AQ12">
        <f t="shared" si="19"/>
        <v>11.530434782608694</v>
      </c>
      <c r="AR12">
        <f t="shared" si="4"/>
        <v>1.3</v>
      </c>
      <c r="AS12">
        <f t="shared" si="5"/>
        <v>1.5</v>
      </c>
      <c r="AT12">
        <f t="shared" si="6"/>
        <v>3</v>
      </c>
      <c r="AU12">
        <v>1</v>
      </c>
      <c r="AV12">
        <v>1</v>
      </c>
      <c r="AW12">
        <v>0</v>
      </c>
      <c r="AX12">
        <v>1.1000000000000001</v>
      </c>
      <c r="BB12" s="20">
        <v>2014</v>
      </c>
      <c r="BC12" s="21" t="s">
        <v>146</v>
      </c>
      <c r="BD12" s="58">
        <v>0.8</v>
      </c>
      <c r="BE12" s="20">
        <f t="shared" si="27"/>
        <v>1.25</v>
      </c>
      <c r="BF12" s="22">
        <v>2.7</v>
      </c>
      <c r="BG12" s="23">
        <v>1.8</v>
      </c>
      <c r="BH12" s="25">
        <f t="shared" si="20"/>
        <v>115.2</v>
      </c>
      <c r="BI12" s="25">
        <f t="shared" si="21"/>
        <v>1800</v>
      </c>
      <c r="BJ12" s="25">
        <f t="shared" si="22"/>
        <v>42.666666666666664</v>
      </c>
      <c r="BK12">
        <v>3</v>
      </c>
      <c r="BL12">
        <f t="shared" si="23"/>
        <v>64</v>
      </c>
      <c r="BM12">
        <f t="shared" si="24"/>
        <v>1.6666666666666667</v>
      </c>
      <c r="BN12" s="20">
        <v>50</v>
      </c>
      <c r="BO12">
        <f t="shared" si="25"/>
        <v>1.6</v>
      </c>
      <c r="BP12" s="20">
        <v>48</v>
      </c>
      <c r="BQ12" s="2">
        <v>1.8</v>
      </c>
      <c r="BR12">
        <v>1.1000000000000001</v>
      </c>
      <c r="BS12" s="26">
        <f t="shared" si="26"/>
        <v>0.90909090909090906</v>
      </c>
      <c r="BT12">
        <f t="shared" si="29"/>
        <v>124.80000000000001</v>
      </c>
      <c r="BV12">
        <f t="shared" si="28"/>
        <v>0.72727272727272729</v>
      </c>
      <c r="CD12" s="2" t="s">
        <v>143</v>
      </c>
      <c r="CE12" t="s">
        <v>147</v>
      </c>
      <c r="CG12" s="2" t="s">
        <v>143</v>
      </c>
      <c r="CH12" t="s">
        <v>147</v>
      </c>
    </row>
    <row r="13" spans="1:86">
      <c r="A13" s="2">
        <v>109</v>
      </c>
      <c r="B13" t="s">
        <v>148</v>
      </c>
      <c r="C13">
        <v>0</v>
      </c>
      <c r="D13">
        <v>12</v>
      </c>
      <c r="E13">
        <v>1</v>
      </c>
      <c r="F13">
        <v>0</v>
      </c>
      <c r="G13" t="s">
        <v>149</v>
      </c>
      <c r="H13" t="s">
        <v>149</v>
      </c>
      <c r="I13" s="2">
        <v>0</v>
      </c>
      <c r="J13" s="2">
        <v>0</v>
      </c>
      <c r="K13" s="2">
        <f t="shared" si="0"/>
        <v>3</v>
      </c>
      <c r="L13" s="2">
        <f t="shared" si="1"/>
        <v>1.3</v>
      </c>
      <c r="M13" s="2">
        <f t="shared" si="1"/>
        <v>1.5</v>
      </c>
      <c r="N13" s="2">
        <v>10</v>
      </c>
      <c r="O13" s="2">
        <f t="shared" si="7"/>
        <v>384.8</v>
      </c>
      <c r="P13" s="2">
        <f t="shared" si="8"/>
        <v>43.17</v>
      </c>
      <c r="Q13" s="2">
        <f t="shared" si="9"/>
        <v>5328</v>
      </c>
      <c r="R13" s="2">
        <f t="shared" si="10"/>
        <v>597.79999999999995</v>
      </c>
      <c r="S13" s="2">
        <f t="shared" si="11"/>
        <v>167.3</v>
      </c>
      <c r="T13" s="2">
        <f t="shared" si="12"/>
        <v>27.61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>
        <v>1003</v>
      </c>
      <c r="AA13" s="12" t="s">
        <v>150</v>
      </c>
      <c r="AB13" s="46" t="s">
        <v>97</v>
      </c>
      <c r="AC13">
        <f t="shared" si="13"/>
        <v>110</v>
      </c>
      <c r="AD13" s="2">
        <v>0</v>
      </c>
      <c r="AE13">
        <v>0</v>
      </c>
      <c r="AF13">
        <v>0</v>
      </c>
      <c r="AG13">
        <v>0</v>
      </c>
      <c r="AI13">
        <v>1</v>
      </c>
      <c r="AJ13" s="1">
        <f t="shared" si="3"/>
        <v>569.22184660485607</v>
      </c>
      <c r="AK13">
        <v>13</v>
      </c>
      <c r="AL13">
        <f t="shared" si="14"/>
        <v>384.8</v>
      </c>
      <c r="AM13">
        <f t="shared" si="15"/>
        <v>19.6248</v>
      </c>
      <c r="AN13">
        <f t="shared" si="16"/>
        <v>5328</v>
      </c>
      <c r="AO13">
        <f t="shared" si="17"/>
        <v>271.72800000000001</v>
      </c>
      <c r="AP13">
        <f t="shared" si="18"/>
        <v>167.30434782608697</v>
      </c>
      <c r="AQ13">
        <f t="shared" si="19"/>
        <v>12.547826086956523</v>
      </c>
      <c r="AR13">
        <f t="shared" si="4"/>
        <v>1.3</v>
      </c>
      <c r="AS13">
        <f t="shared" si="5"/>
        <v>1.5</v>
      </c>
      <c r="AT13">
        <f t="shared" si="6"/>
        <v>3</v>
      </c>
      <c r="AU13">
        <v>1</v>
      </c>
      <c r="AV13">
        <v>1</v>
      </c>
      <c r="AW13">
        <v>0</v>
      </c>
      <c r="AX13">
        <v>1.2</v>
      </c>
      <c r="BB13" s="20">
        <v>2021</v>
      </c>
      <c r="BC13" s="21" t="s">
        <v>151</v>
      </c>
      <c r="BD13" s="58">
        <v>0.8</v>
      </c>
      <c r="BE13" s="20">
        <f t="shared" si="27"/>
        <v>1.25</v>
      </c>
      <c r="BF13" s="22">
        <v>2.7</v>
      </c>
      <c r="BG13" s="23">
        <v>1.6</v>
      </c>
      <c r="BH13" s="25">
        <f t="shared" si="20"/>
        <v>102.40000000000002</v>
      </c>
      <c r="BI13" s="25">
        <f t="shared" si="21"/>
        <v>1800</v>
      </c>
      <c r="BJ13" s="25">
        <f t="shared" si="22"/>
        <v>37.925925925925931</v>
      </c>
      <c r="BK13">
        <v>3</v>
      </c>
      <c r="BL13">
        <f t="shared" si="23"/>
        <v>64.000000000000014</v>
      </c>
      <c r="BM13">
        <f t="shared" si="24"/>
        <v>1.6666666666666667</v>
      </c>
      <c r="BN13" s="20">
        <v>50</v>
      </c>
      <c r="BO13">
        <f t="shared" si="25"/>
        <v>2</v>
      </c>
      <c r="BP13" s="20">
        <v>60</v>
      </c>
      <c r="BQ13" s="2">
        <v>1.8</v>
      </c>
      <c r="BR13">
        <v>1.1000000000000001</v>
      </c>
      <c r="BS13" s="26">
        <f t="shared" si="26"/>
        <v>0.90909090909090906</v>
      </c>
      <c r="BT13">
        <f t="shared" si="29"/>
        <v>105.60000000000001</v>
      </c>
      <c r="BV13">
        <f t="shared" si="28"/>
        <v>0.70329670329670335</v>
      </c>
      <c r="CD13" s="2" t="s">
        <v>148</v>
      </c>
      <c r="CE13" t="s">
        <v>152</v>
      </c>
      <c r="CG13" s="2" t="s">
        <v>148</v>
      </c>
      <c r="CH13" t="s">
        <v>152</v>
      </c>
    </row>
    <row r="14" spans="1:86">
      <c r="A14" s="2">
        <v>110</v>
      </c>
      <c r="B14" t="s">
        <v>153</v>
      </c>
      <c r="C14">
        <v>0</v>
      </c>
      <c r="D14">
        <v>13</v>
      </c>
      <c r="E14">
        <v>1</v>
      </c>
      <c r="F14">
        <v>0</v>
      </c>
      <c r="G14" t="s">
        <v>154</v>
      </c>
      <c r="H14" t="s">
        <v>154</v>
      </c>
      <c r="I14" s="2">
        <v>0</v>
      </c>
      <c r="J14" s="2">
        <v>0</v>
      </c>
      <c r="K14" s="2">
        <f t="shared" si="0"/>
        <v>3</v>
      </c>
      <c r="L14" s="2">
        <f t="shared" si="1"/>
        <v>1.3</v>
      </c>
      <c r="M14" s="2">
        <f t="shared" si="1"/>
        <v>1.5</v>
      </c>
      <c r="N14" s="2">
        <v>10</v>
      </c>
      <c r="O14" s="2">
        <f t="shared" si="7"/>
        <v>416</v>
      </c>
      <c r="P14" s="2">
        <f t="shared" si="8"/>
        <v>48.8</v>
      </c>
      <c r="Q14" s="2">
        <f t="shared" si="9"/>
        <v>5760</v>
      </c>
      <c r="R14" s="2">
        <f t="shared" si="10"/>
        <v>675.65</v>
      </c>
      <c r="S14" s="2">
        <f t="shared" si="11"/>
        <v>180.87</v>
      </c>
      <c r="T14" s="2">
        <f t="shared" si="12"/>
        <v>31.2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>
        <v>1003</v>
      </c>
      <c r="AA14" s="12" t="s">
        <v>150</v>
      </c>
      <c r="AB14" s="46" t="s">
        <v>97</v>
      </c>
      <c r="AC14">
        <f t="shared" si="13"/>
        <v>111</v>
      </c>
      <c r="AD14" s="2">
        <v>0</v>
      </c>
      <c r="AE14">
        <v>0</v>
      </c>
      <c r="AF14">
        <v>0</v>
      </c>
      <c r="AG14">
        <v>0</v>
      </c>
      <c r="AI14">
        <v>1</v>
      </c>
      <c r="AJ14" s="1">
        <f t="shared" si="3"/>
        <v>667.2890163752171</v>
      </c>
      <c r="AK14">
        <v>14</v>
      </c>
      <c r="AL14">
        <f t="shared" si="14"/>
        <v>416</v>
      </c>
      <c r="AM14">
        <f t="shared" si="15"/>
        <v>21.215999999999998</v>
      </c>
      <c r="AN14">
        <f t="shared" si="16"/>
        <v>5760</v>
      </c>
      <c r="AO14">
        <f t="shared" si="17"/>
        <v>293.76</v>
      </c>
      <c r="AP14">
        <f t="shared" si="18"/>
        <v>180.86956521739131</v>
      </c>
      <c r="AQ14">
        <f t="shared" si="19"/>
        <v>13.565217391304348</v>
      </c>
      <c r="AR14">
        <f t="shared" si="4"/>
        <v>1.3</v>
      </c>
      <c r="AS14">
        <f t="shared" si="5"/>
        <v>1.5</v>
      </c>
      <c r="AT14">
        <f t="shared" si="6"/>
        <v>3</v>
      </c>
      <c r="AU14">
        <v>1</v>
      </c>
      <c r="AV14">
        <v>1</v>
      </c>
      <c r="AW14">
        <v>0</v>
      </c>
      <c r="AX14">
        <v>1.3</v>
      </c>
      <c r="BB14" s="20">
        <v>2022</v>
      </c>
      <c r="BC14" s="21" t="s">
        <v>155</v>
      </c>
      <c r="BD14" s="58">
        <v>1.1499999999999999</v>
      </c>
      <c r="BE14" s="20">
        <f t="shared" ref="BE14:BE15" si="30">1/BD14</f>
        <v>0.86956521739130443</v>
      </c>
      <c r="BF14" s="22">
        <v>4</v>
      </c>
      <c r="BG14" s="23">
        <v>1.6</v>
      </c>
      <c r="BH14" s="25">
        <f t="shared" si="20"/>
        <v>147.20000000000002</v>
      </c>
      <c r="BI14" s="25">
        <f t="shared" si="21"/>
        <v>1252.1739130434785</v>
      </c>
      <c r="BJ14" s="25">
        <f t="shared" ref="BJ14:BJ15" si="31">BH14/BF14</f>
        <v>36.800000000000004</v>
      </c>
      <c r="BK14">
        <v>3</v>
      </c>
      <c r="BL14">
        <f t="shared" ref="BL14:BL15" si="32">BH14/BG14</f>
        <v>92</v>
      </c>
      <c r="BM14">
        <f t="shared" ref="BM14:BM15" si="33">BN14/30</f>
        <v>1.6666666666666667</v>
      </c>
      <c r="BN14" s="20">
        <v>50</v>
      </c>
      <c r="BO14">
        <f t="shared" ref="BO14:BO15" si="34">BP14/30</f>
        <v>2</v>
      </c>
      <c r="BP14" s="20">
        <v>60</v>
      </c>
      <c r="BQ14" s="2">
        <v>1.8</v>
      </c>
      <c r="BR14">
        <v>1.1000000000000001</v>
      </c>
      <c r="BS14" s="26">
        <f t="shared" si="26"/>
        <v>0.90909090909090906</v>
      </c>
      <c r="BT14">
        <f t="shared" si="29"/>
        <v>151.79999999999998</v>
      </c>
      <c r="BV14">
        <f t="shared" si="28"/>
        <v>0.69696969696969702</v>
      </c>
      <c r="CD14" s="2" t="s">
        <v>153</v>
      </c>
      <c r="CE14" t="s">
        <v>156</v>
      </c>
      <c r="CG14" s="2" t="s">
        <v>153</v>
      </c>
      <c r="CH14" t="s">
        <v>156</v>
      </c>
    </row>
    <row r="15" spans="1:86">
      <c r="A15" s="2">
        <v>111</v>
      </c>
      <c r="B15" t="s">
        <v>157</v>
      </c>
      <c r="C15">
        <v>0</v>
      </c>
      <c r="D15">
        <v>14</v>
      </c>
      <c r="E15">
        <v>1</v>
      </c>
      <c r="F15">
        <v>0</v>
      </c>
      <c r="G15" t="s">
        <v>158</v>
      </c>
      <c r="H15" t="s">
        <v>158</v>
      </c>
      <c r="I15" s="2">
        <v>0</v>
      </c>
      <c r="J15" s="2">
        <v>0</v>
      </c>
      <c r="K15" s="2">
        <f t="shared" si="0"/>
        <v>3</v>
      </c>
      <c r="L15" s="2">
        <f t="shared" si="1"/>
        <v>1.3</v>
      </c>
      <c r="M15" s="2">
        <f t="shared" si="1"/>
        <v>1.5</v>
      </c>
      <c r="N15" s="2">
        <v>10</v>
      </c>
      <c r="O15" s="2">
        <f t="shared" si="7"/>
        <v>447.2</v>
      </c>
      <c r="P15" s="2">
        <f t="shared" si="8"/>
        <v>54.74</v>
      </c>
      <c r="Q15" s="2">
        <f t="shared" si="9"/>
        <v>6192</v>
      </c>
      <c r="R15" s="2">
        <f t="shared" si="10"/>
        <v>757.9</v>
      </c>
      <c r="S15" s="2">
        <f t="shared" si="11"/>
        <v>194.43</v>
      </c>
      <c r="T15" s="2">
        <f t="shared" si="12"/>
        <v>35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>
        <v>1003</v>
      </c>
      <c r="AA15" s="12" t="s">
        <v>150</v>
      </c>
      <c r="AB15" s="46" t="s">
        <v>97</v>
      </c>
      <c r="AC15">
        <v>0</v>
      </c>
      <c r="AD15" s="2">
        <v>1</v>
      </c>
      <c r="AE15">
        <v>0</v>
      </c>
      <c r="AF15">
        <v>0</v>
      </c>
      <c r="AG15">
        <v>0</v>
      </c>
      <c r="AI15">
        <v>1</v>
      </c>
      <c r="AJ15" s="1">
        <f t="shared" si="3"/>
        <v>773.48302326534451</v>
      </c>
      <c r="AK15">
        <v>15</v>
      </c>
      <c r="AL15">
        <f t="shared" si="14"/>
        <v>447.2</v>
      </c>
      <c r="AM15">
        <f t="shared" si="15"/>
        <v>22.807199999999998</v>
      </c>
      <c r="AN15">
        <f t="shared" si="16"/>
        <v>6192</v>
      </c>
      <c r="AO15">
        <f t="shared" si="17"/>
        <v>315.79199999999997</v>
      </c>
      <c r="AP15">
        <f t="shared" si="18"/>
        <v>194.43478260869566</v>
      </c>
      <c r="AQ15">
        <f t="shared" si="19"/>
        <v>14.582608695652173</v>
      </c>
      <c r="AR15">
        <f t="shared" si="4"/>
        <v>1.3</v>
      </c>
      <c r="AS15">
        <f t="shared" si="5"/>
        <v>1.5</v>
      </c>
      <c r="AT15">
        <f t="shared" si="6"/>
        <v>3</v>
      </c>
      <c r="AU15">
        <v>1</v>
      </c>
      <c r="AV15">
        <v>1</v>
      </c>
      <c r="AW15">
        <v>0</v>
      </c>
      <c r="AX15">
        <v>1.4</v>
      </c>
      <c r="BB15" s="20">
        <v>2023</v>
      </c>
      <c r="BC15" s="21" t="s">
        <v>159</v>
      </c>
      <c r="BD15" s="58">
        <v>0.9</v>
      </c>
      <c r="BE15" s="20">
        <f t="shared" si="30"/>
        <v>1.1111111111111112</v>
      </c>
      <c r="BF15" s="22">
        <v>3</v>
      </c>
      <c r="BG15" s="23">
        <v>1.7</v>
      </c>
      <c r="BH15" s="25">
        <f t="shared" si="20"/>
        <v>122.39999999999999</v>
      </c>
      <c r="BI15" s="25">
        <f t="shared" si="21"/>
        <v>1600</v>
      </c>
      <c r="BJ15" s="25">
        <f t="shared" si="31"/>
        <v>40.799999999999997</v>
      </c>
      <c r="BK15">
        <v>3</v>
      </c>
      <c r="BL15">
        <f t="shared" si="32"/>
        <v>72</v>
      </c>
      <c r="BM15">
        <f t="shared" si="33"/>
        <v>1.6666666666666667</v>
      </c>
      <c r="BN15" s="20">
        <v>50</v>
      </c>
      <c r="BO15">
        <f t="shared" si="34"/>
        <v>2</v>
      </c>
      <c r="BP15" s="20">
        <v>60</v>
      </c>
      <c r="BQ15" s="2">
        <v>1.5</v>
      </c>
      <c r="BR15">
        <v>1.2</v>
      </c>
      <c r="BS15" s="26">
        <f t="shared" si="26"/>
        <v>0.83333333333333337</v>
      </c>
      <c r="BT15">
        <f t="shared" si="29"/>
        <v>129.6</v>
      </c>
      <c r="BV15">
        <f t="shared" si="28"/>
        <v>0.71830985915492962</v>
      </c>
      <c r="CD15" s="2" t="s">
        <v>157</v>
      </c>
      <c r="CE15" t="s">
        <v>160</v>
      </c>
      <c r="CG15" s="2" t="s">
        <v>157</v>
      </c>
      <c r="CH15" t="s">
        <v>160</v>
      </c>
    </row>
    <row r="16" spans="1:86">
      <c r="A16" s="2">
        <v>200</v>
      </c>
      <c r="B16" t="s">
        <v>94</v>
      </c>
      <c r="C16">
        <v>0</v>
      </c>
      <c r="D16">
        <v>3</v>
      </c>
      <c r="E16">
        <v>1</v>
      </c>
      <c r="F16">
        <v>0</v>
      </c>
      <c r="G16" t="s">
        <v>95</v>
      </c>
      <c r="H16" t="s">
        <v>95</v>
      </c>
      <c r="I16" s="2">
        <v>0</v>
      </c>
      <c r="J16" s="50" t="s">
        <v>1714</v>
      </c>
      <c r="K16" s="2">
        <f t="shared" si="0"/>
        <v>6</v>
      </c>
      <c r="L16" s="2">
        <f t="shared" si="1"/>
        <v>1.3</v>
      </c>
      <c r="M16" s="2">
        <f t="shared" si="1"/>
        <v>1.5</v>
      </c>
      <c r="N16" s="2">
        <v>10</v>
      </c>
      <c r="O16" s="2">
        <f t="shared" si="7"/>
        <v>174.72</v>
      </c>
      <c r="P16" s="2">
        <f t="shared" si="8"/>
        <v>11.58</v>
      </c>
      <c r="Q16" s="2">
        <f t="shared" si="9"/>
        <v>1680</v>
      </c>
      <c r="R16" s="2">
        <f t="shared" si="10"/>
        <v>111.38</v>
      </c>
      <c r="S16" s="2">
        <f t="shared" si="11"/>
        <v>42.61</v>
      </c>
      <c r="T16" s="2">
        <f t="shared" si="12"/>
        <v>4.1500000000000004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>
        <v>2001</v>
      </c>
      <c r="AA16" s="12" t="s">
        <v>162</v>
      </c>
      <c r="AB16" s="46" t="s">
        <v>97</v>
      </c>
      <c r="AC16">
        <f t="shared" si="13"/>
        <v>201</v>
      </c>
      <c r="AD16" s="2">
        <v>0</v>
      </c>
      <c r="AE16">
        <v>0</v>
      </c>
      <c r="AF16">
        <v>0</v>
      </c>
      <c r="AG16">
        <v>0</v>
      </c>
      <c r="AI16">
        <v>1</v>
      </c>
      <c r="AJ16" s="1">
        <f t="shared" si="3"/>
        <v>79.290644218317127</v>
      </c>
      <c r="AK16">
        <v>4</v>
      </c>
      <c r="AL16">
        <f t="shared" si="14"/>
        <v>174.72</v>
      </c>
      <c r="AM16">
        <f t="shared" si="15"/>
        <v>8.9107199999999995</v>
      </c>
      <c r="AN16">
        <f t="shared" si="16"/>
        <v>1680</v>
      </c>
      <c r="AO16">
        <f t="shared" si="17"/>
        <v>85.679999999999993</v>
      </c>
      <c r="AP16">
        <f t="shared" si="18"/>
        <v>42.614634146341466</v>
      </c>
      <c r="AQ16">
        <f t="shared" si="19"/>
        <v>3.1960975609756099</v>
      </c>
      <c r="AR16">
        <f t="shared" si="4"/>
        <v>1.3</v>
      </c>
      <c r="AS16">
        <f t="shared" si="5"/>
        <v>1.5</v>
      </c>
      <c r="AT16">
        <f t="shared" si="6"/>
        <v>6</v>
      </c>
      <c r="AU16">
        <f>AU4+1</f>
        <v>2</v>
      </c>
      <c r="AV16">
        <v>1</v>
      </c>
      <c r="AW16">
        <v>0</v>
      </c>
      <c r="AX16">
        <v>0.3</v>
      </c>
      <c r="BB16" s="20">
        <v>2025</v>
      </c>
      <c r="BC16" s="21" t="s">
        <v>163</v>
      </c>
      <c r="BD16" s="58">
        <v>1</v>
      </c>
      <c r="BE16" s="20">
        <f t="shared" ref="BE16" si="35">1/BD16</f>
        <v>1</v>
      </c>
      <c r="BF16" s="22">
        <v>3</v>
      </c>
      <c r="BG16" s="23">
        <v>1.6</v>
      </c>
      <c r="BH16" s="25">
        <f t="shared" ref="BH16" si="36">BD16*$BH$4*BG16/1.5</f>
        <v>128</v>
      </c>
      <c r="BI16" s="25">
        <f t="shared" ref="BI16" si="37">BE16*$BI$4</f>
        <v>1440</v>
      </c>
      <c r="BJ16" s="25">
        <f t="shared" ref="BJ16" si="38">BH16/BF16</f>
        <v>42.666666666666664</v>
      </c>
      <c r="BK16">
        <v>3</v>
      </c>
      <c r="BL16">
        <f t="shared" ref="BL16" si="39">BH16/BG16</f>
        <v>80</v>
      </c>
      <c r="BM16">
        <f t="shared" ref="BM16" si="40">BN16/30</f>
        <v>1.6666666666666667</v>
      </c>
      <c r="BN16" s="20">
        <v>50</v>
      </c>
      <c r="BO16">
        <f t="shared" ref="BO16" si="41">BP16/30</f>
        <v>2</v>
      </c>
      <c r="BP16" s="20">
        <v>60</v>
      </c>
      <c r="BQ16" s="2">
        <v>1.2</v>
      </c>
      <c r="BR16">
        <v>1.2</v>
      </c>
      <c r="BS16" s="26">
        <f t="shared" si="26"/>
        <v>0.83333333333333337</v>
      </c>
      <c r="BT16">
        <f>$BH$4*(1-(1.5-BG17)*1)*BD17</f>
        <v>110.39999999999999</v>
      </c>
      <c r="BV16">
        <f t="shared" si="28"/>
        <v>0.72727272727272729</v>
      </c>
      <c r="CD16" s="2" t="s">
        <v>157</v>
      </c>
      <c r="CE16" t="s">
        <v>160</v>
      </c>
      <c r="CG16" s="2" t="s">
        <v>157</v>
      </c>
      <c r="CH16" t="s">
        <v>160</v>
      </c>
    </row>
    <row r="17" spans="1:86">
      <c r="A17" s="2">
        <v>201</v>
      </c>
      <c r="B17" t="s">
        <v>111</v>
      </c>
      <c r="C17">
        <v>0</v>
      </c>
      <c r="D17">
        <v>4</v>
      </c>
      <c r="E17">
        <v>1</v>
      </c>
      <c r="F17">
        <v>0</v>
      </c>
      <c r="G17" t="s">
        <v>112</v>
      </c>
      <c r="H17" t="s">
        <v>112</v>
      </c>
      <c r="I17" s="2">
        <v>0</v>
      </c>
      <c r="J17" s="50" t="s">
        <v>1714</v>
      </c>
      <c r="K17" s="2">
        <f t="shared" si="0"/>
        <v>6</v>
      </c>
      <c r="L17" s="2">
        <f t="shared" si="1"/>
        <v>1.3</v>
      </c>
      <c r="M17" s="2">
        <f t="shared" si="1"/>
        <v>1.5</v>
      </c>
      <c r="N17" s="2">
        <v>10</v>
      </c>
      <c r="O17" s="2">
        <f t="shared" si="7"/>
        <v>199.68</v>
      </c>
      <c r="P17" s="2">
        <f t="shared" si="8"/>
        <v>14.26</v>
      </c>
      <c r="Q17" s="2">
        <f t="shared" si="9"/>
        <v>1920</v>
      </c>
      <c r="R17" s="2">
        <f t="shared" si="10"/>
        <v>137.09</v>
      </c>
      <c r="S17" s="2">
        <f t="shared" si="11"/>
        <v>48.7</v>
      </c>
      <c r="T17" s="2">
        <f t="shared" si="12"/>
        <v>5.1100000000000003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>
        <v>2001</v>
      </c>
      <c r="AA17" s="12" t="s">
        <v>162</v>
      </c>
      <c r="AB17" s="46" t="s">
        <v>97</v>
      </c>
      <c r="AC17">
        <f t="shared" si="13"/>
        <v>202</v>
      </c>
      <c r="AD17" s="2">
        <v>0</v>
      </c>
      <c r="AE17">
        <v>0</v>
      </c>
      <c r="AF17">
        <v>0</v>
      </c>
      <c r="AG17">
        <v>0</v>
      </c>
      <c r="AI17">
        <v>1</v>
      </c>
      <c r="AJ17" s="1">
        <f t="shared" si="3"/>
        <v>103.70027650989014</v>
      </c>
      <c r="AK17">
        <v>5</v>
      </c>
      <c r="AL17">
        <f t="shared" si="14"/>
        <v>199.68000000000004</v>
      </c>
      <c r="AM17">
        <f t="shared" si="15"/>
        <v>10.183680000000001</v>
      </c>
      <c r="AN17">
        <f t="shared" si="16"/>
        <v>1920</v>
      </c>
      <c r="AO17">
        <f t="shared" si="17"/>
        <v>97.919999999999987</v>
      </c>
      <c r="AP17">
        <f t="shared" si="18"/>
        <v>48.702439024390259</v>
      </c>
      <c r="AQ17">
        <f t="shared" si="19"/>
        <v>3.6526829268292693</v>
      </c>
      <c r="AR17">
        <f t="shared" si="4"/>
        <v>1.3</v>
      </c>
      <c r="AS17">
        <f t="shared" si="5"/>
        <v>1.5</v>
      </c>
      <c r="AT17">
        <f t="shared" si="6"/>
        <v>6</v>
      </c>
      <c r="AU17">
        <f t="shared" ref="AU17:AU63" si="42">AU5+1</f>
        <v>2</v>
      </c>
      <c r="AV17">
        <v>1</v>
      </c>
      <c r="AW17">
        <v>0</v>
      </c>
      <c r="AX17">
        <v>0.4</v>
      </c>
      <c r="BB17" s="23">
        <v>3005</v>
      </c>
      <c r="BC17" s="21" t="s">
        <v>164</v>
      </c>
      <c r="BD17" s="58">
        <v>1.1499999999999999</v>
      </c>
      <c r="BE17" s="20">
        <f t="shared" ref="BE17:BE56" si="43">1/BD17</f>
        <v>0.86956521739130443</v>
      </c>
      <c r="BF17" s="22">
        <v>4</v>
      </c>
      <c r="BG17" s="23">
        <v>1.3</v>
      </c>
      <c r="BH17" s="25">
        <f t="shared" ref="BH17:BH56" si="44">BD17*$BH$4*BG17/1.5</f>
        <v>119.60000000000001</v>
      </c>
      <c r="BI17" s="25">
        <f t="shared" ref="BI17:BI56" si="45">BE17*$BI$4</f>
        <v>1252.1739130434785</v>
      </c>
      <c r="BJ17" s="25">
        <f t="shared" ref="BJ17:BJ56" si="46">BH17/BF17</f>
        <v>29.900000000000002</v>
      </c>
      <c r="BK17">
        <v>3</v>
      </c>
      <c r="BL17">
        <f t="shared" ref="BL17:BL56" si="47">BH17/BG17</f>
        <v>92</v>
      </c>
      <c r="BM17">
        <f t="shared" ref="BM17:BM56" si="48">BN17/30</f>
        <v>1</v>
      </c>
      <c r="BN17" s="20">
        <v>30</v>
      </c>
      <c r="BO17">
        <f t="shared" ref="BO17:BO56" si="49">BP17/30</f>
        <v>2.5</v>
      </c>
      <c r="BP17" s="20">
        <v>75</v>
      </c>
      <c r="BQ17" s="2">
        <v>1.5</v>
      </c>
      <c r="BR17">
        <v>1</v>
      </c>
      <c r="BS17" s="26">
        <f t="shared" si="26"/>
        <v>1</v>
      </c>
      <c r="BT17">
        <f>$BH$4*(1-(1.5-BG18)*1)*BD18</f>
        <v>105.60000000000001</v>
      </c>
      <c r="BV17">
        <f t="shared" si="28"/>
        <v>0.65141612200435728</v>
      </c>
      <c r="CD17" s="2" t="s">
        <v>157</v>
      </c>
      <c r="CE17" t="s">
        <v>160</v>
      </c>
      <c r="CG17" s="2" t="s">
        <v>157</v>
      </c>
      <c r="CH17" t="s">
        <v>160</v>
      </c>
    </row>
    <row r="18" spans="1:86">
      <c r="A18" s="2">
        <v>202</v>
      </c>
      <c r="B18" t="s">
        <v>115</v>
      </c>
      <c r="C18">
        <v>0</v>
      </c>
      <c r="D18">
        <v>5</v>
      </c>
      <c r="E18">
        <v>1</v>
      </c>
      <c r="F18">
        <v>0</v>
      </c>
      <c r="G18" t="s">
        <v>116</v>
      </c>
      <c r="H18" t="s">
        <v>116</v>
      </c>
      <c r="I18" s="2">
        <v>0</v>
      </c>
      <c r="J18" s="50" t="s">
        <v>1714</v>
      </c>
      <c r="K18" s="2">
        <f t="shared" si="0"/>
        <v>6</v>
      </c>
      <c r="L18" s="2">
        <f t="shared" si="1"/>
        <v>1.3</v>
      </c>
      <c r="M18" s="2">
        <f t="shared" si="1"/>
        <v>1.5</v>
      </c>
      <c r="N18" s="2">
        <v>10</v>
      </c>
      <c r="O18" s="2">
        <f t="shared" si="7"/>
        <v>224.64</v>
      </c>
      <c r="P18" s="2">
        <f t="shared" si="8"/>
        <v>17.18</v>
      </c>
      <c r="Q18" s="2">
        <f t="shared" si="9"/>
        <v>2160</v>
      </c>
      <c r="R18" s="2">
        <f t="shared" si="10"/>
        <v>165.24</v>
      </c>
      <c r="S18" s="2">
        <f t="shared" si="11"/>
        <v>54.79</v>
      </c>
      <c r="T18" s="2">
        <f t="shared" si="12"/>
        <v>6.16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>
        <v>2002</v>
      </c>
      <c r="AA18" s="12" t="s">
        <v>162</v>
      </c>
      <c r="AB18" s="46" t="s">
        <v>97</v>
      </c>
      <c r="AC18">
        <f t="shared" si="13"/>
        <v>203</v>
      </c>
      <c r="AD18" s="2">
        <v>0</v>
      </c>
      <c r="AE18">
        <v>0</v>
      </c>
      <c r="AF18">
        <v>0</v>
      </c>
      <c r="AG18">
        <v>0</v>
      </c>
      <c r="AI18">
        <v>1</v>
      </c>
      <c r="AJ18" s="1">
        <f t="shared" si="3"/>
        <v>131.41949475188304</v>
      </c>
      <c r="AK18">
        <v>6</v>
      </c>
      <c r="AL18">
        <f t="shared" si="14"/>
        <v>224.64000000000001</v>
      </c>
      <c r="AM18">
        <f t="shared" si="15"/>
        <v>11.45664</v>
      </c>
      <c r="AN18">
        <f t="shared" si="16"/>
        <v>2160</v>
      </c>
      <c r="AO18">
        <f t="shared" si="17"/>
        <v>110.16</v>
      </c>
      <c r="AP18">
        <f t="shared" si="18"/>
        <v>54.79024390243903</v>
      </c>
      <c r="AQ18">
        <f t="shared" si="19"/>
        <v>4.1092682926829269</v>
      </c>
      <c r="AR18">
        <f t="shared" si="4"/>
        <v>1.3</v>
      </c>
      <c r="AS18">
        <f t="shared" si="5"/>
        <v>1.5</v>
      </c>
      <c r="AT18">
        <f t="shared" si="6"/>
        <v>6</v>
      </c>
      <c r="AU18">
        <f t="shared" si="42"/>
        <v>2</v>
      </c>
      <c r="AV18">
        <v>1</v>
      </c>
      <c r="AW18">
        <v>0</v>
      </c>
      <c r="AX18">
        <v>0.5</v>
      </c>
      <c r="BB18" s="20">
        <v>3011</v>
      </c>
      <c r="BC18" s="21" t="s">
        <v>165</v>
      </c>
      <c r="BD18" s="58">
        <v>1.1000000000000001</v>
      </c>
      <c r="BE18" s="20">
        <f t="shared" si="43"/>
        <v>0.90909090909090906</v>
      </c>
      <c r="BF18" s="22">
        <v>3.5</v>
      </c>
      <c r="BG18" s="23">
        <v>1.3</v>
      </c>
      <c r="BH18" s="25">
        <f t="shared" si="44"/>
        <v>114.39999999999999</v>
      </c>
      <c r="BI18" s="25">
        <f t="shared" si="45"/>
        <v>1309.090909090909</v>
      </c>
      <c r="BJ18" s="25">
        <f t="shared" si="46"/>
        <v>32.685714285714283</v>
      </c>
      <c r="BK18">
        <v>3</v>
      </c>
      <c r="BL18">
        <f t="shared" si="47"/>
        <v>87.999999999999986</v>
      </c>
      <c r="BM18">
        <f t="shared" si="48"/>
        <v>1.2</v>
      </c>
      <c r="BN18" s="20">
        <v>36</v>
      </c>
      <c r="BO18">
        <f t="shared" si="49"/>
        <v>2.5</v>
      </c>
      <c r="BP18" s="20">
        <v>75</v>
      </c>
      <c r="BQ18" s="2">
        <v>1.5</v>
      </c>
      <c r="BR18">
        <v>1</v>
      </c>
      <c r="BS18" s="26">
        <f t="shared" si="26"/>
        <v>1</v>
      </c>
      <c r="BT18">
        <f>$BH$4*(1-(1.5-BG19)*1)*BD19</f>
        <v>109.2</v>
      </c>
      <c r="BV18">
        <f t="shared" si="28"/>
        <v>0.67136150234741776</v>
      </c>
      <c r="CD18" s="2" t="s">
        <v>94</v>
      </c>
      <c r="CE18" t="s">
        <v>110</v>
      </c>
      <c r="CG18" s="2" t="s">
        <v>94</v>
      </c>
      <c r="CH18" t="s">
        <v>110</v>
      </c>
    </row>
    <row r="19" spans="1:86">
      <c r="A19" s="2">
        <v>203</v>
      </c>
      <c r="B19" t="s">
        <v>119</v>
      </c>
      <c r="C19">
        <v>0</v>
      </c>
      <c r="D19">
        <v>6</v>
      </c>
      <c r="E19">
        <v>1</v>
      </c>
      <c r="F19">
        <v>0</v>
      </c>
      <c r="G19" t="s">
        <v>120</v>
      </c>
      <c r="H19" t="s">
        <v>120</v>
      </c>
      <c r="I19" s="2">
        <v>0</v>
      </c>
      <c r="J19" s="50" t="s">
        <v>1714</v>
      </c>
      <c r="K19" s="2">
        <f t="shared" si="0"/>
        <v>6</v>
      </c>
      <c r="L19" s="2">
        <f t="shared" si="1"/>
        <v>1.3</v>
      </c>
      <c r="M19" s="2">
        <f t="shared" si="1"/>
        <v>1.5</v>
      </c>
      <c r="N19" s="2">
        <v>10</v>
      </c>
      <c r="O19" s="2">
        <f t="shared" si="7"/>
        <v>255.84</v>
      </c>
      <c r="P19" s="2">
        <f t="shared" si="8"/>
        <v>20.88</v>
      </c>
      <c r="Q19" s="2">
        <f t="shared" si="9"/>
        <v>2460</v>
      </c>
      <c r="R19" s="2">
        <f t="shared" si="10"/>
        <v>200.74</v>
      </c>
      <c r="S19" s="2">
        <f t="shared" si="11"/>
        <v>62.4</v>
      </c>
      <c r="T19" s="2">
        <f t="shared" si="12"/>
        <v>7.49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>
        <v>2002</v>
      </c>
      <c r="AA19" s="12" t="s">
        <v>166</v>
      </c>
      <c r="AB19" s="46" t="s">
        <v>97</v>
      </c>
      <c r="AC19">
        <f t="shared" si="13"/>
        <v>204</v>
      </c>
      <c r="AD19" s="2">
        <v>0</v>
      </c>
      <c r="AE19">
        <v>0</v>
      </c>
      <c r="AF19">
        <v>0</v>
      </c>
      <c r="AG19">
        <v>0</v>
      </c>
      <c r="AI19">
        <v>1</v>
      </c>
      <c r="AJ19" s="1">
        <f t="shared" si="3"/>
        <v>170.74268990001863</v>
      </c>
      <c r="AK19">
        <v>7</v>
      </c>
      <c r="AL19">
        <f t="shared" si="14"/>
        <v>255.84</v>
      </c>
      <c r="AM19">
        <f t="shared" si="15"/>
        <v>13.047839999999999</v>
      </c>
      <c r="AN19">
        <f t="shared" si="16"/>
        <v>2460</v>
      </c>
      <c r="AO19">
        <f t="shared" si="17"/>
        <v>125.46</v>
      </c>
      <c r="AP19">
        <f t="shared" si="18"/>
        <v>62.400000000000006</v>
      </c>
      <c r="AQ19">
        <f t="shared" si="19"/>
        <v>4.6800000000000006</v>
      </c>
      <c r="AR19">
        <f t="shared" si="4"/>
        <v>1.3</v>
      </c>
      <c r="AS19">
        <f t="shared" si="5"/>
        <v>1.5</v>
      </c>
      <c r="AT19">
        <f t="shared" si="6"/>
        <v>6</v>
      </c>
      <c r="AU19">
        <f t="shared" si="42"/>
        <v>2</v>
      </c>
      <c r="AV19">
        <v>1</v>
      </c>
      <c r="AW19">
        <v>0</v>
      </c>
      <c r="AX19">
        <v>0.6</v>
      </c>
      <c r="BB19" s="20">
        <v>3012</v>
      </c>
      <c r="BC19" s="21" t="s">
        <v>167</v>
      </c>
      <c r="BD19" s="58">
        <v>1.3</v>
      </c>
      <c r="BE19" s="20">
        <f t="shared" si="43"/>
        <v>0.76923076923076916</v>
      </c>
      <c r="BF19" s="22">
        <v>4</v>
      </c>
      <c r="BG19" s="23">
        <v>1.2</v>
      </c>
      <c r="BH19" s="25">
        <f t="shared" si="44"/>
        <v>124.8</v>
      </c>
      <c r="BI19" s="25">
        <f t="shared" si="45"/>
        <v>1107.6923076923076</v>
      </c>
      <c r="BJ19" s="25">
        <f t="shared" si="46"/>
        <v>31.2</v>
      </c>
      <c r="BK19">
        <v>3</v>
      </c>
      <c r="BL19">
        <f t="shared" si="47"/>
        <v>104</v>
      </c>
      <c r="BM19">
        <f t="shared" si="48"/>
        <v>1.2</v>
      </c>
      <c r="BN19" s="20">
        <v>36</v>
      </c>
      <c r="BO19">
        <f t="shared" si="49"/>
        <v>1.5</v>
      </c>
      <c r="BP19" s="20">
        <v>45</v>
      </c>
      <c r="BQ19">
        <v>1.5</v>
      </c>
      <c r="BR19">
        <v>1</v>
      </c>
      <c r="BS19" s="26">
        <f t="shared" si="26"/>
        <v>1</v>
      </c>
      <c r="BT19">
        <f>$BH$4*(1-(1.5-BG20)*1)*BD20</f>
        <v>100.8</v>
      </c>
      <c r="BV19">
        <f t="shared" si="28"/>
        <v>0.66101694915254239</v>
      </c>
      <c r="CD19" s="2" t="s">
        <v>111</v>
      </c>
      <c r="CE19" t="s">
        <v>114</v>
      </c>
      <c r="CG19" s="2" t="s">
        <v>111</v>
      </c>
      <c r="CH19" t="s">
        <v>114</v>
      </c>
    </row>
    <row r="20" spans="1:86">
      <c r="A20" s="2">
        <v>204</v>
      </c>
      <c r="B20" t="s">
        <v>124</v>
      </c>
      <c r="C20">
        <v>0</v>
      </c>
      <c r="D20">
        <v>7</v>
      </c>
      <c r="E20">
        <v>1</v>
      </c>
      <c r="F20">
        <v>0</v>
      </c>
      <c r="G20" t="s">
        <v>125</v>
      </c>
      <c r="H20" t="s">
        <v>125</v>
      </c>
      <c r="I20" s="2">
        <v>0</v>
      </c>
      <c r="J20" s="50" t="s">
        <v>1714</v>
      </c>
      <c r="K20" s="2">
        <f t="shared" si="0"/>
        <v>6</v>
      </c>
      <c r="L20" s="2">
        <f t="shared" ref="L20:M35" si="50">FLOOR(AR20/1,0.01)</f>
        <v>1.3</v>
      </c>
      <c r="M20" s="2">
        <f t="shared" si="50"/>
        <v>1.5</v>
      </c>
      <c r="N20" s="2">
        <v>10</v>
      </c>
      <c r="O20" s="2">
        <f t="shared" si="7"/>
        <v>287.04000000000002</v>
      </c>
      <c r="P20" s="2">
        <f t="shared" si="8"/>
        <v>24.89</v>
      </c>
      <c r="Q20" s="2">
        <f t="shared" si="9"/>
        <v>2760</v>
      </c>
      <c r="R20" s="2">
        <f t="shared" si="10"/>
        <v>239.29</v>
      </c>
      <c r="S20" s="2">
        <f t="shared" si="11"/>
        <v>70.010000000000005</v>
      </c>
      <c r="T20" s="2">
        <f t="shared" si="12"/>
        <v>8.93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>
        <v>2002</v>
      </c>
      <c r="AA20" s="12" t="s">
        <v>168</v>
      </c>
      <c r="AB20" s="46" t="s">
        <v>97</v>
      </c>
      <c r="AC20">
        <f t="shared" si="13"/>
        <v>205</v>
      </c>
      <c r="AD20" s="2">
        <v>0</v>
      </c>
      <c r="AE20">
        <v>0</v>
      </c>
      <c r="AF20">
        <v>0</v>
      </c>
      <c r="AG20">
        <v>0</v>
      </c>
      <c r="AI20">
        <v>1</v>
      </c>
      <c r="AJ20" s="1">
        <f t="shared" si="3"/>
        <v>215.28356538496922</v>
      </c>
      <c r="AK20">
        <v>8</v>
      </c>
      <c r="AL20">
        <f t="shared" si="14"/>
        <v>287.04000000000002</v>
      </c>
      <c r="AM20">
        <f t="shared" si="15"/>
        <v>14.63904</v>
      </c>
      <c r="AN20">
        <f t="shared" si="16"/>
        <v>2760</v>
      </c>
      <c r="AO20">
        <f t="shared" si="17"/>
        <v>140.76</v>
      </c>
      <c r="AP20">
        <f t="shared" si="18"/>
        <v>70.009756097560981</v>
      </c>
      <c r="AQ20">
        <f t="shared" si="19"/>
        <v>5.2507317073170734</v>
      </c>
      <c r="AR20">
        <f t="shared" si="4"/>
        <v>1.3</v>
      </c>
      <c r="AS20">
        <f t="shared" si="5"/>
        <v>1.5</v>
      </c>
      <c r="AT20">
        <f t="shared" si="6"/>
        <v>6</v>
      </c>
      <c r="AU20">
        <f t="shared" si="42"/>
        <v>2</v>
      </c>
      <c r="AV20">
        <v>1</v>
      </c>
      <c r="AW20">
        <v>0</v>
      </c>
      <c r="AX20">
        <v>0.7</v>
      </c>
      <c r="BB20" s="20">
        <v>3013</v>
      </c>
      <c r="BC20" s="21" t="s">
        <v>169</v>
      </c>
      <c r="BD20" s="58">
        <v>1.2</v>
      </c>
      <c r="BE20" s="20">
        <f t="shared" si="43"/>
        <v>0.83333333333333337</v>
      </c>
      <c r="BF20" s="22">
        <v>3.5</v>
      </c>
      <c r="BG20" s="23">
        <v>1.2</v>
      </c>
      <c r="BH20" s="25">
        <f t="shared" si="44"/>
        <v>115.19999999999999</v>
      </c>
      <c r="BI20" s="25">
        <f t="shared" si="45"/>
        <v>1200</v>
      </c>
      <c r="BJ20" s="25">
        <f t="shared" si="46"/>
        <v>32.914285714285711</v>
      </c>
      <c r="BK20">
        <v>3</v>
      </c>
      <c r="BL20">
        <f t="shared" si="47"/>
        <v>96</v>
      </c>
      <c r="BM20">
        <f t="shared" si="48"/>
        <v>1.2</v>
      </c>
      <c r="BN20" s="20">
        <v>36</v>
      </c>
      <c r="BO20">
        <f t="shared" si="49"/>
        <v>1.2333333333333334</v>
      </c>
      <c r="BP20" s="20">
        <v>37</v>
      </c>
      <c r="BV20">
        <f t="shared" si="28"/>
        <v>0.67289719626168221</v>
      </c>
      <c r="CD20" s="2" t="s">
        <v>115</v>
      </c>
      <c r="CE20" t="s">
        <v>118</v>
      </c>
      <c r="CG20" s="2" t="s">
        <v>115</v>
      </c>
      <c r="CH20" t="s">
        <v>118</v>
      </c>
    </row>
    <row r="21" spans="1:86">
      <c r="A21" s="2">
        <v>205</v>
      </c>
      <c r="B21" t="s">
        <v>129</v>
      </c>
      <c r="C21">
        <v>0</v>
      </c>
      <c r="D21">
        <v>8</v>
      </c>
      <c r="E21">
        <v>1</v>
      </c>
      <c r="F21">
        <v>0</v>
      </c>
      <c r="G21" t="s">
        <v>130</v>
      </c>
      <c r="H21" t="s">
        <v>130</v>
      </c>
      <c r="I21" s="2">
        <v>0</v>
      </c>
      <c r="J21" s="50" t="s">
        <v>1714</v>
      </c>
      <c r="K21" s="2">
        <f t="shared" si="0"/>
        <v>6</v>
      </c>
      <c r="L21" s="2">
        <f t="shared" si="50"/>
        <v>1.3</v>
      </c>
      <c r="M21" s="2">
        <f t="shared" si="50"/>
        <v>1.5</v>
      </c>
      <c r="N21" s="2">
        <v>10</v>
      </c>
      <c r="O21" s="2">
        <f t="shared" si="7"/>
        <v>318.24</v>
      </c>
      <c r="P21" s="2">
        <f t="shared" si="8"/>
        <v>29.21</v>
      </c>
      <c r="Q21" s="2">
        <f t="shared" si="9"/>
        <v>3060</v>
      </c>
      <c r="R21" s="2">
        <f t="shared" si="10"/>
        <v>280.91000000000003</v>
      </c>
      <c r="S21" s="2">
        <f t="shared" si="11"/>
        <v>77.62</v>
      </c>
      <c r="T21" s="2">
        <f t="shared" si="12"/>
        <v>10.48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>
        <v>2002</v>
      </c>
      <c r="AA21" s="12" t="s">
        <v>170</v>
      </c>
      <c r="AB21" s="46" t="s">
        <v>97</v>
      </c>
      <c r="AC21">
        <f t="shared" si="13"/>
        <v>206</v>
      </c>
      <c r="AD21" s="2">
        <v>0</v>
      </c>
      <c r="AE21">
        <v>0</v>
      </c>
      <c r="AF21">
        <v>0</v>
      </c>
      <c r="AG21">
        <v>0</v>
      </c>
      <c r="AI21">
        <v>1</v>
      </c>
      <c r="AJ21" s="1">
        <f t="shared" si="3"/>
        <v>265.06816574529518</v>
      </c>
      <c r="AK21">
        <v>9</v>
      </c>
      <c r="AL21">
        <f t="shared" si="14"/>
        <v>318.24</v>
      </c>
      <c r="AM21">
        <f t="shared" si="15"/>
        <v>16.230239999999998</v>
      </c>
      <c r="AN21">
        <f t="shared" si="16"/>
        <v>3060</v>
      </c>
      <c r="AO21">
        <f t="shared" si="17"/>
        <v>156.06</v>
      </c>
      <c r="AP21">
        <f t="shared" si="18"/>
        <v>77.619512195121956</v>
      </c>
      <c r="AQ21">
        <f t="shared" si="19"/>
        <v>5.8214634146341462</v>
      </c>
      <c r="AR21">
        <f t="shared" si="4"/>
        <v>1.3</v>
      </c>
      <c r="AS21">
        <f t="shared" si="5"/>
        <v>1.5</v>
      </c>
      <c r="AT21">
        <f t="shared" si="6"/>
        <v>6</v>
      </c>
      <c r="AU21">
        <f t="shared" si="42"/>
        <v>2</v>
      </c>
      <c r="AV21">
        <v>1</v>
      </c>
      <c r="AW21">
        <v>0</v>
      </c>
      <c r="AX21">
        <v>0.8</v>
      </c>
      <c r="BB21" s="20">
        <v>3024</v>
      </c>
      <c r="BC21" s="21" t="s">
        <v>171</v>
      </c>
      <c r="BD21" s="58">
        <v>1.1000000000000001</v>
      </c>
      <c r="BE21" s="20">
        <f t="shared" si="43"/>
        <v>0.90909090909090906</v>
      </c>
      <c r="BF21" s="22">
        <v>4</v>
      </c>
      <c r="BG21" s="23">
        <v>1.4</v>
      </c>
      <c r="BH21" s="25">
        <f t="shared" si="44"/>
        <v>123.19999999999999</v>
      </c>
      <c r="BI21" s="25">
        <f t="shared" si="45"/>
        <v>1309.090909090909</v>
      </c>
      <c r="BJ21" s="25">
        <f t="shared" si="46"/>
        <v>30.799999999999997</v>
      </c>
      <c r="BK21">
        <v>3</v>
      </c>
      <c r="BL21">
        <f t="shared" si="47"/>
        <v>88</v>
      </c>
      <c r="BM21">
        <f t="shared" si="48"/>
        <v>0.93333333333333335</v>
      </c>
      <c r="BN21" s="20">
        <v>28</v>
      </c>
      <c r="BO21">
        <f t="shared" si="49"/>
        <v>2</v>
      </c>
      <c r="BP21" s="20">
        <v>60</v>
      </c>
      <c r="BV21">
        <f t="shared" si="28"/>
        <v>0.65811965811965811</v>
      </c>
      <c r="CD21" s="2" t="s">
        <v>119</v>
      </c>
      <c r="CE21" t="s">
        <v>123</v>
      </c>
      <c r="CG21" s="2" t="s">
        <v>119</v>
      </c>
      <c r="CH21" t="s">
        <v>123</v>
      </c>
    </row>
    <row r="22" spans="1:86">
      <c r="A22" s="2">
        <v>206</v>
      </c>
      <c r="B22" t="s">
        <v>134</v>
      </c>
      <c r="C22">
        <v>0</v>
      </c>
      <c r="D22">
        <v>9</v>
      </c>
      <c r="E22">
        <v>1</v>
      </c>
      <c r="F22">
        <v>0</v>
      </c>
      <c r="G22" t="s">
        <v>135</v>
      </c>
      <c r="H22" t="s">
        <v>135</v>
      </c>
      <c r="I22" s="2">
        <v>0</v>
      </c>
      <c r="J22" s="50" t="s">
        <v>1714</v>
      </c>
      <c r="K22" s="2">
        <f t="shared" si="0"/>
        <v>6</v>
      </c>
      <c r="L22" s="2">
        <f t="shared" si="50"/>
        <v>1.3</v>
      </c>
      <c r="M22" s="2">
        <f t="shared" si="50"/>
        <v>1.5</v>
      </c>
      <c r="N22" s="2">
        <v>10</v>
      </c>
      <c r="O22" s="2">
        <f t="shared" si="7"/>
        <v>349.44</v>
      </c>
      <c r="P22" s="2">
        <f t="shared" si="8"/>
        <v>33.86</v>
      </c>
      <c r="Q22" s="2">
        <f t="shared" si="9"/>
        <v>3360</v>
      </c>
      <c r="R22" s="2">
        <f t="shared" si="10"/>
        <v>325.58</v>
      </c>
      <c r="S22" s="2">
        <f t="shared" si="11"/>
        <v>85.23</v>
      </c>
      <c r="T22" s="2">
        <f t="shared" si="12"/>
        <v>12.15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>
        <v>2003</v>
      </c>
      <c r="AA22" s="12" t="s">
        <v>170</v>
      </c>
      <c r="AB22" s="46" t="s">
        <v>97</v>
      </c>
      <c r="AC22">
        <f t="shared" si="13"/>
        <v>207</v>
      </c>
      <c r="AD22" s="2">
        <v>0</v>
      </c>
      <c r="AE22">
        <v>0</v>
      </c>
      <c r="AF22">
        <v>0</v>
      </c>
      <c r="AG22">
        <v>0</v>
      </c>
      <c r="AI22">
        <v>1</v>
      </c>
      <c r="AJ22" s="1">
        <f t="shared" si="3"/>
        <v>320.12270914677697</v>
      </c>
      <c r="AK22">
        <v>10</v>
      </c>
      <c r="AL22">
        <f t="shared" si="14"/>
        <v>349.44</v>
      </c>
      <c r="AM22">
        <f t="shared" si="15"/>
        <v>17.821439999999999</v>
      </c>
      <c r="AN22">
        <f t="shared" si="16"/>
        <v>3360</v>
      </c>
      <c r="AO22">
        <f t="shared" si="17"/>
        <v>171.35999999999999</v>
      </c>
      <c r="AP22">
        <f t="shared" si="18"/>
        <v>85.229268292682931</v>
      </c>
      <c r="AQ22">
        <f t="shared" si="19"/>
        <v>6.3921951219512199</v>
      </c>
      <c r="AR22">
        <f t="shared" si="4"/>
        <v>1.3</v>
      </c>
      <c r="AS22">
        <f t="shared" si="5"/>
        <v>1.5</v>
      </c>
      <c r="AT22">
        <f t="shared" si="6"/>
        <v>6</v>
      </c>
      <c r="AU22">
        <f t="shared" si="42"/>
        <v>2</v>
      </c>
      <c r="AV22">
        <v>1</v>
      </c>
      <c r="AW22">
        <v>0</v>
      </c>
      <c r="AX22">
        <v>0.9</v>
      </c>
      <c r="BB22" s="20">
        <v>3025</v>
      </c>
      <c r="BC22" s="21" t="s">
        <v>172</v>
      </c>
      <c r="BD22" s="58">
        <v>1.2</v>
      </c>
      <c r="BE22" s="20">
        <f t="shared" si="43"/>
        <v>0.83333333333333337</v>
      </c>
      <c r="BF22" s="22">
        <v>4</v>
      </c>
      <c r="BG22" s="23">
        <v>1.4</v>
      </c>
      <c r="BH22" s="25">
        <f t="shared" si="44"/>
        <v>134.4</v>
      </c>
      <c r="BI22" s="25">
        <f t="shared" si="45"/>
        <v>1200</v>
      </c>
      <c r="BJ22" s="25">
        <f t="shared" si="46"/>
        <v>33.6</v>
      </c>
      <c r="BK22">
        <v>3</v>
      </c>
      <c r="BL22">
        <f t="shared" si="47"/>
        <v>96.000000000000014</v>
      </c>
      <c r="BM22">
        <f t="shared" si="48"/>
        <v>0.93333333333333335</v>
      </c>
      <c r="BN22" s="20">
        <v>28</v>
      </c>
      <c r="BO22">
        <f t="shared" si="49"/>
        <v>2</v>
      </c>
      <c r="BP22" s="20">
        <v>60</v>
      </c>
      <c r="BV22">
        <f t="shared" si="28"/>
        <v>0.67741935483870963</v>
      </c>
      <c r="CD22" s="2" t="s">
        <v>124</v>
      </c>
      <c r="CE22" t="s">
        <v>128</v>
      </c>
      <c r="CG22" s="2" t="s">
        <v>124</v>
      </c>
      <c r="CH22" t="s">
        <v>128</v>
      </c>
    </row>
    <row r="23" spans="1:86">
      <c r="A23" s="2">
        <v>207</v>
      </c>
      <c r="B23" t="s">
        <v>138</v>
      </c>
      <c r="C23">
        <v>0</v>
      </c>
      <c r="D23">
        <v>10</v>
      </c>
      <c r="E23">
        <v>1</v>
      </c>
      <c r="F23">
        <v>0</v>
      </c>
      <c r="G23" t="s">
        <v>139</v>
      </c>
      <c r="H23" t="s">
        <v>139</v>
      </c>
      <c r="I23" s="2">
        <v>0</v>
      </c>
      <c r="J23" s="50" t="s">
        <v>1714</v>
      </c>
      <c r="K23" s="2">
        <f t="shared" si="0"/>
        <v>6</v>
      </c>
      <c r="L23" s="2">
        <f t="shared" si="50"/>
        <v>1.3</v>
      </c>
      <c r="M23" s="2">
        <f t="shared" si="50"/>
        <v>1.5</v>
      </c>
      <c r="N23" s="2">
        <v>10</v>
      </c>
      <c r="O23" s="2">
        <f t="shared" si="7"/>
        <v>386.88</v>
      </c>
      <c r="P23" s="2">
        <f t="shared" si="8"/>
        <v>39.46</v>
      </c>
      <c r="Q23" s="2">
        <f t="shared" si="9"/>
        <v>3720</v>
      </c>
      <c r="R23" s="2">
        <f t="shared" si="10"/>
        <v>379.44</v>
      </c>
      <c r="S23" s="2">
        <f t="shared" si="11"/>
        <v>94.36</v>
      </c>
      <c r="T23" s="2">
        <f t="shared" si="12"/>
        <v>14.15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>
        <v>2003</v>
      </c>
      <c r="AA23" s="12" t="s">
        <v>173</v>
      </c>
      <c r="AB23" s="46" t="s">
        <v>97</v>
      </c>
      <c r="AC23">
        <f t="shared" si="13"/>
        <v>208</v>
      </c>
      <c r="AD23" s="2">
        <v>0</v>
      </c>
      <c r="AE23">
        <v>0</v>
      </c>
      <c r="AF23">
        <v>0</v>
      </c>
      <c r="AG23">
        <v>0</v>
      </c>
      <c r="AI23">
        <v>1</v>
      </c>
      <c r="AJ23" s="1">
        <f t="shared" si="3"/>
        <v>393.18166013985189</v>
      </c>
      <c r="AK23">
        <v>11</v>
      </c>
      <c r="AL23">
        <f t="shared" si="14"/>
        <v>386.88000000000005</v>
      </c>
      <c r="AM23">
        <f t="shared" si="15"/>
        <v>19.730880000000003</v>
      </c>
      <c r="AN23">
        <f t="shared" si="16"/>
        <v>3720</v>
      </c>
      <c r="AO23">
        <f t="shared" si="17"/>
        <v>189.72</v>
      </c>
      <c r="AP23">
        <f t="shared" si="18"/>
        <v>94.360975609756125</v>
      </c>
      <c r="AQ23">
        <f t="shared" si="19"/>
        <v>7.0770731707317092</v>
      </c>
      <c r="AR23">
        <f t="shared" si="4"/>
        <v>1.3</v>
      </c>
      <c r="AS23">
        <f t="shared" si="5"/>
        <v>1.5</v>
      </c>
      <c r="AT23">
        <f t="shared" si="6"/>
        <v>6</v>
      </c>
      <c r="AU23">
        <f t="shared" si="42"/>
        <v>2</v>
      </c>
      <c r="AV23">
        <v>1</v>
      </c>
      <c r="AW23">
        <v>0</v>
      </c>
      <c r="AX23">
        <v>1</v>
      </c>
      <c r="BB23" s="23">
        <v>4005</v>
      </c>
      <c r="BC23" s="21" t="s">
        <v>174</v>
      </c>
      <c r="BD23" s="58">
        <v>1.25</v>
      </c>
      <c r="BE23" s="20">
        <f t="shared" si="43"/>
        <v>0.8</v>
      </c>
      <c r="BF23" s="22">
        <v>5.5</v>
      </c>
      <c r="BG23" s="23">
        <v>1.4</v>
      </c>
      <c r="BH23" s="25">
        <f t="shared" si="44"/>
        <v>140</v>
      </c>
      <c r="BI23" s="25">
        <f t="shared" si="45"/>
        <v>1152</v>
      </c>
      <c r="BJ23" s="25">
        <f t="shared" si="46"/>
        <v>25.454545454545453</v>
      </c>
      <c r="BK23">
        <v>6</v>
      </c>
      <c r="BL23">
        <f t="shared" si="47"/>
        <v>100</v>
      </c>
      <c r="BM23">
        <f t="shared" si="48"/>
        <v>0.83333333333333337</v>
      </c>
      <c r="BN23" s="20">
        <v>25</v>
      </c>
      <c r="BO23">
        <f t="shared" si="49"/>
        <v>2</v>
      </c>
      <c r="BP23" s="20">
        <v>60</v>
      </c>
      <c r="BV23">
        <f t="shared" si="28"/>
        <v>0.61403508771929827</v>
      </c>
      <c r="CD23" s="2" t="s">
        <v>129</v>
      </c>
      <c r="CE23" t="s">
        <v>133</v>
      </c>
      <c r="CG23" s="2" t="s">
        <v>129</v>
      </c>
      <c r="CH23" t="s">
        <v>133</v>
      </c>
    </row>
    <row r="24" spans="1:86">
      <c r="A24" s="2">
        <v>208</v>
      </c>
      <c r="B24" t="s">
        <v>143</v>
      </c>
      <c r="C24">
        <v>0</v>
      </c>
      <c r="D24">
        <v>11</v>
      </c>
      <c r="E24">
        <v>1</v>
      </c>
      <c r="F24">
        <v>0</v>
      </c>
      <c r="G24" t="s">
        <v>144</v>
      </c>
      <c r="H24" t="s">
        <v>144</v>
      </c>
      <c r="I24" s="2">
        <v>0</v>
      </c>
      <c r="J24" s="50" t="s">
        <v>1714</v>
      </c>
      <c r="K24" s="2">
        <f t="shared" si="0"/>
        <v>6</v>
      </c>
      <c r="L24" s="2">
        <f t="shared" si="50"/>
        <v>1.3</v>
      </c>
      <c r="M24" s="2">
        <f t="shared" si="50"/>
        <v>1.5</v>
      </c>
      <c r="N24" s="2">
        <v>10</v>
      </c>
      <c r="O24" s="2">
        <f t="shared" si="7"/>
        <v>424.32</v>
      </c>
      <c r="P24" s="2">
        <f t="shared" si="8"/>
        <v>45.44</v>
      </c>
      <c r="Q24" s="2">
        <f t="shared" si="9"/>
        <v>4080</v>
      </c>
      <c r="R24" s="2">
        <f t="shared" si="10"/>
        <v>436.97</v>
      </c>
      <c r="S24" s="2">
        <f t="shared" si="11"/>
        <v>103.49</v>
      </c>
      <c r="T24" s="2">
        <f t="shared" si="12"/>
        <v>16.3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>
        <v>2003</v>
      </c>
      <c r="AA24" s="12" t="s">
        <v>175</v>
      </c>
      <c r="AB24" s="46" t="s">
        <v>97</v>
      </c>
      <c r="AC24">
        <f t="shared" si="13"/>
        <v>209</v>
      </c>
      <c r="AD24" s="2">
        <v>0</v>
      </c>
      <c r="AE24">
        <v>0</v>
      </c>
      <c r="AF24">
        <v>0</v>
      </c>
      <c r="AG24">
        <v>0</v>
      </c>
      <c r="AI24">
        <v>1</v>
      </c>
      <c r="AJ24" s="1">
        <f t="shared" si="3"/>
        <v>473.91328807362419</v>
      </c>
      <c r="AK24">
        <v>12</v>
      </c>
      <c r="AL24">
        <f t="shared" si="14"/>
        <v>424.32000000000005</v>
      </c>
      <c r="AM24">
        <f t="shared" si="15"/>
        <v>21.640320000000003</v>
      </c>
      <c r="AN24">
        <f t="shared" si="16"/>
        <v>4080</v>
      </c>
      <c r="AO24">
        <f t="shared" si="17"/>
        <v>208.07999999999998</v>
      </c>
      <c r="AP24">
        <f t="shared" si="18"/>
        <v>103.49268292682929</v>
      </c>
      <c r="AQ24">
        <f t="shared" si="19"/>
        <v>7.7619512195121967</v>
      </c>
      <c r="AR24">
        <f t="shared" si="4"/>
        <v>1.3</v>
      </c>
      <c r="AS24">
        <f t="shared" si="5"/>
        <v>1.5</v>
      </c>
      <c r="AT24">
        <f t="shared" si="6"/>
        <v>6</v>
      </c>
      <c r="AU24">
        <f t="shared" si="42"/>
        <v>2</v>
      </c>
      <c r="AV24">
        <v>1</v>
      </c>
      <c r="AW24">
        <v>0</v>
      </c>
      <c r="AX24">
        <v>1.1000000000000001</v>
      </c>
      <c r="BB24" s="20">
        <v>4011</v>
      </c>
      <c r="BC24" s="21" t="s">
        <v>176</v>
      </c>
      <c r="BD24" s="58">
        <v>1.1000000000000001</v>
      </c>
      <c r="BE24" s="20">
        <f t="shared" si="43"/>
        <v>0.90909090909090906</v>
      </c>
      <c r="BF24" s="22">
        <v>5</v>
      </c>
      <c r="BG24" s="23">
        <v>1.6</v>
      </c>
      <c r="BH24" s="25">
        <f t="shared" si="44"/>
        <v>140.80000000000001</v>
      </c>
      <c r="BI24" s="25">
        <f t="shared" si="45"/>
        <v>1309.090909090909</v>
      </c>
      <c r="BJ24" s="25">
        <f t="shared" si="46"/>
        <v>28.160000000000004</v>
      </c>
      <c r="BK24">
        <v>6</v>
      </c>
      <c r="BL24">
        <f t="shared" si="47"/>
        <v>88</v>
      </c>
      <c r="BM24">
        <f t="shared" si="48"/>
        <v>1</v>
      </c>
      <c r="BN24" s="20">
        <v>30</v>
      </c>
      <c r="BO24">
        <f t="shared" si="49"/>
        <v>2</v>
      </c>
      <c r="BP24" s="20">
        <v>60</v>
      </c>
      <c r="BV24">
        <f t="shared" si="28"/>
        <v>0.63768115942028991</v>
      </c>
      <c r="CD24" s="2" t="s">
        <v>134</v>
      </c>
      <c r="CE24" t="s">
        <v>137</v>
      </c>
      <c r="CG24" s="2" t="s">
        <v>134</v>
      </c>
      <c r="CH24" t="s">
        <v>137</v>
      </c>
    </row>
    <row r="25" spans="1:86">
      <c r="A25" s="2">
        <v>209</v>
      </c>
      <c r="B25" t="s">
        <v>148</v>
      </c>
      <c r="C25">
        <v>0</v>
      </c>
      <c r="D25">
        <v>12</v>
      </c>
      <c r="E25">
        <v>1</v>
      </c>
      <c r="F25">
        <v>0</v>
      </c>
      <c r="G25" t="s">
        <v>149</v>
      </c>
      <c r="H25" t="s">
        <v>149</v>
      </c>
      <c r="I25" s="2">
        <v>0</v>
      </c>
      <c r="J25" s="50" t="s">
        <v>1714</v>
      </c>
      <c r="K25" s="2">
        <f t="shared" si="0"/>
        <v>6</v>
      </c>
      <c r="L25" s="2">
        <f t="shared" si="50"/>
        <v>1.3</v>
      </c>
      <c r="M25" s="2">
        <f t="shared" si="50"/>
        <v>1.5</v>
      </c>
      <c r="N25" s="2">
        <v>10</v>
      </c>
      <c r="O25" s="2">
        <f t="shared" si="7"/>
        <v>461.76</v>
      </c>
      <c r="P25" s="2">
        <f t="shared" si="8"/>
        <v>51.81</v>
      </c>
      <c r="Q25" s="2">
        <f t="shared" si="9"/>
        <v>4440</v>
      </c>
      <c r="R25" s="2">
        <f t="shared" si="10"/>
        <v>498.17</v>
      </c>
      <c r="S25" s="2">
        <f t="shared" si="11"/>
        <v>112.62</v>
      </c>
      <c r="T25" s="2">
        <f t="shared" si="12"/>
        <v>18.579999999999998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>
        <v>2003</v>
      </c>
      <c r="AA25" s="12" t="s">
        <v>177</v>
      </c>
      <c r="AB25" s="46" t="s">
        <v>97</v>
      </c>
      <c r="AC25">
        <f t="shared" si="13"/>
        <v>210</v>
      </c>
      <c r="AD25" s="2">
        <v>0</v>
      </c>
      <c r="AE25">
        <v>0</v>
      </c>
      <c r="AF25">
        <v>0</v>
      </c>
      <c r="AG25">
        <v>0</v>
      </c>
      <c r="AI25">
        <v>1</v>
      </c>
      <c r="AJ25" s="1">
        <f t="shared" si="3"/>
        <v>562.36390607843146</v>
      </c>
      <c r="AK25">
        <v>13</v>
      </c>
      <c r="AL25">
        <f t="shared" si="14"/>
        <v>461.76000000000005</v>
      </c>
      <c r="AM25">
        <f t="shared" si="15"/>
        <v>23.549760000000003</v>
      </c>
      <c r="AN25">
        <f t="shared" si="16"/>
        <v>4440</v>
      </c>
      <c r="AO25">
        <f t="shared" si="17"/>
        <v>226.44</v>
      </c>
      <c r="AP25">
        <f t="shared" si="18"/>
        <v>112.62439024390245</v>
      </c>
      <c r="AQ25">
        <f t="shared" si="19"/>
        <v>8.4468292682926833</v>
      </c>
      <c r="AR25">
        <f t="shared" si="4"/>
        <v>1.3</v>
      </c>
      <c r="AS25">
        <f t="shared" si="5"/>
        <v>1.5</v>
      </c>
      <c r="AT25">
        <f t="shared" si="6"/>
        <v>6</v>
      </c>
      <c r="AU25">
        <f t="shared" si="42"/>
        <v>2</v>
      </c>
      <c r="AV25">
        <v>1</v>
      </c>
      <c r="AW25">
        <v>0</v>
      </c>
      <c r="AX25">
        <v>1.2</v>
      </c>
      <c r="BB25" s="20">
        <v>4012</v>
      </c>
      <c r="BC25" s="21" t="s">
        <v>178</v>
      </c>
      <c r="BD25" s="58">
        <v>1.3</v>
      </c>
      <c r="BE25" s="20">
        <f t="shared" si="43"/>
        <v>0.76923076923076916</v>
      </c>
      <c r="BF25" s="22">
        <v>7</v>
      </c>
      <c r="BG25" s="23">
        <v>1.6</v>
      </c>
      <c r="BH25" s="25">
        <f t="shared" si="44"/>
        <v>166.4</v>
      </c>
      <c r="BI25" s="25">
        <f t="shared" si="45"/>
        <v>1107.6923076923076</v>
      </c>
      <c r="BJ25" s="25">
        <f t="shared" si="46"/>
        <v>23.771428571428572</v>
      </c>
      <c r="BK25">
        <v>6</v>
      </c>
      <c r="BL25">
        <f t="shared" si="47"/>
        <v>104</v>
      </c>
      <c r="BM25">
        <f t="shared" si="48"/>
        <v>1</v>
      </c>
      <c r="BN25" s="20">
        <v>30</v>
      </c>
      <c r="BO25">
        <f t="shared" si="49"/>
        <v>1.3333333333333333</v>
      </c>
      <c r="BP25" s="20">
        <v>40</v>
      </c>
      <c r="BV25">
        <f t="shared" si="28"/>
        <v>0.5977011494252874</v>
      </c>
      <c r="CD25" s="2" t="s">
        <v>138</v>
      </c>
      <c r="CE25" t="s">
        <v>142</v>
      </c>
      <c r="CG25" s="2" t="s">
        <v>138</v>
      </c>
      <c r="CH25" t="s">
        <v>142</v>
      </c>
    </row>
    <row r="26" spans="1:86">
      <c r="A26" s="2">
        <v>210</v>
      </c>
      <c r="B26" t="s">
        <v>153</v>
      </c>
      <c r="C26">
        <v>0</v>
      </c>
      <c r="D26">
        <v>13</v>
      </c>
      <c r="E26">
        <v>1</v>
      </c>
      <c r="F26">
        <v>0</v>
      </c>
      <c r="G26" t="s">
        <v>154</v>
      </c>
      <c r="H26" t="s">
        <v>154</v>
      </c>
      <c r="I26" s="2">
        <v>0</v>
      </c>
      <c r="J26" s="50" t="s">
        <v>1714</v>
      </c>
      <c r="K26" s="2">
        <f t="shared" si="0"/>
        <v>6</v>
      </c>
      <c r="L26" s="2">
        <f t="shared" si="50"/>
        <v>1.3</v>
      </c>
      <c r="M26" s="2">
        <f t="shared" si="50"/>
        <v>1.5</v>
      </c>
      <c r="N26" s="2">
        <v>10</v>
      </c>
      <c r="O26" s="2">
        <f t="shared" si="7"/>
        <v>499.2</v>
      </c>
      <c r="P26" s="2">
        <f t="shared" si="8"/>
        <v>58.56</v>
      </c>
      <c r="Q26" s="2">
        <f t="shared" si="9"/>
        <v>4800</v>
      </c>
      <c r="R26" s="2">
        <f t="shared" si="10"/>
        <v>563.04</v>
      </c>
      <c r="S26" s="2">
        <f t="shared" si="11"/>
        <v>121.76</v>
      </c>
      <c r="T26" s="2">
        <f t="shared" si="12"/>
        <v>21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>
        <v>2003</v>
      </c>
      <c r="AA26" s="12" t="s">
        <v>177</v>
      </c>
      <c r="AB26" s="46" t="s">
        <v>97</v>
      </c>
      <c r="AC26">
        <f t="shared" si="13"/>
        <v>211</v>
      </c>
      <c r="AD26" s="2">
        <v>0</v>
      </c>
      <c r="AE26">
        <v>0</v>
      </c>
      <c r="AF26">
        <v>0</v>
      </c>
      <c r="AG26">
        <v>0</v>
      </c>
      <c r="AI26">
        <v>1</v>
      </c>
      <c r="AJ26" s="1">
        <f t="shared" si="3"/>
        <v>658.58020077101276</v>
      </c>
      <c r="AK26">
        <v>14</v>
      </c>
      <c r="AL26">
        <f t="shared" si="14"/>
        <v>499.20000000000005</v>
      </c>
      <c r="AM26">
        <f t="shared" si="15"/>
        <v>25.459199999999999</v>
      </c>
      <c r="AN26">
        <f t="shared" si="16"/>
        <v>4800</v>
      </c>
      <c r="AO26">
        <f t="shared" si="17"/>
        <v>244.79999999999998</v>
      </c>
      <c r="AP26">
        <f t="shared" si="18"/>
        <v>121.75609756097563</v>
      </c>
      <c r="AQ26">
        <f t="shared" si="19"/>
        <v>9.1317073170731717</v>
      </c>
      <c r="AR26">
        <f t="shared" si="4"/>
        <v>1.3</v>
      </c>
      <c r="AS26">
        <f t="shared" si="5"/>
        <v>1.5</v>
      </c>
      <c r="AT26">
        <f t="shared" si="6"/>
        <v>6</v>
      </c>
      <c r="AU26">
        <f t="shared" si="42"/>
        <v>2</v>
      </c>
      <c r="AV26">
        <v>1</v>
      </c>
      <c r="AW26">
        <v>0</v>
      </c>
      <c r="AX26">
        <v>1.3</v>
      </c>
      <c r="BB26" s="20">
        <v>4013</v>
      </c>
      <c r="BC26" s="21" t="s">
        <v>179</v>
      </c>
      <c r="BD26" s="58">
        <v>1.2</v>
      </c>
      <c r="BE26" s="20">
        <f t="shared" si="43"/>
        <v>0.83333333333333337</v>
      </c>
      <c r="BF26" s="22">
        <v>6</v>
      </c>
      <c r="BG26" s="23">
        <v>1.6</v>
      </c>
      <c r="BH26" s="25">
        <f t="shared" si="44"/>
        <v>153.6</v>
      </c>
      <c r="BI26" s="25">
        <f t="shared" si="45"/>
        <v>1200</v>
      </c>
      <c r="BJ26" s="25">
        <f t="shared" si="46"/>
        <v>25.599999999999998</v>
      </c>
      <c r="BK26">
        <v>6</v>
      </c>
      <c r="BL26">
        <f t="shared" si="47"/>
        <v>95.999999999999986</v>
      </c>
      <c r="BM26">
        <f t="shared" si="48"/>
        <v>1</v>
      </c>
      <c r="BN26" s="20">
        <v>30</v>
      </c>
      <c r="BO26">
        <f t="shared" si="49"/>
        <v>1.3333333333333333</v>
      </c>
      <c r="BP26" s="20">
        <v>40</v>
      </c>
      <c r="BV26">
        <f t="shared" si="28"/>
        <v>0.61538461538461542</v>
      </c>
      <c r="CD26" s="2" t="s">
        <v>143</v>
      </c>
      <c r="CE26" t="s">
        <v>147</v>
      </c>
      <c r="CG26" s="2" t="s">
        <v>143</v>
      </c>
      <c r="CH26" t="s">
        <v>147</v>
      </c>
    </row>
    <row r="27" spans="1:86">
      <c r="A27" s="2">
        <v>211</v>
      </c>
      <c r="B27" t="s">
        <v>157</v>
      </c>
      <c r="C27">
        <v>0</v>
      </c>
      <c r="D27">
        <v>14</v>
      </c>
      <c r="E27">
        <v>1</v>
      </c>
      <c r="F27">
        <v>0</v>
      </c>
      <c r="G27" t="s">
        <v>158</v>
      </c>
      <c r="H27" t="s">
        <v>158</v>
      </c>
      <c r="I27" s="2">
        <v>0</v>
      </c>
      <c r="J27" s="50" t="s">
        <v>1714</v>
      </c>
      <c r="K27" s="2">
        <f t="shared" si="0"/>
        <v>6</v>
      </c>
      <c r="L27" s="2">
        <f t="shared" si="50"/>
        <v>1.3</v>
      </c>
      <c r="M27" s="2">
        <f t="shared" si="50"/>
        <v>1.5</v>
      </c>
      <c r="N27" s="2">
        <v>10</v>
      </c>
      <c r="O27" s="2">
        <f t="shared" si="7"/>
        <v>536.64</v>
      </c>
      <c r="P27" s="2">
        <f t="shared" si="8"/>
        <v>65.680000000000007</v>
      </c>
      <c r="Q27" s="2">
        <f t="shared" si="9"/>
        <v>5160</v>
      </c>
      <c r="R27" s="2">
        <f t="shared" si="10"/>
        <v>631.58000000000004</v>
      </c>
      <c r="S27" s="2">
        <f t="shared" si="11"/>
        <v>130.88999999999999</v>
      </c>
      <c r="T27" s="2">
        <f t="shared" si="12"/>
        <v>23.56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>
        <v>2003</v>
      </c>
      <c r="AA27" s="12" t="s">
        <v>177</v>
      </c>
      <c r="AB27" s="46" t="s">
        <v>97</v>
      </c>
      <c r="AC27">
        <v>0</v>
      </c>
      <c r="AD27" s="2">
        <v>1</v>
      </c>
      <c r="AE27">
        <v>0</v>
      </c>
      <c r="AF27">
        <v>0</v>
      </c>
      <c r="AG27">
        <v>0</v>
      </c>
      <c r="AI27">
        <v>1</v>
      </c>
      <c r="AJ27" s="1">
        <f t="shared" si="3"/>
        <v>762.60923602703042</v>
      </c>
      <c r="AK27">
        <v>15</v>
      </c>
      <c r="AL27">
        <f t="shared" si="14"/>
        <v>536.64</v>
      </c>
      <c r="AM27">
        <f t="shared" si="15"/>
        <v>27.368639999999999</v>
      </c>
      <c r="AN27">
        <f t="shared" si="16"/>
        <v>5160</v>
      </c>
      <c r="AO27">
        <f t="shared" si="17"/>
        <v>263.15999999999997</v>
      </c>
      <c r="AP27">
        <f t="shared" si="18"/>
        <v>130.8878048780488</v>
      </c>
      <c r="AQ27">
        <f t="shared" si="19"/>
        <v>9.8165853658536602</v>
      </c>
      <c r="AR27">
        <f t="shared" si="4"/>
        <v>1.3</v>
      </c>
      <c r="AS27">
        <f t="shared" si="5"/>
        <v>1.5</v>
      </c>
      <c r="AT27">
        <f t="shared" si="6"/>
        <v>6</v>
      </c>
      <c r="AU27">
        <f t="shared" si="42"/>
        <v>2</v>
      </c>
      <c r="AV27">
        <v>1</v>
      </c>
      <c r="AW27">
        <v>0</v>
      </c>
      <c r="AX27">
        <v>1.4</v>
      </c>
      <c r="BB27" s="20">
        <v>4021</v>
      </c>
      <c r="BC27" s="21" t="s">
        <v>180</v>
      </c>
      <c r="BD27" s="58">
        <v>1.2</v>
      </c>
      <c r="BE27" s="20">
        <f t="shared" si="43"/>
        <v>0.83333333333333337</v>
      </c>
      <c r="BF27" s="22">
        <v>6</v>
      </c>
      <c r="BG27" s="23">
        <v>1.5</v>
      </c>
      <c r="BH27" s="25">
        <f t="shared" si="44"/>
        <v>144</v>
      </c>
      <c r="BI27" s="25">
        <f t="shared" si="45"/>
        <v>1200</v>
      </c>
      <c r="BJ27" s="25">
        <f t="shared" si="46"/>
        <v>24</v>
      </c>
      <c r="BK27">
        <v>6</v>
      </c>
      <c r="BL27">
        <f t="shared" si="47"/>
        <v>96</v>
      </c>
      <c r="BM27">
        <f t="shared" si="48"/>
        <v>1.2666666666666666</v>
      </c>
      <c r="BN27" s="20">
        <v>38</v>
      </c>
      <c r="BO27">
        <f t="shared" si="49"/>
        <v>1.3333333333333333</v>
      </c>
      <c r="BP27" s="20">
        <v>40</v>
      </c>
      <c r="BV27">
        <f t="shared" si="28"/>
        <v>0.60000000000000009</v>
      </c>
      <c r="CD27" s="2" t="s">
        <v>148</v>
      </c>
      <c r="CE27" t="s">
        <v>152</v>
      </c>
      <c r="CG27" s="2" t="s">
        <v>148</v>
      </c>
      <c r="CH27" t="s">
        <v>152</v>
      </c>
    </row>
    <row r="28" spans="1:86">
      <c r="A28" s="2">
        <v>300</v>
      </c>
      <c r="B28" t="s">
        <v>94</v>
      </c>
      <c r="C28">
        <v>0</v>
      </c>
      <c r="D28">
        <v>3</v>
      </c>
      <c r="E28">
        <v>1</v>
      </c>
      <c r="F28">
        <v>0</v>
      </c>
      <c r="G28" t="s">
        <v>95</v>
      </c>
      <c r="H28" t="s">
        <v>95</v>
      </c>
      <c r="I28" s="2">
        <v>0</v>
      </c>
      <c r="J28" s="2">
        <v>0</v>
      </c>
      <c r="K28" s="2">
        <f t="shared" si="0"/>
        <v>3</v>
      </c>
      <c r="L28" s="2">
        <f t="shared" si="50"/>
        <v>1.3</v>
      </c>
      <c r="M28" s="2">
        <f t="shared" si="50"/>
        <v>1.5</v>
      </c>
      <c r="N28" s="2">
        <v>10</v>
      </c>
      <c r="O28" s="2">
        <f t="shared" si="7"/>
        <v>131.04</v>
      </c>
      <c r="P28" s="2">
        <f t="shared" si="8"/>
        <v>8.69</v>
      </c>
      <c r="Q28" s="2">
        <f t="shared" si="9"/>
        <v>2240</v>
      </c>
      <c r="R28" s="2">
        <f t="shared" si="10"/>
        <v>148.51</v>
      </c>
      <c r="S28" s="2">
        <f t="shared" si="11"/>
        <v>72.8</v>
      </c>
      <c r="T28" s="2">
        <f t="shared" si="12"/>
        <v>7.1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>
        <v>3001</v>
      </c>
      <c r="AA28" s="12" t="s">
        <v>181</v>
      </c>
      <c r="AB28" s="46" t="s">
        <v>97</v>
      </c>
      <c r="AC28">
        <f t="shared" si="13"/>
        <v>301</v>
      </c>
      <c r="AD28" s="2">
        <v>0</v>
      </c>
      <c r="AE28">
        <v>0</v>
      </c>
      <c r="AF28">
        <v>0</v>
      </c>
      <c r="AG28">
        <v>0</v>
      </c>
      <c r="AI28">
        <v>1</v>
      </c>
      <c r="AJ28" s="1">
        <f t="shared" si="3"/>
        <v>79.813411245291306</v>
      </c>
      <c r="AK28">
        <v>4</v>
      </c>
      <c r="AL28">
        <f t="shared" si="14"/>
        <v>131.04000000000002</v>
      </c>
      <c r="AM28">
        <f t="shared" si="15"/>
        <v>6.683040000000001</v>
      </c>
      <c r="AN28">
        <f t="shared" si="16"/>
        <v>2240</v>
      </c>
      <c r="AO28">
        <f t="shared" si="17"/>
        <v>114.24</v>
      </c>
      <c r="AP28">
        <f t="shared" si="18"/>
        <v>72.800000000000011</v>
      </c>
      <c r="AQ28">
        <f t="shared" si="19"/>
        <v>5.4600000000000009</v>
      </c>
      <c r="AR28">
        <f t="shared" si="4"/>
        <v>1.3</v>
      </c>
      <c r="AS28">
        <f t="shared" si="5"/>
        <v>1.5</v>
      </c>
      <c r="AT28">
        <f t="shared" si="6"/>
        <v>3</v>
      </c>
      <c r="AU28">
        <f t="shared" si="42"/>
        <v>3</v>
      </c>
      <c r="AV28">
        <v>1</v>
      </c>
      <c r="AW28">
        <v>0</v>
      </c>
      <c r="AX28">
        <v>0.3</v>
      </c>
      <c r="BB28" s="20">
        <v>4022</v>
      </c>
      <c r="BC28" s="21" t="s">
        <v>182</v>
      </c>
      <c r="BD28" s="58">
        <v>1.4</v>
      </c>
      <c r="BE28" s="20">
        <f t="shared" si="43"/>
        <v>0.7142857142857143</v>
      </c>
      <c r="BF28" s="22">
        <v>7</v>
      </c>
      <c r="BG28" s="23">
        <v>1.5</v>
      </c>
      <c r="BH28" s="25">
        <f t="shared" si="44"/>
        <v>168</v>
      </c>
      <c r="BI28" s="25">
        <f t="shared" si="45"/>
        <v>1028.5714285714287</v>
      </c>
      <c r="BJ28" s="25">
        <f t="shared" si="46"/>
        <v>24</v>
      </c>
      <c r="BK28">
        <v>6</v>
      </c>
      <c r="BL28">
        <f t="shared" si="47"/>
        <v>112</v>
      </c>
      <c r="BM28">
        <f t="shared" si="48"/>
        <v>1.2666666666666666</v>
      </c>
      <c r="BN28" s="20">
        <v>38</v>
      </c>
      <c r="BO28">
        <f t="shared" si="49"/>
        <v>1.3333333333333333</v>
      </c>
      <c r="BP28" s="20">
        <v>40</v>
      </c>
      <c r="BV28">
        <f t="shared" si="28"/>
        <v>0.60000000000000009</v>
      </c>
      <c r="CD28" s="2" t="s">
        <v>153</v>
      </c>
      <c r="CE28" t="s">
        <v>156</v>
      </c>
      <c r="CG28" s="2" t="s">
        <v>153</v>
      </c>
      <c r="CH28" t="s">
        <v>156</v>
      </c>
    </row>
    <row r="29" spans="1:86">
      <c r="A29" s="2">
        <v>301</v>
      </c>
      <c r="B29" t="s">
        <v>111</v>
      </c>
      <c r="C29">
        <v>0</v>
      </c>
      <c r="D29">
        <v>4</v>
      </c>
      <c r="E29">
        <v>1</v>
      </c>
      <c r="F29">
        <v>0</v>
      </c>
      <c r="G29" t="s">
        <v>112</v>
      </c>
      <c r="H29" t="s">
        <v>112</v>
      </c>
      <c r="I29" s="2">
        <v>0</v>
      </c>
      <c r="J29" s="2">
        <v>0</v>
      </c>
      <c r="K29" s="2">
        <f t="shared" si="0"/>
        <v>3</v>
      </c>
      <c r="L29" s="2">
        <f t="shared" si="50"/>
        <v>1.3</v>
      </c>
      <c r="M29" s="2">
        <f t="shared" si="50"/>
        <v>1.5</v>
      </c>
      <c r="N29" s="2">
        <v>10</v>
      </c>
      <c r="O29" s="2">
        <f t="shared" si="7"/>
        <v>149.76</v>
      </c>
      <c r="P29" s="2">
        <f t="shared" si="8"/>
        <v>10.69</v>
      </c>
      <c r="Q29" s="2">
        <f t="shared" si="9"/>
        <v>2560</v>
      </c>
      <c r="R29" s="2">
        <f t="shared" si="10"/>
        <v>182.78</v>
      </c>
      <c r="S29" s="2">
        <f t="shared" si="11"/>
        <v>83.2</v>
      </c>
      <c r="T29" s="2">
        <f t="shared" si="12"/>
        <v>8.74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>
        <v>3001</v>
      </c>
      <c r="AA29" s="12" t="s">
        <v>181</v>
      </c>
      <c r="AB29" s="46" t="s">
        <v>97</v>
      </c>
      <c r="AC29">
        <f t="shared" si="13"/>
        <v>302</v>
      </c>
      <c r="AD29" s="2">
        <v>0</v>
      </c>
      <c r="AE29">
        <v>0</v>
      </c>
      <c r="AF29">
        <v>0</v>
      </c>
      <c r="AG29">
        <v>0</v>
      </c>
      <c r="AI29">
        <v>1</v>
      </c>
      <c r="AJ29" s="1">
        <f t="shared" si="3"/>
        <v>104.48342794434856</v>
      </c>
      <c r="AK29">
        <v>5</v>
      </c>
      <c r="AL29">
        <f t="shared" si="14"/>
        <v>149.76000000000005</v>
      </c>
      <c r="AM29">
        <f t="shared" si="15"/>
        <v>7.6377600000000019</v>
      </c>
      <c r="AN29">
        <f t="shared" si="16"/>
        <v>2560</v>
      </c>
      <c r="AO29">
        <f t="shared" si="17"/>
        <v>130.56</v>
      </c>
      <c r="AP29">
        <f t="shared" si="18"/>
        <v>83.200000000000031</v>
      </c>
      <c r="AQ29">
        <f t="shared" si="19"/>
        <v>6.240000000000002</v>
      </c>
      <c r="AR29">
        <f t="shared" si="4"/>
        <v>1.3</v>
      </c>
      <c r="AS29">
        <f t="shared" si="5"/>
        <v>1.5</v>
      </c>
      <c r="AT29">
        <f t="shared" si="6"/>
        <v>3</v>
      </c>
      <c r="AU29">
        <f t="shared" si="42"/>
        <v>3</v>
      </c>
      <c r="AV29">
        <v>1</v>
      </c>
      <c r="AW29">
        <v>0</v>
      </c>
      <c r="AX29">
        <v>0.4</v>
      </c>
      <c r="BB29" s="20">
        <v>4023</v>
      </c>
      <c r="BC29" s="21" t="s">
        <v>183</v>
      </c>
      <c r="BD29" s="58">
        <v>1.3</v>
      </c>
      <c r="BE29" s="20">
        <f t="shared" si="43"/>
        <v>0.76923076923076916</v>
      </c>
      <c r="BF29" s="22">
        <v>7</v>
      </c>
      <c r="BG29" s="23">
        <v>1.5</v>
      </c>
      <c r="BH29" s="25">
        <f t="shared" si="44"/>
        <v>156</v>
      </c>
      <c r="BI29" s="25">
        <f t="shared" si="45"/>
        <v>1107.6923076923076</v>
      </c>
      <c r="BJ29" s="25">
        <f t="shared" si="46"/>
        <v>22.285714285714285</v>
      </c>
      <c r="BK29">
        <v>6</v>
      </c>
      <c r="BL29">
        <f t="shared" si="47"/>
        <v>104</v>
      </c>
      <c r="BM29">
        <f t="shared" si="48"/>
        <v>1.2666666666666666</v>
      </c>
      <c r="BN29" s="20">
        <v>38</v>
      </c>
      <c r="BO29">
        <f t="shared" si="49"/>
        <v>1.3333333333333333</v>
      </c>
      <c r="BP29" s="20">
        <v>40</v>
      </c>
      <c r="BV29">
        <f t="shared" si="28"/>
        <v>0.58208955223880599</v>
      </c>
      <c r="CD29" s="2" t="s">
        <v>157</v>
      </c>
      <c r="CE29" t="s">
        <v>160</v>
      </c>
      <c r="CG29" s="2" t="s">
        <v>157</v>
      </c>
      <c r="CH29" t="s">
        <v>160</v>
      </c>
    </row>
    <row r="30" spans="1:86">
      <c r="A30" s="2">
        <v>302</v>
      </c>
      <c r="B30" t="s">
        <v>115</v>
      </c>
      <c r="C30">
        <v>0</v>
      </c>
      <c r="D30">
        <v>5</v>
      </c>
      <c r="E30">
        <v>1</v>
      </c>
      <c r="F30">
        <v>0</v>
      </c>
      <c r="G30" t="s">
        <v>116</v>
      </c>
      <c r="H30" t="s">
        <v>116</v>
      </c>
      <c r="I30" s="2">
        <v>0</v>
      </c>
      <c r="J30" s="2">
        <v>0</v>
      </c>
      <c r="K30" s="2">
        <f t="shared" si="0"/>
        <v>3</v>
      </c>
      <c r="L30" s="2">
        <f t="shared" si="50"/>
        <v>1.3</v>
      </c>
      <c r="M30" s="2">
        <f t="shared" si="50"/>
        <v>1.5</v>
      </c>
      <c r="N30" s="2">
        <v>10</v>
      </c>
      <c r="O30" s="2">
        <f t="shared" si="7"/>
        <v>168.48</v>
      </c>
      <c r="P30" s="2">
        <f t="shared" si="8"/>
        <v>12.89</v>
      </c>
      <c r="Q30" s="2">
        <f t="shared" si="9"/>
        <v>2880</v>
      </c>
      <c r="R30" s="2">
        <f t="shared" si="10"/>
        <v>220.32</v>
      </c>
      <c r="S30" s="2">
        <f t="shared" si="11"/>
        <v>93.6</v>
      </c>
      <c r="T30" s="2">
        <f t="shared" si="12"/>
        <v>10.53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>
        <v>3002</v>
      </c>
      <c r="AA30" s="12" t="s">
        <v>181</v>
      </c>
      <c r="AB30" s="46" t="s">
        <v>97</v>
      </c>
      <c r="AC30">
        <f t="shared" si="13"/>
        <v>303</v>
      </c>
      <c r="AD30" s="2">
        <v>0</v>
      </c>
      <c r="AE30">
        <v>0</v>
      </c>
      <c r="AF30">
        <v>0</v>
      </c>
      <c r="AG30">
        <v>0</v>
      </c>
      <c r="AI30">
        <v>1</v>
      </c>
      <c r="AJ30" s="1">
        <f t="shared" si="3"/>
        <v>132.53859256183441</v>
      </c>
      <c r="AK30">
        <v>6</v>
      </c>
      <c r="AL30">
        <f t="shared" si="14"/>
        <v>168.48000000000005</v>
      </c>
      <c r="AM30">
        <f t="shared" si="15"/>
        <v>8.5924800000000019</v>
      </c>
      <c r="AN30">
        <f t="shared" si="16"/>
        <v>2880</v>
      </c>
      <c r="AO30">
        <f t="shared" si="17"/>
        <v>146.88</v>
      </c>
      <c r="AP30">
        <f t="shared" si="18"/>
        <v>93.600000000000023</v>
      </c>
      <c r="AQ30">
        <f t="shared" si="19"/>
        <v>7.0200000000000014</v>
      </c>
      <c r="AR30">
        <f t="shared" si="4"/>
        <v>1.3</v>
      </c>
      <c r="AS30">
        <f t="shared" si="5"/>
        <v>1.5</v>
      </c>
      <c r="AT30">
        <f t="shared" si="6"/>
        <v>3</v>
      </c>
      <c r="AU30">
        <f t="shared" si="42"/>
        <v>3</v>
      </c>
      <c r="AV30">
        <v>1</v>
      </c>
      <c r="AW30">
        <v>0</v>
      </c>
      <c r="AX30">
        <v>0.5</v>
      </c>
      <c r="BB30" s="20">
        <v>5001</v>
      </c>
      <c r="BC30" s="21" t="s">
        <v>184</v>
      </c>
      <c r="BD30" s="58">
        <v>1.4</v>
      </c>
      <c r="BE30" s="20">
        <f t="shared" si="43"/>
        <v>0.7142857142857143</v>
      </c>
      <c r="BF30" s="22">
        <v>7</v>
      </c>
      <c r="BG30" s="23">
        <v>1.5</v>
      </c>
      <c r="BH30" s="25">
        <f t="shared" si="44"/>
        <v>168</v>
      </c>
      <c r="BI30" s="25">
        <f t="shared" si="45"/>
        <v>1028.5714285714287</v>
      </c>
      <c r="BJ30" s="25">
        <f t="shared" si="46"/>
        <v>24</v>
      </c>
      <c r="BK30">
        <v>6</v>
      </c>
      <c r="BL30">
        <f t="shared" si="47"/>
        <v>112</v>
      </c>
      <c r="BM30">
        <f t="shared" si="48"/>
        <v>1</v>
      </c>
      <c r="BN30" s="20">
        <v>30</v>
      </c>
      <c r="BO30">
        <f t="shared" si="49"/>
        <v>1.3333333333333333</v>
      </c>
      <c r="BP30" s="20">
        <v>40</v>
      </c>
      <c r="BV30">
        <f t="shared" si="28"/>
        <v>0.60000000000000009</v>
      </c>
      <c r="CD30" s="2" t="s">
        <v>94</v>
      </c>
      <c r="CE30" t="s">
        <v>110</v>
      </c>
      <c r="CG30" s="2" t="s">
        <v>94</v>
      </c>
      <c r="CH30" t="s">
        <v>110</v>
      </c>
    </row>
    <row r="31" spans="1:86">
      <c r="A31" s="2">
        <v>303</v>
      </c>
      <c r="B31" t="s">
        <v>119</v>
      </c>
      <c r="C31">
        <v>0</v>
      </c>
      <c r="D31">
        <v>6</v>
      </c>
      <c r="E31">
        <v>1</v>
      </c>
      <c r="F31">
        <v>0</v>
      </c>
      <c r="G31" t="s">
        <v>120</v>
      </c>
      <c r="H31" t="s">
        <v>120</v>
      </c>
      <c r="I31" s="2">
        <v>0</v>
      </c>
      <c r="J31" s="2">
        <v>0</v>
      </c>
      <c r="K31" s="2">
        <f t="shared" si="0"/>
        <v>3</v>
      </c>
      <c r="L31" s="2">
        <f t="shared" si="50"/>
        <v>1.3</v>
      </c>
      <c r="M31" s="2">
        <f t="shared" si="50"/>
        <v>1.5</v>
      </c>
      <c r="N31" s="2">
        <v>10</v>
      </c>
      <c r="O31" s="2">
        <f t="shared" si="7"/>
        <v>191.88</v>
      </c>
      <c r="P31" s="2">
        <f t="shared" si="8"/>
        <v>15.66</v>
      </c>
      <c r="Q31" s="2">
        <f t="shared" si="9"/>
        <v>3280</v>
      </c>
      <c r="R31" s="2">
        <f t="shared" si="10"/>
        <v>267.64999999999998</v>
      </c>
      <c r="S31" s="2">
        <f t="shared" si="11"/>
        <v>106.6</v>
      </c>
      <c r="T31" s="2">
        <f t="shared" si="12"/>
        <v>12.79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>
        <v>3002</v>
      </c>
      <c r="AA31" s="12" t="s">
        <v>185</v>
      </c>
      <c r="AB31" s="46" t="s">
        <v>97</v>
      </c>
      <c r="AC31">
        <f t="shared" si="13"/>
        <v>304</v>
      </c>
      <c r="AD31" s="2">
        <v>0</v>
      </c>
      <c r="AE31">
        <v>0</v>
      </c>
      <c r="AF31">
        <v>0</v>
      </c>
      <c r="AG31">
        <v>0</v>
      </c>
      <c r="AI31">
        <v>1</v>
      </c>
      <c r="AJ31" s="1">
        <f t="shared" si="3"/>
        <v>172.40331760859129</v>
      </c>
      <c r="AK31">
        <v>7</v>
      </c>
      <c r="AL31">
        <f t="shared" si="14"/>
        <v>191.88000000000002</v>
      </c>
      <c r="AM31">
        <f t="shared" si="15"/>
        <v>9.7858800000000006</v>
      </c>
      <c r="AN31">
        <f t="shared" si="16"/>
        <v>3279.9999999999995</v>
      </c>
      <c r="AO31">
        <f t="shared" si="17"/>
        <v>167.27999999999997</v>
      </c>
      <c r="AP31">
        <f t="shared" si="18"/>
        <v>106.60000000000001</v>
      </c>
      <c r="AQ31">
        <f t="shared" si="19"/>
        <v>7.9950000000000001</v>
      </c>
      <c r="AR31">
        <f t="shared" si="4"/>
        <v>1.3</v>
      </c>
      <c r="AS31">
        <f t="shared" si="5"/>
        <v>1.5</v>
      </c>
      <c r="AT31">
        <f t="shared" si="6"/>
        <v>3</v>
      </c>
      <c r="AU31">
        <f t="shared" si="42"/>
        <v>3</v>
      </c>
      <c r="AV31">
        <v>1</v>
      </c>
      <c r="AW31">
        <v>0</v>
      </c>
      <c r="AX31">
        <v>0.6</v>
      </c>
      <c r="BB31" s="20">
        <v>5002</v>
      </c>
      <c r="BC31" s="21" t="s">
        <v>186</v>
      </c>
      <c r="BD31" s="58">
        <v>1.5</v>
      </c>
      <c r="BE31" s="20">
        <f t="shared" si="43"/>
        <v>0.66666666666666663</v>
      </c>
      <c r="BF31" s="22">
        <v>7.5</v>
      </c>
      <c r="BG31" s="23">
        <v>1.4</v>
      </c>
      <c r="BH31" s="25">
        <f t="shared" si="44"/>
        <v>167.99999999999997</v>
      </c>
      <c r="BI31" s="25">
        <f t="shared" si="45"/>
        <v>960</v>
      </c>
      <c r="BJ31" s="25">
        <f t="shared" si="46"/>
        <v>22.399999999999995</v>
      </c>
      <c r="BK31">
        <v>6</v>
      </c>
      <c r="BL31">
        <f t="shared" si="47"/>
        <v>119.99999999999999</v>
      </c>
      <c r="BM31">
        <f t="shared" si="48"/>
        <v>1</v>
      </c>
      <c r="BN31" s="20">
        <v>30</v>
      </c>
      <c r="BO31">
        <f t="shared" si="49"/>
        <v>2.5</v>
      </c>
      <c r="BP31" s="20">
        <v>75</v>
      </c>
      <c r="BV31">
        <f t="shared" si="28"/>
        <v>0.58333333333333326</v>
      </c>
      <c r="CD31" s="2" t="s">
        <v>111</v>
      </c>
      <c r="CE31" t="s">
        <v>114</v>
      </c>
      <c r="CG31" s="2" t="s">
        <v>111</v>
      </c>
      <c r="CH31" t="s">
        <v>114</v>
      </c>
    </row>
    <row r="32" spans="1:86">
      <c r="A32" s="2">
        <v>304</v>
      </c>
      <c r="B32" t="s">
        <v>124</v>
      </c>
      <c r="C32">
        <v>0</v>
      </c>
      <c r="D32">
        <v>7</v>
      </c>
      <c r="E32">
        <v>1</v>
      </c>
      <c r="F32">
        <v>0</v>
      </c>
      <c r="G32" t="s">
        <v>125</v>
      </c>
      <c r="H32" t="s">
        <v>125</v>
      </c>
      <c r="I32" s="2">
        <v>0</v>
      </c>
      <c r="J32" s="2">
        <v>0</v>
      </c>
      <c r="K32" s="2">
        <f t="shared" si="0"/>
        <v>3</v>
      </c>
      <c r="L32" s="2">
        <f t="shared" si="50"/>
        <v>1.3</v>
      </c>
      <c r="M32" s="2">
        <f t="shared" si="50"/>
        <v>1.5</v>
      </c>
      <c r="N32" s="2">
        <v>10</v>
      </c>
      <c r="O32" s="2">
        <f t="shared" si="7"/>
        <v>215.28</v>
      </c>
      <c r="P32" s="2">
        <f t="shared" si="8"/>
        <v>18.66</v>
      </c>
      <c r="Q32" s="2">
        <f t="shared" si="9"/>
        <v>3680</v>
      </c>
      <c r="R32" s="2">
        <f t="shared" si="10"/>
        <v>319.06</v>
      </c>
      <c r="S32" s="2">
        <f t="shared" si="11"/>
        <v>119.6</v>
      </c>
      <c r="T32" s="2">
        <f t="shared" si="12"/>
        <v>15.25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>
        <v>3002</v>
      </c>
      <c r="AA32" s="12" t="s">
        <v>187</v>
      </c>
      <c r="AB32" s="46" t="s">
        <v>97</v>
      </c>
      <c r="AC32">
        <f t="shared" si="13"/>
        <v>305</v>
      </c>
      <c r="AD32" s="2">
        <v>0</v>
      </c>
      <c r="AE32">
        <v>0</v>
      </c>
      <c r="AF32">
        <v>0</v>
      </c>
      <c r="AG32">
        <v>0</v>
      </c>
      <c r="AI32">
        <v>1</v>
      </c>
      <c r="AJ32" s="1">
        <f t="shared" si="3"/>
        <v>217.63947768470447</v>
      </c>
      <c r="AK32">
        <v>8</v>
      </c>
      <c r="AL32">
        <f t="shared" si="14"/>
        <v>215.28000000000003</v>
      </c>
      <c r="AM32">
        <f t="shared" si="15"/>
        <v>10.979280000000001</v>
      </c>
      <c r="AN32">
        <f t="shared" si="16"/>
        <v>3679.9999999999995</v>
      </c>
      <c r="AO32">
        <f t="shared" si="17"/>
        <v>187.67999999999998</v>
      </c>
      <c r="AP32">
        <f t="shared" si="18"/>
        <v>119.60000000000001</v>
      </c>
      <c r="AQ32">
        <f t="shared" si="19"/>
        <v>8.9700000000000006</v>
      </c>
      <c r="AR32">
        <f t="shared" si="4"/>
        <v>1.3</v>
      </c>
      <c r="AS32">
        <f t="shared" si="5"/>
        <v>1.5</v>
      </c>
      <c r="AT32">
        <f t="shared" si="6"/>
        <v>3</v>
      </c>
      <c r="AU32">
        <f t="shared" si="42"/>
        <v>3</v>
      </c>
      <c r="AV32">
        <v>1</v>
      </c>
      <c r="AW32">
        <v>0</v>
      </c>
      <c r="AX32">
        <v>0.7</v>
      </c>
      <c r="BB32" s="20">
        <v>5003</v>
      </c>
      <c r="BC32" s="21" t="s">
        <v>188</v>
      </c>
      <c r="BD32" s="58">
        <v>1.3</v>
      </c>
      <c r="BE32" s="20">
        <f t="shared" si="43"/>
        <v>0.76923076923076916</v>
      </c>
      <c r="BF32" s="22">
        <v>6</v>
      </c>
      <c r="BG32" s="23">
        <v>1.5</v>
      </c>
      <c r="BH32" s="25">
        <f t="shared" si="44"/>
        <v>156</v>
      </c>
      <c r="BI32" s="25">
        <f t="shared" si="45"/>
        <v>1107.6923076923076</v>
      </c>
      <c r="BJ32" s="25">
        <f t="shared" si="46"/>
        <v>26</v>
      </c>
      <c r="BK32">
        <v>6</v>
      </c>
      <c r="BL32">
        <f t="shared" si="47"/>
        <v>104</v>
      </c>
      <c r="BM32">
        <f t="shared" si="48"/>
        <v>1</v>
      </c>
      <c r="BN32" s="20">
        <v>30</v>
      </c>
      <c r="BO32">
        <f t="shared" si="49"/>
        <v>2</v>
      </c>
      <c r="BP32" s="20">
        <v>60</v>
      </c>
      <c r="BV32">
        <f t="shared" si="28"/>
        <v>0.61904761904761907</v>
      </c>
      <c r="CD32" s="2" t="s">
        <v>115</v>
      </c>
      <c r="CE32" t="s">
        <v>118</v>
      </c>
      <c r="CG32" s="2" t="s">
        <v>115</v>
      </c>
      <c r="CH32" t="s">
        <v>118</v>
      </c>
    </row>
    <row r="33" spans="1:86">
      <c r="A33" s="2">
        <v>305</v>
      </c>
      <c r="B33" t="s">
        <v>129</v>
      </c>
      <c r="C33">
        <v>0</v>
      </c>
      <c r="D33">
        <v>8</v>
      </c>
      <c r="E33">
        <v>1</v>
      </c>
      <c r="F33">
        <v>0</v>
      </c>
      <c r="G33" t="s">
        <v>130</v>
      </c>
      <c r="H33" t="s">
        <v>130</v>
      </c>
      <c r="I33" s="2">
        <v>0</v>
      </c>
      <c r="J33" s="2">
        <v>0</v>
      </c>
      <c r="K33" s="2">
        <f t="shared" si="0"/>
        <v>3</v>
      </c>
      <c r="L33" s="2">
        <f t="shared" si="50"/>
        <v>1.3</v>
      </c>
      <c r="M33" s="2">
        <f t="shared" si="50"/>
        <v>1.5</v>
      </c>
      <c r="N33" s="2">
        <v>10</v>
      </c>
      <c r="O33" s="2">
        <f t="shared" si="7"/>
        <v>238.68</v>
      </c>
      <c r="P33" s="2">
        <f t="shared" si="8"/>
        <v>21.91</v>
      </c>
      <c r="Q33" s="2">
        <f t="shared" si="9"/>
        <v>4080</v>
      </c>
      <c r="R33" s="2">
        <f t="shared" si="10"/>
        <v>374.54</v>
      </c>
      <c r="S33" s="2">
        <f t="shared" si="11"/>
        <v>132.6</v>
      </c>
      <c r="T33" s="2">
        <f t="shared" si="12"/>
        <v>17.899999999999999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>
        <v>3002</v>
      </c>
      <c r="AA33" s="12" t="s">
        <v>189</v>
      </c>
      <c r="AB33" s="46" t="s">
        <v>97</v>
      </c>
      <c r="AC33">
        <f t="shared" si="13"/>
        <v>306</v>
      </c>
      <c r="AD33" s="2">
        <v>0</v>
      </c>
      <c r="AE33">
        <v>0</v>
      </c>
      <c r="AF33">
        <v>0</v>
      </c>
      <c r="AG33">
        <v>0</v>
      </c>
      <c r="AI33">
        <v>1</v>
      </c>
      <c r="AJ33" s="1">
        <f t="shared" si="3"/>
        <v>268.29343398417495</v>
      </c>
      <c r="AK33">
        <v>9</v>
      </c>
      <c r="AL33">
        <f t="shared" si="14"/>
        <v>238.68000000000004</v>
      </c>
      <c r="AM33">
        <f t="shared" si="15"/>
        <v>12.172680000000001</v>
      </c>
      <c r="AN33">
        <f t="shared" si="16"/>
        <v>4079.9999999999995</v>
      </c>
      <c r="AO33">
        <f t="shared" si="17"/>
        <v>208.07999999999996</v>
      </c>
      <c r="AP33">
        <f t="shared" si="18"/>
        <v>132.60000000000002</v>
      </c>
      <c r="AQ33">
        <f t="shared" si="19"/>
        <v>9.9450000000000021</v>
      </c>
      <c r="AR33">
        <f t="shared" si="4"/>
        <v>1.3</v>
      </c>
      <c r="AS33">
        <f t="shared" si="5"/>
        <v>1.5</v>
      </c>
      <c r="AT33">
        <f t="shared" si="6"/>
        <v>3</v>
      </c>
      <c r="AU33">
        <f t="shared" si="42"/>
        <v>3</v>
      </c>
      <c r="AV33">
        <v>1</v>
      </c>
      <c r="AW33">
        <v>0</v>
      </c>
      <c r="AX33">
        <v>0.8</v>
      </c>
      <c r="BB33" s="20">
        <v>5014</v>
      </c>
      <c r="BC33" s="21" t="s">
        <v>190</v>
      </c>
      <c r="BD33" s="58">
        <v>1.3</v>
      </c>
      <c r="BE33" s="20">
        <f t="shared" si="43"/>
        <v>0.76923076923076916</v>
      </c>
      <c r="BF33" s="22">
        <v>7</v>
      </c>
      <c r="BG33" s="23">
        <v>1.6</v>
      </c>
      <c r="BH33" s="25">
        <f t="shared" si="44"/>
        <v>166.4</v>
      </c>
      <c r="BI33" s="25">
        <f t="shared" si="45"/>
        <v>1107.6923076923076</v>
      </c>
      <c r="BJ33" s="25">
        <f t="shared" si="46"/>
        <v>23.771428571428572</v>
      </c>
      <c r="BK33">
        <v>6</v>
      </c>
      <c r="BL33">
        <f t="shared" si="47"/>
        <v>104</v>
      </c>
      <c r="BM33">
        <f t="shared" si="48"/>
        <v>1.3333333333333333</v>
      </c>
      <c r="BN33" s="20">
        <v>40</v>
      </c>
      <c r="BO33">
        <f t="shared" si="49"/>
        <v>2</v>
      </c>
      <c r="BP33" s="20">
        <v>60</v>
      </c>
      <c r="BV33">
        <f t="shared" si="28"/>
        <v>0.5977011494252874</v>
      </c>
      <c r="CD33" s="2" t="s">
        <v>119</v>
      </c>
      <c r="CE33" t="s">
        <v>123</v>
      </c>
      <c r="CG33" s="2" t="s">
        <v>119</v>
      </c>
      <c r="CH33" t="s">
        <v>123</v>
      </c>
    </row>
    <row r="34" spans="1:86">
      <c r="A34" s="2">
        <v>306</v>
      </c>
      <c r="B34" t="s">
        <v>134</v>
      </c>
      <c r="C34">
        <v>0</v>
      </c>
      <c r="D34">
        <v>9</v>
      </c>
      <c r="E34">
        <v>1</v>
      </c>
      <c r="F34">
        <v>0</v>
      </c>
      <c r="G34" t="s">
        <v>135</v>
      </c>
      <c r="H34" t="s">
        <v>135</v>
      </c>
      <c r="I34" s="2">
        <v>0</v>
      </c>
      <c r="J34" s="2">
        <v>0</v>
      </c>
      <c r="K34" s="2">
        <f t="shared" si="0"/>
        <v>3</v>
      </c>
      <c r="L34" s="2">
        <f t="shared" si="50"/>
        <v>1.3</v>
      </c>
      <c r="M34" s="2">
        <f t="shared" si="50"/>
        <v>1.5</v>
      </c>
      <c r="N34" s="2">
        <v>10</v>
      </c>
      <c r="O34" s="2">
        <f t="shared" si="7"/>
        <v>262.08</v>
      </c>
      <c r="P34" s="2">
        <f t="shared" si="8"/>
        <v>25.4</v>
      </c>
      <c r="Q34" s="2">
        <f t="shared" si="9"/>
        <v>4480</v>
      </c>
      <c r="R34" s="2">
        <f t="shared" si="10"/>
        <v>434.11</v>
      </c>
      <c r="S34" s="2">
        <f t="shared" si="11"/>
        <v>145.6</v>
      </c>
      <c r="T34" s="2">
        <f t="shared" si="12"/>
        <v>20.75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>
        <v>3003</v>
      </c>
      <c r="AA34" s="12" t="s">
        <v>189</v>
      </c>
      <c r="AB34" s="46" t="s">
        <v>97</v>
      </c>
      <c r="AC34">
        <f t="shared" si="13"/>
        <v>307</v>
      </c>
      <c r="AD34" s="2">
        <v>0</v>
      </c>
      <c r="AE34">
        <v>0</v>
      </c>
      <c r="AF34">
        <v>0</v>
      </c>
      <c r="AG34">
        <v>0</v>
      </c>
      <c r="AI34">
        <v>1</v>
      </c>
      <c r="AJ34" s="1">
        <f t="shared" si="3"/>
        <v>324.41208276891825</v>
      </c>
      <c r="AK34">
        <v>10</v>
      </c>
      <c r="AL34">
        <f t="shared" si="14"/>
        <v>262.08000000000004</v>
      </c>
      <c r="AM34">
        <f t="shared" si="15"/>
        <v>13.366080000000002</v>
      </c>
      <c r="AN34">
        <f t="shared" si="16"/>
        <v>4480</v>
      </c>
      <c r="AO34">
        <f t="shared" si="17"/>
        <v>228.48</v>
      </c>
      <c r="AP34">
        <f t="shared" si="18"/>
        <v>145.60000000000002</v>
      </c>
      <c r="AQ34">
        <f t="shared" si="19"/>
        <v>10.920000000000002</v>
      </c>
      <c r="AR34">
        <f t="shared" si="4"/>
        <v>1.3</v>
      </c>
      <c r="AS34">
        <f t="shared" si="5"/>
        <v>1.5</v>
      </c>
      <c r="AT34">
        <f t="shared" si="6"/>
        <v>3</v>
      </c>
      <c r="AU34">
        <f t="shared" si="42"/>
        <v>3</v>
      </c>
      <c r="AV34">
        <v>1</v>
      </c>
      <c r="AW34">
        <v>0</v>
      </c>
      <c r="AX34">
        <v>0.9</v>
      </c>
      <c r="BB34" s="20">
        <v>5015</v>
      </c>
      <c r="BC34" s="21" t="s">
        <v>191</v>
      </c>
      <c r="BD34" s="58">
        <v>1.45</v>
      </c>
      <c r="BE34" s="20">
        <f t="shared" si="43"/>
        <v>0.68965517241379315</v>
      </c>
      <c r="BF34" s="22">
        <v>8</v>
      </c>
      <c r="BG34" s="23">
        <v>1.5</v>
      </c>
      <c r="BH34" s="25">
        <f t="shared" si="44"/>
        <v>174</v>
      </c>
      <c r="BI34" s="25">
        <f t="shared" si="45"/>
        <v>993.10344827586209</v>
      </c>
      <c r="BJ34" s="25">
        <f t="shared" si="46"/>
        <v>21.75</v>
      </c>
      <c r="BK34">
        <v>6</v>
      </c>
      <c r="BL34">
        <f t="shared" si="47"/>
        <v>116</v>
      </c>
      <c r="BM34">
        <f t="shared" si="48"/>
        <v>1.3333333333333333</v>
      </c>
      <c r="BN34" s="20">
        <v>40</v>
      </c>
      <c r="BO34">
        <f t="shared" si="49"/>
        <v>2</v>
      </c>
      <c r="BP34" s="20">
        <v>60</v>
      </c>
      <c r="BV34">
        <f t="shared" si="28"/>
        <v>0.57615894039735105</v>
      </c>
      <c r="CD34" s="2" t="s">
        <v>124</v>
      </c>
      <c r="CE34" t="s">
        <v>128</v>
      </c>
      <c r="CG34" s="2" t="s">
        <v>124</v>
      </c>
      <c r="CH34" t="s">
        <v>128</v>
      </c>
    </row>
    <row r="35" spans="1:86">
      <c r="A35" s="2">
        <v>307</v>
      </c>
      <c r="B35" t="s">
        <v>138</v>
      </c>
      <c r="C35">
        <v>0</v>
      </c>
      <c r="D35">
        <v>10</v>
      </c>
      <c r="E35">
        <v>1</v>
      </c>
      <c r="F35">
        <v>0</v>
      </c>
      <c r="G35" t="s">
        <v>139</v>
      </c>
      <c r="H35" t="s">
        <v>139</v>
      </c>
      <c r="I35" s="2">
        <v>0</v>
      </c>
      <c r="J35" s="2">
        <v>0</v>
      </c>
      <c r="K35" s="2">
        <f t="shared" si="0"/>
        <v>3</v>
      </c>
      <c r="L35" s="2">
        <f t="shared" si="50"/>
        <v>1.3</v>
      </c>
      <c r="M35" s="2">
        <f t="shared" si="50"/>
        <v>1.5</v>
      </c>
      <c r="N35" s="2">
        <v>10</v>
      </c>
      <c r="O35" s="2">
        <f t="shared" si="7"/>
        <v>290.16000000000003</v>
      </c>
      <c r="P35" s="2">
        <f t="shared" si="8"/>
        <v>29.6</v>
      </c>
      <c r="Q35" s="2">
        <f t="shared" si="9"/>
        <v>4960</v>
      </c>
      <c r="R35" s="2">
        <f t="shared" si="10"/>
        <v>505.92</v>
      </c>
      <c r="S35" s="2">
        <f t="shared" si="11"/>
        <v>161.19999999999999</v>
      </c>
      <c r="T35" s="2">
        <f t="shared" si="12"/>
        <v>24.18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>
        <v>3003</v>
      </c>
      <c r="AA35" s="12" t="s">
        <v>192</v>
      </c>
      <c r="AB35" s="46" t="s">
        <v>97</v>
      </c>
      <c r="AC35">
        <f t="shared" si="13"/>
        <v>308</v>
      </c>
      <c r="AD35" s="2">
        <v>0</v>
      </c>
      <c r="AE35">
        <v>0</v>
      </c>
      <c r="AF35">
        <v>0</v>
      </c>
      <c r="AG35">
        <v>0</v>
      </c>
      <c r="AI35">
        <v>1</v>
      </c>
      <c r="AJ35" s="1">
        <f t="shared" si="3"/>
        <v>399.03468828216319</v>
      </c>
      <c r="AK35">
        <v>11</v>
      </c>
      <c r="AL35">
        <f t="shared" si="14"/>
        <v>290.16000000000008</v>
      </c>
      <c r="AM35">
        <f t="shared" si="15"/>
        <v>14.798160000000003</v>
      </c>
      <c r="AN35">
        <f t="shared" si="16"/>
        <v>4960</v>
      </c>
      <c r="AO35">
        <f t="shared" si="17"/>
        <v>252.95999999999998</v>
      </c>
      <c r="AP35">
        <f t="shared" si="18"/>
        <v>161.20000000000005</v>
      </c>
      <c r="AQ35">
        <f t="shared" si="19"/>
        <v>12.090000000000003</v>
      </c>
      <c r="AR35">
        <f t="shared" si="4"/>
        <v>1.3</v>
      </c>
      <c r="AS35">
        <f t="shared" si="5"/>
        <v>1.5</v>
      </c>
      <c r="AT35">
        <f t="shared" si="6"/>
        <v>3</v>
      </c>
      <c r="AU35">
        <f t="shared" si="42"/>
        <v>3</v>
      </c>
      <c r="AV35">
        <v>1</v>
      </c>
      <c r="AW35">
        <v>0</v>
      </c>
      <c r="AX35">
        <v>1</v>
      </c>
      <c r="BB35" s="20">
        <v>5021</v>
      </c>
      <c r="BC35" s="21" t="s">
        <v>193</v>
      </c>
      <c r="BD35" s="58">
        <v>1.3</v>
      </c>
      <c r="BE35" s="20">
        <f t="shared" si="43"/>
        <v>0.76923076923076916</v>
      </c>
      <c r="BF35" s="22">
        <v>6.5</v>
      </c>
      <c r="BG35" s="23">
        <v>1.4</v>
      </c>
      <c r="BH35" s="25">
        <f t="shared" si="44"/>
        <v>145.6</v>
      </c>
      <c r="BI35" s="25">
        <f t="shared" si="45"/>
        <v>1107.6923076923076</v>
      </c>
      <c r="BJ35" s="25">
        <f t="shared" si="46"/>
        <v>22.4</v>
      </c>
      <c r="BK35">
        <v>6</v>
      </c>
      <c r="BL35">
        <f t="shared" si="47"/>
        <v>104</v>
      </c>
      <c r="BM35">
        <f t="shared" si="48"/>
        <v>1</v>
      </c>
      <c r="BN35" s="20">
        <v>30</v>
      </c>
      <c r="BO35">
        <f t="shared" si="49"/>
        <v>2</v>
      </c>
      <c r="BP35" s="20">
        <v>60</v>
      </c>
      <c r="BV35">
        <f t="shared" si="28"/>
        <v>0.58333333333333326</v>
      </c>
      <c r="CD35" s="2" t="s">
        <v>129</v>
      </c>
      <c r="CE35" t="s">
        <v>133</v>
      </c>
      <c r="CG35" s="2" t="s">
        <v>129</v>
      </c>
      <c r="CH35" t="s">
        <v>133</v>
      </c>
    </row>
    <row r="36" spans="1:86">
      <c r="A36" s="2">
        <v>308</v>
      </c>
      <c r="B36" t="s">
        <v>143</v>
      </c>
      <c r="C36">
        <v>0</v>
      </c>
      <c r="D36">
        <v>11</v>
      </c>
      <c r="E36">
        <v>1</v>
      </c>
      <c r="F36">
        <v>0</v>
      </c>
      <c r="G36" t="s">
        <v>144</v>
      </c>
      <c r="H36" t="s">
        <v>144</v>
      </c>
      <c r="I36" s="2">
        <v>0</v>
      </c>
      <c r="J36" s="2">
        <v>0</v>
      </c>
      <c r="K36" s="2">
        <f t="shared" si="0"/>
        <v>3</v>
      </c>
      <c r="L36" s="2">
        <f t="shared" ref="L36:M63" si="51">FLOOR(AR36/1,0.01)</f>
        <v>1.3</v>
      </c>
      <c r="M36" s="2">
        <f t="shared" si="51"/>
        <v>1.5</v>
      </c>
      <c r="N36" s="2">
        <v>10</v>
      </c>
      <c r="O36" s="2">
        <f t="shared" si="7"/>
        <v>318.24</v>
      </c>
      <c r="P36" s="2">
        <f t="shared" si="8"/>
        <v>34.08</v>
      </c>
      <c r="Q36" s="2">
        <f t="shared" si="9"/>
        <v>5440</v>
      </c>
      <c r="R36" s="2">
        <f t="shared" si="10"/>
        <v>582.62</v>
      </c>
      <c r="S36" s="2">
        <f t="shared" si="11"/>
        <v>176.8</v>
      </c>
      <c r="T36" s="2">
        <f t="shared" si="12"/>
        <v>27.85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>
        <v>3003</v>
      </c>
      <c r="AA36" s="12" t="s">
        <v>194</v>
      </c>
      <c r="AB36" s="46" t="s">
        <v>97</v>
      </c>
      <c r="AC36">
        <f t="shared" si="13"/>
        <v>309</v>
      </c>
      <c r="AD36" s="2">
        <v>0</v>
      </c>
      <c r="AE36">
        <v>0</v>
      </c>
      <c r="AF36">
        <v>0</v>
      </c>
      <c r="AG36">
        <v>0</v>
      </c>
      <c r="AI36">
        <v>1</v>
      </c>
      <c r="AJ36" s="1">
        <f t="shared" si="3"/>
        <v>481.67781529216592</v>
      </c>
      <c r="AK36">
        <v>12</v>
      </c>
      <c r="AL36">
        <f t="shared" si="14"/>
        <v>318.24000000000007</v>
      </c>
      <c r="AM36">
        <f t="shared" si="15"/>
        <v>16.230240000000002</v>
      </c>
      <c r="AN36">
        <f t="shared" si="16"/>
        <v>5440</v>
      </c>
      <c r="AO36">
        <f t="shared" si="17"/>
        <v>277.44</v>
      </c>
      <c r="AP36">
        <f t="shared" si="18"/>
        <v>176.80000000000004</v>
      </c>
      <c r="AQ36">
        <f t="shared" si="19"/>
        <v>13.260000000000003</v>
      </c>
      <c r="AR36">
        <f t="shared" si="4"/>
        <v>1.3</v>
      </c>
      <c r="AS36">
        <f t="shared" si="5"/>
        <v>1.5</v>
      </c>
      <c r="AT36">
        <f t="shared" si="6"/>
        <v>3</v>
      </c>
      <c r="AU36">
        <f t="shared" si="42"/>
        <v>3</v>
      </c>
      <c r="AV36">
        <v>1</v>
      </c>
      <c r="AW36">
        <v>0</v>
      </c>
      <c r="AX36">
        <v>1.1000000000000001</v>
      </c>
      <c r="BB36" s="20">
        <v>5022</v>
      </c>
      <c r="BC36" s="21" t="s">
        <v>195</v>
      </c>
      <c r="BD36" s="58">
        <v>1.55</v>
      </c>
      <c r="BE36" s="20">
        <f t="shared" si="43"/>
        <v>0.64516129032258063</v>
      </c>
      <c r="BF36" s="22">
        <v>7</v>
      </c>
      <c r="BG36" s="23">
        <v>1.4</v>
      </c>
      <c r="BH36" s="25">
        <f t="shared" si="44"/>
        <v>173.6</v>
      </c>
      <c r="BI36" s="25">
        <f t="shared" si="45"/>
        <v>929.0322580645161</v>
      </c>
      <c r="BJ36" s="25">
        <f t="shared" si="46"/>
        <v>24.8</v>
      </c>
      <c r="BK36">
        <v>6</v>
      </c>
      <c r="BL36">
        <f t="shared" si="47"/>
        <v>124</v>
      </c>
      <c r="BM36">
        <f t="shared" si="48"/>
        <v>1</v>
      </c>
      <c r="BN36" s="20">
        <v>30</v>
      </c>
      <c r="BO36">
        <f t="shared" si="49"/>
        <v>2</v>
      </c>
      <c r="BP36" s="20">
        <v>60</v>
      </c>
      <c r="BV36">
        <f t="shared" si="28"/>
        <v>0.60784313725490202</v>
      </c>
      <c r="CD36" s="2" t="s">
        <v>134</v>
      </c>
      <c r="CE36" t="s">
        <v>137</v>
      </c>
      <c r="CG36" s="2" t="s">
        <v>134</v>
      </c>
      <c r="CH36" t="s">
        <v>137</v>
      </c>
    </row>
    <row r="37" spans="1:86">
      <c r="A37" s="2">
        <v>309</v>
      </c>
      <c r="B37" t="s">
        <v>148</v>
      </c>
      <c r="C37">
        <v>0</v>
      </c>
      <c r="D37">
        <v>12</v>
      </c>
      <c r="E37">
        <v>1</v>
      </c>
      <c r="F37">
        <v>0</v>
      </c>
      <c r="G37" t="s">
        <v>149</v>
      </c>
      <c r="H37" t="s">
        <v>149</v>
      </c>
      <c r="I37" s="2">
        <v>0</v>
      </c>
      <c r="J37" s="2">
        <v>0</v>
      </c>
      <c r="K37" s="2">
        <f t="shared" si="0"/>
        <v>3</v>
      </c>
      <c r="L37" s="2">
        <f t="shared" si="51"/>
        <v>1.3</v>
      </c>
      <c r="M37" s="2">
        <f t="shared" si="51"/>
        <v>1.5</v>
      </c>
      <c r="N37" s="2">
        <v>10</v>
      </c>
      <c r="O37" s="2">
        <f t="shared" si="7"/>
        <v>346.32</v>
      </c>
      <c r="P37" s="2">
        <f t="shared" si="8"/>
        <v>38.86</v>
      </c>
      <c r="Q37" s="2">
        <f t="shared" si="9"/>
        <v>5920</v>
      </c>
      <c r="R37" s="2">
        <f t="shared" si="10"/>
        <v>664.22</v>
      </c>
      <c r="S37" s="2">
        <f t="shared" si="11"/>
        <v>192.4</v>
      </c>
      <c r="T37" s="2">
        <f t="shared" si="12"/>
        <v>31.75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>
        <v>3003</v>
      </c>
      <c r="AA37" s="12" t="s">
        <v>196</v>
      </c>
      <c r="AB37" s="46" t="s">
        <v>97</v>
      </c>
      <c r="AC37">
        <f t="shared" ref="AC37:AC62" si="52">A38</f>
        <v>310</v>
      </c>
      <c r="AD37" s="2">
        <v>0</v>
      </c>
      <c r="AE37">
        <v>0</v>
      </c>
      <c r="AF37">
        <v>0</v>
      </c>
      <c r="AG37">
        <v>0</v>
      </c>
      <c r="AI37">
        <v>1</v>
      </c>
      <c r="AJ37" s="1">
        <f t="shared" si="3"/>
        <v>572.42564867793158</v>
      </c>
      <c r="AK37">
        <v>13</v>
      </c>
      <c r="AL37">
        <f t="shared" si="14"/>
        <v>346.32000000000011</v>
      </c>
      <c r="AM37">
        <f t="shared" si="15"/>
        <v>17.662320000000005</v>
      </c>
      <c r="AN37">
        <f t="shared" si="16"/>
        <v>5920</v>
      </c>
      <c r="AO37">
        <f t="shared" si="17"/>
        <v>301.91999999999996</v>
      </c>
      <c r="AP37">
        <f t="shared" si="18"/>
        <v>192.40000000000006</v>
      </c>
      <c r="AQ37">
        <f t="shared" si="19"/>
        <v>14.430000000000003</v>
      </c>
      <c r="AR37">
        <f t="shared" si="4"/>
        <v>1.3</v>
      </c>
      <c r="AS37">
        <f t="shared" si="5"/>
        <v>1.5</v>
      </c>
      <c r="AT37">
        <f t="shared" si="6"/>
        <v>3</v>
      </c>
      <c r="AU37">
        <f t="shared" si="42"/>
        <v>3</v>
      </c>
      <c r="AV37">
        <v>1</v>
      </c>
      <c r="AW37">
        <v>0</v>
      </c>
      <c r="AX37">
        <v>1.2</v>
      </c>
      <c r="BB37" s="20">
        <v>5023</v>
      </c>
      <c r="BC37" s="21" t="s">
        <v>197</v>
      </c>
      <c r="BD37" s="58">
        <v>1.35</v>
      </c>
      <c r="BE37" s="20">
        <f t="shared" si="43"/>
        <v>0.7407407407407407</v>
      </c>
      <c r="BF37" s="22">
        <v>6</v>
      </c>
      <c r="BG37" s="23">
        <v>1.4</v>
      </c>
      <c r="BH37" s="25">
        <f t="shared" si="44"/>
        <v>151.19999999999999</v>
      </c>
      <c r="BI37" s="25">
        <f t="shared" si="45"/>
        <v>1066.6666666666665</v>
      </c>
      <c r="BJ37" s="25">
        <f t="shared" si="46"/>
        <v>25.2</v>
      </c>
      <c r="BK37">
        <v>6</v>
      </c>
      <c r="BL37">
        <f t="shared" si="47"/>
        <v>108</v>
      </c>
      <c r="BM37">
        <f t="shared" si="48"/>
        <v>1</v>
      </c>
      <c r="BN37" s="20">
        <v>30</v>
      </c>
      <c r="BO37">
        <f t="shared" si="49"/>
        <v>2</v>
      </c>
      <c r="BP37" s="20">
        <v>60</v>
      </c>
      <c r="BV37">
        <f t="shared" si="28"/>
        <v>0.61165048543689327</v>
      </c>
      <c r="CD37" s="2" t="s">
        <v>138</v>
      </c>
      <c r="CE37" t="s">
        <v>142</v>
      </c>
      <c r="CG37" s="2" t="s">
        <v>138</v>
      </c>
      <c r="CH37" t="s">
        <v>142</v>
      </c>
    </row>
    <row r="38" spans="1:86">
      <c r="A38" s="2">
        <v>310</v>
      </c>
      <c r="B38" t="s">
        <v>153</v>
      </c>
      <c r="C38">
        <v>0</v>
      </c>
      <c r="D38">
        <v>13</v>
      </c>
      <c r="E38">
        <v>1</v>
      </c>
      <c r="F38">
        <v>0</v>
      </c>
      <c r="G38" t="s">
        <v>154</v>
      </c>
      <c r="H38" t="s">
        <v>154</v>
      </c>
      <c r="I38" s="2">
        <v>0</v>
      </c>
      <c r="J38" s="2">
        <v>0</v>
      </c>
      <c r="K38" s="2">
        <f t="shared" si="0"/>
        <v>3</v>
      </c>
      <c r="L38" s="2">
        <f t="shared" si="51"/>
        <v>1.3</v>
      </c>
      <c r="M38" s="2">
        <f t="shared" si="51"/>
        <v>1.5</v>
      </c>
      <c r="N38" s="2">
        <v>10</v>
      </c>
      <c r="O38" s="2">
        <f t="shared" si="7"/>
        <v>374.4</v>
      </c>
      <c r="P38" s="2">
        <f t="shared" si="8"/>
        <v>43.92</v>
      </c>
      <c r="Q38" s="2">
        <f t="shared" si="9"/>
        <v>6400</v>
      </c>
      <c r="R38" s="2">
        <f t="shared" si="10"/>
        <v>750.72</v>
      </c>
      <c r="S38" s="2">
        <f t="shared" si="11"/>
        <v>208</v>
      </c>
      <c r="T38" s="2">
        <f t="shared" si="12"/>
        <v>35.880000000000003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>
        <v>3003</v>
      </c>
      <c r="AA38" s="12" t="s">
        <v>196</v>
      </c>
      <c r="AB38" s="46" t="s">
        <v>97</v>
      </c>
      <c r="AC38">
        <f t="shared" si="52"/>
        <v>311</v>
      </c>
      <c r="AD38" s="2">
        <v>0</v>
      </c>
      <c r="AE38">
        <v>0</v>
      </c>
      <c r="AF38">
        <v>0</v>
      </c>
      <c r="AG38">
        <v>0</v>
      </c>
      <c r="AI38">
        <v>1</v>
      </c>
      <c r="AJ38" s="1">
        <f t="shared" si="3"/>
        <v>671.36355561510788</v>
      </c>
      <c r="AK38">
        <v>14</v>
      </c>
      <c r="AL38">
        <f t="shared" si="14"/>
        <v>374.40000000000009</v>
      </c>
      <c r="AM38">
        <f t="shared" si="15"/>
        <v>19.094400000000004</v>
      </c>
      <c r="AN38">
        <f t="shared" si="16"/>
        <v>6400</v>
      </c>
      <c r="AO38">
        <f t="shared" si="17"/>
        <v>326.39999999999998</v>
      </c>
      <c r="AP38">
        <f t="shared" si="18"/>
        <v>208.00000000000006</v>
      </c>
      <c r="AQ38">
        <f t="shared" si="19"/>
        <v>15.600000000000003</v>
      </c>
      <c r="AR38">
        <f t="shared" si="4"/>
        <v>1.3</v>
      </c>
      <c r="AS38">
        <f t="shared" si="5"/>
        <v>1.5</v>
      </c>
      <c r="AT38">
        <f t="shared" si="6"/>
        <v>3</v>
      </c>
      <c r="AU38">
        <f t="shared" si="42"/>
        <v>3</v>
      </c>
      <c r="AV38">
        <v>1</v>
      </c>
      <c r="AW38">
        <v>0</v>
      </c>
      <c r="AX38">
        <v>1.3</v>
      </c>
      <c r="BB38" s="20">
        <v>6004</v>
      </c>
      <c r="BC38" s="21" t="s">
        <v>198</v>
      </c>
      <c r="BD38" s="58">
        <v>1.1000000000000001</v>
      </c>
      <c r="BE38" s="20">
        <f t="shared" si="43"/>
        <v>0.90909090909090906</v>
      </c>
      <c r="BF38" s="22">
        <v>4</v>
      </c>
      <c r="BG38" s="23">
        <v>1.4</v>
      </c>
      <c r="BH38" s="25">
        <f t="shared" si="44"/>
        <v>123.19999999999999</v>
      </c>
      <c r="BI38" s="25">
        <f t="shared" si="45"/>
        <v>1309.090909090909</v>
      </c>
      <c r="BJ38" s="25">
        <f t="shared" si="46"/>
        <v>30.799999999999997</v>
      </c>
      <c r="BK38">
        <v>3</v>
      </c>
      <c r="BL38">
        <f t="shared" si="47"/>
        <v>88</v>
      </c>
      <c r="BM38">
        <f t="shared" si="48"/>
        <v>1</v>
      </c>
      <c r="BN38" s="20">
        <v>30</v>
      </c>
      <c r="BO38">
        <f t="shared" si="49"/>
        <v>1.6666666666666667</v>
      </c>
      <c r="BP38" s="20">
        <v>50</v>
      </c>
      <c r="BV38">
        <f t="shared" si="28"/>
        <v>0.65811965811965811</v>
      </c>
      <c r="CD38" s="2" t="s">
        <v>143</v>
      </c>
      <c r="CE38" t="s">
        <v>147</v>
      </c>
      <c r="CG38" s="2" t="s">
        <v>143</v>
      </c>
      <c r="CH38" t="s">
        <v>147</v>
      </c>
    </row>
    <row r="39" spans="1:86">
      <c r="A39" s="2">
        <v>311</v>
      </c>
      <c r="B39" t="s">
        <v>157</v>
      </c>
      <c r="C39">
        <v>0</v>
      </c>
      <c r="D39">
        <v>14</v>
      </c>
      <c r="E39">
        <v>1</v>
      </c>
      <c r="F39">
        <v>0</v>
      </c>
      <c r="G39" t="s">
        <v>158</v>
      </c>
      <c r="H39" t="s">
        <v>158</v>
      </c>
      <c r="I39" s="2">
        <v>0</v>
      </c>
      <c r="J39" s="2">
        <v>0</v>
      </c>
      <c r="K39" s="2">
        <f t="shared" si="0"/>
        <v>3</v>
      </c>
      <c r="L39" s="2">
        <f t="shared" si="51"/>
        <v>1.3</v>
      </c>
      <c r="M39" s="2">
        <f t="shared" si="51"/>
        <v>1.5</v>
      </c>
      <c r="N39" s="2">
        <v>10</v>
      </c>
      <c r="O39" s="2">
        <f t="shared" si="7"/>
        <v>402.48</v>
      </c>
      <c r="P39" s="2">
        <f t="shared" si="8"/>
        <v>49.26</v>
      </c>
      <c r="Q39" s="2">
        <f t="shared" si="9"/>
        <v>6880</v>
      </c>
      <c r="R39" s="2">
        <f t="shared" si="10"/>
        <v>842.11</v>
      </c>
      <c r="S39" s="2">
        <f t="shared" si="11"/>
        <v>223.6</v>
      </c>
      <c r="T39" s="2">
        <f t="shared" si="12"/>
        <v>40.25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>
        <v>3003</v>
      </c>
      <c r="AA39" s="12" t="s">
        <v>196</v>
      </c>
      <c r="AB39" s="46" t="s">
        <v>97</v>
      </c>
      <c r="AC39">
        <v>0</v>
      </c>
      <c r="AD39" s="2">
        <v>1</v>
      </c>
      <c r="AE39">
        <v>0</v>
      </c>
      <c r="AF39">
        <v>0</v>
      </c>
      <c r="AG39">
        <v>0</v>
      </c>
      <c r="AI39">
        <v>1</v>
      </c>
      <c r="AJ39" s="1">
        <f t="shared" si="3"/>
        <v>778.57810640440539</v>
      </c>
      <c r="AK39">
        <v>15</v>
      </c>
      <c r="AL39">
        <f t="shared" si="14"/>
        <v>402.48000000000008</v>
      </c>
      <c r="AM39">
        <f t="shared" si="15"/>
        <v>20.526480000000003</v>
      </c>
      <c r="AN39">
        <f t="shared" si="16"/>
        <v>6880</v>
      </c>
      <c r="AO39">
        <f t="shared" si="17"/>
        <v>350.88</v>
      </c>
      <c r="AP39">
        <f t="shared" si="18"/>
        <v>223.60000000000002</v>
      </c>
      <c r="AQ39">
        <f t="shared" si="19"/>
        <v>16.77</v>
      </c>
      <c r="AR39">
        <f t="shared" si="4"/>
        <v>1.3</v>
      </c>
      <c r="AS39">
        <f t="shared" si="5"/>
        <v>1.5</v>
      </c>
      <c r="AT39">
        <f t="shared" si="6"/>
        <v>3</v>
      </c>
      <c r="AU39">
        <f t="shared" si="42"/>
        <v>3</v>
      </c>
      <c r="AV39">
        <v>1</v>
      </c>
      <c r="AW39">
        <v>0</v>
      </c>
      <c r="AX39">
        <v>1.4</v>
      </c>
      <c r="BB39" s="20">
        <v>6011</v>
      </c>
      <c r="BC39" s="21" t="s">
        <v>199</v>
      </c>
      <c r="BD39" s="58">
        <v>1</v>
      </c>
      <c r="BE39" s="20">
        <f t="shared" si="43"/>
        <v>1</v>
      </c>
      <c r="BF39" s="22">
        <v>4.5</v>
      </c>
      <c r="BG39" s="23">
        <v>1.5</v>
      </c>
      <c r="BH39" s="25">
        <f t="shared" si="44"/>
        <v>120</v>
      </c>
      <c r="BI39" s="25">
        <f t="shared" si="45"/>
        <v>1440</v>
      </c>
      <c r="BJ39" s="25">
        <f t="shared" si="46"/>
        <v>26.666666666666668</v>
      </c>
      <c r="BK39">
        <v>6</v>
      </c>
      <c r="BL39">
        <f t="shared" si="47"/>
        <v>80</v>
      </c>
      <c r="BM39">
        <f t="shared" si="48"/>
        <v>1.2333333333333334</v>
      </c>
      <c r="BN39" s="20">
        <v>37</v>
      </c>
      <c r="BO39">
        <f t="shared" si="49"/>
        <v>2.1666666666666665</v>
      </c>
      <c r="BP39" s="20">
        <v>65</v>
      </c>
      <c r="BV39">
        <f t="shared" si="28"/>
        <v>0.625</v>
      </c>
      <c r="CD39" s="2" t="s">
        <v>148</v>
      </c>
      <c r="CE39" t="s">
        <v>152</v>
      </c>
      <c r="CG39" s="2" t="s">
        <v>148</v>
      </c>
      <c r="CH39" t="s">
        <v>152</v>
      </c>
    </row>
    <row r="40" spans="1:86">
      <c r="A40" s="2">
        <v>400</v>
      </c>
      <c r="B40" t="s">
        <v>94</v>
      </c>
      <c r="C40">
        <v>0</v>
      </c>
      <c r="D40">
        <v>3</v>
      </c>
      <c r="E40">
        <v>1</v>
      </c>
      <c r="F40">
        <v>0</v>
      </c>
      <c r="G40" t="s">
        <v>95</v>
      </c>
      <c r="H40" t="s">
        <v>95</v>
      </c>
      <c r="I40" s="2">
        <v>0</v>
      </c>
      <c r="J40" s="50" t="s">
        <v>1715</v>
      </c>
      <c r="K40" s="2">
        <f t="shared" si="0"/>
        <v>6</v>
      </c>
      <c r="L40" s="2">
        <f t="shared" si="51"/>
        <v>1.3</v>
      </c>
      <c r="M40" s="2">
        <f t="shared" si="51"/>
        <v>1.5</v>
      </c>
      <c r="N40" s="2">
        <v>10</v>
      </c>
      <c r="O40" s="2">
        <f t="shared" si="7"/>
        <v>145.6</v>
      </c>
      <c r="P40" s="2">
        <f t="shared" si="8"/>
        <v>9.65</v>
      </c>
      <c r="Q40" s="2">
        <f t="shared" si="9"/>
        <v>2016</v>
      </c>
      <c r="R40" s="2">
        <f t="shared" si="10"/>
        <v>133.66</v>
      </c>
      <c r="S40" s="2">
        <f t="shared" si="11"/>
        <v>48.53</v>
      </c>
      <c r="T40" s="2">
        <f t="shared" si="12"/>
        <v>4.7300000000000004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>
        <v>4001</v>
      </c>
      <c r="AA40" s="12" t="s">
        <v>200</v>
      </c>
      <c r="AB40" s="46" t="s">
        <v>97</v>
      </c>
      <c r="AC40">
        <f t="shared" si="52"/>
        <v>401</v>
      </c>
      <c r="AD40" s="2">
        <v>0</v>
      </c>
      <c r="AE40">
        <v>0</v>
      </c>
      <c r="AF40">
        <v>0</v>
      </c>
      <c r="AG40">
        <v>0</v>
      </c>
      <c r="AI40">
        <v>1</v>
      </c>
      <c r="AJ40" s="1">
        <f t="shared" si="3"/>
        <v>79.392607123612521</v>
      </c>
      <c r="AK40">
        <v>4</v>
      </c>
      <c r="AL40">
        <f t="shared" si="14"/>
        <v>145.6</v>
      </c>
      <c r="AM40">
        <f t="shared" si="15"/>
        <v>7.4255999999999993</v>
      </c>
      <c r="AN40">
        <f t="shared" si="16"/>
        <v>2015.9999999999998</v>
      </c>
      <c r="AO40">
        <f t="shared" si="17"/>
        <v>102.81599999999999</v>
      </c>
      <c r="AP40">
        <f t="shared" si="18"/>
        <v>48.533333333333331</v>
      </c>
      <c r="AQ40">
        <f t="shared" si="19"/>
        <v>3.6399999999999997</v>
      </c>
      <c r="AR40">
        <f t="shared" ref="AR40:AR63" si="53">INDEX($BG$5:$BG$60,MATCH($AU40,$BB$5:$BB$60,0))</f>
        <v>1.3</v>
      </c>
      <c r="AS40">
        <f t="shared" ref="AS40:AS63" si="54">ROUND(IF(INDEX($BO$5:$BO$60,MATCH($AU40,$BB$5:$BB$60,0))&lt;2,INDEX($BO$5:$BO$60,MATCH($AU40,$BB$5:$BB$60,0))+0.2,2),1)</f>
        <v>1.5</v>
      </c>
      <c r="AT40">
        <f t="shared" ref="AT40:AT63" si="55">INDEX($BK$5:$BK$60,MATCH($AU40,$BB$5:$BB$60,0))</f>
        <v>6</v>
      </c>
      <c r="AU40">
        <f t="shared" si="42"/>
        <v>4</v>
      </c>
      <c r="AV40">
        <v>1</v>
      </c>
      <c r="AW40">
        <v>0</v>
      </c>
      <c r="AX40">
        <v>0.3</v>
      </c>
      <c r="BB40" s="20">
        <v>6012</v>
      </c>
      <c r="BC40" s="21" t="s">
        <v>201</v>
      </c>
      <c r="BD40" s="58">
        <v>1.1000000000000001</v>
      </c>
      <c r="BE40" s="20">
        <f t="shared" si="43"/>
        <v>0.90909090909090906</v>
      </c>
      <c r="BF40" s="22">
        <v>4.5</v>
      </c>
      <c r="BG40" s="23">
        <v>1.5</v>
      </c>
      <c r="BH40" s="25">
        <f t="shared" si="44"/>
        <v>132</v>
      </c>
      <c r="BI40" s="25">
        <f t="shared" si="45"/>
        <v>1309.090909090909</v>
      </c>
      <c r="BJ40" s="25">
        <f t="shared" si="46"/>
        <v>29.333333333333332</v>
      </c>
      <c r="BK40">
        <v>6</v>
      </c>
      <c r="BL40">
        <f t="shared" si="47"/>
        <v>88</v>
      </c>
      <c r="BM40">
        <f t="shared" si="48"/>
        <v>1.2333333333333334</v>
      </c>
      <c r="BN40" s="20">
        <v>37</v>
      </c>
      <c r="BO40">
        <f t="shared" si="49"/>
        <v>2.1666666666666665</v>
      </c>
      <c r="BP40" s="20">
        <v>65</v>
      </c>
      <c r="BV40">
        <f t="shared" si="28"/>
        <v>0.6470588235294118</v>
      </c>
      <c r="CD40" s="2" t="s">
        <v>153</v>
      </c>
      <c r="CE40" t="s">
        <v>156</v>
      </c>
      <c r="CG40" s="2" t="s">
        <v>153</v>
      </c>
      <c r="CH40" t="s">
        <v>156</v>
      </c>
    </row>
    <row r="41" spans="1:86">
      <c r="A41" s="2">
        <v>401</v>
      </c>
      <c r="B41" t="s">
        <v>111</v>
      </c>
      <c r="C41">
        <v>0</v>
      </c>
      <c r="D41">
        <v>4</v>
      </c>
      <c r="E41">
        <v>1</v>
      </c>
      <c r="F41">
        <v>0</v>
      </c>
      <c r="G41" t="s">
        <v>112</v>
      </c>
      <c r="H41" t="s">
        <v>112</v>
      </c>
      <c r="I41" s="2">
        <v>0</v>
      </c>
      <c r="J41" s="50" t="s">
        <v>1715</v>
      </c>
      <c r="K41" s="2">
        <f t="shared" si="0"/>
        <v>6</v>
      </c>
      <c r="L41" s="2">
        <f t="shared" si="51"/>
        <v>1.3</v>
      </c>
      <c r="M41" s="2">
        <f t="shared" si="51"/>
        <v>1.5</v>
      </c>
      <c r="N41" s="2">
        <v>10</v>
      </c>
      <c r="O41" s="2">
        <f t="shared" si="7"/>
        <v>166.4</v>
      </c>
      <c r="P41" s="2">
        <f t="shared" si="8"/>
        <v>11.88</v>
      </c>
      <c r="Q41" s="2">
        <f t="shared" si="9"/>
        <v>2304</v>
      </c>
      <c r="R41" s="2">
        <f t="shared" si="10"/>
        <v>164.51</v>
      </c>
      <c r="S41" s="2">
        <f t="shared" si="11"/>
        <v>55.47</v>
      </c>
      <c r="T41" s="2">
        <f t="shared" si="12"/>
        <v>5.82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>
        <v>4001</v>
      </c>
      <c r="AA41" s="12" t="s">
        <v>200</v>
      </c>
      <c r="AB41" s="46" t="s">
        <v>97</v>
      </c>
      <c r="AC41">
        <f t="shared" si="52"/>
        <v>402</v>
      </c>
      <c r="AD41" s="2">
        <v>0</v>
      </c>
      <c r="AE41">
        <v>0</v>
      </c>
      <c r="AF41">
        <v>0</v>
      </c>
      <c r="AG41">
        <v>0</v>
      </c>
      <c r="AI41">
        <v>1</v>
      </c>
      <c r="AJ41" s="1">
        <f t="shared" si="3"/>
        <v>103.85290894205028</v>
      </c>
      <c r="AK41">
        <v>5</v>
      </c>
      <c r="AL41">
        <f t="shared" si="14"/>
        <v>166.4</v>
      </c>
      <c r="AM41">
        <f t="shared" si="15"/>
        <v>8.4863999999999997</v>
      </c>
      <c r="AN41">
        <f t="shared" si="16"/>
        <v>2304</v>
      </c>
      <c r="AO41">
        <f t="shared" si="17"/>
        <v>117.50399999999999</v>
      </c>
      <c r="AP41">
        <f t="shared" si="18"/>
        <v>55.466666666666669</v>
      </c>
      <c r="AQ41">
        <f t="shared" si="19"/>
        <v>4.16</v>
      </c>
      <c r="AR41">
        <f t="shared" si="53"/>
        <v>1.3</v>
      </c>
      <c r="AS41">
        <f t="shared" si="54"/>
        <v>1.5</v>
      </c>
      <c r="AT41">
        <f t="shared" si="55"/>
        <v>6</v>
      </c>
      <c r="AU41">
        <f t="shared" si="42"/>
        <v>4</v>
      </c>
      <c r="AV41">
        <v>1</v>
      </c>
      <c r="AW41">
        <v>0</v>
      </c>
      <c r="AX41">
        <v>0.4</v>
      </c>
      <c r="BB41" s="20">
        <v>6013</v>
      </c>
      <c r="BC41" s="21" t="s">
        <v>202</v>
      </c>
      <c r="BD41" s="58">
        <v>0.9</v>
      </c>
      <c r="BE41" s="20">
        <f t="shared" si="43"/>
        <v>1.1111111111111112</v>
      </c>
      <c r="BF41" s="22">
        <v>4</v>
      </c>
      <c r="BG41" s="23">
        <v>1.5</v>
      </c>
      <c r="BH41" s="25">
        <f t="shared" si="44"/>
        <v>108</v>
      </c>
      <c r="BI41" s="25">
        <f t="shared" si="45"/>
        <v>1600</v>
      </c>
      <c r="BJ41" s="25">
        <f t="shared" si="46"/>
        <v>27</v>
      </c>
      <c r="BK41">
        <v>6</v>
      </c>
      <c r="BL41">
        <f t="shared" si="47"/>
        <v>72</v>
      </c>
      <c r="BM41">
        <f t="shared" si="48"/>
        <v>1.2333333333333334</v>
      </c>
      <c r="BN41" s="20">
        <v>37</v>
      </c>
      <c r="BO41">
        <f t="shared" si="49"/>
        <v>2.1666666666666665</v>
      </c>
      <c r="BP41" s="20">
        <v>65</v>
      </c>
      <c r="BV41">
        <f t="shared" si="28"/>
        <v>0.62790697674418605</v>
      </c>
      <c r="CD41" s="2" t="s">
        <v>157</v>
      </c>
      <c r="CE41" t="s">
        <v>160</v>
      </c>
      <c r="CG41" s="2" t="s">
        <v>157</v>
      </c>
      <c r="CH41" t="s">
        <v>160</v>
      </c>
    </row>
    <row r="42" spans="1:86">
      <c r="A42" s="2">
        <v>402</v>
      </c>
      <c r="B42" t="s">
        <v>115</v>
      </c>
      <c r="C42">
        <v>0</v>
      </c>
      <c r="D42">
        <v>5</v>
      </c>
      <c r="E42">
        <v>1</v>
      </c>
      <c r="F42">
        <v>0</v>
      </c>
      <c r="G42" t="s">
        <v>116</v>
      </c>
      <c r="H42" t="s">
        <v>116</v>
      </c>
      <c r="I42" s="2">
        <v>0</v>
      </c>
      <c r="J42" s="50" t="s">
        <v>1715</v>
      </c>
      <c r="K42" s="2">
        <f t="shared" si="0"/>
        <v>6</v>
      </c>
      <c r="L42" s="2">
        <f t="shared" si="51"/>
        <v>1.3</v>
      </c>
      <c r="M42" s="2">
        <f t="shared" si="51"/>
        <v>1.5</v>
      </c>
      <c r="N42" s="2">
        <v>10</v>
      </c>
      <c r="O42" s="2">
        <f t="shared" si="7"/>
        <v>187.2</v>
      </c>
      <c r="P42" s="2">
        <f t="shared" si="8"/>
        <v>14.32</v>
      </c>
      <c r="Q42" s="2">
        <f t="shared" si="9"/>
        <v>2592</v>
      </c>
      <c r="R42" s="2">
        <f t="shared" si="10"/>
        <v>198.29</v>
      </c>
      <c r="S42" s="2">
        <f t="shared" si="11"/>
        <v>62.4</v>
      </c>
      <c r="T42" s="2">
        <f t="shared" si="12"/>
        <v>7.02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>
        <v>4002</v>
      </c>
      <c r="AA42" s="12" t="s">
        <v>200</v>
      </c>
      <c r="AB42" s="46" t="s">
        <v>97</v>
      </c>
      <c r="AC42">
        <f t="shared" si="52"/>
        <v>403</v>
      </c>
      <c r="AD42" s="2">
        <v>0</v>
      </c>
      <c r="AE42">
        <v>0</v>
      </c>
      <c r="AF42">
        <v>0</v>
      </c>
      <c r="AG42">
        <v>0</v>
      </c>
      <c r="AI42">
        <v>1</v>
      </c>
      <c r="AJ42" s="1">
        <f t="shared" si="3"/>
        <v>131.63743373612385</v>
      </c>
      <c r="AK42">
        <v>6</v>
      </c>
      <c r="AL42">
        <f t="shared" si="14"/>
        <v>187.20000000000002</v>
      </c>
      <c r="AM42">
        <f t="shared" si="15"/>
        <v>9.5472000000000001</v>
      </c>
      <c r="AN42">
        <f t="shared" si="16"/>
        <v>2592</v>
      </c>
      <c r="AO42">
        <f t="shared" si="17"/>
        <v>132.19199999999998</v>
      </c>
      <c r="AP42">
        <f t="shared" si="18"/>
        <v>62.400000000000006</v>
      </c>
      <c r="AQ42">
        <f t="shared" si="19"/>
        <v>4.6800000000000006</v>
      </c>
      <c r="AR42">
        <f t="shared" si="53"/>
        <v>1.3</v>
      </c>
      <c r="AS42">
        <f t="shared" si="54"/>
        <v>1.5</v>
      </c>
      <c r="AT42">
        <f t="shared" si="55"/>
        <v>6</v>
      </c>
      <c r="AU42">
        <f t="shared" si="42"/>
        <v>4</v>
      </c>
      <c r="AV42">
        <v>1</v>
      </c>
      <c r="AW42">
        <v>0</v>
      </c>
      <c r="AX42">
        <v>0.5</v>
      </c>
      <c r="BB42" s="20">
        <v>6024</v>
      </c>
      <c r="BC42" s="21" t="s">
        <v>203</v>
      </c>
      <c r="BD42" s="58">
        <v>1</v>
      </c>
      <c r="BE42" s="20">
        <f t="shared" si="43"/>
        <v>1</v>
      </c>
      <c r="BF42" s="22">
        <v>5</v>
      </c>
      <c r="BG42" s="23">
        <v>1.8</v>
      </c>
      <c r="BH42" s="25">
        <f t="shared" si="44"/>
        <v>144</v>
      </c>
      <c r="BI42" s="25">
        <f t="shared" si="45"/>
        <v>1440</v>
      </c>
      <c r="BJ42" s="25">
        <f t="shared" si="46"/>
        <v>28.8</v>
      </c>
      <c r="BK42">
        <v>6</v>
      </c>
      <c r="BL42">
        <f t="shared" si="47"/>
        <v>80</v>
      </c>
      <c r="BM42">
        <f t="shared" si="48"/>
        <v>1.6666666666666667</v>
      </c>
      <c r="BN42" s="20">
        <v>50</v>
      </c>
      <c r="BO42">
        <f t="shared" si="49"/>
        <v>2.5</v>
      </c>
      <c r="BP42" s="20">
        <v>75</v>
      </c>
      <c r="BV42">
        <f t="shared" si="28"/>
        <v>0.64285714285714279</v>
      </c>
      <c r="CD42" s="2" t="s">
        <v>94</v>
      </c>
      <c r="CE42" t="s">
        <v>110</v>
      </c>
      <c r="CG42" s="2" t="s">
        <v>94</v>
      </c>
      <c r="CH42" t="s">
        <v>110</v>
      </c>
    </row>
    <row r="43" spans="1:86">
      <c r="A43" s="2">
        <v>403</v>
      </c>
      <c r="B43" t="s">
        <v>119</v>
      </c>
      <c r="C43">
        <v>0</v>
      </c>
      <c r="D43">
        <v>6</v>
      </c>
      <c r="E43">
        <v>1</v>
      </c>
      <c r="F43">
        <v>0</v>
      </c>
      <c r="G43" t="s">
        <v>120</v>
      </c>
      <c r="H43" t="s">
        <v>120</v>
      </c>
      <c r="I43" s="2">
        <v>0</v>
      </c>
      <c r="J43" s="50" t="s">
        <v>1715</v>
      </c>
      <c r="K43" s="2">
        <f t="shared" si="0"/>
        <v>6</v>
      </c>
      <c r="L43" s="2">
        <f t="shared" si="51"/>
        <v>1.3</v>
      </c>
      <c r="M43" s="2">
        <f t="shared" si="51"/>
        <v>1.5</v>
      </c>
      <c r="N43" s="2">
        <v>10</v>
      </c>
      <c r="O43" s="2">
        <f t="shared" si="7"/>
        <v>213.2</v>
      </c>
      <c r="P43" s="2">
        <f t="shared" si="8"/>
        <v>17.399999999999999</v>
      </c>
      <c r="Q43" s="2">
        <f t="shared" si="9"/>
        <v>2952</v>
      </c>
      <c r="R43" s="2">
        <f t="shared" si="10"/>
        <v>240.88</v>
      </c>
      <c r="S43" s="2">
        <f t="shared" si="11"/>
        <v>71.069999999999993</v>
      </c>
      <c r="T43" s="2">
        <f t="shared" si="12"/>
        <v>8.5299999999999994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>
        <v>4002</v>
      </c>
      <c r="AA43" s="12" t="s">
        <v>204</v>
      </c>
      <c r="AB43" s="46" t="s">
        <v>97</v>
      </c>
      <c r="AC43">
        <f t="shared" si="52"/>
        <v>404</v>
      </c>
      <c r="AD43" s="2">
        <v>0</v>
      </c>
      <c r="AE43">
        <v>0</v>
      </c>
      <c r="AF43">
        <v>0</v>
      </c>
      <c r="AG43">
        <v>0</v>
      </c>
      <c r="AI43">
        <v>1</v>
      </c>
      <c r="AJ43" s="1">
        <f t="shared" si="3"/>
        <v>171.06577700104461</v>
      </c>
      <c r="AK43">
        <v>7</v>
      </c>
      <c r="AL43">
        <f t="shared" si="14"/>
        <v>213.2</v>
      </c>
      <c r="AM43">
        <f t="shared" si="15"/>
        <v>10.873199999999999</v>
      </c>
      <c r="AN43">
        <f t="shared" si="16"/>
        <v>2951.9999999999995</v>
      </c>
      <c r="AO43">
        <f t="shared" si="17"/>
        <v>150.55199999999996</v>
      </c>
      <c r="AP43">
        <f t="shared" si="18"/>
        <v>71.066666666666663</v>
      </c>
      <c r="AQ43">
        <f t="shared" si="19"/>
        <v>5.3299999999999992</v>
      </c>
      <c r="AR43">
        <f t="shared" si="53"/>
        <v>1.3</v>
      </c>
      <c r="AS43">
        <f t="shared" si="54"/>
        <v>1.5</v>
      </c>
      <c r="AT43">
        <f t="shared" si="55"/>
        <v>6</v>
      </c>
      <c r="AU43">
        <f t="shared" si="42"/>
        <v>4</v>
      </c>
      <c r="AV43">
        <v>1</v>
      </c>
      <c r="AW43">
        <v>0</v>
      </c>
      <c r="AX43">
        <v>0.6</v>
      </c>
      <c r="BB43" s="20">
        <v>203</v>
      </c>
      <c r="BC43" s="21" t="s">
        <v>205</v>
      </c>
      <c r="BD43" s="58">
        <v>0.95</v>
      </c>
      <c r="BE43" s="20">
        <f t="shared" si="43"/>
        <v>1.0526315789473684</v>
      </c>
      <c r="BF43" s="22">
        <v>5</v>
      </c>
      <c r="BG43" s="23">
        <v>1.3</v>
      </c>
      <c r="BH43" s="25">
        <f t="shared" si="44"/>
        <v>98.800000000000011</v>
      </c>
      <c r="BI43" s="25">
        <f t="shared" si="45"/>
        <v>1515.7894736842104</v>
      </c>
      <c r="BJ43" s="25">
        <f t="shared" si="46"/>
        <v>19.760000000000002</v>
      </c>
      <c r="BK43">
        <v>3</v>
      </c>
      <c r="BL43">
        <f t="shared" si="47"/>
        <v>76</v>
      </c>
      <c r="BM43">
        <f t="shared" si="48"/>
        <v>0.93333333333333335</v>
      </c>
      <c r="BN43" s="20">
        <v>28</v>
      </c>
      <c r="BO43">
        <f t="shared" si="49"/>
        <v>1.6666666666666667</v>
      </c>
      <c r="BP43" s="20">
        <v>50</v>
      </c>
      <c r="CD43" s="2" t="s">
        <v>111</v>
      </c>
      <c r="CE43" t="s">
        <v>114</v>
      </c>
      <c r="CG43" s="2" t="s">
        <v>111</v>
      </c>
      <c r="CH43" t="s">
        <v>114</v>
      </c>
    </row>
    <row r="44" spans="1:86">
      <c r="A44" s="2">
        <v>404</v>
      </c>
      <c r="B44" t="s">
        <v>124</v>
      </c>
      <c r="C44">
        <v>0</v>
      </c>
      <c r="D44">
        <v>7</v>
      </c>
      <c r="E44">
        <v>1</v>
      </c>
      <c r="F44">
        <v>0</v>
      </c>
      <c r="G44" t="s">
        <v>125</v>
      </c>
      <c r="H44" t="s">
        <v>125</v>
      </c>
      <c r="I44" s="2">
        <v>0</v>
      </c>
      <c r="J44" s="50" t="s">
        <v>1715</v>
      </c>
      <c r="K44" s="2">
        <f t="shared" si="0"/>
        <v>6</v>
      </c>
      <c r="L44" s="2">
        <f t="shared" si="51"/>
        <v>1.3</v>
      </c>
      <c r="M44" s="2">
        <f t="shared" si="51"/>
        <v>1.5</v>
      </c>
      <c r="N44" s="2">
        <v>10</v>
      </c>
      <c r="O44" s="2">
        <f t="shared" si="7"/>
        <v>239.2</v>
      </c>
      <c r="P44" s="2">
        <f t="shared" si="8"/>
        <v>20.74</v>
      </c>
      <c r="Q44" s="2">
        <f t="shared" si="9"/>
        <v>3312</v>
      </c>
      <c r="R44" s="2">
        <f t="shared" si="10"/>
        <v>287.14999999999998</v>
      </c>
      <c r="S44" s="2">
        <f t="shared" si="11"/>
        <v>79.73</v>
      </c>
      <c r="T44" s="2">
        <f t="shared" si="12"/>
        <v>10.17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>
        <v>4002</v>
      </c>
      <c r="AA44" s="12" t="s">
        <v>206</v>
      </c>
      <c r="AB44" s="46" t="s">
        <v>97</v>
      </c>
      <c r="AC44">
        <f t="shared" si="52"/>
        <v>405</v>
      </c>
      <c r="AD44" s="2">
        <v>0</v>
      </c>
      <c r="AE44">
        <v>0</v>
      </c>
      <c r="AF44">
        <v>0</v>
      </c>
      <c r="AG44">
        <v>0</v>
      </c>
      <c r="AI44">
        <v>1</v>
      </c>
      <c r="AJ44" s="1">
        <f t="shared" si="3"/>
        <v>215.74148044089131</v>
      </c>
      <c r="AK44">
        <v>8</v>
      </c>
      <c r="AL44">
        <f t="shared" si="14"/>
        <v>239.2</v>
      </c>
      <c r="AM44">
        <f t="shared" si="15"/>
        <v>12.199199999999999</v>
      </c>
      <c r="AN44">
        <f t="shared" si="16"/>
        <v>3311.9999999999995</v>
      </c>
      <c r="AO44">
        <f t="shared" si="17"/>
        <v>168.91199999999998</v>
      </c>
      <c r="AP44">
        <f t="shared" si="18"/>
        <v>79.733333333333334</v>
      </c>
      <c r="AQ44">
        <f t="shared" si="19"/>
        <v>5.9799999999999995</v>
      </c>
      <c r="AR44">
        <f t="shared" si="53"/>
        <v>1.3</v>
      </c>
      <c r="AS44">
        <f t="shared" si="54"/>
        <v>1.5</v>
      </c>
      <c r="AT44">
        <f t="shared" si="55"/>
        <v>6</v>
      </c>
      <c r="AU44">
        <f t="shared" si="42"/>
        <v>4</v>
      </c>
      <c r="AV44">
        <v>1</v>
      </c>
      <c r="AW44">
        <v>0</v>
      </c>
      <c r="AX44">
        <v>0.7</v>
      </c>
      <c r="BB44" s="20">
        <v>204</v>
      </c>
      <c r="BC44" s="21" t="s">
        <v>207</v>
      </c>
      <c r="BD44" s="58">
        <v>0.9</v>
      </c>
      <c r="BE44" s="20">
        <f t="shared" si="43"/>
        <v>1.1111111111111112</v>
      </c>
      <c r="BF44" s="22">
        <v>5</v>
      </c>
      <c r="BG44" s="23">
        <v>1.4</v>
      </c>
      <c r="BH44" s="25">
        <f t="shared" si="44"/>
        <v>100.8</v>
      </c>
      <c r="BI44" s="25">
        <f t="shared" si="45"/>
        <v>1600</v>
      </c>
      <c r="BJ44" s="25">
        <f t="shared" si="46"/>
        <v>20.16</v>
      </c>
      <c r="BK44">
        <v>3</v>
      </c>
      <c r="BL44">
        <f t="shared" si="47"/>
        <v>72</v>
      </c>
      <c r="BM44">
        <f t="shared" si="48"/>
        <v>1</v>
      </c>
      <c r="BN44" s="20">
        <v>30</v>
      </c>
      <c r="BO44">
        <f t="shared" si="49"/>
        <v>1</v>
      </c>
      <c r="BP44" s="20">
        <v>30</v>
      </c>
      <c r="CD44" s="2" t="s">
        <v>115</v>
      </c>
      <c r="CE44" t="s">
        <v>118</v>
      </c>
      <c r="CG44" s="2" t="s">
        <v>115</v>
      </c>
      <c r="CH44" t="s">
        <v>118</v>
      </c>
    </row>
    <row r="45" spans="1:86">
      <c r="A45" s="2">
        <v>405</v>
      </c>
      <c r="B45" t="s">
        <v>129</v>
      </c>
      <c r="C45">
        <v>0</v>
      </c>
      <c r="D45">
        <v>8</v>
      </c>
      <c r="E45">
        <v>1</v>
      </c>
      <c r="F45">
        <v>0</v>
      </c>
      <c r="G45" t="s">
        <v>130</v>
      </c>
      <c r="H45" t="s">
        <v>130</v>
      </c>
      <c r="I45" s="2">
        <v>0</v>
      </c>
      <c r="J45" s="50" t="s">
        <v>1715</v>
      </c>
      <c r="K45" s="2">
        <f t="shared" si="0"/>
        <v>6</v>
      </c>
      <c r="L45" s="2">
        <f t="shared" si="51"/>
        <v>1.3</v>
      </c>
      <c r="M45" s="2">
        <f t="shared" si="51"/>
        <v>1.5</v>
      </c>
      <c r="N45" s="2">
        <v>10</v>
      </c>
      <c r="O45" s="2">
        <f t="shared" si="7"/>
        <v>265.2</v>
      </c>
      <c r="P45" s="2">
        <f t="shared" si="8"/>
        <v>24.35</v>
      </c>
      <c r="Q45" s="2">
        <f t="shared" si="9"/>
        <v>3672</v>
      </c>
      <c r="R45" s="2">
        <f t="shared" si="10"/>
        <v>337.09</v>
      </c>
      <c r="S45" s="2">
        <f t="shared" si="11"/>
        <v>88.4</v>
      </c>
      <c r="T45" s="2">
        <f t="shared" si="12"/>
        <v>11.93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>
        <v>4002</v>
      </c>
      <c r="AA45" s="12" t="s">
        <v>208</v>
      </c>
      <c r="AB45" s="46" t="s">
        <v>97</v>
      </c>
      <c r="AC45">
        <f t="shared" si="52"/>
        <v>406</v>
      </c>
      <c r="AD45" s="2">
        <v>0</v>
      </c>
      <c r="AE45">
        <v>0</v>
      </c>
      <c r="AF45">
        <v>0</v>
      </c>
      <c r="AG45">
        <v>0</v>
      </c>
      <c r="AI45">
        <v>1</v>
      </c>
      <c r="AJ45" s="1">
        <f t="shared" si="3"/>
        <v>265.6944450982574</v>
      </c>
      <c r="AK45">
        <v>9</v>
      </c>
      <c r="AL45">
        <f t="shared" si="14"/>
        <v>265.2</v>
      </c>
      <c r="AM45">
        <f t="shared" si="15"/>
        <v>13.525199999999998</v>
      </c>
      <c r="AN45">
        <f t="shared" si="16"/>
        <v>3671.9999999999995</v>
      </c>
      <c r="AO45">
        <f t="shared" si="17"/>
        <v>187.27199999999996</v>
      </c>
      <c r="AP45">
        <f t="shared" si="18"/>
        <v>88.399999999999991</v>
      </c>
      <c r="AQ45">
        <f t="shared" si="19"/>
        <v>6.629999999999999</v>
      </c>
      <c r="AR45">
        <f t="shared" si="53"/>
        <v>1.3</v>
      </c>
      <c r="AS45">
        <f t="shared" si="54"/>
        <v>1.5</v>
      </c>
      <c r="AT45">
        <f t="shared" si="55"/>
        <v>6</v>
      </c>
      <c r="AU45">
        <f t="shared" si="42"/>
        <v>4</v>
      </c>
      <c r="AV45">
        <v>1</v>
      </c>
      <c r="AW45">
        <v>0</v>
      </c>
      <c r="AX45">
        <v>0.8</v>
      </c>
      <c r="BB45" s="20">
        <v>205</v>
      </c>
      <c r="BC45" s="21" t="s">
        <v>209</v>
      </c>
      <c r="BD45" s="58">
        <v>1.05</v>
      </c>
      <c r="BE45" s="20">
        <f t="shared" si="43"/>
        <v>0.95238095238095233</v>
      </c>
      <c r="BF45" s="22">
        <v>5</v>
      </c>
      <c r="BG45" s="23">
        <v>1.8</v>
      </c>
      <c r="BH45" s="25">
        <f t="shared" si="44"/>
        <v>151.20000000000002</v>
      </c>
      <c r="BI45" s="25">
        <f t="shared" si="45"/>
        <v>1371.4285714285713</v>
      </c>
      <c r="BJ45" s="25">
        <f t="shared" si="46"/>
        <v>30.240000000000002</v>
      </c>
      <c r="BK45">
        <v>3</v>
      </c>
      <c r="BL45">
        <f t="shared" si="47"/>
        <v>84.000000000000014</v>
      </c>
      <c r="BM45">
        <f t="shared" si="48"/>
        <v>1.6666666666666667</v>
      </c>
      <c r="BN45" s="20">
        <v>50</v>
      </c>
      <c r="BO45">
        <f t="shared" si="49"/>
        <v>2</v>
      </c>
      <c r="BP45" s="20">
        <v>60</v>
      </c>
      <c r="CD45" s="2" t="s">
        <v>119</v>
      </c>
      <c r="CE45" t="s">
        <v>123</v>
      </c>
      <c r="CG45" s="2" t="s">
        <v>119</v>
      </c>
      <c r="CH45" t="s">
        <v>123</v>
      </c>
    </row>
    <row r="46" spans="1:86">
      <c r="A46" s="2">
        <v>406</v>
      </c>
      <c r="B46" t="s">
        <v>134</v>
      </c>
      <c r="C46">
        <v>0</v>
      </c>
      <c r="D46">
        <v>9</v>
      </c>
      <c r="E46">
        <v>1</v>
      </c>
      <c r="F46">
        <v>0</v>
      </c>
      <c r="G46" t="s">
        <v>135</v>
      </c>
      <c r="H46" t="s">
        <v>135</v>
      </c>
      <c r="I46" s="2">
        <v>0</v>
      </c>
      <c r="J46" s="50" t="s">
        <v>1715</v>
      </c>
      <c r="K46" s="2">
        <f t="shared" si="0"/>
        <v>6</v>
      </c>
      <c r="L46" s="2">
        <f t="shared" si="51"/>
        <v>1.3</v>
      </c>
      <c r="M46" s="2">
        <f t="shared" si="51"/>
        <v>1.5</v>
      </c>
      <c r="N46" s="2">
        <v>10</v>
      </c>
      <c r="O46" s="2">
        <f t="shared" si="7"/>
        <v>291.2</v>
      </c>
      <c r="P46" s="2">
        <f t="shared" si="8"/>
        <v>28.22</v>
      </c>
      <c r="Q46" s="2">
        <f t="shared" si="9"/>
        <v>4032</v>
      </c>
      <c r="R46" s="2">
        <f t="shared" si="10"/>
        <v>390.7</v>
      </c>
      <c r="S46" s="2">
        <f t="shared" si="11"/>
        <v>97.07</v>
      </c>
      <c r="T46" s="2">
        <f t="shared" si="12"/>
        <v>13.83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>
        <v>4003</v>
      </c>
      <c r="AA46" s="12" t="s">
        <v>208</v>
      </c>
      <c r="AB46" s="46" t="s">
        <v>97</v>
      </c>
      <c r="AC46">
        <f t="shared" si="52"/>
        <v>407</v>
      </c>
      <c r="AD46" s="2">
        <v>0</v>
      </c>
      <c r="AE46">
        <v>0</v>
      </c>
      <c r="AF46">
        <v>0</v>
      </c>
      <c r="AG46">
        <v>0</v>
      </c>
      <c r="AI46">
        <v>1</v>
      </c>
      <c r="AJ46" s="1">
        <f t="shared" si="3"/>
        <v>320.95479962829609</v>
      </c>
      <c r="AK46">
        <v>10</v>
      </c>
      <c r="AL46">
        <f t="shared" si="14"/>
        <v>291.2</v>
      </c>
      <c r="AM46">
        <f t="shared" si="15"/>
        <v>14.851199999999999</v>
      </c>
      <c r="AN46">
        <f t="shared" si="16"/>
        <v>4031.9999999999995</v>
      </c>
      <c r="AO46">
        <f t="shared" si="17"/>
        <v>205.63199999999998</v>
      </c>
      <c r="AP46">
        <f t="shared" si="18"/>
        <v>97.066666666666663</v>
      </c>
      <c r="AQ46">
        <f t="shared" si="19"/>
        <v>7.2799999999999994</v>
      </c>
      <c r="AR46">
        <f t="shared" si="53"/>
        <v>1.3</v>
      </c>
      <c r="AS46">
        <f t="shared" si="54"/>
        <v>1.5</v>
      </c>
      <c r="AT46">
        <f t="shared" si="55"/>
        <v>6</v>
      </c>
      <c r="AU46">
        <f t="shared" si="42"/>
        <v>4</v>
      </c>
      <c r="AV46">
        <v>1</v>
      </c>
      <c r="AW46">
        <v>0</v>
      </c>
      <c r="AX46">
        <v>0.9</v>
      </c>
      <c r="BB46" s="20">
        <v>206</v>
      </c>
      <c r="BC46" s="21" t="s">
        <v>210</v>
      </c>
      <c r="BD46" s="58">
        <v>1</v>
      </c>
      <c r="BE46" s="20">
        <f t="shared" si="43"/>
        <v>1</v>
      </c>
      <c r="BF46" s="22">
        <v>5</v>
      </c>
      <c r="BG46" s="23">
        <v>1.6</v>
      </c>
      <c r="BH46" s="25">
        <f t="shared" si="44"/>
        <v>128</v>
      </c>
      <c r="BI46" s="25">
        <f t="shared" si="45"/>
        <v>1440</v>
      </c>
      <c r="BJ46" s="25">
        <f t="shared" si="46"/>
        <v>25.6</v>
      </c>
      <c r="BK46">
        <v>3</v>
      </c>
      <c r="BL46">
        <f t="shared" si="47"/>
        <v>80</v>
      </c>
      <c r="BM46">
        <f t="shared" si="48"/>
        <v>1.3666666666666667</v>
      </c>
      <c r="BN46" s="20">
        <v>41</v>
      </c>
      <c r="BO46">
        <f t="shared" si="49"/>
        <v>2.3333333333333335</v>
      </c>
      <c r="BP46" s="20">
        <v>70</v>
      </c>
      <c r="CD46" s="2" t="s">
        <v>124</v>
      </c>
      <c r="CE46" t="s">
        <v>128</v>
      </c>
      <c r="CG46" s="2" t="s">
        <v>124</v>
      </c>
      <c r="CH46" t="s">
        <v>128</v>
      </c>
    </row>
    <row r="47" spans="1:86">
      <c r="A47" s="2">
        <v>407</v>
      </c>
      <c r="B47" t="s">
        <v>138</v>
      </c>
      <c r="C47">
        <v>0</v>
      </c>
      <c r="D47">
        <v>10</v>
      </c>
      <c r="E47">
        <v>1</v>
      </c>
      <c r="F47">
        <v>0</v>
      </c>
      <c r="G47" t="s">
        <v>139</v>
      </c>
      <c r="H47" t="s">
        <v>139</v>
      </c>
      <c r="I47" s="2">
        <v>0</v>
      </c>
      <c r="J47" s="50" t="s">
        <v>1715</v>
      </c>
      <c r="K47" s="2">
        <f t="shared" si="0"/>
        <v>6</v>
      </c>
      <c r="L47" s="2">
        <f t="shared" si="51"/>
        <v>1.3</v>
      </c>
      <c r="M47" s="2">
        <f t="shared" si="51"/>
        <v>1.5</v>
      </c>
      <c r="N47" s="2">
        <v>10</v>
      </c>
      <c r="O47" s="2">
        <f t="shared" si="7"/>
        <v>322.39999999999998</v>
      </c>
      <c r="P47" s="2">
        <f t="shared" si="8"/>
        <v>32.880000000000003</v>
      </c>
      <c r="Q47" s="2">
        <f t="shared" si="9"/>
        <v>4464</v>
      </c>
      <c r="R47" s="2">
        <f t="shared" si="10"/>
        <v>455.33</v>
      </c>
      <c r="S47" s="2">
        <f t="shared" si="11"/>
        <v>107.47</v>
      </c>
      <c r="T47" s="2">
        <f t="shared" si="12"/>
        <v>16.12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>
        <v>4003</v>
      </c>
      <c r="AA47" s="12" t="s">
        <v>211</v>
      </c>
      <c r="AB47" s="46" t="s">
        <v>97</v>
      </c>
      <c r="AC47">
        <f t="shared" si="52"/>
        <v>408</v>
      </c>
      <c r="AD47" s="2">
        <v>0</v>
      </c>
      <c r="AE47">
        <v>0</v>
      </c>
      <c r="AF47">
        <v>0</v>
      </c>
      <c r="AG47">
        <v>0</v>
      </c>
      <c r="AI47">
        <v>1</v>
      </c>
      <c r="AJ47" s="1">
        <f t="shared" si="3"/>
        <v>394.31574068273488</v>
      </c>
      <c r="AK47">
        <v>11</v>
      </c>
      <c r="AL47">
        <f t="shared" si="14"/>
        <v>322.40000000000003</v>
      </c>
      <c r="AM47">
        <f t="shared" si="15"/>
        <v>16.442399999999999</v>
      </c>
      <c r="AN47">
        <f t="shared" si="16"/>
        <v>4464</v>
      </c>
      <c r="AO47">
        <f t="shared" si="17"/>
        <v>227.66399999999999</v>
      </c>
      <c r="AP47">
        <f t="shared" si="18"/>
        <v>107.46666666666668</v>
      </c>
      <c r="AQ47">
        <f t="shared" si="19"/>
        <v>8.06</v>
      </c>
      <c r="AR47">
        <f t="shared" si="53"/>
        <v>1.3</v>
      </c>
      <c r="AS47">
        <f t="shared" si="54"/>
        <v>1.5</v>
      </c>
      <c r="AT47">
        <f t="shared" si="55"/>
        <v>6</v>
      </c>
      <c r="AU47">
        <f t="shared" si="42"/>
        <v>4</v>
      </c>
      <c r="AV47">
        <v>1</v>
      </c>
      <c r="AW47">
        <v>0</v>
      </c>
      <c r="AX47">
        <v>1</v>
      </c>
      <c r="BB47" s="20">
        <v>303</v>
      </c>
      <c r="BC47" s="21" t="s">
        <v>212</v>
      </c>
      <c r="BD47" s="58">
        <v>1.1000000000000001</v>
      </c>
      <c r="BE47" s="20">
        <f t="shared" si="43"/>
        <v>0.90909090909090906</v>
      </c>
      <c r="BF47" s="22">
        <v>8</v>
      </c>
      <c r="BG47" s="23">
        <v>1.3</v>
      </c>
      <c r="BH47" s="25">
        <f t="shared" si="44"/>
        <v>114.39999999999999</v>
      </c>
      <c r="BI47" s="25">
        <f t="shared" si="45"/>
        <v>1309.090909090909</v>
      </c>
      <c r="BJ47" s="25">
        <f t="shared" si="46"/>
        <v>14.299999999999999</v>
      </c>
      <c r="BK47">
        <v>3</v>
      </c>
      <c r="BL47">
        <f t="shared" si="47"/>
        <v>87.999999999999986</v>
      </c>
      <c r="BM47">
        <f t="shared" si="48"/>
        <v>1.1666666666666667</v>
      </c>
      <c r="BN47" s="20">
        <v>35</v>
      </c>
      <c r="BO47">
        <f t="shared" si="49"/>
        <v>1.1666666666666667</v>
      </c>
      <c r="BP47" s="20">
        <v>35</v>
      </c>
      <c r="CD47" s="2" t="s">
        <v>129</v>
      </c>
      <c r="CE47" t="s">
        <v>133</v>
      </c>
      <c r="CG47" s="2" t="s">
        <v>129</v>
      </c>
      <c r="CH47" t="s">
        <v>133</v>
      </c>
    </row>
    <row r="48" spans="1:86">
      <c r="A48" s="2">
        <v>408</v>
      </c>
      <c r="B48" t="s">
        <v>143</v>
      </c>
      <c r="C48">
        <v>0</v>
      </c>
      <c r="D48">
        <v>11</v>
      </c>
      <c r="E48">
        <v>1</v>
      </c>
      <c r="F48">
        <v>0</v>
      </c>
      <c r="G48" t="s">
        <v>144</v>
      </c>
      <c r="H48" t="s">
        <v>144</v>
      </c>
      <c r="I48" s="2">
        <v>0</v>
      </c>
      <c r="J48" s="50" t="s">
        <v>1715</v>
      </c>
      <c r="K48" s="2">
        <f t="shared" si="0"/>
        <v>6</v>
      </c>
      <c r="L48" s="2">
        <f t="shared" si="51"/>
        <v>1.3</v>
      </c>
      <c r="M48" s="2">
        <f t="shared" si="51"/>
        <v>1.5</v>
      </c>
      <c r="N48" s="2">
        <v>10</v>
      </c>
      <c r="O48" s="2">
        <f t="shared" si="7"/>
        <v>353.6</v>
      </c>
      <c r="P48" s="2">
        <f t="shared" si="8"/>
        <v>37.869999999999997</v>
      </c>
      <c r="Q48" s="2">
        <f t="shared" si="9"/>
        <v>4896</v>
      </c>
      <c r="R48" s="2">
        <f t="shared" si="10"/>
        <v>524.36</v>
      </c>
      <c r="S48" s="2">
        <f t="shared" si="11"/>
        <v>117.87</v>
      </c>
      <c r="T48" s="2">
        <f t="shared" si="12"/>
        <v>18.559999999999999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>
        <v>4003</v>
      </c>
      <c r="AA48" s="12" t="s">
        <v>213</v>
      </c>
      <c r="AB48" s="46" t="s">
        <v>97</v>
      </c>
      <c r="AC48">
        <f t="shared" si="52"/>
        <v>409</v>
      </c>
      <c r="AD48" s="2">
        <v>0</v>
      </c>
      <c r="AE48">
        <v>0</v>
      </c>
      <c r="AF48">
        <v>0</v>
      </c>
      <c r="AG48">
        <v>0</v>
      </c>
      <c r="AI48">
        <v>1</v>
      </c>
      <c r="AJ48" s="1">
        <f t="shared" si="3"/>
        <v>475.41595229640728</v>
      </c>
      <c r="AK48">
        <v>12</v>
      </c>
      <c r="AL48">
        <f t="shared" si="14"/>
        <v>353.59999999999997</v>
      </c>
      <c r="AM48">
        <f t="shared" si="15"/>
        <v>18.033599999999996</v>
      </c>
      <c r="AN48">
        <f t="shared" si="16"/>
        <v>4896</v>
      </c>
      <c r="AO48">
        <f t="shared" si="17"/>
        <v>249.696</v>
      </c>
      <c r="AP48">
        <f t="shared" si="18"/>
        <v>117.86666666666666</v>
      </c>
      <c r="AQ48">
        <f t="shared" si="19"/>
        <v>8.84</v>
      </c>
      <c r="AR48">
        <f t="shared" si="53"/>
        <v>1.3</v>
      </c>
      <c r="AS48">
        <f t="shared" si="54"/>
        <v>1.5</v>
      </c>
      <c r="AT48">
        <f t="shared" si="55"/>
        <v>6</v>
      </c>
      <c r="AU48">
        <f t="shared" si="42"/>
        <v>4</v>
      </c>
      <c r="AV48">
        <v>1</v>
      </c>
      <c r="AW48">
        <v>0</v>
      </c>
      <c r="AX48">
        <v>1.1000000000000001</v>
      </c>
      <c r="BB48" s="20">
        <v>304</v>
      </c>
      <c r="BC48" s="21" t="s">
        <v>214</v>
      </c>
      <c r="BD48" s="58">
        <v>1.1499999999999999</v>
      </c>
      <c r="BE48" s="20">
        <f t="shared" si="43"/>
        <v>0.86956521739130443</v>
      </c>
      <c r="BF48" s="22">
        <v>8</v>
      </c>
      <c r="BG48" s="23">
        <v>1.4</v>
      </c>
      <c r="BH48" s="25">
        <f t="shared" si="44"/>
        <v>128.79999999999998</v>
      </c>
      <c r="BI48" s="25">
        <f t="shared" si="45"/>
        <v>1252.1739130434785</v>
      </c>
      <c r="BJ48" s="25">
        <f t="shared" si="46"/>
        <v>16.099999999999998</v>
      </c>
      <c r="BK48">
        <v>3</v>
      </c>
      <c r="BL48">
        <f t="shared" si="47"/>
        <v>92</v>
      </c>
      <c r="BM48">
        <f t="shared" si="48"/>
        <v>1.3333333333333333</v>
      </c>
      <c r="BN48" s="20">
        <v>40</v>
      </c>
      <c r="BO48">
        <f t="shared" si="49"/>
        <v>2</v>
      </c>
      <c r="BP48" s="20">
        <v>60</v>
      </c>
      <c r="CD48" s="2" t="s">
        <v>134</v>
      </c>
      <c r="CE48" t="s">
        <v>137</v>
      </c>
      <c r="CG48" s="2" t="s">
        <v>134</v>
      </c>
      <c r="CH48" t="s">
        <v>137</v>
      </c>
    </row>
    <row r="49" spans="1:86">
      <c r="A49" s="2">
        <v>409</v>
      </c>
      <c r="B49" t="s">
        <v>148</v>
      </c>
      <c r="C49">
        <v>0</v>
      </c>
      <c r="D49">
        <v>12</v>
      </c>
      <c r="E49">
        <v>1</v>
      </c>
      <c r="F49">
        <v>0</v>
      </c>
      <c r="G49" t="s">
        <v>149</v>
      </c>
      <c r="H49" t="s">
        <v>149</v>
      </c>
      <c r="I49" s="2">
        <v>0</v>
      </c>
      <c r="J49" s="50" t="s">
        <v>1715</v>
      </c>
      <c r="K49" s="2">
        <f t="shared" si="0"/>
        <v>6</v>
      </c>
      <c r="L49" s="2">
        <f t="shared" si="51"/>
        <v>1.3</v>
      </c>
      <c r="M49" s="2">
        <f t="shared" si="51"/>
        <v>1.5</v>
      </c>
      <c r="N49" s="2">
        <v>10</v>
      </c>
      <c r="O49" s="2">
        <f t="shared" si="7"/>
        <v>384.8</v>
      </c>
      <c r="P49" s="2">
        <f t="shared" si="8"/>
        <v>43.17</v>
      </c>
      <c r="Q49" s="2">
        <f t="shared" si="9"/>
        <v>5328</v>
      </c>
      <c r="R49" s="2">
        <f t="shared" si="10"/>
        <v>597.79999999999995</v>
      </c>
      <c r="S49" s="2">
        <f t="shared" si="11"/>
        <v>128.27000000000001</v>
      </c>
      <c r="T49" s="2">
        <f t="shared" si="12"/>
        <v>21.16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>
        <v>4003</v>
      </c>
      <c r="AA49" s="12" t="s">
        <v>215</v>
      </c>
      <c r="AB49" s="46" t="s">
        <v>97</v>
      </c>
      <c r="AC49">
        <f t="shared" si="52"/>
        <v>410</v>
      </c>
      <c r="AD49" s="2">
        <v>0</v>
      </c>
      <c r="AE49">
        <v>0</v>
      </c>
      <c r="AF49">
        <v>0</v>
      </c>
      <c r="AG49">
        <v>0</v>
      </c>
      <c r="AI49">
        <v>1</v>
      </c>
      <c r="AJ49" s="1">
        <f t="shared" si="3"/>
        <v>564.30882177577109</v>
      </c>
      <c r="AK49">
        <v>13</v>
      </c>
      <c r="AL49">
        <f t="shared" si="14"/>
        <v>384.8</v>
      </c>
      <c r="AM49">
        <f t="shared" si="15"/>
        <v>19.6248</v>
      </c>
      <c r="AN49">
        <f t="shared" si="16"/>
        <v>5328</v>
      </c>
      <c r="AO49">
        <f t="shared" si="17"/>
        <v>271.72800000000001</v>
      </c>
      <c r="AP49">
        <f t="shared" si="18"/>
        <v>128.26666666666668</v>
      </c>
      <c r="AQ49">
        <f t="shared" si="19"/>
        <v>9.620000000000001</v>
      </c>
      <c r="AR49">
        <f t="shared" si="53"/>
        <v>1.3</v>
      </c>
      <c r="AS49">
        <f t="shared" si="54"/>
        <v>1.5</v>
      </c>
      <c r="AT49">
        <f t="shared" si="55"/>
        <v>6</v>
      </c>
      <c r="AU49">
        <f t="shared" si="42"/>
        <v>4</v>
      </c>
      <c r="AV49">
        <v>1</v>
      </c>
      <c r="AW49">
        <v>0</v>
      </c>
      <c r="AX49">
        <v>1.2</v>
      </c>
      <c r="BB49" s="20">
        <v>403</v>
      </c>
      <c r="BC49" s="21" t="s">
        <v>216</v>
      </c>
      <c r="BD49" s="58">
        <v>1.2</v>
      </c>
      <c r="BE49" s="20">
        <f t="shared" si="43"/>
        <v>0.83333333333333337</v>
      </c>
      <c r="BF49" s="22">
        <v>10</v>
      </c>
      <c r="BG49" s="23">
        <v>1.3</v>
      </c>
      <c r="BH49" s="25">
        <f t="shared" si="44"/>
        <v>124.80000000000001</v>
      </c>
      <c r="BI49" s="25">
        <f t="shared" si="45"/>
        <v>1200</v>
      </c>
      <c r="BJ49" s="25">
        <f t="shared" si="46"/>
        <v>12.48</v>
      </c>
      <c r="BK49">
        <v>6</v>
      </c>
      <c r="BL49">
        <f t="shared" si="47"/>
        <v>96</v>
      </c>
      <c r="BM49">
        <f t="shared" si="48"/>
        <v>0.83333333333333337</v>
      </c>
      <c r="BN49" s="20">
        <v>25</v>
      </c>
      <c r="BO49">
        <f t="shared" si="49"/>
        <v>1.6666666666666667</v>
      </c>
      <c r="BP49" s="20">
        <v>50</v>
      </c>
      <c r="BU49" s="47" t="s">
        <v>1729</v>
      </c>
      <c r="BV49" s="47" t="s">
        <v>1730</v>
      </c>
      <c r="BW49" s="47" t="s">
        <v>1731</v>
      </c>
      <c r="BX49" s="47" t="s">
        <v>1732</v>
      </c>
      <c r="BY49" s="47" t="s">
        <v>1733</v>
      </c>
      <c r="BZ49" s="47" t="s">
        <v>1734</v>
      </c>
      <c r="CD49" s="2" t="s">
        <v>138</v>
      </c>
      <c r="CE49" t="s">
        <v>142</v>
      </c>
      <c r="CG49" s="2" t="s">
        <v>138</v>
      </c>
      <c r="CH49" t="s">
        <v>142</v>
      </c>
    </row>
    <row r="50" spans="1:86">
      <c r="A50" s="2">
        <v>410</v>
      </c>
      <c r="B50" t="s">
        <v>153</v>
      </c>
      <c r="C50">
        <v>0</v>
      </c>
      <c r="D50">
        <v>13</v>
      </c>
      <c r="E50">
        <v>1</v>
      </c>
      <c r="F50">
        <v>0</v>
      </c>
      <c r="G50" t="s">
        <v>154</v>
      </c>
      <c r="H50" t="s">
        <v>154</v>
      </c>
      <c r="I50" s="2">
        <v>0</v>
      </c>
      <c r="J50" s="50" t="s">
        <v>1715</v>
      </c>
      <c r="K50" s="2">
        <f t="shared" si="0"/>
        <v>6</v>
      </c>
      <c r="L50" s="2">
        <f t="shared" si="51"/>
        <v>1.3</v>
      </c>
      <c r="M50" s="2">
        <f t="shared" si="51"/>
        <v>1.5</v>
      </c>
      <c r="N50" s="2">
        <v>10</v>
      </c>
      <c r="O50" s="2">
        <f t="shared" si="7"/>
        <v>416</v>
      </c>
      <c r="P50" s="2">
        <f t="shared" si="8"/>
        <v>48.8</v>
      </c>
      <c r="Q50" s="2">
        <f t="shared" si="9"/>
        <v>5760</v>
      </c>
      <c r="R50" s="2">
        <f t="shared" si="10"/>
        <v>675.65</v>
      </c>
      <c r="S50" s="2">
        <f t="shared" si="11"/>
        <v>138.66999999999999</v>
      </c>
      <c r="T50" s="2">
        <f t="shared" si="12"/>
        <v>23.92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>
        <v>4003</v>
      </c>
      <c r="AA50" s="12" t="s">
        <v>215</v>
      </c>
      <c r="AB50" s="46" t="s">
        <v>97</v>
      </c>
      <c r="AC50">
        <f t="shared" si="52"/>
        <v>411</v>
      </c>
      <c r="AD50" s="2">
        <v>0</v>
      </c>
      <c r="AE50">
        <v>0</v>
      </c>
      <c r="AF50">
        <v>0</v>
      </c>
      <c r="AG50">
        <v>0</v>
      </c>
      <c r="AI50">
        <v>1</v>
      </c>
      <c r="AJ50" s="1">
        <f t="shared" si="3"/>
        <v>661.04822859655872</v>
      </c>
      <c r="AK50">
        <v>14</v>
      </c>
      <c r="AL50">
        <f t="shared" si="14"/>
        <v>416</v>
      </c>
      <c r="AM50">
        <f t="shared" si="15"/>
        <v>21.215999999999998</v>
      </c>
      <c r="AN50">
        <f t="shared" si="16"/>
        <v>5760</v>
      </c>
      <c r="AO50">
        <f t="shared" si="17"/>
        <v>293.76</v>
      </c>
      <c r="AP50">
        <f t="shared" si="18"/>
        <v>138.66666666666666</v>
      </c>
      <c r="AQ50">
        <f t="shared" si="19"/>
        <v>10.399999999999999</v>
      </c>
      <c r="AR50">
        <f t="shared" si="53"/>
        <v>1.3</v>
      </c>
      <c r="AS50">
        <f t="shared" si="54"/>
        <v>1.5</v>
      </c>
      <c r="AT50">
        <f t="shared" si="55"/>
        <v>6</v>
      </c>
      <c r="AU50">
        <f t="shared" si="42"/>
        <v>4</v>
      </c>
      <c r="AV50">
        <v>1</v>
      </c>
      <c r="AW50">
        <v>0</v>
      </c>
      <c r="AX50">
        <v>1.3</v>
      </c>
      <c r="BB50" s="20">
        <v>404</v>
      </c>
      <c r="BC50" s="21" t="s">
        <v>217</v>
      </c>
      <c r="BD50" s="58">
        <v>1.3</v>
      </c>
      <c r="BE50" s="20">
        <f t="shared" si="43"/>
        <v>0.76923076923076916</v>
      </c>
      <c r="BF50" s="22">
        <v>10</v>
      </c>
      <c r="BG50" s="23">
        <v>1.6</v>
      </c>
      <c r="BH50" s="25">
        <f t="shared" si="44"/>
        <v>166.4</v>
      </c>
      <c r="BI50" s="25">
        <f t="shared" si="45"/>
        <v>1107.6923076923076</v>
      </c>
      <c r="BJ50" s="25">
        <f t="shared" si="46"/>
        <v>16.64</v>
      </c>
      <c r="BK50">
        <v>6</v>
      </c>
      <c r="BL50">
        <f t="shared" si="47"/>
        <v>104</v>
      </c>
      <c r="BM50">
        <f t="shared" si="48"/>
        <v>1.3333333333333333</v>
      </c>
      <c r="BN50" s="20">
        <v>40</v>
      </c>
      <c r="BO50">
        <f t="shared" si="49"/>
        <v>1.6666666666666667</v>
      </c>
      <c r="BP50" s="20">
        <v>50</v>
      </c>
      <c r="BU50">
        <v>1</v>
      </c>
      <c r="BV50">
        <v>1</v>
      </c>
      <c r="BW50">
        <v>10</v>
      </c>
      <c r="BX50">
        <v>0</v>
      </c>
      <c r="BY50" s="29">
        <v>0.05</v>
      </c>
      <c r="BZ50" s="57" t="s">
        <v>1735</v>
      </c>
      <c r="CD50" s="2" t="s">
        <v>143</v>
      </c>
      <c r="CE50" t="s">
        <v>147</v>
      </c>
      <c r="CG50" s="2" t="s">
        <v>143</v>
      </c>
      <c r="CH50" t="s">
        <v>147</v>
      </c>
    </row>
    <row r="51" spans="1:86">
      <c r="A51" s="2">
        <v>411</v>
      </c>
      <c r="B51" t="s">
        <v>157</v>
      </c>
      <c r="C51">
        <v>0</v>
      </c>
      <c r="D51">
        <v>14</v>
      </c>
      <c r="E51">
        <v>1</v>
      </c>
      <c r="F51">
        <v>0</v>
      </c>
      <c r="G51" t="s">
        <v>158</v>
      </c>
      <c r="H51" t="s">
        <v>158</v>
      </c>
      <c r="I51" s="2">
        <v>0</v>
      </c>
      <c r="J51" s="50" t="s">
        <v>1715</v>
      </c>
      <c r="K51" s="2">
        <f t="shared" si="0"/>
        <v>6</v>
      </c>
      <c r="L51" s="2">
        <f t="shared" si="51"/>
        <v>1.3</v>
      </c>
      <c r="M51" s="2">
        <f t="shared" si="51"/>
        <v>1.5</v>
      </c>
      <c r="N51" s="2">
        <v>10</v>
      </c>
      <c r="O51" s="2">
        <f t="shared" si="7"/>
        <v>447.2</v>
      </c>
      <c r="P51" s="2">
        <f t="shared" si="8"/>
        <v>54.74</v>
      </c>
      <c r="Q51" s="2">
        <f t="shared" si="9"/>
        <v>6192</v>
      </c>
      <c r="R51" s="2">
        <f t="shared" si="10"/>
        <v>757.9</v>
      </c>
      <c r="S51" s="2">
        <f t="shared" si="11"/>
        <v>149.07</v>
      </c>
      <c r="T51" s="2">
        <f t="shared" si="12"/>
        <v>26.83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>
        <v>4003</v>
      </c>
      <c r="AA51" s="12" t="s">
        <v>215</v>
      </c>
      <c r="AB51" s="46" t="s">
        <v>97</v>
      </c>
      <c r="AC51">
        <v>0</v>
      </c>
      <c r="AD51" s="2">
        <v>1</v>
      </c>
      <c r="AE51">
        <v>0</v>
      </c>
      <c r="AF51">
        <v>0</v>
      </c>
      <c r="AG51">
        <v>0</v>
      </c>
      <c r="AI51">
        <v>1</v>
      </c>
      <c r="AJ51" s="1">
        <f t="shared" si="3"/>
        <v>765.68855008842047</v>
      </c>
      <c r="AK51">
        <v>15</v>
      </c>
      <c r="AL51">
        <f t="shared" si="14"/>
        <v>447.2</v>
      </c>
      <c r="AM51">
        <f t="shared" si="15"/>
        <v>22.807199999999998</v>
      </c>
      <c r="AN51">
        <f t="shared" si="16"/>
        <v>6192</v>
      </c>
      <c r="AO51">
        <f t="shared" si="17"/>
        <v>315.79199999999997</v>
      </c>
      <c r="AP51">
        <f t="shared" si="18"/>
        <v>149.06666666666666</v>
      </c>
      <c r="AQ51">
        <f t="shared" si="19"/>
        <v>11.18</v>
      </c>
      <c r="AR51">
        <f t="shared" si="53"/>
        <v>1.3</v>
      </c>
      <c r="AS51">
        <f t="shared" si="54"/>
        <v>1.5</v>
      </c>
      <c r="AT51">
        <f t="shared" si="55"/>
        <v>6</v>
      </c>
      <c r="AU51">
        <f t="shared" si="42"/>
        <v>4</v>
      </c>
      <c r="AV51">
        <v>1</v>
      </c>
      <c r="AW51">
        <v>0</v>
      </c>
      <c r="AX51">
        <v>1.4</v>
      </c>
      <c r="BB51" s="20">
        <v>405</v>
      </c>
      <c r="BC51" s="21" t="s">
        <v>218</v>
      </c>
      <c r="BD51" s="58">
        <v>1.25</v>
      </c>
      <c r="BE51" s="20">
        <f t="shared" si="43"/>
        <v>0.8</v>
      </c>
      <c r="BF51" s="22">
        <v>10</v>
      </c>
      <c r="BG51" s="23">
        <v>1.5</v>
      </c>
      <c r="BH51" s="25">
        <f t="shared" si="44"/>
        <v>150</v>
      </c>
      <c r="BI51" s="25">
        <f t="shared" si="45"/>
        <v>1152</v>
      </c>
      <c r="BJ51" s="25">
        <f t="shared" si="46"/>
        <v>15</v>
      </c>
      <c r="BK51">
        <v>6</v>
      </c>
      <c r="BL51">
        <f t="shared" si="47"/>
        <v>100</v>
      </c>
      <c r="BM51">
        <f t="shared" si="48"/>
        <v>1.1000000000000001</v>
      </c>
      <c r="BN51" s="20">
        <v>33</v>
      </c>
      <c r="BO51">
        <f t="shared" si="49"/>
        <v>1.3333333333333333</v>
      </c>
      <c r="BP51" s="20">
        <v>40</v>
      </c>
      <c r="BU51">
        <v>2</v>
      </c>
      <c r="BV51">
        <v>2</v>
      </c>
      <c r="BW51">
        <v>20</v>
      </c>
      <c r="BX51" s="29">
        <v>0.1</v>
      </c>
      <c r="BY51" s="29">
        <v>0.2</v>
      </c>
      <c r="CD51" s="2" t="s">
        <v>148</v>
      </c>
      <c r="CE51" t="s">
        <v>152</v>
      </c>
      <c r="CG51" s="2" t="s">
        <v>148</v>
      </c>
      <c r="CH51" t="s">
        <v>152</v>
      </c>
    </row>
    <row r="52" spans="1:86">
      <c r="A52" s="2">
        <v>500</v>
      </c>
      <c r="B52" t="s">
        <v>94</v>
      </c>
      <c r="C52">
        <v>0</v>
      </c>
      <c r="D52">
        <v>3</v>
      </c>
      <c r="E52">
        <v>1</v>
      </c>
      <c r="F52">
        <v>0</v>
      </c>
      <c r="G52" t="s">
        <v>95</v>
      </c>
      <c r="H52" t="s">
        <v>95</v>
      </c>
      <c r="I52" s="2">
        <v>0</v>
      </c>
      <c r="J52" s="2">
        <v>0</v>
      </c>
      <c r="K52" s="2">
        <f t="shared" si="0"/>
        <v>3</v>
      </c>
      <c r="L52" s="2">
        <f t="shared" si="51"/>
        <v>1.3</v>
      </c>
      <c r="M52" s="2">
        <f t="shared" si="51"/>
        <v>1.5</v>
      </c>
      <c r="N52" s="2">
        <v>10</v>
      </c>
      <c r="O52" s="2">
        <f t="shared" si="7"/>
        <v>160.16</v>
      </c>
      <c r="P52" s="2">
        <f t="shared" si="8"/>
        <v>10.62</v>
      </c>
      <c r="Q52" s="2">
        <f t="shared" si="9"/>
        <v>1832.73</v>
      </c>
      <c r="R52" s="2">
        <f t="shared" si="10"/>
        <v>121.51</v>
      </c>
      <c r="S52" s="2">
        <f t="shared" si="11"/>
        <v>53.39</v>
      </c>
      <c r="T52" s="2">
        <f t="shared" si="12"/>
        <v>5.21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>
        <v>5001</v>
      </c>
      <c r="AA52" s="12" t="s">
        <v>219</v>
      </c>
      <c r="AB52" s="46" t="s">
        <v>97</v>
      </c>
      <c r="AC52">
        <f t="shared" si="52"/>
        <v>501</v>
      </c>
      <c r="AD52" s="2">
        <v>0</v>
      </c>
      <c r="AE52">
        <v>0</v>
      </c>
      <c r="AF52">
        <v>0</v>
      </c>
      <c r="AG52">
        <v>0</v>
      </c>
      <c r="AI52">
        <v>1</v>
      </c>
      <c r="AJ52" s="1">
        <f t="shared" si="3"/>
        <v>79.476412593078365</v>
      </c>
      <c r="AK52">
        <v>4</v>
      </c>
      <c r="AL52">
        <f t="shared" si="14"/>
        <v>160.16000000000003</v>
      </c>
      <c r="AM52">
        <f t="shared" si="15"/>
        <v>8.1681600000000003</v>
      </c>
      <c r="AN52">
        <f t="shared" si="16"/>
        <v>1832.7272727272725</v>
      </c>
      <c r="AO52">
        <f t="shared" si="17"/>
        <v>93.469090909090895</v>
      </c>
      <c r="AP52">
        <f t="shared" si="18"/>
        <v>53.386666666666677</v>
      </c>
      <c r="AQ52">
        <f t="shared" si="19"/>
        <v>4.0040000000000004</v>
      </c>
      <c r="AR52">
        <f t="shared" si="53"/>
        <v>1.3</v>
      </c>
      <c r="AS52">
        <f t="shared" si="54"/>
        <v>1.5</v>
      </c>
      <c r="AT52">
        <f t="shared" si="55"/>
        <v>3</v>
      </c>
      <c r="AU52">
        <f t="shared" si="42"/>
        <v>5</v>
      </c>
      <c r="AV52">
        <v>1</v>
      </c>
      <c r="AW52">
        <v>0</v>
      </c>
      <c r="AX52">
        <v>0.3</v>
      </c>
      <c r="BB52" s="20">
        <v>406</v>
      </c>
      <c r="BC52" s="21" t="s">
        <v>220</v>
      </c>
      <c r="BD52" s="58">
        <v>1.3</v>
      </c>
      <c r="BE52" s="20">
        <f t="shared" si="43"/>
        <v>0.76923076923076916</v>
      </c>
      <c r="BF52" s="22">
        <v>10</v>
      </c>
      <c r="BG52" s="23">
        <v>1.4</v>
      </c>
      <c r="BH52" s="25">
        <f t="shared" si="44"/>
        <v>145.6</v>
      </c>
      <c r="BI52" s="25">
        <f t="shared" si="45"/>
        <v>1107.6923076923076</v>
      </c>
      <c r="BJ52" s="25">
        <f t="shared" si="46"/>
        <v>14.559999999999999</v>
      </c>
      <c r="BK52">
        <v>6</v>
      </c>
      <c r="BL52">
        <f t="shared" si="47"/>
        <v>104</v>
      </c>
      <c r="BM52">
        <f t="shared" si="48"/>
        <v>1</v>
      </c>
      <c r="BN52" s="20">
        <v>30</v>
      </c>
      <c r="BO52">
        <f t="shared" si="49"/>
        <v>1</v>
      </c>
      <c r="BP52" s="20">
        <v>30</v>
      </c>
      <c r="BU52">
        <v>3</v>
      </c>
      <c r="BV52">
        <v>3</v>
      </c>
      <c r="BW52">
        <v>40</v>
      </c>
      <c r="BX52" s="29">
        <v>0.1</v>
      </c>
      <c r="BY52" s="29">
        <v>0.05</v>
      </c>
      <c r="BZ52" s="57" t="s">
        <v>1735</v>
      </c>
      <c r="CD52" s="2" t="s">
        <v>153</v>
      </c>
      <c r="CE52" t="s">
        <v>156</v>
      </c>
      <c r="CG52" s="2" t="s">
        <v>153</v>
      </c>
      <c r="CH52" t="s">
        <v>156</v>
      </c>
    </row>
    <row r="53" spans="1:86">
      <c r="A53" s="2">
        <v>501</v>
      </c>
      <c r="B53" t="s">
        <v>111</v>
      </c>
      <c r="C53">
        <v>0</v>
      </c>
      <c r="D53">
        <v>4</v>
      </c>
      <c r="E53">
        <v>1</v>
      </c>
      <c r="F53">
        <v>0</v>
      </c>
      <c r="G53" t="s">
        <v>112</v>
      </c>
      <c r="H53" t="s">
        <v>112</v>
      </c>
      <c r="I53" s="2">
        <v>0</v>
      </c>
      <c r="J53" s="2">
        <v>0</v>
      </c>
      <c r="K53" s="2">
        <f t="shared" si="0"/>
        <v>3</v>
      </c>
      <c r="L53" s="2">
        <f t="shared" si="51"/>
        <v>1.3</v>
      </c>
      <c r="M53" s="2">
        <f t="shared" si="51"/>
        <v>1.5</v>
      </c>
      <c r="N53" s="2">
        <v>10</v>
      </c>
      <c r="O53" s="2">
        <f t="shared" si="7"/>
        <v>183.04</v>
      </c>
      <c r="P53" s="2">
        <f t="shared" si="8"/>
        <v>13.07</v>
      </c>
      <c r="Q53" s="2">
        <f t="shared" si="9"/>
        <v>2094.5500000000002</v>
      </c>
      <c r="R53" s="2">
        <f t="shared" si="10"/>
        <v>149.55000000000001</v>
      </c>
      <c r="S53" s="2">
        <f t="shared" si="11"/>
        <v>61.01</v>
      </c>
      <c r="T53" s="2">
        <f t="shared" si="12"/>
        <v>6.41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>
        <v>5001</v>
      </c>
      <c r="AA53" s="12" t="s">
        <v>219</v>
      </c>
      <c r="AB53" s="46" t="s">
        <v>97</v>
      </c>
      <c r="AC53">
        <f t="shared" si="52"/>
        <v>502</v>
      </c>
      <c r="AD53" s="2">
        <v>0</v>
      </c>
      <c r="AE53">
        <v>0</v>
      </c>
      <c r="AF53">
        <v>0</v>
      </c>
      <c r="AG53">
        <v>0</v>
      </c>
      <c r="AI53">
        <v>1</v>
      </c>
      <c r="AJ53" s="1">
        <f t="shared" si="3"/>
        <v>103.97840321486554</v>
      </c>
      <c r="AK53">
        <v>5</v>
      </c>
      <c r="AL53">
        <f t="shared" si="14"/>
        <v>183.04000000000005</v>
      </c>
      <c r="AM53">
        <f t="shared" si="15"/>
        <v>9.3350400000000011</v>
      </c>
      <c r="AN53">
        <f t="shared" si="16"/>
        <v>2094.5454545454545</v>
      </c>
      <c r="AO53">
        <f t="shared" si="17"/>
        <v>106.82181818181817</v>
      </c>
      <c r="AP53">
        <f t="shared" si="18"/>
        <v>61.01333333333335</v>
      </c>
      <c r="AQ53">
        <f t="shared" si="19"/>
        <v>4.5760000000000014</v>
      </c>
      <c r="AR53">
        <f t="shared" si="53"/>
        <v>1.3</v>
      </c>
      <c r="AS53">
        <f t="shared" si="54"/>
        <v>1.5</v>
      </c>
      <c r="AT53">
        <f t="shared" si="55"/>
        <v>3</v>
      </c>
      <c r="AU53">
        <f t="shared" si="42"/>
        <v>5</v>
      </c>
      <c r="AV53">
        <v>1</v>
      </c>
      <c r="AW53">
        <v>0</v>
      </c>
      <c r="AX53">
        <v>0.4</v>
      </c>
      <c r="BB53" s="20">
        <v>503</v>
      </c>
      <c r="BC53" s="21" t="s">
        <v>221</v>
      </c>
      <c r="BD53" s="58">
        <v>1.2</v>
      </c>
      <c r="BE53" s="20">
        <f t="shared" si="43"/>
        <v>0.83333333333333337</v>
      </c>
      <c r="BF53" s="22">
        <v>6</v>
      </c>
      <c r="BG53" s="23">
        <v>1.6</v>
      </c>
      <c r="BH53" s="25">
        <f t="shared" si="44"/>
        <v>153.6</v>
      </c>
      <c r="BI53" s="25">
        <f t="shared" si="45"/>
        <v>1200</v>
      </c>
      <c r="BJ53" s="25">
        <f t="shared" si="46"/>
        <v>25.599999999999998</v>
      </c>
      <c r="BK53">
        <v>3</v>
      </c>
      <c r="BL53">
        <f t="shared" si="47"/>
        <v>95.999999999999986</v>
      </c>
      <c r="BM53">
        <f t="shared" si="48"/>
        <v>1.3333333333333333</v>
      </c>
      <c r="BN53" s="20">
        <v>40</v>
      </c>
      <c r="BO53">
        <f t="shared" si="49"/>
        <v>1.3333333333333333</v>
      </c>
      <c r="BP53" s="20">
        <v>40</v>
      </c>
      <c r="BU53">
        <v>4</v>
      </c>
      <c r="BV53">
        <v>4</v>
      </c>
      <c r="BW53">
        <v>60</v>
      </c>
      <c r="BX53" s="29">
        <v>0.2</v>
      </c>
      <c r="BY53" s="29">
        <v>0.05</v>
      </c>
      <c r="BZ53" s="57" t="s">
        <v>1735</v>
      </c>
      <c r="CD53" s="2" t="s">
        <v>157</v>
      </c>
      <c r="CE53" t="s">
        <v>160</v>
      </c>
      <c r="CG53" s="2" t="s">
        <v>157</v>
      </c>
      <c r="CH53" t="s">
        <v>160</v>
      </c>
    </row>
    <row r="54" spans="1:86">
      <c r="A54" s="2">
        <v>502</v>
      </c>
      <c r="B54" t="s">
        <v>115</v>
      </c>
      <c r="C54">
        <v>0</v>
      </c>
      <c r="D54">
        <v>5</v>
      </c>
      <c r="E54">
        <v>1</v>
      </c>
      <c r="F54">
        <v>0</v>
      </c>
      <c r="G54" t="s">
        <v>116</v>
      </c>
      <c r="H54" t="s">
        <v>116</v>
      </c>
      <c r="I54" s="2">
        <v>0</v>
      </c>
      <c r="J54" s="2">
        <v>0</v>
      </c>
      <c r="K54" s="2">
        <f t="shared" si="0"/>
        <v>3</v>
      </c>
      <c r="L54" s="2">
        <f t="shared" si="51"/>
        <v>1.3</v>
      </c>
      <c r="M54" s="2">
        <f t="shared" si="51"/>
        <v>1.5</v>
      </c>
      <c r="N54" s="2">
        <v>10</v>
      </c>
      <c r="O54" s="2">
        <f t="shared" si="7"/>
        <v>205.92</v>
      </c>
      <c r="P54" s="2">
        <f t="shared" si="8"/>
        <v>15.75</v>
      </c>
      <c r="Q54" s="2">
        <f t="shared" si="9"/>
        <v>2356.36</v>
      </c>
      <c r="R54" s="2">
        <f t="shared" si="10"/>
        <v>180.26</v>
      </c>
      <c r="S54" s="2">
        <f t="shared" si="11"/>
        <v>68.64</v>
      </c>
      <c r="T54" s="2">
        <f t="shared" si="12"/>
        <v>7.72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>
        <v>5002</v>
      </c>
      <c r="AA54" s="12" t="s">
        <v>219</v>
      </c>
      <c r="AB54" s="46" t="s">
        <v>97</v>
      </c>
      <c r="AC54">
        <f t="shared" si="52"/>
        <v>503</v>
      </c>
      <c r="AD54" s="2">
        <v>0</v>
      </c>
      <c r="AE54">
        <v>0</v>
      </c>
      <c r="AF54">
        <v>0</v>
      </c>
      <c r="AG54">
        <v>0</v>
      </c>
      <c r="AI54">
        <v>1</v>
      </c>
      <c r="AJ54" s="1">
        <f t="shared" si="3"/>
        <v>131.81668381823604</v>
      </c>
      <c r="AK54">
        <v>6</v>
      </c>
      <c r="AL54">
        <f t="shared" si="14"/>
        <v>205.92000000000004</v>
      </c>
      <c r="AM54">
        <f t="shared" si="15"/>
        <v>10.501920000000002</v>
      </c>
      <c r="AN54">
        <f t="shared" si="16"/>
        <v>2356.3636363636365</v>
      </c>
      <c r="AO54">
        <f t="shared" si="17"/>
        <v>120.17454545454545</v>
      </c>
      <c r="AP54">
        <f t="shared" si="18"/>
        <v>68.640000000000015</v>
      </c>
      <c r="AQ54">
        <f t="shared" si="19"/>
        <v>5.1480000000000006</v>
      </c>
      <c r="AR54">
        <f t="shared" si="53"/>
        <v>1.3</v>
      </c>
      <c r="AS54">
        <f t="shared" si="54"/>
        <v>1.5</v>
      </c>
      <c r="AT54">
        <f t="shared" si="55"/>
        <v>3</v>
      </c>
      <c r="AU54">
        <f t="shared" si="42"/>
        <v>5</v>
      </c>
      <c r="AV54">
        <v>1</v>
      </c>
      <c r="AW54">
        <v>0</v>
      </c>
      <c r="AX54">
        <v>0.5</v>
      </c>
      <c r="BB54" s="20">
        <v>504</v>
      </c>
      <c r="BC54" s="21" t="s">
        <v>222</v>
      </c>
      <c r="BD54" s="58">
        <v>1.1000000000000001</v>
      </c>
      <c r="BE54" s="20">
        <f t="shared" si="43"/>
        <v>0.90909090909090906</v>
      </c>
      <c r="BF54" s="22">
        <v>6</v>
      </c>
      <c r="BG54" s="23">
        <v>1.8</v>
      </c>
      <c r="BH54" s="25">
        <f t="shared" si="44"/>
        <v>158.4</v>
      </c>
      <c r="BI54" s="25">
        <f t="shared" si="45"/>
        <v>1309.090909090909</v>
      </c>
      <c r="BJ54" s="25">
        <f t="shared" si="46"/>
        <v>26.400000000000002</v>
      </c>
      <c r="BK54">
        <v>3</v>
      </c>
      <c r="BL54">
        <f t="shared" si="47"/>
        <v>88</v>
      </c>
      <c r="BM54">
        <f t="shared" si="48"/>
        <v>1.5</v>
      </c>
      <c r="BN54" s="20">
        <v>45</v>
      </c>
      <c r="BO54">
        <f t="shared" si="49"/>
        <v>1.3</v>
      </c>
      <c r="BP54" s="20">
        <v>39</v>
      </c>
      <c r="BU54">
        <v>5</v>
      </c>
      <c r="BV54">
        <v>5</v>
      </c>
      <c r="BW54">
        <v>80</v>
      </c>
      <c r="BX54" s="29">
        <v>0.2</v>
      </c>
      <c r="BY54" s="29">
        <v>0.2</v>
      </c>
      <c r="CD54" s="2" t="s">
        <v>94</v>
      </c>
      <c r="CE54" t="s">
        <v>110</v>
      </c>
      <c r="CG54" s="2" t="s">
        <v>94</v>
      </c>
      <c r="CH54" t="s">
        <v>110</v>
      </c>
    </row>
    <row r="55" spans="1:86">
      <c r="A55" s="2">
        <v>503</v>
      </c>
      <c r="B55" t="s">
        <v>119</v>
      </c>
      <c r="C55">
        <v>0</v>
      </c>
      <c r="D55">
        <v>6</v>
      </c>
      <c r="E55">
        <v>1</v>
      </c>
      <c r="F55">
        <v>0</v>
      </c>
      <c r="G55" t="s">
        <v>120</v>
      </c>
      <c r="H55" t="s">
        <v>120</v>
      </c>
      <c r="I55" s="2">
        <v>0</v>
      </c>
      <c r="J55" s="2">
        <v>0</v>
      </c>
      <c r="K55" s="2">
        <f t="shared" si="0"/>
        <v>3</v>
      </c>
      <c r="L55" s="2">
        <f t="shared" si="51"/>
        <v>1.3</v>
      </c>
      <c r="M55" s="2">
        <f t="shared" si="51"/>
        <v>1.5</v>
      </c>
      <c r="N55" s="2">
        <v>10</v>
      </c>
      <c r="O55" s="2">
        <f t="shared" si="7"/>
        <v>234.52</v>
      </c>
      <c r="P55" s="2">
        <f t="shared" si="8"/>
        <v>19.14</v>
      </c>
      <c r="Q55" s="2">
        <f t="shared" si="9"/>
        <v>2683.64</v>
      </c>
      <c r="R55" s="2">
        <f t="shared" si="10"/>
        <v>218.98</v>
      </c>
      <c r="S55" s="2">
        <f t="shared" si="11"/>
        <v>78.17</v>
      </c>
      <c r="T55" s="2">
        <f t="shared" si="12"/>
        <v>9.3800000000000008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>
        <v>5002</v>
      </c>
      <c r="AA55" s="12" t="s">
        <v>223</v>
      </c>
      <c r="AB55" s="46" t="s">
        <v>97</v>
      </c>
      <c r="AC55">
        <f t="shared" si="52"/>
        <v>504</v>
      </c>
      <c r="AD55" s="2">
        <v>0</v>
      </c>
      <c r="AE55">
        <v>0</v>
      </c>
      <c r="AF55">
        <v>0</v>
      </c>
      <c r="AG55">
        <v>0</v>
      </c>
      <c r="AI55">
        <v>1</v>
      </c>
      <c r="AJ55" s="1">
        <f t="shared" si="3"/>
        <v>171.33162223566745</v>
      </c>
      <c r="AK55">
        <v>7</v>
      </c>
      <c r="AL55">
        <f t="shared" si="14"/>
        <v>234.52</v>
      </c>
      <c r="AM55">
        <f t="shared" si="15"/>
        <v>11.960519999999999</v>
      </c>
      <c r="AN55">
        <f t="shared" si="16"/>
        <v>2683.6363636363631</v>
      </c>
      <c r="AO55">
        <f t="shared" si="17"/>
        <v>136.8654545454545</v>
      </c>
      <c r="AP55">
        <f t="shared" si="18"/>
        <v>78.173333333333332</v>
      </c>
      <c r="AQ55">
        <f t="shared" si="19"/>
        <v>5.8629999999999995</v>
      </c>
      <c r="AR55">
        <f t="shared" si="53"/>
        <v>1.3</v>
      </c>
      <c r="AS55">
        <f t="shared" si="54"/>
        <v>1.5</v>
      </c>
      <c r="AT55">
        <f t="shared" si="55"/>
        <v>3</v>
      </c>
      <c r="AU55">
        <f t="shared" si="42"/>
        <v>5</v>
      </c>
      <c r="AV55">
        <v>1</v>
      </c>
      <c r="AW55">
        <v>0</v>
      </c>
      <c r="AX55">
        <v>0.6</v>
      </c>
      <c r="BB55" s="20">
        <v>101</v>
      </c>
      <c r="BC55" s="21" t="s">
        <v>224</v>
      </c>
      <c r="BD55" s="58">
        <v>1.1000000000000001</v>
      </c>
      <c r="BE55" s="20">
        <f t="shared" si="43"/>
        <v>0.90909090909090906</v>
      </c>
      <c r="BF55" s="22">
        <v>5</v>
      </c>
      <c r="BG55" s="23">
        <v>1.6</v>
      </c>
      <c r="BH55" s="25">
        <f t="shared" si="44"/>
        <v>140.80000000000001</v>
      </c>
      <c r="BI55" s="25">
        <f t="shared" si="45"/>
        <v>1309.090909090909</v>
      </c>
      <c r="BJ55" s="25">
        <f t="shared" si="46"/>
        <v>28.160000000000004</v>
      </c>
      <c r="BK55">
        <v>3</v>
      </c>
      <c r="BL55">
        <f t="shared" si="47"/>
        <v>88</v>
      </c>
      <c r="BM55">
        <f t="shared" si="48"/>
        <v>1.3333333333333333</v>
      </c>
      <c r="BN55" s="20">
        <v>40</v>
      </c>
      <c r="BO55">
        <f t="shared" si="49"/>
        <v>1.6666666666666667</v>
      </c>
      <c r="BP55" s="20">
        <v>50</v>
      </c>
      <c r="BU55">
        <v>6</v>
      </c>
      <c r="BV55">
        <v>6</v>
      </c>
      <c r="BW55">
        <v>120</v>
      </c>
      <c r="BX55" s="29">
        <v>0.2</v>
      </c>
      <c r="BY55" s="29">
        <v>0.2</v>
      </c>
      <c r="CD55" s="2" t="s">
        <v>111</v>
      </c>
      <c r="CE55" t="s">
        <v>114</v>
      </c>
      <c r="CG55" s="2" t="s">
        <v>111</v>
      </c>
      <c r="CH55" t="s">
        <v>114</v>
      </c>
    </row>
    <row r="56" spans="1:86">
      <c r="A56" s="2">
        <v>504</v>
      </c>
      <c r="B56" t="s">
        <v>124</v>
      </c>
      <c r="C56">
        <v>0</v>
      </c>
      <c r="D56">
        <v>7</v>
      </c>
      <c r="E56">
        <v>1</v>
      </c>
      <c r="F56">
        <v>0</v>
      </c>
      <c r="G56" t="s">
        <v>125</v>
      </c>
      <c r="H56" t="s">
        <v>125</v>
      </c>
      <c r="I56" s="2">
        <v>0</v>
      </c>
      <c r="J56" s="2">
        <v>0</v>
      </c>
      <c r="K56" s="2">
        <f t="shared" si="0"/>
        <v>3</v>
      </c>
      <c r="L56" s="2">
        <f t="shared" si="51"/>
        <v>1.3</v>
      </c>
      <c r="M56" s="2">
        <f t="shared" si="51"/>
        <v>1.5</v>
      </c>
      <c r="N56" s="2">
        <v>10</v>
      </c>
      <c r="O56" s="2">
        <f t="shared" si="7"/>
        <v>263.12</v>
      </c>
      <c r="P56" s="2">
        <f t="shared" si="8"/>
        <v>22.81</v>
      </c>
      <c r="Q56" s="2">
        <f t="shared" si="9"/>
        <v>3010.91</v>
      </c>
      <c r="R56" s="2">
        <f t="shared" si="10"/>
        <v>261.05</v>
      </c>
      <c r="S56" s="2">
        <f t="shared" si="11"/>
        <v>87.71</v>
      </c>
      <c r="T56" s="2">
        <f t="shared" si="12"/>
        <v>11.18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>
        <v>5002</v>
      </c>
      <c r="AA56" s="12" t="s">
        <v>225</v>
      </c>
      <c r="AB56" s="46" t="s">
        <v>97</v>
      </c>
      <c r="AC56">
        <f t="shared" si="52"/>
        <v>505</v>
      </c>
      <c r="AD56" s="2">
        <v>0</v>
      </c>
      <c r="AE56">
        <v>0</v>
      </c>
      <c r="AF56">
        <v>0</v>
      </c>
      <c r="AG56">
        <v>0</v>
      </c>
      <c r="AI56">
        <v>1</v>
      </c>
      <c r="AJ56" s="1">
        <f t="shared" si="3"/>
        <v>216.11842692413325</v>
      </c>
      <c r="AK56">
        <v>8</v>
      </c>
      <c r="AL56">
        <f t="shared" si="14"/>
        <v>263.12</v>
      </c>
      <c r="AM56">
        <f t="shared" si="15"/>
        <v>13.419119999999999</v>
      </c>
      <c r="AN56">
        <f t="shared" si="16"/>
        <v>3010.9090909090905</v>
      </c>
      <c r="AO56">
        <f t="shared" si="17"/>
        <v>153.55636363636361</v>
      </c>
      <c r="AP56">
        <f t="shared" si="18"/>
        <v>87.706666666666663</v>
      </c>
      <c r="AQ56">
        <f t="shared" si="19"/>
        <v>6.5779999999999994</v>
      </c>
      <c r="AR56">
        <f t="shared" si="53"/>
        <v>1.3</v>
      </c>
      <c r="AS56">
        <f t="shared" si="54"/>
        <v>1.5</v>
      </c>
      <c r="AT56">
        <f t="shared" si="55"/>
        <v>3</v>
      </c>
      <c r="AU56">
        <f t="shared" si="42"/>
        <v>5</v>
      </c>
      <c r="AV56">
        <v>1</v>
      </c>
      <c r="AW56">
        <v>0</v>
      </c>
      <c r="AX56">
        <v>0.7</v>
      </c>
      <c r="BB56" s="20">
        <v>102</v>
      </c>
      <c r="BC56" s="21" t="s">
        <v>226</v>
      </c>
      <c r="BD56" s="58">
        <v>1</v>
      </c>
      <c r="BE56" s="20">
        <f t="shared" si="43"/>
        <v>1</v>
      </c>
      <c r="BF56" s="22">
        <v>5</v>
      </c>
      <c r="BG56" s="23">
        <v>1.4</v>
      </c>
      <c r="BH56" s="25">
        <f t="shared" si="44"/>
        <v>112</v>
      </c>
      <c r="BI56" s="25">
        <f t="shared" si="45"/>
        <v>1440</v>
      </c>
      <c r="BJ56" s="25">
        <f t="shared" si="46"/>
        <v>22.4</v>
      </c>
      <c r="BK56">
        <v>3</v>
      </c>
      <c r="BL56">
        <f t="shared" si="47"/>
        <v>80</v>
      </c>
      <c r="BM56">
        <f t="shared" si="48"/>
        <v>1</v>
      </c>
      <c r="BN56" s="20">
        <v>30</v>
      </c>
      <c r="BO56">
        <f t="shared" si="49"/>
        <v>1.3333333333333333</v>
      </c>
      <c r="BP56" s="20">
        <v>40</v>
      </c>
      <c r="BU56">
        <v>7</v>
      </c>
      <c r="BV56">
        <v>7</v>
      </c>
      <c r="BW56">
        <v>140</v>
      </c>
      <c r="BX56" s="29">
        <v>0.2</v>
      </c>
      <c r="BY56" s="29">
        <v>0.05</v>
      </c>
      <c r="BZ56" s="57" t="s">
        <v>1736</v>
      </c>
      <c r="CD56" s="2" t="s">
        <v>115</v>
      </c>
      <c r="CE56" t="s">
        <v>118</v>
      </c>
      <c r="CG56" s="2" t="s">
        <v>115</v>
      </c>
      <c r="CH56" t="s">
        <v>118</v>
      </c>
    </row>
    <row r="57" spans="1:86">
      <c r="A57" s="2">
        <v>505</v>
      </c>
      <c r="B57" t="s">
        <v>129</v>
      </c>
      <c r="C57">
        <v>0</v>
      </c>
      <c r="D57">
        <v>8</v>
      </c>
      <c r="E57">
        <v>1</v>
      </c>
      <c r="F57">
        <v>0</v>
      </c>
      <c r="G57" t="s">
        <v>130</v>
      </c>
      <c r="H57" t="s">
        <v>130</v>
      </c>
      <c r="I57" s="2">
        <v>0</v>
      </c>
      <c r="J57" s="2">
        <v>0</v>
      </c>
      <c r="K57" s="2">
        <f t="shared" si="0"/>
        <v>3</v>
      </c>
      <c r="L57" s="2">
        <f t="shared" si="51"/>
        <v>1.3</v>
      </c>
      <c r="M57" s="2">
        <f t="shared" si="51"/>
        <v>1.5</v>
      </c>
      <c r="N57" s="2">
        <v>10</v>
      </c>
      <c r="O57" s="2">
        <f t="shared" si="7"/>
        <v>291.72000000000003</v>
      </c>
      <c r="P57" s="2">
        <f t="shared" si="8"/>
        <v>26.78</v>
      </c>
      <c r="Q57" s="2">
        <f t="shared" si="9"/>
        <v>3338.18</v>
      </c>
      <c r="R57" s="2">
        <f t="shared" si="10"/>
        <v>306.45</v>
      </c>
      <c r="S57" s="2">
        <f t="shared" si="11"/>
        <v>97.24</v>
      </c>
      <c r="T57" s="2">
        <f t="shared" si="12"/>
        <v>13.13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>
        <v>5002</v>
      </c>
      <c r="AA57" s="12" t="s">
        <v>227</v>
      </c>
      <c r="AB57" s="46" t="s">
        <v>97</v>
      </c>
      <c r="AC57">
        <f t="shared" si="52"/>
        <v>506</v>
      </c>
      <c r="AD57" s="2">
        <v>0</v>
      </c>
      <c r="AE57">
        <v>0</v>
      </c>
      <c r="AF57">
        <v>0</v>
      </c>
      <c r="AG57">
        <v>0</v>
      </c>
      <c r="AI57">
        <v>1</v>
      </c>
      <c r="AJ57" s="1">
        <f t="shared" si="3"/>
        <v>266.21020678386753</v>
      </c>
      <c r="AK57">
        <v>9</v>
      </c>
      <c r="AL57">
        <f t="shared" si="14"/>
        <v>291.72000000000003</v>
      </c>
      <c r="AM57">
        <f t="shared" si="15"/>
        <v>14.87772</v>
      </c>
      <c r="AN57">
        <f t="shared" si="16"/>
        <v>3338.1818181818176</v>
      </c>
      <c r="AO57">
        <f t="shared" si="17"/>
        <v>170.24727272727267</v>
      </c>
      <c r="AP57">
        <f t="shared" si="18"/>
        <v>97.240000000000009</v>
      </c>
      <c r="AQ57">
        <f t="shared" si="19"/>
        <v>7.2930000000000001</v>
      </c>
      <c r="AR57">
        <f t="shared" si="53"/>
        <v>1.3</v>
      </c>
      <c r="AS57">
        <f t="shared" si="54"/>
        <v>1.5</v>
      </c>
      <c r="AT57">
        <f t="shared" si="55"/>
        <v>3</v>
      </c>
      <c r="AU57">
        <f t="shared" si="42"/>
        <v>5</v>
      </c>
      <c r="AV57">
        <v>1</v>
      </c>
      <c r="AW57">
        <v>0</v>
      </c>
      <c r="AX57">
        <v>0.8</v>
      </c>
      <c r="BB57" s="20">
        <v>2</v>
      </c>
      <c r="BC57" s="21" t="s">
        <v>228</v>
      </c>
      <c r="BD57" s="58">
        <v>1.2</v>
      </c>
      <c r="BE57" s="20">
        <f t="shared" ref="BE57:BE60" si="56">1/BD57</f>
        <v>0.83333333333333337</v>
      </c>
      <c r="BF57" s="22">
        <v>4.0999999999999996</v>
      </c>
      <c r="BG57" s="23">
        <v>1.3</v>
      </c>
      <c r="BH57" s="25">
        <f t="shared" ref="BH57:BH60" si="57">BD57*$BH$4*BG57/1.5</f>
        <v>124.80000000000001</v>
      </c>
      <c r="BI57" s="25">
        <f t="shared" ref="BI57:BI60" si="58">BE57*$BI$4</f>
        <v>1200</v>
      </c>
      <c r="BJ57" s="25">
        <f t="shared" ref="BJ57:BJ60" si="59">BH57/BF57</f>
        <v>30.439024390243908</v>
      </c>
      <c r="BK57">
        <v>6</v>
      </c>
      <c r="BL57">
        <f t="shared" ref="BL57:BL60" si="60">BH57/BG57</f>
        <v>96</v>
      </c>
      <c r="BM57">
        <f t="shared" ref="BM57:BM60" si="61">BN57/30</f>
        <v>1</v>
      </c>
      <c r="BN57" s="20">
        <v>30</v>
      </c>
      <c r="BO57">
        <f t="shared" ref="BO57:BO60" si="62">BP57/30</f>
        <v>1.3333333333333333</v>
      </c>
      <c r="BP57" s="20">
        <v>40</v>
      </c>
      <c r="BU57">
        <v>8</v>
      </c>
      <c r="BV57">
        <v>8</v>
      </c>
      <c r="BW57">
        <v>160</v>
      </c>
      <c r="BX57" s="29">
        <v>0.2</v>
      </c>
      <c r="BY57" s="29">
        <v>0.05</v>
      </c>
      <c r="CD57" s="2" t="s">
        <v>119</v>
      </c>
      <c r="CE57" t="s">
        <v>123</v>
      </c>
      <c r="CG57" s="2" t="s">
        <v>119</v>
      </c>
      <c r="CH57" t="s">
        <v>123</v>
      </c>
    </row>
    <row r="58" spans="1:86">
      <c r="A58" s="2">
        <v>506</v>
      </c>
      <c r="B58" t="s">
        <v>134</v>
      </c>
      <c r="C58">
        <v>0</v>
      </c>
      <c r="D58">
        <v>9</v>
      </c>
      <c r="E58">
        <v>1</v>
      </c>
      <c r="F58">
        <v>0</v>
      </c>
      <c r="G58" t="s">
        <v>135</v>
      </c>
      <c r="H58" t="s">
        <v>135</v>
      </c>
      <c r="I58" s="2">
        <v>0</v>
      </c>
      <c r="J58" s="2">
        <v>0</v>
      </c>
      <c r="K58" s="2">
        <f t="shared" si="0"/>
        <v>3</v>
      </c>
      <c r="L58" s="2">
        <f t="shared" si="51"/>
        <v>1.3</v>
      </c>
      <c r="M58" s="2">
        <f t="shared" si="51"/>
        <v>1.5</v>
      </c>
      <c r="N58" s="2">
        <v>10</v>
      </c>
      <c r="O58" s="2">
        <f t="shared" si="7"/>
        <v>320.32</v>
      </c>
      <c r="P58" s="2">
        <f t="shared" si="8"/>
        <v>31.04</v>
      </c>
      <c r="Q58" s="2">
        <f t="shared" si="9"/>
        <v>3665.45</v>
      </c>
      <c r="R58" s="2">
        <f t="shared" si="10"/>
        <v>355.18</v>
      </c>
      <c r="S58" s="2">
        <f t="shared" si="11"/>
        <v>106.77</v>
      </c>
      <c r="T58" s="2">
        <f t="shared" si="12"/>
        <v>15.22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>
        <v>5003</v>
      </c>
      <c r="AA58" s="12" t="s">
        <v>227</v>
      </c>
      <c r="AB58" s="46" t="s">
        <v>97</v>
      </c>
      <c r="AC58">
        <f t="shared" si="52"/>
        <v>507</v>
      </c>
      <c r="AD58" s="2">
        <v>0</v>
      </c>
      <c r="AE58">
        <v>0</v>
      </c>
      <c r="AF58">
        <v>0</v>
      </c>
      <c r="AG58">
        <v>0</v>
      </c>
      <c r="AI58">
        <v>1</v>
      </c>
      <c r="AJ58" s="1">
        <f t="shared" si="3"/>
        <v>321.64034854180528</v>
      </c>
      <c r="AK58">
        <v>10</v>
      </c>
      <c r="AL58">
        <f t="shared" si="14"/>
        <v>320.32000000000005</v>
      </c>
      <c r="AM58">
        <f t="shared" si="15"/>
        <v>16.336320000000001</v>
      </c>
      <c r="AN58">
        <f t="shared" si="16"/>
        <v>3665.454545454545</v>
      </c>
      <c r="AO58">
        <f t="shared" si="17"/>
        <v>186.93818181818179</v>
      </c>
      <c r="AP58">
        <f t="shared" si="18"/>
        <v>106.77333333333335</v>
      </c>
      <c r="AQ58">
        <f t="shared" si="19"/>
        <v>8.0080000000000009</v>
      </c>
      <c r="AR58">
        <f t="shared" si="53"/>
        <v>1.3</v>
      </c>
      <c r="AS58">
        <f t="shared" si="54"/>
        <v>1.5</v>
      </c>
      <c r="AT58">
        <f t="shared" si="55"/>
        <v>3</v>
      </c>
      <c r="AU58">
        <f t="shared" si="42"/>
        <v>5</v>
      </c>
      <c r="AV58">
        <v>1</v>
      </c>
      <c r="AW58">
        <v>0</v>
      </c>
      <c r="AX58">
        <v>0.9</v>
      </c>
      <c r="BB58" s="20">
        <v>3</v>
      </c>
      <c r="BC58" s="21" t="s">
        <v>229</v>
      </c>
      <c r="BD58" s="58">
        <v>0.9</v>
      </c>
      <c r="BE58" s="20">
        <f t="shared" si="56"/>
        <v>1.1111111111111112</v>
      </c>
      <c r="BF58" s="22">
        <v>1.8</v>
      </c>
      <c r="BG58" s="23">
        <v>1.3</v>
      </c>
      <c r="BH58" s="25">
        <f t="shared" si="57"/>
        <v>93.600000000000009</v>
      </c>
      <c r="BI58" s="25">
        <f t="shared" si="58"/>
        <v>1600</v>
      </c>
      <c r="BJ58" s="25">
        <f t="shared" si="59"/>
        <v>52</v>
      </c>
      <c r="BK58">
        <v>3</v>
      </c>
      <c r="BL58">
        <f t="shared" si="60"/>
        <v>72</v>
      </c>
      <c r="BM58">
        <f t="shared" si="61"/>
        <v>1</v>
      </c>
      <c r="BN58" s="20">
        <v>30</v>
      </c>
      <c r="BO58">
        <f t="shared" si="62"/>
        <v>1.3333333333333333</v>
      </c>
      <c r="BP58" s="20">
        <v>40</v>
      </c>
      <c r="BU58">
        <v>9</v>
      </c>
      <c r="BV58">
        <v>9</v>
      </c>
      <c r="BW58">
        <v>180</v>
      </c>
      <c r="BX58" s="29">
        <v>0.2</v>
      </c>
      <c r="BY58" s="29">
        <v>0.05</v>
      </c>
      <c r="CD58" s="2" t="s">
        <v>124</v>
      </c>
      <c r="CE58" t="s">
        <v>128</v>
      </c>
      <c r="CG58" s="2" t="s">
        <v>124</v>
      </c>
      <c r="CH58" t="s">
        <v>128</v>
      </c>
    </row>
    <row r="59" spans="1:86">
      <c r="A59" s="2">
        <v>507</v>
      </c>
      <c r="B59" t="s">
        <v>138</v>
      </c>
      <c r="C59">
        <v>0</v>
      </c>
      <c r="D59">
        <v>10</v>
      </c>
      <c r="E59">
        <v>1</v>
      </c>
      <c r="F59">
        <v>0</v>
      </c>
      <c r="G59" t="s">
        <v>139</v>
      </c>
      <c r="H59" t="s">
        <v>139</v>
      </c>
      <c r="I59" s="2">
        <v>0</v>
      </c>
      <c r="J59" s="2">
        <v>0</v>
      </c>
      <c r="K59" s="2">
        <f t="shared" si="0"/>
        <v>3</v>
      </c>
      <c r="L59" s="2">
        <f t="shared" si="51"/>
        <v>1.3</v>
      </c>
      <c r="M59" s="2">
        <f t="shared" si="51"/>
        <v>1.5</v>
      </c>
      <c r="N59" s="2">
        <v>10</v>
      </c>
      <c r="O59" s="2">
        <f t="shared" si="7"/>
        <v>354.64</v>
      </c>
      <c r="P59" s="2">
        <f t="shared" si="8"/>
        <v>36.17</v>
      </c>
      <c r="Q59" s="2">
        <f t="shared" si="9"/>
        <v>4058.18</v>
      </c>
      <c r="R59" s="2">
        <f t="shared" si="10"/>
        <v>413.93</v>
      </c>
      <c r="S59" s="2">
        <f t="shared" si="11"/>
        <v>118.21</v>
      </c>
      <c r="T59" s="2">
        <f t="shared" si="12"/>
        <v>17.73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>
        <v>5003</v>
      </c>
      <c r="AA59" s="12" t="s">
        <v>230</v>
      </c>
      <c r="AB59" s="46" t="s">
        <v>97</v>
      </c>
      <c r="AC59">
        <f t="shared" si="52"/>
        <v>508</v>
      </c>
      <c r="AD59" s="2">
        <v>0</v>
      </c>
      <c r="AE59">
        <v>0</v>
      </c>
      <c r="AF59">
        <v>0</v>
      </c>
      <c r="AG59">
        <v>0</v>
      </c>
      <c r="AI59">
        <v>1</v>
      </c>
      <c r="AJ59" s="1">
        <f t="shared" si="3"/>
        <v>395.25058009940921</v>
      </c>
      <c r="AK59">
        <v>11</v>
      </c>
      <c r="AL59">
        <f t="shared" si="14"/>
        <v>354.6400000000001</v>
      </c>
      <c r="AM59">
        <f t="shared" si="15"/>
        <v>18.086640000000003</v>
      </c>
      <c r="AN59">
        <f t="shared" si="16"/>
        <v>4058.181818181818</v>
      </c>
      <c r="AO59">
        <f t="shared" si="17"/>
        <v>206.9672727272727</v>
      </c>
      <c r="AP59">
        <f t="shared" si="18"/>
        <v>118.21333333333337</v>
      </c>
      <c r="AQ59">
        <f t="shared" si="19"/>
        <v>8.8660000000000014</v>
      </c>
      <c r="AR59">
        <f t="shared" si="53"/>
        <v>1.3</v>
      </c>
      <c r="AS59">
        <f t="shared" si="54"/>
        <v>1.5</v>
      </c>
      <c r="AT59">
        <f t="shared" si="55"/>
        <v>3</v>
      </c>
      <c r="AU59">
        <f t="shared" si="42"/>
        <v>5</v>
      </c>
      <c r="AV59">
        <v>1</v>
      </c>
      <c r="AW59">
        <v>0</v>
      </c>
      <c r="AX59">
        <v>1</v>
      </c>
      <c r="BB59" s="20">
        <v>4</v>
      </c>
      <c r="BC59" s="21" t="s">
        <v>231</v>
      </c>
      <c r="BD59" s="58">
        <v>1</v>
      </c>
      <c r="BE59" s="20">
        <f t="shared" si="56"/>
        <v>1</v>
      </c>
      <c r="BF59" s="22">
        <v>3</v>
      </c>
      <c r="BG59" s="23">
        <v>1.3</v>
      </c>
      <c r="BH59" s="25">
        <f t="shared" si="57"/>
        <v>104</v>
      </c>
      <c r="BI59" s="25">
        <f t="shared" si="58"/>
        <v>1440</v>
      </c>
      <c r="BJ59" s="25">
        <f t="shared" si="59"/>
        <v>34.666666666666664</v>
      </c>
      <c r="BK59">
        <v>6</v>
      </c>
      <c r="BL59">
        <f t="shared" si="60"/>
        <v>80</v>
      </c>
      <c r="BM59">
        <f t="shared" si="61"/>
        <v>1</v>
      </c>
      <c r="BN59" s="20">
        <v>30</v>
      </c>
      <c r="BO59">
        <f t="shared" si="62"/>
        <v>1.3333333333333333</v>
      </c>
      <c r="BP59" s="20">
        <v>40</v>
      </c>
      <c r="BU59">
        <v>10</v>
      </c>
      <c r="BV59">
        <v>10</v>
      </c>
      <c r="BW59">
        <v>200</v>
      </c>
      <c r="BX59" s="29">
        <v>0.2</v>
      </c>
      <c r="BY59" s="29">
        <v>0.05</v>
      </c>
      <c r="CD59" s="2" t="s">
        <v>129</v>
      </c>
      <c r="CE59" t="s">
        <v>133</v>
      </c>
      <c r="CG59" s="2" t="s">
        <v>129</v>
      </c>
      <c r="CH59" t="s">
        <v>133</v>
      </c>
    </row>
    <row r="60" spans="1:86">
      <c r="A60" s="2">
        <v>508</v>
      </c>
      <c r="B60" t="s">
        <v>143</v>
      </c>
      <c r="C60">
        <v>0</v>
      </c>
      <c r="D60">
        <v>11</v>
      </c>
      <c r="E60">
        <v>1</v>
      </c>
      <c r="F60">
        <v>0</v>
      </c>
      <c r="G60" t="s">
        <v>144</v>
      </c>
      <c r="H60" t="s">
        <v>144</v>
      </c>
      <c r="I60" s="2">
        <v>0</v>
      </c>
      <c r="J60" s="2">
        <v>0</v>
      </c>
      <c r="K60" s="2">
        <f t="shared" si="0"/>
        <v>3</v>
      </c>
      <c r="L60" s="2">
        <f t="shared" si="51"/>
        <v>1.3</v>
      </c>
      <c r="M60" s="2">
        <f t="shared" si="51"/>
        <v>1.5</v>
      </c>
      <c r="N60" s="2">
        <v>10</v>
      </c>
      <c r="O60" s="2">
        <f t="shared" si="7"/>
        <v>388.96</v>
      </c>
      <c r="P60" s="2">
        <f t="shared" si="8"/>
        <v>41.66</v>
      </c>
      <c r="Q60" s="2">
        <f t="shared" si="9"/>
        <v>4450.91</v>
      </c>
      <c r="R60" s="2">
        <f t="shared" si="10"/>
        <v>476.69</v>
      </c>
      <c r="S60" s="2">
        <f t="shared" si="11"/>
        <v>129.65</v>
      </c>
      <c r="T60" s="2">
        <f t="shared" si="12"/>
        <v>20.420000000000002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>
        <v>5003</v>
      </c>
      <c r="AA60" s="12" t="s">
        <v>232</v>
      </c>
      <c r="AB60" s="46" t="s">
        <v>97</v>
      </c>
      <c r="AC60">
        <f t="shared" si="52"/>
        <v>509</v>
      </c>
      <c r="AD60" s="2">
        <v>0</v>
      </c>
      <c r="AE60">
        <v>0</v>
      </c>
      <c r="AF60">
        <v>0</v>
      </c>
      <c r="AG60">
        <v>0</v>
      </c>
      <c r="AI60">
        <v>1</v>
      </c>
      <c r="AJ60" s="1">
        <f t="shared" si="3"/>
        <v>476.6552661606317</v>
      </c>
      <c r="AK60">
        <v>12</v>
      </c>
      <c r="AL60">
        <f t="shared" si="14"/>
        <v>388.96000000000004</v>
      </c>
      <c r="AM60">
        <f t="shared" si="15"/>
        <v>19.836960000000001</v>
      </c>
      <c r="AN60">
        <f t="shared" si="16"/>
        <v>4450.9090909090901</v>
      </c>
      <c r="AO60">
        <f t="shared" si="17"/>
        <v>226.99636363636358</v>
      </c>
      <c r="AP60">
        <f t="shared" si="18"/>
        <v>129.65333333333334</v>
      </c>
      <c r="AQ60">
        <f t="shared" si="19"/>
        <v>9.7240000000000002</v>
      </c>
      <c r="AR60">
        <f t="shared" si="53"/>
        <v>1.3</v>
      </c>
      <c r="AS60">
        <f t="shared" si="54"/>
        <v>1.5</v>
      </c>
      <c r="AT60">
        <f t="shared" si="55"/>
        <v>3</v>
      </c>
      <c r="AU60">
        <f t="shared" si="42"/>
        <v>5</v>
      </c>
      <c r="AV60">
        <v>1</v>
      </c>
      <c r="AW60">
        <v>0</v>
      </c>
      <c r="AX60">
        <v>1.1000000000000001</v>
      </c>
      <c r="BB60" s="20">
        <v>5</v>
      </c>
      <c r="BC60" s="21" t="s">
        <v>233</v>
      </c>
      <c r="BD60" s="58">
        <v>1.1000000000000001</v>
      </c>
      <c r="BE60" s="20">
        <f t="shared" si="56"/>
        <v>0.90909090909090906</v>
      </c>
      <c r="BF60" s="22">
        <v>3</v>
      </c>
      <c r="BG60" s="23">
        <v>1.3</v>
      </c>
      <c r="BH60" s="25">
        <f t="shared" si="57"/>
        <v>114.39999999999999</v>
      </c>
      <c r="BI60" s="25">
        <f t="shared" si="58"/>
        <v>1309.090909090909</v>
      </c>
      <c r="BJ60" s="25">
        <f t="shared" si="59"/>
        <v>38.133333333333333</v>
      </c>
      <c r="BK60">
        <v>3</v>
      </c>
      <c r="BL60">
        <f t="shared" si="60"/>
        <v>87.999999999999986</v>
      </c>
      <c r="BM60">
        <f t="shared" si="61"/>
        <v>1</v>
      </c>
      <c r="BN60" s="20">
        <v>30</v>
      </c>
      <c r="BO60">
        <f t="shared" si="62"/>
        <v>1.3333333333333333</v>
      </c>
      <c r="BP60" s="20">
        <v>40</v>
      </c>
      <c r="BU60">
        <v>11</v>
      </c>
      <c r="BV60">
        <v>11</v>
      </c>
      <c r="BW60">
        <v>220</v>
      </c>
      <c r="BX60" s="29">
        <v>0.2</v>
      </c>
      <c r="BY60" s="29">
        <v>0.05</v>
      </c>
      <c r="CD60" s="2" t="s">
        <v>134</v>
      </c>
      <c r="CE60" t="s">
        <v>137</v>
      </c>
      <c r="CG60" s="2" t="s">
        <v>134</v>
      </c>
      <c r="CH60" t="s">
        <v>137</v>
      </c>
    </row>
    <row r="61" spans="1:86">
      <c r="A61" s="2">
        <v>509</v>
      </c>
      <c r="B61" t="s">
        <v>148</v>
      </c>
      <c r="C61">
        <v>0</v>
      </c>
      <c r="D61">
        <v>12</v>
      </c>
      <c r="E61">
        <v>1</v>
      </c>
      <c r="F61">
        <v>0</v>
      </c>
      <c r="G61" t="s">
        <v>149</v>
      </c>
      <c r="H61" t="s">
        <v>149</v>
      </c>
      <c r="I61" s="2">
        <v>0</v>
      </c>
      <c r="J61" s="2">
        <v>0</v>
      </c>
      <c r="K61" s="2">
        <f t="shared" si="0"/>
        <v>3</v>
      </c>
      <c r="L61" s="2">
        <f t="shared" si="51"/>
        <v>1.3</v>
      </c>
      <c r="M61" s="2">
        <f t="shared" si="51"/>
        <v>1.5</v>
      </c>
      <c r="N61" s="2">
        <v>10</v>
      </c>
      <c r="O61" s="2">
        <f t="shared" si="7"/>
        <v>423.28</v>
      </c>
      <c r="P61" s="2">
        <f t="shared" si="8"/>
        <v>47.49</v>
      </c>
      <c r="Q61" s="2">
        <f t="shared" si="9"/>
        <v>4843.6400000000003</v>
      </c>
      <c r="R61" s="2">
        <f t="shared" si="10"/>
        <v>543.46</v>
      </c>
      <c r="S61" s="2">
        <f t="shared" si="11"/>
        <v>141.09</v>
      </c>
      <c r="T61" s="2">
        <f t="shared" si="12"/>
        <v>23.28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>
        <v>5003</v>
      </c>
      <c r="AA61" s="12" t="s">
        <v>234</v>
      </c>
      <c r="AB61" s="46" t="s">
        <v>97</v>
      </c>
      <c r="AC61">
        <f t="shared" si="52"/>
        <v>510</v>
      </c>
      <c r="AD61" s="2">
        <v>0</v>
      </c>
      <c r="AE61">
        <v>0</v>
      </c>
      <c r="AF61">
        <v>0</v>
      </c>
      <c r="AG61">
        <v>0</v>
      </c>
      <c r="AI61">
        <v>1</v>
      </c>
      <c r="AJ61" s="1">
        <f t="shared" si="3"/>
        <v>565.9137197096951</v>
      </c>
      <c r="AK61">
        <v>13</v>
      </c>
      <c r="AL61">
        <f t="shared" si="14"/>
        <v>423.28000000000009</v>
      </c>
      <c r="AM61">
        <f t="shared" si="15"/>
        <v>21.587280000000003</v>
      </c>
      <c r="AN61">
        <f t="shared" si="16"/>
        <v>4843.636363636364</v>
      </c>
      <c r="AO61">
        <f t="shared" si="17"/>
        <v>247.02545454545455</v>
      </c>
      <c r="AP61">
        <f t="shared" si="18"/>
        <v>141.09333333333336</v>
      </c>
      <c r="AQ61">
        <f t="shared" si="19"/>
        <v>10.582000000000003</v>
      </c>
      <c r="AR61">
        <f t="shared" si="53"/>
        <v>1.3</v>
      </c>
      <c r="AS61">
        <f t="shared" si="54"/>
        <v>1.5</v>
      </c>
      <c r="AT61">
        <f t="shared" si="55"/>
        <v>3</v>
      </c>
      <c r="AU61">
        <f t="shared" si="42"/>
        <v>5</v>
      </c>
      <c r="AV61">
        <v>1</v>
      </c>
      <c r="AW61">
        <v>0</v>
      </c>
      <c r="AX61">
        <v>1.2</v>
      </c>
      <c r="BU61">
        <v>12</v>
      </c>
      <c r="BV61">
        <v>12</v>
      </c>
      <c r="BW61">
        <v>240</v>
      </c>
      <c r="BX61" s="29">
        <v>0.2</v>
      </c>
      <c r="BY61" s="29">
        <v>0.05</v>
      </c>
      <c r="CD61" s="2" t="s">
        <v>138</v>
      </c>
      <c r="CE61" t="s">
        <v>142</v>
      </c>
      <c r="CG61" s="2" t="s">
        <v>138</v>
      </c>
      <c r="CH61" t="s">
        <v>142</v>
      </c>
    </row>
    <row r="62" spans="1:86">
      <c r="A62" s="2">
        <v>510</v>
      </c>
      <c r="B62" t="s">
        <v>153</v>
      </c>
      <c r="C62">
        <v>0</v>
      </c>
      <c r="D62">
        <v>13</v>
      </c>
      <c r="E62">
        <v>1</v>
      </c>
      <c r="F62">
        <v>0</v>
      </c>
      <c r="G62" t="s">
        <v>154</v>
      </c>
      <c r="H62" t="s">
        <v>154</v>
      </c>
      <c r="I62" s="2">
        <v>0</v>
      </c>
      <c r="J62" s="2">
        <v>0</v>
      </c>
      <c r="K62" s="2">
        <f t="shared" si="0"/>
        <v>3</v>
      </c>
      <c r="L62" s="2">
        <f t="shared" si="51"/>
        <v>1.3</v>
      </c>
      <c r="M62" s="2">
        <f t="shared" si="51"/>
        <v>1.5</v>
      </c>
      <c r="N62" s="2">
        <v>10</v>
      </c>
      <c r="O62" s="2">
        <f t="shared" si="7"/>
        <v>457.6</v>
      </c>
      <c r="P62" s="2">
        <f t="shared" si="8"/>
        <v>53.68</v>
      </c>
      <c r="Q62" s="2">
        <f t="shared" si="9"/>
        <v>5236.3599999999997</v>
      </c>
      <c r="R62" s="2">
        <f t="shared" si="10"/>
        <v>614.23</v>
      </c>
      <c r="S62" s="2">
        <f t="shared" si="11"/>
        <v>152.53</v>
      </c>
      <c r="T62" s="2">
        <f t="shared" si="12"/>
        <v>26.31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>
        <v>5003</v>
      </c>
      <c r="AA62" s="12" t="s">
        <v>234</v>
      </c>
      <c r="AB62" s="46" t="s">
        <v>97</v>
      </c>
      <c r="AC62">
        <f t="shared" si="52"/>
        <v>511</v>
      </c>
      <c r="AD62" s="2">
        <v>0</v>
      </c>
      <c r="AE62">
        <v>0</v>
      </c>
      <c r="AF62">
        <v>0</v>
      </c>
      <c r="AG62">
        <v>0</v>
      </c>
      <c r="AI62">
        <v>1</v>
      </c>
      <c r="AJ62" s="1">
        <f t="shared" si="3"/>
        <v>663.08585706172005</v>
      </c>
      <c r="AK62">
        <v>14</v>
      </c>
      <c r="AL62">
        <f t="shared" si="14"/>
        <v>457.60000000000008</v>
      </c>
      <c r="AM62">
        <f t="shared" si="15"/>
        <v>23.337600000000002</v>
      </c>
      <c r="AN62">
        <f t="shared" si="16"/>
        <v>5236.363636363636</v>
      </c>
      <c r="AO62">
        <f t="shared" si="17"/>
        <v>267.0545454545454</v>
      </c>
      <c r="AP62">
        <f t="shared" si="18"/>
        <v>152.53333333333336</v>
      </c>
      <c r="AQ62">
        <f t="shared" si="19"/>
        <v>11.440000000000001</v>
      </c>
      <c r="AR62">
        <f t="shared" si="53"/>
        <v>1.3</v>
      </c>
      <c r="AS62">
        <f t="shared" si="54"/>
        <v>1.5</v>
      </c>
      <c r="AT62">
        <f t="shared" si="55"/>
        <v>3</v>
      </c>
      <c r="AU62">
        <f t="shared" si="42"/>
        <v>5</v>
      </c>
      <c r="AV62">
        <v>1</v>
      </c>
      <c r="AW62">
        <v>0</v>
      </c>
      <c r="AX62">
        <v>1.3</v>
      </c>
      <c r="BU62">
        <v>13</v>
      </c>
      <c r="BV62">
        <v>13</v>
      </c>
      <c r="BW62">
        <v>260</v>
      </c>
      <c r="BX62" s="29">
        <v>0.2</v>
      </c>
      <c r="BY62" s="29">
        <v>0.05</v>
      </c>
      <c r="CD62" s="2" t="s">
        <v>143</v>
      </c>
      <c r="CE62" t="s">
        <v>147</v>
      </c>
      <c r="CG62" s="2" t="s">
        <v>143</v>
      </c>
      <c r="CH62" t="s">
        <v>147</v>
      </c>
    </row>
    <row r="63" spans="1:86">
      <c r="A63" s="2">
        <v>511</v>
      </c>
      <c r="B63" t="s">
        <v>157</v>
      </c>
      <c r="C63">
        <v>0</v>
      </c>
      <c r="D63">
        <v>14</v>
      </c>
      <c r="E63">
        <v>1</v>
      </c>
      <c r="F63">
        <v>0</v>
      </c>
      <c r="G63" t="s">
        <v>158</v>
      </c>
      <c r="H63" t="s">
        <v>158</v>
      </c>
      <c r="I63" s="2">
        <v>0</v>
      </c>
      <c r="J63" s="2">
        <v>0</v>
      </c>
      <c r="K63" s="2">
        <f t="shared" si="0"/>
        <v>3</v>
      </c>
      <c r="L63" s="2">
        <f t="shared" si="51"/>
        <v>1.3</v>
      </c>
      <c r="M63" s="2">
        <f t="shared" si="51"/>
        <v>1.5</v>
      </c>
      <c r="N63" s="2">
        <v>10</v>
      </c>
      <c r="O63" s="2">
        <f t="shared" si="7"/>
        <v>491.92</v>
      </c>
      <c r="P63" s="2">
        <f t="shared" si="8"/>
        <v>60.21</v>
      </c>
      <c r="Q63" s="2">
        <f t="shared" si="9"/>
        <v>5629.09</v>
      </c>
      <c r="R63" s="2">
        <f t="shared" si="10"/>
        <v>689</v>
      </c>
      <c r="S63" s="2">
        <f t="shared" si="11"/>
        <v>163.97</v>
      </c>
      <c r="T63" s="2">
        <f t="shared" si="12"/>
        <v>29.52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>
        <v>5003</v>
      </c>
      <c r="AA63" s="12" t="s">
        <v>234</v>
      </c>
      <c r="AB63" s="46" t="s">
        <v>97</v>
      </c>
      <c r="AC63">
        <v>0</v>
      </c>
      <c r="AD63" s="2">
        <v>1</v>
      </c>
      <c r="AE63">
        <v>0</v>
      </c>
      <c r="AF63">
        <v>0</v>
      </c>
      <c r="AG63">
        <v>0</v>
      </c>
      <c r="AI63">
        <v>1</v>
      </c>
      <c r="AJ63" s="1">
        <f t="shared" si="3"/>
        <v>768.23220555362911</v>
      </c>
      <c r="AK63">
        <v>15</v>
      </c>
      <c r="AL63">
        <f t="shared" si="14"/>
        <v>491.92000000000007</v>
      </c>
      <c r="AM63">
        <f t="shared" si="15"/>
        <v>25.08792</v>
      </c>
      <c r="AN63">
        <f t="shared" si="16"/>
        <v>5629.0909090909081</v>
      </c>
      <c r="AO63">
        <f t="shared" si="17"/>
        <v>287.08363636363629</v>
      </c>
      <c r="AP63">
        <f t="shared" si="18"/>
        <v>163.97333333333336</v>
      </c>
      <c r="AQ63">
        <f t="shared" si="19"/>
        <v>12.298000000000002</v>
      </c>
      <c r="AR63">
        <f t="shared" si="53"/>
        <v>1.3</v>
      </c>
      <c r="AS63">
        <f t="shared" si="54"/>
        <v>1.5</v>
      </c>
      <c r="AT63">
        <f t="shared" si="55"/>
        <v>3</v>
      </c>
      <c r="AU63">
        <f t="shared" si="42"/>
        <v>5</v>
      </c>
      <c r="AV63">
        <v>1</v>
      </c>
      <c r="AW63">
        <v>0</v>
      </c>
      <c r="AX63">
        <v>1.4</v>
      </c>
      <c r="CD63" s="2" t="s">
        <v>148</v>
      </c>
      <c r="CE63" t="s">
        <v>152</v>
      </c>
      <c r="CG63" s="2" t="s">
        <v>148</v>
      </c>
      <c r="CH63" t="s">
        <v>152</v>
      </c>
    </row>
    <row r="64" spans="1:86">
      <c r="A64">
        <f t="shared" ref="A64:A127" si="63">AW64*1000000+D64*10000+F64*1000+E64*100+AV64</f>
        <v>1011203</v>
      </c>
      <c r="B64" s="3" t="s">
        <v>235</v>
      </c>
      <c r="C64">
        <v>0</v>
      </c>
      <c r="D64">
        <v>1</v>
      </c>
      <c r="E64">
        <v>2</v>
      </c>
      <c r="F64">
        <v>1</v>
      </c>
      <c r="G64" s="3" t="s">
        <v>236</v>
      </c>
      <c r="H64" s="4" t="s">
        <v>237</v>
      </c>
      <c r="I64">
        <v>0</v>
      </c>
      <c r="J64" s="2">
        <v>0</v>
      </c>
      <c r="K64" s="2">
        <f t="shared" si="0"/>
        <v>3</v>
      </c>
      <c r="L64" s="2">
        <f t="shared" ref="L64:L127" si="64">FLOOR(AR64/1,0.01)</f>
        <v>1.3</v>
      </c>
      <c r="M64" s="2">
        <f t="shared" ref="M64:M127" si="65">FLOOR(AS64/1,0.01)</f>
        <v>1.9000000000000001</v>
      </c>
      <c r="N64" s="2">
        <v>10</v>
      </c>
      <c r="O64" s="2">
        <f t="shared" ref="O64:T64" si="66">ROUND(AL64*(1+$AX64),2)</f>
        <v>98.8</v>
      </c>
      <c r="P64" s="2">
        <f t="shared" si="66"/>
        <v>5.04</v>
      </c>
      <c r="Q64" s="2">
        <f t="shared" si="66"/>
        <v>1515.79</v>
      </c>
      <c r="R64" s="2">
        <f t="shared" si="66"/>
        <v>77.31</v>
      </c>
      <c r="S64" s="2">
        <f t="shared" si="66"/>
        <v>19.760000000000002</v>
      </c>
      <c r="T64" s="2">
        <f t="shared" si="66"/>
        <v>1.48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13">
        <v>112031</v>
      </c>
      <c r="AA64" s="14">
        <v>0</v>
      </c>
      <c r="AB64" s="12" t="s">
        <v>238</v>
      </c>
      <c r="AC64" s="2">
        <v>0</v>
      </c>
      <c r="AD64" s="53">
        <v>1</v>
      </c>
      <c r="AE64">
        <v>0</v>
      </c>
      <c r="AF64">
        <v>0</v>
      </c>
      <c r="AG64">
        <v>0</v>
      </c>
      <c r="AI64">
        <v>1</v>
      </c>
      <c r="AJ64" s="1">
        <f t="shared" ref="AJ64:AJ122" si="67">(AN64+AO64*AI64)*(AL64+AM64*AI64)/AR64*(0.9)*(1+0.5*0.1)*1/1/(1-(AP64+AQ64*AI64)*0.0002)/3000</f>
        <v>40.254779493198896</v>
      </c>
      <c r="AK64">
        <v>1</v>
      </c>
      <c r="AL64">
        <f>INDEX($BD$5:$BD$60,MATCH($AU64,$BB$5:$BB$60,0))*$AR64/1.5*$BH$4*INDEX($BD$106:$BQ$106,MATCH($AK64,$BD$105:$BQ$105,0))</f>
        <v>98.799999999999983</v>
      </c>
      <c r="AM64">
        <f>(INDEX($BD$5:$BD$56,MATCH($AU64,$BB$5:$BB$56,0))*$AR64/1.5*$BH$4*INDEX($BD$106:$BQ$106,MATCH($AK64,$BD$105:$BQ$105,0)))*0.051</f>
        <v>5.0387999999999984</v>
      </c>
      <c r="AN64">
        <f>INDEX($BE$5:$BE$60,MATCH($AU64,$BB$5:$BB$60,0))*$BI$4*INDEX($BD$106:$BQ$106,MATCH($AK64,$BD$105:$BQ$105,0))</f>
        <v>1515.7894736842104</v>
      </c>
      <c r="AO64">
        <f>(INDEX($BE$5:$BE$60,MATCH($AU64,$BB$5:$BB$60,0))*$BI$4*INDEX($BD$106:$BQ$106,MATCH($AK64,$BD$105:$BQ$105,0)))*0.051</f>
        <v>77.305263157894728</v>
      </c>
      <c r="AP64">
        <f t="shared" si="18"/>
        <v>19.759999999999998</v>
      </c>
      <c r="AQ64">
        <f>AP64*0.075</f>
        <v>1.4819999999999998</v>
      </c>
      <c r="AR64">
        <f t="shared" ref="AR64:AR65" si="68">INDEX($BG$5:$BG$60,MATCH($AU64,$BB$5:$BB$60,0))</f>
        <v>1.3</v>
      </c>
      <c r="AS64">
        <f t="shared" ref="AS64:AS80" si="69">ROUND(IF(INDEX($BO$5:$BO$60,MATCH($AU64,$BB$5:$BB$60,0))&lt;2,INDEX($BO$5:$BO$60,MATCH($AU64,$BB$5:$BB$60,0))+0.2,2),1)</f>
        <v>1.9</v>
      </c>
      <c r="AT64">
        <f t="shared" ref="AT64:AT80" si="70">INDEX($BK$5:$BK$60,MATCH($AU64,$BB$5:$BB$60,0))</f>
        <v>3</v>
      </c>
      <c r="AU64">
        <v>203</v>
      </c>
      <c r="AV64" s="1">
        <v>3</v>
      </c>
      <c r="AW64">
        <v>1</v>
      </c>
      <c r="AX64">
        <v>0</v>
      </c>
      <c r="AZ64">
        <v>2</v>
      </c>
      <c r="BA64">
        <v>1</v>
      </c>
      <c r="CD64" s="2" t="s">
        <v>153</v>
      </c>
      <c r="CE64" t="s">
        <v>156</v>
      </c>
      <c r="CG64" s="2" t="s">
        <v>153</v>
      </c>
      <c r="CH64" t="s">
        <v>156</v>
      </c>
    </row>
    <row r="65" spans="1:86">
      <c r="A65">
        <f t="shared" si="63"/>
        <v>1011403</v>
      </c>
      <c r="B65" s="3" t="s">
        <v>239</v>
      </c>
      <c r="C65">
        <v>0</v>
      </c>
      <c r="D65">
        <v>1</v>
      </c>
      <c r="E65">
        <v>4</v>
      </c>
      <c r="F65">
        <v>1</v>
      </c>
      <c r="G65" s="3" t="s">
        <v>240</v>
      </c>
      <c r="H65" s="4" t="s">
        <v>241</v>
      </c>
      <c r="I65" s="2">
        <v>0</v>
      </c>
      <c r="J65" s="2" t="s">
        <v>161</v>
      </c>
      <c r="K65" s="2">
        <f t="shared" si="0"/>
        <v>6</v>
      </c>
      <c r="L65" s="2">
        <f t="shared" si="64"/>
        <v>1.3</v>
      </c>
      <c r="M65" s="2">
        <f t="shared" si="65"/>
        <v>1.9000000000000001</v>
      </c>
      <c r="N65" s="2">
        <v>10</v>
      </c>
      <c r="O65" s="2">
        <f t="shared" ref="O65:T65" si="71">ROUND(AL65*(1+$AX65),2)</f>
        <v>124.8</v>
      </c>
      <c r="P65" s="2">
        <f t="shared" si="71"/>
        <v>6.36</v>
      </c>
      <c r="Q65" s="2">
        <f t="shared" si="71"/>
        <v>1200</v>
      </c>
      <c r="R65" s="2">
        <f t="shared" si="71"/>
        <v>61.2</v>
      </c>
      <c r="S65" s="2">
        <f t="shared" si="71"/>
        <v>12.48</v>
      </c>
      <c r="T65" s="2">
        <f t="shared" si="71"/>
        <v>0.94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13">
        <v>114031</v>
      </c>
      <c r="AA65" s="14">
        <v>0</v>
      </c>
      <c r="AB65" s="12" t="s">
        <v>238</v>
      </c>
      <c r="AC65" s="2">
        <v>0</v>
      </c>
      <c r="AD65" s="53">
        <v>1</v>
      </c>
      <c r="AE65">
        <v>0</v>
      </c>
      <c r="AF65">
        <v>0</v>
      </c>
      <c r="AG65">
        <v>0</v>
      </c>
      <c r="AI65">
        <v>1</v>
      </c>
      <c r="AJ65" s="1">
        <f t="shared" si="67"/>
        <v>40.191603197700083</v>
      </c>
      <c r="AK65">
        <v>1</v>
      </c>
      <c r="AL65">
        <f t="shared" ref="AL65:AL128" si="72">INDEX($BD$5:$BD$60,MATCH($AU65,$BB$5:$BB$60,0))*$AR65/1.5*$BH$4*INDEX($BD$106:$BQ$106,MATCH($AK65,$BD$105:$BQ$105,0))</f>
        <v>124.80000000000001</v>
      </c>
      <c r="AM65">
        <f t="shared" ref="AM65:AM128" si="73">(INDEX($BD$5:$BD$56,MATCH($AU65,$BB$5:$BB$56,0))*$AR65/1.5*$BH$4*INDEX($BD$106:$BQ$106,MATCH($AK65,$BD$105:$BQ$105,0)))*0.051</f>
        <v>6.3647999999999998</v>
      </c>
      <c r="AN65">
        <f t="shared" ref="AN65:AN128" si="74">INDEX($BE$5:$BE$60,MATCH($AU65,$BB$5:$BB$60,0))*$BI$4*INDEX($BD$106:$BQ$106,MATCH($AK65,$BD$105:$BQ$105,0))</f>
        <v>1200</v>
      </c>
      <c r="AO65">
        <f t="shared" ref="AO65:AO128" si="75">(INDEX($BE$5:$BE$60,MATCH($AU65,$BB$5:$BB$60,0))*$BI$4*INDEX($BD$106:$BQ$106,MATCH($AK65,$BD$105:$BQ$105,0)))*0.051</f>
        <v>61.199999999999996</v>
      </c>
      <c r="AP65">
        <f t="shared" ref="AP65:AP128" si="76">$AL65/INDEX($BF$5:$BF$60,MATCH($AU65,$BB$5:$BB$60,0))</f>
        <v>12.48</v>
      </c>
      <c r="AQ65">
        <f t="shared" ref="AQ65:AQ128" si="77">AP65*0.075</f>
        <v>0.93599999999999994</v>
      </c>
      <c r="AR65">
        <f t="shared" si="68"/>
        <v>1.3</v>
      </c>
      <c r="AS65">
        <f t="shared" si="69"/>
        <v>1.9</v>
      </c>
      <c r="AT65">
        <f t="shared" si="70"/>
        <v>6</v>
      </c>
      <c r="AU65">
        <v>403</v>
      </c>
      <c r="AV65" s="1">
        <v>3</v>
      </c>
      <c r="AW65">
        <v>1</v>
      </c>
      <c r="AX65">
        <v>0</v>
      </c>
      <c r="AZ65">
        <v>4</v>
      </c>
      <c r="BA65">
        <v>1</v>
      </c>
      <c r="CD65" s="2" t="s">
        <v>157</v>
      </c>
      <c r="CE65" t="s">
        <v>160</v>
      </c>
      <c r="CG65" s="2" t="s">
        <v>157</v>
      </c>
      <c r="CH65" t="s">
        <v>160</v>
      </c>
    </row>
    <row r="66" spans="1:86">
      <c r="A66">
        <f t="shared" si="63"/>
        <v>1012205</v>
      </c>
      <c r="B66" s="3" t="s">
        <v>242</v>
      </c>
      <c r="C66">
        <v>0</v>
      </c>
      <c r="D66">
        <v>1</v>
      </c>
      <c r="E66">
        <v>2</v>
      </c>
      <c r="F66">
        <v>2</v>
      </c>
      <c r="G66" s="3" t="s">
        <v>243</v>
      </c>
      <c r="H66" s="4" t="s">
        <v>244</v>
      </c>
      <c r="I66">
        <v>0</v>
      </c>
      <c r="J66" s="2">
        <v>0</v>
      </c>
      <c r="K66" s="2">
        <f t="shared" ref="K66:K87" si="78">AT66</f>
        <v>3</v>
      </c>
      <c r="L66" s="2">
        <f t="shared" si="64"/>
        <v>1.8</v>
      </c>
      <c r="M66" s="2">
        <f t="shared" si="65"/>
        <v>2</v>
      </c>
      <c r="N66" s="2">
        <v>10</v>
      </c>
      <c r="O66" s="2">
        <f t="shared" ref="O66:T66" si="79">ROUND(AL66*(1+$AX66),2)</f>
        <v>151.19999999999999</v>
      </c>
      <c r="P66" s="2">
        <f t="shared" si="79"/>
        <v>7.71</v>
      </c>
      <c r="Q66" s="2">
        <f t="shared" si="79"/>
        <v>1371.43</v>
      </c>
      <c r="R66" s="2">
        <f t="shared" si="79"/>
        <v>69.94</v>
      </c>
      <c r="S66" s="2">
        <f t="shared" si="79"/>
        <v>30.24</v>
      </c>
      <c r="T66" s="2">
        <f t="shared" si="79"/>
        <v>2.27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13">
        <v>122051</v>
      </c>
      <c r="AA66" s="14">
        <v>0</v>
      </c>
      <c r="AB66" s="12" t="s">
        <v>238</v>
      </c>
      <c r="AC66" s="2">
        <v>0</v>
      </c>
      <c r="AD66" s="53">
        <v>1</v>
      </c>
      <c r="AE66">
        <v>0</v>
      </c>
      <c r="AF66">
        <v>0</v>
      </c>
      <c r="AG66">
        <v>0</v>
      </c>
      <c r="AI66">
        <v>1</v>
      </c>
      <c r="AJ66" s="1">
        <f t="shared" si="67"/>
        <v>40.346075130065621</v>
      </c>
      <c r="AK66">
        <v>1</v>
      </c>
      <c r="AL66">
        <f t="shared" si="72"/>
        <v>151.19999999999999</v>
      </c>
      <c r="AM66">
        <f t="shared" si="73"/>
        <v>7.7111999999999989</v>
      </c>
      <c r="AN66">
        <f t="shared" si="74"/>
        <v>1371.4285714285713</v>
      </c>
      <c r="AO66">
        <f t="shared" si="75"/>
        <v>69.942857142857136</v>
      </c>
      <c r="AP66">
        <f t="shared" si="76"/>
        <v>30.24</v>
      </c>
      <c r="AQ66">
        <f t="shared" si="77"/>
        <v>2.2679999999999998</v>
      </c>
      <c r="AR66">
        <f t="shared" ref="AR66:AR129" si="80">INDEX($BG$5:$BG$60,MATCH($AU66,$BB$5:$BB$60,0))</f>
        <v>1.8</v>
      </c>
      <c r="AS66">
        <f t="shared" si="69"/>
        <v>2</v>
      </c>
      <c r="AT66">
        <f t="shared" si="70"/>
        <v>3</v>
      </c>
      <c r="AU66">
        <v>205</v>
      </c>
      <c r="AV66" s="1">
        <v>5</v>
      </c>
      <c r="AW66">
        <v>1</v>
      </c>
      <c r="AX66">
        <v>0</v>
      </c>
      <c r="AZ66">
        <v>2</v>
      </c>
      <c r="BA66">
        <v>2</v>
      </c>
      <c r="BU66" s="57"/>
      <c r="BV66" s="57" t="s">
        <v>1738</v>
      </c>
      <c r="BW66" s="57" t="s">
        <v>1739</v>
      </c>
      <c r="BX66" s="47"/>
      <c r="BY66" s="57" t="s">
        <v>1753</v>
      </c>
      <c r="BZ66" s="57" t="s">
        <v>1754</v>
      </c>
      <c r="CD66" s="2" t="s">
        <v>245</v>
      </c>
      <c r="CE66" s="3" t="s">
        <v>246</v>
      </c>
      <c r="CG66" t="str">
        <f>INDEX($CD$66:$CD$107,MATCH($CH66,$CE$66:$CE$107,0))</f>
        <v>DATA_Class_Base7</v>
      </c>
      <c r="CH66" s="3" t="s">
        <v>205</v>
      </c>
    </row>
    <row r="67" spans="1:86">
      <c r="A67">
        <f t="shared" si="63"/>
        <v>1012405</v>
      </c>
      <c r="B67" s="3" t="s">
        <v>247</v>
      </c>
      <c r="C67">
        <v>0</v>
      </c>
      <c r="D67">
        <v>1</v>
      </c>
      <c r="E67">
        <v>4</v>
      </c>
      <c r="F67">
        <v>2</v>
      </c>
      <c r="G67" s="3" t="s">
        <v>248</v>
      </c>
      <c r="H67" s="3" t="s">
        <v>249</v>
      </c>
      <c r="I67">
        <v>0</v>
      </c>
      <c r="J67" s="2" t="s">
        <v>250</v>
      </c>
      <c r="K67" s="2">
        <f t="shared" si="78"/>
        <v>6</v>
      </c>
      <c r="L67" s="2">
        <f t="shared" si="64"/>
        <v>1.5</v>
      </c>
      <c r="M67" s="2">
        <f t="shared" si="65"/>
        <v>1.5</v>
      </c>
      <c r="N67" s="2">
        <v>10</v>
      </c>
      <c r="O67" s="2">
        <f t="shared" ref="O67:T67" si="81">ROUND(AL67*(1+$AX67),2)</f>
        <v>150</v>
      </c>
      <c r="P67" s="2">
        <f t="shared" si="81"/>
        <v>7.65</v>
      </c>
      <c r="Q67" s="2">
        <f t="shared" si="81"/>
        <v>1152</v>
      </c>
      <c r="R67" s="2">
        <f t="shared" si="81"/>
        <v>58.75</v>
      </c>
      <c r="S67" s="2">
        <f t="shared" si="81"/>
        <v>15</v>
      </c>
      <c r="T67" s="2">
        <f t="shared" si="81"/>
        <v>1.1299999999999999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13">
        <v>124051</v>
      </c>
      <c r="AA67" s="14">
        <v>0</v>
      </c>
      <c r="AB67" s="12" t="s">
        <v>238</v>
      </c>
      <c r="AC67" s="2">
        <v>0</v>
      </c>
      <c r="AD67" s="53">
        <v>1</v>
      </c>
      <c r="AE67">
        <v>0</v>
      </c>
      <c r="AF67">
        <v>0</v>
      </c>
      <c r="AG67">
        <v>0</v>
      </c>
      <c r="AI67">
        <v>1</v>
      </c>
      <c r="AJ67" s="1">
        <f t="shared" si="67"/>
        <v>40.213449462516614</v>
      </c>
      <c r="AK67">
        <v>1</v>
      </c>
      <c r="AL67">
        <f t="shared" si="72"/>
        <v>150</v>
      </c>
      <c r="AM67">
        <f t="shared" si="73"/>
        <v>7.6499999999999995</v>
      </c>
      <c r="AN67">
        <f t="shared" si="74"/>
        <v>1152</v>
      </c>
      <c r="AO67">
        <f t="shared" si="75"/>
        <v>58.751999999999995</v>
      </c>
      <c r="AP67">
        <f t="shared" si="76"/>
        <v>15</v>
      </c>
      <c r="AQ67">
        <f t="shared" si="77"/>
        <v>1.125</v>
      </c>
      <c r="AR67">
        <f t="shared" si="80"/>
        <v>1.5</v>
      </c>
      <c r="AS67">
        <f t="shared" si="69"/>
        <v>1.5</v>
      </c>
      <c r="AT67">
        <f t="shared" si="70"/>
        <v>6</v>
      </c>
      <c r="AU67">
        <v>405</v>
      </c>
      <c r="AV67" s="1">
        <v>5</v>
      </c>
      <c r="AW67">
        <v>1</v>
      </c>
      <c r="AX67">
        <v>0</v>
      </c>
      <c r="AZ67">
        <v>4</v>
      </c>
      <c r="BA67">
        <v>2</v>
      </c>
      <c r="BU67" s="57" t="s">
        <v>1737</v>
      </c>
      <c r="BV67" s="57" t="s">
        <v>1740</v>
      </c>
      <c r="BW67" s="57" t="s">
        <v>1740</v>
      </c>
      <c r="BX67">
        <v>1</v>
      </c>
      <c r="BY67">
        <v>20</v>
      </c>
      <c r="BZ67">
        <v>1000</v>
      </c>
      <c r="CD67" s="2" t="s">
        <v>251</v>
      </c>
      <c r="CE67" s="3" t="s">
        <v>252</v>
      </c>
      <c r="CG67" t="str">
        <f t="shared" ref="CG67:CG130" si="82">INDEX($CD$66:$CD$107,MATCH($CH67,$CE$66:$CE$107,0))</f>
        <v>DATA_Class_Base8</v>
      </c>
      <c r="CH67" s="3" t="s">
        <v>216</v>
      </c>
    </row>
    <row r="68" spans="1:86">
      <c r="A68">
        <f t="shared" si="63"/>
        <v>1013303</v>
      </c>
      <c r="B68" s="3" t="s">
        <v>253</v>
      </c>
      <c r="C68">
        <v>0</v>
      </c>
      <c r="D68">
        <v>1</v>
      </c>
      <c r="E68">
        <v>3</v>
      </c>
      <c r="F68">
        <v>3</v>
      </c>
      <c r="G68" s="3" t="s">
        <v>254</v>
      </c>
      <c r="H68" s="3" t="s">
        <v>255</v>
      </c>
      <c r="I68" s="2">
        <v>0</v>
      </c>
      <c r="J68" s="2">
        <v>0</v>
      </c>
      <c r="K68" s="2">
        <f t="shared" si="78"/>
        <v>3</v>
      </c>
      <c r="L68" s="2">
        <f t="shared" si="64"/>
        <v>1.3</v>
      </c>
      <c r="M68" s="2">
        <f t="shared" si="65"/>
        <v>1.4000000000000001</v>
      </c>
      <c r="N68" s="2">
        <v>10</v>
      </c>
      <c r="O68" s="2">
        <f t="shared" ref="O68:T68" si="83">ROUND(AL68*(1+$AX68),2)</f>
        <v>114.4</v>
      </c>
      <c r="P68" s="2">
        <f t="shared" si="83"/>
        <v>5.83</v>
      </c>
      <c r="Q68" s="2">
        <f t="shared" si="83"/>
        <v>1309.0899999999999</v>
      </c>
      <c r="R68" s="2">
        <f t="shared" si="83"/>
        <v>66.760000000000005</v>
      </c>
      <c r="S68" s="2">
        <f t="shared" si="83"/>
        <v>14.3</v>
      </c>
      <c r="T68" s="2">
        <f t="shared" si="83"/>
        <v>1.07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13">
        <v>133031</v>
      </c>
      <c r="AA68" s="14">
        <v>0</v>
      </c>
      <c r="AB68" s="12" t="s">
        <v>238</v>
      </c>
      <c r="AC68" s="2">
        <v>0</v>
      </c>
      <c r="AD68" s="53">
        <v>1</v>
      </c>
      <c r="AE68">
        <v>0</v>
      </c>
      <c r="AF68">
        <v>0</v>
      </c>
      <c r="AG68">
        <v>0</v>
      </c>
      <c r="AI68">
        <v>1</v>
      </c>
      <c r="AJ68" s="1">
        <f t="shared" si="67"/>
        <v>40.207378673732386</v>
      </c>
      <c r="AK68">
        <v>1</v>
      </c>
      <c r="AL68">
        <f t="shared" si="72"/>
        <v>114.40000000000002</v>
      </c>
      <c r="AM68">
        <f t="shared" si="73"/>
        <v>5.8344000000000005</v>
      </c>
      <c r="AN68">
        <f t="shared" si="74"/>
        <v>1309.090909090909</v>
      </c>
      <c r="AO68">
        <f t="shared" si="75"/>
        <v>66.763636363636351</v>
      </c>
      <c r="AP68">
        <f t="shared" si="76"/>
        <v>14.300000000000002</v>
      </c>
      <c r="AQ68">
        <f t="shared" si="77"/>
        <v>1.0725000000000002</v>
      </c>
      <c r="AR68">
        <f t="shared" si="80"/>
        <v>1.3</v>
      </c>
      <c r="AS68">
        <f t="shared" si="69"/>
        <v>1.4</v>
      </c>
      <c r="AT68">
        <f t="shared" si="70"/>
        <v>3</v>
      </c>
      <c r="AU68">
        <v>303</v>
      </c>
      <c r="AV68" s="1">
        <v>3</v>
      </c>
      <c r="AW68">
        <v>1</v>
      </c>
      <c r="AX68">
        <v>0</v>
      </c>
      <c r="AZ68">
        <v>3</v>
      </c>
      <c r="BA68">
        <v>3</v>
      </c>
      <c r="BU68" s="57" t="s">
        <v>1741</v>
      </c>
      <c r="BV68" s="57" t="s">
        <v>1748</v>
      </c>
      <c r="BW68" s="57" t="s">
        <v>1749</v>
      </c>
      <c r="BX68">
        <v>2</v>
      </c>
      <c r="BY68">
        <v>60</v>
      </c>
      <c r="BZ68">
        <v>10000</v>
      </c>
      <c r="CD68" s="2" t="s">
        <v>242</v>
      </c>
      <c r="CE68" t="s">
        <v>209</v>
      </c>
      <c r="CG68" t="str">
        <f t="shared" si="82"/>
        <v>DATA_Class_Base3</v>
      </c>
      <c r="CH68" s="3" t="s">
        <v>209</v>
      </c>
    </row>
    <row r="69" spans="1:86">
      <c r="A69">
        <f t="shared" si="63"/>
        <v>1013503</v>
      </c>
      <c r="B69" s="3" t="s">
        <v>256</v>
      </c>
      <c r="C69">
        <v>0</v>
      </c>
      <c r="D69">
        <v>1</v>
      </c>
      <c r="E69">
        <v>5</v>
      </c>
      <c r="F69">
        <v>3</v>
      </c>
      <c r="G69" s="3" t="s">
        <v>257</v>
      </c>
      <c r="H69" s="3" t="s">
        <v>258</v>
      </c>
      <c r="I69">
        <v>0</v>
      </c>
      <c r="J69" s="2">
        <v>0</v>
      </c>
      <c r="K69" s="2">
        <f t="shared" si="78"/>
        <v>3</v>
      </c>
      <c r="L69" s="2">
        <f t="shared" si="64"/>
        <v>1.6</v>
      </c>
      <c r="M69" s="2">
        <f t="shared" si="65"/>
        <v>1.5</v>
      </c>
      <c r="N69" s="2">
        <v>10</v>
      </c>
      <c r="O69" s="2">
        <f t="shared" ref="O69:T69" si="84">ROUND(AL69*(1+$AX69),2)</f>
        <v>153.6</v>
      </c>
      <c r="P69" s="2">
        <f t="shared" si="84"/>
        <v>7.83</v>
      </c>
      <c r="Q69" s="2">
        <f t="shared" si="84"/>
        <v>1200</v>
      </c>
      <c r="R69" s="2">
        <f t="shared" si="84"/>
        <v>61.2</v>
      </c>
      <c r="S69" s="2">
        <f t="shared" si="84"/>
        <v>25.6</v>
      </c>
      <c r="T69" s="2">
        <f t="shared" si="84"/>
        <v>1.92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13">
        <v>135041</v>
      </c>
      <c r="AA69" s="14">
        <v>0</v>
      </c>
      <c r="AB69" s="12" t="s">
        <v>238</v>
      </c>
      <c r="AC69" s="2">
        <v>0</v>
      </c>
      <c r="AD69" s="53">
        <v>1</v>
      </c>
      <c r="AE69">
        <v>0</v>
      </c>
      <c r="AF69">
        <v>0</v>
      </c>
      <c r="AG69">
        <v>0</v>
      </c>
      <c r="AI69">
        <v>1</v>
      </c>
      <c r="AJ69" s="1">
        <f t="shared" si="67"/>
        <v>40.305603127614383</v>
      </c>
      <c r="AK69">
        <v>1</v>
      </c>
      <c r="AL69">
        <f t="shared" si="72"/>
        <v>153.6</v>
      </c>
      <c r="AM69">
        <f t="shared" si="73"/>
        <v>7.8335999999999988</v>
      </c>
      <c r="AN69">
        <f t="shared" si="74"/>
        <v>1200</v>
      </c>
      <c r="AO69">
        <f t="shared" si="75"/>
        <v>61.199999999999996</v>
      </c>
      <c r="AP69">
        <f t="shared" si="76"/>
        <v>25.599999999999998</v>
      </c>
      <c r="AQ69">
        <f t="shared" si="77"/>
        <v>1.9199999999999997</v>
      </c>
      <c r="AR69">
        <f t="shared" si="80"/>
        <v>1.6</v>
      </c>
      <c r="AS69">
        <f t="shared" si="69"/>
        <v>1.5</v>
      </c>
      <c r="AT69">
        <f t="shared" si="70"/>
        <v>3</v>
      </c>
      <c r="AU69">
        <v>503</v>
      </c>
      <c r="AV69" s="1">
        <v>3</v>
      </c>
      <c r="AW69">
        <v>1</v>
      </c>
      <c r="AX69">
        <v>0</v>
      </c>
      <c r="AZ69">
        <v>5</v>
      </c>
      <c r="BA69">
        <v>3</v>
      </c>
      <c r="BU69" s="57" t="s">
        <v>1742</v>
      </c>
      <c r="BV69" s="57" t="s">
        <v>1750</v>
      </c>
      <c r="BW69" s="57" t="s">
        <v>1749</v>
      </c>
      <c r="BX69">
        <v>3</v>
      </c>
      <c r="BY69">
        <v>300</v>
      </c>
      <c r="BZ69">
        <v>30000</v>
      </c>
      <c r="CD69" s="2" t="s">
        <v>256</v>
      </c>
      <c r="CE69" t="s">
        <v>259</v>
      </c>
      <c r="CG69" t="str">
        <f t="shared" si="82"/>
        <v>DATA_Class_Base11</v>
      </c>
      <c r="CH69" s="3" t="s">
        <v>218</v>
      </c>
    </row>
    <row r="70" spans="1:86">
      <c r="A70">
        <f t="shared" si="63"/>
        <v>2021206</v>
      </c>
      <c r="B70" s="5" t="s">
        <v>245</v>
      </c>
      <c r="C70">
        <v>0</v>
      </c>
      <c r="D70">
        <v>2</v>
      </c>
      <c r="E70">
        <v>2</v>
      </c>
      <c r="F70">
        <v>1</v>
      </c>
      <c r="G70" s="3" t="s">
        <v>260</v>
      </c>
      <c r="H70" s="3" t="s">
        <v>261</v>
      </c>
      <c r="I70" s="2">
        <v>0</v>
      </c>
      <c r="J70" s="2">
        <v>0</v>
      </c>
      <c r="K70" s="2">
        <f t="shared" si="78"/>
        <v>3</v>
      </c>
      <c r="L70" s="2">
        <f t="shared" si="64"/>
        <v>1.6</v>
      </c>
      <c r="M70" s="2">
        <f t="shared" si="65"/>
        <v>2</v>
      </c>
      <c r="N70" s="2">
        <v>10</v>
      </c>
      <c r="O70" s="2">
        <f t="shared" ref="O70:T70" si="85">ROUND(AL70*(1+$AX70),2)</f>
        <v>140.80000000000001</v>
      </c>
      <c r="P70" s="2">
        <f t="shared" si="85"/>
        <v>7.18</v>
      </c>
      <c r="Q70" s="2">
        <f t="shared" si="85"/>
        <v>1584</v>
      </c>
      <c r="R70" s="2">
        <f t="shared" si="85"/>
        <v>80.78</v>
      </c>
      <c r="S70" s="2">
        <f t="shared" si="85"/>
        <v>28.16</v>
      </c>
      <c r="T70" s="2">
        <f t="shared" si="85"/>
        <v>2.11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13">
        <v>212061</v>
      </c>
      <c r="AA70" s="15" t="s">
        <v>238</v>
      </c>
      <c r="AB70" s="12" t="s">
        <v>238</v>
      </c>
      <c r="AC70" s="2">
        <v>0</v>
      </c>
      <c r="AD70" s="53">
        <v>1</v>
      </c>
      <c r="AE70">
        <v>0</v>
      </c>
      <c r="AF70">
        <v>0</v>
      </c>
      <c r="AG70">
        <v>0</v>
      </c>
      <c r="AH70" s="2"/>
      <c r="AI70">
        <v>1</v>
      </c>
      <c r="AJ70" s="1">
        <f t="shared" si="67"/>
        <v>48.796786178720467</v>
      </c>
      <c r="AK70">
        <v>2</v>
      </c>
      <c r="AL70">
        <f t="shared" si="72"/>
        <v>140.80000000000001</v>
      </c>
      <c r="AM70">
        <f t="shared" si="73"/>
        <v>7.1808000000000005</v>
      </c>
      <c r="AN70">
        <f t="shared" si="74"/>
        <v>1584.0000000000002</v>
      </c>
      <c r="AO70">
        <f t="shared" si="75"/>
        <v>80.784000000000006</v>
      </c>
      <c r="AP70">
        <f t="shared" si="76"/>
        <v>28.160000000000004</v>
      </c>
      <c r="AQ70">
        <f t="shared" si="77"/>
        <v>2.1120000000000001</v>
      </c>
      <c r="AR70">
        <f t="shared" si="80"/>
        <v>1.6</v>
      </c>
      <c r="AS70">
        <f t="shared" si="69"/>
        <v>2</v>
      </c>
      <c r="AT70">
        <f t="shared" si="70"/>
        <v>3</v>
      </c>
      <c r="AU70">
        <v>206</v>
      </c>
      <c r="AV70" s="1">
        <v>6</v>
      </c>
      <c r="AW70">
        <v>2</v>
      </c>
      <c r="AX70">
        <v>0</v>
      </c>
      <c r="AZ70">
        <v>2</v>
      </c>
      <c r="BA70">
        <v>1</v>
      </c>
      <c r="BU70" s="57" t="s">
        <v>1743</v>
      </c>
      <c r="BV70" s="57" t="s">
        <v>1751</v>
      </c>
      <c r="BW70" s="57" t="s">
        <v>1749</v>
      </c>
      <c r="BX70">
        <v>4</v>
      </c>
      <c r="BY70">
        <v>800</v>
      </c>
      <c r="BZ70">
        <v>60000</v>
      </c>
      <c r="CD70" s="2" t="s">
        <v>253</v>
      </c>
      <c r="CE70" t="s">
        <v>212</v>
      </c>
      <c r="CG70" t="str">
        <f t="shared" si="82"/>
        <v>DATA_Class_Base5</v>
      </c>
      <c r="CH70" s="3" t="s">
        <v>212</v>
      </c>
    </row>
    <row r="71" spans="1:86">
      <c r="A71">
        <f t="shared" si="63"/>
        <v>2021406</v>
      </c>
      <c r="B71" s="5" t="s">
        <v>251</v>
      </c>
      <c r="C71">
        <v>0</v>
      </c>
      <c r="D71">
        <v>2</v>
      </c>
      <c r="E71">
        <v>4</v>
      </c>
      <c r="F71">
        <v>1</v>
      </c>
      <c r="G71" s="3" t="s">
        <v>262</v>
      </c>
      <c r="H71" s="3" t="s">
        <v>263</v>
      </c>
      <c r="I71" s="2">
        <v>0</v>
      </c>
      <c r="J71" s="2" t="s">
        <v>161</v>
      </c>
      <c r="K71" s="2">
        <f t="shared" si="78"/>
        <v>6</v>
      </c>
      <c r="L71" s="2">
        <f t="shared" si="64"/>
        <v>1.4000000000000001</v>
      </c>
      <c r="M71" s="2">
        <f t="shared" si="65"/>
        <v>1.2</v>
      </c>
      <c r="N71" s="2">
        <v>10</v>
      </c>
      <c r="O71" s="2">
        <f t="shared" ref="O71:T71" si="86">ROUND(AL71*(1+$AX71),2)</f>
        <v>160.16</v>
      </c>
      <c r="P71" s="2">
        <f t="shared" si="86"/>
        <v>8.17</v>
      </c>
      <c r="Q71" s="2">
        <f t="shared" si="86"/>
        <v>1218.46</v>
      </c>
      <c r="R71" s="2">
        <f t="shared" si="86"/>
        <v>62.14</v>
      </c>
      <c r="S71" s="2">
        <f t="shared" si="86"/>
        <v>16.02</v>
      </c>
      <c r="T71" s="2">
        <f t="shared" si="86"/>
        <v>1.2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13">
        <v>214061</v>
      </c>
      <c r="AA71" s="15" t="s">
        <v>238</v>
      </c>
      <c r="AB71" s="12" t="s">
        <v>238</v>
      </c>
      <c r="AC71" s="2">
        <v>0</v>
      </c>
      <c r="AD71" s="53">
        <v>1</v>
      </c>
      <c r="AE71">
        <v>0</v>
      </c>
      <c r="AF71">
        <v>0</v>
      </c>
      <c r="AG71">
        <v>0</v>
      </c>
      <c r="AH71" s="2"/>
      <c r="AI71">
        <v>1</v>
      </c>
      <c r="AJ71" s="1">
        <f t="shared" si="67"/>
        <v>48.668939489475648</v>
      </c>
      <c r="AK71">
        <v>2</v>
      </c>
      <c r="AL71">
        <f t="shared" si="72"/>
        <v>160.15999999999997</v>
      </c>
      <c r="AM71">
        <f t="shared" si="73"/>
        <v>8.1681599999999985</v>
      </c>
      <c r="AN71">
        <f t="shared" si="74"/>
        <v>1218.4615384615386</v>
      </c>
      <c r="AO71">
        <f t="shared" si="75"/>
        <v>62.14153846153846</v>
      </c>
      <c r="AP71">
        <f t="shared" si="76"/>
        <v>16.015999999999998</v>
      </c>
      <c r="AQ71">
        <f t="shared" si="77"/>
        <v>1.2011999999999998</v>
      </c>
      <c r="AR71">
        <f t="shared" si="80"/>
        <v>1.4</v>
      </c>
      <c r="AS71">
        <f t="shared" si="69"/>
        <v>1.2</v>
      </c>
      <c r="AT71">
        <f t="shared" si="70"/>
        <v>6</v>
      </c>
      <c r="AU71">
        <v>406</v>
      </c>
      <c r="AV71" s="1">
        <v>6</v>
      </c>
      <c r="AW71">
        <v>2</v>
      </c>
      <c r="AX71">
        <v>0</v>
      </c>
      <c r="AZ71">
        <v>4</v>
      </c>
      <c r="BA71">
        <v>1</v>
      </c>
      <c r="BU71" s="57" t="s">
        <v>1744</v>
      </c>
      <c r="BV71" s="57" t="s">
        <v>1751</v>
      </c>
      <c r="BW71" s="57" t="s">
        <v>1749</v>
      </c>
      <c r="BX71">
        <v>5</v>
      </c>
      <c r="BY71">
        <v>1200</v>
      </c>
      <c r="BZ71">
        <v>100000</v>
      </c>
      <c r="CD71" s="2" t="s">
        <v>264</v>
      </c>
      <c r="CE71" t="s">
        <v>265</v>
      </c>
      <c r="CG71" t="str">
        <f t="shared" si="82"/>
        <v>DATA_Class_Base4</v>
      </c>
      <c r="CH71" s="3" t="s">
        <v>259</v>
      </c>
    </row>
    <row r="72" spans="1:86">
      <c r="A72">
        <f t="shared" si="63"/>
        <v>2022204</v>
      </c>
      <c r="B72" s="5" t="s">
        <v>264</v>
      </c>
      <c r="C72">
        <v>0</v>
      </c>
      <c r="D72">
        <v>2</v>
      </c>
      <c r="E72">
        <v>2</v>
      </c>
      <c r="F72">
        <v>2</v>
      </c>
      <c r="G72" s="3" t="s">
        <v>266</v>
      </c>
      <c r="H72" s="3" t="s">
        <v>267</v>
      </c>
      <c r="I72" s="2">
        <v>0</v>
      </c>
      <c r="J72" s="2">
        <v>0</v>
      </c>
      <c r="K72" s="2">
        <f t="shared" si="78"/>
        <v>3</v>
      </c>
      <c r="L72" s="2">
        <f t="shared" si="64"/>
        <v>1.4000000000000001</v>
      </c>
      <c r="M72" s="2">
        <f t="shared" si="65"/>
        <v>1.2</v>
      </c>
      <c r="N72" s="2">
        <v>10</v>
      </c>
      <c r="O72" s="2">
        <f t="shared" ref="O72:T72" si="87">ROUND(AL72*(1+$AX72),2)</f>
        <v>110.88</v>
      </c>
      <c r="P72" s="2">
        <f t="shared" si="87"/>
        <v>5.65</v>
      </c>
      <c r="Q72" s="2">
        <f t="shared" si="87"/>
        <v>1760</v>
      </c>
      <c r="R72" s="2">
        <f t="shared" si="87"/>
        <v>89.76</v>
      </c>
      <c r="S72" s="2">
        <f t="shared" si="87"/>
        <v>22.18</v>
      </c>
      <c r="T72" s="2">
        <f t="shared" si="87"/>
        <v>1.66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13">
        <v>222041</v>
      </c>
      <c r="AA72" s="15" t="s">
        <v>238</v>
      </c>
      <c r="AB72" s="12" t="s">
        <v>238</v>
      </c>
      <c r="AC72" s="2">
        <v>0</v>
      </c>
      <c r="AD72" s="53">
        <v>1</v>
      </c>
      <c r="AE72">
        <v>0</v>
      </c>
      <c r="AF72">
        <v>0</v>
      </c>
      <c r="AG72">
        <v>0</v>
      </c>
      <c r="AH72" s="2"/>
      <c r="AI72">
        <v>1</v>
      </c>
      <c r="AJ72" s="1">
        <f t="shared" si="67"/>
        <v>48.733705426560988</v>
      </c>
      <c r="AK72">
        <v>2</v>
      </c>
      <c r="AL72">
        <f t="shared" si="72"/>
        <v>110.88000000000001</v>
      </c>
      <c r="AM72">
        <f t="shared" si="73"/>
        <v>5.6548800000000004</v>
      </c>
      <c r="AN72">
        <f t="shared" si="74"/>
        <v>1760.0000000000002</v>
      </c>
      <c r="AO72">
        <f t="shared" si="75"/>
        <v>89.76</v>
      </c>
      <c r="AP72">
        <f t="shared" si="76"/>
        <v>22.176000000000002</v>
      </c>
      <c r="AQ72">
        <f t="shared" si="77"/>
        <v>1.6632</v>
      </c>
      <c r="AR72">
        <f t="shared" si="80"/>
        <v>1.4</v>
      </c>
      <c r="AS72">
        <f t="shared" si="69"/>
        <v>1.2</v>
      </c>
      <c r="AT72">
        <f t="shared" si="70"/>
        <v>3</v>
      </c>
      <c r="AU72">
        <v>204</v>
      </c>
      <c r="AV72" s="1">
        <v>4</v>
      </c>
      <c r="AW72">
        <v>2</v>
      </c>
      <c r="AX72">
        <v>0</v>
      </c>
      <c r="AZ72">
        <v>2</v>
      </c>
      <c r="BA72">
        <v>2</v>
      </c>
      <c r="BU72" s="57" t="s">
        <v>1745</v>
      </c>
      <c r="BV72" s="57" t="s">
        <v>1752</v>
      </c>
      <c r="BW72" s="57" t="s">
        <v>1752</v>
      </c>
      <c r="BX72">
        <v>6</v>
      </c>
      <c r="BY72">
        <v>2400</v>
      </c>
      <c r="BZ72">
        <v>300000</v>
      </c>
      <c r="CD72" s="2" t="s">
        <v>235</v>
      </c>
      <c r="CE72" t="s">
        <v>205</v>
      </c>
      <c r="CG72" t="str">
        <f t="shared" si="82"/>
        <v>DATA_Class_Base1</v>
      </c>
      <c r="CH72" s="5" t="s">
        <v>246</v>
      </c>
    </row>
    <row r="73" spans="1:86">
      <c r="A73">
        <f t="shared" si="63"/>
        <v>2022404</v>
      </c>
      <c r="B73" s="5" t="s">
        <v>268</v>
      </c>
      <c r="C73">
        <v>0</v>
      </c>
      <c r="D73">
        <v>2</v>
      </c>
      <c r="E73">
        <v>4</v>
      </c>
      <c r="F73">
        <v>2</v>
      </c>
      <c r="G73" s="3" t="s">
        <v>269</v>
      </c>
      <c r="H73" s="3" t="s">
        <v>270</v>
      </c>
      <c r="I73" s="2">
        <v>0</v>
      </c>
      <c r="J73" s="2" t="s">
        <v>250</v>
      </c>
      <c r="K73" s="2">
        <f t="shared" si="78"/>
        <v>6</v>
      </c>
      <c r="L73" s="2">
        <f t="shared" si="64"/>
        <v>1.6</v>
      </c>
      <c r="M73" s="2">
        <f t="shared" si="65"/>
        <v>1.9000000000000001</v>
      </c>
      <c r="N73" s="2">
        <v>10</v>
      </c>
      <c r="O73" s="2">
        <f t="shared" ref="O73:T73" si="88">ROUND(AL73*(1+$AX73),2)</f>
        <v>183.04</v>
      </c>
      <c r="P73" s="2">
        <f t="shared" si="88"/>
        <v>9.34</v>
      </c>
      <c r="Q73" s="2">
        <f t="shared" si="88"/>
        <v>1218.46</v>
      </c>
      <c r="R73" s="2">
        <f t="shared" si="88"/>
        <v>62.14</v>
      </c>
      <c r="S73" s="2">
        <f t="shared" si="88"/>
        <v>18.3</v>
      </c>
      <c r="T73" s="2">
        <f t="shared" si="88"/>
        <v>1.37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13">
        <v>224041</v>
      </c>
      <c r="AA73" s="15" t="s">
        <v>238</v>
      </c>
      <c r="AB73" s="14" t="s">
        <v>238</v>
      </c>
      <c r="AC73" s="2">
        <v>0</v>
      </c>
      <c r="AD73" s="53">
        <v>1</v>
      </c>
      <c r="AE73">
        <v>0</v>
      </c>
      <c r="AF73">
        <v>0</v>
      </c>
      <c r="AG73">
        <v>0</v>
      </c>
      <c r="AH73" s="2"/>
      <c r="AI73">
        <v>1</v>
      </c>
      <c r="AJ73" s="1">
        <f t="shared" si="67"/>
        <v>48.692975303771462</v>
      </c>
      <c r="AK73">
        <v>2</v>
      </c>
      <c r="AL73">
        <f t="shared" si="72"/>
        <v>183.04000000000002</v>
      </c>
      <c r="AM73">
        <f t="shared" si="73"/>
        <v>9.3350400000000011</v>
      </c>
      <c r="AN73">
        <f t="shared" si="74"/>
        <v>1218.4615384615386</v>
      </c>
      <c r="AO73">
        <f t="shared" si="75"/>
        <v>62.14153846153846</v>
      </c>
      <c r="AP73">
        <f t="shared" si="76"/>
        <v>18.304000000000002</v>
      </c>
      <c r="AQ73">
        <f t="shared" si="77"/>
        <v>1.3728</v>
      </c>
      <c r="AR73">
        <f t="shared" si="80"/>
        <v>1.6</v>
      </c>
      <c r="AS73">
        <f t="shared" si="69"/>
        <v>1.9</v>
      </c>
      <c r="AT73">
        <f t="shared" si="70"/>
        <v>6</v>
      </c>
      <c r="AU73">
        <v>404</v>
      </c>
      <c r="AV73" s="1">
        <v>4</v>
      </c>
      <c r="AW73">
        <v>2</v>
      </c>
      <c r="AX73">
        <v>0</v>
      </c>
      <c r="AZ73">
        <v>4</v>
      </c>
      <c r="BA73">
        <v>2</v>
      </c>
      <c r="BU73" s="57" t="s">
        <v>1746</v>
      </c>
      <c r="BV73" s="57" t="s">
        <v>1752</v>
      </c>
      <c r="BW73" s="57" t="s">
        <v>1752</v>
      </c>
      <c r="BX73">
        <v>7</v>
      </c>
      <c r="BY73">
        <v>3600</v>
      </c>
      <c r="BZ73">
        <v>500000</v>
      </c>
      <c r="CD73" s="2" t="s">
        <v>239</v>
      </c>
      <c r="CE73" t="s">
        <v>216</v>
      </c>
      <c r="CG73" t="str">
        <f t="shared" si="82"/>
        <v>DATA_Class_Base2</v>
      </c>
      <c r="CH73" s="5" t="s">
        <v>252</v>
      </c>
    </row>
    <row r="74" spans="1:86">
      <c r="A74">
        <f t="shared" si="63"/>
        <v>2023503</v>
      </c>
      <c r="B74" s="5" t="s">
        <v>271</v>
      </c>
      <c r="C74">
        <v>0</v>
      </c>
      <c r="D74">
        <v>2</v>
      </c>
      <c r="E74">
        <v>5</v>
      </c>
      <c r="F74">
        <v>3</v>
      </c>
      <c r="G74" s="3" t="s">
        <v>272</v>
      </c>
      <c r="H74" s="3" t="s">
        <v>273</v>
      </c>
      <c r="I74" s="2">
        <v>0</v>
      </c>
      <c r="J74" s="2">
        <v>0</v>
      </c>
      <c r="K74" s="2">
        <f t="shared" si="78"/>
        <v>3</v>
      </c>
      <c r="L74" s="2">
        <f t="shared" si="64"/>
        <v>1.6</v>
      </c>
      <c r="M74" s="2">
        <f t="shared" si="65"/>
        <v>1.5</v>
      </c>
      <c r="N74" s="2">
        <v>10</v>
      </c>
      <c r="O74" s="2">
        <f t="shared" ref="O74:T74" si="89">ROUND(AL74*(1+$AX74),2)</f>
        <v>168.96</v>
      </c>
      <c r="P74" s="2">
        <f t="shared" si="89"/>
        <v>8.6199999999999992</v>
      </c>
      <c r="Q74" s="2">
        <f t="shared" si="89"/>
        <v>1320</v>
      </c>
      <c r="R74" s="2">
        <f t="shared" si="89"/>
        <v>67.319999999999993</v>
      </c>
      <c r="S74" s="2">
        <f t="shared" si="89"/>
        <v>28.16</v>
      </c>
      <c r="T74" s="2">
        <f t="shared" si="89"/>
        <v>2.11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13">
        <v>233041</v>
      </c>
      <c r="AA74" s="15" t="s">
        <v>238</v>
      </c>
      <c r="AB74" s="14" t="s">
        <v>238</v>
      </c>
      <c r="AC74" s="2">
        <v>0</v>
      </c>
      <c r="AD74" s="53">
        <v>1</v>
      </c>
      <c r="AE74">
        <v>0</v>
      </c>
      <c r="AF74">
        <v>0</v>
      </c>
      <c r="AG74">
        <v>0</v>
      </c>
      <c r="AH74" s="2"/>
      <c r="AI74">
        <v>1</v>
      </c>
      <c r="AJ74" s="1">
        <f t="shared" si="67"/>
        <v>48.796786178720453</v>
      </c>
      <c r="AK74">
        <v>2</v>
      </c>
      <c r="AL74">
        <f t="shared" si="72"/>
        <v>168.96</v>
      </c>
      <c r="AM74">
        <f t="shared" si="73"/>
        <v>8.6169600000000006</v>
      </c>
      <c r="AN74">
        <f t="shared" si="74"/>
        <v>1320</v>
      </c>
      <c r="AO74">
        <f t="shared" si="75"/>
        <v>67.319999999999993</v>
      </c>
      <c r="AP74">
        <f t="shared" si="76"/>
        <v>28.16</v>
      </c>
      <c r="AQ74">
        <f t="shared" si="77"/>
        <v>2.1120000000000001</v>
      </c>
      <c r="AR74">
        <f t="shared" si="80"/>
        <v>1.6</v>
      </c>
      <c r="AS74">
        <f t="shared" si="69"/>
        <v>1.5</v>
      </c>
      <c r="AT74">
        <f t="shared" si="70"/>
        <v>3</v>
      </c>
      <c r="AU74">
        <v>503</v>
      </c>
      <c r="AV74" s="1">
        <v>3</v>
      </c>
      <c r="AW74">
        <v>2</v>
      </c>
      <c r="AX74">
        <v>0</v>
      </c>
      <c r="AZ74">
        <v>5</v>
      </c>
      <c r="BA74">
        <v>3</v>
      </c>
      <c r="BU74" s="57" t="s">
        <v>1747</v>
      </c>
      <c r="BV74" s="57" t="s">
        <v>1752</v>
      </c>
      <c r="BW74" s="57" t="s">
        <v>1752</v>
      </c>
      <c r="BX74">
        <v>8</v>
      </c>
      <c r="BY74">
        <v>4800</v>
      </c>
      <c r="BZ74">
        <v>800000</v>
      </c>
      <c r="CD74" s="2" t="s">
        <v>274</v>
      </c>
      <c r="CE74" t="s">
        <v>214</v>
      </c>
      <c r="CG74" t="str">
        <f t="shared" si="82"/>
        <v>DATA_Class_Base6</v>
      </c>
      <c r="CH74" s="5" t="s">
        <v>265</v>
      </c>
    </row>
    <row r="75" spans="1:86">
      <c r="A75">
        <f t="shared" si="63"/>
        <v>2023304</v>
      </c>
      <c r="B75" s="5" t="s">
        <v>274</v>
      </c>
      <c r="C75">
        <v>0</v>
      </c>
      <c r="D75">
        <v>2</v>
      </c>
      <c r="E75">
        <v>3</v>
      </c>
      <c r="F75">
        <v>3</v>
      </c>
      <c r="G75" s="3" t="s">
        <v>275</v>
      </c>
      <c r="H75" s="3" t="s">
        <v>276</v>
      </c>
      <c r="I75">
        <v>0</v>
      </c>
      <c r="J75" s="2">
        <v>0</v>
      </c>
      <c r="K75" s="2">
        <f t="shared" si="78"/>
        <v>3</v>
      </c>
      <c r="L75" s="2">
        <f t="shared" si="64"/>
        <v>1.4000000000000001</v>
      </c>
      <c r="M75" s="2">
        <f t="shared" si="65"/>
        <v>2</v>
      </c>
      <c r="N75" s="2">
        <v>10</v>
      </c>
      <c r="O75" s="2">
        <f t="shared" ref="O75:T75" si="90">ROUND(AL75*(1+$AX75),2)</f>
        <v>141.68</v>
      </c>
      <c r="P75" s="2">
        <f t="shared" si="90"/>
        <v>7.23</v>
      </c>
      <c r="Q75" s="2">
        <f t="shared" si="90"/>
        <v>1377.39</v>
      </c>
      <c r="R75" s="2">
        <f t="shared" si="90"/>
        <v>70.25</v>
      </c>
      <c r="S75" s="2">
        <f t="shared" si="90"/>
        <v>17.71</v>
      </c>
      <c r="T75" s="2">
        <f t="shared" si="90"/>
        <v>1.33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13">
        <v>235031</v>
      </c>
      <c r="AA75" s="15" t="s">
        <v>238</v>
      </c>
      <c r="AB75" s="14" t="s">
        <v>238</v>
      </c>
      <c r="AC75" s="2">
        <v>0</v>
      </c>
      <c r="AD75" s="53">
        <v>1</v>
      </c>
      <c r="AE75" s="2">
        <v>0</v>
      </c>
      <c r="AF75" s="2">
        <v>0</v>
      </c>
      <c r="AG75" s="2">
        <v>2</v>
      </c>
      <c r="AH75" s="2"/>
      <c r="AI75">
        <v>1</v>
      </c>
      <c r="AJ75" s="1">
        <f t="shared" si="67"/>
        <v>48.686732955216961</v>
      </c>
      <c r="AK75">
        <v>2</v>
      </c>
      <c r="AL75">
        <f t="shared" si="72"/>
        <v>141.68</v>
      </c>
      <c r="AM75">
        <f t="shared" si="73"/>
        <v>7.2256799999999997</v>
      </c>
      <c r="AN75">
        <f t="shared" si="74"/>
        <v>1377.3913043478265</v>
      </c>
      <c r="AO75">
        <f t="shared" si="75"/>
        <v>70.246956521739151</v>
      </c>
      <c r="AP75">
        <f t="shared" si="76"/>
        <v>17.71</v>
      </c>
      <c r="AQ75">
        <f t="shared" si="77"/>
        <v>1.3282499999999999</v>
      </c>
      <c r="AR75">
        <f t="shared" si="80"/>
        <v>1.4</v>
      </c>
      <c r="AS75">
        <f t="shared" si="69"/>
        <v>2</v>
      </c>
      <c r="AT75">
        <f t="shared" si="70"/>
        <v>3</v>
      </c>
      <c r="AU75">
        <v>304</v>
      </c>
      <c r="AV75" s="1">
        <v>4</v>
      </c>
      <c r="AW75">
        <v>2</v>
      </c>
      <c r="AX75">
        <v>0</v>
      </c>
      <c r="AZ75">
        <v>3</v>
      </c>
      <c r="BA75">
        <v>3</v>
      </c>
      <c r="BX75">
        <v>9</v>
      </c>
      <c r="BY75">
        <v>6000</v>
      </c>
      <c r="BZ75">
        <v>1000000</v>
      </c>
      <c r="CD75" s="2" t="s">
        <v>271</v>
      </c>
      <c r="CE75" t="s">
        <v>221</v>
      </c>
      <c r="CG75" t="str">
        <f t="shared" si="82"/>
        <v>DATA_Class_Base12</v>
      </c>
      <c r="CH75" s="5" t="s">
        <v>277</v>
      </c>
    </row>
    <row r="76" spans="1:86">
      <c r="A76">
        <f t="shared" si="63"/>
        <v>3031202</v>
      </c>
      <c r="B76" s="6" t="s">
        <v>278</v>
      </c>
      <c r="C76">
        <v>0</v>
      </c>
      <c r="D76">
        <v>3</v>
      </c>
      <c r="E76">
        <v>2</v>
      </c>
      <c r="F76">
        <v>1</v>
      </c>
      <c r="G76" s="3" t="s">
        <v>279</v>
      </c>
      <c r="H76" s="3" t="s">
        <v>279</v>
      </c>
      <c r="I76">
        <v>0</v>
      </c>
      <c r="J76" s="2" t="s">
        <v>280</v>
      </c>
      <c r="K76" s="2">
        <f t="shared" si="78"/>
        <v>3</v>
      </c>
      <c r="L76" s="2">
        <f t="shared" si="64"/>
        <v>1.6</v>
      </c>
      <c r="M76" s="2">
        <f t="shared" si="65"/>
        <v>2</v>
      </c>
      <c r="N76" s="2">
        <v>10</v>
      </c>
      <c r="O76" s="2">
        <f t="shared" ref="O76:T76" si="91">ROUND(AL76*(1+$AX76),2)</f>
        <v>122.88</v>
      </c>
      <c r="P76" s="2">
        <f t="shared" si="91"/>
        <v>6.27</v>
      </c>
      <c r="Q76" s="2">
        <f t="shared" si="91"/>
        <v>2160</v>
      </c>
      <c r="R76" s="2">
        <f t="shared" si="91"/>
        <v>110.16</v>
      </c>
      <c r="S76" s="2">
        <f t="shared" si="91"/>
        <v>45.51</v>
      </c>
      <c r="T76" s="2">
        <f t="shared" si="91"/>
        <v>3.41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16">
        <v>312021</v>
      </c>
      <c r="AA76" s="14" t="s">
        <v>281</v>
      </c>
      <c r="AB76" s="15" t="s">
        <v>282</v>
      </c>
      <c r="AC76" s="2">
        <v>3041202</v>
      </c>
      <c r="AD76" s="54">
        <v>5</v>
      </c>
      <c r="AE76" s="2">
        <v>1</v>
      </c>
      <c r="AF76" s="2">
        <f t="shared" ref="AF76:AF90" si="92">A76</f>
        <v>3031202</v>
      </c>
      <c r="AG76" s="2">
        <v>2</v>
      </c>
      <c r="AH76" s="2"/>
      <c r="AI76">
        <v>1</v>
      </c>
      <c r="AJ76" s="1">
        <f t="shared" si="67"/>
        <v>58.290986795739997</v>
      </c>
      <c r="AK76">
        <v>3</v>
      </c>
      <c r="AL76">
        <f t="shared" si="72"/>
        <v>122.88000000000002</v>
      </c>
      <c r="AM76">
        <f t="shared" si="73"/>
        <v>6.2668800000000005</v>
      </c>
      <c r="AN76">
        <f t="shared" si="74"/>
        <v>2160</v>
      </c>
      <c r="AO76">
        <f t="shared" si="75"/>
        <v>110.16</v>
      </c>
      <c r="AP76">
        <f t="shared" si="76"/>
        <v>45.51111111111112</v>
      </c>
      <c r="AQ76">
        <f t="shared" si="77"/>
        <v>3.413333333333334</v>
      </c>
      <c r="AR76">
        <f t="shared" si="80"/>
        <v>1.6</v>
      </c>
      <c r="AS76">
        <f t="shared" si="69"/>
        <v>2</v>
      </c>
      <c r="AT76">
        <f t="shared" si="70"/>
        <v>3</v>
      </c>
      <c r="AU76">
        <f t="shared" ref="AU76:AU139" si="93">AZ76*1000+AV76*10+BA76</f>
        <v>2021</v>
      </c>
      <c r="AV76" s="1">
        <v>2</v>
      </c>
      <c r="AW76">
        <v>3</v>
      </c>
      <c r="AX76">
        <v>0</v>
      </c>
      <c r="AZ76">
        <v>2</v>
      </c>
      <c r="BA76">
        <v>1</v>
      </c>
      <c r="BX76">
        <v>10</v>
      </c>
      <c r="BY76">
        <v>10000</v>
      </c>
      <c r="BZ76">
        <v>2000000</v>
      </c>
      <c r="CD76" s="2" t="s">
        <v>247</v>
      </c>
      <c r="CE76" t="s">
        <v>218</v>
      </c>
      <c r="CG76" t="str">
        <f t="shared" si="82"/>
        <v>DATA_Class_Base10</v>
      </c>
      <c r="CH76" s="5" t="s">
        <v>221</v>
      </c>
    </row>
    <row r="77" spans="1:86" ht="16.5">
      <c r="A77">
        <f t="shared" si="63"/>
        <v>3031301</v>
      </c>
      <c r="B77" s="6" t="s">
        <v>283</v>
      </c>
      <c r="C77">
        <v>0</v>
      </c>
      <c r="D77">
        <v>3</v>
      </c>
      <c r="E77">
        <v>3</v>
      </c>
      <c r="F77">
        <v>1</v>
      </c>
      <c r="G77" s="3" t="s">
        <v>284</v>
      </c>
      <c r="H77" s="3" t="s">
        <v>284</v>
      </c>
      <c r="I77" s="2">
        <v>0</v>
      </c>
      <c r="J77" s="2" t="s">
        <v>285</v>
      </c>
      <c r="K77" s="2">
        <f t="shared" si="78"/>
        <v>3</v>
      </c>
      <c r="L77" s="2">
        <f t="shared" si="64"/>
        <v>1.3</v>
      </c>
      <c r="M77" s="2">
        <f t="shared" si="65"/>
        <v>2</v>
      </c>
      <c r="N77" s="2">
        <v>10</v>
      </c>
      <c r="O77" s="2">
        <f t="shared" ref="O77:T77" si="94">ROUND(AL77*(1+$AX77),2)</f>
        <v>137.28</v>
      </c>
      <c r="P77" s="2">
        <f t="shared" si="94"/>
        <v>7</v>
      </c>
      <c r="Q77" s="2">
        <f t="shared" si="94"/>
        <v>1570.91</v>
      </c>
      <c r="R77" s="2">
        <f t="shared" si="94"/>
        <v>80.12</v>
      </c>
      <c r="S77" s="2">
        <f t="shared" si="94"/>
        <v>39.22</v>
      </c>
      <c r="T77" s="2">
        <f t="shared" si="94"/>
        <v>2.94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16">
        <v>313011</v>
      </c>
      <c r="AA77" s="14" t="s">
        <v>286</v>
      </c>
      <c r="AB77" s="15" t="s">
        <v>282</v>
      </c>
      <c r="AC77" s="2">
        <v>3041301</v>
      </c>
      <c r="AD77" s="54">
        <v>5</v>
      </c>
      <c r="AE77" s="2">
        <v>1</v>
      </c>
      <c r="AF77" s="2">
        <f t="shared" si="92"/>
        <v>3031301</v>
      </c>
      <c r="AG77" s="2">
        <v>2</v>
      </c>
      <c r="AH77" s="2"/>
      <c r="AI77">
        <v>1</v>
      </c>
      <c r="AJ77" s="1">
        <f t="shared" si="67"/>
        <v>58.211508629434142</v>
      </c>
      <c r="AK77">
        <v>3</v>
      </c>
      <c r="AL77">
        <f t="shared" si="72"/>
        <v>137.28000000000003</v>
      </c>
      <c r="AM77">
        <f t="shared" si="73"/>
        <v>7.0012800000000013</v>
      </c>
      <c r="AN77">
        <f t="shared" si="74"/>
        <v>1570.9090909090908</v>
      </c>
      <c r="AO77">
        <f t="shared" si="75"/>
        <v>80.11636363636363</v>
      </c>
      <c r="AP77">
        <f t="shared" si="76"/>
        <v>39.222857142857151</v>
      </c>
      <c r="AQ77">
        <f t="shared" si="77"/>
        <v>2.9417142857142862</v>
      </c>
      <c r="AR77">
        <f t="shared" si="80"/>
        <v>1.3</v>
      </c>
      <c r="AS77">
        <f t="shared" si="69"/>
        <v>2</v>
      </c>
      <c r="AT77">
        <f t="shared" si="70"/>
        <v>3</v>
      </c>
      <c r="AU77">
        <f t="shared" si="93"/>
        <v>3011</v>
      </c>
      <c r="AV77" s="1">
        <v>1</v>
      </c>
      <c r="AW77">
        <v>3</v>
      </c>
      <c r="AX77">
        <v>0</v>
      </c>
      <c r="AZ77">
        <v>3</v>
      </c>
      <c r="BA77">
        <v>1</v>
      </c>
      <c r="BC77" t="s">
        <v>287</v>
      </c>
      <c r="BD77" s="27" t="s">
        <v>288</v>
      </c>
      <c r="BX77">
        <v>11</v>
      </c>
      <c r="BY77">
        <v>15000</v>
      </c>
      <c r="BZ77">
        <v>3000000</v>
      </c>
      <c r="CD77" s="2" t="s">
        <v>268</v>
      </c>
      <c r="CE77" t="s">
        <v>277</v>
      </c>
      <c r="CG77" t="str">
        <f t="shared" si="82"/>
        <v>DATA_Class_Base9</v>
      </c>
      <c r="CH77" s="5" t="s">
        <v>214</v>
      </c>
    </row>
    <row r="78" spans="1:86" ht="16.5">
      <c r="A78">
        <f t="shared" si="63"/>
        <v>3031502</v>
      </c>
      <c r="B78" s="6" t="s">
        <v>289</v>
      </c>
      <c r="C78">
        <v>0</v>
      </c>
      <c r="D78">
        <v>3</v>
      </c>
      <c r="E78">
        <v>5</v>
      </c>
      <c r="F78">
        <v>1</v>
      </c>
      <c r="G78" s="3" t="s">
        <v>290</v>
      </c>
      <c r="H78" s="3" t="s">
        <v>290</v>
      </c>
      <c r="I78" s="2">
        <v>0</v>
      </c>
      <c r="J78" s="2" t="s">
        <v>291</v>
      </c>
      <c r="K78" s="2">
        <f t="shared" si="78"/>
        <v>6</v>
      </c>
      <c r="L78" s="2">
        <f t="shared" si="64"/>
        <v>1.4000000000000001</v>
      </c>
      <c r="M78" s="2">
        <f t="shared" si="65"/>
        <v>2</v>
      </c>
      <c r="N78" s="2">
        <v>10</v>
      </c>
      <c r="O78" s="2">
        <f t="shared" ref="O78:T78" si="95">ROUND(AL78*(1+$AX78),2)</f>
        <v>174.72</v>
      </c>
      <c r="P78" s="2">
        <f t="shared" si="95"/>
        <v>8.91</v>
      </c>
      <c r="Q78" s="2">
        <f t="shared" si="95"/>
        <v>1329.23</v>
      </c>
      <c r="R78" s="2">
        <f t="shared" si="95"/>
        <v>67.790000000000006</v>
      </c>
      <c r="S78" s="2">
        <f t="shared" si="95"/>
        <v>26.88</v>
      </c>
      <c r="T78" s="2">
        <f t="shared" si="95"/>
        <v>2.02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16">
        <v>315021</v>
      </c>
      <c r="AA78" s="14" t="s">
        <v>292</v>
      </c>
      <c r="AB78" s="15" t="s">
        <v>282</v>
      </c>
      <c r="AC78" s="2">
        <v>3041502</v>
      </c>
      <c r="AD78" s="54">
        <v>5</v>
      </c>
      <c r="AE78" s="2">
        <v>1</v>
      </c>
      <c r="AF78" s="2">
        <f t="shared" si="92"/>
        <v>3031502</v>
      </c>
      <c r="AG78" s="2">
        <v>2</v>
      </c>
      <c r="AH78" s="2"/>
      <c r="AI78">
        <v>1</v>
      </c>
      <c r="AJ78" s="1">
        <f t="shared" si="67"/>
        <v>58.056133976195213</v>
      </c>
      <c r="AK78">
        <v>3</v>
      </c>
      <c r="AL78">
        <f t="shared" si="72"/>
        <v>174.71999999999994</v>
      </c>
      <c r="AM78">
        <f t="shared" si="73"/>
        <v>8.910719999999996</v>
      </c>
      <c r="AN78">
        <f t="shared" si="74"/>
        <v>1329.2307692307691</v>
      </c>
      <c r="AO78">
        <f t="shared" si="75"/>
        <v>67.790769230769214</v>
      </c>
      <c r="AP78">
        <f t="shared" si="76"/>
        <v>26.879999999999992</v>
      </c>
      <c r="AQ78">
        <f t="shared" si="77"/>
        <v>2.0159999999999991</v>
      </c>
      <c r="AR78">
        <f t="shared" si="80"/>
        <v>1.4</v>
      </c>
      <c r="AS78">
        <f t="shared" si="69"/>
        <v>2</v>
      </c>
      <c r="AT78">
        <f t="shared" si="70"/>
        <v>6</v>
      </c>
      <c r="AU78">
        <f t="shared" si="93"/>
        <v>5021</v>
      </c>
      <c r="AV78" s="1">
        <v>2</v>
      </c>
      <c r="AW78">
        <v>3</v>
      </c>
      <c r="AX78">
        <v>0</v>
      </c>
      <c r="AZ78">
        <v>5</v>
      </c>
      <c r="BA78">
        <v>1</v>
      </c>
      <c r="BC78" s="27" t="s">
        <v>293</v>
      </c>
      <c r="BX78">
        <v>12</v>
      </c>
      <c r="BY78">
        <v>20000</v>
      </c>
      <c r="BZ78">
        <v>4000000</v>
      </c>
      <c r="CD78" s="2" t="s">
        <v>294</v>
      </c>
      <c r="CE78" s="6" t="s">
        <v>295</v>
      </c>
      <c r="CG78" t="str">
        <f t="shared" si="82"/>
        <v>DATA_Class_Base13</v>
      </c>
      <c r="CH78" s="6" t="s">
        <v>295</v>
      </c>
    </row>
    <row r="79" spans="1:86">
      <c r="A79">
        <f t="shared" si="63"/>
        <v>3032201</v>
      </c>
      <c r="B79" s="6" t="s">
        <v>296</v>
      </c>
      <c r="C79">
        <v>0</v>
      </c>
      <c r="D79">
        <v>3</v>
      </c>
      <c r="E79">
        <v>2</v>
      </c>
      <c r="F79">
        <v>2</v>
      </c>
      <c r="G79" s="3" t="s">
        <v>297</v>
      </c>
      <c r="H79" s="3" t="s">
        <v>297</v>
      </c>
      <c r="I79">
        <v>0</v>
      </c>
      <c r="J79" s="8" t="s">
        <v>298</v>
      </c>
      <c r="K79" s="2">
        <f t="shared" si="78"/>
        <v>3</v>
      </c>
      <c r="L79" s="2">
        <f t="shared" si="64"/>
        <v>1.5</v>
      </c>
      <c r="M79" s="2">
        <f t="shared" si="65"/>
        <v>1.8</v>
      </c>
      <c r="N79" s="2">
        <v>10</v>
      </c>
      <c r="O79" s="2">
        <f t="shared" ref="O79:T79" si="96">ROUND(AL79*(1+$AX79),2)</f>
        <v>115.2</v>
      </c>
      <c r="P79" s="2">
        <f t="shared" si="96"/>
        <v>5.88</v>
      </c>
      <c r="Q79" s="2">
        <f t="shared" si="96"/>
        <v>2160</v>
      </c>
      <c r="R79" s="2">
        <f t="shared" si="96"/>
        <v>110.16</v>
      </c>
      <c r="S79" s="2">
        <f t="shared" si="96"/>
        <v>50.09</v>
      </c>
      <c r="T79" s="2">
        <f t="shared" si="96"/>
        <v>3.76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13">
        <v>322011</v>
      </c>
      <c r="AA79" s="14" t="s">
        <v>299</v>
      </c>
      <c r="AB79" s="15" t="s">
        <v>282</v>
      </c>
      <c r="AC79" s="2">
        <v>3042201</v>
      </c>
      <c r="AD79" s="54">
        <v>5</v>
      </c>
      <c r="AE79" s="2">
        <v>1</v>
      </c>
      <c r="AF79" s="2">
        <f t="shared" si="92"/>
        <v>3032201</v>
      </c>
      <c r="AG79" s="2">
        <v>2</v>
      </c>
      <c r="AH79" s="2"/>
      <c r="AI79">
        <v>1</v>
      </c>
      <c r="AJ79" s="1">
        <f t="shared" si="67"/>
        <v>58.34895813853533</v>
      </c>
      <c r="AK79">
        <v>3</v>
      </c>
      <c r="AL79">
        <f t="shared" si="72"/>
        <v>115.20000000000002</v>
      </c>
      <c r="AM79">
        <f t="shared" si="73"/>
        <v>5.8752000000000004</v>
      </c>
      <c r="AN79">
        <f t="shared" si="74"/>
        <v>2160</v>
      </c>
      <c r="AO79">
        <f t="shared" si="75"/>
        <v>110.16</v>
      </c>
      <c r="AP79">
        <f t="shared" si="76"/>
        <v>50.08695652173914</v>
      </c>
      <c r="AQ79">
        <f t="shared" si="77"/>
        <v>3.7565217391304353</v>
      </c>
      <c r="AR79">
        <f t="shared" si="80"/>
        <v>1.5</v>
      </c>
      <c r="AS79">
        <f t="shared" si="69"/>
        <v>1.8</v>
      </c>
      <c r="AT79">
        <f t="shared" si="70"/>
        <v>3</v>
      </c>
      <c r="AU79">
        <f t="shared" si="93"/>
        <v>2012</v>
      </c>
      <c r="AV79" s="1">
        <v>1</v>
      </c>
      <c r="AW79">
        <v>3</v>
      </c>
      <c r="AX79">
        <v>0</v>
      </c>
      <c r="AZ79">
        <v>2</v>
      </c>
      <c r="BA79">
        <v>2</v>
      </c>
      <c r="BX79">
        <v>13</v>
      </c>
      <c r="BY79">
        <v>30000</v>
      </c>
      <c r="BZ79">
        <v>5000000</v>
      </c>
      <c r="CD79" s="2" t="s">
        <v>296</v>
      </c>
      <c r="CE79" s="6" t="s">
        <v>300</v>
      </c>
      <c r="CG79" t="str">
        <f t="shared" si="82"/>
        <v>DATA_Class_Base14</v>
      </c>
      <c r="CH79" s="6" t="s">
        <v>300</v>
      </c>
    </row>
    <row r="80" spans="1:86">
      <c r="A80">
        <f t="shared" si="63"/>
        <v>3032500</v>
      </c>
      <c r="B80" s="6" t="s">
        <v>301</v>
      </c>
      <c r="C80">
        <v>0</v>
      </c>
      <c r="D80">
        <v>3</v>
      </c>
      <c r="E80">
        <v>5</v>
      </c>
      <c r="F80">
        <v>2</v>
      </c>
      <c r="G80" s="3" t="s">
        <v>302</v>
      </c>
      <c r="H80" s="3" t="s">
        <v>302</v>
      </c>
      <c r="I80" s="2">
        <v>0</v>
      </c>
      <c r="J80" s="2" t="s">
        <v>303</v>
      </c>
      <c r="K80" s="2">
        <f t="shared" si="78"/>
        <v>6</v>
      </c>
      <c r="L80" s="2">
        <f t="shared" si="64"/>
        <v>1.4000000000000001</v>
      </c>
      <c r="M80" s="2">
        <f t="shared" si="65"/>
        <v>2</v>
      </c>
      <c r="N80" s="2">
        <v>10</v>
      </c>
      <c r="O80" s="2">
        <f t="shared" ref="O80:T80" si="97">ROUND(AL80*(1+$AX80),2)</f>
        <v>201.6</v>
      </c>
      <c r="P80" s="2">
        <f t="shared" si="97"/>
        <v>10.28</v>
      </c>
      <c r="Q80" s="2">
        <f t="shared" si="97"/>
        <v>1152</v>
      </c>
      <c r="R80" s="2">
        <f t="shared" si="97"/>
        <v>58.75</v>
      </c>
      <c r="S80" s="2">
        <f t="shared" si="97"/>
        <v>26.88</v>
      </c>
      <c r="T80" s="2">
        <f t="shared" si="97"/>
        <v>2.02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13">
        <v>325001</v>
      </c>
      <c r="AA80" s="14" t="s">
        <v>304</v>
      </c>
      <c r="AB80" s="15" t="s">
        <v>282</v>
      </c>
      <c r="AC80" s="2">
        <v>3042500</v>
      </c>
      <c r="AD80" s="54">
        <v>5</v>
      </c>
      <c r="AE80" s="2">
        <v>1</v>
      </c>
      <c r="AF80" s="2">
        <f t="shared" si="92"/>
        <v>3032500</v>
      </c>
      <c r="AG80" s="2">
        <v>2</v>
      </c>
      <c r="AH80" s="2"/>
      <c r="AI80">
        <v>1</v>
      </c>
      <c r="AJ80" s="1">
        <f t="shared" si="67"/>
        <v>58.05613397619522</v>
      </c>
      <c r="AK80">
        <v>3</v>
      </c>
      <c r="AL80">
        <f t="shared" si="72"/>
        <v>201.59999999999997</v>
      </c>
      <c r="AM80">
        <f t="shared" si="73"/>
        <v>10.281599999999997</v>
      </c>
      <c r="AN80">
        <f t="shared" si="74"/>
        <v>1152</v>
      </c>
      <c r="AO80">
        <f t="shared" si="75"/>
        <v>58.751999999999995</v>
      </c>
      <c r="AP80">
        <f t="shared" si="76"/>
        <v>26.879999999999995</v>
      </c>
      <c r="AQ80">
        <f t="shared" si="77"/>
        <v>2.0159999999999996</v>
      </c>
      <c r="AR80">
        <f t="shared" si="80"/>
        <v>1.4</v>
      </c>
      <c r="AS80">
        <f t="shared" si="69"/>
        <v>2</v>
      </c>
      <c r="AT80">
        <f t="shared" si="70"/>
        <v>6</v>
      </c>
      <c r="AU80">
        <f t="shared" si="93"/>
        <v>5002</v>
      </c>
      <c r="AV80" s="1">
        <v>0</v>
      </c>
      <c r="AW80">
        <v>3</v>
      </c>
      <c r="AX80">
        <v>0</v>
      </c>
      <c r="AZ80">
        <v>5</v>
      </c>
      <c r="BA80">
        <v>2</v>
      </c>
      <c r="BC80" t="s">
        <v>305</v>
      </c>
      <c r="CD80" s="2" t="s">
        <v>278</v>
      </c>
      <c r="CE80" s="6" t="s">
        <v>306</v>
      </c>
      <c r="CG80" t="str">
        <f t="shared" si="82"/>
        <v>DATA_Class_Base15</v>
      </c>
      <c r="CH80" s="6" t="s">
        <v>306</v>
      </c>
    </row>
    <row r="81" spans="1:86">
      <c r="A81">
        <f t="shared" si="63"/>
        <v>3032601</v>
      </c>
      <c r="B81" s="6" t="s">
        <v>307</v>
      </c>
      <c r="C81">
        <v>0</v>
      </c>
      <c r="D81">
        <v>3</v>
      </c>
      <c r="E81">
        <v>6</v>
      </c>
      <c r="F81">
        <v>2</v>
      </c>
      <c r="G81" s="3" t="s">
        <v>308</v>
      </c>
      <c r="H81" s="3" t="s">
        <v>308</v>
      </c>
      <c r="I81" s="2">
        <v>0</v>
      </c>
      <c r="J81" s="2" t="s">
        <v>309</v>
      </c>
      <c r="K81" s="2">
        <f t="shared" si="78"/>
        <v>6</v>
      </c>
      <c r="L81" s="2">
        <f t="shared" si="64"/>
        <v>1.5</v>
      </c>
      <c r="M81" s="2">
        <f t="shared" si="65"/>
        <v>2</v>
      </c>
      <c r="N81" s="2">
        <v>10</v>
      </c>
      <c r="O81" s="2">
        <f t="shared" ref="O81:T81" si="98">ROUND(AL81*(1+$AX81),2)</f>
        <v>158.4</v>
      </c>
      <c r="P81" s="2">
        <f t="shared" si="98"/>
        <v>8.08</v>
      </c>
      <c r="Q81" s="2">
        <f t="shared" si="98"/>
        <v>1570.91</v>
      </c>
      <c r="R81" s="2">
        <f t="shared" si="98"/>
        <v>80.12</v>
      </c>
      <c r="S81" s="2">
        <f t="shared" si="98"/>
        <v>35.200000000000003</v>
      </c>
      <c r="T81" s="2">
        <f t="shared" si="98"/>
        <v>2.64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13">
        <v>326011</v>
      </c>
      <c r="AA81" s="14" t="s">
        <v>310</v>
      </c>
      <c r="AB81" s="15" t="s">
        <v>282</v>
      </c>
      <c r="AC81" s="2">
        <v>3042601</v>
      </c>
      <c r="AD81" s="54">
        <v>5</v>
      </c>
      <c r="AE81" s="2">
        <v>1</v>
      </c>
      <c r="AF81" s="2">
        <f t="shared" si="92"/>
        <v>3032601</v>
      </c>
      <c r="AG81" s="2">
        <v>2</v>
      </c>
      <c r="AH81" s="2"/>
      <c r="AI81">
        <v>1</v>
      </c>
      <c r="AJ81" s="1">
        <f t="shared" si="67"/>
        <v>58.160776724974596</v>
      </c>
      <c r="AK81">
        <v>3</v>
      </c>
      <c r="AL81">
        <f t="shared" si="72"/>
        <v>158.4</v>
      </c>
      <c r="AM81">
        <f t="shared" si="73"/>
        <v>8.0784000000000002</v>
      </c>
      <c r="AN81">
        <f t="shared" si="74"/>
        <v>1570.9090909090908</v>
      </c>
      <c r="AO81">
        <f t="shared" si="75"/>
        <v>80.11636363636363</v>
      </c>
      <c r="AP81">
        <f t="shared" si="76"/>
        <v>35.200000000000003</v>
      </c>
      <c r="AQ81">
        <f t="shared" si="77"/>
        <v>2.64</v>
      </c>
      <c r="AR81">
        <f t="shared" si="80"/>
        <v>1.5</v>
      </c>
      <c r="AS81">
        <f t="shared" ref="AS81:AS144" si="99">ROUND(IF(INDEX($BO$5:$BO$60,MATCH($AU81,$BB$5:$BB$60,0))&lt;2,INDEX($BO$5:$BO$60,MATCH($AU81,$BB$5:$BB$60,0))+0.2,2),1)</f>
        <v>2</v>
      </c>
      <c r="AT81">
        <f t="shared" ref="AT81:AT144" si="100">INDEX($BK$5:$BK$60,MATCH($AU81,$BB$5:$BB$60,0))</f>
        <v>6</v>
      </c>
      <c r="AU81">
        <f t="shared" si="93"/>
        <v>6012</v>
      </c>
      <c r="AV81" s="1">
        <v>1</v>
      </c>
      <c r="AW81">
        <v>3</v>
      </c>
      <c r="AX81">
        <v>0</v>
      </c>
      <c r="AZ81">
        <v>6</v>
      </c>
      <c r="BA81">
        <v>2</v>
      </c>
      <c r="BC81" t="s">
        <v>311</v>
      </c>
      <c r="CD81" s="2" t="s">
        <v>283</v>
      </c>
      <c r="CE81" s="6" t="s">
        <v>312</v>
      </c>
      <c r="CG81" t="str">
        <f t="shared" si="82"/>
        <v>DATA_Class_Base16</v>
      </c>
      <c r="CH81" s="6" t="s">
        <v>312</v>
      </c>
    </row>
    <row r="82" spans="1:86">
      <c r="A82">
        <f t="shared" si="63"/>
        <v>3033200</v>
      </c>
      <c r="B82" s="6" t="s">
        <v>294</v>
      </c>
      <c r="C82">
        <v>0</v>
      </c>
      <c r="D82">
        <v>3</v>
      </c>
      <c r="E82">
        <v>2</v>
      </c>
      <c r="F82">
        <v>3</v>
      </c>
      <c r="G82" s="3" t="s">
        <v>313</v>
      </c>
      <c r="H82" s="3" t="s">
        <v>313</v>
      </c>
      <c r="I82">
        <v>0</v>
      </c>
      <c r="J82" s="2" t="s">
        <v>314</v>
      </c>
      <c r="K82" s="2">
        <f t="shared" si="78"/>
        <v>3</v>
      </c>
      <c r="L82" s="2">
        <f t="shared" si="64"/>
        <v>1.5</v>
      </c>
      <c r="M82" s="2">
        <f t="shared" si="65"/>
        <v>1.2</v>
      </c>
      <c r="N82" s="2">
        <v>10</v>
      </c>
      <c r="O82" s="2">
        <f t="shared" ref="O82:T82" si="101">ROUND(AL82*(1+$AX82),2)</f>
        <v>100.8</v>
      </c>
      <c r="P82" s="2">
        <f t="shared" si="101"/>
        <v>5.14</v>
      </c>
      <c r="Q82" s="2">
        <f t="shared" si="101"/>
        <v>2468.5700000000002</v>
      </c>
      <c r="R82" s="2">
        <f t="shared" si="101"/>
        <v>125.9</v>
      </c>
      <c r="S82" s="2">
        <f t="shared" si="101"/>
        <v>50.4</v>
      </c>
      <c r="T82" s="2">
        <f t="shared" si="101"/>
        <v>3.78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13">
        <v>332001</v>
      </c>
      <c r="AA82" s="14" t="s">
        <v>315</v>
      </c>
      <c r="AB82" s="15" t="s">
        <v>282</v>
      </c>
      <c r="AC82" s="2">
        <v>3043200</v>
      </c>
      <c r="AD82" s="54">
        <v>5</v>
      </c>
      <c r="AE82" s="2">
        <v>1</v>
      </c>
      <c r="AF82" s="2">
        <f t="shared" si="92"/>
        <v>3033200</v>
      </c>
      <c r="AG82" s="2">
        <v>2</v>
      </c>
      <c r="AH82" s="2"/>
      <c r="AI82">
        <v>1</v>
      </c>
      <c r="AJ82" s="1">
        <f t="shared" si="67"/>
        <v>58.352928297754474</v>
      </c>
      <c r="AK82">
        <v>3</v>
      </c>
      <c r="AL82">
        <f t="shared" si="72"/>
        <v>100.79999999999998</v>
      </c>
      <c r="AM82">
        <f t="shared" si="73"/>
        <v>5.1407999999999987</v>
      </c>
      <c r="AN82">
        <f t="shared" si="74"/>
        <v>2468.5714285714289</v>
      </c>
      <c r="AO82">
        <f t="shared" si="75"/>
        <v>125.89714285714287</v>
      </c>
      <c r="AP82">
        <f t="shared" si="76"/>
        <v>50.399999999999991</v>
      </c>
      <c r="AQ82">
        <f t="shared" si="77"/>
        <v>3.7799999999999994</v>
      </c>
      <c r="AR82">
        <f t="shared" si="80"/>
        <v>1.5</v>
      </c>
      <c r="AS82">
        <f t="shared" si="99"/>
        <v>1.2</v>
      </c>
      <c r="AT82">
        <f t="shared" si="100"/>
        <v>3</v>
      </c>
      <c r="AU82">
        <f t="shared" si="93"/>
        <v>2003</v>
      </c>
      <c r="AV82" s="1">
        <v>0</v>
      </c>
      <c r="AW82">
        <v>3</v>
      </c>
      <c r="AX82">
        <v>0</v>
      </c>
      <c r="AZ82">
        <v>2</v>
      </c>
      <c r="BA82">
        <v>3</v>
      </c>
      <c r="BC82" s="3" t="s">
        <v>316</v>
      </c>
      <c r="BR82">
        <v>80</v>
      </c>
      <c r="BS82">
        <v>80</v>
      </c>
      <c r="CD82" s="2" t="s">
        <v>317</v>
      </c>
      <c r="CE82" s="6" t="s">
        <v>318</v>
      </c>
      <c r="CG82" t="str">
        <f t="shared" si="82"/>
        <v>DATA_Class_Base17</v>
      </c>
      <c r="CH82" s="6" t="s">
        <v>318</v>
      </c>
    </row>
    <row r="83" spans="1:86">
      <c r="A83">
        <f t="shared" si="63"/>
        <v>3031401</v>
      </c>
      <c r="B83" s="6" t="s">
        <v>317</v>
      </c>
      <c r="C83">
        <v>0</v>
      </c>
      <c r="D83">
        <v>3</v>
      </c>
      <c r="E83">
        <v>4</v>
      </c>
      <c r="F83">
        <v>1</v>
      </c>
      <c r="G83" s="3" t="s">
        <v>319</v>
      </c>
      <c r="H83" s="3" t="s">
        <v>319</v>
      </c>
      <c r="I83">
        <v>0</v>
      </c>
      <c r="J83" s="2" t="s">
        <v>161</v>
      </c>
      <c r="K83" s="2">
        <f t="shared" si="78"/>
        <v>6</v>
      </c>
      <c r="L83" s="2">
        <f t="shared" si="64"/>
        <v>1.6</v>
      </c>
      <c r="M83" s="2">
        <f t="shared" si="65"/>
        <v>1.5</v>
      </c>
      <c r="N83" s="2">
        <v>10</v>
      </c>
      <c r="O83" s="2">
        <f t="shared" ref="O83:T83" si="102">ROUND(AL83*(1+$AX83),2)</f>
        <v>184.32</v>
      </c>
      <c r="P83" s="2">
        <f t="shared" si="102"/>
        <v>9.4</v>
      </c>
      <c r="Q83" s="2">
        <f t="shared" si="102"/>
        <v>1440</v>
      </c>
      <c r="R83" s="2">
        <f t="shared" si="102"/>
        <v>73.44</v>
      </c>
      <c r="S83" s="2">
        <f t="shared" si="102"/>
        <v>30.72</v>
      </c>
      <c r="T83" s="2">
        <f t="shared" si="102"/>
        <v>2.2999999999999998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13">
        <v>314011</v>
      </c>
      <c r="AA83" s="51" t="s">
        <v>1716</v>
      </c>
      <c r="AB83" s="15" t="s">
        <v>282</v>
      </c>
      <c r="AC83" s="2">
        <v>3041401</v>
      </c>
      <c r="AD83" s="54">
        <v>5</v>
      </c>
      <c r="AE83" s="2">
        <v>1</v>
      </c>
      <c r="AF83" s="2">
        <f t="shared" si="92"/>
        <v>3031401</v>
      </c>
      <c r="AG83" s="2">
        <v>2</v>
      </c>
      <c r="AH83" s="2"/>
      <c r="AI83">
        <v>1</v>
      </c>
      <c r="AJ83" s="1">
        <f t="shared" si="67"/>
        <v>58.104383800847835</v>
      </c>
      <c r="AK83">
        <v>3</v>
      </c>
      <c r="AL83">
        <f t="shared" si="72"/>
        <v>184.32</v>
      </c>
      <c r="AM83">
        <f t="shared" si="73"/>
        <v>9.4003199999999989</v>
      </c>
      <c r="AN83">
        <f t="shared" si="74"/>
        <v>1440</v>
      </c>
      <c r="AO83">
        <f t="shared" si="75"/>
        <v>73.44</v>
      </c>
      <c r="AP83">
        <f t="shared" si="76"/>
        <v>30.72</v>
      </c>
      <c r="AQ83">
        <f t="shared" si="77"/>
        <v>2.3039999999999998</v>
      </c>
      <c r="AR83">
        <f t="shared" si="80"/>
        <v>1.6</v>
      </c>
      <c r="AS83">
        <f t="shared" si="99"/>
        <v>1.5</v>
      </c>
      <c r="AT83">
        <f t="shared" si="100"/>
        <v>6</v>
      </c>
      <c r="AU83">
        <f t="shared" si="93"/>
        <v>4013</v>
      </c>
      <c r="AV83" s="1">
        <v>1</v>
      </c>
      <c r="AW83">
        <v>3</v>
      </c>
      <c r="AX83">
        <v>0</v>
      </c>
      <c r="AZ83">
        <v>4</v>
      </c>
      <c r="BA83">
        <v>3</v>
      </c>
      <c r="BC83" s="24" t="s">
        <v>321</v>
      </c>
      <c r="BD83">
        <v>1E-4</v>
      </c>
      <c r="BG83" s="24" t="s">
        <v>322</v>
      </c>
      <c r="BP83">
        <v>10000</v>
      </c>
      <c r="CD83" s="2" t="s">
        <v>323</v>
      </c>
      <c r="CE83" s="6" t="s">
        <v>324</v>
      </c>
      <c r="CG83" t="str">
        <f t="shared" si="82"/>
        <v>DATA_Class_Base18</v>
      </c>
      <c r="CH83" s="6" t="s">
        <v>324</v>
      </c>
    </row>
    <row r="84" spans="1:86">
      <c r="A84">
        <f t="shared" si="63"/>
        <v>3033402</v>
      </c>
      <c r="B84" s="6" t="s">
        <v>323</v>
      </c>
      <c r="C84">
        <v>0</v>
      </c>
      <c r="D84">
        <v>3</v>
      </c>
      <c r="E84">
        <v>4</v>
      </c>
      <c r="F84">
        <v>3</v>
      </c>
      <c r="G84" s="3" t="s">
        <v>325</v>
      </c>
      <c r="H84" s="3" t="s">
        <v>325</v>
      </c>
      <c r="I84" s="2">
        <v>0</v>
      </c>
      <c r="J84" s="2" t="s">
        <v>250</v>
      </c>
      <c r="K84" s="2">
        <f t="shared" si="78"/>
        <v>6</v>
      </c>
      <c r="L84" s="2">
        <f t="shared" si="64"/>
        <v>1.5</v>
      </c>
      <c r="M84" s="2">
        <f t="shared" si="65"/>
        <v>1.5</v>
      </c>
      <c r="N84" s="2">
        <v>10</v>
      </c>
      <c r="O84" s="2">
        <f t="shared" ref="O84:T84" si="103">ROUND(AL84*(1+$AX84),2)</f>
        <v>187.2</v>
      </c>
      <c r="P84" s="2">
        <f t="shared" si="103"/>
        <v>9.5500000000000007</v>
      </c>
      <c r="Q84" s="2">
        <f t="shared" si="103"/>
        <v>1329.23</v>
      </c>
      <c r="R84" s="2">
        <f t="shared" si="103"/>
        <v>67.790000000000006</v>
      </c>
      <c r="S84" s="2">
        <f t="shared" si="103"/>
        <v>26.74</v>
      </c>
      <c r="T84" s="2">
        <f t="shared" si="103"/>
        <v>2.0099999999999998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13">
        <v>334021</v>
      </c>
      <c r="AA84" s="14" t="s">
        <v>326</v>
      </c>
      <c r="AB84" s="15" t="s">
        <v>282</v>
      </c>
      <c r="AC84" s="2">
        <v>3043402</v>
      </c>
      <c r="AD84" s="54">
        <v>5</v>
      </c>
      <c r="AE84" s="2">
        <v>1</v>
      </c>
      <c r="AF84" s="2">
        <f t="shared" si="92"/>
        <v>3033402</v>
      </c>
      <c r="AG84" s="2">
        <v>2</v>
      </c>
      <c r="AH84" s="2"/>
      <c r="AI84">
        <v>1</v>
      </c>
      <c r="AJ84" s="1">
        <f t="shared" si="67"/>
        <v>58.05441225018361</v>
      </c>
      <c r="AK84">
        <v>3</v>
      </c>
      <c r="AL84">
        <f t="shared" si="72"/>
        <v>187.2</v>
      </c>
      <c r="AM84">
        <f t="shared" si="73"/>
        <v>9.5471999999999984</v>
      </c>
      <c r="AN84">
        <f t="shared" si="74"/>
        <v>1329.2307692307691</v>
      </c>
      <c r="AO84">
        <f t="shared" si="75"/>
        <v>67.790769230769214</v>
      </c>
      <c r="AP84">
        <f t="shared" si="76"/>
        <v>26.74285714285714</v>
      </c>
      <c r="AQ84">
        <f t="shared" si="77"/>
        <v>2.0057142857142853</v>
      </c>
      <c r="AR84">
        <f t="shared" si="80"/>
        <v>1.5</v>
      </c>
      <c r="AS84">
        <f t="shared" si="99"/>
        <v>1.5</v>
      </c>
      <c r="AT84">
        <f t="shared" si="100"/>
        <v>6</v>
      </c>
      <c r="AU84">
        <f t="shared" si="93"/>
        <v>4023</v>
      </c>
      <c r="AV84" s="1">
        <v>2</v>
      </c>
      <c r="AW84">
        <v>3</v>
      </c>
      <c r="AX84">
        <v>0</v>
      </c>
      <c r="AZ84">
        <v>4</v>
      </c>
      <c r="BA84">
        <v>3</v>
      </c>
      <c r="BC84" t="s">
        <v>46</v>
      </c>
      <c r="BD84" t="s">
        <v>327</v>
      </c>
      <c r="BE84" t="s">
        <v>328</v>
      </c>
      <c r="BF84" t="s">
        <v>329</v>
      </c>
      <c r="BG84" s="24">
        <v>1</v>
      </c>
      <c r="BH84" s="24">
        <v>18</v>
      </c>
      <c r="BI84" s="24">
        <v>33</v>
      </c>
      <c r="BJ84" s="24">
        <v>50</v>
      </c>
      <c r="BK84" s="24">
        <v>100</v>
      </c>
      <c r="BL84" s="24">
        <v>150</v>
      </c>
      <c r="BM84" s="24">
        <v>200</v>
      </c>
      <c r="BN84" s="24">
        <v>300</v>
      </c>
      <c r="BO84" t="s">
        <v>330</v>
      </c>
      <c r="CD84" s="2" t="s">
        <v>301</v>
      </c>
      <c r="CE84" s="6" t="s">
        <v>331</v>
      </c>
      <c r="CG84" t="str">
        <f t="shared" si="82"/>
        <v>DATA_Class_Base19</v>
      </c>
      <c r="CH84" s="6" t="s">
        <v>331</v>
      </c>
    </row>
    <row r="85" spans="1:86">
      <c r="A85">
        <f t="shared" si="63"/>
        <v>3033501</v>
      </c>
      <c r="B85" s="6" t="s">
        <v>332</v>
      </c>
      <c r="C85">
        <v>0</v>
      </c>
      <c r="D85">
        <v>3</v>
      </c>
      <c r="E85">
        <v>5</v>
      </c>
      <c r="F85">
        <v>3</v>
      </c>
      <c r="G85" s="3" t="s">
        <v>333</v>
      </c>
      <c r="H85" s="3" t="s">
        <v>333</v>
      </c>
      <c r="I85">
        <v>0</v>
      </c>
      <c r="J85" s="2" t="s">
        <v>334</v>
      </c>
      <c r="K85" s="2">
        <f t="shared" si="78"/>
        <v>6</v>
      </c>
      <c r="L85" s="2">
        <f t="shared" si="64"/>
        <v>1.6</v>
      </c>
      <c r="M85" s="2">
        <f t="shared" si="65"/>
        <v>2</v>
      </c>
      <c r="N85" s="2">
        <v>10</v>
      </c>
      <c r="O85" s="2">
        <f t="shared" ref="O85:T85" si="104">ROUND(AL85*(1+$AX85),2)</f>
        <v>199.68</v>
      </c>
      <c r="P85" s="2">
        <f t="shared" si="104"/>
        <v>10.18</v>
      </c>
      <c r="Q85" s="2">
        <f t="shared" si="104"/>
        <v>1329.23</v>
      </c>
      <c r="R85" s="2">
        <f t="shared" si="104"/>
        <v>67.790000000000006</v>
      </c>
      <c r="S85" s="2">
        <f t="shared" si="104"/>
        <v>28.53</v>
      </c>
      <c r="T85" s="2">
        <f t="shared" si="104"/>
        <v>2.14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13">
        <v>345011</v>
      </c>
      <c r="AA85" s="14" t="s">
        <v>335</v>
      </c>
      <c r="AB85" s="15" t="s">
        <v>282</v>
      </c>
      <c r="AC85">
        <v>3043501</v>
      </c>
      <c r="AD85" s="54">
        <v>5</v>
      </c>
      <c r="AE85" s="2">
        <v>1</v>
      </c>
      <c r="AF85" s="2">
        <f t="shared" si="92"/>
        <v>3033501</v>
      </c>
      <c r="AG85" s="2">
        <v>2</v>
      </c>
      <c r="AH85" s="2"/>
      <c r="AI85">
        <v>1</v>
      </c>
      <c r="AJ85" s="1">
        <f t="shared" si="67"/>
        <v>58.076802656751056</v>
      </c>
      <c r="AK85">
        <v>3</v>
      </c>
      <c r="AL85">
        <f t="shared" si="72"/>
        <v>199.68</v>
      </c>
      <c r="AM85">
        <f t="shared" si="73"/>
        <v>10.183679999999999</v>
      </c>
      <c r="AN85">
        <f t="shared" si="74"/>
        <v>1329.2307692307691</v>
      </c>
      <c r="AO85">
        <f t="shared" si="75"/>
        <v>67.790769230769214</v>
      </c>
      <c r="AP85">
        <f t="shared" si="76"/>
        <v>28.525714285714287</v>
      </c>
      <c r="AQ85">
        <f t="shared" si="77"/>
        <v>2.1394285714285712</v>
      </c>
      <c r="AR85">
        <f t="shared" si="80"/>
        <v>1.6</v>
      </c>
      <c r="AS85">
        <f t="shared" si="99"/>
        <v>2</v>
      </c>
      <c r="AT85">
        <f t="shared" si="100"/>
        <v>6</v>
      </c>
      <c r="AU85">
        <f t="shared" si="93"/>
        <v>5014</v>
      </c>
      <c r="AV85" s="1">
        <v>1</v>
      </c>
      <c r="AW85">
        <v>3</v>
      </c>
      <c r="AX85">
        <v>0</v>
      </c>
      <c r="AZ85">
        <v>5</v>
      </c>
      <c r="BA85">
        <v>4</v>
      </c>
      <c r="BC85" t="s">
        <v>113</v>
      </c>
      <c r="BD85">
        <f t="shared" ref="BD85:BD95" si="105">BJ5</f>
        <v>45.217391304347828</v>
      </c>
      <c r="BE85">
        <f>BD85*0.1</f>
        <v>4.5217391304347831</v>
      </c>
      <c r="BF85" s="28">
        <v>0</v>
      </c>
      <c r="BG85" s="28">
        <f t="shared" ref="BG85:BN94" si="106">($BD85+(BG$84-1)*$BE85)*$BD$83+$BF85</f>
        <v>4.5217391304347831E-3</v>
      </c>
      <c r="BH85" s="28">
        <f t="shared" si="106"/>
        <v>1.2208695652173914E-2</v>
      </c>
      <c r="BI85" s="28">
        <f t="shared" si="106"/>
        <v>1.8991304347826088E-2</v>
      </c>
      <c r="BJ85" s="28">
        <f t="shared" si="106"/>
        <v>2.6678260869565221E-2</v>
      </c>
      <c r="BK85" s="28">
        <f t="shared" si="106"/>
        <v>4.9286956521739138E-2</v>
      </c>
      <c r="BL85" s="28">
        <f t="shared" si="106"/>
        <v>7.1895652173913069E-2</v>
      </c>
      <c r="BM85" s="28">
        <f t="shared" si="106"/>
        <v>9.4504347826086979E-2</v>
      </c>
      <c r="BN85" s="28">
        <f t="shared" si="106"/>
        <v>0.13972173913043481</v>
      </c>
      <c r="BO85" s="28">
        <v>0.25</v>
      </c>
      <c r="BP85">
        <f t="shared" ref="BP85:BP100" si="107">$BP$83*(1-BN85)</f>
        <v>8602.782608695652</v>
      </c>
      <c r="BS85">
        <f>2+1.5*1.6/1.2</f>
        <v>4</v>
      </c>
      <c r="CD85" s="2" t="s">
        <v>289</v>
      </c>
      <c r="CE85" s="6" t="s">
        <v>336</v>
      </c>
      <c r="CG85" t="str">
        <f t="shared" si="82"/>
        <v>DATA_Class_Base20</v>
      </c>
      <c r="CH85" s="6" t="s">
        <v>336</v>
      </c>
    </row>
    <row r="86" spans="1:86">
      <c r="A86">
        <f t="shared" si="63"/>
        <v>3033600</v>
      </c>
      <c r="B86" s="6" t="s">
        <v>337</v>
      </c>
      <c r="C86">
        <v>0</v>
      </c>
      <c r="D86">
        <v>3</v>
      </c>
      <c r="E86">
        <v>6</v>
      </c>
      <c r="F86">
        <v>3</v>
      </c>
      <c r="G86" s="3" t="s">
        <v>338</v>
      </c>
      <c r="H86" s="3" t="s">
        <v>338</v>
      </c>
      <c r="I86" s="2">
        <v>0</v>
      </c>
      <c r="J86" s="2" t="s">
        <v>339</v>
      </c>
      <c r="K86" s="2">
        <f t="shared" si="78"/>
        <v>3</v>
      </c>
      <c r="L86" s="2">
        <f t="shared" si="64"/>
        <v>1.4000000000000001</v>
      </c>
      <c r="M86" s="2">
        <f t="shared" si="65"/>
        <v>1.9000000000000001</v>
      </c>
      <c r="N86" s="2">
        <v>10</v>
      </c>
      <c r="O86" s="2">
        <f t="shared" ref="O86:T86" si="108">ROUND(AL86*(1+$AX86),2)</f>
        <v>147.84</v>
      </c>
      <c r="P86" s="2">
        <f t="shared" si="108"/>
        <v>7.54</v>
      </c>
      <c r="Q86" s="2">
        <f t="shared" si="108"/>
        <v>1570.91</v>
      </c>
      <c r="R86" s="2">
        <f t="shared" si="108"/>
        <v>80.12</v>
      </c>
      <c r="S86" s="2">
        <f t="shared" si="108"/>
        <v>36.96</v>
      </c>
      <c r="T86" s="2">
        <f t="shared" si="108"/>
        <v>2.77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13">
        <v>346001</v>
      </c>
      <c r="AA86" s="14" t="s">
        <v>340</v>
      </c>
      <c r="AB86" s="15" t="s">
        <v>282</v>
      </c>
      <c r="AC86">
        <v>3043600</v>
      </c>
      <c r="AD86" s="54">
        <v>5</v>
      </c>
      <c r="AE86" s="2">
        <v>1</v>
      </c>
      <c r="AF86" s="2">
        <f t="shared" si="92"/>
        <v>3033600</v>
      </c>
      <c r="AG86" s="2">
        <v>2</v>
      </c>
      <c r="AH86" s="2"/>
      <c r="AI86">
        <v>1</v>
      </c>
      <c r="AJ86" s="1">
        <f t="shared" si="67"/>
        <v>58.182961048394944</v>
      </c>
      <c r="AK86">
        <v>3</v>
      </c>
      <c r="AL86">
        <f t="shared" si="72"/>
        <v>147.83999999999997</v>
      </c>
      <c r="AM86">
        <f t="shared" si="73"/>
        <v>7.5398399999999981</v>
      </c>
      <c r="AN86">
        <f t="shared" si="74"/>
        <v>1570.9090909090908</v>
      </c>
      <c r="AO86">
        <f t="shared" si="75"/>
        <v>80.11636363636363</v>
      </c>
      <c r="AP86">
        <f t="shared" si="76"/>
        <v>36.959999999999994</v>
      </c>
      <c r="AQ86">
        <f t="shared" si="77"/>
        <v>2.7719999999999994</v>
      </c>
      <c r="AR86">
        <f t="shared" si="80"/>
        <v>1.4</v>
      </c>
      <c r="AS86">
        <f t="shared" si="99"/>
        <v>1.9</v>
      </c>
      <c r="AT86">
        <f t="shared" si="100"/>
        <v>3</v>
      </c>
      <c r="AU86">
        <f t="shared" si="93"/>
        <v>6004</v>
      </c>
      <c r="AV86" s="1">
        <v>0</v>
      </c>
      <c r="AW86">
        <v>3</v>
      </c>
      <c r="AX86">
        <v>0</v>
      </c>
      <c r="AZ86">
        <v>6</v>
      </c>
      <c r="BA86">
        <v>4</v>
      </c>
      <c r="BC86" s="2" t="s">
        <v>341</v>
      </c>
      <c r="BD86">
        <f t="shared" si="105"/>
        <v>38.4</v>
      </c>
      <c r="BE86">
        <f t="shared" ref="BE86:BE100" si="109">BD86*0.1</f>
        <v>3.84</v>
      </c>
      <c r="BF86" s="28">
        <v>0</v>
      </c>
      <c r="BG86" s="28">
        <f t="shared" si="106"/>
        <v>3.8400000000000001E-3</v>
      </c>
      <c r="BH86" s="28">
        <f t="shared" si="106"/>
        <v>1.0368E-2</v>
      </c>
      <c r="BI86" s="28">
        <f t="shared" si="106"/>
        <v>1.6128E-2</v>
      </c>
      <c r="BJ86" s="28">
        <f t="shared" si="106"/>
        <v>2.2656000000000003E-2</v>
      </c>
      <c r="BK86" s="28">
        <f t="shared" si="106"/>
        <v>4.1855999999999997E-2</v>
      </c>
      <c r="BL86" s="28">
        <f t="shared" si="106"/>
        <v>6.1055999999999999E-2</v>
      </c>
      <c r="BM86" s="28">
        <f t="shared" si="106"/>
        <v>8.0255999999999994E-2</v>
      </c>
      <c r="BN86" s="28">
        <f t="shared" si="106"/>
        <v>0.118656</v>
      </c>
      <c r="BO86" s="28">
        <v>0.25</v>
      </c>
      <c r="BP86">
        <f t="shared" si="107"/>
        <v>8813.44</v>
      </c>
      <c r="CD86" s="2" t="s">
        <v>307</v>
      </c>
      <c r="CE86" s="6" t="s">
        <v>342</v>
      </c>
      <c r="CG86" t="str">
        <f t="shared" si="82"/>
        <v>DATA_Class_Base21</v>
      </c>
      <c r="CH86" s="6" t="s">
        <v>342</v>
      </c>
    </row>
    <row r="87" spans="1:86">
      <c r="A87">
        <f t="shared" si="63"/>
        <v>3031602</v>
      </c>
      <c r="B87" s="6" t="s">
        <v>343</v>
      </c>
      <c r="C87">
        <v>0</v>
      </c>
      <c r="D87">
        <v>3</v>
      </c>
      <c r="E87">
        <v>6</v>
      </c>
      <c r="F87">
        <v>1</v>
      </c>
      <c r="G87" s="3" t="s">
        <v>344</v>
      </c>
      <c r="H87" s="3" t="s">
        <v>344</v>
      </c>
      <c r="I87" t="s">
        <v>345</v>
      </c>
      <c r="J87" s="2" t="s">
        <v>346</v>
      </c>
      <c r="K87" s="2">
        <f t="shared" si="78"/>
        <v>6</v>
      </c>
      <c r="L87" s="2">
        <f t="shared" si="64"/>
        <v>1.8</v>
      </c>
      <c r="M87" s="2">
        <f t="shared" si="65"/>
        <v>2</v>
      </c>
      <c r="N87" s="2">
        <v>10</v>
      </c>
      <c r="O87" s="2">
        <f t="shared" ref="O87:T87" si="110">ROUND(AL87*(1+$AX87),2)</f>
        <v>172.8</v>
      </c>
      <c r="P87" s="2">
        <f t="shared" si="110"/>
        <v>8.81</v>
      </c>
      <c r="Q87" s="2">
        <f t="shared" si="110"/>
        <v>1728</v>
      </c>
      <c r="R87" s="2">
        <f t="shared" si="110"/>
        <v>88.13</v>
      </c>
      <c r="S87" s="2">
        <f t="shared" si="110"/>
        <v>34.56</v>
      </c>
      <c r="T87" s="2">
        <f t="shared" si="110"/>
        <v>2.59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13">
        <v>346021</v>
      </c>
      <c r="AA87" s="14" t="s">
        <v>347</v>
      </c>
      <c r="AB87" s="15" t="s">
        <v>282</v>
      </c>
      <c r="AC87">
        <v>3041602</v>
      </c>
      <c r="AD87" s="54">
        <v>5</v>
      </c>
      <c r="AE87" s="2">
        <v>1</v>
      </c>
      <c r="AF87" s="2">
        <f t="shared" si="92"/>
        <v>3031602</v>
      </c>
      <c r="AG87" s="2">
        <v>2</v>
      </c>
      <c r="AH87" s="2"/>
      <c r="AI87">
        <v>1</v>
      </c>
      <c r="AJ87" s="1">
        <f t="shared" si="67"/>
        <v>58.152713892023286</v>
      </c>
      <c r="AK87">
        <v>3</v>
      </c>
      <c r="AL87">
        <f t="shared" si="72"/>
        <v>172.79999999999998</v>
      </c>
      <c r="AM87">
        <f t="shared" si="73"/>
        <v>8.8127999999999993</v>
      </c>
      <c r="AN87">
        <f t="shared" si="74"/>
        <v>1728</v>
      </c>
      <c r="AO87">
        <f t="shared" si="75"/>
        <v>88.128</v>
      </c>
      <c r="AP87">
        <f t="shared" si="76"/>
        <v>34.559999999999995</v>
      </c>
      <c r="AQ87">
        <f t="shared" si="77"/>
        <v>2.5919999999999996</v>
      </c>
      <c r="AR87">
        <f t="shared" si="80"/>
        <v>1.8</v>
      </c>
      <c r="AS87">
        <f t="shared" si="99"/>
        <v>2</v>
      </c>
      <c r="AT87">
        <f t="shared" si="100"/>
        <v>6</v>
      </c>
      <c r="AU87">
        <f t="shared" si="93"/>
        <v>6024</v>
      </c>
      <c r="AV87" s="1">
        <v>2</v>
      </c>
      <c r="AW87">
        <v>3</v>
      </c>
      <c r="AX87">
        <v>0</v>
      </c>
      <c r="AZ87">
        <v>6</v>
      </c>
      <c r="BA87">
        <v>4</v>
      </c>
      <c r="BC87" t="s">
        <v>132</v>
      </c>
      <c r="BD87">
        <f t="shared" si="105"/>
        <v>40</v>
      </c>
      <c r="BE87">
        <f t="shared" si="109"/>
        <v>4</v>
      </c>
      <c r="BF87" s="28">
        <v>0</v>
      </c>
      <c r="BG87" s="28">
        <f t="shared" si="106"/>
        <v>4.0000000000000001E-3</v>
      </c>
      <c r="BH87" s="28">
        <f t="shared" si="106"/>
        <v>1.0800000000000001E-2</v>
      </c>
      <c r="BI87" s="28">
        <f t="shared" si="106"/>
        <v>1.6800000000000002E-2</v>
      </c>
      <c r="BJ87" s="28">
        <f t="shared" si="106"/>
        <v>2.3599999999999999E-2</v>
      </c>
      <c r="BK87" s="28">
        <f t="shared" si="106"/>
        <v>4.36E-2</v>
      </c>
      <c r="BL87" s="28">
        <f t="shared" si="106"/>
        <v>6.3600000000000004E-2</v>
      </c>
      <c r="BM87" s="28">
        <f t="shared" si="106"/>
        <v>8.3600000000000008E-2</v>
      </c>
      <c r="BN87" s="28">
        <f t="shared" si="106"/>
        <v>0.1236</v>
      </c>
      <c r="BO87" s="28">
        <v>0.25</v>
      </c>
      <c r="BP87">
        <f t="shared" si="107"/>
        <v>8764</v>
      </c>
      <c r="BR87" t="s">
        <v>348</v>
      </c>
      <c r="BS87" t="s">
        <v>348</v>
      </c>
      <c r="CD87" s="2" t="s">
        <v>332</v>
      </c>
      <c r="CE87" s="6" t="s">
        <v>349</v>
      </c>
      <c r="CG87" t="str">
        <f t="shared" si="82"/>
        <v>DATA_Class_Base13</v>
      </c>
      <c r="CH87" s="6" t="s">
        <v>295</v>
      </c>
    </row>
    <row r="88" spans="1:86">
      <c r="A88">
        <f t="shared" si="63"/>
        <v>3032300</v>
      </c>
      <c r="B88" s="6" t="s">
        <v>350</v>
      </c>
      <c r="C88">
        <v>0</v>
      </c>
      <c r="D88">
        <v>3</v>
      </c>
      <c r="E88">
        <v>3</v>
      </c>
      <c r="F88">
        <v>2</v>
      </c>
      <c r="G88" s="3" t="s">
        <v>351</v>
      </c>
      <c r="H88" s="3" t="s">
        <v>351</v>
      </c>
      <c r="I88" s="2">
        <v>0</v>
      </c>
      <c r="J88" s="2" t="s">
        <v>352</v>
      </c>
      <c r="K88" s="2">
        <v>6</v>
      </c>
      <c r="L88" s="2">
        <f t="shared" si="64"/>
        <v>1.3</v>
      </c>
      <c r="M88" s="2">
        <f t="shared" si="65"/>
        <v>2</v>
      </c>
      <c r="N88" s="2">
        <v>10</v>
      </c>
      <c r="O88" s="2">
        <f t="shared" ref="O88:T88" si="111">ROUND(AL88*(1+$AX88),2)</f>
        <v>143.52000000000001</v>
      </c>
      <c r="P88" s="2">
        <f t="shared" si="111"/>
        <v>7.32</v>
      </c>
      <c r="Q88" s="2">
        <f t="shared" si="111"/>
        <v>1502.61</v>
      </c>
      <c r="R88" s="2">
        <f t="shared" si="111"/>
        <v>76.63</v>
      </c>
      <c r="S88" s="2">
        <f t="shared" si="111"/>
        <v>35.880000000000003</v>
      </c>
      <c r="T88" s="2">
        <f t="shared" si="111"/>
        <v>2.69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13">
        <v>353001</v>
      </c>
      <c r="AA88" s="14" t="s">
        <v>353</v>
      </c>
      <c r="AB88" s="15" t="s">
        <v>282</v>
      </c>
      <c r="AC88">
        <v>3042300</v>
      </c>
      <c r="AD88" s="54">
        <v>5</v>
      </c>
      <c r="AE88" s="2">
        <v>1</v>
      </c>
      <c r="AF88" s="2">
        <f t="shared" si="92"/>
        <v>3032300</v>
      </c>
      <c r="AG88" s="2">
        <v>2</v>
      </c>
      <c r="AH88" s="2"/>
      <c r="AI88">
        <v>1</v>
      </c>
      <c r="AJ88" s="1">
        <f t="shared" si="67"/>
        <v>58.16934593513281</v>
      </c>
      <c r="AK88">
        <v>3</v>
      </c>
      <c r="AL88">
        <f t="shared" si="72"/>
        <v>143.51999999999998</v>
      </c>
      <c r="AM88">
        <f t="shared" si="73"/>
        <v>7.3195199999999989</v>
      </c>
      <c r="AN88">
        <f t="shared" si="74"/>
        <v>1502.6086956521742</v>
      </c>
      <c r="AO88">
        <f t="shared" si="75"/>
        <v>76.633043478260873</v>
      </c>
      <c r="AP88">
        <f t="shared" si="76"/>
        <v>35.879999999999995</v>
      </c>
      <c r="AQ88">
        <f t="shared" si="77"/>
        <v>2.6909999999999994</v>
      </c>
      <c r="AR88">
        <f t="shared" si="80"/>
        <v>1.3</v>
      </c>
      <c r="AS88">
        <f t="shared" si="99"/>
        <v>2</v>
      </c>
      <c r="AT88">
        <f t="shared" si="100"/>
        <v>3</v>
      </c>
      <c r="AU88">
        <f t="shared" si="93"/>
        <v>3005</v>
      </c>
      <c r="AV88" s="1">
        <v>0</v>
      </c>
      <c r="AW88">
        <v>3</v>
      </c>
      <c r="AX88">
        <v>0</v>
      </c>
      <c r="AZ88">
        <v>3</v>
      </c>
      <c r="BA88">
        <v>5</v>
      </c>
      <c r="BC88" s="2" t="s">
        <v>354</v>
      </c>
      <c r="BD88">
        <f t="shared" si="105"/>
        <v>42</v>
      </c>
      <c r="BE88">
        <f t="shared" si="109"/>
        <v>4.2</v>
      </c>
      <c r="BF88" s="28">
        <v>0</v>
      </c>
      <c r="BG88" s="28">
        <f t="shared" si="106"/>
        <v>4.2000000000000006E-3</v>
      </c>
      <c r="BH88" s="28">
        <f t="shared" si="106"/>
        <v>1.1340000000000001E-2</v>
      </c>
      <c r="BI88" s="28">
        <f t="shared" si="106"/>
        <v>1.7640000000000003E-2</v>
      </c>
      <c r="BJ88" s="28">
        <f t="shared" si="106"/>
        <v>2.4780000000000003E-2</v>
      </c>
      <c r="BK88" s="28">
        <f t="shared" si="106"/>
        <v>4.5780000000000001E-2</v>
      </c>
      <c r="BL88" s="28">
        <f t="shared" si="106"/>
        <v>6.6780000000000006E-2</v>
      </c>
      <c r="BM88" s="28">
        <f t="shared" si="106"/>
        <v>8.7780000000000011E-2</v>
      </c>
      <c r="BN88" s="28">
        <f t="shared" si="106"/>
        <v>0.12978000000000001</v>
      </c>
      <c r="BO88" s="28">
        <v>0.25</v>
      </c>
      <c r="BP88">
        <f t="shared" si="107"/>
        <v>8702.2000000000007</v>
      </c>
      <c r="CD88" s="2" t="s">
        <v>337</v>
      </c>
      <c r="CE88" s="6" t="s">
        <v>355</v>
      </c>
      <c r="CG88" t="str">
        <f t="shared" si="82"/>
        <v>DATA_Class_Base14</v>
      </c>
      <c r="CH88" s="6" t="s">
        <v>300</v>
      </c>
    </row>
    <row r="89" spans="1:86">
      <c r="A89">
        <f t="shared" si="63"/>
        <v>3033302</v>
      </c>
      <c r="B89" s="6" t="s">
        <v>356</v>
      </c>
      <c r="C89">
        <v>0</v>
      </c>
      <c r="D89">
        <v>3</v>
      </c>
      <c r="E89">
        <v>3</v>
      </c>
      <c r="F89">
        <v>3</v>
      </c>
      <c r="G89" s="3" t="s">
        <v>357</v>
      </c>
      <c r="H89" s="3" t="s">
        <v>357</v>
      </c>
      <c r="I89">
        <v>0</v>
      </c>
      <c r="J89" s="2" t="s">
        <v>358</v>
      </c>
      <c r="K89" s="2">
        <f t="shared" ref="K89:K102" si="112">AT89</f>
        <v>3</v>
      </c>
      <c r="L89" s="2">
        <f t="shared" si="64"/>
        <v>1.4000000000000001</v>
      </c>
      <c r="M89" s="2">
        <f t="shared" si="65"/>
        <v>2</v>
      </c>
      <c r="N89" s="2">
        <v>10</v>
      </c>
      <c r="O89" s="2">
        <f t="shared" ref="O89:T89" si="113">ROUND(AL89*(1+$AX89),2)</f>
        <v>161.28</v>
      </c>
      <c r="P89" s="2">
        <f t="shared" si="113"/>
        <v>8.23</v>
      </c>
      <c r="Q89" s="2">
        <f t="shared" si="113"/>
        <v>1440</v>
      </c>
      <c r="R89" s="2">
        <f t="shared" si="113"/>
        <v>73.44</v>
      </c>
      <c r="S89" s="2">
        <f t="shared" si="113"/>
        <v>40.32</v>
      </c>
      <c r="T89" s="2">
        <f t="shared" si="113"/>
        <v>3.02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13">
        <v>353021</v>
      </c>
      <c r="AA89" s="14" t="s">
        <v>359</v>
      </c>
      <c r="AB89" s="15" t="s">
        <v>282</v>
      </c>
      <c r="AC89">
        <v>3043302</v>
      </c>
      <c r="AD89" s="54">
        <v>5</v>
      </c>
      <c r="AE89" s="2">
        <v>1</v>
      </c>
      <c r="AF89" s="2">
        <f t="shared" si="92"/>
        <v>3033302</v>
      </c>
      <c r="AG89" s="2">
        <v>2</v>
      </c>
      <c r="AH89" s="2"/>
      <c r="AI89">
        <v>1</v>
      </c>
      <c r="AJ89" s="1">
        <f t="shared" si="67"/>
        <v>58.225359967203694</v>
      </c>
      <c r="AK89">
        <v>3</v>
      </c>
      <c r="AL89">
        <f t="shared" si="72"/>
        <v>161.27999999999997</v>
      </c>
      <c r="AM89">
        <f t="shared" si="73"/>
        <v>8.2252799999999979</v>
      </c>
      <c r="AN89">
        <f t="shared" si="74"/>
        <v>1440</v>
      </c>
      <c r="AO89">
        <f t="shared" si="75"/>
        <v>73.44</v>
      </c>
      <c r="AP89">
        <f t="shared" si="76"/>
        <v>40.319999999999993</v>
      </c>
      <c r="AQ89">
        <f t="shared" si="77"/>
        <v>3.0239999999999996</v>
      </c>
      <c r="AR89">
        <f t="shared" si="80"/>
        <v>1.4</v>
      </c>
      <c r="AS89">
        <f t="shared" si="99"/>
        <v>2</v>
      </c>
      <c r="AT89">
        <f t="shared" si="100"/>
        <v>3</v>
      </c>
      <c r="AU89">
        <f t="shared" si="93"/>
        <v>3025</v>
      </c>
      <c r="AV89" s="1">
        <v>2</v>
      </c>
      <c r="AW89">
        <v>3</v>
      </c>
      <c r="AX89">
        <v>0</v>
      </c>
      <c r="AZ89">
        <v>3</v>
      </c>
      <c r="BA89">
        <v>5</v>
      </c>
      <c r="BC89" s="2" t="s">
        <v>360</v>
      </c>
      <c r="BD89">
        <f t="shared" si="105"/>
        <v>45.176470588235297</v>
      </c>
      <c r="BE89">
        <f t="shared" si="109"/>
        <v>4.5176470588235302</v>
      </c>
      <c r="BF89" s="28">
        <v>0</v>
      </c>
      <c r="BG89" s="28">
        <f t="shared" si="106"/>
        <v>4.5176470588235299E-3</v>
      </c>
      <c r="BH89" s="28">
        <f t="shared" si="106"/>
        <v>1.2197647058823532E-2</v>
      </c>
      <c r="BI89" s="28">
        <f t="shared" si="106"/>
        <v>1.8974117647058829E-2</v>
      </c>
      <c r="BJ89" s="28">
        <f t="shared" si="106"/>
        <v>2.6654117647058828E-2</v>
      </c>
      <c r="BK89" s="28">
        <f t="shared" si="106"/>
        <v>4.924235294117648E-2</v>
      </c>
      <c r="BL89" s="28">
        <f t="shared" si="106"/>
        <v>7.1830588235294132E-2</v>
      </c>
      <c r="BM89" s="28">
        <f t="shared" si="106"/>
        <v>9.4418823529411791E-2</v>
      </c>
      <c r="BN89" s="28">
        <f t="shared" si="106"/>
        <v>0.1395952941176471</v>
      </c>
      <c r="BO89" s="28">
        <v>0.25</v>
      </c>
      <c r="BP89">
        <f t="shared" si="107"/>
        <v>8604.0470588235294</v>
      </c>
      <c r="CD89" s="2" t="s">
        <v>343</v>
      </c>
      <c r="CE89" s="6" t="s">
        <v>361</v>
      </c>
      <c r="CG89" t="str">
        <f t="shared" si="82"/>
        <v>DATA_Class_Base15</v>
      </c>
      <c r="CH89" s="6" t="s">
        <v>306</v>
      </c>
    </row>
    <row r="90" spans="1:86">
      <c r="A90">
        <f t="shared" si="63"/>
        <v>3032400</v>
      </c>
      <c r="B90" s="6" t="s">
        <v>362</v>
      </c>
      <c r="C90">
        <v>0</v>
      </c>
      <c r="D90">
        <v>3</v>
      </c>
      <c r="E90">
        <v>4</v>
      </c>
      <c r="F90">
        <v>2</v>
      </c>
      <c r="G90" s="3" t="s">
        <v>363</v>
      </c>
      <c r="H90" s="3" t="s">
        <v>363</v>
      </c>
      <c r="I90">
        <v>0</v>
      </c>
      <c r="J90" s="2" t="s">
        <v>364</v>
      </c>
      <c r="K90" s="2">
        <f t="shared" si="112"/>
        <v>6</v>
      </c>
      <c r="L90" s="2">
        <f t="shared" si="64"/>
        <v>1.4000000000000001</v>
      </c>
      <c r="M90" s="2">
        <f t="shared" si="65"/>
        <v>2</v>
      </c>
      <c r="N90" s="2">
        <v>10</v>
      </c>
      <c r="O90" s="2">
        <f t="shared" ref="O90:T90" si="114">ROUND(AL90*(1+$AX90),2)</f>
        <v>168</v>
      </c>
      <c r="P90" s="2">
        <f t="shared" si="114"/>
        <v>8.57</v>
      </c>
      <c r="Q90" s="2">
        <f t="shared" si="114"/>
        <v>1382.4</v>
      </c>
      <c r="R90" s="2">
        <f t="shared" si="114"/>
        <v>70.5</v>
      </c>
      <c r="S90" s="2">
        <f t="shared" si="114"/>
        <v>30.55</v>
      </c>
      <c r="T90" s="2">
        <f t="shared" si="114"/>
        <v>2.29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13">
        <v>354001</v>
      </c>
      <c r="AA90" s="14" t="s">
        <v>365</v>
      </c>
      <c r="AB90" s="15" t="s">
        <v>282</v>
      </c>
      <c r="AC90">
        <v>3042400</v>
      </c>
      <c r="AD90" s="54">
        <v>5</v>
      </c>
      <c r="AE90" s="2">
        <v>1</v>
      </c>
      <c r="AF90" s="2">
        <f t="shared" si="92"/>
        <v>3032400</v>
      </c>
      <c r="AG90" s="2">
        <v>2</v>
      </c>
      <c r="AH90" s="2"/>
      <c r="AI90">
        <v>1</v>
      </c>
      <c r="AJ90" s="1">
        <f t="shared" si="67"/>
        <v>58.102188887193734</v>
      </c>
      <c r="AK90">
        <v>3</v>
      </c>
      <c r="AL90">
        <f t="shared" si="72"/>
        <v>168</v>
      </c>
      <c r="AM90">
        <f t="shared" si="73"/>
        <v>8.5679999999999996</v>
      </c>
      <c r="AN90">
        <f t="shared" si="74"/>
        <v>1382.3999999999999</v>
      </c>
      <c r="AO90">
        <f t="shared" si="75"/>
        <v>70.502399999999994</v>
      </c>
      <c r="AP90">
        <f t="shared" si="76"/>
        <v>30.545454545454547</v>
      </c>
      <c r="AQ90">
        <f t="shared" si="77"/>
        <v>2.290909090909091</v>
      </c>
      <c r="AR90">
        <f t="shared" si="80"/>
        <v>1.4</v>
      </c>
      <c r="AS90">
        <f t="shared" si="99"/>
        <v>2</v>
      </c>
      <c r="AT90">
        <f t="shared" si="100"/>
        <v>6</v>
      </c>
      <c r="AU90">
        <f t="shared" si="93"/>
        <v>4005</v>
      </c>
      <c r="AV90" s="1">
        <v>0</v>
      </c>
      <c r="AW90">
        <v>3</v>
      </c>
      <c r="AX90">
        <v>0</v>
      </c>
      <c r="AZ90">
        <v>4</v>
      </c>
      <c r="BA90">
        <v>5</v>
      </c>
      <c r="BC90" s="2" t="s">
        <v>165</v>
      </c>
      <c r="BD90">
        <f t="shared" si="105"/>
        <v>41.739130434782609</v>
      </c>
      <c r="BE90">
        <f t="shared" si="109"/>
        <v>4.1739130434782608</v>
      </c>
      <c r="BF90" s="28">
        <v>0</v>
      </c>
      <c r="BG90" s="28">
        <f t="shared" si="106"/>
        <v>4.1739130434782614E-3</v>
      </c>
      <c r="BH90" s="28">
        <f t="shared" si="106"/>
        <v>1.1269565217391305E-2</v>
      </c>
      <c r="BI90" s="28">
        <f t="shared" si="106"/>
        <v>1.7530434782608694E-2</v>
      </c>
      <c r="BJ90" s="28">
        <f t="shared" si="106"/>
        <v>2.4626086956521739E-2</v>
      </c>
      <c r="BK90" s="28">
        <f t="shared" si="106"/>
        <v>4.5495652173913048E-2</v>
      </c>
      <c r="BL90" s="28">
        <f t="shared" si="106"/>
        <v>6.6365217391304354E-2</v>
      </c>
      <c r="BM90" s="28">
        <f t="shared" si="106"/>
        <v>8.723478260869566E-2</v>
      </c>
      <c r="BN90" s="28">
        <f t="shared" si="106"/>
        <v>0.12897391304347824</v>
      </c>
      <c r="BO90" s="28">
        <v>0.25</v>
      </c>
      <c r="BP90">
        <f t="shared" si="107"/>
        <v>8710.2608695652179</v>
      </c>
      <c r="CD90" s="8" t="s">
        <v>350</v>
      </c>
      <c r="CE90" s="6" t="s">
        <v>366</v>
      </c>
      <c r="CG90" t="str">
        <f t="shared" si="82"/>
        <v>DATA_Class_Base16</v>
      </c>
      <c r="CH90" s="6" t="s">
        <v>312</v>
      </c>
    </row>
    <row r="91" spans="1:86">
      <c r="A91">
        <f t="shared" si="63"/>
        <v>3041202</v>
      </c>
      <c r="B91" s="6" t="s">
        <v>278</v>
      </c>
      <c r="C91">
        <v>0</v>
      </c>
      <c r="D91">
        <v>4</v>
      </c>
      <c r="E91">
        <v>2</v>
      </c>
      <c r="F91">
        <v>1</v>
      </c>
      <c r="G91" s="3" t="s">
        <v>279</v>
      </c>
      <c r="H91" s="3" t="s">
        <v>279</v>
      </c>
      <c r="I91">
        <v>0</v>
      </c>
      <c r="J91" s="2" t="s">
        <v>280</v>
      </c>
      <c r="K91" s="2">
        <f t="shared" si="112"/>
        <v>3</v>
      </c>
      <c r="L91" s="2">
        <f t="shared" si="64"/>
        <v>1.6</v>
      </c>
      <c r="M91" s="2">
        <f t="shared" si="65"/>
        <v>2</v>
      </c>
      <c r="N91" s="2">
        <v>10</v>
      </c>
      <c r="O91" s="2">
        <f t="shared" ref="O91:T91" si="115">ROUND(AL91*(1+$AX91),2)</f>
        <v>143.36000000000001</v>
      </c>
      <c r="P91" s="2">
        <f t="shared" si="115"/>
        <v>7.31</v>
      </c>
      <c r="Q91" s="2">
        <f t="shared" si="115"/>
        <v>2520</v>
      </c>
      <c r="R91" s="2">
        <f t="shared" si="115"/>
        <v>128.52000000000001</v>
      </c>
      <c r="S91" s="2">
        <f t="shared" si="115"/>
        <v>53.1</v>
      </c>
      <c r="T91" s="2">
        <f t="shared" si="115"/>
        <v>3.98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16">
        <v>312021</v>
      </c>
      <c r="AA91" s="14" t="s">
        <v>367</v>
      </c>
      <c r="AB91" s="15" t="s">
        <v>368</v>
      </c>
      <c r="AC91" s="2">
        <v>3051202</v>
      </c>
      <c r="AD91" s="52">
        <v>4</v>
      </c>
      <c r="AE91" s="2">
        <v>2</v>
      </c>
      <c r="AF91" s="2">
        <v>4</v>
      </c>
      <c r="AG91" s="2">
        <v>2</v>
      </c>
      <c r="AH91" s="2"/>
      <c r="AI91">
        <v>1</v>
      </c>
      <c r="AJ91" s="1">
        <f t="shared" si="67"/>
        <v>79.471393614908223</v>
      </c>
      <c r="AK91">
        <v>4</v>
      </c>
      <c r="AL91">
        <f t="shared" si="72"/>
        <v>143.36000000000001</v>
      </c>
      <c r="AM91">
        <f t="shared" si="73"/>
        <v>7.3113600000000005</v>
      </c>
      <c r="AN91">
        <f t="shared" si="74"/>
        <v>2520</v>
      </c>
      <c r="AO91">
        <f t="shared" si="75"/>
        <v>128.51999999999998</v>
      </c>
      <c r="AP91">
        <f t="shared" si="76"/>
        <v>53.096296296296295</v>
      </c>
      <c r="AQ91">
        <f t="shared" si="77"/>
        <v>3.9822222222222221</v>
      </c>
      <c r="AR91">
        <f t="shared" si="80"/>
        <v>1.6</v>
      </c>
      <c r="AS91">
        <f t="shared" si="99"/>
        <v>2</v>
      </c>
      <c r="AT91">
        <f t="shared" si="100"/>
        <v>3</v>
      </c>
      <c r="AU91">
        <f t="shared" si="93"/>
        <v>2021</v>
      </c>
      <c r="AV91" s="1">
        <v>2</v>
      </c>
      <c r="AW91">
        <v>3</v>
      </c>
      <c r="AX91">
        <v>0</v>
      </c>
      <c r="AZ91">
        <v>2</v>
      </c>
      <c r="BA91">
        <v>1</v>
      </c>
      <c r="BC91" s="2" t="s">
        <v>172</v>
      </c>
      <c r="BD91">
        <f t="shared" si="105"/>
        <v>40.799999999999997</v>
      </c>
      <c r="BE91">
        <f t="shared" si="109"/>
        <v>4.08</v>
      </c>
      <c r="BF91" s="28">
        <v>0</v>
      </c>
      <c r="BG91" s="28">
        <f t="shared" si="106"/>
        <v>4.0800000000000003E-3</v>
      </c>
      <c r="BH91" s="28">
        <f t="shared" si="106"/>
        <v>1.1016E-2</v>
      </c>
      <c r="BI91" s="28">
        <f t="shared" si="106"/>
        <v>1.7136000000000002E-2</v>
      </c>
      <c r="BJ91" s="28">
        <f t="shared" si="106"/>
        <v>2.4072000000000003E-2</v>
      </c>
      <c r="BK91" s="28">
        <f t="shared" si="106"/>
        <v>4.4472000000000005E-2</v>
      </c>
      <c r="BL91" s="28">
        <f t="shared" si="106"/>
        <v>6.4871999999999999E-2</v>
      </c>
      <c r="BM91" s="28">
        <f t="shared" si="106"/>
        <v>8.5272000000000001E-2</v>
      </c>
      <c r="BN91" s="28">
        <f t="shared" si="106"/>
        <v>0.12607200000000002</v>
      </c>
      <c r="BO91" s="28">
        <v>0.25</v>
      </c>
      <c r="BP91">
        <f t="shared" si="107"/>
        <v>8739.2800000000007</v>
      </c>
      <c r="CD91" s="2" t="s">
        <v>356</v>
      </c>
      <c r="CE91" s="6" t="s">
        <v>369</v>
      </c>
      <c r="CG91" t="str">
        <f t="shared" si="82"/>
        <v>DATA_Class_Base17</v>
      </c>
      <c r="CH91" s="6" t="s">
        <v>318</v>
      </c>
    </row>
    <row r="92" spans="1:86">
      <c r="A92">
        <f t="shared" si="63"/>
        <v>3041301</v>
      </c>
      <c r="B92" s="6" t="s">
        <v>283</v>
      </c>
      <c r="C92">
        <v>0</v>
      </c>
      <c r="D92">
        <v>4</v>
      </c>
      <c r="E92">
        <v>3</v>
      </c>
      <c r="F92">
        <v>1</v>
      </c>
      <c r="G92" s="3" t="s">
        <v>284</v>
      </c>
      <c r="H92" s="3" t="s">
        <v>284</v>
      </c>
      <c r="I92" s="2">
        <v>0</v>
      </c>
      <c r="J92" s="2" t="s">
        <v>285</v>
      </c>
      <c r="K92" s="2">
        <f t="shared" si="112"/>
        <v>3</v>
      </c>
      <c r="L92" s="2">
        <f t="shared" si="64"/>
        <v>1.3</v>
      </c>
      <c r="M92" s="2">
        <f t="shared" si="65"/>
        <v>2</v>
      </c>
      <c r="N92" s="2">
        <v>10</v>
      </c>
      <c r="O92" s="2">
        <f t="shared" ref="O92:T92" si="116">ROUND(AL92*(1+$AX92),2)</f>
        <v>160.16</v>
      </c>
      <c r="P92" s="2">
        <f t="shared" si="116"/>
        <v>8.17</v>
      </c>
      <c r="Q92" s="2">
        <f t="shared" si="116"/>
        <v>1832.73</v>
      </c>
      <c r="R92" s="2">
        <f t="shared" si="116"/>
        <v>93.47</v>
      </c>
      <c r="S92" s="2">
        <f t="shared" si="116"/>
        <v>45.76</v>
      </c>
      <c r="T92" s="2">
        <f t="shared" si="116"/>
        <v>3.43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16">
        <v>313011</v>
      </c>
      <c r="AA92" s="14" t="s">
        <v>370</v>
      </c>
      <c r="AB92" s="15" t="s">
        <v>368</v>
      </c>
      <c r="AC92" s="2">
        <v>3051301</v>
      </c>
      <c r="AD92" s="52">
        <v>4</v>
      </c>
      <c r="AE92" s="2">
        <v>2</v>
      </c>
      <c r="AF92" s="2">
        <v>4</v>
      </c>
      <c r="AG92" s="2">
        <v>2</v>
      </c>
      <c r="AH92" s="2"/>
      <c r="AI92">
        <v>1</v>
      </c>
      <c r="AJ92" s="1">
        <f t="shared" si="67"/>
        <v>79.344797589080414</v>
      </c>
      <c r="AK92">
        <v>4</v>
      </c>
      <c r="AL92">
        <f t="shared" si="72"/>
        <v>160.16000000000003</v>
      </c>
      <c r="AM92">
        <f t="shared" si="73"/>
        <v>8.1681600000000003</v>
      </c>
      <c r="AN92">
        <f t="shared" si="74"/>
        <v>1832.7272727272725</v>
      </c>
      <c r="AO92">
        <f t="shared" si="75"/>
        <v>93.469090909090895</v>
      </c>
      <c r="AP92">
        <f t="shared" si="76"/>
        <v>45.760000000000005</v>
      </c>
      <c r="AQ92">
        <f t="shared" si="77"/>
        <v>3.4320000000000004</v>
      </c>
      <c r="AR92">
        <f t="shared" si="80"/>
        <v>1.3</v>
      </c>
      <c r="AS92">
        <f t="shared" si="99"/>
        <v>2</v>
      </c>
      <c r="AT92">
        <f t="shared" si="100"/>
        <v>3</v>
      </c>
      <c r="AU92">
        <f t="shared" si="93"/>
        <v>3011</v>
      </c>
      <c r="AV92" s="1">
        <v>1</v>
      </c>
      <c r="AW92">
        <v>3</v>
      </c>
      <c r="AX92">
        <v>0</v>
      </c>
      <c r="AZ92">
        <v>3</v>
      </c>
      <c r="BA92">
        <v>1</v>
      </c>
      <c r="BC92" s="2" t="s">
        <v>174</v>
      </c>
      <c r="BD92">
        <f t="shared" si="105"/>
        <v>42.666666666666664</v>
      </c>
      <c r="BE92">
        <f t="shared" si="109"/>
        <v>4.2666666666666666</v>
      </c>
      <c r="BF92" s="28">
        <v>0</v>
      </c>
      <c r="BG92" s="28">
        <f t="shared" si="106"/>
        <v>4.2666666666666669E-3</v>
      </c>
      <c r="BH92" s="28">
        <f t="shared" si="106"/>
        <v>1.1519999999999999E-2</v>
      </c>
      <c r="BI92" s="28">
        <f t="shared" si="106"/>
        <v>1.7919999999999998E-2</v>
      </c>
      <c r="BJ92" s="28">
        <f t="shared" si="106"/>
        <v>2.5173333333333332E-2</v>
      </c>
      <c r="BK92" s="28">
        <f t="shared" si="106"/>
        <v>4.6506666666666668E-2</v>
      </c>
      <c r="BL92" s="28">
        <f t="shared" si="106"/>
        <v>6.7839999999999998E-2</v>
      </c>
      <c r="BM92" s="28">
        <f t="shared" si="106"/>
        <v>8.9173333333333327E-2</v>
      </c>
      <c r="BN92" s="28">
        <f t="shared" si="106"/>
        <v>0.13184000000000001</v>
      </c>
      <c r="BO92" s="28">
        <v>0.25</v>
      </c>
      <c r="BP92">
        <f t="shared" si="107"/>
        <v>8681.6</v>
      </c>
      <c r="CD92" s="2" t="s">
        <v>362</v>
      </c>
      <c r="CE92" s="6" t="s">
        <v>371</v>
      </c>
      <c r="CG92" t="str">
        <f t="shared" si="82"/>
        <v>DATA_Class_Base18</v>
      </c>
      <c r="CH92" s="6" t="s">
        <v>324</v>
      </c>
    </row>
    <row r="93" spans="1:86">
      <c r="A93">
        <f t="shared" si="63"/>
        <v>3041502</v>
      </c>
      <c r="B93" s="6" t="s">
        <v>289</v>
      </c>
      <c r="C93">
        <v>0</v>
      </c>
      <c r="D93">
        <v>4</v>
      </c>
      <c r="E93">
        <v>5</v>
      </c>
      <c r="F93">
        <v>1</v>
      </c>
      <c r="G93" s="3" t="s">
        <v>290</v>
      </c>
      <c r="H93" s="3" t="s">
        <v>290</v>
      </c>
      <c r="I93" s="2">
        <v>0</v>
      </c>
      <c r="J93" s="2" t="s">
        <v>291</v>
      </c>
      <c r="K93" s="2">
        <f t="shared" si="112"/>
        <v>6</v>
      </c>
      <c r="L93" s="2">
        <f t="shared" si="64"/>
        <v>1.4000000000000001</v>
      </c>
      <c r="M93" s="2">
        <f t="shared" si="65"/>
        <v>2</v>
      </c>
      <c r="N93" s="2">
        <v>10</v>
      </c>
      <c r="O93" s="2">
        <f t="shared" ref="O93:T93" si="117">ROUND(AL93*(1+$AX93),2)</f>
        <v>203.84</v>
      </c>
      <c r="P93" s="2">
        <f t="shared" si="117"/>
        <v>10.4</v>
      </c>
      <c r="Q93" s="2">
        <f t="shared" si="117"/>
        <v>1550.77</v>
      </c>
      <c r="R93" s="2">
        <f t="shared" si="117"/>
        <v>79.09</v>
      </c>
      <c r="S93" s="2">
        <f t="shared" si="117"/>
        <v>31.36</v>
      </c>
      <c r="T93" s="2">
        <f t="shared" si="117"/>
        <v>2.35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16">
        <v>315021</v>
      </c>
      <c r="AA93" s="14" t="s">
        <v>372</v>
      </c>
      <c r="AB93" s="15" t="s">
        <v>368</v>
      </c>
      <c r="AC93" s="2">
        <v>3051502</v>
      </c>
      <c r="AD93" s="52">
        <v>4</v>
      </c>
      <c r="AE93" s="2">
        <v>2</v>
      </c>
      <c r="AF93" s="2">
        <v>4</v>
      </c>
      <c r="AG93" s="2">
        <v>2</v>
      </c>
      <c r="AH93" s="2"/>
      <c r="AI93">
        <v>1</v>
      </c>
      <c r="AJ93" s="1">
        <f t="shared" si="67"/>
        <v>79.097478572003851</v>
      </c>
      <c r="AK93">
        <v>4</v>
      </c>
      <c r="AL93">
        <f t="shared" si="72"/>
        <v>203.83999999999995</v>
      </c>
      <c r="AM93">
        <f t="shared" si="73"/>
        <v>10.395839999999996</v>
      </c>
      <c r="AN93">
        <f t="shared" si="74"/>
        <v>1550.7692307692305</v>
      </c>
      <c r="AO93">
        <f t="shared" si="75"/>
        <v>79.089230769230753</v>
      </c>
      <c r="AP93">
        <f t="shared" si="76"/>
        <v>31.359999999999992</v>
      </c>
      <c r="AQ93">
        <f t="shared" si="77"/>
        <v>2.3519999999999994</v>
      </c>
      <c r="AR93">
        <f t="shared" si="80"/>
        <v>1.4</v>
      </c>
      <c r="AS93">
        <f t="shared" si="99"/>
        <v>2</v>
      </c>
      <c r="AT93">
        <f t="shared" si="100"/>
        <v>6</v>
      </c>
      <c r="AU93">
        <f t="shared" si="93"/>
        <v>5021</v>
      </c>
      <c r="AV93" s="1">
        <v>2</v>
      </c>
      <c r="AW93">
        <v>3</v>
      </c>
      <c r="AX93">
        <v>0</v>
      </c>
      <c r="AZ93">
        <v>5</v>
      </c>
      <c r="BA93">
        <v>1</v>
      </c>
      <c r="BC93" s="2" t="s">
        <v>176</v>
      </c>
      <c r="BD93">
        <f t="shared" si="105"/>
        <v>37.925925925925931</v>
      </c>
      <c r="BE93">
        <f t="shared" si="109"/>
        <v>3.7925925925925932</v>
      </c>
      <c r="BF93" s="28">
        <v>0</v>
      </c>
      <c r="BG93" s="28">
        <f t="shared" si="106"/>
        <v>3.7925925925925931E-3</v>
      </c>
      <c r="BH93" s="28">
        <f t="shared" si="106"/>
        <v>1.0240000000000001E-2</v>
      </c>
      <c r="BI93" s="28">
        <f t="shared" si="106"/>
        <v>1.5928888888888892E-2</v>
      </c>
      <c r="BJ93" s="28">
        <f t="shared" si="106"/>
        <v>2.23762962962963E-2</v>
      </c>
      <c r="BK93" s="28">
        <f t="shared" si="106"/>
        <v>4.1339259259259263E-2</v>
      </c>
      <c r="BL93" s="28">
        <f t="shared" si="106"/>
        <v>6.0302222222222236E-2</v>
      </c>
      <c r="BM93" s="28">
        <f t="shared" si="106"/>
        <v>7.9265185185185202E-2</v>
      </c>
      <c r="BN93" s="28">
        <f t="shared" si="106"/>
        <v>0.11719111111111113</v>
      </c>
      <c r="BO93" s="28">
        <v>0.25</v>
      </c>
      <c r="BP93">
        <f t="shared" si="107"/>
        <v>8828.0888888888894</v>
      </c>
      <c r="CD93" s="2" t="s">
        <v>373</v>
      </c>
      <c r="CE93" s="3" t="s">
        <v>374</v>
      </c>
      <c r="CG93" t="str">
        <f t="shared" si="82"/>
        <v>DATA_Class_Base19</v>
      </c>
      <c r="CH93" s="6" t="s">
        <v>331</v>
      </c>
    </row>
    <row r="94" spans="1:86">
      <c r="A94">
        <f t="shared" si="63"/>
        <v>3042201</v>
      </c>
      <c r="B94" s="6" t="s">
        <v>296</v>
      </c>
      <c r="C94">
        <v>0</v>
      </c>
      <c r="D94">
        <v>4</v>
      </c>
      <c r="E94">
        <v>2</v>
      </c>
      <c r="F94">
        <v>2</v>
      </c>
      <c r="G94" s="3" t="s">
        <v>297</v>
      </c>
      <c r="H94" s="3" t="s">
        <v>297</v>
      </c>
      <c r="I94">
        <v>0</v>
      </c>
      <c r="J94" s="8" t="s">
        <v>298</v>
      </c>
      <c r="K94" s="2">
        <f t="shared" si="112"/>
        <v>3</v>
      </c>
      <c r="L94" s="2">
        <f t="shared" si="64"/>
        <v>1.5</v>
      </c>
      <c r="M94" s="2">
        <f t="shared" si="65"/>
        <v>1.8</v>
      </c>
      <c r="N94" s="2">
        <v>10</v>
      </c>
      <c r="O94" s="2">
        <f t="shared" ref="O94:T94" si="118">ROUND(AL94*(1+$AX94),2)</f>
        <v>134.4</v>
      </c>
      <c r="P94" s="2">
        <f t="shared" si="118"/>
        <v>6.85</v>
      </c>
      <c r="Q94" s="2">
        <f t="shared" si="118"/>
        <v>2520</v>
      </c>
      <c r="R94" s="2">
        <f t="shared" si="118"/>
        <v>128.52000000000001</v>
      </c>
      <c r="S94" s="2">
        <f t="shared" si="118"/>
        <v>58.43</v>
      </c>
      <c r="T94" s="2">
        <f t="shared" si="118"/>
        <v>4.38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13">
        <v>322011</v>
      </c>
      <c r="AA94" s="14" t="s">
        <v>375</v>
      </c>
      <c r="AB94" s="15" t="s">
        <v>368</v>
      </c>
      <c r="AC94" s="2">
        <v>3052201</v>
      </c>
      <c r="AD94" s="52">
        <v>4</v>
      </c>
      <c r="AE94" s="2">
        <v>2</v>
      </c>
      <c r="AF94" s="2">
        <v>4</v>
      </c>
      <c r="AG94" s="2">
        <v>2</v>
      </c>
      <c r="AH94" s="2"/>
      <c r="AI94">
        <v>1</v>
      </c>
      <c r="AJ94" s="1">
        <f t="shared" si="67"/>
        <v>79.563769419940257</v>
      </c>
      <c r="AK94">
        <v>4</v>
      </c>
      <c r="AL94">
        <f t="shared" si="72"/>
        <v>134.4</v>
      </c>
      <c r="AM94">
        <f t="shared" si="73"/>
        <v>6.8544</v>
      </c>
      <c r="AN94">
        <f t="shared" si="74"/>
        <v>2520</v>
      </c>
      <c r="AO94">
        <f t="shared" si="75"/>
        <v>128.51999999999998</v>
      </c>
      <c r="AP94">
        <f t="shared" si="76"/>
        <v>58.434782608695656</v>
      </c>
      <c r="AQ94">
        <f t="shared" si="77"/>
        <v>4.3826086956521744</v>
      </c>
      <c r="AR94">
        <f t="shared" si="80"/>
        <v>1.5</v>
      </c>
      <c r="AS94">
        <f t="shared" si="99"/>
        <v>1.8</v>
      </c>
      <c r="AT94">
        <f t="shared" si="100"/>
        <v>3</v>
      </c>
      <c r="AU94">
        <f t="shared" si="93"/>
        <v>2012</v>
      </c>
      <c r="AV94" s="1">
        <v>1</v>
      </c>
      <c r="AW94">
        <v>3</v>
      </c>
      <c r="AX94">
        <v>0</v>
      </c>
      <c r="AZ94">
        <v>2</v>
      </c>
      <c r="BA94">
        <v>2</v>
      </c>
      <c r="BC94" s="2" t="s">
        <v>376</v>
      </c>
      <c r="BD94">
        <f t="shared" si="105"/>
        <v>36.800000000000004</v>
      </c>
      <c r="BE94">
        <f t="shared" si="109"/>
        <v>3.6800000000000006</v>
      </c>
      <c r="BF94" s="28">
        <v>0</v>
      </c>
      <c r="BG94" s="28">
        <f t="shared" si="106"/>
        <v>3.6800000000000005E-3</v>
      </c>
      <c r="BH94" s="28">
        <f t="shared" si="106"/>
        <v>9.9360000000000021E-3</v>
      </c>
      <c r="BI94" s="28">
        <f t="shared" si="106"/>
        <v>1.5456000000000004E-2</v>
      </c>
      <c r="BJ94" s="28">
        <f t="shared" si="106"/>
        <v>2.1712000000000006E-2</v>
      </c>
      <c r="BK94" s="28">
        <f t="shared" si="106"/>
        <v>4.0112000000000009E-2</v>
      </c>
      <c r="BL94" s="28">
        <f t="shared" si="106"/>
        <v>5.8512000000000002E-2</v>
      </c>
      <c r="BM94" s="28">
        <f t="shared" si="106"/>
        <v>7.6912000000000022E-2</v>
      </c>
      <c r="BN94" s="28">
        <f t="shared" si="106"/>
        <v>0.11371200000000002</v>
      </c>
      <c r="BO94" s="28">
        <v>0.25</v>
      </c>
      <c r="BP94">
        <f t="shared" si="107"/>
        <v>8862.8799999999992</v>
      </c>
      <c r="CD94" s="2" t="s">
        <v>377</v>
      </c>
      <c r="CE94" s="3" t="s">
        <v>378</v>
      </c>
      <c r="CG94" t="str">
        <f t="shared" si="82"/>
        <v>DATA_Class_Base20</v>
      </c>
      <c r="CH94" s="6" t="s">
        <v>336</v>
      </c>
    </row>
    <row r="95" spans="1:86">
      <c r="A95">
        <f t="shared" si="63"/>
        <v>3042500</v>
      </c>
      <c r="B95" s="6" t="s">
        <v>301</v>
      </c>
      <c r="C95">
        <v>0</v>
      </c>
      <c r="D95">
        <v>4</v>
      </c>
      <c r="E95">
        <v>5</v>
      </c>
      <c r="F95">
        <v>2</v>
      </c>
      <c r="G95" s="3" t="s">
        <v>302</v>
      </c>
      <c r="H95" s="3" t="s">
        <v>302</v>
      </c>
      <c r="I95" s="2">
        <v>0</v>
      </c>
      <c r="J95" s="2" t="s">
        <v>303</v>
      </c>
      <c r="K95" s="2">
        <f t="shared" si="112"/>
        <v>6</v>
      </c>
      <c r="L95" s="2">
        <f t="shared" si="64"/>
        <v>1.4000000000000001</v>
      </c>
      <c r="M95" s="2">
        <f t="shared" si="65"/>
        <v>2</v>
      </c>
      <c r="N95" s="2">
        <v>10</v>
      </c>
      <c r="O95" s="2">
        <f t="shared" ref="O95:T95" si="119">ROUND(AL95*(1+$AX95),2)</f>
        <v>235.2</v>
      </c>
      <c r="P95" s="2">
        <f t="shared" si="119"/>
        <v>12</v>
      </c>
      <c r="Q95" s="2">
        <f t="shared" si="119"/>
        <v>1344</v>
      </c>
      <c r="R95" s="2">
        <f t="shared" si="119"/>
        <v>68.540000000000006</v>
      </c>
      <c r="S95" s="2">
        <f t="shared" si="119"/>
        <v>31.36</v>
      </c>
      <c r="T95" s="2">
        <f t="shared" si="119"/>
        <v>2.35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13">
        <v>325001</v>
      </c>
      <c r="AA95" s="14" t="s">
        <v>379</v>
      </c>
      <c r="AB95" s="15" t="s">
        <v>368</v>
      </c>
      <c r="AC95" s="2">
        <v>3052500</v>
      </c>
      <c r="AD95" s="52">
        <v>4</v>
      </c>
      <c r="AE95" s="2">
        <v>2</v>
      </c>
      <c r="AF95" s="2">
        <v>4</v>
      </c>
      <c r="AG95" s="2">
        <v>2</v>
      </c>
      <c r="AH95" s="2"/>
      <c r="AI95">
        <v>1</v>
      </c>
      <c r="AJ95" s="1">
        <f t="shared" si="67"/>
        <v>79.09747857200388</v>
      </c>
      <c r="AK95">
        <v>4</v>
      </c>
      <c r="AL95">
        <f t="shared" si="72"/>
        <v>235.19999999999993</v>
      </c>
      <c r="AM95">
        <f t="shared" si="73"/>
        <v>11.995199999999995</v>
      </c>
      <c r="AN95">
        <f t="shared" si="74"/>
        <v>1344</v>
      </c>
      <c r="AO95">
        <f t="shared" si="75"/>
        <v>68.543999999999997</v>
      </c>
      <c r="AP95">
        <f t="shared" si="76"/>
        <v>31.359999999999992</v>
      </c>
      <c r="AQ95">
        <f t="shared" si="77"/>
        <v>2.3519999999999994</v>
      </c>
      <c r="AR95">
        <f t="shared" si="80"/>
        <v>1.4</v>
      </c>
      <c r="AS95">
        <f t="shared" si="99"/>
        <v>2</v>
      </c>
      <c r="AT95">
        <f t="shared" si="100"/>
        <v>6</v>
      </c>
      <c r="AU95">
        <f t="shared" si="93"/>
        <v>5002</v>
      </c>
      <c r="AV95" s="1">
        <v>0</v>
      </c>
      <c r="AW95">
        <v>3</v>
      </c>
      <c r="AX95">
        <v>0</v>
      </c>
      <c r="AZ95">
        <v>5</v>
      </c>
      <c r="BA95">
        <v>2</v>
      </c>
      <c r="BC95" s="2" t="s">
        <v>184</v>
      </c>
      <c r="BD95">
        <f t="shared" si="105"/>
        <v>40.799999999999997</v>
      </c>
      <c r="BE95">
        <f t="shared" si="109"/>
        <v>4.08</v>
      </c>
      <c r="BF95" s="28">
        <v>0</v>
      </c>
      <c r="BG95" s="28">
        <f t="shared" ref="BG95:BN100" si="120">($BD95+(BG$84-1)*$BE95)*$BD$83+$BF95</f>
        <v>4.0800000000000003E-3</v>
      </c>
      <c r="BH95" s="28">
        <f t="shared" si="120"/>
        <v>1.1016E-2</v>
      </c>
      <c r="BI95" s="28">
        <f t="shared" si="120"/>
        <v>1.7136000000000002E-2</v>
      </c>
      <c r="BJ95" s="28">
        <f t="shared" si="120"/>
        <v>2.4072000000000003E-2</v>
      </c>
      <c r="BK95" s="28">
        <f t="shared" si="120"/>
        <v>4.4472000000000005E-2</v>
      </c>
      <c r="BL95" s="28">
        <f t="shared" si="120"/>
        <v>6.4871999999999999E-2</v>
      </c>
      <c r="BM95" s="28">
        <f t="shared" si="120"/>
        <v>8.5272000000000001E-2</v>
      </c>
      <c r="BN95" s="28">
        <f t="shared" si="120"/>
        <v>0.12607200000000002</v>
      </c>
      <c r="BO95" s="28">
        <v>0.25</v>
      </c>
      <c r="BP95">
        <f t="shared" si="107"/>
        <v>8739.2800000000007</v>
      </c>
      <c r="CD95" s="2" t="s">
        <v>380</v>
      </c>
      <c r="CE95" s="3" t="s">
        <v>381</v>
      </c>
      <c r="CG95" t="str">
        <f t="shared" si="82"/>
        <v>DATA_Class_Base21</v>
      </c>
      <c r="CH95" s="6" t="s">
        <v>342</v>
      </c>
    </row>
    <row r="96" spans="1:86">
      <c r="A96">
        <f t="shared" si="63"/>
        <v>3042601</v>
      </c>
      <c r="B96" s="6" t="s">
        <v>307</v>
      </c>
      <c r="C96">
        <v>0</v>
      </c>
      <c r="D96">
        <v>4</v>
      </c>
      <c r="E96">
        <v>6</v>
      </c>
      <c r="F96">
        <v>2</v>
      </c>
      <c r="G96" s="3" t="s">
        <v>308</v>
      </c>
      <c r="H96" s="3" t="s">
        <v>308</v>
      </c>
      <c r="I96" s="2">
        <v>0</v>
      </c>
      <c r="J96" s="2" t="s">
        <v>309</v>
      </c>
      <c r="K96" s="2">
        <f t="shared" si="112"/>
        <v>6</v>
      </c>
      <c r="L96" s="2">
        <f t="shared" si="64"/>
        <v>1.5</v>
      </c>
      <c r="M96" s="2">
        <f t="shared" si="65"/>
        <v>2</v>
      </c>
      <c r="N96" s="2">
        <v>10</v>
      </c>
      <c r="O96" s="2">
        <f t="shared" ref="O96:T96" si="121">ROUND(AL96*(1+$AX96),2)</f>
        <v>184.8</v>
      </c>
      <c r="P96" s="2">
        <f t="shared" si="121"/>
        <v>9.42</v>
      </c>
      <c r="Q96" s="2">
        <f t="shared" si="121"/>
        <v>1832.73</v>
      </c>
      <c r="R96" s="2">
        <f t="shared" si="121"/>
        <v>93.47</v>
      </c>
      <c r="S96" s="2">
        <f t="shared" si="121"/>
        <v>41.07</v>
      </c>
      <c r="T96" s="2">
        <f t="shared" si="121"/>
        <v>3.08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13">
        <v>326011</v>
      </c>
      <c r="AA96" s="14" t="s">
        <v>382</v>
      </c>
      <c r="AB96" s="15" t="s">
        <v>368</v>
      </c>
      <c r="AC96" s="2">
        <v>3052601</v>
      </c>
      <c r="AD96" s="52">
        <v>4</v>
      </c>
      <c r="AE96" s="2">
        <v>2</v>
      </c>
      <c r="AF96" s="2">
        <v>4</v>
      </c>
      <c r="AG96" s="2">
        <v>2</v>
      </c>
      <c r="AH96" s="2"/>
      <c r="AI96">
        <v>1</v>
      </c>
      <c r="AJ96" s="1">
        <f t="shared" si="67"/>
        <v>79.264020188060428</v>
      </c>
      <c r="AK96">
        <v>4</v>
      </c>
      <c r="AL96">
        <f t="shared" si="72"/>
        <v>184.79999999999998</v>
      </c>
      <c r="AM96">
        <f t="shared" si="73"/>
        <v>9.4247999999999994</v>
      </c>
      <c r="AN96">
        <f t="shared" si="74"/>
        <v>1832.7272727272725</v>
      </c>
      <c r="AO96">
        <f t="shared" si="75"/>
        <v>93.469090909090895</v>
      </c>
      <c r="AP96">
        <f t="shared" si="76"/>
        <v>41.066666666666663</v>
      </c>
      <c r="AQ96">
        <f t="shared" si="77"/>
        <v>3.0799999999999996</v>
      </c>
      <c r="AR96">
        <f t="shared" si="80"/>
        <v>1.5</v>
      </c>
      <c r="AS96">
        <f t="shared" si="99"/>
        <v>2</v>
      </c>
      <c r="AT96">
        <f t="shared" si="100"/>
        <v>6</v>
      </c>
      <c r="AU96">
        <f t="shared" si="93"/>
        <v>6012</v>
      </c>
      <c r="AV96" s="1">
        <v>1</v>
      </c>
      <c r="AW96">
        <v>3</v>
      </c>
      <c r="AX96">
        <v>0</v>
      </c>
      <c r="AZ96">
        <v>6</v>
      </c>
      <c r="BA96">
        <v>2</v>
      </c>
      <c r="BC96" t="s">
        <v>190</v>
      </c>
      <c r="BD96">
        <f t="shared" ref="BD96:BD100" si="122">BJ16</f>
        <v>42.666666666666664</v>
      </c>
      <c r="BE96">
        <f t="shared" ref="BE96" si="123">BD96*0.1</f>
        <v>4.2666666666666666</v>
      </c>
      <c r="BF96" s="28">
        <v>0</v>
      </c>
      <c r="BG96" s="28">
        <f t="shared" si="120"/>
        <v>4.2666666666666669E-3</v>
      </c>
      <c r="BH96" s="28">
        <f t="shared" si="120"/>
        <v>1.1519999999999999E-2</v>
      </c>
      <c r="BI96" s="28">
        <f t="shared" si="120"/>
        <v>1.7919999999999998E-2</v>
      </c>
      <c r="BJ96" s="28">
        <f t="shared" si="120"/>
        <v>2.5173333333333332E-2</v>
      </c>
      <c r="BK96" s="28">
        <f t="shared" si="120"/>
        <v>4.6506666666666668E-2</v>
      </c>
      <c r="BL96" s="28">
        <f t="shared" si="120"/>
        <v>6.7839999999999998E-2</v>
      </c>
      <c r="BM96" s="28">
        <f t="shared" si="120"/>
        <v>8.9173333333333327E-2</v>
      </c>
      <c r="BN96" s="28">
        <f t="shared" si="120"/>
        <v>0.13184000000000001</v>
      </c>
      <c r="BO96" s="28">
        <v>0.25</v>
      </c>
      <c r="BP96">
        <f t="shared" si="107"/>
        <v>8681.6</v>
      </c>
      <c r="CD96" s="2" t="s">
        <v>383</v>
      </c>
      <c r="CE96" s="3" t="s">
        <v>384</v>
      </c>
      <c r="CG96" t="str">
        <f t="shared" si="82"/>
        <v>DATA_Class_Base13</v>
      </c>
      <c r="CH96" s="6" t="s">
        <v>295</v>
      </c>
    </row>
    <row r="97" spans="1:86">
      <c r="A97">
        <f t="shared" si="63"/>
        <v>3043200</v>
      </c>
      <c r="B97" s="6" t="s">
        <v>294</v>
      </c>
      <c r="C97">
        <v>0</v>
      </c>
      <c r="D97">
        <v>4</v>
      </c>
      <c r="E97">
        <v>2</v>
      </c>
      <c r="F97">
        <v>3</v>
      </c>
      <c r="G97" s="3" t="s">
        <v>313</v>
      </c>
      <c r="H97" s="3" t="s">
        <v>313</v>
      </c>
      <c r="I97">
        <v>0</v>
      </c>
      <c r="J97" s="2" t="s">
        <v>314</v>
      </c>
      <c r="K97" s="2">
        <f t="shared" si="112"/>
        <v>3</v>
      </c>
      <c r="L97" s="2">
        <f t="shared" si="64"/>
        <v>1.5</v>
      </c>
      <c r="M97" s="2">
        <f t="shared" si="65"/>
        <v>1.2</v>
      </c>
      <c r="N97" s="2">
        <v>10</v>
      </c>
      <c r="O97" s="2">
        <f t="shared" ref="O97:T97" si="124">ROUND(AL97*(1+$AX97),2)</f>
        <v>117.6</v>
      </c>
      <c r="P97" s="2">
        <f t="shared" si="124"/>
        <v>6</v>
      </c>
      <c r="Q97" s="2">
        <f t="shared" si="124"/>
        <v>2880</v>
      </c>
      <c r="R97" s="2">
        <f t="shared" si="124"/>
        <v>146.88</v>
      </c>
      <c r="S97" s="2">
        <f t="shared" si="124"/>
        <v>58.8</v>
      </c>
      <c r="T97" s="2">
        <f t="shared" si="124"/>
        <v>4.41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13">
        <v>332001</v>
      </c>
      <c r="AA97" s="14" t="s">
        <v>385</v>
      </c>
      <c r="AB97" s="15" t="s">
        <v>368</v>
      </c>
      <c r="AC97" s="2">
        <v>3053200</v>
      </c>
      <c r="AD97" s="52">
        <v>4</v>
      </c>
      <c r="AE97" s="2">
        <v>2</v>
      </c>
      <c r="AF97" s="2">
        <v>4</v>
      </c>
      <c r="AG97" s="2">
        <v>2</v>
      </c>
      <c r="AH97" s="2"/>
      <c r="AI97">
        <v>1</v>
      </c>
      <c r="AJ97" s="1">
        <f t="shared" si="67"/>
        <v>79.570096897457645</v>
      </c>
      <c r="AK97">
        <v>4</v>
      </c>
      <c r="AL97">
        <f t="shared" si="72"/>
        <v>117.59999999999997</v>
      </c>
      <c r="AM97">
        <f t="shared" si="73"/>
        <v>5.9975999999999976</v>
      </c>
      <c r="AN97">
        <f t="shared" si="74"/>
        <v>2880</v>
      </c>
      <c r="AO97">
        <f t="shared" si="75"/>
        <v>146.88</v>
      </c>
      <c r="AP97">
        <f t="shared" si="76"/>
        <v>58.799999999999983</v>
      </c>
      <c r="AQ97">
        <f t="shared" si="77"/>
        <v>4.4099999999999984</v>
      </c>
      <c r="AR97">
        <f t="shared" si="80"/>
        <v>1.5</v>
      </c>
      <c r="AS97">
        <f t="shared" si="99"/>
        <v>1.2</v>
      </c>
      <c r="AT97">
        <f t="shared" si="100"/>
        <v>3</v>
      </c>
      <c r="AU97">
        <f t="shared" si="93"/>
        <v>2003</v>
      </c>
      <c r="AV97" s="1">
        <v>0</v>
      </c>
      <c r="AW97">
        <v>3</v>
      </c>
      <c r="AX97">
        <v>0</v>
      </c>
      <c r="AZ97">
        <v>2</v>
      </c>
      <c r="BA97">
        <v>3</v>
      </c>
      <c r="BC97" s="2" t="s">
        <v>386</v>
      </c>
      <c r="BD97">
        <f t="shared" si="122"/>
        <v>29.900000000000002</v>
      </c>
      <c r="BE97">
        <f t="shared" si="109"/>
        <v>2.99</v>
      </c>
      <c r="BF97" s="28">
        <v>0</v>
      </c>
      <c r="BG97" s="28">
        <f t="shared" si="120"/>
        <v>2.9900000000000005E-3</v>
      </c>
      <c r="BH97" s="28">
        <f t="shared" si="120"/>
        <v>8.0730000000000003E-3</v>
      </c>
      <c r="BI97" s="28">
        <f t="shared" si="120"/>
        <v>1.2558000000000001E-2</v>
      </c>
      <c r="BJ97" s="28">
        <f t="shared" si="120"/>
        <v>1.7641000000000004E-2</v>
      </c>
      <c r="BK97" s="28">
        <f t="shared" si="120"/>
        <v>3.2591000000000002E-2</v>
      </c>
      <c r="BL97" s="28">
        <f t="shared" si="120"/>
        <v>4.7541000000000007E-2</v>
      </c>
      <c r="BM97" s="28">
        <f t="shared" si="120"/>
        <v>6.2490999999999998E-2</v>
      </c>
      <c r="BN97" s="28">
        <f t="shared" si="120"/>
        <v>9.2391000000000015E-2</v>
      </c>
      <c r="BO97" s="28">
        <v>0.25</v>
      </c>
      <c r="BP97">
        <f t="shared" si="107"/>
        <v>9076.09</v>
      </c>
      <c r="CD97" s="2" t="s">
        <v>387</v>
      </c>
      <c r="CE97" s="3" t="s">
        <v>388</v>
      </c>
      <c r="CG97" t="str">
        <f t="shared" si="82"/>
        <v>DATA_Class_Base14</v>
      </c>
      <c r="CH97" s="6" t="s">
        <v>300</v>
      </c>
    </row>
    <row r="98" spans="1:86">
      <c r="A98">
        <f t="shared" si="63"/>
        <v>3041401</v>
      </c>
      <c r="B98" s="6" t="s">
        <v>317</v>
      </c>
      <c r="C98">
        <v>0</v>
      </c>
      <c r="D98">
        <v>4</v>
      </c>
      <c r="E98">
        <v>4</v>
      </c>
      <c r="F98">
        <v>1</v>
      </c>
      <c r="G98" s="3" t="s">
        <v>319</v>
      </c>
      <c r="H98" s="3" t="s">
        <v>319</v>
      </c>
      <c r="I98">
        <v>0</v>
      </c>
      <c r="J98" s="2" t="s">
        <v>161</v>
      </c>
      <c r="K98" s="2">
        <f t="shared" si="112"/>
        <v>6</v>
      </c>
      <c r="L98" s="2">
        <f t="shared" si="64"/>
        <v>1.6</v>
      </c>
      <c r="M98" s="2">
        <f t="shared" si="65"/>
        <v>1.5</v>
      </c>
      <c r="N98" s="2">
        <v>10</v>
      </c>
      <c r="O98" s="2">
        <f t="shared" ref="O98:T98" si="125">ROUND(AL98*(1+$AX98),2)</f>
        <v>215.04</v>
      </c>
      <c r="P98" s="2">
        <f t="shared" si="125"/>
        <v>10.97</v>
      </c>
      <c r="Q98" s="2">
        <f t="shared" si="125"/>
        <v>1680</v>
      </c>
      <c r="R98" s="2">
        <f t="shared" si="125"/>
        <v>85.68</v>
      </c>
      <c r="S98" s="2">
        <f t="shared" si="125"/>
        <v>35.840000000000003</v>
      </c>
      <c r="T98" s="2">
        <f t="shared" si="125"/>
        <v>2.69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13">
        <v>314011</v>
      </c>
      <c r="AA98" s="51" t="s">
        <v>1717</v>
      </c>
      <c r="AB98" s="15" t="s">
        <v>368</v>
      </c>
      <c r="AC98" s="2">
        <v>3051401</v>
      </c>
      <c r="AD98" s="52">
        <v>4</v>
      </c>
      <c r="AE98" s="2">
        <v>2</v>
      </c>
      <c r="AF98" s="2">
        <v>4</v>
      </c>
      <c r="AG98" s="2">
        <v>2</v>
      </c>
      <c r="AH98" s="2"/>
      <c r="AI98">
        <v>1</v>
      </c>
      <c r="AJ98" s="1">
        <f t="shared" si="67"/>
        <v>79.174256886343414</v>
      </c>
      <c r="AK98">
        <v>4</v>
      </c>
      <c r="AL98">
        <f t="shared" si="72"/>
        <v>215.04</v>
      </c>
      <c r="AM98">
        <f t="shared" si="73"/>
        <v>10.967039999999999</v>
      </c>
      <c r="AN98">
        <f t="shared" si="74"/>
        <v>1680</v>
      </c>
      <c r="AO98">
        <f t="shared" si="75"/>
        <v>85.679999999999993</v>
      </c>
      <c r="AP98">
        <f t="shared" si="76"/>
        <v>35.839999999999996</v>
      </c>
      <c r="AQ98">
        <f t="shared" si="77"/>
        <v>2.6879999999999997</v>
      </c>
      <c r="AR98">
        <f t="shared" si="80"/>
        <v>1.6</v>
      </c>
      <c r="AS98">
        <f t="shared" si="99"/>
        <v>1.5</v>
      </c>
      <c r="AT98">
        <f t="shared" si="100"/>
        <v>6</v>
      </c>
      <c r="AU98">
        <f t="shared" si="93"/>
        <v>4013</v>
      </c>
      <c r="AV98" s="1">
        <v>1</v>
      </c>
      <c r="AW98">
        <v>3</v>
      </c>
      <c r="AX98">
        <v>0</v>
      </c>
      <c r="AZ98">
        <v>4</v>
      </c>
      <c r="BA98">
        <v>3</v>
      </c>
      <c r="BC98" s="2" t="s">
        <v>198</v>
      </c>
      <c r="BD98">
        <f t="shared" si="122"/>
        <v>32.685714285714283</v>
      </c>
      <c r="BE98">
        <f t="shared" si="109"/>
        <v>3.2685714285714287</v>
      </c>
      <c r="BF98" s="28">
        <v>0</v>
      </c>
      <c r="BG98" s="28">
        <f t="shared" si="120"/>
        <v>3.2685714285714284E-3</v>
      </c>
      <c r="BH98" s="28">
        <f t="shared" si="120"/>
        <v>8.8251428571428561E-3</v>
      </c>
      <c r="BI98" s="28">
        <f t="shared" si="120"/>
        <v>1.3728000000000001E-2</v>
      </c>
      <c r="BJ98" s="28">
        <f t="shared" si="120"/>
        <v>1.9284571428571429E-2</v>
      </c>
      <c r="BK98" s="28">
        <f t="shared" si="120"/>
        <v>3.5627428571428574E-2</v>
      </c>
      <c r="BL98" s="28">
        <f t="shared" si="120"/>
        <v>5.1970285714285719E-2</v>
      </c>
      <c r="BM98" s="28">
        <f t="shared" si="120"/>
        <v>6.8313142857142864E-2</v>
      </c>
      <c r="BN98" s="28">
        <f t="shared" si="120"/>
        <v>0.10099885714285715</v>
      </c>
      <c r="BO98" s="28">
        <v>0.25</v>
      </c>
      <c r="BP98">
        <f t="shared" si="107"/>
        <v>8990.011428571428</v>
      </c>
      <c r="CD98" s="2" t="s">
        <v>390</v>
      </c>
      <c r="CE98" s="3" t="s">
        <v>391</v>
      </c>
      <c r="CG98" t="str">
        <f t="shared" si="82"/>
        <v>DATA_Class_Base15</v>
      </c>
      <c r="CH98" s="6" t="s">
        <v>306</v>
      </c>
    </row>
    <row r="99" spans="1:86">
      <c r="A99">
        <f t="shared" si="63"/>
        <v>3043402</v>
      </c>
      <c r="B99" s="6" t="s">
        <v>323</v>
      </c>
      <c r="C99">
        <v>0</v>
      </c>
      <c r="D99">
        <v>4</v>
      </c>
      <c r="E99">
        <v>4</v>
      </c>
      <c r="F99">
        <v>3</v>
      </c>
      <c r="G99" s="3" t="s">
        <v>325</v>
      </c>
      <c r="H99" s="3" t="s">
        <v>325</v>
      </c>
      <c r="I99" s="2">
        <v>0</v>
      </c>
      <c r="J99" s="2" t="s">
        <v>250</v>
      </c>
      <c r="K99" s="2">
        <f t="shared" si="112"/>
        <v>6</v>
      </c>
      <c r="L99" s="2">
        <f t="shared" si="64"/>
        <v>1.5</v>
      </c>
      <c r="M99" s="2">
        <f t="shared" si="65"/>
        <v>1.5</v>
      </c>
      <c r="N99" s="2">
        <v>10</v>
      </c>
      <c r="O99" s="2">
        <f t="shared" ref="O99:T99" si="126">ROUND(AL99*(1+$AX99),2)</f>
        <v>218.4</v>
      </c>
      <c r="P99" s="2">
        <f t="shared" si="126"/>
        <v>11.14</v>
      </c>
      <c r="Q99" s="2">
        <f t="shared" si="126"/>
        <v>1550.77</v>
      </c>
      <c r="R99" s="2">
        <f t="shared" si="126"/>
        <v>79.09</v>
      </c>
      <c r="S99" s="2">
        <f t="shared" si="126"/>
        <v>31.2</v>
      </c>
      <c r="T99" s="2">
        <f t="shared" si="126"/>
        <v>2.34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13">
        <v>334021</v>
      </c>
      <c r="AA99" s="14" t="s">
        <v>392</v>
      </c>
      <c r="AB99" s="15" t="s">
        <v>368</v>
      </c>
      <c r="AC99" s="2">
        <v>3053402</v>
      </c>
      <c r="AD99" s="52">
        <v>4</v>
      </c>
      <c r="AE99" s="2">
        <v>2</v>
      </c>
      <c r="AF99" s="2">
        <v>4</v>
      </c>
      <c r="AG99" s="2">
        <v>2</v>
      </c>
      <c r="AH99" s="2"/>
      <c r="AI99">
        <v>1</v>
      </c>
      <c r="AJ99" s="1">
        <f t="shared" si="67"/>
        <v>79.094739243324199</v>
      </c>
      <c r="AK99">
        <v>4</v>
      </c>
      <c r="AL99">
        <f t="shared" si="72"/>
        <v>218.39999999999998</v>
      </c>
      <c r="AM99">
        <f t="shared" si="73"/>
        <v>11.138399999999999</v>
      </c>
      <c r="AN99">
        <f t="shared" si="74"/>
        <v>1550.7692307692305</v>
      </c>
      <c r="AO99">
        <f t="shared" si="75"/>
        <v>79.089230769230753</v>
      </c>
      <c r="AP99">
        <f t="shared" si="76"/>
        <v>31.199999999999996</v>
      </c>
      <c r="AQ99">
        <f t="shared" si="77"/>
        <v>2.3399999999999994</v>
      </c>
      <c r="AR99">
        <f t="shared" si="80"/>
        <v>1.5</v>
      </c>
      <c r="AS99">
        <f t="shared" si="99"/>
        <v>1.5</v>
      </c>
      <c r="AT99">
        <f t="shared" si="100"/>
        <v>6</v>
      </c>
      <c r="AU99">
        <f t="shared" si="93"/>
        <v>4023</v>
      </c>
      <c r="AV99" s="1">
        <v>2</v>
      </c>
      <c r="AW99">
        <v>3</v>
      </c>
      <c r="AX99">
        <v>0</v>
      </c>
      <c r="AZ99">
        <v>4</v>
      </c>
      <c r="BA99">
        <v>3</v>
      </c>
      <c r="BC99" s="2" t="s">
        <v>393</v>
      </c>
      <c r="BD99">
        <f t="shared" si="122"/>
        <v>31.2</v>
      </c>
      <c r="BE99">
        <f t="shared" si="109"/>
        <v>3.12</v>
      </c>
      <c r="BF99" s="28">
        <v>0</v>
      </c>
      <c r="BG99" s="28">
        <f t="shared" si="120"/>
        <v>3.1199999999999999E-3</v>
      </c>
      <c r="BH99" s="28">
        <f t="shared" si="120"/>
        <v>8.4239999999999992E-3</v>
      </c>
      <c r="BI99" s="28">
        <f t="shared" si="120"/>
        <v>1.3103999999999999E-2</v>
      </c>
      <c r="BJ99" s="28">
        <f t="shared" si="120"/>
        <v>1.8408000000000001E-2</v>
      </c>
      <c r="BK99" s="28">
        <f t="shared" si="120"/>
        <v>3.4008000000000004E-2</v>
      </c>
      <c r="BL99" s="28">
        <f t="shared" si="120"/>
        <v>4.9607999999999999E-2</v>
      </c>
      <c r="BM99" s="28">
        <f t="shared" si="120"/>
        <v>6.5208000000000002E-2</v>
      </c>
      <c r="BN99" s="28">
        <f t="shared" si="120"/>
        <v>9.6408000000000008E-2</v>
      </c>
      <c r="BO99" s="28">
        <v>0.25</v>
      </c>
      <c r="BP99">
        <f t="shared" si="107"/>
        <v>9035.92</v>
      </c>
      <c r="CD99" s="2" t="s">
        <v>394</v>
      </c>
      <c r="CE99" s="3" t="s">
        <v>184</v>
      </c>
      <c r="CG99" t="str">
        <f t="shared" si="82"/>
        <v>DATA_Class_Base16</v>
      </c>
      <c r="CH99" s="6" t="s">
        <v>312</v>
      </c>
    </row>
    <row r="100" spans="1:86">
      <c r="A100">
        <f t="shared" si="63"/>
        <v>3043501</v>
      </c>
      <c r="B100" s="6" t="s">
        <v>332</v>
      </c>
      <c r="C100">
        <v>0</v>
      </c>
      <c r="D100">
        <v>4</v>
      </c>
      <c r="E100">
        <v>5</v>
      </c>
      <c r="F100">
        <v>3</v>
      </c>
      <c r="G100" s="3" t="s">
        <v>333</v>
      </c>
      <c r="H100" s="3" t="s">
        <v>333</v>
      </c>
      <c r="I100">
        <v>0</v>
      </c>
      <c r="J100" s="2" t="s">
        <v>334</v>
      </c>
      <c r="K100" s="2">
        <f t="shared" si="112"/>
        <v>6</v>
      </c>
      <c r="L100" s="2">
        <f t="shared" si="64"/>
        <v>1.6</v>
      </c>
      <c r="M100" s="2">
        <f t="shared" si="65"/>
        <v>2</v>
      </c>
      <c r="N100" s="2">
        <v>10</v>
      </c>
      <c r="O100" s="2">
        <f t="shared" ref="O100:T100" si="127">ROUND(AL100*(1+$AX100),2)</f>
        <v>232.96</v>
      </c>
      <c r="P100" s="2">
        <f t="shared" si="127"/>
        <v>11.88</v>
      </c>
      <c r="Q100" s="2">
        <f t="shared" si="127"/>
        <v>1550.77</v>
      </c>
      <c r="R100" s="2">
        <f t="shared" si="127"/>
        <v>79.09</v>
      </c>
      <c r="S100" s="2">
        <f t="shared" si="127"/>
        <v>33.28</v>
      </c>
      <c r="T100" s="2">
        <f t="shared" si="127"/>
        <v>2.5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13">
        <v>345011</v>
      </c>
      <c r="AA100" s="14" t="s">
        <v>395</v>
      </c>
      <c r="AB100" s="15" t="s">
        <v>368</v>
      </c>
      <c r="AC100">
        <v>3053501</v>
      </c>
      <c r="AD100" s="52">
        <v>4</v>
      </c>
      <c r="AE100" s="2">
        <v>2</v>
      </c>
      <c r="AF100" s="2">
        <v>4</v>
      </c>
      <c r="AG100" s="2">
        <v>2</v>
      </c>
      <c r="AH100" s="2"/>
      <c r="AI100">
        <v>1</v>
      </c>
      <c r="AJ100" s="1">
        <f t="shared" si="67"/>
        <v>79.130365322435068</v>
      </c>
      <c r="AK100">
        <v>4</v>
      </c>
      <c r="AL100">
        <f t="shared" si="72"/>
        <v>232.95999999999998</v>
      </c>
      <c r="AM100">
        <f t="shared" si="73"/>
        <v>11.880959999999998</v>
      </c>
      <c r="AN100">
        <f t="shared" si="74"/>
        <v>1550.7692307692305</v>
      </c>
      <c r="AO100">
        <f t="shared" si="75"/>
        <v>79.089230769230753</v>
      </c>
      <c r="AP100">
        <f t="shared" si="76"/>
        <v>33.279999999999994</v>
      </c>
      <c r="AQ100">
        <f t="shared" si="77"/>
        <v>2.4959999999999996</v>
      </c>
      <c r="AR100">
        <f t="shared" si="80"/>
        <v>1.6</v>
      </c>
      <c r="AS100">
        <f t="shared" si="99"/>
        <v>2</v>
      </c>
      <c r="AT100">
        <f t="shared" si="100"/>
        <v>6</v>
      </c>
      <c r="AU100">
        <f t="shared" si="93"/>
        <v>5014</v>
      </c>
      <c r="AV100" s="1">
        <v>1</v>
      </c>
      <c r="AW100">
        <v>3</v>
      </c>
      <c r="AX100">
        <v>0</v>
      </c>
      <c r="AZ100">
        <v>5</v>
      </c>
      <c r="BA100">
        <v>4</v>
      </c>
      <c r="BC100" s="2" t="s">
        <v>203</v>
      </c>
      <c r="BD100">
        <f t="shared" si="122"/>
        <v>32.914285714285711</v>
      </c>
      <c r="BE100">
        <f t="shared" si="109"/>
        <v>3.2914285714285714</v>
      </c>
      <c r="BF100" s="28">
        <v>0</v>
      </c>
      <c r="BG100" s="28">
        <f t="shared" si="120"/>
        <v>3.2914285714285715E-3</v>
      </c>
      <c r="BH100" s="28">
        <f t="shared" si="120"/>
        <v>8.8868571428571425E-3</v>
      </c>
      <c r="BI100" s="28">
        <f t="shared" si="120"/>
        <v>1.3824000000000001E-2</v>
      </c>
      <c r="BJ100" s="28">
        <f t="shared" si="120"/>
        <v>1.9419428571428574E-2</v>
      </c>
      <c r="BK100" s="28">
        <f t="shared" si="120"/>
        <v>3.5876571428571431E-2</v>
      </c>
      <c r="BL100" s="28">
        <f t="shared" si="120"/>
        <v>5.2333714285714296E-2</v>
      </c>
      <c r="BM100" s="28">
        <f t="shared" si="120"/>
        <v>6.8790857142857154E-2</v>
      </c>
      <c r="BN100" s="28">
        <f t="shared" si="120"/>
        <v>0.10170514285714287</v>
      </c>
      <c r="BO100" s="28">
        <v>0.25</v>
      </c>
      <c r="BP100">
        <f t="shared" si="107"/>
        <v>8982.9485714285711</v>
      </c>
      <c r="CD100" s="2" t="s">
        <v>396</v>
      </c>
      <c r="CE100" s="3" t="s">
        <v>195</v>
      </c>
      <c r="CG100" t="str">
        <f t="shared" si="82"/>
        <v>DATA_Class_Base17</v>
      </c>
      <c r="CH100" s="6" t="s">
        <v>318</v>
      </c>
    </row>
    <row r="101" spans="1:86">
      <c r="A101">
        <f t="shared" si="63"/>
        <v>3043600</v>
      </c>
      <c r="B101" s="6" t="s">
        <v>337</v>
      </c>
      <c r="C101">
        <v>0</v>
      </c>
      <c r="D101">
        <v>4</v>
      </c>
      <c r="E101">
        <v>6</v>
      </c>
      <c r="F101">
        <v>3</v>
      </c>
      <c r="G101" s="3" t="s">
        <v>338</v>
      </c>
      <c r="H101" s="3" t="s">
        <v>338</v>
      </c>
      <c r="I101" s="2">
        <v>0</v>
      </c>
      <c r="J101" s="2" t="s">
        <v>339</v>
      </c>
      <c r="K101" s="2">
        <f t="shared" si="112"/>
        <v>3</v>
      </c>
      <c r="L101" s="2">
        <f t="shared" si="64"/>
        <v>1.4000000000000001</v>
      </c>
      <c r="M101" s="2">
        <f t="shared" si="65"/>
        <v>1.9000000000000001</v>
      </c>
      <c r="N101" s="2">
        <v>10</v>
      </c>
      <c r="O101" s="2">
        <f t="shared" ref="O101:T101" si="128">ROUND(AL101*(1+$AX101),2)</f>
        <v>172.48</v>
      </c>
      <c r="P101" s="2">
        <f t="shared" si="128"/>
        <v>8.8000000000000007</v>
      </c>
      <c r="Q101" s="2">
        <f t="shared" si="128"/>
        <v>1832.73</v>
      </c>
      <c r="R101" s="2">
        <f t="shared" si="128"/>
        <v>93.47</v>
      </c>
      <c r="S101" s="2">
        <f t="shared" si="128"/>
        <v>43.12</v>
      </c>
      <c r="T101" s="2">
        <f t="shared" si="128"/>
        <v>3.23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13">
        <v>346001</v>
      </c>
      <c r="AA101" s="14" t="s">
        <v>397</v>
      </c>
      <c r="AB101" s="15" t="s">
        <v>368</v>
      </c>
      <c r="AC101">
        <v>3053600</v>
      </c>
      <c r="AD101" s="52">
        <v>4</v>
      </c>
      <c r="AE101" s="2">
        <v>2</v>
      </c>
      <c r="AF101" s="2">
        <v>4</v>
      </c>
      <c r="AG101" s="2">
        <v>2</v>
      </c>
      <c r="AH101" s="2"/>
      <c r="AI101">
        <v>1</v>
      </c>
      <c r="AJ101" s="1">
        <f t="shared" si="67"/>
        <v>79.299340054254984</v>
      </c>
      <c r="AK101">
        <v>4</v>
      </c>
      <c r="AL101">
        <f t="shared" si="72"/>
        <v>172.47999999999996</v>
      </c>
      <c r="AM101">
        <f t="shared" si="73"/>
        <v>8.7964799999999972</v>
      </c>
      <c r="AN101">
        <f t="shared" si="74"/>
        <v>1832.7272727272725</v>
      </c>
      <c r="AO101">
        <f t="shared" si="75"/>
        <v>93.469090909090895</v>
      </c>
      <c r="AP101">
        <f t="shared" si="76"/>
        <v>43.11999999999999</v>
      </c>
      <c r="AQ101">
        <f t="shared" si="77"/>
        <v>3.2339999999999991</v>
      </c>
      <c r="AR101">
        <f t="shared" si="80"/>
        <v>1.4</v>
      </c>
      <c r="AS101">
        <f t="shared" si="99"/>
        <v>1.9</v>
      </c>
      <c r="AT101">
        <f t="shared" si="100"/>
        <v>3</v>
      </c>
      <c r="AU101">
        <f t="shared" si="93"/>
        <v>6004</v>
      </c>
      <c r="AV101" s="1">
        <v>0</v>
      </c>
      <c r="AW101">
        <v>3</v>
      </c>
      <c r="AX101">
        <v>0</v>
      </c>
      <c r="AZ101">
        <v>6</v>
      </c>
      <c r="BA101">
        <v>4</v>
      </c>
      <c r="CD101" s="2" t="s">
        <v>398</v>
      </c>
      <c r="CE101" s="3" t="s">
        <v>201</v>
      </c>
      <c r="CG101" t="str">
        <f t="shared" si="82"/>
        <v>DATA_Class_Base18</v>
      </c>
      <c r="CH101" s="6" t="s">
        <v>324</v>
      </c>
    </row>
    <row r="102" spans="1:86">
      <c r="A102">
        <f t="shared" si="63"/>
        <v>3041602</v>
      </c>
      <c r="B102" s="6" t="s">
        <v>343</v>
      </c>
      <c r="C102">
        <v>0</v>
      </c>
      <c r="D102">
        <v>4</v>
      </c>
      <c r="E102">
        <v>6</v>
      </c>
      <c r="F102">
        <v>1</v>
      </c>
      <c r="G102" s="3" t="s">
        <v>344</v>
      </c>
      <c r="H102" s="3" t="s">
        <v>344</v>
      </c>
      <c r="I102" t="s">
        <v>345</v>
      </c>
      <c r="J102" s="2" t="s">
        <v>346</v>
      </c>
      <c r="K102" s="2">
        <f t="shared" si="112"/>
        <v>6</v>
      </c>
      <c r="L102" s="2">
        <f t="shared" si="64"/>
        <v>1.8</v>
      </c>
      <c r="M102" s="2">
        <f t="shared" si="65"/>
        <v>2</v>
      </c>
      <c r="N102" s="2">
        <v>10</v>
      </c>
      <c r="O102" s="2">
        <f t="shared" ref="O102:T102" si="129">ROUND(AL102*(1+$AX102),2)</f>
        <v>201.6</v>
      </c>
      <c r="P102" s="2">
        <f t="shared" si="129"/>
        <v>10.28</v>
      </c>
      <c r="Q102" s="2">
        <f t="shared" si="129"/>
        <v>2016</v>
      </c>
      <c r="R102" s="2">
        <f t="shared" si="129"/>
        <v>102.82</v>
      </c>
      <c r="S102" s="2">
        <f t="shared" si="129"/>
        <v>40.32</v>
      </c>
      <c r="T102" s="2">
        <f t="shared" si="129"/>
        <v>3.02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13">
        <v>346021</v>
      </c>
      <c r="AA102" s="14" t="s">
        <v>399</v>
      </c>
      <c r="AB102" s="15" t="s">
        <v>368</v>
      </c>
      <c r="AC102">
        <v>3051602</v>
      </c>
      <c r="AD102" s="52">
        <v>4</v>
      </c>
      <c r="AE102" s="2">
        <v>2</v>
      </c>
      <c r="AF102" s="2">
        <v>4</v>
      </c>
      <c r="AG102" s="2">
        <v>2</v>
      </c>
      <c r="AH102" s="2"/>
      <c r="AI102">
        <v>1</v>
      </c>
      <c r="AJ102" s="1">
        <f t="shared" si="67"/>
        <v>79.251184399805027</v>
      </c>
      <c r="AK102">
        <v>4</v>
      </c>
      <c r="AL102">
        <f t="shared" si="72"/>
        <v>201.6</v>
      </c>
      <c r="AM102">
        <f t="shared" si="73"/>
        <v>10.281599999999999</v>
      </c>
      <c r="AN102">
        <f t="shared" si="74"/>
        <v>2015.9999999999998</v>
      </c>
      <c r="AO102">
        <f t="shared" si="75"/>
        <v>102.81599999999999</v>
      </c>
      <c r="AP102">
        <f t="shared" si="76"/>
        <v>40.32</v>
      </c>
      <c r="AQ102">
        <f t="shared" si="77"/>
        <v>3.024</v>
      </c>
      <c r="AR102">
        <f t="shared" si="80"/>
        <v>1.8</v>
      </c>
      <c r="AS102">
        <f t="shared" si="99"/>
        <v>2</v>
      </c>
      <c r="AT102">
        <f t="shared" si="100"/>
        <v>6</v>
      </c>
      <c r="AU102">
        <f t="shared" si="93"/>
        <v>6024</v>
      </c>
      <c r="AV102" s="1">
        <v>2</v>
      </c>
      <c r="AW102">
        <v>3</v>
      </c>
      <c r="AX102">
        <v>0</v>
      </c>
      <c r="AZ102">
        <v>6</v>
      </c>
      <c r="BA102">
        <v>4</v>
      </c>
      <c r="BC102" t="s">
        <v>400</v>
      </c>
      <c r="BD102">
        <v>1</v>
      </c>
      <c r="BE102" s="2">
        <v>2</v>
      </c>
      <c r="BF102" s="2">
        <v>3</v>
      </c>
      <c r="BG102" s="2">
        <v>4</v>
      </c>
      <c r="BH102" s="2">
        <v>5</v>
      </c>
      <c r="BI102" s="2">
        <v>6</v>
      </c>
      <c r="BJ102" s="2">
        <v>7</v>
      </c>
      <c r="BK102" s="2">
        <v>8</v>
      </c>
      <c r="BL102" s="2">
        <v>9</v>
      </c>
      <c r="BM102" s="2">
        <v>10</v>
      </c>
      <c r="BN102" s="2">
        <v>11</v>
      </c>
      <c r="BO102" s="2">
        <v>12</v>
      </c>
      <c r="BP102" s="2">
        <v>13</v>
      </c>
      <c r="BQ102" s="2">
        <v>14</v>
      </c>
      <c r="BR102" s="2">
        <v>15</v>
      </c>
      <c r="CD102" s="2" t="s">
        <v>401</v>
      </c>
      <c r="CE102" s="3" t="s">
        <v>402</v>
      </c>
      <c r="CG102" t="str">
        <f t="shared" si="82"/>
        <v>DATA_Class_Base19</v>
      </c>
      <c r="CH102" s="6" t="s">
        <v>331</v>
      </c>
    </row>
    <row r="103" spans="1:86">
      <c r="A103">
        <f t="shared" si="63"/>
        <v>3042300</v>
      </c>
      <c r="B103" s="6" t="s">
        <v>350</v>
      </c>
      <c r="C103">
        <v>0</v>
      </c>
      <c r="D103">
        <v>4</v>
      </c>
      <c r="E103">
        <v>3</v>
      </c>
      <c r="F103">
        <v>2</v>
      </c>
      <c r="G103" s="3" t="s">
        <v>351</v>
      </c>
      <c r="H103" s="3" t="s">
        <v>351</v>
      </c>
      <c r="I103" s="2">
        <v>0</v>
      </c>
      <c r="J103" s="2" t="s">
        <v>352</v>
      </c>
      <c r="K103" s="2">
        <v>6</v>
      </c>
      <c r="L103" s="2">
        <f t="shared" si="64"/>
        <v>1.3</v>
      </c>
      <c r="M103" s="2">
        <f t="shared" si="65"/>
        <v>2</v>
      </c>
      <c r="N103" s="2">
        <v>10</v>
      </c>
      <c r="O103" s="2">
        <f t="shared" ref="O103:T103" si="130">ROUND(AL103*(1+$AX103),2)</f>
        <v>167.44</v>
      </c>
      <c r="P103" s="2">
        <f t="shared" si="130"/>
        <v>8.5399999999999991</v>
      </c>
      <c r="Q103" s="2">
        <f t="shared" si="130"/>
        <v>1753.04</v>
      </c>
      <c r="R103" s="2">
        <f t="shared" si="130"/>
        <v>89.41</v>
      </c>
      <c r="S103" s="2">
        <f t="shared" si="130"/>
        <v>41.86</v>
      </c>
      <c r="T103" s="2">
        <f t="shared" si="130"/>
        <v>3.14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13">
        <v>353001</v>
      </c>
      <c r="AA103" s="14" t="s">
        <v>403</v>
      </c>
      <c r="AB103" s="15" t="s">
        <v>368</v>
      </c>
      <c r="AC103">
        <v>3052300</v>
      </c>
      <c r="AD103" s="52">
        <v>4</v>
      </c>
      <c r="AE103" s="2">
        <v>2</v>
      </c>
      <c r="AF103" s="2">
        <v>4</v>
      </c>
      <c r="AG103" s="2">
        <v>2</v>
      </c>
      <c r="AH103" s="2"/>
      <c r="AI103">
        <v>1</v>
      </c>
      <c r="AJ103" s="1">
        <f t="shared" si="67"/>
        <v>79.277662769640472</v>
      </c>
      <c r="AK103">
        <v>4</v>
      </c>
      <c r="AL103">
        <f t="shared" si="72"/>
        <v>167.43999999999997</v>
      </c>
      <c r="AM103">
        <f t="shared" si="73"/>
        <v>8.5394399999999973</v>
      </c>
      <c r="AN103">
        <f t="shared" si="74"/>
        <v>1753.0434782608697</v>
      </c>
      <c r="AO103">
        <f t="shared" si="75"/>
        <v>89.405217391304348</v>
      </c>
      <c r="AP103">
        <f t="shared" si="76"/>
        <v>41.859999999999992</v>
      </c>
      <c r="AQ103">
        <f t="shared" si="77"/>
        <v>3.1394999999999995</v>
      </c>
      <c r="AR103">
        <f t="shared" si="80"/>
        <v>1.3</v>
      </c>
      <c r="AS103">
        <f t="shared" si="99"/>
        <v>2</v>
      </c>
      <c r="AT103">
        <f t="shared" si="100"/>
        <v>3</v>
      </c>
      <c r="AU103">
        <f t="shared" si="93"/>
        <v>3005</v>
      </c>
      <c r="AV103" s="1">
        <v>0</v>
      </c>
      <c r="AW103">
        <v>3</v>
      </c>
      <c r="AX103">
        <v>0</v>
      </c>
      <c r="AZ103">
        <v>3</v>
      </c>
      <c r="BA103">
        <v>5</v>
      </c>
      <c r="BD103" s="58">
        <v>1</v>
      </c>
      <c r="BE103" s="58">
        <v>1.1000000000000001</v>
      </c>
      <c r="BF103" s="58">
        <v>1.2</v>
      </c>
      <c r="BG103" s="58">
        <v>1.4</v>
      </c>
      <c r="BH103" s="58">
        <v>1.6</v>
      </c>
      <c r="BI103" s="58">
        <v>1.8</v>
      </c>
      <c r="BJ103" s="58">
        <v>2.0499999999999998</v>
      </c>
      <c r="BK103" s="58">
        <v>2.2999999999999998</v>
      </c>
      <c r="BL103" s="58">
        <v>2.5499999999999998</v>
      </c>
      <c r="BM103" s="58">
        <v>2.8</v>
      </c>
      <c r="BN103" s="58">
        <v>3.1</v>
      </c>
      <c r="BO103" s="58">
        <v>3.4</v>
      </c>
      <c r="BP103" s="58">
        <v>3.7</v>
      </c>
      <c r="BQ103" s="2">
        <v>4</v>
      </c>
      <c r="BR103">
        <v>4.3</v>
      </c>
      <c r="CD103" s="2" t="s">
        <v>404</v>
      </c>
      <c r="CE103" s="3" t="s">
        <v>198</v>
      </c>
      <c r="CG103" t="str">
        <f t="shared" si="82"/>
        <v>DATA_Class_Base20</v>
      </c>
      <c r="CH103" s="6" t="s">
        <v>336</v>
      </c>
    </row>
    <row r="104" spans="1:86">
      <c r="A104">
        <f t="shared" si="63"/>
        <v>3043302</v>
      </c>
      <c r="B104" s="6" t="s">
        <v>356</v>
      </c>
      <c r="C104">
        <v>0</v>
      </c>
      <c r="D104">
        <v>4</v>
      </c>
      <c r="E104">
        <v>3</v>
      </c>
      <c r="F104">
        <v>3</v>
      </c>
      <c r="G104" s="3" t="s">
        <v>357</v>
      </c>
      <c r="H104" s="3" t="s">
        <v>357</v>
      </c>
      <c r="I104" s="2">
        <v>0</v>
      </c>
      <c r="J104" s="2" t="s">
        <v>358</v>
      </c>
      <c r="K104" s="2">
        <f t="shared" ref="K104:K117" si="131">AT104</f>
        <v>3</v>
      </c>
      <c r="L104" s="2">
        <f t="shared" si="64"/>
        <v>1.4000000000000001</v>
      </c>
      <c r="M104" s="2">
        <f t="shared" si="65"/>
        <v>2</v>
      </c>
      <c r="N104" s="2">
        <v>10</v>
      </c>
      <c r="O104" s="2">
        <f t="shared" ref="O104:T104" si="132">ROUND(AL104*(1+$AX104),2)</f>
        <v>188.16</v>
      </c>
      <c r="P104" s="2">
        <f t="shared" si="132"/>
        <v>9.6</v>
      </c>
      <c r="Q104" s="2">
        <f t="shared" si="132"/>
        <v>1680</v>
      </c>
      <c r="R104" s="2">
        <f t="shared" si="132"/>
        <v>85.68</v>
      </c>
      <c r="S104" s="2">
        <f t="shared" si="132"/>
        <v>47.04</v>
      </c>
      <c r="T104" s="2">
        <f t="shared" si="132"/>
        <v>3.53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13">
        <v>353021</v>
      </c>
      <c r="AA104" s="14" t="s">
        <v>405</v>
      </c>
      <c r="AB104" s="15" t="s">
        <v>368</v>
      </c>
      <c r="AC104">
        <v>3053302</v>
      </c>
      <c r="AD104" s="52">
        <v>4</v>
      </c>
      <c r="AE104" s="2">
        <v>2</v>
      </c>
      <c r="AF104" s="2">
        <v>4</v>
      </c>
      <c r="AG104" s="2">
        <v>2</v>
      </c>
      <c r="AH104" s="2"/>
      <c r="AI104">
        <v>1</v>
      </c>
      <c r="AJ104" s="1">
        <f t="shared" si="67"/>
        <v>79.366856371074491</v>
      </c>
      <c r="AK104">
        <v>4</v>
      </c>
      <c r="AL104">
        <f t="shared" si="72"/>
        <v>188.15999999999997</v>
      </c>
      <c r="AM104">
        <f t="shared" si="73"/>
        <v>9.5961599999999976</v>
      </c>
      <c r="AN104">
        <f t="shared" si="74"/>
        <v>1680</v>
      </c>
      <c r="AO104">
        <f t="shared" si="75"/>
        <v>85.679999999999993</v>
      </c>
      <c r="AP104">
        <f t="shared" si="76"/>
        <v>47.039999999999992</v>
      </c>
      <c r="AQ104">
        <f t="shared" si="77"/>
        <v>3.5279999999999991</v>
      </c>
      <c r="AR104">
        <f t="shared" si="80"/>
        <v>1.4</v>
      </c>
      <c r="AS104">
        <f t="shared" si="99"/>
        <v>2</v>
      </c>
      <c r="AT104">
        <f t="shared" si="100"/>
        <v>3</v>
      </c>
      <c r="AU104">
        <f t="shared" si="93"/>
        <v>3025</v>
      </c>
      <c r="AV104" s="1">
        <v>2</v>
      </c>
      <c r="AW104">
        <v>3</v>
      </c>
      <c r="AX104">
        <v>0</v>
      </c>
      <c r="AZ104">
        <v>3</v>
      </c>
      <c r="BA104">
        <v>5</v>
      </c>
      <c r="CD104" s="2" t="s">
        <v>406</v>
      </c>
      <c r="CE104" s="3" t="s">
        <v>407</v>
      </c>
      <c r="CG104" t="str">
        <f t="shared" si="82"/>
        <v>DATA_Class_Base21</v>
      </c>
      <c r="CH104" s="6" t="s">
        <v>342</v>
      </c>
    </row>
    <row r="105" spans="1:86">
      <c r="A105">
        <f t="shared" si="63"/>
        <v>3042400</v>
      </c>
      <c r="B105" s="6" t="s">
        <v>362</v>
      </c>
      <c r="C105">
        <v>0</v>
      </c>
      <c r="D105">
        <v>4</v>
      </c>
      <c r="E105">
        <v>4</v>
      </c>
      <c r="F105">
        <v>2</v>
      </c>
      <c r="G105" s="3" t="s">
        <v>363</v>
      </c>
      <c r="H105" s="3" t="s">
        <v>363</v>
      </c>
      <c r="I105">
        <v>0</v>
      </c>
      <c r="J105" s="2" t="s">
        <v>364</v>
      </c>
      <c r="K105" s="2">
        <f t="shared" si="131"/>
        <v>6</v>
      </c>
      <c r="L105" s="2">
        <f t="shared" si="64"/>
        <v>1.4000000000000001</v>
      </c>
      <c r="M105" s="2">
        <f t="shared" si="65"/>
        <v>2</v>
      </c>
      <c r="N105" s="2">
        <v>10</v>
      </c>
      <c r="O105" s="2">
        <f t="shared" ref="O105:T105" si="133">ROUND(AL105*(1+$AX105),2)</f>
        <v>196</v>
      </c>
      <c r="P105" s="2">
        <f t="shared" si="133"/>
        <v>10</v>
      </c>
      <c r="Q105" s="2">
        <f t="shared" si="133"/>
        <v>1612.8</v>
      </c>
      <c r="R105" s="2">
        <f t="shared" si="133"/>
        <v>82.25</v>
      </c>
      <c r="S105" s="2">
        <f t="shared" si="133"/>
        <v>35.64</v>
      </c>
      <c r="T105" s="2">
        <f t="shared" si="133"/>
        <v>2.67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13">
        <v>354001</v>
      </c>
      <c r="AA105" s="14" t="s">
        <v>408</v>
      </c>
      <c r="AB105" s="15" t="s">
        <v>368</v>
      </c>
      <c r="AC105">
        <v>3052400</v>
      </c>
      <c r="AD105" s="52">
        <v>4</v>
      </c>
      <c r="AE105" s="2">
        <v>2</v>
      </c>
      <c r="AF105" s="2">
        <v>4</v>
      </c>
      <c r="AG105" s="2">
        <v>2</v>
      </c>
      <c r="AH105" s="2"/>
      <c r="AI105">
        <v>100</v>
      </c>
      <c r="AJ105" s="1">
        <f t="shared" si="67"/>
        <v>2817.213837268715</v>
      </c>
      <c r="AK105">
        <v>4</v>
      </c>
      <c r="AL105">
        <f t="shared" si="72"/>
        <v>196</v>
      </c>
      <c r="AM105">
        <f t="shared" si="73"/>
        <v>9.9959999999999987</v>
      </c>
      <c r="AN105">
        <f t="shared" si="74"/>
        <v>1612.8</v>
      </c>
      <c r="AO105">
        <f t="shared" si="75"/>
        <v>82.252799999999993</v>
      </c>
      <c r="AP105">
        <f t="shared" si="76"/>
        <v>35.636363636363633</v>
      </c>
      <c r="AQ105">
        <f t="shared" si="77"/>
        <v>2.6727272727272724</v>
      </c>
      <c r="AR105">
        <f t="shared" si="80"/>
        <v>1.4</v>
      </c>
      <c r="AS105">
        <f t="shared" si="99"/>
        <v>2</v>
      </c>
      <c r="AT105">
        <f t="shared" si="100"/>
        <v>6</v>
      </c>
      <c r="AU105">
        <f t="shared" si="93"/>
        <v>4005</v>
      </c>
      <c r="AV105" s="1">
        <v>0</v>
      </c>
      <c r="AW105">
        <v>3</v>
      </c>
      <c r="AX105">
        <v>0</v>
      </c>
      <c r="AZ105">
        <v>4</v>
      </c>
      <c r="BA105">
        <v>5</v>
      </c>
      <c r="BC105" t="s">
        <v>409</v>
      </c>
      <c r="BD105">
        <v>1</v>
      </c>
      <c r="BE105" s="2">
        <v>2</v>
      </c>
      <c r="BF105" s="2">
        <v>3</v>
      </c>
      <c r="BG105" s="2">
        <v>4</v>
      </c>
      <c r="BH105" s="2">
        <v>5</v>
      </c>
      <c r="BI105" s="2">
        <v>6</v>
      </c>
      <c r="BJ105" s="2">
        <v>7</v>
      </c>
      <c r="BK105" s="2">
        <v>8</v>
      </c>
      <c r="BL105" s="2">
        <v>9</v>
      </c>
      <c r="BM105" s="2">
        <v>10</v>
      </c>
      <c r="BN105" s="2">
        <v>11</v>
      </c>
      <c r="BO105" s="2">
        <v>12</v>
      </c>
      <c r="BP105" s="2">
        <v>13</v>
      </c>
      <c r="BQ105" s="2">
        <v>14</v>
      </c>
      <c r="CD105" s="2" t="s">
        <v>410</v>
      </c>
      <c r="CE105" s="3" t="s">
        <v>411</v>
      </c>
      <c r="CG105" t="str">
        <f t="shared" si="82"/>
        <v>DATA_Class_Base22</v>
      </c>
      <c r="CH105" s="6" t="s">
        <v>349</v>
      </c>
    </row>
    <row r="106" spans="1:86">
      <c r="A106">
        <f t="shared" si="63"/>
        <v>3051202</v>
      </c>
      <c r="B106" s="6" t="s">
        <v>278</v>
      </c>
      <c r="C106">
        <v>0</v>
      </c>
      <c r="D106">
        <v>5</v>
      </c>
      <c r="E106">
        <v>2</v>
      </c>
      <c r="F106">
        <v>1</v>
      </c>
      <c r="G106" s="3" t="s">
        <v>279</v>
      </c>
      <c r="H106" s="3" t="s">
        <v>279</v>
      </c>
      <c r="I106">
        <v>0</v>
      </c>
      <c r="J106" s="2" t="s">
        <v>280</v>
      </c>
      <c r="K106" s="2">
        <f t="shared" si="131"/>
        <v>3</v>
      </c>
      <c r="L106" s="2">
        <f t="shared" si="64"/>
        <v>1.6</v>
      </c>
      <c r="M106" s="2">
        <f t="shared" si="65"/>
        <v>2</v>
      </c>
      <c r="N106" s="2">
        <v>10</v>
      </c>
      <c r="O106" s="2">
        <f t="shared" ref="O106:T106" si="134">ROUND(AL106*(1+$AX106),2)</f>
        <v>163.84</v>
      </c>
      <c r="P106" s="2">
        <f t="shared" si="134"/>
        <v>8.36</v>
      </c>
      <c r="Q106" s="2">
        <f t="shared" si="134"/>
        <v>2880</v>
      </c>
      <c r="R106" s="2">
        <f t="shared" si="134"/>
        <v>146.88</v>
      </c>
      <c r="S106" s="2">
        <f t="shared" si="134"/>
        <v>60.68</v>
      </c>
      <c r="T106" s="2">
        <f t="shared" si="134"/>
        <v>4.55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16">
        <v>312021</v>
      </c>
      <c r="AA106" s="14" t="s">
        <v>367</v>
      </c>
      <c r="AB106" s="15" t="s">
        <v>368</v>
      </c>
      <c r="AC106" s="2">
        <v>3061202</v>
      </c>
      <c r="AD106" s="53">
        <v>7</v>
      </c>
      <c r="AE106" s="2">
        <v>1</v>
      </c>
      <c r="AF106" s="2">
        <f t="shared" ref="AF106:AF120" si="135">A106</f>
        <v>3051202</v>
      </c>
      <c r="AG106" s="2">
        <v>1</v>
      </c>
      <c r="AH106" s="2"/>
      <c r="AI106">
        <v>1</v>
      </c>
      <c r="AJ106" s="1">
        <f t="shared" si="67"/>
        <v>103.97088648114305</v>
      </c>
      <c r="AK106">
        <v>5</v>
      </c>
      <c r="AL106">
        <f t="shared" si="72"/>
        <v>163.84000000000003</v>
      </c>
      <c r="AM106">
        <f t="shared" si="73"/>
        <v>8.3558400000000006</v>
      </c>
      <c r="AN106">
        <f t="shared" si="74"/>
        <v>2880</v>
      </c>
      <c r="AO106">
        <f t="shared" si="75"/>
        <v>146.88</v>
      </c>
      <c r="AP106">
        <f t="shared" si="76"/>
        <v>60.681481481481491</v>
      </c>
      <c r="AQ106">
        <f t="shared" si="77"/>
        <v>4.551111111111112</v>
      </c>
      <c r="AR106">
        <f t="shared" si="80"/>
        <v>1.6</v>
      </c>
      <c r="AS106">
        <f t="shared" si="99"/>
        <v>2</v>
      </c>
      <c r="AT106">
        <f t="shared" si="100"/>
        <v>3</v>
      </c>
      <c r="AU106">
        <f t="shared" si="93"/>
        <v>2021</v>
      </c>
      <c r="AV106" s="1">
        <v>2</v>
      </c>
      <c r="AW106">
        <v>3</v>
      </c>
      <c r="AX106">
        <v>0</v>
      </c>
      <c r="AZ106">
        <v>2</v>
      </c>
      <c r="BA106">
        <v>1</v>
      </c>
      <c r="BD106" s="58">
        <v>1</v>
      </c>
      <c r="BE106" s="58">
        <v>1.1000000000000001</v>
      </c>
      <c r="BF106" s="58">
        <v>1.2</v>
      </c>
      <c r="BG106" s="58">
        <v>1.4</v>
      </c>
      <c r="BH106" s="58">
        <v>1.6</v>
      </c>
      <c r="BI106" s="58">
        <v>1.8</v>
      </c>
      <c r="BJ106" s="58">
        <v>2.0499999999999998</v>
      </c>
      <c r="BK106" s="58">
        <v>2.2999999999999998</v>
      </c>
      <c r="BL106" s="58">
        <v>2.5499999999999998</v>
      </c>
      <c r="BM106" s="58">
        <v>2.8</v>
      </c>
      <c r="BN106" s="58">
        <v>3.1</v>
      </c>
      <c r="BO106" s="58">
        <v>3.4</v>
      </c>
      <c r="BP106" s="58">
        <v>3.7</v>
      </c>
      <c r="BQ106" s="2">
        <v>4</v>
      </c>
      <c r="CD106" s="2" t="s">
        <v>412</v>
      </c>
      <c r="CE106" s="3" t="s">
        <v>413</v>
      </c>
      <c r="CG106" t="str">
        <f t="shared" si="82"/>
        <v>DATA_Class_Base23</v>
      </c>
      <c r="CH106" s="6" t="s">
        <v>355</v>
      </c>
    </row>
    <row r="107" spans="1:86">
      <c r="A107">
        <f t="shared" si="63"/>
        <v>3051301</v>
      </c>
      <c r="B107" s="6" t="s">
        <v>283</v>
      </c>
      <c r="C107">
        <v>0</v>
      </c>
      <c r="D107">
        <v>5</v>
      </c>
      <c r="E107">
        <v>3</v>
      </c>
      <c r="F107">
        <v>1</v>
      </c>
      <c r="G107" s="3" t="s">
        <v>284</v>
      </c>
      <c r="H107" s="3" t="s">
        <v>284</v>
      </c>
      <c r="I107" s="2">
        <v>0</v>
      </c>
      <c r="J107" s="2" t="s">
        <v>285</v>
      </c>
      <c r="K107" s="2">
        <f t="shared" si="131"/>
        <v>3</v>
      </c>
      <c r="L107" s="2">
        <f t="shared" si="64"/>
        <v>1.3</v>
      </c>
      <c r="M107" s="2">
        <f t="shared" si="65"/>
        <v>2</v>
      </c>
      <c r="N107" s="2">
        <v>10</v>
      </c>
      <c r="O107" s="2">
        <f t="shared" ref="O107:T107" si="136">ROUND(AL107*(1+$AX107),2)</f>
        <v>183.04</v>
      </c>
      <c r="P107" s="2">
        <f t="shared" si="136"/>
        <v>9.34</v>
      </c>
      <c r="Q107" s="2">
        <f t="shared" si="136"/>
        <v>2094.5500000000002</v>
      </c>
      <c r="R107" s="2">
        <f t="shared" si="136"/>
        <v>106.82</v>
      </c>
      <c r="S107" s="2">
        <f t="shared" si="136"/>
        <v>52.3</v>
      </c>
      <c r="T107" s="2">
        <f t="shared" si="136"/>
        <v>3.92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16">
        <v>313011</v>
      </c>
      <c r="AA107" s="14" t="s">
        <v>370</v>
      </c>
      <c r="AB107" s="15" t="s">
        <v>368</v>
      </c>
      <c r="AC107" s="2">
        <v>3061301</v>
      </c>
      <c r="AD107" s="53">
        <v>7</v>
      </c>
      <c r="AE107" s="2">
        <v>1</v>
      </c>
      <c r="AF107" s="2">
        <f t="shared" si="135"/>
        <v>3051301</v>
      </c>
      <c r="AG107" s="2">
        <v>1</v>
      </c>
      <c r="AH107" s="2"/>
      <c r="AI107">
        <v>1</v>
      </c>
      <c r="AJ107" s="1">
        <f t="shared" si="67"/>
        <v>103.78133384227876</v>
      </c>
      <c r="AK107">
        <v>5</v>
      </c>
      <c r="AL107">
        <f t="shared" si="72"/>
        <v>183.04000000000005</v>
      </c>
      <c r="AM107">
        <f t="shared" si="73"/>
        <v>9.3350400000000011</v>
      </c>
      <c r="AN107">
        <f t="shared" si="74"/>
        <v>2094.5454545454545</v>
      </c>
      <c r="AO107">
        <f t="shared" si="75"/>
        <v>106.82181818181817</v>
      </c>
      <c r="AP107">
        <f t="shared" si="76"/>
        <v>52.297142857142873</v>
      </c>
      <c r="AQ107">
        <f t="shared" si="77"/>
        <v>3.9222857142857155</v>
      </c>
      <c r="AR107">
        <f t="shared" si="80"/>
        <v>1.3</v>
      </c>
      <c r="AS107">
        <f t="shared" si="99"/>
        <v>2</v>
      </c>
      <c r="AT107">
        <f t="shared" si="100"/>
        <v>3</v>
      </c>
      <c r="AU107">
        <f t="shared" si="93"/>
        <v>3011</v>
      </c>
      <c r="AV107" s="1">
        <v>1</v>
      </c>
      <c r="AW107">
        <v>3</v>
      </c>
      <c r="AX107">
        <v>0</v>
      </c>
      <c r="AZ107">
        <v>3</v>
      </c>
      <c r="BA107">
        <v>1</v>
      </c>
      <c r="BV107" s="58"/>
      <c r="CD107" s="2" t="s">
        <v>414</v>
      </c>
      <c r="CE107" s="3" t="s">
        <v>174</v>
      </c>
      <c r="CG107" t="str">
        <f t="shared" si="82"/>
        <v>DATA_Class_Base24</v>
      </c>
      <c r="CH107" s="6" t="s">
        <v>361</v>
      </c>
    </row>
    <row r="108" spans="1:86">
      <c r="A108">
        <f t="shared" si="63"/>
        <v>3051502</v>
      </c>
      <c r="B108" s="6" t="s">
        <v>289</v>
      </c>
      <c r="C108">
        <v>0</v>
      </c>
      <c r="D108">
        <v>5</v>
      </c>
      <c r="E108">
        <v>5</v>
      </c>
      <c r="F108">
        <v>1</v>
      </c>
      <c r="G108" s="3" t="s">
        <v>290</v>
      </c>
      <c r="H108" s="3" t="s">
        <v>290</v>
      </c>
      <c r="I108" s="2">
        <v>0</v>
      </c>
      <c r="J108" s="2" t="s">
        <v>291</v>
      </c>
      <c r="K108" s="2">
        <f t="shared" si="131"/>
        <v>6</v>
      </c>
      <c r="L108" s="2">
        <f t="shared" si="64"/>
        <v>1.4000000000000001</v>
      </c>
      <c r="M108" s="2">
        <f t="shared" si="65"/>
        <v>2</v>
      </c>
      <c r="N108" s="2">
        <v>10</v>
      </c>
      <c r="O108" s="2">
        <f t="shared" ref="O108:T108" si="137">ROUND(AL108*(1+$AX108),2)</f>
        <v>232.96</v>
      </c>
      <c r="P108" s="2">
        <f t="shared" si="137"/>
        <v>11.88</v>
      </c>
      <c r="Q108" s="2">
        <f t="shared" si="137"/>
        <v>1772.31</v>
      </c>
      <c r="R108" s="2">
        <f t="shared" si="137"/>
        <v>90.39</v>
      </c>
      <c r="S108" s="2">
        <f t="shared" si="137"/>
        <v>35.840000000000003</v>
      </c>
      <c r="T108" s="2">
        <f t="shared" si="137"/>
        <v>2.69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16">
        <v>315021</v>
      </c>
      <c r="AA108" s="14" t="s">
        <v>372</v>
      </c>
      <c r="AB108" s="15" t="s">
        <v>368</v>
      </c>
      <c r="AC108" s="2">
        <v>3061502</v>
      </c>
      <c r="AD108" s="53">
        <v>7</v>
      </c>
      <c r="AE108" s="2">
        <v>1</v>
      </c>
      <c r="AF108" s="2">
        <f t="shared" si="135"/>
        <v>3051502</v>
      </c>
      <c r="AG108" s="2">
        <v>1</v>
      </c>
      <c r="AH108" s="2"/>
      <c r="AI108">
        <v>1</v>
      </c>
      <c r="AJ108" s="1">
        <f t="shared" si="67"/>
        <v>103.41127430053017</v>
      </c>
      <c r="AK108">
        <v>5</v>
      </c>
      <c r="AL108">
        <f t="shared" si="72"/>
        <v>232.95999999999995</v>
      </c>
      <c r="AM108">
        <f t="shared" si="73"/>
        <v>11.880959999999996</v>
      </c>
      <c r="AN108">
        <f t="shared" si="74"/>
        <v>1772.3076923076924</v>
      </c>
      <c r="AO108">
        <f t="shared" si="75"/>
        <v>90.387692307692305</v>
      </c>
      <c r="AP108">
        <f t="shared" si="76"/>
        <v>35.839999999999989</v>
      </c>
      <c r="AQ108">
        <f t="shared" si="77"/>
        <v>2.6879999999999993</v>
      </c>
      <c r="AR108">
        <f t="shared" si="80"/>
        <v>1.4</v>
      </c>
      <c r="AS108">
        <f t="shared" si="99"/>
        <v>2</v>
      </c>
      <c r="AT108">
        <f t="shared" si="100"/>
        <v>6</v>
      </c>
      <c r="AU108">
        <f t="shared" si="93"/>
        <v>5021</v>
      </c>
      <c r="AV108" s="1">
        <v>2</v>
      </c>
      <c r="AW108">
        <v>3</v>
      </c>
      <c r="AX108">
        <v>0</v>
      </c>
      <c r="AZ108">
        <v>5</v>
      </c>
      <c r="BA108">
        <v>1</v>
      </c>
      <c r="BE108" s="2"/>
      <c r="BI108" s="2"/>
      <c r="BV108" s="58"/>
      <c r="CG108" t="str">
        <f t="shared" si="82"/>
        <v>DATA_Class_Base25</v>
      </c>
      <c r="CH108" s="6" t="s">
        <v>366</v>
      </c>
    </row>
    <row r="109" spans="1:86">
      <c r="A109">
        <f t="shared" si="63"/>
        <v>3052201</v>
      </c>
      <c r="B109" s="6" t="s">
        <v>296</v>
      </c>
      <c r="C109">
        <v>0</v>
      </c>
      <c r="D109">
        <v>5</v>
      </c>
      <c r="E109">
        <v>2</v>
      </c>
      <c r="F109">
        <v>2</v>
      </c>
      <c r="G109" s="3" t="s">
        <v>297</v>
      </c>
      <c r="H109" s="3" t="s">
        <v>297</v>
      </c>
      <c r="I109">
        <v>0</v>
      </c>
      <c r="J109" s="8" t="s">
        <v>298</v>
      </c>
      <c r="K109" s="2">
        <f t="shared" si="131"/>
        <v>3</v>
      </c>
      <c r="L109" s="2">
        <f t="shared" si="64"/>
        <v>1.5</v>
      </c>
      <c r="M109" s="2">
        <f t="shared" si="65"/>
        <v>1.8</v>
      </c>
      <c r="N109" s="2">
        <v>10</v>
      </c>
      <c r="O109" s="2">
        <f t="shared" ref="O109:T109" si="138">ROUND(AL109*(1+$AX109),2)</f>
        <v>153.6</v>
      </c>
      <c r="P109" s="2">
        <f t="shared" si="138"/>
        <v>7.83</v>
      </c>
      <c r="Q109" s="2">
        <f t="shared" si="138"/>
        <v>2880</v>
      </c>
      <c r="R109" s="2">
        <f t="shared" si="138"/>
        <v>146.88</v>
      </c>
      <c r="S109" s="2">
        <f t="shared" si="138"/>
        <v>66.78</v>
      </c>
      <c r="T109" s="2">
        <f t="shared" si="138"/>
        <v>5.01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13">
        <v>322011</v>
      </c>
      <c r="AA109" s="14" t="s">
        <v>375</v>
      </c>
      <c r="AB109" s="15" t="s">
        <v>368</v>
      </c>
      <c r="AC109" s="2">
        <v>3062201</v>
      </c>
      <c r="AD109" s="53">
        <v>7</v>
      </c>
      <c r="AE109" s="2">
        <v>1</v>
      </c>
      <c r="AF109" s="2">
        <f t="shared" si="135"/>
        <v>3052201</v>
      </c>
      <c r="AG109" s="2">
        <v>1</v>
      </c>
      <c r="AH109" s="2"/>
      <c r="AI109">
        <v>1</v>
      </c>
      <c r="AJ109" s="1">
        <f t="shared" si="67"/>
        <v>104.10925624538771</v>
      </c>
      <c r="AK109">
        <v>5</v>
      </c>
      <c r="AL109">
        <f t="shared" si="72"/>
        <v>153.60000000000002</v>
      </c>
      <c r="AM109">
        <f t="shared" si="73"/>
        <v>7.8336000000000006</v>
      </c>
      <c r="AN109">
        <f t="shared" si="74"/>
        <v>2880</v>
      </c>
      <c r="AO109">
        <f t="shared" si="75"/>
        <v>146.88</v>
      </c>
      <c r="AP109">
        <f t="shared" si="76"/>
        <v>66.782608695652186</v>
      </c>
      <c r="AQ109">
        <f t="shared" si="77"/>
        <v>5.0086956521739134</v>
      </c>
      <c r="AR109">
        <f t="shared" si="80"/>
        <v>1.5</v>
      </c>
      <c r="AS109">
        <f t="shared" si="99"/>
        <v>1.8</v>
      </c>
      <c r="AT109">
        <f t="shared" si="100"/>
        <v>3</v>
      </c>
      <c r="AU109">
        <f t="shared" si="93"/>
        <v>2012</v>
      </c>
      <c r="AV109" s="1">
        <v>1</v>
      </c>
      <c r="AW109">
        <v>3</v>
      </c>
      <c r="AX109">
        <v>0</v>
      </c>
      <c r="AZ109">
        <v>2</v>
      </c>
      <c r="BA109">
        <v>2</v>
      </c>
      <c r="BI109" s="2"/>
      <c r="BT109" t="s">
        <v>415</v>
      </c>
      <c r="BV109" s="58"/>
      <c r="CG109" t="str">
        <f t="shared" si="82"/>
        <v>DATA_Class_Base26</v>
      </c>
      <c r="CH109" s="6" t="s">
        <v>369</v>
      </c>
    </row>
    <row r="110" spans="1:86">
      <c r="A110">
        <f t="shared" si="63"/>
        <v>3052500</v>
      </c>
      <c r="B110" s="6" t="s">
        <v>301</v>
      </c>
      <c r="C110">
        <v>0</v>
      </c>
      <c r="D110">
        <v>5</v>
      </c>
      <c r="E110">
        <v>5</v>
      </c>
      <c r="F110">
        <v>2</v>
      </c>
      <c r="G110" s="3" t="s">
        <v>302</v>
      </c>
      <c r="H110" s="3" t="s">
        <v>302</v>
      </c>
      <c r="I110" s="2">
        <v>0</v>
      </c>
      <c r="J110" s="2" t="s">
        <v>303</v>
      </c>
      <c r="K110" s="2">
        <f t="shared" si="131"/>
        <v>6</v>
      </c>
      <c r="L110" s="2">
        <f t="shared" si="64"/>
        <v>1.4000000000000001</v>
      </c>
      <c r="M110" s="2">
        <f t="shared" si="65"/>
        <v>2</v>
      </c>
      <c r="N110" s="2">
        <v>10</v>
      </c>
      <c r="O110" s="2">
        <f t="shared" ref="O110:T110" si="139">ROUND(AL110*(1+$AX110),2)</f>
        <v>268.8</v>
      </c>
      <c r="P110" s="2">
        <f t="shared" si="139"/>
        <v>13.71</v>
      </c>
      <c r="Q110" s="2">
        <f t="shared" si="139"/>
        <v>1536</v>
      </c>
      <c r="R110" s="2">
        <f t="shared" si="139"/>
        <v>78.34</v>
      </c>
      <c r="S110" s="2">
        <f t="shared" si="139"/>
        <v>35.840000000000003</v>
      </c>
      <c r="T110" s="2">
        <f t="shared" si="139"/>
        <v>2.69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13">
        <v>325001</v>
      </c>
      <c r="AA110" s="14" t="s">
        <v>379</v>
      </c>
      <c r="AB110" s="15" t="s">
        <v>368</v>
      </c>
      <c r="AC110" s="2">
        <v>3062500</v>
      </c>
      <c r="AD110" s="53">
        <v>7</v>
      </c>
      <c r="AE110" s="2">
        <v>1</v>
      </c>
      <c r="AF110" s="2">
        <f t="shared" si="135"/>
        <v>3052500</v>
      </c>
      <c r="AG110" s="2">
        <v>1</v>
      </c>
      <c r="AH110" s="2"/>
      <c r="AI110">
        <v>1</v>
      </c>
      <c r="AJ110" s="1">
        <f t="shared" si="67"/>
        <v>103.41127430053017</v>
      </c>
      <c r="AK110">
        <v>5</v>
      </c>
      <c r="AL110">
        <f t="shared" si="72"/>
        <v>268.79999999999995</v>
      </c>
      <c r="AM110">
        <f t="shared" si="73"/>
        <v>13.708799999999997</v>
      </c>
      <c r="AN110">
        <f t="shared" si="74"/>
        <v>1536</v>
      </c>
      <c r="AO110">
        <f t="shared" si="75"/>
        <v>78.335999999999999</v>
      </c>
      <c r="AP110">
        <f t="shared" si="76"/>
        <v>35.839999999999996</v>
      </c>
      <c r="AQ110">
        <f t="shared" si="77"/>
        <v>2.6879999999999997</v>
      </c>
      <c r="AR110">
        <f t="shared" si="80"/>
        <v>1.4</v>
      </c>
      <c r="AS110">
        <f t="shared" si="99"/>
        <v>2</v>
      </c>
      <c r="AT110">
        <f t="shared" si="100"/>
        <v>6</v>
      </c>
      <c r="AU110">
        <f t="shared" si="93"/>
        <v>5002</v>
      </c>
      <c r="AV110" s="1">
        <v>0</v>
      </c>
      <c r="AW110">
        <v>3</v>
      </c>
      <c r="AX110">
        <v>0</v>
      </c>
      <c r="AZ110">
        <v>5</v>
      </c>
      <c r="BA110">
        <v>2</v>
      </c>
      <c r="BD110" s="3" t="s">
        <v>45</v>
      </c>
      <c r="BE110" s="3" t="s">
        <v>75</v>
      </c>
      <c r="BF110" s="3" t="s">
        <v>416</v>
      </c>
      <c r="BG110" s="3" t="s">
        <v>417</v>
      </c>
      <c r="BH110" s="3" t="s">
        <v>418</v>
      </c>
      <c r="BI110" s="3" t="s">
        <v>419</v>
      </c>
      <c r="BJ110" s="24" t="s">
        <v>420</v>
      </c>
      <c r="BK110" s="3" t="s">
        <v>417</v>
      </c>
      <c r="BL110" s="3" t="s">
        <v>418</v>
      </c>
      <c r="BM110" s="3" t="s">
        <v>419</v>
      </c>
      <c r="BT110" t="e">
        <f>#REF!/#REF!</f>
        <v>#REF!</v>
      </c>
      <c r="BV110" s="58"/>
      <c r="CG110" t="str">
        <f t="shared" si="82"/>
        <v>DATA_Class_Base27</v>
      </c>
      <c r="CH110" s="6" t="s">
        <v>371</v>
      </c>
    </row>
    <row r="111" spans="1:86">
      <c r="A111">
        <f t="shared" si="63"/>
        <v>3052601</v>
      </c>
      <c r="B111" s="6" t="s">
        <v>307</v>
      </c>
      <c r="C111">
        <v>0</v>
      </c>
      <c r="D111">
        <v>5</v>
      </c>
      <c r="E111">
        <v>6</v>
      </c>
      <c r="F111">
        <v>2</v>
      </c>
      <c r="G111" s="3" t="s">
        <v>308</v>
      </c>
      <c r="H111" s="3" t="s">
        <v>308</v>
      </c>
      <c r="I111" s="2">
        <v>0</v>
      </c>
      <c r="J111" s="2" t="s">
        <v>309</v>
      </c>
      <c r="K111" s="2">
        <f t="shared" si="131"/>
        <v>6</v>
      </c>
      <c r="L111" s="2">
        <f t="shared" si="64"/>
        <v>1.5</v>
      </c>
      <c r="M111" s="2">
        <f t="shared" si="65"/>
        <v>2</v>
      </c>
      <c r="N111" s="2">
        <v>10</v>
      </c>
      <c r="O111" s="2">
        <f t="shared" ref="O111:T111" si="140">ROUND(AL111*(1+$AX111),2)</f>
        <v>211.2</v>
      </c>
      <c r="P111" s="2">
        <f t="shared" si="140"/>
        <v>10.77</v>
      </c>
      <c r="Q111" s="2">
        <f t="shared" si="140"/>
        <v>2094.5500000000002</v>
      </c>
      <c r="R111" s="2">
        <f t="shared" si="140"/>
        <v>106.82</v>
      </c>
      <c r="S111" s="2">
        <f t="shared" si="140"/>
        <v>46.93</v>
      </c>
      <c r="T111" s="2">
        <f t="shared" si="140"/>
        <v>3.52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13">
        <v>326011</v>
      </c>
      <c r="AA111" s="14" t="s">
        <v>382</v>
      </c>
      <c r="AB111" s="15" t="s">
        <v>368</v>
      </c>
      <c r="AC111" s="2">
        <v>3062601</v>
      </c>
      <c r="AD111" s="53">
        <v>7</v>
      </c>
      <c r="AE111" s="2">
        <v>1</v>
      </c>
      <c r="AF111" s="2">
        <f t="shared" si="135"/>
        <v>3052601</v>
      </c>
      <c r="AG111" s="2">
        <v>1</v>
      </c>
      <c r="AH111" s="2"/>
      <c r="AI111">
        <v>1</v>
      </c>
      <c r="AJ111" s="1">
        <f t="shared" si="67"/>
        <v>103.66043124348091</v>
      </c>
      <c r="AK111">
        <v>5</v>
      </c>
      <c r="AL111">
        <f t="shared" si="72"/>
        <v>211.20000000000002</v>
      </c>
      <c r="AM111">
        <f t="shared" si="73"/>
        <v>10.7712</v>
      </c>
      <c r="AN111">
        <f t="shared" si="74"/>
        <v>2094.5454545454545</v>
      </c>
      <c r="AO111">
        <f t="shared" si="75"/>
        <v>106.82181818181817</v>
      </c>
      <c r="AP111">
        <f t="shared" si="76"/>
        <v>46.933333333333337</v>
      </c>
      <c r="AQ111">
        <f t="shared" si="77"/>
        <v>3.52</v>
      </c>
      <c r="AR111">
        <f t="shared" si="80"/>
        <v>1.5</v>
      </c>
      <c r="AS111">
        <f t="shared" si="99"/>
        <v>2</v>
      </c>
      <c r="AT111">
        <f t="shared" si="100"/>
        <v>6</v>
      </c>
      <c r="AU111">
        <f t="shared" si="93"/>
        <v>6012</v>
      </c>
      <c r="AV111" s="1">
        <v>1</v>
      </c>
      <c r="AW111">
        <v>3</v>
      </c>
      <c r="AX111">
        <v>0</v>
      </c>
      <c r="AZ111">
        <v>6</v>
      </c>
      <c r="BA111">
        <v>2</v>
      </c>
      <c r="BC111" s="3" t="s">
        <v>421</v>
      </c>
      <c r="BD111">
        <v>3</v>
      </c>
      <c r="BE111">
        <v>1</v>
      </c>
      <c r="BF111">
        <v>0</v>
      </c>
      <c r="BG111" t="e">
        <f>((BH$4*INDEX($BD$106:$BQ$106,MATCH($BD111,$BD$105:$BQ$105,0)))+BH$4*INDEX($BD$106:$BQ$106,MATCH($BD111,$BQ$105:$BQ$105,0))*0.1*$BE111)*(1+$BF111*0.2)</f>
        <v>#N/A</v>
      </c>
      <c r="BH111" t="e">
        <f t="shared" ref="BH111:BI121" si="141">((BI$4*INDEX($BD$106:$BQ$106,MATCH($BD111,$BQ$105:$BQ$105,0)))+BI$4*INDEX($BD$106:$BQ$106,MATCH($BD111,$BQ$105:$BQ$105,0))*0.1*$BE111)*(1+$BF111*0.2)</f>
        <v>#N/A</v>
      </c>
      <c r="BI111" t="e">
        <f t="shared" si="141"/>
        <v>#N/A</v>
      </c>
      <c r="BK111" t="e">
        <f>BG111*0.2</f>
        <v>#N/A</v>
      </c>
      <c r="BL111" t="e">
        <f>BH111*0.2</f>
        <v>#N/A</v>
      </c>
      <c r="BM111" t="e">
        <f>BI111*0.2</f>
        <v>#N/A</v>
      </c>
      <c r="BV111" s="58"/>
      <c r="CG111" t="str">
        <f t="shared" si="82"/>
        <v>DATA_Class_Base13</v>
      </c>
      <c r="CH111" s="6" t="s">
        <v>295</v>
      </c>
    </row>
    <row r="112" spans="1:86">
      <c r="A112">
        <f t="shared" si="63"/>
        <v>3053200</v>
      </c>
      <c r="B112" s="6" t="s">
        <v>294</v>
      </c>
      <c r="C112">
        <v>0</v>
      </c>
      <c r="D112">
        <v>5</v>
      </c>
      <c r="E112">
        <v>2</v>
      </c>
      <c r="F112">
        <v>3</v>
      </c>
      <c r="G112" s="3" t="s">
        <v>313</v>
      </c>
      <c r="H112" s="3" t="s">
        <v>313</v>
      </c>
      <c r="I112">
        <v>0</v>
      </c>
      <c r="J112" s="2" t="s">
        <v>314</v>
      </c>
      <c r="K112" s="2">
        <f t="shared" si="131"/>
        <v>3</v>
      </c>
      <c r="L112" s="2">
        <f t="shared" si="64"/>
        <v>1.5</v>
      </c>
      <c r="M112" s="2">
        <f t="shared" si="65"/>
        <v>1.2</v>
      </c>
      <c r="N112" s="2">
        <v>10</v>
      </c>
      <c r="O112" s="2">
        <f t="shared" ref="O112:T112" si="142">ROUND(AL112*(1+$AX112),2)</f>
        <v>134.4</v>
      </c>
      <c r="P112" s="2">
        <f t="shared" si="142"/>
        <v>6.85</v>
      </c>
      <c r="Q112" s="2">
        <f t="shared" si="142"/>
        <v>3291.43</v>
      </c>
      <c r="R112" s="2">
        <f t="shared" si="142"/>
        <v>167.86</v>
      </c>
      <c r="S112" s="2">
        <f t="shared" si="142"/>
        <v>67.2</v>
      </c>
      <c r="T112" s="2">
        <f t="shared" si="142"/>
        <v>5.04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13">
        <v>332001</v>
      </c>
      <c r="AA112" s="14" t="s">
        <v>385</v>
      </c>
      <c r="AB112" s="15" t="s">
        <v>368</v>
      </c>
      <c r="AC112" s="2">
        <v>3063200</v>
      </c>
      <c r="AD112" s="53">
        <v>7</v>
      </c>
      <c r="AE112" s="2">
        <v>1</v>
      </c>
      <c r="AF112" s="2">
        <f t="shared" si="135"/>
        <v>3053200</v>
      </c>
      <c r="AG112" s="2">
        <v>1</v>
      </c>
      <c r="AH112" s="2"/>
      <c r="AI112">
        <v>1</v>
      </c>
      <c r="AJ112" s="1">
        <f t="shared" si="67"/>
        <v>104.11873588129293</v>
      </c>
      <c r="AK112">
        <v>5</v>
      </c>
      <c r="AL112">
        <f t="shared" si="72"/>
        <v>134.39999999999998</v>
      </c>
      <c r="AM112">
        <f t="shared" si="73"/>
        <v>6.8543999999999983</v>
      </c>
      <c r="AN112">
        <f t="shared" si="74"/>
        <v>3291.428571428572</v>
      </c>
      <c r="AO112">
        <f t="shared" si="75"/>
        <v>167.86285714285717</v>
      </c>
      <c r="AP112">
        <f t="shared" si="76"/>
        <v>67.199999999999989</v>
      </c>
      <c r="AQ112">
        <f t="shared" si="77"/>
        <v>5.0399999999999991</v>
      </c>
      <c r="AR112">
        <f t="shared" si="80"/>
        <v>1.5</v>
      </c>
      <c r="AS112">
        <f t="shared" si="99"/>
        <v>1.2</v>
      </c>
      <c r="AT112">
        <f t="shared" si="100"/>
        <v>3</v>
      </c>
      <c r="AU112">
        <f t="shared" si="93"/>
        <v>2003</v>
      </c>
      <c r="AV112" s="1">
        <v>0</v>
      </c>
      <c r="AW112">
        <v>3</v>
      </c>
      <c r="AX112">
        <v>0</v>
      </c>
      <c r="AZ112">
        <v>2</v>
      </c>
      <c r="BA112">
        <v>3</v>
      </c>
      <c r="BD112">
        <v>4</v>
      </c>
      <c r="BE112">
        <v>1</v>
      </c>
      <c r="BF112">
        <v>0</v>
      </c>
      <c r="BG112" t="e">
        <f t="shared" ref="BG112:BG121" si="143">((BH$4*INDEX($BD$106:$BQ$106,MATCH($BD112,$BQ$105:$BQ$105,0)))+BH$4*INDEX($BD$106:$BQ$106,MATCH($BD112,$BQ$105:$BQ$105,0))*0.1*$BE112)*(1+$BF112*0.2)</f>
        <v>#N/A</v>
      </c>
      <c r="BH112" t="e">
        <f t="shared" si="141"/>
        <v>#N/A</v>
      </c>
      <c r="BI112" t="e">
        <f t="shared" si="141"/>
        <v>#N/A</v>
      </c>
      <c r="BK112" t="e">
        <f t="shared" ref="BK112:BM121" si="144">BG112*0.2</f>
        <v>#N/A</v>
      </c>
      <c r="BL112" t="e">
        <f t="shared" si="144"/>
        <v>#N/A</v>
      </c>
      <c r="BM112" t="e">
        <f t="shared" si="144"/>
        <v>#N/A</v>
      </c>
      <c r="BV112" s="58"/>
      <c r="CG112" t="str">
        <f t="shared" si="82"/>
        <v>DATA_Class_Base14</v>
      </c>
      <c r="CH112" s="6" t="s">
        <v>300</v>
      </c>
    </row>
    <row r="113" spans="1:86">
      <c r="A113">
        <f t="shared" si="63"/>
        <v>3051401</v>
      </c>
      <c r="B113" s="6" t="s">
        <v>317</v>
      </c>
      <c r="C113">
        <v>0</v>
      </c>
      <c r="D113">
        <v>5</v>
      </c>
      <c r="E113">
        <v>4</v>
      </c>
      <c r="F113">
        <v>1</v>
      </c>
      <c r="G113" s="3" t="s">
        <v>319</v>
      </c>
      <c r="H113" s="3" t="s">
        <v>319</v>
      </c>
      <c r="I113">
        <v>0</v>
      </c>
      <c r="J113" s="2" t="s">
        <v>161</v>
      </c>
      <c r="K113" s="2">
        <f t="shared" si="131"/>
        <v>6</v>
      </c>
      <c r="L113" s="2">
        <f t="shared" si="64"/>
        <v>1.6</v>
      </c>
      <c r="M113" s="2">
        <f t="shared" si="65"/>
        <v>1.5</v>
      </c>
      <c r="N113" s="2">
        <v>10</v>
      </c>
      <c r="O113" s="2">
        <f t="shared" ref="O113:T113" si="145">ROUND(AL113*(1+$AX113),2)</f>
        <v>245.76</v>
      </c>
      <c r="P113" s="2">
        <f t="shared" si="145"/>
        <v>12.53</v>
      </c>
      <c r="Q113" s="2">
        <f t="shared" si="145"/>
        <v>1920</v>
      </c>
      <c r="R113" s="2">
        <f t="shared" si="145"/>
        <v>97.92</v>
      </c>
      <c r="S113" s="2">
        <f t="shared" si="145"/>
        <v>40.96</v>
      </c>
      <c r="T113" s="2">
        <f t="shared" si="145"/>
        <v>3.07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13">
        <v>314011</v>
      </c>
      <c r="AA113" s="51" t="s">
        <v>1717</v>
      </c>
      <c r="AB113" s="15" t="s">
        <v>368</v>
      </c>
      <c r="AC113" s="2">
        <v>3061401</v>
      </c>
      <c r="AD113" s="53">
        <v>7</v>
      </c>
      <c r="AE113" s="2">
        <v>1</v>
      </c>
      <c r="AF113" s="2">
        <f t="shared" si="135"/>
        <v>3051401</v>
      </c>
      <c r="AG113" s="2">
        <v>1</v>
      </c>
      <c r="AH113" s="2"/>
      <c r="AI113">
        <v>1</v>
      </c>
      <c r="AJ113" s="1">
        <f t="shared" si="67"/>
        <v>103.52612081563078</v>
      </c>
      <c r="AK113">
        <v>5</v>
      </c>
      <c r="AL113">
        <f t="shared" si="72"/>
        <v>245.76</v>
      </c>
      <c r="AM113">
        <f t="shared" si="73"/>
        <v>12.533759999999999</v>
      </c>
      <c r="AN113">
        <f t="shared" si="74"/>
        <v>1920</v>
      </c>
      <c r="AO113">
        <f t="shared" si="75"/>
        <v>97.919999999999987</v>
      </c>
      <c r="AP113">
        <f t="shared" si="76"/>
        <v>40.96</v>
      </c>
      <c r="AQ113">
        <f t="shared" si="77"/>
        <v>3.0720000000000001</v>
      </c>
      <c r="AR113">
        <f t="shared" si="80"/>
        <v>1.6</v>
      </c>
      <c r="AS113">
        <f t="shared" si="99"/>
        <v>1.5</v>
      </c>
      <c r="AT113">
        <f t="shared" si="100"/>
        <v>6</v>
      </c>
      <c r="AU113">
        <f t="shared" si="93"/>
        <v>4013</v>
      </c>
      <c r="AV113" s="1">
        <v>1</v>
      </c>
      <c r="AW113">
        <v>3</v>
      </c>
      <c r="AX113">
        <v>0</v>
      </c>
      <c r="AZ113">
        <v>4</v>
      </c>
      <c r="BA113">
        <v>3</v>
      </c>
      <c r="BD113">
        <v>5</v>
      </c>
      <c r="BE113">
        <v>46</v>
      </c>
      <c r="BF113">
        <v>3</v>
      </c>
      <c r="BG113" t="e">
        <f t="shared" si="143"/>
        <v>#N/A</v>
      </c>
      <c r="BH113" t="e">
        <f t="shared" si="141"/>
        <v>#N/A</v>
      </c>
      <c r="BI113" t="e">
        <f t="shared" si="141"/>
        <v>#N/A</v>
      </c>
      <c r="BK113" t="e">
        <f t="shared" si="144"/>
        <v>#N/A</v>
      </c>
      <c r="BL113" t="e">
        <f t="shared" si="144"/>
        <v>#N/A</v>
      </c>
      <c r="BM113" t="e">
        <f t="shared" si="144"/>
        <v>#N/A</v>
      </c>
      <c r="BV113" s="58"/>
      <c r="CG113" t="str">
        <f t="shared" si="82"/>
        <v>DATA_Class_Base15</v>
      </c>
      <c r="CH113" s="6" t="s">
        <v>306</v>
      </c>
    </row>
    <row r="114" spans="1:86">
      <c r="A114">
        <f t="shared" si="63"/>
        <v>3053402</v>
      </c>
      <c r="B114" s="6" t="s">
        <v>323</v>
      </c>
      <c r="C114">
        <v>0</v>
      </c>
      <c r="D114">
        <v>5</v>
      </c>
      <c r="E114">
        <v>4</v>
      </c>
      <c r="F114">
        <v>3</v>
      </c>
      <c r="G114" s="3" t="s">
        <v>325</v>
      </c>
      <c r="H114" s="3" t="s">
        <v>325</v>
      </c>
      <c r="I114" s="2">
        <v>0</v>
      </c>
      <c r="J114" s="2" t="s">
        <v>250</v>
      </c>
      <c r="K114" s="2">
        <f t="shared" si="131"/>
        <v>6</v>
      </c>
      <c r="L114" s="2">
        <f t="shared" si="64"/>
        <v>1.5</v>
      </c>
      <c r="M114" s="2">
        <f t="shared" si="65"/>
        <v>1.5</v>
      </c>
      <c r="N114" s="2">
        <v>10</v>
      </c>
      <c r="O114" s="2">
        <f t="shared" ref="O114:T114" si="146">ROUND(AL114*(1+$AX114),2)</f>
        <v>249.6</v>
      </c>
      <c r="P114" s="2">
        <f t="shared" si="146"/>
        <v>12.73</v>
      </c>
      <c r="Q114" s="2">
        <f t="shared" si="146"/>
        <v>1772.31</v>
      </c>
      <c r="R114" s="2">
        <f t="shared" si="146"/>
        <v>90.39</v>
      </c>
      <c r="S114" s="2">
        <f t="shared" si="146"/>
        <v>35.659999999999997</v>
      </c>
      <c r="T114" s="2">
        <f t="shared" si="146"/>
        <v>2.67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13">
        <v>334021</v>
      </c>
      <c r="AA114" s="14" t="s">
        <v>392</v>
      </c>
      <c r="AB114" s="15" t="s">
        <v>368</v>
      </c>
      <c r="AC114" s="2">
        <v>3063402</v>
      </c>
      <c r="AD114" s="53">
        <v>7</v>
      </c>
      <c r="AE114" s="2">
        <v>1</v>
      </c>
      <c r="AF114" s="2">
        <f t="shared" si="135"/>
        <v>3053402</v>
      </c>
      <c r="AG114" s="2">
        <v>1</v>
      </c>
      <c r="AH114" s="2"/>
      <c r="AI114">
        <v>1</v>
      </c>
      <c r="AJ114" s="1">
        <f t="shared" si="67"/>
        <v>103.40717735176649</v>
      </c>
      <c r="AK114">
        <v>5</v>
      </c>
      <c r="AL114">
        <f t="shared" si="72"/>
        <v>249.60000000000002</v>
      </c>
      <c r="AM114">
        <f t="shared" si="73"/>
        <v>12.7296</v>
      </c>
      <c r="AN114">
        <f t="shared" si="74"/>
        <v>1772.3076923076924</v>
      </c>
      <c r="AO114">
        <f t="shared" si="75"/>
        <v>90.387692307692305</v>
      </c>
      <c r="AP114">
        <f t="shared" si="76"/>
        <v>35.657142857142858</v>
      </c>
      <c r="AQ114">
        <f t="shared" si="77"/>
        <v>2.6742857142857144</v>
      </c>
      <c r="AR114">
        <f t="shared" si="80"/>
        <v>1.5</v>
      </c>
      <c r="AS114">
        <f t="shared" si="99"/>
        <v>1.5</v>
      </c>
      <c r="AT114">
        <f t="shared" si="100"/>
        <v>6</v>
      </c>
      <c r="AU114">
        <f t="shared" si="93"/>
        <v>4023</v>
      </c>
      <c r="AV114" s="1">
        <v>2</v>
      </c>
      <c r="AW114">
        <v>3</v>
      </c>
      <c r="AX114">
        <v>0</v>
      </c>
      <c r="AZ114">
        <v>4</v>
      </c>
      <c r="BA114">
        <v>3</v>
      </c>
      <c r="BD114">
        <v>6</v>
      </c>
      <c r="BE114">
        <v>1</v>
      </c>
      <c r="BF114">
        <v>0</v>
      </c>
      <c r="BG114" t="e">
        <f t="shared" si="143"/>
        <v>#N/A</v>
      </c>
      <c r="BH114" t="e">
        <f t="shared" si="141"/>
        <v>#N/A</v>
      </c>
      <c r="BI114" t="e">
        <f t="shared" si="141"/>
        <v>#N/A</v>
      </c>
      <c r="BK114" t="e">
        <f t="shared" si="144"/>
        <v>#N/A</v>
      </c>
      <c r="BL114" t="e">
        <f t="shared" si="144"/>
        <v>#N/A</v>
      </c>
      <c r="BM114" t="e">
        <f t="shared" si="144"/>
        <v>#N/A</v>
      </c>
      <c r="BV114" s="58"/>
      <c r="CG114" t="str">
        <f t="shared" si="82"/>
        <v>DATA_Class_Base16</v>
      </c>
      <c r="CH114" s="6" t="s">
        <v>312</v>
      </c>
    </row>
    <row r="115" spans="1:86">
      <c r="A115">
        <f t="shared" si="63"/>
        <v>3053501</v>
      </c>
      <c r="B115" s="6" t="s">
        <v>332</v>
      </c>
      <c r="C115">
        <v>0</v>
      </c>
      <c r="D115">
        <v>5</v>
      </c>
      <c r="E115">
        <v>5</v>
      </c>
      <c r="F115">
        <v>3</v>
      </c>
      <c r="G115" s="3" t="s">
        <v>333</v>
      </c>
      <c r="H115" s="3" t="s">
        <v>333</v>
      </c>
      <c r="I115">
        <v>0</v>
      </c>
      <c r="J115" s="2" t="s">
        <v>334</v>
      </c>
      <c r="K115" s="2">
        <f t="shared" si="131"/>
        <v>6</v>
      </c>
      <c r="L115" s="2">
        <f t="shared" si="64"/>
        <v>1.6</v>
      </c>
      <c r="M115" s="2">
        <f t="shared" si="65"/>
        <v>2</v>
      </c>
      <c r="N115" s="2">
        <v>10</v>
      </c>
      <c r="O115" s="2">
        <f t="shared" ref="O115:T115" si="147">ROUND(AL115*(1+$AX115),2)</f>
        <v>266.24</v>
      </c>
      <c r="P115" s="2">
        <f t="shared" si="147"/>
        <v>13.58</v>
      </c>
      <c r="Q115" s="2">
        <f t="shared" si="147"/>
        <v>1772.31</v>
      </c>
      <c r="R115" s="2">
        <f t="shared" si="147"/>
        <v>90.39</v>
      </c>
      <c r="S115" s="2">
        <f t="shared" si="147"/>
        <v>38.03</v>
      </c>
      <c r="T115" s="2">
        <f t="shared" si="147"/>
        <v>2.85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13">
        <v>345011</v>
      </c>
      <c r="AA115" s="14" t="s">
        <v>395</v>
      </c>
      <c r="AB115" s="15" t="s">
        <v>368</v>
      </c>
      <c r="AC115">
        <v>3063501</v>
      </c>
      <c r="AD115" s="53">
        <v>7</v>
      </c>
      <c r="AE115" s="2">
        <v>1</v>
      </c>
      <c r="AF115" s="2">
        <f t="shared" si="135"/>
        <v>3053501</v>
      </c>
      <c r="AG115" s="2">
        <v>1</v>
      </c>
      <c r="AH115" s="2"/>
      <c r="AI115">
        <v>1</v>
      </c>
      <c r="AJ115" s="1">
        <f t="shared" si="67"/>
        <v>103.46046301956297</v>
      </c>
      <c r="AK115">
        <v>5</v>
      </c>
      <c r="AL115">
        <f t="shared" si="72"/>
        <v>266.24</v>
      </c>
      <c r="AM115">
        <f t="shared" si="73"/>
        <v>13.578239999999999</v>
      </c>
      <c r="AN115">
        <f t="shared" si="74"/>
        <v>1772.3076923076924</v>
      </c>
      <c r="AO115">
        <f t="shared" si="75"/>
        <v>90.387692307692305</v>
      </c>
      <c r="AP115">
        <f t="shared" si="76"/>
        <v>38.034285714285716</v>
      </c>
      <c r="AQ115">
        <f t="shared" si="77"/>
        <v>2.8525714285714288</v>
      </c>
      <c r="AR115">
        <f t="shared" si="80"/>
        <v>1.6</v>
      </c>
      <c r="AS115">
        <f t="shared" si="99"/>
        <v>2</v>
      </c>
      <c r="AT115">
        <f t="shared" si="100"/>
        <v>6</v>
      </c>
      <c r="AU115">
        <f t="shared" si="93"/>
        <v>5014</v>
      </c>
      <c r="AV115" s="1">
        <v>1</v>
      </c>
      <c r="AW115">
        <v>3</v>
      </c>
      <c r="AX115">
        <v>0</v>
      </c>
      <c r="AZ115">
        <v>5</v>
      </c>
      <c r="BA115">
        <v>4</v>
      </c>
      <c r="BD115">
        <v>7</v>
      </c>
      <c r="BE115">
        <v>1</v>
      </c>
      <c r="BF115">
        <v>0</v>
      </c>
      <c r="BG115" t="e">
        <f t="shared" si="143"/>
        <v>#N/A</v>
      </c>
      <c r="BH115" t="e">
        <f t="shared" si="141"/>
        <v>#N/A</v>
      </c>
      <c r="BI115" t="e">
        <f t="shared" si="141"/>
        <v>#N/A</v>
      </c>
      <c r="BK115" t="e">
        <f t="shared" si="144"/>
        <v>#N/A</v>
      </c>
      <c r="BL115" t="e">
        <f t="shared" si="144"/>
        <v>#N/A</v>
      </c>
      <c r="BM115" t="e">
        <f t="shared" si="144"/>
        <v>#N/A</v>
      </c>
      <c r="BV115" s="58"/>
      <c r="CG115" t="str">
        <f t="shared" si="82"/>
        <v>DATA_Class_Base17</v>
      </c>
      <c r="CH115" s="6" t="s">
        <v>318</v>
      </c>
    </row>
    <row r="116" spans="1:86">
      <c r="A116">
        <f t="shared" si="63"/>
        <v>3053600</v>
      </c>
      <c r="B116" s="6" t="s">
        <v>337</v>
      </c>
      <c r="C116">
        <v>0</v>
      </c>
      <c r="D116">
        <v>5</v>
      </c>
      <c r="E116">
        <v>6</v>
      </c>
      <c r="F116">
        <v>3</v>
      </c>
      <c r="G116" s="3" t="s">
        <v>338</v>
      </c>
      <c r="H116" s="3" t="s">
        <v>338</v>
      </c>
      <c r="I116" s="2">
        <v>0</v>
      </c>
      <c r="J116" s="2" t="s">
        <v>339</v>
      </c>
      <c r="K116" s="2">
        <f t="shared" si="131"/>
        <v>3</v>
      </c>
      <c r="L116" s="2">
        <f t="shared" si="64"/>
        <v>1.4000000000000001</v>
      </c>
      <c r="M116" s="2">
        <f t="shared" si="65"/>
        <v>1.9000000000000001</v>
      </c>
      <c r="N116" s="2">
        <v>10</v>
      </c>
      <c r="O116" s="2">
        <f t="shared" ref="O116:T116" si="148">ROUND(AL116*(1+$AX116),2)</f>
        <v>197.12</v>
      </c>
      <c r="P116" s="2">
        <f t="shared" si="148"/>
        <v>10.050000000000001</v>
      </c>
      <c r="Q116" s="2">
        <f t="shared" si="148"/>
        <v>2094.5500000000002</v>
      </c>
      <c r="R116" s="2">
        <f t="shared" si="148"/>
        <v>106.82</v>
      </c>
      <c r="S116" s="2">
        <f t="shared" si="148"/>
        <v>49.28</v>
      </c>
      <c r="T116" s="2">
        <f t="shared" si="148"/>
        <v>3.7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13">
        <v>346001</v>
      </c>
      <c r="AA116" s="14" t="s">
        <v>397</v>
      </c>
      <c r="AB116" s="15" t="s">
        <v>368</v>
      </c>
      <c r="AC116">
        <v>3063600</v>
      </c>
      <c r="AD116" s="53">
        <v>7</v>
      </c>
      <c r="AE116" s="2">
        <v>1</v>
      </c>
      <c r="AF116" s="2">
        <f t="shared" si="135"/>
        <v>3053600</v>
      </c>
      <c r="AG116" s="2">
        <v>1</v>
      </c>
      <c r="AH116" s="2"/>
      <c r="AI116">
        <v>1</v>
      </c>
      <c r="AJ116" s="1">
        <f t="shared" si="67"/>
        <v>103.7132914508602</v>
      </c>
      <c r="AK116">
        <v>5</v>
      </c>
      <c r="AL116">
        <f t="shared" si="72"/>
        <v>197.12</v>
      </c>
      <c r="AM116">
        <f t="shared" si="73"/>
        <v>10.05312</v>
      </c>
      <c r="AN116">
        <f t="shared" si="74"/>
        <v>2094.5454545454545</v>
      </c>
      <c r="AO116">
        <f t="shared" si="75"/>
        <v>106.82181818181817</v>
      </c>
      <c r="AP116">
        <f t="shared" si="76"/>
        <v>49.28</v>
      </c>
      <c r="AQ116">
        <f t="shared" si="77"/>
        <v>3.6959999999999997</v>
      </c>
      <c r="AR116">
        <f t="shared" si="80"/>
        <v>1.4</v>
      </c>
      <c r="AS116">
        <f t="shared" si="99"/>
        <v>1.9</v>
      </c>
      <c r="AT116">
        <f t="shared" si="100"/>
        <v>3</v>
      </c>
      <c r="AU116">
        <f t="shared" si="93"/>
        <v>6004</v>
      </c>
      <c r="AV116" s="1">
        <v>0</v>
      </c>
      <c r="AW116">
        <v>3</v>
      </c>
      <c r="AX116">
        <v>0</v>
      </c>
      <c r="AZ116">
        <v>6</v>
      </c>
      <c r="BA116">
        <v>4</v>
      </c>
      <c r="BD116">
        <v>8</v>
      </c>
      <c r="BE116">
        <v>1</v>
      </c>
      <c r="BF116">
        <v>0</v>
      </c>
      <c r="BG116" t="e">
        <f t="shared" si="143"/>
        <v>#N/A</v>
      </c>
      <c r="BH116" t="e">
        <f t="shared" si="141"/>
        <v>#N/A</v>
      </c>
      <c r="BI116" t="e">
        <f t="shared" si="141"/>
        <v>#N/A</v>
      </c>
      <c r="BK116" t="e">
        <f t="shared" si="144"/>
        <v>#N/A</v>
      </c>
      <c r="BL116" t="e">
        <f t="shared" si="144"/>
        <v>#N/A</v>
      </c>
      <c r="BM116" t="e">
        <f t="shared" si="144"/>
        <v>#N/A</v>
      </c>
      <c r="BV116" s="58"/>
      <c r="CG116" t="str">
        <f t="shared" si="82"/>
        <v>DATA_Class_Base18</v>
      </c>
      <c r="CH116" s="6" t="s">
        <v>324</v>
      </c>
    </row>
    <row r="117" spans="1:86">
      <c r="A117">
        <f t="shared" si="63"/>
        <v>3051602</v>
      </c>
      <c r="B117" s="6" t="s">
        <v>343</v>
      </c>
      <c r="C117">
        <v>0</v>
      </c>
      <c r="D117">
        <v>5</v>
      </c>
      <c r="E117">
        <v>6</v>
      </c>
      <c r="F117">
        <v>1</v>
      </c>
      <c r="G117" s="3" t="s">
        <v>344</v>
      </c>
      <c r="H117" s="3" t="s">
        <v>344</v>
      </c>
      <c r="I117" t="s">
        <v>345</v>
      </c>
      <c r="J117" s="2" t="s">
        <v>346</v>
      </c>
      <c r="K117" s="2">
        <f t="shared" si="131"/>
        <v>6</v>
      </c>
      <c r="L117" s="2">
        <f t="shared" si="64"/>
        <v>1.8</v>
      </c>
      <c r="M117" s="2">
        <f t="shared" si="65"/>
        <v>2</v>
      </c>
      <c r="N117" s="2">
        <v>10</v>
      </c>
      <c r="O117" s="2">
        <f t="shared" ref="O117:T117" si="149">ROUND(AL117*(1+$AX117),2)</f>
        <v>230.4</v>
      </c>
      <c r="P117" s="2">
        <f t="shared" si="149"/>
        <v>11.75</v>
      </c>
      <c r="Q117" s="2">
        <f t="shared" si="149"/>
        <v>2304</v>
      </c>
      <c r="R117" s="2">
        <f t="shared" si="149"/>
        <v>117.5</v>
      </c>
      <c r="S117" s="2">
        <f t="shared" si="149"/>
        <v>46.08</v>
      </c>
      <c r="T117" s="2">
        <f t="shared" si="149"/>
        <v>3.46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13">
        <v>346021</v>
      </c>
      <c r="AA117" s="14" t="s">
        <v>399</v>
      </c>
      <c r="AB117" s="15" t="s">
        <v>368</v>
      </c>
      <c r="AC117">
        <v>3061602</v>
      </c>
      <c r="AD117" s="53">
        <v>7</v>
      </c>
      <c r="AE117" s="2">
        <v>1</v>
      </c>
      <c r="AF117" s="2">
        <f t="shared" si="135"/>
        <v>3051602</v>
      </c>
      <c r="AG117" s="2">
        <v>1</v>
      </c>
      <c r="AH117" s="2"/>
      <c r="AI117">
        <v>1</v>
      </c>
      <c r="AJ117" s="1">
        <f t="shared" si="67"/>
        <v>103.64122270688161</v>
      </c>
      <c r="AK117">
        <v>5</v>
      </c>
      <c r="AL117">
        <f t="shared" si="72"/>
        <v>230.4</v>
      </c>
      <c r="AM117">
        <f t="shared" si="73"/>
        <v>11.750399999999999</v>
      </c>
      <c r="AN117">
        <f t="shared" si="74"/>
        <v>2304</v>
      </c>
      <c r="AO117">
        <f t="shared" si="75"/>
        <v>117.50399999999999</v>
      </c>
      <c r="AP117">
        <f t="shared" si="76"/>
        <v>46.08</v>
      </c>
      <c r="AQ117">
        <f t="shared" si="77"/>
        <v>3.456</v>
      </c>
      <c r="AR117">
        <f t="shared" si="80"/>
        <v>1.8</v>
      </c>
      <c r="AS117">
        <f t="shared" si="99"/>
        <v>2</v>
      </c>
      <c r="AT117">
        <f t="shared" si="100"/>
        <v>6</v>
      </c>
      <c r="AU117">
        <f t="shared" si="93"/>
        <v>6024</v>
      </c>
      <c r="AV117" s="1">
        <v>2</v>
      </c>
      <c r="AW117">
        <v>3</v>
      </c>
      <c r="AX117">
        <v>0</v>
      </c>
      <c r="AZ117">
        <v>6</v>
      </c>
      <c r="BA117">
        <v>4</v>
      </c>
      <c r="BD117">
        <v>9</v>
      </c>
      <c r="BE117">
        <v>1</v>
      </c>
      <c r="BF117">
        <v>0</v>
      </c>
      <c r="BG117" t="e">
        <f t="shared" si="143"/>
        <v>#N/A</v>
      </c>
      <c r="BH117" t="e">
        <f t="shared" si="141"/>
        <v>#N/A</v>
      </c>
      <c r="BI117" t="e">
        <f t="shared" si="141"/>
        <v>#N/A</v>
      </c>
      <c r="BK117" t="e">
        <f t="shared" si="144"/>
        <v>#N/A</v>
      </c>
      <c r="BL117" t="e">
        <f t="shared" si="144"/>
        <v>#N/A</v>
      </c>
      <c r="BM117" t="e">
        <f t="shared" si="144"/>
        <v>#N/A</v>
      </c>
      <c r="BV117" s="58"/>
      <c r="CG117" t="str">
        <f t="shared" si="82"/>
        <v>DATA_Class_Base19</v>
      </c>
      <c r="CH117" s="6" t="s">
        <v>331</v>
      </c>
    </row>
    <row r="118" spans="1:86">
      <c r="A118">
        <f t="shared" si="63"/>
        <v>3052300</v>
      </c>
      <c r="B118" s="6" t="s">
        <v>350</v>
      </c>
      <c r="C118">
        <v>0</v>
      </c>
      <c r="D118">
        <v>5</v>
      </c>
      <c r="E118">
        <v>3</v>
      </c>
      <c r="F118">
        <v>2</v>
      </c>
      <c r="G118" s="3" t="s">
        <v>351</v>
      </c>
      <c r="H118" s="3" t="s">
        <v>351</v>
      </c>
      <c r="I118" s="2">
        <v>0</v>
      </c>
      <c r="J118" s="2" t="s">
        <v>352</v>
      </c>
      <c r="K118" s="2">
        <v>6</v>
      </c>
      <c r="L118" s="2">
        <f t="shared" si="64"/>
        <v>1.3</v>
      </c>
      <c r="M118" s="2">
        <f t="shared" si="65"/>
        <v>2</v>
      </c>
      <c r="N118" s="2">
        <v>10</v>
      </c>
      <c r="O118" s="2">
        <f t="shared" ref="O118:T118" si="150">ROUND(AL118*(1+$AX118),2)</f>
        <v>191.36</v>
      </c>
      <c r="P118" s="2">
        <f t="shared" si="150"/>
        <v>9.76</v>
      </c>
      <c r="Q118" s="2">
        <f t="shared" si="150"/>
        <v>2003.48</v>
      </c>
      <c r="R118" s="2">
        <f t="shared" si="150"/>
        <v>102.18</v>
      </c>
      <c r="S118" s="2">
        <f t="shared" si="150"/>
        <v>47.84</v>
      </c>
      <c r="T118" s="2">
        <f t="shared" si="150"/>
        <v>3.59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13">
        <v>353001</v>
      </c>
      <c r="AA118" s="14" t="s">
        <v>403</v>
      </c>
      <c r="AB118" s="15" t="s">
        <v>368</v>
      </c>
      <c r="AC118">
        <v>3062300</v>
      </c>
      <c r="AD118" s="53">
        <v>7</v>
      </c>
      <c r="AE118" s="2">
        <v>1</v>
      </c>
      <c r="AF118" s="2">
        <f t="shared" si="135"/>
        <v>3052300</v>
      </c>
      <c r="AG118" s="2">
        <v>1</v>
      </c>
      <c r="AH118" s="2"/>
      <c r="AI118">
        <v>1</v>
      </c>
      <c r="AJ118" s="1">
        <f t="shared" si="67"/>
        <v>103.68084811666887</v>
      </c>
      <c r="AK118">
        <v>5</v>
      </c>
      <c r="AL118">
        <f t="shared" si="72"/>
        <v>191.36</v>
      </c>
      <c r="AM118">
        <f t="shared" si="73"/>
        <v>9.7593600000000009</v>
      </c>
      <c r="AN118">
        <f t="shared" si="74"/>
        <v>2003.4782608695657</v>
      </c>
      <c r="AO118">
        <f t="shared" si="75"/>
        <v>102.17739130434785</v>
      </c>
      <c r="AP118">
        <f t="shared" si="76"/>
        <v>47.84</v>
      </c>
      <c r="AQ118">
        <f t="shared" si="77"/>
        <v>3.5880000000000001</v>
      </c>
      <c r="AR118">
        <f t="shared" si="80"/>
        <v>1.3</v>
      </c>
      <c r="AS118">
        <f t="shared" si="99"/>
        <v>2</v>
      </c>
      <c r="AT118">
        <f t="shared" si="100"/>
        <v>3</v>
      </c>
      <c r="AU118">
        <f t="shared" si="93"/>
        <v>3005</v>
      </c>
      <c r="AV118" s="1">
        <v>0</v>
      </c>
      <c r="AW118">
        <v>3</v>
      </c>
      <c r="AX118">
        <v>0</v>
      </c>
      <c r="AZ118">
        <v>3</v>
      </c>
      <c r="BA118">
        <v>5</v>
      </c>
      <c r="BD118">
        <v>10</v>
      </c>
      <c r="BE118">
        <v>1</v>
      </c>
      <c r="BF118">
        <v>0</v>
      </c>
      <c r="BG118" t="e">
        <f t="shared" si="143"/>
        <v>#N/A</v>
      </c>
      <c r="BH118" t="e">
        <f t="shared" si="141"/>
        <v>#N/A</v>
      </c>
      <c r="BI118" t="e">
        <f t="shared" si="141"/>
        <v>#N/A</v>
      </c>
      <c r="BK118" t="e">
        <f t="shared" si="144"/>
        <v>#N/A</v>
      </c>
      <c r="BL118" t="e">
        <f t="shared" si="144"/>
        <v>#N/A</v>
      </c>
      <c r="BM118" t="e">
        <f t="shared" si="144"/>
        <v>#N/A</v>
      </c>
      <c r="BT118" t="s">
        <v>415</v>
      </c>
      <c r="BV118" s="58"/>
      <c r="CG118" t="str">
        <f t="shared" si="82"/>
        <v>DATA_Class_Base20</v>
      </c>
      <c r="CH118" s="6" t="s">
        <v>336</v>
      </c>
    </row>
    <row r="119" spans="1:86">
      <c r="A119">
        <f t="shared" si="63"/>
        <v>3053302</v>
      </c>
      <c r="B119" s="6" t="s">
        <v>356</v>
      </c>
      <c r="C119">
        <v>0</v>
      </c>
      <c r="D119">
        <v>5</v>
      </c>
      <c r="E119">
        <v>3</v>
      </c>
      <c r="F119">
        <v>3</v>
      </c>
      <c r="G119" s="3" t="s">
        <v>357</v>
      </c>
      <c r="H119" s="3" t="s">
        <v>357</v>
      </c>
      <c r="I119" s="2">
        <v>0</v>
      </c>
      <c r="J119" s="2" t="s">
        <v>358</v>
      </c>
      <c r="K119" s="2">
        <f t="shared" ref="K119:K132" si="151">AT119</f>
        <v>3</v>
      </c>
      <c r="L119" s="2">
        <f t="shared" si="64"/>
        <v>1.4000000000000001</v>
      </c>
      <c r="M119" s="2">
        <f t="shared" si="65"/>
        <v>2</v>
      </c>
      <c r="N119" s="2">
        <v>10</v>
      </c>
      <c r="O119" s="2">
        <f t="shared" ref="O119:T119" si="152">ROUND(AL119*(1+$AX119),2)</f>
        <v>215.04</v>
      </c>
      <c r="P119" s="2">
        <f t="shared" si="152"/>
        <v>10.97</v>
      </c>
      <c r="Q119" s="2">
        <f t="shared" si="152"/>
        <v>1920</v>
      </c>
      <c r="R119" s="2">
        <f t="shared" si="152"/>
        <v>97.92</v>
      </c>
      <c r="S119" s="2">
        <f t="shared" si="152"/>
        <v>53.76</v>
      </c>
      <c r="T119" s="2">
        <f t="shared" si="152"/>
        <v>4.03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13">
        <v>353021</v>
      </c>
      <c r="AA119" s="14" t="s">
        <v>405</v>
      </c>
      <c r="AB119" s="15" t="s">
        <v>368</v>
      </c>
      <c r="AC119">
        <v>3063302</v>
      </c>
      <c r="AD119" s="53">
        <v>7</v>
      </c>
      <c r="AE119" s="2">
        <v>1</v>
      </c>
      <c r="AF119" s="2">
        <f t="shared" si="135"/>
        <v>3053302</v>
      </c>
      <c r="AG119" s="2">
        <v>1</v>
      </c>
      <c r="AH119" s="2"/>
      <c r="AI119">
        <v>1</v>
      </c>
      <c r="AJ119" s="1">
        <f t="shared" si="67"/>
        <v>103.81435624044963</v>
      </c>
      <c r="AK119">
        <v>5</v>
      </c>
      <c r="AL119">
        <f t="shared" si="72"/>
        <v>215.03999999999996</v>
      </c>
      <c r="AM119">
        <f t="shared" si="73"/>
        <v>10.967039999999997</v>
      </c>
      <c r="AN119">
        <f t="shared" si="74"/>
        <v>1920</v>
      </c>
      <c r="AO119">
        <f t="shared" si="75"/>
        <v>97.919999999999987</v>
      </c>
      <c r="AP119">
        <f t="shared" si="76"/>
        <v>53.759999999999991</v>
      </c>
      <c r="AQ119">
        <f t="shared" si="77"/>
        <v>4.0319999999999991</v>
      </c>
      <c r="AR119">
        <f t="shared" si="80"/>
        <v>1.4</v>
      </c>
      <c r="AS119">
        <f t="shared" si="99"/>
        <v>2</v>
      </c>
      <c r="AT119">
        <f t="shared" si="100"/>
        <v>3</v>
      </c>
      <c r="AU119">
        <f t="shared" si="93"/>
        <v>3025</v>
      </c>
      <c r="AV119" s="1">
        <v>2</v>
      </c>
      <c r="AW119">
        <v>3</v>
      </c>
      <c r="AX119">
        <v>0</v>
      </c>
      <c r="AZ119">
        <v>3</v>
      </c>
      <c r="BA119">
        <v>5</v>
      </c>
      <c r="BD119">
        <v>11</v>
      </c>
      <c r="BE119">
        <v>1</v>
      </c>
      <c r="BF119">
        <v>0</v>
      </c>
      <c r="BG119" t="e">
        <f t="shared" si="143"/>
        <v>#N/A</v>
      </c>
      <c r="BH119" t="e">
        <f t="shared" si="141"/>
        <v>#N/A</v>
      </c>
      <c r="BI119" t="e">
        <f t="shared" si="141"/>
        <v>#N/A</v>
      </c>
      <c r="BK119" t="e">
        <f t="shared" si="144"/>
        <v>#N/A</v>
      </c>
      <c r="BL119" t="e">
        <f t="shared" si="144"/>
        <v>#N/A</v>
      </c>
      <c r="BM119" t="e">
        <f t="shared" si="144"/>
        <v>#N/A</v>
      </c>
      <c r="BT119" t="e">
        <f>#REF!/#REF!</f>
        <v>#REF!</v>
      </c>
      <c r="BV119" s="58"/>
      <c r="CG119" t="str">
        <f t="shared" si="82"/>
        <v>DATA_Class_Base21</v>
      </c>
      <c r="CH119" s="6" t="s">
        <v>342</v>
      </c>
    </row>
    <row r="120" spans="1:86">
      <c r="A120">
        <f t="shared" si="63"/>
        <v>3052400</v>
      </c>
      <c r="B120" s="6" t="s">
        <v>362</v>
      </c>
      <c r="C120">
        <v>0</v>
      </c>
      <c r="D120">
        <v>5</v>
      </c>
      <c r="E120">
        <v>4</v>
      </c>
      <c r="F120">
        <v>2</v>
      </c>
      <c r="G120" s="3" t="s">
        <v>363</v>
      </c>
      <c r="H120" s="3" t="s">
        <v>363</v>
      </c>
      <c r="I120">
        <v>0</v>
      </c>
      <c r="J120" s="2" t="s">
        <v>364</v>
      </c>
      <c r="K120" s="2">
        <f t="shared" si="151"/>
        <v>6</v>
      </c>
      <c r="L120" s="2">
        <f t="shared" si="64"/>
        <v>1.4000000000000001</v>
      </c>
      <c r="M120" s="2">
        <f t="shared" si="65"/>
        <v>2</v>
      </c>
      <c r="N120" s="2">
        <v>10</v>
      </c>
      <c r="O120" s="2">
        <f t="shared" ref="O120:T120" si="153">ROUND(AL120*(1+$AX120),2)</f>
        <v>224</v>
      </c>
      <c r="P120" s="2">
        <f t="shared" si="153"/>
        <v>11.42</v>
      </c>
      <c r="Q120" s="2">
        <f t="shared" si="153"/>
        <v>1843.2</v>
      </c>
      <c r="R120" s="2">
        <f t="shared" si="153"/>
        <v>94</v>
      </c>
      <c r="S120" s="2">
        <f t="shared" si="153"/>
        <v>40.729999999999997</v>
      </c>
      <c r="T120" s="2">
        <f t="shared" si="153"/>
        <v>3.05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13">
        <v>354001</v>
      </c>
      <c r="AA120" s="14" t="s">
        <v>408</v>
      </c>
      <c r="AB120" s="15" t="s">
        <v>368</v>
      </c>
      <c r="AC120">
        <v>3062400</v>
      </c>
      <c r="AD120" s="53">
        <v>7</v>
      </c>
      <c r="AE120" s="2">
        <v>1</v>
      </c>
      <c r="AF120" s="2">
        <f t="shared" si="135"/>
        <v>3052400</v>
      </c>
      <c r="AG120" s="2">
        <v>1</v>
      </c>
      <c r="AH120" s="2"/>
      <c r="AI120">
        <v>1</v>
      </c>
      <c r="AJ120" s="1">
        <f t="shared" si="67"/>
        <v>103.52089498573694</v>
      </c>
      <c r="AK120">
        <v>5</v>
      </c>
      <c r="AL120">
        <f t="shared" si="72"/>
        <v>224</v>
      </c>
      <c r="AM120">
        <f t="shared" si="73"/>
        <v>11.423999999999999</v>
      </c>
      <c r="AN120">
        <f t="shared" si="74"/>
        <v>1843.2</v>
      </c>
      <c r="AO120">
        <f t="shared" si="75"/>
        <v>94.003199999999993</v>
      </c>
      <c r="AP120">
        <f t="shared" si="76"/>
        <v>40.727272727272727</v>
      </c>
      <c r="AQ120">
        <f t="shared" si="77"/>
        <v>3.0545454545454542</v>
      </c>
      <c r="AR120">
        <f t="shared" si="80"/>
        <v>1.4</v>
      </c>
      <c r="AS120">
        <f t="shared" si="99"/>
        <v>2</v>
      </c>
      <c r="AT120">
        <f t="shared" si="100"/>
        <v>6</v>
      </c>
      <c r="AU120">
        <f t="shared" si="93"/>
        <v>4005</v>
      </c>
      <c r="AV120" s="1">
        <v>0</v>
      </c>
      <c r="AW120">
        <v>3</v>
      </c>
      <c r="AX120">
        <v>0</v>
      </c>
      <c r="AZ120">
        <v>4</v>
      </c>
      <c r="BA120">
        <v>5</v>
      </c>
      <c r="BD120">
        <v>12</v>
      </c>
      <c r="BE120">
        <v>1</v>
      </c>
      <c r="BF120">
        <v>0</v>
      </c>
      <c r="BG120" t="e">
        <f t="shared" si="143"/>
        <v>#N/A</v>
      </c>
      <c r="BH120" t="e">
        <f t="shared" si="141"/>
        <v>#N/A</v>
      </c>
      <c r="BI120" t="e">
        <f t="shared" si="141"/>
        <v>#N/A</v>
      </c>
      <c r="BK120" t="e">
        <f t="shared" si="144"/>
        <v>#N/A</v>
      </c>
      <c r="BL120" t="e">
        <f t="shared" si="144"/>
        <v>#N/A</v>
      </c>
      <c r="BM120" t="e">
        <f t="shared" si="144"/>
        <v>#N/A</v>
      </c>
      <c r="CG120" t="str">
        <f t="shared" si="82"/>
        <v>DATA_Class_Base13</v>
      </c>
      <c r="CH120" s="6" t="s">
        <v>295</v>
      </c>
    </row>
    <row r="121" spans="1:86">
      <c r="A121">
        <f t="shared" si="63"/>
        <v>3061202</v>
      </c>
      <c r="B121" s="6" t="s">
        <v>278</v>
      </c>
      <c r="C121">
        <v>0</v>
      </c>
      <c r="D121">
        <v>6</v>
      </c>
      <c r="E121">
        <v>2</v>
      </c>
      <c r="F121">
        <v>1</v>
      </c>
      <c r="G121" s="3" t="s">
        <v>279</v>
      </c>
      <c r="H121" s="3" t="s">
        <v>279</v>
      </c>
      <c r="I121">
        <v>0</v>
      </c>
      <c r="J121" s="2" t="s">
        <v>280</v>
      </c>
      <c r="K121" s="2">
        <f t="shared" si="151"/>
        <v>3</v>
      </c>
      <c r="L121" s="2">
        <f t="shared" si="64"/>
        <v>1.6</v>
      </c>
      <c r="M121" s="2">
        <f t="shared" si="65"/>
        <v>2</v>
      </c>
      <c r="N121" s="2">
        <v>10</v>
      </c>
      <c r="O121" s="2">
        <f t="shared" ref="O121:T121" si="154">ROUND(AL121*(1+$AX121),2)</f>
        <v>184.32</v>
      </c>
      <c r="P121" s="2">
        <f t="shared" si="154"/>
        <v>9.4</v>
      </c>
      <c r="Q121" s="2">
        <f t="shared" si="154"/>
        <v>3240</v>
      </c>
      <c r="R121" s="2">
        <f t="shared" si="154"/>
        <v>165.24</v>
      </c>
      <c r="S121" s="2">
        <f t="shared" si="154"/>
        <v>68.27</v>
      </c>
      <c r="T121" s="2">
        <f t="shared" si="154"/>
        <v>5.12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17">
        <v>312022</v>
      </c>
      <c r="AA121" s="14" t="s">
        <v>367</v>
      </c>
      <c r="AB121" s="15" t="s">
        <v>368</v>
      </c>
      <c r="AC121" s="2">
        <v>3071202</v>
      </c>
      <c r="AD121" s="2">
        <v>0</v>
      </c>
      <c r="AE121" s="2">
        <v>2</v>
      </c>
      <c r="AF121" s="2">
        <v>6</v>
      </c>
      <c r="AG121" s="2">
        <v>2</v>
      </c>
      <c r="AH121" s="2"/>
      <c r="AI121">
        <v>1</v>
      </c>
      <c r="AJ121" s="1">
        <f t="shared" si="67"/>
        <v>131.8059457258536</v>
      </c>
      <c r="AK121">
        <v>6</v>
      </c>
      <c r="AL121">
        <f t="shared" si="72"/>
        <v>184.32000000000005</v>
      </c>
      <c r="AM121">
        <f t="shared" si="73"/>
        <v>9.4003200000000025</v>
      </c>
      <c r="AN121">
        <f t="shared" si="74"/>
        <v>3240</v>
      </c>
      <c r="AO121">
        <f t="shared" si="75"/>
        <v>165.23999999999998</v>
      </c>
      <c r="AP121">
        <f t="shared" si="76"/>
        <v>68.26666666666668</v>
      </c>
      <c r="AQ121">
        <f t="shared" si="77"/>
        <v>5.120000000000001</v>
      </c>
      <c r="AR121">
        <f t="shared" si="80"/>
        <v>1.6</v>
      </c>
      <c r="AS121">
        <f t="shared" si="99"/>
        <v>2</v>
      </c>
      <c r="AT121">
        <f t="shared" si="100"/>
        <v>3</v>
      </c>
      <c r="AU121">
        <f t="shared" si="93"/>
        <v>2021</v>
      </c>
      <c r="AV121" s="1">
        <v>2</v>
      </c>
      <c r="AW121">
        <v>3</v>
      </c>
      <c r="AX121">
        <v>0</v>
      </c>
      <c r="AZ121">
        <v>2</v>
      </c>
      <c r="BA121">
        <v>1</v>
      </c>
      <c r="BD121">
        <v>13</v>
      </c>
      <c r="BE121">
        <v>260</v>
      </c>
      <c r="BF121">
        <v>6</v>
      </c>
      <c r="BG121" t="e">
        <f t="shared" si="143"/>
        <v>#N/A</v>
      </c>
      <c r="BH121" t="e">
        <f t="shared" si="141"/>
        <v>#N/A</v>
      </c>
      <c r="BI121" t="e">
        <f t="shared" si="141"/>
        <v>#N/A</v>
      </c>
      <c r="BK121" t="e">
        <f t="shared" si="144"/>
        <v>#N/A</v>
      </c>
      <c r="BL121" t="e">
        <f t="shared" si="144"/>
        <v>#N/A</v>
      </c>
      <c r="BM121" t="e">
        <f t="shared" si="144"/>
        <v>#N/A</v>
      </c>
      <c r="CG121" t="str">
        <f t="shared" si="82"/>
        <v>DATA_Class_Base14</v>
      </c>
      <c r="CH121" s="6" t="s">
        <v>300</v>
      </c>
    </row>
    <row r="122" spans="1:86">
      <c r="A122">
        <f t="shared" si="63"/>
        <v>3061301</v>
      </c>
      <c r="B122" s="6" t="s">
        <v>283</v>
      </c>
      <c r="C122">
        <v>0</v>
      </c>
      <c r="D122">
        <v>6</v>
      </c>
      <c r="E122">
        <v>3</v>
      </c>
      <c r="F122">
        <v>1</v>
      </c>
      <c r="G122" s="3" t="s">
        <v>284</v>
      </c>
      <c r="H122" s="3" t="s">
        <v>284</v>
      </c>
      <c r="I122" s="2">
        <v>0</v>
      </c>
      <c r="J122" s="2" t="s">
        <v>285</v>
      </c>
      <c r="K122" s="2">
        <f t="shared" si="151"/>
        <v>3</v>
      </c>
      <c r="L122" s="2">
        <f t="shared" si="64"/>
        <v>1.3</v>
      </c>
      <c r="M122" s="2">
        <f t="shared" si="65"/>
        <v>2</v>
      </c>
      <c r="N122" s="2">
        <v>10</v>
      </c>
      <c r="O122" s="2">
        <f t="shared" ref="O122:T122" si="155">ROUND(AL122*(1+$AX122),2)</f>
        <v>205.92</v>
      </c>
      <c r="P122" s="2">
        <f t="shared" si="155"/>
        <v>10.5</v>
      </c>
      <c r="Q122" s="2">
        <f t="shared" si="155"/>
        <v>2356.36</v>
      </c>
      <c r="R122" s="2">
        <f t="shared" si="155"/>
        <v>120.17</v>
      </c>
      <c r="S122" s="2">
        <f t="shared" si="155"/>
        <v>58.83</v>
      </c>
      <c r="T122" s="2">
        <f t="shared" si="155"/>
        <v>4.41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17">
        <v>313012</v>
      </c>
      <c r="AA122" s="14" t="s">
        <v>370</v>
      </c>
      <c r="AB122" s="15" t="s">
        <v>368</v>
      </c>
      <c r="AC122" s="2">
        <v>3071301</v>
      </c>
      <c r="AD122" s="2">
        <v>0</v>
      </c>
      <c r="AE122" s="2">
        <v>2</v>
      </c>
      <c r="AF122" s="2">
        <v>6</v>
      </c>
      <c r="AG122" s="2">
        <v>2</v>
      </c>
      <c r="AH122" s="2"/>
      <c r="AI122">
        <v>1</v>
      </c>
      <c r="AJ122" s="1">
        <f t="shared" si="67"/>
        <v>131.53522382725123</v>
      </c>
      <c r="AK122">
        <v>6</v>
      </c>
      <c r="AL122">
        <f t="shared" si="72"/>
        <v>205.92000000000004</v>
      </c>
      <c r="AM122">
        <f t="shared" si="73"/>
        <v>10.501920000000002</v>
      </c>
      <c r="AN122">
        <f t="shared" si="74"/>
        <v>2356.3636363636365</v>
      </c>
      <c r="AO122">
        <f t="shared" si="75"/>
        <v>120.17454545454545</v>
      </c>
      <c r="AP122">
        <f t="shared" si="76"/>
        <v>58.834285714285727</v>
      </c>
      <c r="AQ122">
        <f t="shared" si="77"/>
        <v>4.4125714285714297</v>
      </c>
      <c r="AR122">
        <f t="shared" si="80"/>
        <v>1.3</v>
      </c>
      <c r="AS122">
        <f t="shared" si="99"/>
        <v>2</v>
      </c>
      <c r="AT122">
        <f t="shared" si="100"/>
        <v>3</v>
      </c>
      <c r="AU122">
        <f t="shared" si="93"/>
        <v>3011</v>
      </c>
      <c r="AV122" s="1">
        <v>1</v>
      </c>
      <c r="AW122">
        <v>3</v>
      </c>
      <c r="AX122">
        <v>0</v>
      </c>
      <c r="AZ122">
        <v>3</v>
      </c>
      <c r="BA122">
        <v>1</v>
      </c>
      <c r="BT122">
        <v>20</v>
      </c>
      <c r="CG122" t="str">
        <f t="shared" si="82"/>
        <v>DATA_Class_Base15</v>
      </c>
      <c r="CH122" s="6" t="s">
        <v>306</v>
      </c>
    </row>
    <row r="123" spans="1:86">
      <c r="A123">
        <f t="shared" si="63"/>
        <v>3061502</v>
      </c>
      <c r="B123" s="6" t="s">
        <v>289</v>
      </c>
      <c r="C123">
        <v>0</v>
      </c>
      <c r="D123">
        <v>6</v>
      </c>
      <c r="E123">
        <v>5</v>
      </c>
      <c r="F123">
        <v>1</v>
      </c>
      <c r="G123" s="3" t="s">
        <v>290</v>
      </c>
      <c r="H123" s="3" t="s">
        <v>290</v>
      </c>
      <c r="I123" s="2">
        <v>0</v>
      </c>
      <c r="J123" s="2" t="s">
        <v>291</v>
      </c>
      <c r="K123" s="2">
        <f t="shared" si="151"/>
        <v>6</v>
      </c>
      <c r="L123" s="2">
        <f t="shared" si="64"/>
        <v>1.4000000000000001</v>
      </c>
      <c r="M123" s="2">
        <f t="shared" si="65"/>
        <v>2</v>
      </c>
      <c r="N123" s="2">
        <v>10</v>
      </c>
      <c r="O123" s="2">
        <f t="shared" ref="O123:T123" si="156">ROUND(AL123*(1+$AX123),2)</f>
        <v>262.08</v>
      </c>
      <c r="P123" s="2">
        <f t="shared" si="156"/>
        <v>13.37</v>
      </c>
      <c r="Q123" s="2">
        <f t="shared" si="156"/>
        <v>1993.85</v>
      </c>
      <c r="R123" s="2">
        <f t="shared" si="156"/>
        <v>101.69</v>
      </c>
      <c r="S123" s="2">
        <f t="shared" si="156"/>
        <v>40.32</v>
      </c>
      <c r="T123" s="2">
        <f t="shared" si="156"/>
        <v>3.02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17">
        <v>315022</v>
      </c>
      <c r="AA123" s="14" t="s">
        <v>372</v>
      </c>
      <c r="AB123" s="15" t="s">
        <v>368</v>
      </c>
      <c r="AC123" s="2">
        <v>3071502</v>
      </c>
      <c r="AD123" s="2">
        <v>0</v>
      </c>
      <c r="AE123" s="2">
        <v>2</v>
      </c>
      <c r="AF123" s="2">
        <v>6</v>
      </c>
      <c r="AG123" s="2">
        <v>2</v>
      </c>
      <c r="AH123" s="2"/>
      <c r="AI123">
        <v>1</v>
      </c>
      <c r="AJ123" s="1">
        <f t="shared" ref="AJ123:AJ165" si="157">(AN123+AO123*AI123)*(AL123+AM123*AI123)/AR123*(0.9)*(1+0.5*0.1)*1/1/(1-(AP123+AQ123*AI123)*0.0002)/3000</f>
        <v>131.00705992620831</v>
      </c>
      <c r="AK123">
        <v>6</v>
      </c>
      <c r="AL123">
        <f t="shared" si="72"/>
        <v>262.07999999999993</v>
      </c>
      <c r="AM123">
        <f t="shared" si="73"/>
        <v>13.366079999999995</v>
      </c>
      <c r="AN123">
        <f t="shared" si="74"/>
        <v>1993.8461538461538</v>
      </c>
      <c r="AO123">
        <f t="shared" si="75"/>
        <v>101.68615384615384</v>
      </c>
      <c r="AP123">
        <f t="shared" si="76"/>
        <v>40.319999999999986</v>
      </c>
      <c r="AQ123">
        <f t="shared" si="77"/>
        <v>3.0239999999999987</v>
      </c>
      <c r="AR123">
        <f t="shared" si="80"/>
        <v>1.4</v>
      </c>
      <c r="AS123">
        <f t="shared" si="99"/>
        <v>2</v>
      </c>
      <c r="AT123">
        <f t="shared" si="100"/>
        <v>6</v>
      </c>
      <c r="AU123">
        <f t="shared" si="93"/>
        <v>5021</v>
      </c>
      <c r="AV123" s="1">
        <v>2</v>
      </c>
      <c r="AW123">
        <v>3</v>
      </c>
      <c r="AX123">
        <v>0</v>
      </c>
      <c r="AZ123">
        <v>5</v>
      </c>
      <c r="BA123">
        <v>1</v>
      </c>
      <c r="BD123" s="3" t="s">
        <v>422</v>
      </c>
      <c r="BE123" s="3" t="s">
        <v>423</v>
      </c>
      <c r="BF123" s="3" t="s">
        <v>424</v>
      </c>
      <c r="BG123" s="3" t="s">
        <v>425</v>
      </c>
      <c r="BH123" s="3" t="s">
        <v>426</v>
      </c>
      <c r="BI123" s="3" t="s">
        <v>427</v>
      </c>
      <c r="BK123" s="3" t="s">
        <v>417</v>
      </c>
      <c r="BL123" s="3" t="s">
        <v>418</v>
      </c>
      <c r="BM123" s="3" t="s">
        <v>419</v>
      </c>
      <c r="CG123" t="str">
        <f t="shared" si="82"/>
        <v>DATA_Class_Base16</v>
      </c>
      <c r="CH123" s="6" t="s">
        <v>312</v>
      </c>
    </row>
    <row r="124" spans="1:86">
      <c r="A124">
        <f t="shared" si="63"/>
        <v>3062201</v>
      </c>
      <c r="B124" s="6" t="s">
        <v>296</v>
      </c>
      <c r="C124">
        <v>0</v>
      </c>
      <c r="D124">
        <v>6</v>
      </c>
      <c r="E124">
        <v>2</v>
      </c>
      <c r="F124">
        <v>2</v>
      </c>
      <c r="G124" s="3" t="s">
        <v>297</v>
      </c>
      <c r="H124" s="3" t="s">
        <v>297</v>
      </c>
      <c r="I124">
        <v>0</v>
      </c>
      <c r="J124" s="8" t="s">
        <v>298</v>
      </c>
      <c r="K124" s="2">
        <f t="shared" si="151"/>
        <v>3</v>
      </c>
      <c r="L124" s="2">
        <f t="shared" si="64"/>
        <v>1.5</v>
      </c>
      <c r="M124" s="2">
        <f t="shared" si="65"/>
        <v>1.8</v>
      </c>
      <c r="N124" s="2">
        <v>10</v>
      </c>
      <c r="O124" s="2">
        <f t="shared" ref="O124:T124" si="158">ROUND(AL124*(1+$AX124),2)</f>
        <v>172.8</v>
      </c>
      <c r="P124" s="2">
        <f t="shared" si="158"/>
        <v>8.81</v>
      </c>
      <c r="Q124" s="2">
        <f t="shared" si="158"/>
        <v>3240</v>
      </c>
      <c r="R124" s="2">
        <f t="shared" si="158"/>
        <v>165.24</v>
      </c>
      <c r="S124" s="2">
        <f t="shared" si="158"/>
        <v>75.13</v>
      </c>
      <c r="T124" s="2">
        <f t="shared" si="158"/>
        <v>5.63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17">
        <v>322012</v>
      </c>
      <c r="AA124" s="14" t="s">
        <v>375</v>
      </c>
      <c r="AB124" s="15" t="s">
        <v>368</v>
      </c>
      <c r="AC124" s="2">
        <v>3072201</v>
      </c>
      <c r="AD124" s="2">
        <v>0</v>
      </c>
      <c r="AE124" s="2">
        <v>2</v>
      </c>
      <c r="AF124" s="2">
        <v>6</v>
      </c>
      <c r="AG124" s="2">
        <v>2</v>
      </c>
      <c r="AH124" s="2"/>
      <c r="AI124">
        <v>1</v>
      </c>
      <c r="AJ124" s="1">
        <f t="shared" si="157"/>
        <v>132.00364656741243</v>
      </c>
      <c r="AK124">
        <v>6</v>
      </c>
      <c r="AL124">
        <f t="shared" si="72"/>
        <v>172.80000000000004</v>
      </c>
      <c r="AM124">
        <f t="shared" si="73"/>
        <v>8.8128000000000011</v>
      </c>
      <c r="AN124">
        <f t="shared" si="74"/>
        <v>3240</v>
      </c>
      <c r="AO124">
        <f t="shared" si="75"/>
        <v>165.23999999999998</v>
      </c>
      <c r="AP124">
        <f t="shared" si="76"/>
        <v>75.130434782608717</v>
      </c>
      <c r="AQ124">
        <f t="shared" si="77"/>
        <v>5.6347826086956534</v>
      </c>
      <c r="AR124">
        <f t="shared" si="80"/>
        <v>1.5</v>
      </c>
      <c r="AS124">
        <f t="shared" si="99"/>
        <v>1.8</v>
      </c>
      <c r="AT124">
        <f t="shared" si="100"/>
        <v>3</v>
      </c>
      <c r="AU124">
        <f t="shared" si="93"/>
        <v>2012</v>
      </c>
      <c r="AV124" s="1">
        <v>1</v>
      </c>
      <c r="AW124">
        <v>3</v>
      </c>
      <c r="AX124">
        <v>0</v>
      </c>
      <c r="AZ124">
        <v>2</v>
      </c>
      <c r="BA124">
        <v>2</v>
      </c>
      <c r="BC124" s="3" t="s">
        <v>428</v>
      </c>
      <c r="BD124">
        <v>4</v>
      </c>
      <c r="BE124">
        <v>260</v>
      </c>
      <c r="BF124">
        <v>0</v>
      </c>
      <c r="BG124" t="e">
        <f>((BH$4*INDEX($BD$103:$BQ$103,MATCH($BD124,$BQ$102:$BQ$102,0)))+BH$4*INDEX($BD$103:$BQ$103,MATCH($BD124,$BQ$102:$BQ$102,0))*0.1*$BE124)</f>
        <v>#N/A</v>
      </c>
      <c r="BH124" t="e">
        <f>((BI$4*INDEX($BD$103:$BQ$103,MATCH($BD124,$BQ$102:$BQ$102,0)))+BI$4*INDEX($BD$103:$BQ$103,MATCH($BD124,$BQ$102:$BQ$102,0))*0.1*$BE124)</f>
        <v>#N/A</v>
      </c>
      <c r="BI124" t="e">
        <f>((BJ$4*INDEX($BD$103:$BQ$103,MATCH($BD124,$BQ$102:$BQ$102,0)))+BJ$4*INDEX($BD$103:$BQ$103,MATCH($BD124,$BQ$102:$BQ$102,0))*0.1*$BE124)</f>
        <v>#N/A</v>
      </c>
      <c r="BK124" t="e">
        <f>BG124+IF($BD127&lt;&gt;"",INDEX($BK$111:$BK$121,MATCH($BD127,$BD$111:$BD$121,0)),0)+IF($BE127&lt;&gt;"",INDEX($BK$111:$BK$121,MATCH($BE127,$BD$111:$BD$121,0)),0)+IF($BF127&lt;&gt;"",INDEX($BK$111:$BK$121,MATCH($BF127,$BD$111:$BD$121,0)),0)+IF($BG127&lt;&gt;"",INDEX($BK$111:$BK$121,MATCH($BG127,$BD$111:$BD$121,0)),0)+IF($BH127&lt;&gt;"",INDEX($BK$111:$BK$121,MATCH($BH127,$BD$111:$BD$121,0)),0)</f>
        <v>#N/A</v>
      </c>
      <c r="BL124" t="e">
        <f>BH124+IF($BD127&lt;&gt;"",INDEX($BL$111:$BL$121,MATCH($BD127,$BD$111:$BD$121,0)),0)+IF($BE127&lt;&gt;"",INDEX($BL$111:$BL$121,MATCH($BE127,$BD$111:$BD$121,0)),0)+IF($BF127&lt;&gt;"",INDEX($BL$111:$BL$121,MATCH($BF127,$BD$111:$BD$121,0)),0)+IF($BG127&lt;&gt;"",INDEX($BL$111:$BL$121,MATCH($BG127,$BD$111:$BD$121,0)),0)+IF($BH127&lt;&gt;"",INDEX($BL$111:$BL$121,MATCH($BH127,$BD$111:$BD$121,0)),0)</f>
        <v>#N/A</v>
      </c>
      <c r="BM124" t="e">
        <f>BI124+IF($BD127&lt;&gt;"",INDEX($BM$111:$BM$121,MATCH($BD127,$BD$111:$BD$121,0)),0)+IF($BE127&lt;&gt;"",INDEX($BM$111:$BM$121,MATCH($BE127,$BD$111:$BD$121,0)),0)+IF($BF127&lt;&gt;"",INDEX($BM$111:$BM$121,MATCH($BF127,$BD$111:$BD$121,0)),0)+IF($BG127&lt;&gt;"",INDEX($BM$111:$BM$121,MATCH($BG127,$BD$111:$BD$121,0)),0)+IF($BH127&lt;&gt;"",INDEX($BM$111:$BM$121,MATCH($BH127,$BD$111:$BD$121,0)),0)</f>
        <v>#N/A</v>
      </c>
      <c r="CG124" t="str">
        <f t="shared" si="82"/>
        <v>DATA_Class_Base17</v>
      </c>
      <c r="CH124" s="6" t="s">
        <v>318</v>
      </c>
    </row>
    <row r="125" spans="1:86">
      <c r="A125">
        <f t="shared" si="63"/>
        <v>3062500</v>
      </c>
      <c r="B125" s="6" t="s">
        <v>301</v>
      </c>
      <c r="C125">
        <v>0</v>
      </c>
      <c r="D125">
        <v>6</v>
      </c>
      <c r="E125">
        <v>5</v>
      </c>
      <c r="F125">
        <v>2</v>
      </c>
      <c r="G125" s="3" t="s">
        <v>302</v>
      </c>
      <c r="H125" s="3" t="s">
        <v>302</v>
      </c>
      <c r="I125" s="2">
        <v>0</v>
      </c>
      <c r="J125" s="2" t="s">
        <v>303</v>
      </c>
      <c r="K125" s="2">
        <f t="shared" si="151"/>
        <v>6</v>
      </c>
      <c r="L125" s="2">
        <f t="shared" si="64"/>
        <v>1.4000000000000001</v>
      </c>
      <c r="M125" s="2">
        <f t="shared" si="65"/>
        <v>2</v>
      </c>
      <c r="N125" s="2">
        <v>10</v>
      </c>
      <c r="O125" s="2">
        <f t="shared" ref="O125:T125" si="159">ROUND(AL125*(1+$AX125),2)</f>
        <v>302.39999999999998</v>
      </c>
      <c r="P125" s="2">
        <f t="shared" si="159"/>
        <v>15.42</v>
      </c>
      <c r="Q125" s="2">
        <f t="shared" si="159"/>
        <v>1728</v>
      </c>
      <c r="R125" s="2">
        <f t="shared" si="159"/>
        <v>88.13</v>
      </c>
      <c r="S125" s="2">
        <f t="shared" si="159"/>
        <v>40.32</v>
      </c>
      <c r="T125" s="2">
        <f t="shared" si="159"/>
        <v>3.02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17">
        <v>325002</v>
      </c>
      <c r="AA125" s="14" t="s">
        <v>379</v>
      </c>
      <c r="AB125" s="15" t="s">
        <v>368</v>
      </c>
      <c r="AC125" s="2">
        <v>3072500</v>
      </c>
      <c r="AD125" s="2">
        <v>0</v>
      </c>
      <c r="AE125" s="2">
        <v>2</v>
      </c>
      <c r="AF125" s="2">
        <v>6</v>
      </c>
      <c r="AG125" s="2">
        <v>2</v>
      </c>
      <c r="AH125" s="2"/>
      <c r="AI125">
        <v>1</v>
      </c>
      <c r="AJ125" s="1">
        <f t="shared" si="157"/>
        <v>131.00705992620831</v>
      </c>
      <c r="AK125">
        <v>6</v>
      </c>
      <c r="AL125">
        <f t="shared" si="72"/>
        <v>302.39999999999998</v>
      </c>
      <c r="AM125">
        <f t="shared" si="73"/>
        <v>15.422399999999998</v>
      </c>
      <c r="AN125">
        <f t="shared" si="74"/>
        <v>1728</v>
      </c>
      <c r="AO125">
        <f t="shared" si="75"/>
        <v>88.128</v>
      </c>
      <c r="AP125">
        <f t="shared" si="76"/>
        <v>40.32</v>
      </c>
      <c r="AQ125">
        <f t="shared" si="77"/>
        <v>3.024</v>
      </c>
      <c r="AR125">
        <f t="shared" si="80"/>
        <v>1.4</v>
      </c>
      <c r="AS125">
        <f t="shared" si="99"/>
        <v>2</v>
      </c>
      <c r="AT125">
        <f t="shared" si="100"/>
        <v>6</v>
      </c>
      <c r="AU125">
        <f t="shared" si="93"/>
        <v>5002</v>
      </c>
      <c r="AV125" s="1">
        <v>0</v>
      </c>
      <c r="AW125">
        <v>3</v>
      </c>
      <c r="AX125">
        <v>0</v>
      </c>
      <c r="AZ125">
        <v>5</v>
      </c>
      <c r="BA125">
        <v>2</v>
      </c>
      <c r="BO125" s="23"/>
      <c r="BT125">
        <v>30</v>
      </c>
      <c r="CG125" t="str">
        <f t="shared" si="82"/>
        <v>DATA_Class_Base18</v>
      </c>
      <c r="CH125" s="6" t="s">
        <v>324</v>
      </c>
    </row>
    <row r="126" spans="1:86">
      <c r="A126">
        <f t="shared" si="63"/>
        <v>3062601</v>
      </c>
      <c r="B126" s="6" t="s">
        <v>307</v>
      </c>
      <c r="C126">
        <v>0</v>
      </c>
      <c r="D126">
        <v>6</v>
      </c>
      <c r="E126">
        <v>6</v>
      </c>
      <c r="F126">
        <v>2</v>
      </c>
      <c r="G126" s="3" t="s">
        <v>308</v>
      </c>
      <c r="H126" s="3" t="s">
        <v>308</v>
      </c>
      <c r="I126" s="2">
        <v>0</v>
      </c>
      <c r="J126" s="2" t="s">
        <v>309</v>
      </c>
      <c r="K126" s="2">
        <f t="shared" si="151"/>
        <v>6</v>
      </c>
      <c r="L126" s="2">
        <f t="shared" si="64"/>
        <v>1.5</v>
      </c>
      <c r="M126" s="2">
        <f t="shared" si="65"/>
        <v>2</v>
      </c>
      <c r="N126" s="2">
        <v>10</v>
      </c>
      <c r="O126" s="2">
        <f t="shared" ref="O126:T126" si="160">ROUND(AL126*(1+$AX126),2)</f>
        <v>237.6</v>
      </c>
      <c r="P126" s="2">
        <f t="shared" si="160"/>
        <v>12.12</v>
      </c>
      <c r="Q126" s="2">
        <f t="shared" si="160"/>
        <v>2356.36</v>
      </c>
      <c r="R126" s="2">
        <f t="shared" si="160"/>
        <v>120.17</v>
      </c>
      <c r="S126" s="2">
        <f t="shared" si="160"/>
        <v>52.8</v>
      </c>
      <c r="T126" s="2">
        <f t="shared" si="160"/>
        <v>3.96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17">
        <v>326012</v>
      </c>
      <c r="AA126" s="14" t="s">
        <v>382</v>
      </c>
      <c r="AB126" s="15" t="s">
        <v>368</v>
      </c>
      <c r="AC126" s="2">
        <v>3072601</v>
      </c>
      <c r="AD126" s="2">
        <v>0</v>
      </c>
      <c r="AE126" s="2">
        <v>2</v>
      </c>
      <c r="AF126" s="2">
        <v>6</v>
      </c>
      <c r="AG126" s="2">
        <v>2</v>
      </c>
      <c r="AH126" s="2"/>
      <c r="AI126">
        <v>1</v>
      </c>
      <c r="AJ126" s="1">
        <f t="shared" si="157"/>
        <v>131.36261432291374</v>
      </c>
      <c r="AK126">
        <v>6</v>
      </c>
      <c r="AL126">
        <f t="shared" si="72"/>
        <v>237.6</v>
      </c>
      <c r="AM126">
        <f t="shared" si="73"/>
        <v>12.117599999999999</v>
      </c>
      <c r="AN126">
        <f t="shared" si="74"/>
        <v>2356.3636363636365</v>
      </c>
      <c r="AO126">
        <f t="shared" si="75"/>
        <v>120.17454545454545</v>
      </c>
      <c r="AP126">
        <f t="shared" si="76"/>
        <v>52.8</v>
      </c>
      <c r="AQ126">
        <f t="shared" si="77"/>
        <v>3.9599999999999995</v>
      </c>
      <c r="AR126">
        <f t="shared" si="80"/>
        <v>1.5</v>
      </c>
      <c r="AS126">
        <f t="shared" si="99"/>
        <v>2</v>
      </c>
      <c r="AT126">
        <f t="shared" si="100"/>
        <v>6</v>
      </c>
      <c r="AU126">
        <f t="shared" si="93"/>
        <v>6012</v>
      </c>
      <c r="AV126" s="1">
        <v>1</v>
      </c>
      <c r="AW126">
        <v>3</v>
      </c>
      <c r="AX126">
        <v>0</v>
      </c>
      <c r="AZ126">
        <v>6</v>
      </c>
      <c r="BA126">
        <v>2</v>
      </c>
      <c r="BD126" s="3" t="s">
        <v>429</v>
      </c>
      <c r="BE126" s="3" t="s">
        <v>430</v>
      </c>
      <c r="BF126" s="3" t="s">
        <v>431</v>
      </c>
      <c r="BG126" s="3" t="s">
        <v>432</v>
      </c>
      <c r="BH126" s="3" t="s">
        <v>433</v>
      </c>
      <c r="BO126" s="20"/>
      <c r="BR126" s="29"/>
      <c r="BS126" s="29"/>
      <c r="BT126">
        <v>1</v>
      </c>
      <c r="CG126" t="str">
        <f t="shared" si="82"/>
        <v>DATA_Class_Base19</v>
      </c>
      <c r="CH126" s="6" t="s">
        <v>331</v>
      </c>
    </row>
    <row r="127" spans="1:86">
      <c r="A127">
        <f t="shared" si="63"/>
        <v>3063200</v>
      </c>
      <c r="B127" s="6" t="s">
        <v>294</v>
      </c>
      <c r="C127">
        <v>0</v>
      </c>
      <c r="D127">
        <v>6</v>
      </c>
      <c r="E127">
        <v>2</v>
      </c>
      <c r="F127">
        <v>3</v>
      </c>
      <c r="G127" s="3" t="s">
        <v>313</v>
      </c>
      <c r="H127" s="3" t="s">
        <v>313</v>
      </c>
      <c r="I127">
        <v>0</v>
      </c>
      <c r="J127" s="2" t="s">
        <v>314</v>
      </c>
      <c r="K127" s="2">
        <f t="shared" si="151"/>
        <v>3</v>
      </c>
      <c r="L127" s="2">
        <f t="shared" si="64"/>
        <v>1.5</v>
      </c>
      <c r="M127" s="2">
        <f t="shared" si="65"/>
        <v>1.2</v>
      </c>
      <c r="N127" s="2">
        <v>10</v>
      </c>
      <c r="O127" s="2">
        <f t="shared" ref="O127:T127" si="161">ROUND(AL127*(1+$AX127),2)</f>
        <v>151.19999999999999</v>
      </c>
      <c r="P127" s="2">
        <f t="shared" si="161"/>
        <v>7.71</v>
      </c>
      <c r="Q127" s="2">
        <f t="shared" si="161"/>
        <v>3702.86</v>
      </c>
      <c r="R127" s="2">
        <f t="shared" si="161"/>
        <v>188.85</v>
      </c>
      <c r="S127" s="2">
        <f t="shared" si="161"/>
        <v>75.599999999999994</v>
      </c>
      <c r="T127" s="2">
        <f t="shared" si="161"/>
        <v>5.67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17">
        <v>332002</v>
      </c>
      <c r="AA127" s="14" t="s">
        <v>385</v>
      </c>
      <c r="AB127" s="15" t="s">
        <v>368</v>
      </c>
      <c r="AC127" s="2">
        <v>3073200</v>
      </c>
      <c r="AD127" s="2">
        <v>0</v>
      </c>
      <c r="AE127" s="2">
        <v>2</v>
      </c>
      <c r="AF127" s="2">
        <v>6</v>
      </c>
      <c r="AG127" s="2">
        <v>2</v>
      </c>
      <c r="AH127" s="2"/>
      <c r="AI127">
        <v>1</v>
      </c>
      <c r="AJ127" s="1">
        <f t="shared" si="157"/>
        <v>132.01719338642292</v>
      </c>
      <c r="AK127">
        <v>6</v>
      </c>
      <c r="AL127">
        <f t="shared" si="72"/>
        <v>151.19999999999999</v>
      </c>
      <c r="AM127">
        <f t="shared" si="73"/>
        <v>7.7111999999999989</v>
      </c>
      <c r="AN127">
        <f t="shared" si="74"/>
        <v>3702.8571428571431</v>
      </c>
      <c r="AO127">
        <f t="shared" si="75"/>
        <v>188.84571428571428</v>
      </c>
      <c r="AP127">
        <f t="shared" si="76"/>
        <v>75.599999999999994</v>
      </c>
      <c r="AQ127">
        <f t="shared" si="77"/>
        <v>5.669999999999999</v>
      </c>
      <c r="AR127">
        <f t="shared" si="80"/>
        <v>1.5</v>
      </c>
      <c r="AS127">
        <f t="shared" si="99"/>
        <v>1.2</v>
      </c>
      <c r="AT127">
        <f t="shared" si="100"/>
        <v>3</v>
      </c>
      <c r="AU127">
        <f t="shared" si="93"/>
        <v>2003</v>
      </c>
      <c r="AV127" s="1">
        <v>0</v>
      </c>
      <c r="AW127">
        <v>3</v>
      </c>
      <c r="AX127">
        <v>0</v>
      </c>
      <c r="AZ127">
        <v>2</v>
      </c>
      <c r="BA127">
        <v>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 s="2"/>
      <c r="BO127" s="23"/>
      <c r="BT127">
        <v>120</v>
      </c>
      <c r="CG127" t="str">
        <f t="shared" si="82"/>
        <v>DATA_Class_Base20</v>
      </c>
      <c r="CH127" s="6" t="s">
        <v>336</v>
      </c>
    </row>
    <row r="128" spans="1:86">
      <c r="A128">
        <f t="shared" ref="A128:A165" si="162">AW128*1000000+D128*10000+F128*1000+E128*100+AV128</f>
        <v>3061401</v>
      </c>
      <c r="B128" s="6" t="s">
        <v>317</v>
      </c>
      <c r="C128">
        <v>0</v>
      </c>
      <c r="D128">
        <v>6</v>
      </c>
      <c r="E128">
        <v>4</v>
      </c>
      <c r="F128">
        <v>1</v>
      </c>
      <c r="G128" s="3" t="s">
        <v>319</v>
      </c>
      <c r="H128" s="3" t="s">
        <v>319</v>
      </c>
      <c r="I128">
        <v>0</v>
      </c>
      <c r="J128" s="2" t="s">
        <v>161</v>
      </c>
      <c r="K128" s="2">
        <f t="shared" si="151"/>
        <v>6</v>
      </c>
      <c r="L128" s="2">
        <f t="shared" ref="L128:L165" si="163">FLOOR(AR128/1,0.01)</f>
        <v>1.6</v>
      </c>
      <c r="M128" s="2">
        <f t="shared" ref="M128:M165" si="164">FLOOR(AS128/1,0.01)</f>
        <v>1.5</v>
      </c>
      <c r="N128" s="2">
        <v>10</v>
      </c>
      <c r="O128" s="2">
        <f t="shared" ref="O128:T128" si="165">ROUND(AL128*(1+$AX128),2)</f>
        <v>276.48</v>
      </c>
      <c r="P128" s="2">
        <f t="shared" si="165"/>
        <v>14.1</v>
      </c>
      <c r="Q128" s="2">
        <f t="shared" si="165"/>
        <v>2160</v>
      </c>
      <c r="R128" s="2">
        <f t="shared" si="165"/>
        <v>110.16</v>
      </c>
      <c r="S128" s="2">
        <f t="shared" si="165"/>
        <v>46.08</v>
      </c>
      <c r="T128" s="2">
        <f t="shared" si="165"/>
        <v>3.46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17">
        <v>314012</v>
      </c>
      <c r="AA128" s="51" t="s">
        <v>1717</v>
      </c>
      <c r="AB128" s="15" t="s">
        <v>368</v>
      </c>
      <c r="AC128" s="2">
        <v>3071401</v>
      </c>
      <c r="AD128" s="2">
        <v>0</v>
      </c>
      <c r="AE128" s="2">
        <v>2</v>
      </c>
      <c r="AF128" s="2">
        <v>6</v>
      </c>
      <c r="AG128" s="2">
        <v>2</v>
      </c>
      <c r="AH128" s="2"/>
      <c r="AI128">
        <v>1</v>
      </c>
      <c r="AJ128" s="1">
        <f t="shared" si="157"/>
        <v>131.17092248839705</v>
      </c>
      <c r="AK128">
        <v>6</v>
      </c>
      <c r="AL128">
        <f t="shared" si="72"/>
        <v>276.48</v>
      </c>
      <c r="AM128">
        <f t="shared" si="73"/>
        <v>14.100479999999999</v>
      </c>
      <c r="AN128">
        <f t="shared" si="74"/>
        <v>2160</v>
      </c>
      <c r="AO128">
        <f t="shared" si="75"/>
        <v>110.16</v>
      </c>
      <c r="AP128">
        <f t="shared" si="76"/>
        <v>46.080000000000005</v>
      </c>
      <c r="AQ128">
        <f t="shared" si="77"/>
        <v>3.4560000000000004</v>
      </c>
      <c r="AR128">
        <f t="shared" si="80"/>
        <v>1.6</v>
      </c>
      <c r="AS128">
        <f t="shared" si="99"/>
        <v>1.5</v>
      </c>
      <c r="AT128">
        <f t="shared" si="100"/>
        <v>6</v>
      </c>
      <c r="AU128">
        <f t="shared" si="93"/>
        <v>4013</v>
      </c>
      <c r="AV128" s="1">
        <v>1</v>
      </c>
      <c r="AW128">
        <v>3</v>
      </c>
      <c r="AX128">
        <v>0</v>
      </c>
      <c r="AZ128">
        <v>4</v>
      </c>
      <c r="BA128">
        <v>3</v>
      </c>
      <c r="BM128" s="3"/>
      <c r="BN128" s="3"/>
      <c r="BO128" s="20"/>
      <c r="CG128" t="str">
        <f t="shared" si="82"/>
        <v>DATA_Class_Base21</v>
      </c>
      <c r="CH128" s="6" t="s">
        <v>342</v>
      </c>
    </row>
    <row r="129" spans="1:86">
      <c r="A129">
        <f t="shared" si="162"/>
        <v>3063402</v>
      </c>
      <c r="B129" s="6" t="s">
        <v>323</v>
      </c>
      <c r="C129">
        <v>0</v>
      </c>
      <c r="D129">
        <v>6</v>
      </c>
      <c r="E129">
        <v>4</v>
      </c>
      <c r="F129">
        <v>3</v>
      </c>
      <c r="G129" s="3" t="s">
        <v>325</v>
      </c>
      <c r="H129" s="3" t="s">
        <v>325</v>
      </c>
      <c r="I129" s="2">
        <v>0</v>
      </c>
      <c r="J129" s="2" t="s">
        <v>250</v>
      </c>
      <c r="K129" s="2">
        <f t="shared" si="151"/>
        <v>6</v>
      </c>
      <c r="L129" s="2">
        <f t="shared" si="163"/>
        <v>1.5</v>
      </c>
      <c r="M129" s="2">
        <f t="shared" si="164"/>
        <v>1.5</v>
      </c>
      <c r="N129" s="2">
        <v>10</v>
      </c>
      <c r="O129" s="2">
        <f t="shared" ref="O129:T129" si="166">ROUND(AL129*(1+$AX129),2)</f>
        <v>280.8</v>
      </c>
      <c r="P129" s="2">
        <f t="shared" si="166"/>
        <v>14.32</v>
      </c>
      <c r="Q129" s="2">
        <f t="shared" si="166"/>
        <v>1993.85</v>
      </c>
      <c r="R129" s="2">
        <f t="shared" si="166"/>
        <v>101.69</v>
      </c>
      <c r="S129" s="2">
        <f t="shared" si="166"/>
        <v>40.11</v>
      </c>
      <c r="T129" s="2">
        <f t="shared" si="166"/>
        <v>3.01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7">
        <v>334022</v>
      </c>
      <c r="AA129" s="14" t="s">
        <v>392</v>
      </c>
      <c r="AB129" s="15" t="s">
        <v>368</v>
      </c>
      <c r="AC129" s="2">
        <v>3073402</v>
      </c>
      <c r="AD129" s="2">
        <v>0</v>
      </c>
      <c r="AE129" s="2">
        <v>2</v>
      </c>
      <c r="AF129" s="2">
        <v>6</v>
      </c>
      <c r="AG129" s="2">
        <v>2</v>
      </c>
      <c r="AH129" s="2"/>
      <c r="AI129">
        <v>1</v>
      </c>
      <c r="AJ129" s="1">
        <f t="shared" si="157"/>
        <v>131.00121526338879</v>
      </c>
      <c r="AK129">
        <v>6</v>
      </c>
      <c r="AL129">
        <f t="shared" ref="AL129:AL192" si="167">INDEX($BD$5:$BD$60,MATCH($AU129,$BB$5:$BB$60,0))*$AR129/1.5*$BH$4*INDEX($BD$106:$BQ$106,MATCH($AK129,$BD$105:$BQ$105,0))</f>
        <v>280.8</v>
      </c>
      <c r="AM129">
        <f t="shared" ref="AM129:AM192" si="168">(INDEX($BD$5:$BD$56,MATCH($AU129,$BB$5:$BB$56,0))*$AR129/1.5*$BH$4*INDEX($BD$106:$BQ$106,MATCH($AK129,$BD$105:$BQ$105,0)))*0.051</f>
        <v>14.3208</v>
      </c>
      <c r="AN129">
        <f t="shared" ref="AN129:AN192" si="169">INDEX($BE$5:$BE$60,MATCH($AU129,$BB$5:$BB$60,0))*$BI$4*INDEX($BD$106:$BQ$106,MATCH($AK129,$BD$105:$BQ$105,0))</f>
        <v>1993.8461538461538</v>
      </c>
      <c r="AO129">
        <f t="shared" ref="AO129:AO192" si="170">(INDEX($BE$5:$BE$60,MATCH($AU129,$BB$5:$BB$60,0))*$BI$4*INDEX($BD$106:$BQ$106,MATCH($AK129,$BD$105:$BQ$105,0)))*0.051</f>
        <v>101.68615384615384</v>
      </c>
      <c r="AP129">
        <f t="shared" ref="AP129:AP192" si="171">$AL129/INDEX($BF$5:$BF$60,MATCH($AU129,$BB$5:$BB$60,0))</f>
        <v>40.114285714285714</v>
      </c>
      <c r="AQ129">
        <f t="shared" ref="AQ129:AQ192" si="172">AP129*0.075</f>
        <v>3.0085714285714285</v>
      </c>
      <c r="AR129">
        <f t="shared" si="80"/>
        <v>1.5</v>
      </c>
      <c r="AS129">
        <f t="shared" si="99"/>
        <v>1.5</v>
      </c>
      <c r="AT129">
        <f t="shared" si="100"/>
        <v>6</v>
      </c>
      <c r="AU129">
        <f t="shared" si="93"/>
        <v>4023</v>
      </c>
      <c r="AV129" s="1">
        <v>2</v>
      </c>
      <c r="AW129">
        <v>3</v>
      </c>
      <c r="AX129">
        <v>0</v>
      </c>
      <c r="AZ129">
        <v>4</v>
      </c>
      <c r="BA129">
        <v>3</v>
      </c>
      <c r="BO129" s="23"/>
      <c r="CG129" t="str">
        <f t="shared" si="82"/>
        <v>DATA_Class_Base13</v>
      </c>
      <c r="CH129" s="6" t="s">
        <v>295</v>
      </c>
    </row>
    <row r="130" spans="1:86">
      <c r="A130">
        <f t="shared" si="162"/>
        <v>3063501</v>
      </c>
      <c r="B130" s="6" t="s">
        <v>332</v>
      </c>
      <c r="C130">
        <v>0</v>
      </c>
      <c r="D130">
        <v>6</v>
      </c>
      <c r="E130">
        <v>5</v>
      </c>
      <c r="F130">
        <v>3</v>
      </c>
      <c r="G130" s="3" t="s">
        <v>333</v>
      </c>
      <c r="H130" s="3" t="s">
        <v>333</v>
      </c>
      <c r="I130">
        <v>0</v>
      </c>
      <c r="J130" s="2" t="s">
        <v>334</v>
      </c>
      <c r="K130" s="2">
        <f t="shared" si="151"/>
        <v>6</v>
      </c>
      <c r="L130" s="2">
        <f t="shared" si="163"/>
        <v>1.6</v>
      </c>
      <c r="M130" s="2">
        <f t="shared" si="164"/>
        <v>2</v>
      </c>
      <c r="N130" s="2">
        <v>10</v>
      </c>
      <c r="O130" s="2">
        <f t="shared" ref="O130:T130" si="173">ROUND(AL130*(1+$AX130),2)</f>
        <v>299.52</v>
      </c>
      <c r="P130" s="2">
        <f t="shared" si="173"/>
        <v>15.28</v>
      </c>
      <c r="Q130" s="2">
        <f t="shared" si="173"/>
        <v>1993.85</v>
      </c>
      <c r="R130" s="2">
        <f t="shared" si="173"/>
        <v>101.69</v>
      </c>
      <c r="S130" s="2">
        <f t="shared" si="173"/>
        <v>42.79</v>
      </c>
      <c r="T130" s="2">
        <f t="shared" si="173"/>
        <v>3.21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17">
        <v>345012</v>
      </c>
      <c r="AA130" s="14" t="s">
        <v>395</v>
      </c>
      <c r="AB130" s="15" t="s">
        <v>368</v>
      </c>
      <c r="AC130">
        <v>3073501</v>
      </c>
      <c r="AD130" s="2">
        <v>0</v>
      </c>
      <c r="AE130" s="2">
        <v>2</v>
      </c>
      <c r="AF130" s="2">
        <v>6</v>
      </c>
      <c r="AG130" s="2">
        <v>2</v>
      </c>
      <c r="AH130" s="2"/>
      <c r="AI130">
        <v>1</v>
      </c>
      <c r="AJ130" s="1">
        <f t="shared" si="157"/>
        <v>131.07723658063946</v>
      </c>
      <c r="AK130">
        <v>6</v>
      </c>
      <c r="AL130">
        <f t="shared" si="167"/>
        <v>299.52000000000004</v>
      </c>
      <c r="AM130">
        <f t="shared" si="168"/>
        <v>15.27552</v>
      </c>
      <c r="AN130">
        <f t="shared" si="169"/>
        <v>1993.8461538461538</v>
      </c>
      <c r="AO130">
        <f t="shared" si="170"/>
        <v>101.68615384615384</v>
      </c>
      <c r="AP130">
        <f t="shared" si="171"/>
        <v>42.788571428571437</v>
      </c>
      <c r="AQ130">
        <f t="shared" si="172"/>
        <v>3.2091428571428575</v>
      </c>
      <c r="AR130">
        <f t="shared" ref="AR130:AR193" si="174">INDEX($BG$5:$BG$60,MATCH($AU130,$BB$5:$BB$60,0))</f>
        <v>1.6</v>
      </c>
      <c r="AS130">
        <f t="shared" si="99"/>
        <v>2</v>
      </c>
      <c r="AT130">
        <f t="shared" si="100"/>
        <v>6</v>
      </c>
      <c r="AU130">
        <f t="shared" si="93"/>
        <v>5014</v>
      </c>
      <c r="AV130" s="1">
        <v>1</v>
      </c>
      <c r="AW130">
        <v>3</v>
      </c>
      <c r="AX130">
        <v>0</v>
      </c>
      <c r="AZ130">
        <v>5</v>
      </c>
      <c r="BA130">
        <v>4</v>
      </c>
      <c r="BE130" s="2"/>
      <c r="BI130" s="2"/>
      <c r="BO130" s="20"/>
      <c r="CG130" t="str">
        <f t="shared" si="82"/>
        <v>DATA_Class_Base14</v>
      </c>
      <c r="CH130" s="6" t="s">
        <v>300</v>
      </c>
    </row>
    <row r="131" spans="1:86">
      <c r="A131">
        <f t="shared" si="162"/>
        <v>3063600</v>
      </c>
      <c r="B131" s="6" t="s">
        <v>337</v>
      </c>
      <c r="C131">
        <v>0</v>
      </c>
      <c r="D131">
        <v>6</v>
      </c>
      <c r="E131">
        <v>6</v>
      </c>
      <c r="F131">
        <v>3</v>
      </c>
      <c r="G131" s="3" t="s">
        <v>338</v>
      </c>
      <c r="H131" s="3" t="s">
        <v>338</v>
      </c>
      <c r="I131" s="2">
        <v>0</v>
      </c>
      <c r="J131" s="2" t="s">
        <v>339</v>
      </c>
      <c r="K131" s="2">
        <f t="shared" si="151"/>
        <v>3</v>
      </c>
      <c r="L131" s="2">
        <f t="shared" si="163"/>
        <v>1.4000000000000001</v>
      </c>
      <c r="M131" s="2">
        <f t="shared" si="164"/>
        <v>1.9000000000000001</v>
      </c>
      <c r="N131" s="2">
        <v>10</v>
      </c>
      <c r="O131" s="2">
        <f t="shared" ref="O131:T131" si="175">ROUND(AL131*(1+$AX131),2)</f>
        <v>221.76</v>
      </c>
      <c r="P131" s="2">
        <f t="shared" si="175"/>
        <v>11.31</v>
      </c>
      <c r="Q131" s="2">
        <f t="shared" si="175"/>
        <v>2356.36</v>
      </c>
      <c r="R131" s="2">
        <f t="shared" si="175"/>
        <v>120.17</v>
      </c>
      <c r="S131" s="2">
        <f t="shared" si="175"/>
        <v>55.44</v>
      </c>
      <c r="T131" s="2">
        <f t="shared" si="175"/>
        <v>4.16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17">
        <v>346002</v>
      </c>
      <c r="AA131" s="14" t="s">
        <v>397</v>
      </c>
      <c r="AB131" s="15" t="s">
        <v>368</v>
      </c>
      <c r="AC131">
        <v>3073600</v>
      </c>
      <c r="AD131" s="2">
        <v>0</v>
      </c>
      <c r="AE131" s="2">
        <v>2</v>
      </c>
      <c r="AF131" s="2">
        <v>6</v>
      </c>
      <c r="AG131" s="2">
        <v>2</v>
      </c>
      <c r="AH131" s="2"/>
      <c r="AI131">
        <v>1</v>
      </c>
      <c r="AJ131" s="1">
        <f t="shared" si="157"/>
        <v>131.43807520634959</v>
      </c>
      <c r="AK131">
        <v>6</v>
      </c>
      <c r="AL131">
        <f t="shared" si="167"/>
        <v>221.76</v>
      </c>
      <c r="AM131">
        <f t="shared" si="168"/>
        <v>11.309759999999999</v>
      </c>
      <c r="AN131">
        <f t="shared" si="169"/>
        <v>2356.3636363636365</v>
      </c>
      <c r="AO131">
        <f t="shared" si="170"/>
        <v>120.17454545454545</v>
      </c>
      <c r="AP131">
        <f t="shared" si="171"/>
        <v>55.44</v>
      </c>
      <c r="AQ131">
        <f t="shared" si="172"/>
        <v>4.1579999999999995</v>
      </c>
      <c r="AR131">
        <f t="shared" si="174"/>
        <v>1.4</v>
      </c>
      <c r="AS131">
        <f t="shared" si="99"/>
        <v>1.9</v>
      </c>
      <c r="AT131">
        <f t="shared" si="100"/>
        <v>3</v>
      </c>
      <c r="AU131">
        <f t="shared" si="93"/>
        <v>6004</v>
      </c>
      <c r="AV131" s="1">
        <v>0</v>
      </c>
      <c r="AW131">
        <v>3</v>
      </c>
      <c r="AX131">
        <v>0</v>
      </c>
      <c r="AZ131">
        <v>6</v>
      </c>
      <c r="BA131">
        <v>4</v>
      </c>
      <c r="BO131" s="23"/>
      <c r="CG131" t="str">
        <f t="shared" ref="CG131:CG194" si="176">INDEX($CD$66:$CD$107,MATCH($CH131,$CE$66:$CE$107,0))</f>
        <v>DATA_Class_Base15</v>
      </c>
      <c r="CH131" s="6" t="s">
        <v>306</v>
      </c>
    </row>
    <row r="132" spans="1:86">
      <c r="A132">
        <f t="shared" si="162"/>
        <v>3061602</v>
      </c>
      <c r="B132" s="6" t="s">
        <v>343</v>
      </c>
      <c r="C132">
        <v>0</v>
      </c>
      <c r="D132">
        <v>6</v>
      </c>
      <c r="E132">
        <v>6</v>
      </c>
      <c r="F132">
        <v>1</v>
      </c>
      <c r="G132" s="3" t="s">
        <v>344</v>
      </c>
      <c r="H132" s="3" t="s">
        <v>344</v>
      </c>
      <c r="I132" t="s">
        <v>345</v>
      </c>
      <c r="J132" s="2" t="s">
        <v>346</v>
      </c>
      <c r="K132" s="2">
        <f t="shared" si="151"/>
        <v>6</v>
      </c>
      <c r="L132" s="2">
        <f t="shared" si="163"/>
        <v>1.8</v>
      </c>
      <c r="M132" s="2">
        <f t="shared" si="164"/>
        <v>2</v>
      </c>
      <c r="N132" s="2">
        <v>10</v>
      </c>
      <c r="O132" s="2">
        <f t="shared" ref="O132:T132" si="177">ROUND(AL132*(1+$AX132),2)</f>
        <v>259.2</v>
      </c>
      <c r="P132" s="2">
        <f t="shared" si="177"/>
        <v>13.22</v>
      </c>
      <c r="Q132" s="2">
        <f t="shared" si="177"/>
        <v>2592</v>
      </c>
      <c r="R132" s="2">
        <f t="shared" si="177"/>
        <v>132.19</v>
      </c>
      <c r="S132" s="2">
        <f t="shared" si="177"/>
        <v>51.84</v>
      </c>
      <c r="T132" s="2">
        <f t="shared" si="177"/>
        <v>3.89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17">
        <v>346022</v>
      </c>
      <c r="AA132" s="14" t="s">
        <v>399</v>
      </c>
      <c r="AB132" s="15" t="s">
        <v>368</v>
      </c>
      <c r="AC132">
        <v>3071602</v>
      </c>
      <c r="AD132" s="2">
        <v>0</v>
      </c>
      <c r="AE132" s="2">
        <v>2</v>
      </c>
      <c r="AF132" s="2">
        <v>6</v>
      </c>
      <c r="AG132" s="2">
        <v>2</v>
      </c>
      <c r="AH132" s="2"/>
      <c r="AI132">
        <v>1</v>
      </c>
      <c r="AJ132" s="1">
        <f t="shared" si="157"/>
        <v>131.33519547986032</v>
      </c>
      <c r="AK132">
        <v>6</v>
      </c>
      <c r="AL132">
        <f t="shared" si="167"/>
        <v>259.2</v>
      </c>
      <c r="AM132">
        <f t="shared" si="168"/>
        <v>13.219199999999999</v>
      </c>
      <c r="AN132">
        <f t="shared" si="169"/>
        <v>2592</v>
      </c>
      <c r="AO132">
        <f t="shared" si="170"/>
        <v>132.19199999999998</v>
      </c>
      <c r="AP132">
        <f t="shared" si="171"/>
        <v>51.839999999999996</v>
      </c>
      <c r="AQ132">
        <f t="shared" si="172"/>
        <v>3.8879999999999995</v>
      </c>
      <c r="AR132">
        <f t="shared" si="174"/>
        <v>1.8</v>
      </c>
      <c r="AS132">
        <f t="shared" si="99"/>
        <v>2</v>
      </c>
      <c r="AT132">
        <f t="shared" si="100"/>
        <v>6</v>
      </c>
      <c r="AU132">
        <f t="shared" si="93"/>
        <v>6024</v>
      </c>
      <c r="AV132" s="1">
        <v>2</v>
      </c>
      <c r="AW132">
        <v>3</v>
      </c>
      <c r="AX132">
        <v>0</v>
      </c>
      <c r="AZ132">
        <v>6</v>
      </c>
      <c r="BA132">
        <v>4</v>
      </c>
      <c r="BO132" s="20"/>
      <c r="CG132" t="str">
        <f t="shared" si="176"/>
        <v>DATA_Class_Base16</v>
      </c>
      <c r="CH132" s="6" t="s">
        <v>312</v>
      </c>
    </row>
    <row r="133" spans="1:86">
      <c r="A133">
        <f t="shared" si="162"/>
        <v>3062300</v>
      </c>
      <c r="B133" s="6" t="s">
        <v>350</v>
      </c>
      <c r="C133">
        <v>0</v>
      </c>
      <c r="D133">
        <v>6</v>
      </c>
      <c r="E133">
        <v>3</v>
      </c>
      <c r="F133">
        <v>2</v>
      </c>
      <c r="G133" s="3" t="s">
        <v>351</v>
      </c>
      <c r="H133" s="3" t="s">
        <v>351</v>
      </c>
      <c r="I133" s="2">
        <v>0</v>
      </c>
      <c r="J133" s="2" t="s">
        <v>352</v>
      </c>
      <c r="K133" s="2">
        <v>6</v>
      </c>
      <c r="L133" s="2">
        <f t="shared" si="163"/>
        <v>1.3</v>
      </c>
      <c r="M133" s="2">
        <f t="shared" si="164"/>
        <v>2</v>
      </c>
      <c r="N133" s="2">
        <v>10</v>
      </c>
      <c r="O133" s="2">
        <f t="shared" ref="O133:T133" si="178">ROUND(AL133*(1+$AX133),2)</f>
        <v>215.28</v>
      </c>
      <c r="P133" s="2">
        <f t="shared" si="178"/>
        <v>10.98</v>
      </c>
      <c r="Q133" s="2">
        <f t="shared" si="178"/>
        <v>2253.91</v>
      </c>
      <c r="R133" s="2">
        <f t="shared" si="178"/>
        <v>114.95</v>
      </c>
      <c r="S133" s="2">
        <f t="shared" si="178"/>
        <v>53.82</v>
      </c>
      <c r="T133" s="2">
        <f t="shared" si="178"/>
        <v>4.04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17">
        <v>353002</v>
      </c>
      <c r="AA133" s="14" t="s">
        <v>403</v>
      </c>
      <c r="AB133" s="15" t="s">
        <v>368</v>
      </c>
      <c r="AC133">
        <v>3072300</v>
      </c>
      <c r="AD133" s="2">
        <v>0</v>
      </c>
      <c r="AE133" s="2">
        <v>2</v>
      </c>
      <c r="AF133" s="2">
        <v>6</v>
      </c>
      <c r="AG133" s="2">
        <v>2</v>
      </c>
      <c r="AH133" s="2"/>
      <c r="AI133">
        <v>1</v>
      </c>
      <c r="AJ133" s="1">
        <f t="shared" si="157"/>
        <v>131.39175939055599</v>
      </c>
      <c r="AK133">
        <v>6</v>
      </c>
      <c r="AL133">
        <f t="shared" si="167"/>
        <v>215.28</v>
      </c>
      <c r="AM133">
        <f t="shared" si="168"/>
        <v>10.979279999999999</v>
      </c>
      <c r="AN133">
        <f t="shared" si="169"/>
        <v>2253.9130434782614</v>
      </c>
      <c r="AO133">
        <f t="shared" si="170"/>
        <v>114.94956521739132</v>
      </c>
      <c r="AP133">
        <f t="shared" si="171"/>
        <v>53.82</v>
      </c>
      <c r="AQ133">
        <f t="shared" si="172"/>
        <v>4.0365000000000002</v>
      </c>
      <c r="AR133">
        <f t="shared" si="174"/>
        <v>1.3</v>
      </c>
      <c r="AS133">
        <f t="shared" si="99"/>
        <v>2</v>
      </c>
      <c r="AT133">
        <f t="shared" si="100"/>
        <v>3</v>
      </c>
      <c r="AU133">
        <f t="shared" si="93"/>
        <v>3005</v>
      </c>
      <c r="AV133" s="1">
        <v>0</v>
      </c>
      <c r="AW133">
        <v>3</v>
      </c>
      <c r="AX133">
        <v>0</v>
      </c>
      <c r="AZ133">
        <v>3</v>
      </c>
      <c r="BA133">
        <v>5</v>
      </c>
      <c r="BO133" s="23"/>
      <c r="CG133" t="str">
        <f t="shared" si="176"/>
        <v>DATA_Class_Base17</v>
      </c>
      <c r="CH133" s="6" t="s">
        <v>318</v>
      </c>
    </row>
    <row r="134" spans="1:86">
      <c r="A134">
        <f t="shared" si="162"/>
        <v>3063302</v>
      </c>
      <c r="B134" s="6" t="s">
        <v>356</v>
      </c>
      <c r="C134">
        <v>0</v>
      </c>
      <c r="D134">
        <v>6</v>
      </c>
      <c r="E134">
        <v>3</v>
      </c>
      <c r="F134">
        <v>3</v>
      </c>
      <c r="G134" s="3" t="s">
        <v>357</v>
      </c>
      <c r="H134" s="3" t="s">
        <v>357</v>
      </c>
      <c r="I134" s="2">
        <v>0</v>
      </c>
      <c r="J134" s="2" t="s">
        <v>358</v>
      </c>
      <c r="K134" s="2">
        <f t="shared" ref="K134:K147" si="179">AT134</f>
        <v>3</v>
      </c>
      <c r="L134" s="2">
        <f t="shared" si="163"/>
        <v>1.4000000000000001</v>
      </c>
      <c r="M134" s="2">
        <f t="shared" si="164"/>
        <v>2</v>
      </c>
      <c r="N134" s="2">
        <v>10</v>
      </c>
      <c r="O134" s="2">
        <f t="shared" ref="O134:T134" si="180">ROUND(AL134*(1+$AX134),2)</f>
        <v>241.92</v>
      </c>
      <c r="P134" s="2">
        <f t="shared" si="180"/>
        <v>12.34</v>
      </c>
      <c r="Q134" s="2">
        <f t="shared" si="180"/>
        <v>2160</v>
      </c>
      <c r="R134" s="2">
        <f t="shared" si="180"/>
        <v>110.16</v>
      </c>
      <c r="S134" s="2">
        <f t="shared" si="180"/>
        <v>60.48</v>
      </c>
      <c r="T134" s="2">
        <f t="shared" si="180"/>
        <v>4.54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17">
        <v>353022</v>
      </c>
      <c r="AA134" s="14" t="s">
        <v>405</v>
      </c>
      <c r="AB134" s="15" t="s">
        <v>368</v>
      </c>
      <c r="AC134">
        <v>3073302</v>
      </c>
      <c r="AD134" s="2">
        <v>0</v>
      </c>
      <c r="AE134" s="2">
        <v>2</v>
      </c>
      <c r="AF134" s="2">
        <v>6</v>
      </c>
      <c r="AG134" s="2">
        <v>2</v>
      </c>
      <c r="AH134" s="2"/>
      <c r="AI134">
        <v>1</v>
      </c>
      <c r="AJ134" s="1">
        <f t="shared" si="157"/>
        <v>131.5823779014481</v>
      </c>
      <c r="AK134">
        <v>6</v>
      </c>
      <c r="AL134">
        <f t="shared" si="167"/>
        <v>241.91999999999996</v>
      </c>
      <c r="AM134">
        <f t="shared" si="168"/>
        <v>12.337919999999997</v>
      </c>
      <c r="AN134">
        <f t="shared" si="169"/>
        <v>2160</v>
      </c>
      <c r="AO134">
        <f t="shared" si="170"/>
        <v>110.16</v>
      </c>
      <c r="AP134">
        <f t="shared" si="171"/>
        <v>60.47999999999999</v>
      </c>
      <c r="AQ134">
        <f t="shared" si="172"/>
        <v>4.5359999999999987</v>
      </c>
      <c r="AR134">
        <f t="shared" si="174"/>
        <v>1.4</v>
      </c>
      <c r="AS134">
        <f t="shared" si="99"/>
        <v>2</v>
      </c>
      <c r="AT134">
        <f t="shared" si="100"/>
        <v>3</v>
      </c>
      <c r="AU134">
        <f t="shared" si="93"/>
        <v>3025</v>
      </c>
      <c r="AV134" s="1">
        <v>2</v>
      </c>
      <c r="AW134">
        <v>3</v>
      </c>
      <c r="AX134">
        <v>0</v>
      </c>
      <c r="AZ134">
        <v>3</v>
      </c>
      <c r="BA134">
        <v>5</v>
      </c>
      <c r="BE134" s="3"/>
      <c r="BO134" s="20"/>
      <c r="CG134" t="str">
        <f t="shared" si="176"/>
        <v>DATA_Class_Base18</v>
      </c>
      <c r="CH134" s="6" t="s">
        <v>324</v>
      </c>
    </row>
    <row r="135" spans="1:86">
      <c r="A135">
        <f t="shared" si="162"/>
        <v>3062400</v>
      </c>
      <c r="B135" s="6" t="s">
        <v>362</v>
      </c>
      <c r="C135">
        <v>0</v>
      </c>
      <c r="D135">
        <v>6</v>
      </c>
      <c r="E135">
        <v>4</v>
      </c>
      <c r="F135">
        <v>2</v>
      </c>
      <c r="G135" s="3" t="s">
        <v>363</v>
      </c>
      <c r="H135" s="3" t="s">
        <v>363</v>
      </c>
      <c r="I135">
        <v>0</v>
      </c>
      <c r="J135" s="2" t="s">
        <v>364</v>
      </c>
      <c r="K135" s="2">
        <f t="shared" si="179"/>
        <v>6</v>
      </c>
      <c r="L135" s="2">
        <f t="shared" si="163"/>
        <v>1.4000000000000001</v>
      </c>
      <c r="M135" s="2">
        <f t="shared" si="164"/>
        <v>2</v>
      </c>
      <c r="N135" s="2">
        <v>10</v>
      </c>
      <c r="O135" s="2">
        <f t="shared" ref="O135:T135" si="181">ROUND(AL135*(1+$AX135),2)</f>
        <v>252</v>
      </c>
      <c r="P135" s="2">
        <f t="shared" si="181"/>
        <v>12.85</v>
      </c>
      <c r="Q135" s="2">
        <f t="shared" si="181"/>
        <v>2073.6</v>
      </c>
      <c r="R135" s="2">
        <f t="shared" si="181"/>
        <v>105.75</v>
      </c>
      <c r="S135" s="2">
        <f t="shared" si="181"/>
        <v>45.82</v>
      </c>
      <c r="T135" s="2">
        <f t="shared" si="181"/>
        <v>3.44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17">
        <v>354002</v>
      </c>
      <c r="AA135" s="14" t="s">
        <v>408</v>
      </c>
      <c r="AB135" s="15" t="s">
        <v>368</v>
      </c>
      <c r="AC135">
        <v>3072400</v>
      </c>
      <c r="AD135" s="2">
        <v>0</v>
      </c>
      <c r="AE135" s="2">
        <v>2</v>
      </c>
      <c r="AF135" s="2">
        <v>6</v>
      </c>
      <c r="AG135" s="2">
        <v>2</v>
      </c>
      <c r="AH135" s="2"/>
      <c r="AI135">
        <v>1</v>
      </c>
      <c r="AJ135" s="1">
        <f t="shared" si="157"/>
        <v>131.1634652978174</v>
      </c>
      <c r="AK135">
        <v>6</v>
      </c>
      <c r="AL135">
        <f t="shared" si="167"/>
        <v>252</v>
      </c>
      <c r="AM135">
        <f t="shared" si="168"/>
        <v>12.851999999999999</v>
      </c>
      <c r="AN135">
        <f t="shared" si="169"/>
        <v>2073.6</v>
      </c>
      <c r="AO135">
        <f t="shared" si="170"/>
        <v>105.75359999999999</v>
      </c>
      <c r="AP135">
        <f t="shared" si="171"/>
        <v>45.81818181818182</v>
      </c>
      <c r="AQ135">
        <f t="shared" si="172"/>
        <v>3.4363636363636365</v>
      </c>
      <c r="AR135">
        <f t="shared" si="174"/>
        <v>1.4</v>
      </c>
      <c r="AS135">
        <f t="shared" si="99"/>
        <v>2</v>
      </c>
      <c r="AT135">
        <f t="shared" si="100"/>
        <v>6</v>
      </c>
      <c r="AU135">
        <f t="shared" si="93"/>
        <v>4005</v>
      </c>
      <c r="AV135" s="1">
        <v>0</v>
      </c>
      <c r="AW135">
        <v>3</v>
      </c>
      <c r="AX135">
        <v>0</v>
      </c>
      <c r="AZ135">
        <v>4</v>
      </c>
      <c r="BA135">
        <v>5</v>
      </c>
      <c r="BE135" s="3"/>
      <c r="BO135" s="23"/>
      <c r="CG135" t="str">
        <f t="shared" si="176"/>
        <v>DATA_Class_Base19</v>
      </c>
      <c r="CH135" s="6" t="s">
        <v>331</v>
      </c>
    </row>
    <row r="136" spans="1:86">
      <c r="A136">
        <f t="shared" si="162"/>
        <v>3071202</v>
      </c>
      <c r="B136" s="6" t="s">
        <v>278</v>
      </c>
      <c r="C136">
        <v>0</v>
      </c>
      <c r="D136">
        <v>7</v>
      </c>
      <c r="E136">
        <v>2</v>
      </c>
      <c r="F136">
        <v>1</v>
      </c>
      <c r="G136" s="3" t="s">
        <v>279</v>
      </c>
      <c r="H136" s="3" t="s">
        <v>279</v>
      </c>
      <c r="I136">
        <v>0</v>
      </c>
      <c r="J136" s="2" t="s">
        <v>280</v>
      </c>
      <c r="K136" s="2">
        <f t="shared" si="179"/>
        <v>3</v>
      </c>
      <c r="L136" s="2">
        <f t="shared" si="163"/>
        <v>1.6</v>
      </c>
      <c r="M136" s="2">
        <f t="shared" si="164"/>
        <v>2</v>
      </c>
      <c r="N136" s="2">
        <v>10</v>
      </c>
      <c r="O136" s="2">
        <f t="shared" ref="O136:T136" si="182">ROUND(AL136*(1+$AX136),2)</f>
        <v>209.92</v>
      </c>
      <c r="P136" s="2">
        <f t="shared" si="182"/>
        <v>10.71</v>
      </c>
      <c r="Q136" s="2">
        <f t="shared" si="182"/>
        <v>3690</v>
      </c>
      <c r="R136" s="2">
        <f t="shared" si="182"/>
        <v>188.19</v>
      </c>
      <c r="S136" s="2">
        <f t="shared" si="182"/>
        <v>77.75</v>
      </c>
      <c r="T136" s="2">
        <f t="shared" si="182"/>
        <v>5.83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17">
        <v>312022</v>
      </c>
      <c r="AA136" s="14" t="s">
        <v>434</v>
      </c>
      <c r="AB136" s="15" t="s">
        <v>368</v>
      </c>
      <c r="AC136" s="2">
        <v>3081202</v>
      </c>
      <c r="AD136" s="2">
        <v>0</v>
      </c>
      <c r="AE136" s="2">
        <v>1</v>
      </c>
      <c r="AF136" s="2">
        <f t="shared" ref="AF136:AF150" si="183">A121</f>
        <v>3061202</v>
      </c>
      <c r="AG136" s="2">
        <v>1</v>
      </c>
      <c r="AH136" s="2"/>
      <c r="AI136">
        <v>1</v>
      </c>
      <c r="AJ136" s="1">
        <f t="shared" si="157"/>
        <v>171.31569372858419</v>
      </c>
      <c r="AK136">
        <v>7</v>
      </c>
      <c r="AL136">
        <f t="shared" si="167"/>
        <v>209.92000000000002</v>
      </c>
      <c r="AM136">
        <f t="shared" si="168"/>
        <v>10.705920000000001</v>
      </c>
      <c r="AN136">
        <f t="shared" si="169"/>
        <v>3689.9999999999995</v>
      </c>
      <c r="AO136">
        <f t="shared" si="170"/>
        <v>188.18999999999997</v>
      </c>
      <c r="AP136">
        <f t="shared" si="171"/>
        <v>77.748148148148147</v>
      </c>
      <c r="AQ136">
        <f t="shared" si="172"/>
        <v>5.8311111111111105</v>
      </c>
      <c r="AR136">
        <f t="shared" si="174"/>
        <v>1.6</v>
      </c>
      <c r="AS136">
        <f t="shared" si="99"/>
        <v>2</v>
      </c>
      <c r="AT136">
        <f t="shared" si="100"/>
        <v>3</v>
      </c>
      <c r="AU136">
        <f t="shared" si="93"/>
        <v>2021</v>
      </c>
      <c r="AV136" s="1">
        <v>2</v>
      </c>
      <c r="AW136">
        <v>3</v>
      </c>
      <c r="AX136">
        <v>0</v>
      </c>
      <c r="AZ136">
        <v>2</v>
      </c>
      <c r="BA136">
        <v>1</v>
      </c>
      <c r="BE136" s="3"/>
      <c r="BO136" s="20"/>
      <c r="CG136" t="str">
        <f t="shared" si="176"/>
        <v>DATA_Class_Base20</v>
      </c>
      <c r="CH136" s="6" t="s">
        <v>336</v>
      </c>
    </row>
    <row r="137" spans="1:86">
      <c r="A137">
        <f t="shared" si="162"/>
        <v>3071301</v>
      </c>
      <c r="B137" s="6" t="s">
        <v>283</v>
      </c>
      <c r="C137">
        <v>0</v>
      </c>
      <c r="D137">
        <v>7</v>
      </c>
      <c r="E137">
        <v>3</v>
      </c>
      <c r="F137">
        <v>1</v>
      </c>
      <c r="G137" s="3" t="s">
        <v>284</v>
      </c>
      <c r="H137" s="3" t="s">
        <v>284</v>
      </c>
      <c r="I137" s="2">
        <v>0</v>
      </c>
      <c r="J137" s="2" t="s">
        <v>285</v>
      </c>
      <c r="K137" s="2">
        <f t="shared" si="179"/>
        <v>3</v>
      </c>
      <c r="L137" s="2">
        <f t="shared" si="163"/>
        <v>1.3</v>
      </c>
      <c r="M137" s="2">
        <f t="shared" si="164"/>
        <v>2</v>
      </c>
      <c r="N137" s="2">
        <v>10</v>
      </c>
      <c r="O137" s="2">
        <f t="shared" ref="O137:T137" si="184">ROUND(AL137*(1+$AX137),2)</f>
        <v>234.52</v>
      </c>
      <c r="P137" s="2">
        <f t="shared" si="184"/>
        <v>11.96</v>
      </c>
      <c r="Q137" s="2">
        <f t="shared" si="184"/>
        <v>2683.64</v>
      </c>
      <c r="R137" s="2">
        <f t="shared" si="184"/>
        <v>136.87</v>
      </c>
      <c r="S137" s="2">
        <f t="shared" si="184"/>
        <v>67.010000000000005</v>
      </c>
      <c r="T137" s="2">
        <f t="shared" si="184"/>
        <v>5.03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17">
        <v>313012</v>
      </c>
      <c r="AA137" s="14" t="s">
        <v>435</v>
      </c>
      <c r="AB137" s="15" t="s">
        <v>368</v>
      </c>
      <c r="AC137" s="2">
        <v>3081301</v>
      </c>
      <c r="AD137" s="2">
        <v>0</v>
      </c>
      <c r="AE137" s="2">
        <v>1</v>
      </c>
      <c r="AF137" s="2">
        <f t="shared" si="183"/>
        <v>3061301</v>
      </c>
      <c r="AG137" s="2">
        <v>1</v>
      </c>
      <c r="AH137" s="2"/>
      <c r="AI137">
        <v>1</v>
      </c>
      <c r="AJ137" s="1">
        <f t="shared" si="157"/>
        <v>170.91423551526387</v>
      </c>
      <c r="AK137">
        <v>7</v>
      </c>
      <c r="AL137">
        <f t="shared" si="167"/>
        <v>234.52</v>
      </c>
      <c r="AM137">
        <f t="shared" si="168"/>
        <v>11.960519999999999</v>
      </c>
      <c r="AN137">
        <f t="shared" si="169"/>
        <v>2683.6363636363631</v>
      </c>
      <c r="AO137">
        <f t="shared" si="170"/>
        <v>136.8654545454545</v>
      </c>
      <c r="AP137">
        <f t="shared" si="171"/>
        <v>67.005714285714291</v>
      </c>
      <c r="AQ137">
        <f t="shared" si="172"/>
        <v>5.0254285714285718</v>
      </c>
      <c r="AR137">
        <f t="shared" si="174"/>
        <v>1.3</v>
      </c>
      <c r="AS137">
        <f t="shared" si="99"/>
        <v>2</v>
      </c>
      <c r="AT137">
        <f t="shared" si="100"/>
        <v>3</v>
      </c>
      <c r="AU137">
        <f t="shared" si="93"/>
        <v>3011</v>
      </c>
      <c r="AV137" s="1">
        <v>1</v>
      </c>
      <c r="AW137">
        <v>3</v>
      </c>
      <c r="AX137">
        <v>0</v>
      </c>
      <c r="AZ137">
        <v>3</v>
      </c>
      <c r="BA137">
        <v>1</v>
      </c>
      <c r="BE137" s="3"/>
      <c r="CG137" t="str">
        <f t="shared" si="176"/>
        <v>DATA_Class_Base21</v>
      </c>
      <c r="CH137" s="6" t="s">
        <v>342</v>
      </c>
    </row>
    <row r="138" spans="1:86">
      <c r="A138">
        <f t="shared" si="162"/>
        <v>3071502</v>
      </c>
      <c r="B138" s="6" t="s">
        <v>289</v>
      </c>
      <c r="C138">
        <v>0</v>
      </c>
      <c r="D138">
        <v>7</v>
      </c>
      <c r="E138">
        <v>5</v>
      </c>
      <c r="F138">
        <v>1</v>
      </c>
      <c r="G138" s="3" t="s">
        <v>290</v>
      </c>
      <c r="H138" s="3" t="s">
        <v>290</v>
      </c>
      <c r="I138" s="2">
        <v>0</v>
      </c>
      <c r="J138" s="2" t="s">
        <v>291</v>
      </c>
      <c r="K138" s="2">
        <f t="shared" si="179"/>
        <v>6</v>
      </c>
      <c r="L138" s="2">
        <f t="shared" si="163"/>
        <v>1.4000000000000001</v>
      </c>
      <c r="M138" s="2">
        <f t="shared" si="164"/>
        <v>2</v>
      </c>
      <c r="N138" s="2">
        <v>10</v>
      </c>
      <c r="O138" s="2">
        <f t="shared" ref="O138:T138" si="185">ROUND(AL138*(1+$AX138),2)</f>
        <v>298.48</v>
      </c>
      <c r="P138" s="2">
        <f t="shared" si="185"/>
        <v>15.22</v>
      </c>
      <c r="Q138" s="2">
        <f t="shared" si="185"/>
        <v>2270.77</v>
      </c>
      <c r="R138" s="2">
        <f t="shared" si="185"/>
        <v>115.81</v>
      </c>
      <c r="S138" s="2">
        <f t="shared" si="185"/>
        <v>45.92</v>
      </c>
      <c r="T138" s="2">
        <f t="shared" si="185"/>
        <v>3.44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17">
        <v>315022</v>
      </c>
      <c r="AA138" s="14" t="s">
        <v>436</v>
      </c>
      <c r="AB138" s="15" t="s">
        <v>368</v>
      </c>
      <c r="AC138" s="2">
        <v>3081502</v>
      </c>
      <c r="AD138" s="2">
        <v>0</v>
      </c>
      <c r="AE138" s="2">
        <v>1</v>
      </c>
      <c r="AF138" s="2">
        <f t="shared" si="183"/>
        <v>3061502</v>
      </c>
      <c r="AG138" s="2">
        <v>1</v>
      </c>
      <c r="AH138" s="2"/>
      <c r="AI138">
        <v>1</v>
      </c>
      <c r="AJ138" s="1">
        <f t="shared" si="157"/>
        <v>170.13168204279202</v>
      </c>
      <c r="AK138">
        <v>7</v>
      </c>
      <c r="AL138">
        <f t="shared" si="167"/>
        <v>298.4799999999999</v>
      </c>
      <c r="AM138">
        <f t="shared" si="168"/>
        <v>15.222479999999994</v>
      </c>
      <c r="AN138">
        <f t="shared" si="169"/>
        <v>2270.7692307692305</v>
      </c>
      <c r="AO138">
        <f t="shared" si="170"/>
        <v>115.80923076923075</v>
      </c>
      <c r="AP138">
        <f t="shared" si="171"/>
        <v>45.919999999999987</v>
      </c>
      <c r="AQ138">
        <f t="shared" si="172"/>
        <v>3.4439999999999991</v>
      </c>
      <c r="AR138">
        <f t="shared" si="174"/>
        <v>1.4</v>
      </c>
      <c r="AS138">
        <f t="shared" si="99"/>
        <v>2</v>
      </c>
      <c r="AT138">
        <f t="shared" si="100"/>
        <v>6</v>
      </c>
      <c r="AU138">
        <f t="shared" si="93"/>
        <v>5021</v>
      </c>
      <c r="AV138" s="1">
        <v>2</v>
      </c>
      <c r="AW138">
        <v>3</v>
      </c>
      <c r="AX138">
        <v>0</v>
      </c>
      <c r="AZ138">
        <v>5</v>
      </c>
      <c r="BA138">
        <v>1</v>
      </c>
      <c r="BE138" s="3"/>
      <c r="CG138" t="str">
        <f t="shared" si="176"/>
        <v>DATA_Class_Base22</v>
      </c>
      <c r="CH138" s="6" t="s">
        <v>349</v>
      </c>
    </row>
    <row r="139" spans="1:86">
      <c r="A139">
        <f t="shared" si="162"/>
        <v>3072201</v>
      </c>
      <c r="B139" s="6" t="s">
        <v>296</v>
      </c>
      <c r="C139">
        <v>0</v>
      </c>
      <c r="D139">
        <v>7</v>
      </c>
      <c r="E139">
        <v>2</v>
      </c>
      <c r="F139">
        <v>2</v>
      </c>
      <c r="G139" s="3" t="s">
        <v>297</v>
      </c>
      <c r="H139" s="3" t="s">
        <v>297</v>
      </c>
      <c r="I139">
        <v>0</v>
      </c>
      <c r="J139" s="8" t="s">
        <v>298</v>
      </c>
      <c r="K139" s="2">
        <f t="shared" si="179"/>
        <v>3</v>
      </c>
      <c r="L139" s="2">
        <f t="shared" si="163"/>
        <v>1.5</v>
      </c>
      <c r="M139" s="2">
        <f t="shared" si="164"/>
        <v>1.8</v>
      </c>
      <c r="N139" s="2">
        <v>10</v>
      </c>
      <c r="O139" s="2">
        <f t="shared" ref="O139:T139" si="186">ROUND(AL139*(1+$AX139),2)</f>
        <v>196.8</v>
      </c>
      <c r="P139" s="2">
        <f t="shared" si="186"/>
        <v>10.039999999999999</v>
      </c>
      <c r="Q139" s="2">
        <f t="shared" si="186"/>
        <v>3690</v>
      </c>
      <c r="R139" s="2">
        <f t="shared" si="186"/>
        <v>188.19</v>
      </c>
      <c r="S139" s="2">
        <f t="shared" si="186"/>
        <v>85.57</v>
      </c>
      <c r="T139" s="2">
        <f t="shared" si="186"/>
        <v>6.42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17">
        <v>322012</v>
      </c>
      <c r="AA139" s="14" t="s">
        <v>437</v>
      </c>
      <c r="AB139" s="15" t="s">
        <v>368</v>
      </c>
      <c r="AC139" s="2">
        <v>3082201</v>
      </c>
      <c r="AD139" s="2">
        <v>0</v>
      </c>
      <c r="AE139" s="2">
        <v>1</v>
      </c>
      <c r="AF139" s="2">
        <f t="shared" si="183"/>
        <v>3062201</v>
      </c>
      <c r="AG139" s="2">
        <v>1</v>
      </c>
      <c r="AH139" s="2"/>
      <c r="AI139">
        <v>1</v>
      </c>
      <c r="AJ139" s="1">
        <f t="shared" si="157"/>
        <v>171.60901494641243</v>
      </c>
      <c r="AK139">
        <v>7</v>
      </c>
      <c r="AL139">
        <f t="shared" si="167"/>
        <v>196.8</v>
      </c>
      <c r="AM139">
        <f t="shared" si="168"/>
        <v>10.036799999999999</v>
      </c>
      <c r="AN139">
        <f t="shared" si="169"/>
        <v>3689.9999999999995</v>
      </c>
      <c r="AO139">
        <f t="shared" si="170"/>
        <v>188.18999999999997</v>
      </c>
      <c r="AP139">
        <f t="shared" si="171"/>
        <v>85.565217391304358</v>
      </c>
      <c r="AQ139">
        <f t="shared" si="172"/>
        <v>6.4173913043478263</v>
      </c>
      <c r="AR139">
        <f t="shared" si="174"/>
        <v>1.5</v>
      </c>
      <c r="AS139">
        <f t="shared" si="99"/>
        <v>1.8</v>
      </c>
      <c r="AT139">
        <f t="shared" si="100"/>
        <v>3</v>
      </c>
      <c r="AU139">
        <f t="shared" si="93"/>
        <v>2012</v>
      </c>
      <c r="AV139" s="1">
        <v>1</v>
      </c>
      <c r="AW139">
        <v>3</v>
      </c>
      <c r="AX139">
        <v>0</v>
      </c>
      <c r="AZ139">
        <v>2</v>
      </c>
      <c r="BA139">
        <v>2</v>
      </c>
      <c r="BE139" s="3"/>
      <c r="CG139" t="str">
        <f t="shared" si="176"/>
        <v>DATA_Class_Base23</v>
      </c>
      <c r="CH139" s="6" t="s">
        <v>355</v>
      </c>
    </row>
    <row r="140" spans="1:86">
      <c r="A140">
        <f t="shared" si="162"/>
        <v>3072500</v>
      </c>
      <c r="B140" s="6" t="s">
        <v>301</v>
      </c>
      <c r="C140">
        <v>0</v>
      </c>
      <c r="D140">
        <v>7</v>
      </c>
      <c r="E140">
        <v>5</v>
      </c>
      <c r="F140">
        <v>2</v>
      </c>
      <c r="G140" s="3" t="s">
        <v>302</v>
      </c>
      <c r="H140" s="3" t="s">
        <v>302</v>
      </c>
      <c r="I140" s="2">
        <v>0</v>
      </c>
      <c r="J140" s="2" t="s">
        <v>303</v>
      </c>
      <c r="K140" s="2">
        <f t="shared" si="179"/>
        <v>6</v>
      </c>
      <c r="L140" s="2">
        <f t="shared" si="163"/>
        <v>1.4000000000000001</v>
      </c>
      <c r="M140" s="2">
        <f t="shared" si="164"/>
        <v>2</v>
      </c>
      <c r="N140" s="2">
        <v>10</v>
      </c>
      <c r="O140" s="2">
        <f t="shared" ref="O140:T140" si="187">ROUND(AL140*(1+$AX140),2)</f>
        <v>344.4</v>
      </c>
      <c r="P140" s="2">
        <f t="shared" si="187"/>
        <v>17.559999999999999</v>
      </c>
      <c r="Q140" s="2">
        <f t="shared" si="187"/>
        <v>1968</v>
      </c>
      <c r="R140" s="2">
        <f t="shared" si="187"/>
        <v>100.37</v>
      </c>
      <c r="S140" s="2">
        <f t="shared" si="187"/>
        <v>45.92</v>
      </c>
      <c r="T140" s="2">
        <f t="shared" si="187"/>
        <v>3.44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17">
        <v>325002</v>
      </c>
      <c r="AA140" s="14" t="s">
        <v>438</v>
      </c>
      <c r="AB140" s="15" t="s">
        <v>368</v>
      </c>
      <c r="AC140" s="2">
        <v>3082500</v>
      </c>
      <c r="AD140" s="2">
        <v>0</v>
      </c>
      <c r="AE140" s="2">
        <v>1</v>
      </c>
      <c r="AF140" s="2">
        <f t="shared" si="183"/>
        <v>3062500</v>
      </c>
      <c r="AG140" s="2">
        <v>1</v>
      </c>
      <c r="AH140" s="2"/>
      <c r="AI140">
        <v>1</v>
      </c>
      <c r="AJ140" s="1">
        <f t="shared" si="157"/>
        <v>170.13168204279202</v>
      </c>
      <c r="AK140">
        <v>7</v>
      </c>
      <c r="AL140">
        <f t="shared" si="167"/>
        <v>344.39999999999992</v>
      </c>
      <c r="AM140">
        <f t="shared" si="168"/>
        <v>17.564399999999996</v>
      </c>
      <c r="AN140">
        <f t="shared" si="169"/>
        <v>1967.9999999999998</v>
      </c>
      <c r="AO140">
        <f t="shared" si="170"/>
        <v>100.36799999999998</v>
      </c>
      <c r="AP140">
        <f t="shared" si="171"/>
        <v>45.919999999999987</v>
      </c>
      <c r="AQ140">
        <f t="shared" si="172"/>
        <v>3.4439999999999991</v>
      </c>
      <c r="AR140">
        <f t="shared" si="174"/>
        <v>1.4</v>
      </c>
      <c r="AS140">
        <f t="shared" si="99"/>
        <v>2</v>
      </c>
      <c r="AT140">
        <f t="shared" si="100"/>
        <v>6</v>
      </c>
      <c r="AU140">
        <f t="shared" ref="AU140:AU165" si="188">AZ140*1000+AV140*10+BA140</f>
        <v>5002</v>
      </c>
      <c r="AV140" s="1">
        <v>0</v>
      </c>
      <c r="AW140">
        <v>3</v>
      </c>
      <c r="AX140">
        <v>0</v>
      </c>
      <c r="AZ140">
        <v>5</v>
      </c>
      <c r="BA140">
        <v>2</v>
      </c>
      <c r="BE140" s="3"/>
      <c r="CG140" t="str">
        <f t="shared" si="176"/>
        <v>DATA_Class_Base24</v>
      </c>
      <c r="CH140" s="6" t="s">
        <v>361</v>
      </c>
    </row>
    <row r="141" spans="1:86">
      <c r="A141">
        <f t="shared" si="162"/>
        <v>3072601</v>
      </c>
      <c r="B141" s="6" t="s">
        <v>307</v>
      </c>
      <c r="C141">
        <v>0</v>
      </c>
      <c r="D141">
        <v>7</v>
      </c>
      <c r="E141">
        <v>6</v>
      </c>
      <c r="F141">
        <v>2</v>
      </c>
      <c r="G141" s="3" t="s">
        <v>308</v>
      </c>
      <c r="H141" s="3" t="s">
        <v>308</v>
      </c>
      <c r="I141" s="2">
        <v>0</v>
      </c>
      <c r="J141" s="2" t="s">
        <v>309</v>
      </c>
      <c r="K141" s="2">
        <f t="shared" si="179"/>
        <v>6</v>
      </c>
      <c r="L141" s="2">
        <f t="shared" si="163"/>
        <v>1.5</v>
      </c>
      <c r="M141" s="2">
        <f t="shared" si="164"/>
        <v>2</v>
      </c>
      <c r="N141" s="2">
        <v>10</v>
      </c>
      <c r="O141" s="2">
        <f t="shared" ref="O141:T141" si="189">ROUND(AL141*(1+$AX141),2)</f>
        <v>270.60000000000002</v>
      </c>
      <c r="P141" s="2">
        <f t="shared" si="189"/>
        <v>13.8</v>
      </c>
      <c r="Q141" s="2">
        <f t="shared" si="189"/>
        <v>2683.64</v>
      </c>
      <c r="R141" s="2">
        <f t="shared" si="189"/>
        <v>136.87</v>
      </c>
      <c r="S141" s="2">
        <f t="shared" si="189"/>
        <v>60.13</v>
      </c>
      <c r="T141" s="2">
        <f t="shared" si="189"/>
        <v>4.51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17">
        <v>326012</v>
      </c>
      <c r="AA141" s="14" t="s">
        <v>439</v>
      </c>
      <c r="AB141" s="15" t="s">
        <v>368</v>
      </c>
      <c r="AC141" s="2">
        <v>3082601</v>
      </c>
      <c r="AD141" s="2">
        <v>0</v>
      </c>
      <c r="AE141" s="2">
        <v>1</v>
      </c>
      <c r="AF141" s="2">
        <f t="shared" si="183"/>
        <v>3062601</v>
      </c>
      <c r="AG141" s="2">
        <v>1</v>
      </c>
      <c r="AH141" s="2"/>
      <c r="AI141">
        <v>1</v>
      </c>
      <c r="AJ141" s="1">
        <f t="shared" si="157"/>
        <v>170.65839142897471</v>
      </c>
      <c r="AK141">
        <v>7</v>
      </c>
      <c r="AL141">
        <f t="shared" si="167"/>
        <v>270.59999999999997</v>
      </c>
      <c r="AM141">
        <f t="shared" si="168"/>
        <v>13.800599999999998</v>
      </c>
      <c r="AN141">
        <f t="shared" si="169"/>
        <v>2683.6363636363631</v>
      </c>
      <c r="AO141">
        <f t="shared" si="170"/>
        <v>136.8654545454545</v>
      </c>
      <c r="AP141">
        <f t="shared" si="171"/>
        <v>60.133333333333326</v>
      </c>
      <c r="AQ141">
        <f t="shared" si="172"/>
        <v>4.5099999999999989</v>
      </c>
      <c r="AR141">
        <f t="shared" si="174"/>
        <v>1.5</v>
      </c>
      <c r="AS141">
        <f t="shared" si="99"/>
        <v>2</v>
      </c>
      <c r="AT141">
        <f t="shared" si="100"/>
        <v>6</v>
      </c>
      <c r="AU141">
        <f t="shared" si="188"/>
        <v>6012</v>
      </c>
      <c r="AV141" s="1">
        <v>1</v>
      </c>
      <c r="AW141">
        <v>3</v>
      </c>
      <c r="AX141">
        <v>0</v>
      </c>
      <c r="AZ141">
        <v>6</v>
      </c>
      <c r="BA141">
        <v>2</v>
      </c>
      <c r="CG141" t="str">
        <f>INDEX($CD$66:$CD$107,MATCH($CH142,$CE$66:$CE$107,0))</f>
        <v>DATA_Class_Base26</v>
      </c>
      <c r="CH141" s="6" t="s">
        <v>366</v>
      </c>
    </row>
    <row r="142" spans="1:86">
      <c r="A142">
        <f t="shared" si="162"/>
        <v>3073200</v>
      </c>
      <c r="B142" s="6" t="s">
        <v>294</v>
      </c>
      <c r="C142">
        <v>0</v>
      </c>
      <c r="D142">
        <v>7</v>
      </c>
      <c r="E142">
        <v>2</v>
      </c>
      <c r="F142">
        <v>3</v>
      </c>
      <c r="G142" s="3" t="s">
        <v>313</v>
      </c>
      <c r="H142" s="3" t="s">
        <v>313</v>
      </c>
      <c r="I142">
        <v>0</v>
      </c>
      <c r="J142" s="2" t="s">
        <v>314</v>
      </c>
      <c r="K142" s="2">
        <f t="shared" si="179"/>
        <v>3</v>
      </c>
      <c r="L142" s="2">
        <f t="shared" si="163"/>
        <v>1.5</v>
      </c>
      <c r="M142" s="2">
        <f t="shared" si="164"/>
        <v>1.2</v>
      </c>
      <c r="N142" s="2">
        <v>10</v>
      </c>
      <c r="O142" s="2">
        <f t="shared" ref="O142:T142" si="190">ROUND(AL142*(1+$AX142),2)</f>
        <v>172.2</v>
      </c>
      <c r="P142" s="2">
        <f t="shared" si="190"/>
        <v>8.7799999999999994</v>
      </c>
      <c r="Q142" s="2">
        <f t="shared" si="190"/>
        <v>4217.1400000000003</v>
      </c>
      <c r="R142" s="2">
        <f t="shared" si="190"/>
        <v>215.07</v>
      </c>
      <c r="S142" s="2">
        <f t="shared" si="190"/>
        <v>86.1</v>
      </c>
      <c r="T142" s="2">
        <f t="shared" si="190"/>
        <v>6.46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17">
        <v>332002</v>
      </c>
      <c r="AA142" s="14" t="s">
        <v>440</v>
      </c>
      <c r="AB142" s="15" t="s">
        <v>368</v>
      </c>
      <c r="AC142" s="2">
        <v>3083200</v>
      </c>
      <c r="AD142" s="2">
        <v>0</v>
      </c>
      <c r="AE142" s="2">
        <v>1</v>
      </c>
      <c r="AF142" s="2">
        <f t="shared" si="183"/>
        <v>3063200</v>
      </c>
      <c r="AG142" s="2">
        <v>1</v>
      </c>
      <c r="AH142" s="2"/>
      <c r="AI142">
        <v>1</v>
      </c>
      <c r="AJ142" s="1">
        <f t="shared" si="157"/>
        <v>171.62911839753596</v>
      </c>
      <c r="AK142">
        <v>7</v>
      </c>
      <c r="AL142">
        <f t="shared" si="167"/>
        <v>172.19999999999996</v>
      </c>
      <c r="AM142">
        <f t="shared" si="168"/>
        <v>8.7821999999999978</v>
      </c>
      <c r="AN142">
        <f t="shared" si="169"/>
        <v>4217.1428571428569</v>
      </c>
      <c r="AO142">
        <f t="shared" si="170"/>
        <v>215.07428571428568</v>
      </c>
      <c r="AP142">
        <f t="shared" si="171"/>
        <v>86.09999999999998</v>
      </c>
      <c r="AQ142">
        <f t="shared" si="172"/>
        <v>6.4574999999999987</v>
      </c>
      <c r="AR142">
        <f t="shared" si="174"/>
        <v>1.5</v>
      </c>
      <c r="AS142">
        <f t="shared" si="99"/>
        <v>1.2</v>
      </c>
      <c r="AT142">
        <f t="shared" si="100"/>
        <v>3</v>
      </c>
      <c r="AU142">
        <f t="shared" si="188"/>
        <v>2003</v>
      </c>
      <c r="AV142" s="1">
        <v>0</v>
      </c>
      <c r="AW142">
        <v>3</v>
      </c>
      <c r="AX142">
        <v>0</v>
      </c>
      <c r="AZ142">
        <v>2</v>
      </c>
      <c r="BA142">
        <v>3</v>
      </c>
      <c r="CG142" t="str">
        <f>INDEX($CD$66:$CD$107,MATCH($CH141,$CE$66:$CE$107,0))</f>
        <v>DATA_Class_Base25</v>
      </c>
      <c r="CH142" s="6" t="s">
        <v>369</v>
      </c>
    </row>
    <row r="143" spans="1:86">
      <c r="A143">
        <f t="shared" si="162"/>
        <v>3071401</v>
      </c>
      <c r="B143" s="6" t="s">
        <v>317</v>
      </c>
      <c r="C143">
        <v>0</v>
      </c>
      <c r="D143">
        <v>7</v>
      </c>
      <c r="E143">
        <v>4</v>
      </c>
      <c r="F143">
        <v>1</v>
      </c>
      <c r="G143" s="3" t="s">
        <v>319</v>
      </c>
      <c r="H143" s="3" t="s">
        <v>319</v>
      </c>
      <c r="I143">
        <v>0</v>
      </c>
      <c r="J143" s="2" t="s">
        <v>161</v>
      </c>
      <c r="K143" s="2">
        <f t="shared" si="179"/>
        <v>6</v>
      </c>
      <c r="L143" s="2">
        <f t="shared" si="163"/>
        <v>1.6</v>
      </c>
      <c r="M143" s="2">
        <f t="shared" si="164"/>
        <v>1.5</v>
      </c>
      <c r="N143" s="2">
        <v>10</v>
      </c>
      <c r="O143" s="2">
        <f t="shared" ref="O143:T143" si="191">ROUND(AL143*(1+$AX143),2)</f>
        <v>314.88</v>
      </c>
      <c r="P143" s="2">
        <f t="shared" si="191"/>
        <v>16.059999999999999</v>
      </c>
      <c r="Q143" s="2">
        <f t="shared" si="191"/>
        <v>2460</v>
      </c>
      <c r="R143" s="2">
        <f t="shared" si="191"/>
        <v>125.46</v>
      </c>
      <c r="S143" s="2">
        <f t="shared" si="191"/>
        <v>52.48</v>
      </c>
      <c r="T143" s="2">
        <f t="shared" si="191"/>
        <v>3.94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17">
        <v>314012</v>
      </c>
      <c r="AA143" s="51" t="s">
        <v>1719</v>
      </c>
      <c r="AB143" s="15" t="s">
        <v>368</v>
      </c>
      <c r="AC143" s="2">
        <v>3081401</v>
      </c>
      <c r="AD143" s="2">
        <v>0</v>
      </c>
      <c r="AE143" s="2">
        <v>1</v>
      </c>
      <c r="AF143" s="2">
        <f t="shared" si="183"/>
        <v>3061401</v>
      </c>
      <c r="AG143" s="2">
        <v>1</v>
      </c>
      <c r="AH143" s="2"/>
      <c r="AI143">
        <v>1</v>
      </c>
      <c r="AJ143" s="1">
        <f t="shared" si="157"/>
        <v>170.37437411028111</v>
      </c>
      <c r="AK143">
        <v>7</v>
      </c>
      <c r="AL143">
        <f t="shared" si="167"/>
        <v>314.87999999999994</v>
      </c>
      <c r="AM143">
        <f t="shared" si="168"/>
        <v>16.058879999999995</v>
      </c>
      <c r="AN143">
        <f t="shared" si="169"/>
        <v>2460</v>
      </c>
      <c r="AO143">
        <f t="shared" si="170"/>
        <v>125.46</v>
      </c>
      <c r="AP143">
        <f t="shared" si="171"/>
        <v>52.47999999999999</v>
      </c>
      <c r="AQ143">
        <f t="shared" si="172"/>
        <v>3.9359999999999991</v>
      </c>
      <c r="AR143">
        <f t="shared" si="174"/>
        <v>1.6</v>
      </c>
      <c r="AS143">
        <f t="shared" si="99"/>
        <v>1.5</v>
      </c>
      <c r="AT143">
        <f t="shared" si="100"/>
        <v>6</v>
      </c>
      <c r="AU143">
        <f t="shared" si="188"/>
        <v>4013</v>
      </c>
      <c r="AV143" s="1">
        <v>1</v>
      </c>
      <c r="AW143">
        <v>3</v>
      </c>
      <c r="AX143">
        <v>0</v>
      </c>
      <c r="AZ143">
        <v>4</v>
      </c>
      <c r="BA143">
        <v>3</v>
      </c>
      <c r="CG143" t="str">
        <f t="shared" si="176"/>
        <v>DATA_Class_Base27</v>
      </c>
      <c r="CH143" s="6" t="s">
        <v>371</v>
      </c>
    </row>
    <row r="144" spans="1:86">
      <c r="A144">
        <f t="shared" si="162"/>
        <v>3073402</v>
      </c>
      <c r="B144" s="6" t="s">
        <v>323</v>
      </c>
      <c r="C144">
        <v>0</v>
      </c>
      <c r="D144">
        <v>7</v>
      </c>
      <c r="E144">
        <v>4</v>
      </c>
      <c r="F144">
        <v>3</v>
      </c>
      <c r="G144" s="3" t="s">
        <v>325</v>
      </c>
      <c r="H144" s="3" t="s">
        <v>325</v>
      </c>
      <c r="I144" s="2">
        <v>0</v>
      </c>
      <c r="J144" s="2" t="s">
        <v>250</v>
      </c>
      <c r="K144" s="2">
        <f t="shared" si="179"/>
        <v>6</v>
      </c>
      <c r="L144" s="2">
        <f t="shared" si="163"/>
        <v>1.5</v>
      </c>
      <c r="M144" s="2">
        <f t="shared" si="164"/>
        <v>1.5</v>
      </c>
      <c r="N144" s="2">
        <v>10</v>
      </c>
      <c r="O144" s="2">
        <f t="shared" ref="O144:T144" si="192">ROUND(AL144*(1+$AX144),2)</f>
        <v>319.8</v>
      </c>
      <c r="P144" s="2">
        <f t="shared" si="192"/>
        <v>16.309999999999999</v>
      </c>
      <c r="Q144" s="2">
        <f t="shared" si="192"/>
        <v>2270.77</v>
      </c>
      <c r="R144" s="2">
        <f t="shared" si="192"/>
        <v>115.81</v>
      </c>
      <c r="S144" s="2">
        <f t="shared" si="192"/>
        <v>45.69</v>
      </c>
      <c r="T144" s="2">
        <f t="shared" si="192"/>
        <v>3.43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17">
        <v>334022</v>
      </c>
      <c r="AA144" s="14" t="s">
        <v>442</v>
      </c>
      <c r="AB144" s="15" t="s">
        <v>368</v>
      </c>
      <c r="AC144" s="2">
        <v>3083402</v>
      </c>
      <c r="AD144" s="2">
        <v>0</v>
      </c>
      <c r="AE144" s="2">
        <v>1</v>
      </c>
      <c r="AF144" s="2">
        <f t="shared" si="183"/>
        <v>3063402</v>
      </c>
      <c r="AG144" s="2">
        <v>1</v>
      </c>
      <c r="AH144" s="2"/>
      <c r="AI144">
        <v>1</v>
      </c>
      <c r="AJ144" s="1">
        <f t="shared" si="157"/>
        <v>170.12302725589618</v>
      </c>
      <c r="AK144">
        <v>7</v>
      </c>
      <c r="AL144">
        <f t="shared" si="167"/>
        <v>319.79999999999995</v>
      </c>
      <c r="AM144">
        <f t="shared" si="168"/>
        <v>16.309799999999996</v>
      </c>
      <c r="AN144">
        <f t="shared" si="169"/>
        <v>2270.7692307692305</v>
      </c>
      <c r="AO144">
        <f t="shared" si="170"/>
        <v>115.80923076923075</v>
      </c>
      <c r="AP144">
        <f t="shared" si="171"/>
        <v>45.685714285714276</v>
      </c>
      <c r="AQ144">
        <f t="shared" si="172"/>
        <v>3.4264285714285707</v>
      </c>
      <c r="AR144">
        <f t="shared" si="174"/>
        <v>1.5</v>
      </c>
      <c r="AS144">
        <f t="shared" si="99"/>
        <v>1.5</v>
      </c>
      <c r="AT144">
        <f t="shared" si="100"/>
        <v>6</v>
      </c>
      <c r="AU144">
        <f t="shared" si="188"/>
        <v>4023</v>
      </c>
      <c r="AV144" s="1">
        <v>2</v>
      </c>
      <c r="AW144">
        <v>3</v>
      </c>
      <c r="AX144">
        <v>0</v>
      </c>
      <c r="AZ144">
        <v>4</v>
      </c>
      <c r="BA144">
        <v>3</v>
      </c>
      <c r="CG144" t="str">
        <f t="shared" si="176"/>
        <v>DATA_Class_Base13</v>
      </c>
      <c r="CH144" s="6" t="s">
        <v>295</v>
      </c>
    </row>
    <row r="145" spans="1:86">
      <c r="A145">
        <f t="shared" si="162"/>
        <v>3073501</v>
      </c>
      <c r="B145" s="6" t="s">
        <v>332</v>
      </c>
      <c r="C145">
        <v>0</v>
      </c>
      <c r="D145">
        <v>7</v>
      </c>
      <c r="E145">
        <v>5</v>
      </c>
      <c r="F145">
        <v>3</v>
      </c>
      <c r="G145" s="3" t="s">
        <v>333</v>
      </c>
      <c r="H145" s="3" t="s">
        <v>333</v>
      </c>
      <c r="I145">
        <v>0</v>
      </c>
      <c r="J145" s="2" t="s">
        <v>334</v>
      </c>
      <c r="K145" s="2">
        <f t="shared" si="179"/>
        <v>6</v>
      </c>
      <c r="L145" s="2">
        <f t="shared" si="163"/>
        <v>1.6</v>
      </c>
      <c r="M145" s="2">
        <f t="shared" si="164"/>
        <v>2</v>
      </c>
      <c r="N145" s="2">
        <v>10</v>
      </c>
      <c r="O145" s="2">
        <f t="shared" ref="O145:T145" si="193">ROUND(AL145*(1+$AX145),2)</f>
        <v>341.12</v>
      </c>
      <c r="P145" s="2">
        <f t="shared" si="193"/>
        <v>17.399999999999999</v>
      </c>
      <c r="Q145" s="2">
        <f t="shared" si="193"/>
        <v>2270.77</v>
      </c>
      <c r="R145" s="2">
        <f t="shared" si="193"/>
        <v>115.81</v>
      </c>
      <c r="S145" s="2">
        <f t="shared" si="193"/>
        <v>48.73</v>
      </c>
      <c r="T145" s="2">
        <f t="shared" si="193"/>
        <v>3.65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17">
        <v>345012</v>
      </c>
      <c r="AA145" s="14" t="s">
        <v>443</v>
      </c>
      <c r="AB145" s="15" t="s">
        <v>368</v>
      </c>
      <c r="AC145">
        <v>3083501</v>
      </c>
      <c r="AD145" s="2">
        <v>0</v>
      </c>
      <c r="AE145" s="2">
        <v>1</v>
      </c>
      <c r="AF145" s="2">
        <f t="shared" si="183"/>
        <v>3063501</v>
      </c>
      <c r="AG145" s="2">
        <v>1</v>
      </c>
      <c r="AH145" s="2"/>
      <c r="AI145">
        <v>1</v>
      </c>
      <c r="AJ145" s="1">
        <f t="shared" si="157"/>
        <v>170.23560821445349</v>
      </c>
      <c r="AK145">
        <v>7</v>
      </c>
      <c r="AL145">
        <f t="shared" si="167"/>
        <v>341.12</v>
      </c>
      <c r="AM145">
        <f t="shared" si="168"/>
        <v>17.397119999999997</v>
      </c>
      <c r="AN145">
        <f t="shared" si="169"/>
        <v>2270.7692307692305</v>
      </c>
      <c r="AO145">
        <f t="shared" si="170"/>
        <v>115.80923076923075</v>
      </c>
      <c r="AP145">
        <f t="shared" si="171"/>
        <v>48.731428571428573</v>
      </c>
      <c r="AQ145">
        <f t="shared" si="172"/>
        <v>3.6548571428571428</v>
      </c>
      <c r="AR145">
        <f t="shared" si="174"/>
        <v>1.6</v>
      </c>
      <c r="AS145">
        <f t="shared" ref="AS145:AS208" si="194">ROUND(IF(INDEX($BO$5:$BO$60,MATCH($AU145,$BB$5:$BB$60,0))&lt;2,INDEX($BO$5:$BO$60,MATCH($AU145,$BB$5:$BB$60,0))+0.2,2),1)</f>
        <v>2</v>
      </c>
      <c r="AT145">
        <f t="shared" ref="AT145:AT208" si="195">INDEX($BK$5:$BK$60,MATCH($AU145,$BB$5:$BB$60,0))</f>
        <v>6</v>
      </c>
      <c r="AU145">
        <f t="shared" si="188"/>
        <v>5014</v>
      </c>
      <c r="AV145" s="1">
        <v>1</v>
      </c>
      <c r="AW145">
        <v>3</v>
      </c>
      <c r="AX145">
        <v>0</v>
      </c>
      <c r="AZ145">
        <v>5</v>
      </c>
      <c r="BA145">
        <v>4</v>
      </c>
      <c r="CG145" t="str">
        <f t="shared" si="176"/>
        <v>DATA_Class_Base14</v>
      </c>
      <c r="CH145" s="6" t="s">
        <v>300</v>
      </c>
    </row>
    <row r="146" spans="1:86">
      <c r="A146">
        <f t="shared" si="162"/>
        <v>3073600</v>
      </c>
      <c r="B146" s="6" t="s">
        <v>337</v>
      </c>
      <c r="C146">
        <v>0</v>
      </c>
      <c r="D146">
        <v>7</v>
      </c>
      <c r="E146">
        <v>6</v>
      </c>
      <c r="F146">
        <v>3</v>
      </c>
      <c r="G146" s="3" t="s">
        <v>338</v>
      </c>
      <c r="H146" s="3" t="s">
        <v>338</v>
      </c>
      <c r="I146" s="2">
        <v>0</v>
      </c>
      <c r="J146" s="2" t="s">
        <v>339</v>
      </c>
      <c r="K146" s="2">
        <f t="shared" si="179"/>
        <v>3</v>
      </c>
      <c r="L146" s="2">
        <f t="shared" si="163"/>
        <v>1.4000000000000001</v>
      </c>
      <c r="M146" s="2">
        <f t="shared" si="164"/>
        <v>1.9000000000000001</v>
      </c>
      <c r="N146" s="2">
        <v>10</v>
      </c>
      <c r="O146" s="2">
        <f t="shared" ref="O146:T146" si="196">ROUND(AL146*(1+$AX146),2)</f>
        <v>252.56</v>
      </c>
      <c r="P146" s="2">
        <f t="shared" si="196"/>
        <v>12.88</v>
      </c>
      <c r="Q146" s="2">
        <f t="shared" si="196"/>
        <v>2683.64</v>
      </c>
      <c r="R146" s="2">
        <f t="shared" si="196"/>
        <v>136.87</v>
      </c>
      <c r="S146" s="2">
        <f t="shared" si="196"/>
        <v>63.14</v>
      </c>
      <c r="T146" s="2">
        <f t="shared" si="196"/>
        <v>4.74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17">
        <v>346002</v>
      </c>
      <c r="AA146" s="14" t="s">
        <v>444</v>
      </c>
      <c r="AB146" s="15" t="s">
        <v>368</v>
      </c>
      <c r="AC146">
        <v>3083600</v>
      </c>
      <c r="AD146" s="2">
        <v>0</v>
      </c>
      <c r="AE146" s="2">
        <v>1</v>
      </c>
      <c r="AF146" s="2">
        <f t="shared" si="183"/>
        <v>3063600</v>
      </c>
      <c r="AG146" s="2">
        <v>1</v>
      </c>
      <c r="AH146" s="2"/>
      <c r="AI146">
        <v>1</v>
      </c>
      <c r="AJ146" s="1">
        <f t="shared" si="157"/>
        <v>170.77022890675201</v>
      </c>
      <c r="AK146">
        <v>7</v>
      </c>
      <c r="AL146">
        <f t="shared" si="167"/>
        <v>252.55999999999995</v>
      </c>
      <c r="AM146">
        <f t="shared" si="168"/>
        <v>12.880559999999996</v>
      </c>
      <c r="AN146">
        <f t="shared" si="169"/>
        <v>2683.6363636363631</v>
      </c>
      <c r="AO146">
        <f t="shared" si="170"/>
        <v>136.8654545454545</v>
      </c>
      <c r="AP146">
        <f t="shared" si="171"/>
        <v>63.139999999999986</v>
      </c>
      <c r="AQ146">
        <f t="shared" si="172"/>
        <v>4.7354999999999992</v>
      </c>
      <c r="AR146">
        <f t="shared" si="174"/>
        <v>1.4</v>
      </c>
      <c r="AS146">
        <f t="shared" si="194"/>
        <v>1.9</v>
      </c>
      <c r="AT146">
        <f t="shared" si="195"/>
        <v>3</v>
      </c>
      <c r="AU146">
        <f t="shared" si="188"/>
        <v>6004</v>
      </c>
      <c r="AV146" s="1">
        <v>0</v>
      </c>
      <c r="AW146">
        <v>3</v>
      </c>
      <c r="AX146">
        <v>0</v>
      </c>
      <c r="AZ146">
        <v>6</v>
      </c>
      <c r="BA146">
        <v>4</v>
      </c>
      <c r="CG146" t="str">
        <f t="shared" si="176"/>
        <v>DATA_Class_Base15</v>
      </c>
      <c r="CH146" s="6" t="s">
        <v>306</v>
      </c>
    </row>
    <row r="147" spans="1:86">
      <c r="A147">
        <f t="shared" si="162"/>
        <v>3071602</v>
      </c>
      <c r="B147" s="6" t="s">
        <v>343</v>
      </c>
      <c r="C147">
        <v>0</v>
      </c>
      <c r="D147">
        <v>7</v>
      </c>
      <c r="E147">
        <v>6</v>
      </c>
      <c r="F147">
        <v>1</v>
      </c>
      <c r="G147" s="3" t="s">
        <v>344</v>
      </c>
      <c r="H147" s="3" t="s">
        <v>344</v>
      </c>
      <c r="I147" t="s">
        <v>345</v>
      </c>
      <c r="J147" s="2" t="s">
        <v>346</v>
      </c>
      <c r="K147" s="2">
        <f t="shared" si="179"/>
        <v>6</v>
      </c>
      <c r="L147" s="2">
        <f t="shared" si="163"/>
        <v>1.8</v>
      </c>
      <c r="M147" s="2">
        <f t="shared" si="164"/>
        <v>2</v>
      </c>
      <c r="N147" s="2">
        <v>10</v>
      </c>
      <c r="O147" s="2">
        <f t="shared" ref="O147:T147" si="197">ROUND(AL147*(1+$AX147),2)</f>
        <v>295.2</v>
      </c>
      <c r="P147" s="2">
        <f t="shared" si="197"/>
        <v>15.06</v>
      </c>
      <c r="Q147" s="2">
        <f t="shared" si="197"/>
        <v>2952</v>
      </c>
      <c r="R147" s="2">
        <f t="shared" si="197"/>
        <v>150.55000000000001</v>
      </c>
      <c r="S147" s="2">
        <f t="shared" si="197"/>
        <v>59.04</v>
      </c>
      <c r="T147" s="2">
        <f t="shared" si="197"/>
        <v>4.43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17">
        <v>346022</v>
      </c>
      <c r="AA147" s="14" t="s">
        <v>445</v>
      </c>
      <c r="AB147" s="15" t="s">
        <v>368</v>
      </c>
      <c r="AC147">
        <v>3081602</v>
      </c>
      <c r="AD147" s="2">
        <v>0</v>
      </c>
      <c r="AE147" s="2">
        <v>1</v>
      </c>
      <c r="AF147" s="2">
        <f t="shared" si="183"/>
        <v>3061602</v>
      </c>
      <c r="AG147" s="2">
        <v>1</v>
      </c>
      <c r="AH147" s="2"/>
      <c r="AI147">
        <v>1</v>
      </c>
      <c r="AJ147" s="1">
        <f t="shared" si="157"/>
        <v>170.617759565136</v>
      </c>
      <c r="AK147">
        <v>7</v>
      </c>
      <c r="AL147">
        <f t="shared" si="167"/>
        <v>295.2</v>
      </c>
      <c r="AM147">
        <f t="shared" si="168"/>
        <v>15.055199999999999</v>
      </c>
      <c r="AN147">
        <f t="shared" si="169"/>
        <v>2951.9999999999995</v>
      </c>
      <c r="AO147">
        <f t="shared" si="170"/>
        <v>150.55199999999996</v>
      </c>
      <c r="AP147">
        <f t="shared" si="171"/>
        <v>59.04</v>
      </c>
      <c r="AQ147">
        <f t="shared" si="172"/>
        <v>4.4279999999999999</v>
      </c>
      <c r="AR147">
        <f t="shared" si="174"/>
        <v>1.8</v>
      </c>
      <c r="AS147">
        <f t="shared" si="194"/>
        <v>2</v>
      </c>
      <c r="AT147">
        <f t="shared" si="195"/>
        <v>6</v>
      </c>
      <c r="AU147">
        <f t="shared" si="188"/>
        <v>6024</v>
      </c>
      <c r="AV147" s="1">
        <v>2</v>
      </c>
      <c r="AW147">
        <v>3</v>
      </c>
      <c r="AX147">
        <v>0</v>
      </c>
      <c r="AZ147">
        <v>6</v>
      </c>
      <c r="BA147">
        <v>4</v>
      </c>
      <c r="CG147" t="str">
        <f t="shared" si="176"/>
        <v>DATA_Class_Base16</v>
      </c>
      <c r="CH147" s="6" t="s">
        <v>312</v>
      </c>
    </row>
    <row r="148" spans="1:86">
      <c r="A148">
        <f t="shared" si="162"/>
        <v>3072300</v>
      </c>
      <c r="B148" s="6" t="s">
        <v>350</v>
      </c>
      <c r="C148">
        <v>0</v>
      </c>
      <c r="D148">
        <v>7</v>
      </c>
      <c r="E148">
        <v>3</v>
      </c>
      <c r="F148">
        <v>2</v>
      </c>
      <c r="G148" s="3" t="s">
        <v>351</v>
      </c>
      <c r="H148" s="3" t="s">
        <v>351</v>
      </c>
      <c r="I148" s="2">
        <v>0</v>
      </c>
      <c r="J148" s="2" t="s">
        <v>352</v>
      </c>
      <c r="K148" s="2">
        <v>6</v>
      </c>
      <c r="L148" s="2">
        <f t="shared" si="163"/>
        <v>1.3</v>
      </c>
      <c r="M148" s="2">
        <f t="shared" si="164"/>
        <v>2</v>
      </c>
      <c r="N148" s="2">
        <v>10</v>
      </c>
      <c r="O148" s="2">
        <f t="shared" ref="O148:T148" si="198">ROUND(AL148*(1+$AX148),2)</f>
        <v>245.18</v>
      </c>
      <c r="P148" s="2">
        <f t="shared" si="198"/>
        <v>12.5</v>
      </c>
      <c r="Q148" s="2">
        <f t="shared" si="198"/>
        <v>2566.96</v>
      </c>
      <c r="R148" s="2">
        <f t="shared" si="198"/>
        <v>130.91</v>
      </c>
      <c r="S148" s="2">
        <f t="shared" si="198"/>
        <v>61.3</v>
      </c>
      <c r="T148" s="2">
        <f t="shared" si="198"/>
        <v>4.5999999999999996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17">
        <v>353002</v>
      </c>
      <c r="AA148" s="14" t="s">
        <v>446</v>
      </c>
      <c r="AB148" s="15" t="s">
        <v>368</v>
      </c>
      <c r="AC148">
        <v>3082300</v>
      </c>
      <c r="AD148" s="2">
        <v>0</v>
      </c>
      <c r="AE148" s="2">
        <v>1</v>
      </c>
      <c r="AF148" s="2">
        <f t="shared" si="183"/>
        <v>3062300</v>
      </c>
      <c r="AG148" s="2">
        <v>1</v>
      </c>
      <c r="AH148" s="2"/>
      <c r="AI148">
        <v>1</v>
      </c>
      <c r="AJ148" s="1">
        <f t="shared" si="157"/>
        <v>170.70158399437102</v>
      </c>
      <c r="AK148">
        <v>7</v>
      </c>
      <c r="AL148">
        <f t="shared" si="167"/>
        <v>245.17999999999998</v>
      </c>
      <c r="AM148">
        <f t="shared" si="168"/>
        <v>12.504179999999998</v>
      </c>
      <c r="AN148">
        <f t="shared" si="169"/>
        <v>2566.9565217391305</v>
      </c>
      <c r="AO148">
        <f t="shared" si="170"/>
        <v>130.91478260869565</v>
      </c>
      <c r="AP148">
        <f t="shared" si="171"/>
        <v>61.294999999999995</v>
      </c>
      <c r="AQ148">
        <f t="shared" si="172"/>
        <v>4.5971249999999992</v>
      </c>
      <c r="AR148">
        <f t="shared" si="174"/>
        <v>1.3</v>
      </c>
      <c r="AS148">
        <f t="shared" si="194"/>
        <v>2</v>
      </c>
      <c r="AT148">
        <f t="shared" si="195"/>
        <v>3</v>
      </c>
      <c r="AU148">
        <f t="shared" si="188"/>
        <v>3005</v>
      </c>
      <c r="AV148" s="1">
        <v>0</v>
      </c>
      <c r="AW148">
        <v>3</v>
      </c>
      <c r="AX148">
        <v>0</v>
      </c>
      <c r="AZ148">
        <v>3</v>
      </c>
      <c r="BA148">
        <v>5</v>
      </c>
      <c r="CG148" t="str">
        <f t="shared" si="176"/>
        <v>DATA_Class_Base17</v>
      </c>
      <c r="CH148" s="6" t="s">
        <v>318</v>
      </c>
    </row>
    <row r="149" spans="1:86">
      <c r="A149">
        <f t="shared" si="162"/>
        <v>3073302</v>
      </c>
      <c r="B149" s="6" t="s">
        <v>356</v>
      </c>
      <c r="C149">
        <v>0</v>
      </c>
      <c r="D149">
        <v>7</v>
      </c>
      <c r="E149">
        <v>3</v>
      </c>
      <c r="F149">
        <v>3</v>
      </c>
      <c r="G149" s="3" t="s">
        <v>357</v>
      </c>
      <c r="H149" s="3" t="s">
        <v>357</v>
      </c>
      <c r="I149" s="2">
        <v>0</v>
      </c>
      <c r="J149" s="2" t="s">
        <v>358</v>
      </c>
      <c r="K149" s="2">
        <f t="shared" ref="K149:K162" si="199">AT149</f>
        <v>3</v>
      </c>
      <c r="L149" s="2">
        <f t="shared" si="163"/>
        <v>1.4000000000000001</v>
      </c>
      <c r="M149" s="2">
        <f t="shared" si="164"/>
        <v>2</v>
      </c>
      <c r="N149" s="2">
        <v>10</v>
      </c>
      <c r="O149" s="2">
        <f t="shared" ref="O149:T149" si="200">ROUND(AL149*(1+$AX149),2)</f>
        <v>275.52</v>
      </c>
      <c r="P149" s="2">
        <f t="shared" si="200"/>
        <v>14.05</v>
      </c>
      <c r="Q149" s="2">
        <f t="shared" si="200"/>
        <v>2460</v>
      </c>
      <c r="R149" s="2">
        <f t="shared" si="200"/>
        <v>125.46</v>
      </c>
      <c r="S149" s="2">
        <f t="shared" si="200"/>
        <v>68.88</v>
      </c>
      <c r="T149" s="2">
        <f t="shared" si="200"/>
        <v>5.17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17">
        <v>353022</v>
      </c>
      <c r="AA149" s="14" t="s">
        <v>447</v>
      </c>
      <c r="AB149" s="15" t="s">
        <v>368</v>
      </c>
      <c r="AC149">
        <v>3083302</v>
      </c>
      <c r="AD149" s="2">
        <v>0</v>
      </c>
      <c r="AE149" s="2">
        <v>1</v>
      </c>
      <c r="AF149" s="2">
        <f t="shared" si="183"/>
        <v>3063302</v>
      </c>
      <c r="AG149" s="2">
        <v>1</v>
      </c>
      <c r="AH149" s="2"/>
      <c r="AI149">
        <v>1</v>
      </c>
      <c r="AJ149" s="1">
        <f t="shared" si="157"/>
        <v>170.98414436302079</v>
      </c>
      <c r="AK149">
        <v>7</v>
      </c>
      <c r="AL149">
        <f t="shared" si="167"/>
        <v>275.51999999999992</v>
      </c>
      <c r="AM149">
        <f t="shared" si="168"/>
        <v>14.051519999999995</v>
      </c>
      <c r="AN149">
        <f t="shared" si="169"/>
        <v>2460</v>
      </c>
      <c r="AO149">
        <f t="shared" si="170"/>
        <v>125.46</v>
      </c>
      <c r="AP149">
        <f t="shared" si="171"/>
        <v>68.879999999999981</v>
      </c>
      <c r="AQ149">
        <f t="shared" si="172"/>
        <v>5.1659999999999986</v>
      </c>
      <c r="AR149">
        <f t="shared" si="174"/>
        <v>1.4</v>
      </c>
      <c r="AS149">
        <f t="shared" si="194"/>
        <v>2</v>
      </c>
      <c r="AT149">
        <f t="shared" si="195"/>
        <v>3</v>
      </c>
      <c r="AU149">
        <f t="shared" si="188"/>
        <v>3025</v>
      </c>
      <c r="AV149" s="1">
        <v>2</v>
      </c>
      <c r="AW149">
        <v>3</v>
      </c>
      <c r="AX149">
        <v>0</v>
      </c>
      <c r="AZ149">
        <v>3</v>
      </c>
      <c r="BA149">
        <v>5</v>
      </c>
      <c r="CG149" t="str">
        <f t="shared" si="176"/>
        <v>DATA_Class_Base18</v>
      </c>
      <c r="CH149" s="6" t="s">
        <v>324</v>
      </c>
    </row>
    <row r="150" spans="1:86">
      <c r="A150">
        <f t="shared" si="162"/>
        <v>3072400</v>
      </c>
      <c r="B150" s="6" t="s">
        <v>362</v>
      </c>
      <c r="C150">
        <v>0</v>
      </c>
      <c r="D150">
        <v>7</v>
      </c>
      <c r="E150">
        <v>4</v>
      </c>
      <c r="F150">
        <v>2</v>
      </c>
      <c r="G150" s="3" t="s">
        <v>363</v>
      </c>
      <c r="H150" s="3" t="s">
        <v>363</v>
      </c>
      <c r="I150">
        <v>0</v>
      </c>
      <c r="J150" s="2" t="s">
        <v>364</v>
      </c>
      <c r="K150" s="2">
        <f t="shared" si="199"/>
        <v>6</v>
      </c>
      <c r="L150" s="2">
        <f t="shared" si="163"/>
        <v>1.4000000000000001</v>
      </c>
      <c r="M150" s="2">
        <f t="shared" si="164"/>
        <v>2</v>
      </c>
      <c r="N150" s="2">
        <v>10</v>
      </c>
      <c r="O150" s="2">
        <f t="shared" ref="O150:T150" si="201">ROUND(AL150*(1+$AX150),2)</f>
        <v>287</v>
      </c>
      <c r="P150" s="2">
        <f t="shared" si="201"/>
        <v>14.64</v>
      </c>
      <c r="Q150" s="2">
        <f t="shared" si="201"/>
        <v>2361.6</v>
      </c>
      <c r="R150" s="2">
        <f t="shared" si="201"/>
        <v>120.44</v>
      </c>
      <c r="S150" s="2">
        <f t="shared" si="201"/>
        <v>52.18</v>
      </c>
      <c r="T150" s="2">
        <f t="shared" si="201"/>
        <v>3.91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17">
        <v>354002</v>
      </c>
      <c r="AA150" s="14" t="s">
        <v>448</v>
      </c>
      <c r="AB150" s="15" t="s">
        <v>368</v>
      </c>
      <c r="AC150">
        <v>3082400</v>
      </c>
      <c r="AD150" s="2">
        <v>0</v>
      </c>
      <c r="AE150" s="2">
        <v>1</v>
      </c>
      <c r="AF150" s="2">
        <f t="shared" si="183"/>
        <v>3062400</v>
      </c>
      <c r="AG150" s="2">
        <v>1</v>
      </c>
      <c r="AH150" s="2"/>
      <c r="AI150">
        <v>1</v>
      </c>
      <c r="AJ150" s="1">
        <f t="shared" si="157"/>
        <v>170.36332763260549</v>
      </c>
      <c r="AK150">
        <v>7</v>
      </c>
      <c r="AL150">
        <f t="shared" si="167"/>
        <v>287</v>
      </c>
      <c r="AM150">
        <f t="shared" si="168"/>
        <v>14.636999999999999</v>
      </c>
      <c r="AN150">
        <f t="shared" si="169"/>
        <v>2361.6</v>
      </c>
      <c r="AO150">
        <f t="shared" si="170"/>
        <v>120.44159999999999</v>
      </c>
      <c r="AP150">
        <f t="shared" si="171"/>
        <v>52.18181818181818</v>
      </c>
      <c r="AQ150">
        <f t="shared" si="172"/>
        <v>3.9136363636363631</v>
      </c>
      <c r="AR150">
        <f t="shared" si="174"/>
        <v>1.4</v>
      </c>
      <c r="AS150">
        <f t="shared" si="194"/>
        <v>2</v>
      </c>
      <c r="AT150">
        <f t="shared" si="195"/>
        <v>6</v>
      </c>
      <c r="AU150">
        <f t="shared" si="188"/>
        <v>4005</v>
      </c>
      <c r="AV150" s="1">
        <v>0</v>
      </c>
      <c r="AW150">
        <v>3</v>
      </c>
      <c r="AX150">
        <v>0</v>
      </c>
      <c r="AZ150">
        <v>4</v>
      </c>
      <c r="BA150">
        <v>5</v>
      </c>
      <c r="CG150" t="str">
        <f t="shared" si="176"/>
        <v>DATA_Class_Base19</v>
      </c>
      <c r="CH150" s="6" t="s">
        <v>331</v>
      </c>
    </row>
    <row r="151" spans="1:86">
      <c r="A151">
        <f t="shared" si="162"/>
        <v>3081202</v>
      </c>
      <c r="B151" s="6" t="s">
        <v>278</v>
      </c>
      <c r="C151">
        <v>0</v>
      </c>
      <c r="D151">
        <v>8</v>
      </c>
      <c r="E151">
        <v>2</v>
      </c>
      <c r="F151">
        <v>1</v>
      </c>
      <c r="G151" s="3" t="s">
        <v>279</v>
      </c>
      <c r="H151" s="3" t="s">
        <v>279</v>
      </c>
      <c r="I151">
        <v>0</v>
      </c>
      <c r="J151" s="2" t="s">
        <v>280</v>
      </c>
      <c r="K151" s="2">
        <f t="shared" si="199"/>
        <v>3</v>
      </c>
      <c r="L151" s="2">
        <f t="shared" si="163"/>
        <v>1.6</v>
      </c>
      <c r="M151" s="2">
        <f t="shared" si="164"/>
        <v>2</v>
      </c>
      <c r="N151" s="2">
        <v>10</v>
      </c>
      <c r="O151" s="2">
        <f t="shared" ref="O151:T151" si="202">ROUND(AL151*(1+$AX151),2)</f>
        <v>235.52</v>
      </c>
      <c r="P151" s="2">
        <f t="shared" si="202"/>
        <v>12.01</v>
      </c>
      <c r="Q151" s="2">
        <f t="shared" si="202"/>
        <v>4140</v>
      </c>
      <c r="R151" s="2">
        <f t="shared" si="202"/>
        <v>211.14</v>
      </c>
      <c r="S151" s="2">
        <f t="shared" si="202"/>
        <v>87.23</v>
      </c>
      <c r="T151" s="2">
        <f t="shared" si="202"/>
        <v>6.54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17">
        <v>312022</v>
      </c>
      <c r="AA151" s="14" t="s">
        <v>449</v>
      </c>
      <c r="AB151" s="15" t="s">
        <v>368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/>
      <c r="AI151">
        <v>1</v>
      </c>
      <c r="AJ151" s="1">
        <f t="shared" si="157"/>
        <v>216.09583752801584</v>
      </c>
      <c r="AK151">
        <v>8</v>
      </c>
      <c r="AL151">
        <f t="shared" si="167"/>
        <v>235.52000000000004</v>
      </c>
      <c r="AM151">
        <f t="shared" si="168"/>
        <v>12.011520000000001</v>
      </c>
      <c r="AN151">
        <f t="shared" si="169"/>
        <v>4140</v>
      </c>
      <c r="AO151">
        <f t="shared" si="170"/>
        <v>211.14</v>
      </c>
      <c r="AP151">
        <f t="shared" si="171"/>
        <v>87.229629629629642</v>
      </c>
      <c r="AQ151">
        <f t="shared" si="172"/>
        <v>6.5422222222222226</v>
      </c>
      <c r="AR151">
        <f t="shared" si="174"/>
        <v>1.6</v>
      </c>
      <c r="AS151">
        <f t="shared" si="194"/>
        <v>2</v>
      </c>
      <c r="AT151">
        <f t="shared" si="195"/>
        <v>3</v>
      </c>
      <c r="AU151">
        <f t="shared" si="188"/>
        <v>2021</v>
      </c>
      <c r="AV151" s="1">
        <v>2</v>
      </c>
      <c r="AW151">
        <v>3</v>
      </c>
      <c r="AX151">
        <v>0</v>
      </c>
      <c r="AZ151">
        <v>2</v>
      </c>
      <c r="BA151">
        <v>1</v>
      </c>
      <c r="CG151" t="str">
        <f t="shared" si="176"/>
        <v>DATA_Class_Base20</v>
      </c>
      <c r="CH151" s="6" t="s">
        <v>336</v>
      </c>
    </row>
    <row r="152" spans="1:86">
      <c r="A152">
        <f t="shared" si="162"/>
        <v>3081301</v>
      </c>
      <c r="B152" s="6" t="s">
        <v>283</v>
      </c>
      <c r="C152">
        <v>0</v>
      </c>
      <c r="D152">
        <v>8</v>
      </c>
      <c r="E152">
        <v>3</v>
      </c>
      <c r="F152">
        <v>1</v>
      </c>
      <c r="G152" s="3" t="s">
        <v>284</v>
      </c>
      <c r="H152" s="3" t="s">
        <v>284</v>
      </c>
      <c r="I152" s="2">
        <v>0</v>
      </c>
      <c r="J152" s="2" t="s">
        <v>285</v>
      </c>
      <c r="K152" s="2">
        <f t="shared" si="199"/>
        <v>3</v>
      </c>
      <c r="L152" s="2">
        <f t="shared" si="163"/>
        <v>1.3</v>
      </c>
      <c r="M152" s="2">
        <f t="shared" si="164"/>
        <v>2</v>
      </c>
      <c r="N152" s="2">
        <v>10</v>
      </c>
      <c r="O152" s="2">
        <f t="shared" ref="O152:T152" si="203">ROUND(AL152*(1+$AX152),2)</f>
        <v>263.12</v>
      </c>
      <c r="P152" s="2">
        <f t="shared" si="203"/>
        <v>13.42</v>
      </c>
      <c r="Q152" s="2">
        <f t="shared" si="203"/>
        <v>3010.91</v>
      </c>
      <c r="R152" s="2">
        <f t="shared" si="203"/>
        <v>153.56</v>
      </c>
      <c r="S152" s="2">
        <f t="shared" si="203"/>
        <v>75.180000000000007</v>
      </c>
      <c r="T152" s="2">
        <f t="shared" si="203"/>
        <v>5.64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17">
        <v>313012</v>
      </c>
      <c r="AA152" s="14" t="s">
        <v>450</v>
      </c>
      <c r="AB152" s="15" t="s">
        <v>368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/>
      <c r="AI152">
        <v>1</v>
      </c>
      <c r="AJ152" s="1">
        <f t="shared" si="157"/>
        <v>215.52667223252911</v>
      </c>
      <c r="AK152">
        <v>8</v>
      </c>
      <c r="AL152">
        <f t="shared" si="167"/>
        <v>263.12</v>
      </c>
      <c r="AM152">
        <f t="shared" si="168"/>
        <v>13.419119999999999</v>
      </c>
      <c r="AN152">
        <f t="shared" si="169"/>
        <v>3010.9090909090905</v>
      </c>
      <c r="AO152">
        <f t="shared" si="170"/>
        <v>153.55636363636361</v>
      </c>
      <c r="AP152">
        <f t="shared" si="171"/>
        <v>75.177142857142854</v>
      </c>
      <c r="AQ152">
        <f t="shared" si="172"/>
        <v>5.6382857142857139</v>
      </c>
      <c r="AR152">
        <f t="shared" si="174"/>
        <v>1.3</v>
      </c>
      <c r="AS152">
        <f t="shared" si="194"/>
        <v>2</v>
      </c>
      <c r="AT152">
        <f t="shared" si="195"/>
        <v>3</v>
      </c>
      <c r="AU152">
        <f t="shared" si="188"/>
        <v>3011</v>
      </c>
      <c r="AV152" s="1">
        <v>1</v>
      </c>
      <c r="AW152">
        <v>3</v>
      </c>
      <c r="AX152">
        <v>0</v>
      </c>
      <c r="AZ152">
        <v>3</v>
      </c>
      <c r="BA152">
        <v>1</v>
      </c>
      <c r="CG152" t="str">
        <f t="shared" si="176"/>
        <v>DATA_Class_Base21</v>
      </c>
      <c r="CH152" s="6" t="s">
        <v>342</v>
      </c>
    </row>
    <row r="153" spans="1:86">
      <c r="A153">
        <f t="shared" si="162"/>
        <v>3081502</v>
      </c>
      <c r="B153" s="6" t="s">
        <v>289</v>
      </c>
      <c r="C153">
        <v>0</v>
      </c>
      <c r="D153">
        <v>8</v>
      </c>
      <c r="E153">
        <v>5</v>
      </c>
      <c r="F153">
        <v>1</v>
      </c>
      <c r="G153" s="3" t="s">
        <v>290</v>
      </c>
      <c r="H153" s="3" t="s">
        <v>290</v>
      </c>
      <c r="I153" s="2">
        <v>0</v>
      </c>
      <c r="J153" s="2" t="s">
        <v>291</v>
      </c>
      <c r="K153" s="2">
        <f t="shared" si="199"/>
        <v>6</v>
      </c>
      <c r="L153" s="2">
        <f t="shared" si="163"/>
        <v>1.4000000000000001</v>
      </c>
      <c r="M153" s="2">
        <f t="shared" si="164"/>
        <v>2</v>
      </c>
      <c r="N153" s="2">
        <v>10</v>
      </c>
      <c r="O153" s="2">
        <f t="shared" ref="O153:T153" si="204">ROUND(AL153*(1+$AX153),2)</f>
        <v>334.88</v>
      </c>
      <c r="P153" s="2">
        <f t="shared" si="204"/>
        <v>17.079999999999998</v>
      </c>
      <c r="Q153" s="2">
        <f t="shared" si="204"/>
        <v>2547.69</v>
      </c>
      <c r="R153" s="2">
        <f t="shared" si="204"/>
        <v>129.93</v>
      </c>
      <c r="S153" s="2">
        <f t="shared" si="204"/>
        <v>51.52</v>
      </c>
      <c r="T153" s="2">
        <f t="shared" si="204"/>
        <v>3.86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17">
        <v>315022</v>
      </c>
      <c r="AA153" s="14" t="s">
        <v>451</v>
      </c>
      <c r="AB153" s="15" t="s">
        <v>368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/>
      <c r="AI153">
        <v>1</v>
      </c>
      <c r="AJ153" s="1">
        <f t="shared" si="157"/>
        <v>214.41816326638906</v>
      </c>
      <c r="AK153">
        <v>8</v>
      </c>
      <c r="AL153">
        <f t="shared" si="167"/>
        <v>334.87999999999988</v>
      </c>
      <c r="AM153">
        <f t="shared" si="168"/>
        <v>17.078879999999995</v>
      </c>
      <c r="AN153">
        <f t="shared" si="169"/>
        <v>2547.6923076923072</v>
      </c>
      <c r="AO153">
        <f t="shared" si="170"/>
        <v>129.93230769230766</v>
      </c>
      <c r="AP153">
        <f t="shared" si="171"/>
        <v>51.519999999999982</v>
      </c>
      <c r="AQ153">
        <f t="shared" si="172"/>
        <v>3.8639999999999985</v>
      </c>
      <c r="AR153">
        <f t="shared" si="174"/>
        <v>1.4</v>
      </c>
      <c r="AS153">
        <f t="shared" si="194"/>
        <v>2</v>
      </c>
      <c r="AT153">
        <f t="shared" si="195"/>
        <v>6</v>
      </c>
      <c r="AU153">
        <f t="shared" si="188"/>
        <v>5021</v>
      </c>
      <c r="AV153" s="1">
        <v>2</v>
      </c>
      <c r="AW153">
        <v>3</v>
      </c>
      <c r="AX153">
        <v>0</v>
      </c>
      <c r="AZ153">
        <v>5</v>
      </c>
      <c r="BA153">
        <v>1</v>
      </c>
      <c r="CG153" t="str">
        <f t="shared" si="176"/>
        <v>DATA_Class_Base13</v>
      </c>
      <c r="CH153" s="6" t="s">
        <v>295</v>
      </c>
    </row>
    <row r="154" spans="1:86">
      <c r="A154">
        <f t="shared" si="162"/>
        <v>3082201</v>
      </c>
      <c r="B154" s="6" t="s">
        <v>296</v>
      </c>
      <c r="C154">
        <v>0</v>
      </c>
      <c r="D154">
        <v>8</v>
      </c>
      <c r="E154">
        <v>2</v>
      </c>
      <c r="F154">
        <v>2</v>
      </c>
      <c r="G154" s="3" t="s">
        <v>297</v>
      </c>
      <c r="H154" s="3" t="s">
        <v>297</v>
      </c>
      <c r="I154">
        <v>0</v>
      </c>
      <c r="J154" s="8" t="s">
        <v>298</v>
      </c>
      <c r="K154" s="2">
        <f t="shared" si="199"/>
        <v>3</v>
      </c>
      <c r="L154" s="2">
        <f t="shared" si="163"/>
        <v>1.5</v>
      </c>
      <c r="M154" s="2">
        <f t="shared" si="164"/>
        <v>1.8</v>
      </c>
      <c r="N154" s="2">
        <v>10</v>
      </c>
      <c r="O154" s="2">
        <f t="shared" ref="O154:T154" si="205">ROUND(AL154*(1+$AX154),2)</f>
        <v>220.8</v>
      </c>
      <c r="P154" s="2">
        <f t="shared" si="205"/>
        <v>11.26</v>
      </c>
      <c r="Q154" s="2">
        <f t="shared" si="205"/>
        <v>4140</v>
      </c>
      <c r="R154" s="2">
        <f t="shared" si="205"/>
        <v>211.14</v>
      </c>
      <c r="S154" s="2">
        <f t="shared" si="205"/>
        <v>96</v>
      </c>
      <c r="T154" s="2">
        <f t="shared" si="205"/>
        <v>7.2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17">
        <v>322012</v>
      </c>
      <c r="AA154" s="14" t="s">
        <v>452</v>
      </c>
      <c r="AB154" s="15" t="s">
        <v>368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/>
      <c r="AI154">
        <v>1</v>
      </c>
      <c r="AJ154" s="1">
        <f t="shared" si="157"/>
        <v>216.51190180885479</v>
      </c>
      <c r="AK154">
        <v>8</v>
      </c>
      <c r="AL154">
        <f t="shared" si="167"/>
        <v>220.8</v>
      </c>
      <c r="AM154">
        <f t="shared" si="168"/>
        <v>11.2608</v>
      </c>
      <c r="AN154">
        <f t="shared" si="169"/>
        <v>4140</v>
      </c>
      <c r="AO154">
        <f t="shared" si="170"/>
        <v>211.14</v>
      </c>
      <c r="AP154">
        <f t="shared" si="171"/>
        <v>96.000000000000014</v>
      </c>
      <c r="AQ154">
        <f t="shared" si="172"/>
        <v>7.2000000000000011</v>
      </c>
      <c r="AR154">
        <f t="shared" si="174"/>
        <v>1.5</v>
      </c>
      <c r="AS154">
        <f t="shared" si="194"/>
        <v>1.8</v>
      </c>
      <c r="AT154">
        <f t="shared" si="195"/>
        <v>3</v>
      </c>
      <c r="AU154">
        <f t="shared" si="188"/>
        <v>2012</v>
      </c>
      <c r="AV154" s="1">
        <v>1</v>
      </c>
      <c r="AW154">
        <v>3</v>
      </c>
      <c r="AX154">
        <v>0</v>
      </c>
      <c r="AZ154">
        <v>2</v>
      </c>
      <c r="BA154">
        <v>2</v>
      </c>
      <c r="CG154" t="str">
        <f t="shared" si="176"/>
        <v>DATA_Class_Base14</v>
      </c>
      <c r="CH154" s="6" t="s">
        <v>300</v>
      </c>
    </row>
    <row r="155" spans="1:86">
      <c r="A155">
        <f t="shared" si="162"/>
        <v>3082500</v>
      </c>
      <c r="B155" s="6" t="s">
        <v>301</v>
      </c>
      <c r="C155">
        <v>0</v>
      </c>
      <c r="D155">
        <v>8</v>
      </c>
      <c r="E155">
        <v>5</v>
      </c>
      <c r="F155">
        <v>2</v>
      </c>
      <c r="G155" s="3" t="s">
        <v>302</v>
      </c>
      <c r="H155" s="3" t="s">
        <v>302</v>
      </c>
      <c r="I155" s="2">
        <v>0</v>
      </c>
      <c r="J155" s="2" t="s">
        <v>303</v>
      </c>
      <c r="K155" s="2">
        <f t="shared" si="199"/>
        <v>6</v>
      </c>
      <c r="L155" s="2">
        <f t="shared" si="163"/>
        <v>1.4000000000000001</v>
      </c>
      <c r="M155" s="2">
        <f t="shared" si="164"/>
        <v>2</v>
      </c>
      <c r="N155" s="2">
        <v>10</v>
      </c>
      <c r="O155" s="2">
        <f t="shared" ref="O155:T155" si="206">ROUND(AL155*(1+$AX155),2)</f>
        <v>386.4</v>
      </c>
      <c r="P155" s="2">
        <f t="shared" si="206"/>
        <v>19.71</v>
      </c>
      <c r="Q155" s="2">
        <f t="shared" si="206"/>
        <v>2208</v>
      </c>
      <c r="R155" s="2">
        <f t="shared" si="206"/>
        <v>112.61</v>
      </c>
      <c r="S155" s="2">
        <f t="shared" si="206"/>
        <v>51.52</v>
      </c>
      <c r="T155" s="2">
        <f t="shared" si="206"/>
        <v>3.86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17">
        <v>325002</v>
      </c>
      <c r="AA155" s="14" t="s">
        <v>453</v>
      </c>
      <c r="AB155" s="15" t="s">
        <v>368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/>
      <c r="AI155">
        <v>1</v>
      </c>
      <c r="AJ155" s="1">
        <f t="shared" si="157"/>
        <v>214.41816326638912</v>
      </c>
      <c r="AK155">
        <v>8</v>
      </c>
      <c r="AL155">
        <f t="shared" si="167"/>
        <v>386.39999999999992</v>
      </c>
      <c r="AM155">
        <f t="shared" si="168"/>
        <v>19.706399999999995</v>
      </c>
      <c r="AN155">
        <f t="shared" si="169"/>
        <v>2208</v>
      </c>
      <c r="AO155">
        <f t="shared" si="170"/>
        <v>112.60799999999999</v>
      </c>
      <c r="AP155">
        <f t="shared" si="171"/>
        <v>51.519999999999989</v>
      </c>
      <c r="AQ155">
        <f t="shared" si="172"/>
        <v>3.863999999999999</v>
      </c>
      <c r="AR155">
        <f t="shared" si="174"/>
        <v>1.4</v>
      </c>
      <c r="AS155">
        <f t="shared" si="194"/>
        <v>2</v>
      </c>
      <c r="AT155">
        <f t="shared" si="195"/>
        <v>6</v>
      </c>
      <c r="AU155">
        <f t="shared" si="188"/>
        <v>5002</v>
      </c>
      <c r="AV155" s="1">
        <v>0</v>
      </c>
      <c r="AW155">
        <v>3</v>
      </c>
      <c r="AX155">
        <v>0</v>
      </c>
      <c r="AZ155">
        <v>5</v>
      </c>
      <c r="BA155">
        <v>2</v>
      </c>
      <c r="CG155" t="str">
        <f t="shared" si="176"/>
        <v>DATA_Class_Base15</v>
      </c>
      <c r="CH155" s="6" t="s">
        <v>306</v>
      </c>
    </row>
    <row r="156" spans="1:86">
      <c r="A156">
        <f t="shared" si="162"/>
        <v>3082601</v>
      </c>
      <c r="B156" s="6" t="s">
        <v>307</v>
      </c>
      <c r="C156">
        <v>0</v>
      </c>
      <c r="D156">
        <v>8</v>
      </c>
      <c r="E156">
        <v>6</v>
      </c>
      <c r="F156">
        <v>2</v>
      </c>
      <c r="G156" s="3" t="s">
        <v>308</v>
      </c>
      <c r="H156" s="3" t="s">
        <v>308</v>
      </c>
      <c r="I156" s="2">
        <v>0</v>
      </c>
      <c r="J156" s="2" t="s">
        <v>309</v>
      </c>
      <c r="K156" s="2">
        <f t="shared" si="199"/>
        <v>6</v>
      </c>
      <c r="L156" s="2">
        <f t="shared" si="163"/>
        <v>1.5</v>
      </c>
      <c r="M156" s="2">
        <f t="shared" si="164"/>
        <v>2</v>
      </c>
      <c r="N156" s="2">
        <v>10</v>
      </c>
      <c r="O156" s="2">
        <f t="shared" ref="O156:T156" si="207">ROUND(AL156*(1+$AX156),2)</f>
        <v>303.60000000000002</v>
      </c>
      <c r="P156" s="2">
        <f t="shared" si="207"/>
        <v>15.48</v>
      </c>
      <c r="Q156" s="2">
        <f t="shared" si="207"/>
        <v>3010.91</v>
      </c>
      <c r="R156" s="2">
        <f t="shared" si="207"/>
        <v>153.56</v>
      </c>
      <c r="S156" s="2">
        <f t="shared" si="207"/>
        <v>67.47</v>
      </c>
      <c r="T156" s="2">
        <f t="shared" si="207"/>
        <v>5.0599999999999996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17">
        <v>326012</v>
      </c>
      <c r="AA156" s="14" t="s">
        <v>454</v>
      </c>
      <c r="AB156" s="15" t="s">
        <v>368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/>
      <c r="AI156">
        <v>1</v>
      </c>
      <c r="AJ156" s="1">
        <f t="shared" si="157"/>
        <v>215.16412348808919</v>
      </c>
      <c r="AK156">
        <v>8</v>
      </c>
      <c r="AL156">
        <f t="shared" si="167"/>
        <v>303.59999999999997</v>
      </c>
      <c r="AM156">
        <f t="shared" si="168"/>
        <v>15.483599999999997</v>
      </c>
      <c r="AN156">
        <f t="shared" si="169"/>
        <v>3010.9090909090905</v>
      </c>
      <c r="AO156">
        <f t="shared" si="170"/>
        <v>153.55636363636361</v>
      </c>
      <c r="AP156">
        <f t="shared" si="171"/>
        <v>67.466666666666654</v>
      </c>
      <c r="AQ156">
        <f t="shared" si="172"/>
        <v>5.0599999999999987</v>
      </c>
      <c r="AR156">
        <f t="shared" si="174"/>
        <v>1.5</v>
      </c>
      <c r="AS156">
        <f t="shared" si="194"/>
        <v>2</v>
      </c>
      <c r="AT156">
        <f t="shared" si="195"/>
        <v>6</v>
      </c>
      <c r="AU156">
        <f t="shared" si="188"/>
        <v>6012</v>
      </c>
      <c r="AV156" s="1">
        <v>1</v>
      </c>
      <c r="AW156">
        <v>3</v>
      </c>
      <c r="AX156">
        <v>0</v>
      </c>
      <c r="AZ156">
        <v>6</v>
      </c>
      <c r="BA156">
        <v>2</v>
      </c>
      <c r="CG156" t="str">
        <f t="shared" si="176"/>
        <v>DATA_Class_Base16</v>
      </c>
      <c r="CH156" s="6" t="s">
        <v>312</v>
      </c>
    </row>
    <row r="157" spans="1:86">
      <c r="A157">
        <f t="shared" si="162"/>
        <v>3083200</v>
      </c>
      <c r="B157" s="6" t="s">
        <v>294</v>
      </c>
      <c r="C157">
        <v>0</v>
      </c>
      <c r="D157">
        <v>8</v>
      </c>
      <c r="E157">
        <v>2</v>
      </c>
      <c r="F157">
        <v>3</v>
      </c>
      <c r="G157" s="3" t="s">
        <v>313</v>
      </c>
      <c r="H157" s="3" t="s">
        <v>313</v>
      </c>
      <c r="I157">
        <v>0</v>
      </c>
      <c r="J157" s="2" t="s">
        <v>314</v>
      </c>
      <c r="K157" s="2">
        <f t="shared" si="199"/>
        <v>3</v>
      </c>
      <c r="L157" s="2">
        <f t="shared" si="163"/>
        <v>1.5</v>
      </c>
      <c r="M157" s="2">
        <f t="shared" si="164"/>
        <v>1.2</v>
      </c>
      <c r="N157" s="2">
        <v>10</v>
      </c>
      <c r="O157" s="2">
        <f t="shared" ref="O157:T157" si="208">ROUND(AL157*(1+$AX157),2)</f>
        <v>193.2</v>
      </c>
      <c r="P157" s="2">
        <f t="shared" si="208"/>
        <v>9.85</v>
      </c>
      <c r="Q157" s="2">
        <f t="shared" si="208"/>
        <v>4731.43</v>
      </c>
      <c r="R157" s="2">
        <f t="shared" si="208"/>
        <v>241.3</v>
      </c>
      <c r="S157" s="2">
        <f t="shared" si="208"/>
        <v>96.6</v>
      </c>
      <c r="T157" s="2">
        <f t="shared" si="208"/>
        <v>7.25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17">
        <v>332002</v>
      </c>
      <c r="AA157" s="14" t="s">
        <v>455</v>
      </c>
      <c r="AB157" s="15" t="s">
        <v>368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/>
      <c r="AI157">
        <v>1</v>
      </c>
      <c r="AJ157" s="1">
        <f t="shared" si="157"/>
        <v>216.54042422627546</v>
      </c>
      <c r="AK157">
        <v>8</v>
      </c>
      <c r="AL157">
        <f t="shared" si="167"/>
        <v>193.19999999999996</v>
      </c>
      <c r="AM157">
        <f t="shared" si="168"/>
        <v>9.8531999999999975</v>
      </c>
      <c r="AN157">
        <f t="shared" si="169"/>
        <v>4731.4285714285716</v>
      </c>
      <c r="AO157">
        <f t="shared" si="170"/>
        <v>241.30285714285714</v>
      </c>
      <c r="AP157">
        <f t="shared" si="171"/>
        <v>96.59999999999998</v>
      </c>
      <c r="AQ157">
        <f t="shared" si="172"/>
        <v>7.2449999999999983</v>
      </c>
      <c r="AR157">
        <f t="shared" si="174"/>
        <v>1.5</v>
      </c>
      <c r="AS157">
        <f t="shared" si="194"/>
        <v>1.2</v>
      </c>
      <c r="AT157">
        <f t="shared" si="195"/>
        <v>3</v>
      </c>
      <c r="AU157">
        <f t="shared" si="188"/>
        <v>2003</v>
      </c>
      <c r="AV157" s="1">
        <v>0</v>
      </c>
      <c r="AW157">
        <v>3</v>
      </c>
      <c r="AX157">
        <v>0</v>
      </c>
      <c r="AZ157">
        <v>2</v>
      </c>
      <c r="BA157">
        <v>3</v>
      </c>
      <c r="CG157" t="str">
        <f t="shared" si="176"/>
        <v>DATA_Class_Base17</v>
      </c>
      <c r="CH157" s="6" t="s">
        <v>318</v>
      </c>
    </row>
    <row r="158" spans="1:86">
      <c r="A158">
        <f t="shared" si="162"/>
        <v>3081401</v>
      </c>
      <c r="B158" s="6" t="s">
        <v>317</v>
      </c>
      <c r="C158">
        <v>0</v>
      </c>
      <c r="D158">
        <v>8</v>
      </c>
      <c r="E158">
        <v>4</v>
      </c>
      <c r="F158">
        <v>1</v>
      </c>
      <c r="G158" s="3" t="s">
        <v>319</v>
      </c>
      <c r="H158" s="3" t="s">
        <v>319</v>
      </c>
      <c r="I158">
        <v>0</v>
      </c>
      <c r="J158" s="2" t="s">
        <v>161</v>
      </c>
      <c r="K158" s="2">
        <f t="shared" si="199"/>
        <v>6</v>
      </c>
      <c r="L158" s="2">
        <f t="shared" si="163"/>
        <v>1.6</v>
      </c>
      <c r="M158" s="2">
        <f t="shared" si="164"/>
        <v>1.5</v>
      </c>
      <c r="N158" s="2">
        <v>10</v>
      </c>
      <c r="O158" s="2">
        <f t="shared" ref="O158:T158" si="209">ROUND(AL158*(1+$AX158),2)</f>
        <v>353.28</v>
      </c>
      <c r="P158" s="2">
        <f t="shared" si="209"/>
        <v>18.02</v>
      </c>
      <c r="Q158" s="2">
        <f t="shared" si="209"/>
        <v>2760</v>
      </c>
      <c r="R158" s="2">
        <f t="shared" si="209"/>
        <v>140.76</v>
      </c>
      <c r="S158" s="2">
        <f t="shared" si="209"/>
        <v>58.88</v>
      </c>
      <c r="T158" s="2">
        <f t="shared" si="209"/>
        <v>4.42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17">
        <v>314012</v>
      </c>
      <c r="AA158" s="51" t="s">
        <v>1718</v>
      </c>
      <c r="AB158" s="15" t="s">
        <v>368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/>
      <c r="AI158">
        <v>1</v>
      </c>
      <c r="AJ158" s="1">
        <f t="shared" si="157"/>
        <v>214.76180884606407</v>
      </c>
      <c r="AK158">
        <v>8</v>
      </c>
      <c r="AL158">
        <f t="shared" si="167"/>
        <v>353.28</v>
      </c>
      <c r="AM158">
        <f t="shared" si="168"/>
        <v>18.017279999999996</v>
      </c>
      <c r="AN158">
        <f t="shared" si="169"/>
        <v>2760</v>
      </c>
      <c r="AO158">
        <f t="shared" si="170"/>
        <v>140.76</v>
      </c>
      <c r="AP158">
        <f t="shared" si="171"/>
        <v>58.879999999999995</v>
      </c>
      <c r="AQ158">
        <f t="shared" si="172"/>
        <v>4.4159999999999995</v>
      </c>
      <c r="AR158">
        <f t="shared" si="174"/>
        <v>1.6</v>
      </c>
      <c r="AS158">
        <f t="shared" si="194"/>
        <v>1.5</v>
      </c>
      <c r="AT158">
        <f t="shared" si="195"/>
        <v>6</v>
      </c>
      <c r="AU158">
        <f t="shared" si="188"/>
        <v>4013</v>
      </c>
      <c r="AV158" s="1">
        <v>1</v>
      </c>
      <c r="AW158">
        <v>3</v>
      </c>
      <c r="AX158">
        <v>0</v>
      </c>
      <c r="AZ158">
        <v>4</v>
      </c>
      <c r="BA158">
        <v>3</v>
      </c>
      <c r="CG158" t="str">
        <f t="shared" si="176"/>
        <v>DATA_Class_Base18</v>
      </c>
      <c r="CH158" s="6" t="s">
        <v>324</v>
      </c>
    </row>
    <row r="159" spans="1:86">
      <c r="A159">
        <f t="shared" si="162"/>
        <v>3083402</v>
      </c>
      <c r="B159" s="6" t="s">
        <v>323</v>
      </c>
      <c r="C159">
        <v>0</v>
      </c>
      <c r="D159">
        <v>8</v>
      </c>
      <c r="E159">
        <v>4</v>
      </c>
      <c r="F159">
        <v>3</v>
      </c>
      <c r="G159" s="3" t="s">
        <v>325</v>
      </c>
      <c r="H159" s="3" t="s">
        <v>325</v>
      </c>
      <c r="I159" s="2">
        <v>0</v>
      </c>
      <c r="J159" s="2" t="s">
        <v>250</v>
      </c>
      <c r="K159" s="2">
        <f t="shared" si="199"/>
        <v>6</v>
      </c>
      <c r="L159" s="2">
        <f t="shared" si="163"/>
        <v>1.5</v>
      </c>
      <c r="M159" s="2">
        <f t="shared" si="164"/>
        <v>1.5</v>
      </c>
      <c r="N159" s="2">
        <v>10</v>
      </c>
      <c r="O159" s="2">
        <f t="shared" ref="O159:T159" si="210">ROUND(AL159*(1+$AX159),2)</f>
        <v>358.8</v>
      </c>
      <c r="P159" s="2">
        <f t="shared" si="210"/>
        <v>18.3</v>
      </c>
      <c r="Q159" s="2">
        <f t="shared" si="210"/>
        <v>2547.69</v>
      </c>
      <c r="R159" s="2">
        <f t="shared" si="210"/>
        <v>129.93</v>
      </c>
      <c r="S159" s="2">
        <f t="shared" si="210"/>
        <v>51.26</v>
      </c>
      <c r="T159" s="2">
        <f t="shared" si="210"/>
        <v>3.84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17">
        <v>334022</v>
      </c>
      <c r="AA159" s="14" t="s">
        <v>457</v>
      </c>
      <c r="AB159" s="15" t="s">
        <v>368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/>
      <c r="AI159">
        <v>1</v>
      </c>
      <c r="AJ159" s="1">
        <f t="shared" si="157"/>
        <v>214.40591054859706</v>
      </c>
      <c r="AK159">
        <v>8</v>
      </c>
      <c r="AL159">
        <f t="shared" si="167"/>
        <v>358.79999999999995</v>
      </c>
      <c r="AM159">
        <f t="shared" si="168"/>
        <v>18.298799999999996</v>
      </c>
      <c r="AN159">
        <f t="shared" si="169"/>
        <v>2547.6923076923072</v>
      </c>
      <c r="AO159">
        <f t="shared" si="170"/>
        <v>129.93230769230766</v>
      </c>
      <c r="AP159">
        <f t="shared" si="171"/>
        <v>51.257142857142853</v>
      </c>
      <c r="AQ159">
        <f t="shared" si="172"/>
        <v>3.8442857142857139</v>
      </c>
      <c r="AR159">
        <f t="shared" si="174"/>
        <v>1.5</v>
      </c>
      <c r="AS159">
        <f t="shared" si="194"/>
        <v>1.5</v>
      </c>
      <c r="AT159">
        <f t="shared" si="195"/>
        <v>6</v>
      </c>
      <c r="AU159">
        <f t="shared" si="188"/>
        <v>4023</v>
      </c>
      <c r="AV159" s="1">
        <v>2</v>
      </c>
      <c r="AW159">
        <v>3</v>
      </c>
      <c r="AX159">
        <v>0</v>
      </c>
      <c r="AZ159">
        <v>4</v>
      </c>
      <c r="BA159">
        <v>3</v>
      </c>
      <c r="CG159" t="str">
        <f t="shared" si="176"/>
        <v>DATA_Class_Base19</v>
      </c>
      <c r="CH159" s="6" t="s">
        <v>331</v>
      </c>
    </row>
    <row r="160" spans="1:86">
      <c r="A160">
        <f t="shared" si="162"/>
        <v>3083501</v>
      </c>
      <c r="B160" s="6" t="s">
        <v>332</v>
      </c>
      <c r="C160">
        <v>0</v>
      </c>
      <c r="D160">
        <v>8</v>
      </c>
      <c r="E160">
        <v>5</v>
      </c>
      <c r="F160">
        <v>3</v>
      </c>
      <c r="G160" s="3" t="s">
        <v>333</v>
      </c>
      <c r="H160" s="3" t="s">
        <v>333</v>
      </c>
      <c r="I160">
        <v>0</v>
      </c>
      <c r="J160" s="2" t="s">
        <v>334</v>
      </c>
      <c r="K160" s="2">
        <f t="shared" si="199"/>
        <v>6</v>
      </c>
      <c r="L160" s="2">
        <f t="shared" si="163"/>
        <v>1.6</v>
      </c>
      <c r="M160" s="2">
        <f t="shared" si="164"/>
        <v>2</v>
      </c>
      <c r="N160" s="2">
        <v>10</v>
      </c>
      <c r="O160" s="2">
        <f t="shared" ref="O160:T160" si="211">ROUND(AL160*(1+$AX160),2)</f>
        <v>382.72</v>
      </c>
      <c r="P160" s="2">
        <f t="shared" si="211"/>
        <v>19.52</v>
      </c>
      <c r="Q160" s="2">
        <f t="shared" si="211"/>
        <v>2547.69</v>
      </c>
      <c r="R160" s="2">
        <f t="shared" si="211"/>
        <v>129.93</v>
      </c>
      <c r="S160" s="2">
        <f t="shared" si="211"/>
        <v>54.67</v>
      </c>
      <c r="T160" s="2">
        <f t="shared" si="211"/>
        <v>4.0999999999999996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17">
        <v>345012</v>
      </c>
      <c r="AA160" s="14" t="s">
        <v>458</v>
      </c>
      <c r="AB160" s="15" t="s">
        <v>368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/>
      <c r="AI160">
        <v>1</v>
      </c>
      <c r="AJ160" s="1">
        <f t="shared" si="157"/>
        <v>214.56530518756242</v>
      </c>
      <c r="AK160">
        <v>8</v>
      </c>
      <c r="AL160">
        <f t="shared" si="167"/>
        <v>382.71999999999997</v>
      </c>
      <c r="AM160">
        <f t="shared" si="168"/>
        <v>19.518719999999998</v>
      </c>
      <c r="AN160">
        <f t="shared" si="169"/>
        <v>2547.6923076923072</v>
      </c>
      <c r="AO160">
        <f t="shared" si="170"/>
        <v>129.93230769230766</v>
      </c>
      <c r="AP160">
        <f t="shared" si="171"/>
        <v>54.674285714285709</v>
      </c>
      <c r="AQ160">
        <f t="shared" si="172"/>
        <v>4.1005714285714276</v>
      </c>
      <c r="AR160">
        <f t="shared" si="174"/>
        <v>1.6</v>
      </c>
      <c r="AS160">
        <f t="shared" si="194"/>
        <v>2</v>
      </c>
      <c r="AT160">
        <f t="shared" si="195"/>
        <v>6</v>
      </c>
      <c r="AU160">
        <f t="shared" si="188"/>
        <v>5014</v>
      </c>
      <c r="AV160" s="1">
        <v>1</v>
      </c>
      <c r="AW160">
        <v>3</v>
      </c>
      <c r="AX160">
        <v>0</v>
      </c>
      <c r="AZ160">
        <v>5</v>
      </c>
      <c r="BA160">
        <v>4</v>
      </c>
      <c r="CG160" t="str">
        <f t="shared" si="176"/>
        <v>DATA_Class_Base20</v>
      </c>
      <c r="CH160" s="6" t="s">
        <v>336</v>
      </c>
    </row>
    <row r="161" spans="1:86">
      <c r="A161">
        <f t="shared" si="162"/>
        <v>3083600</v>
      </c>
      <c r="B161" s="6" t="s">
        <v>337</v>
      </c>
      <c r="C161">
        <v>0</v>
      </c>
      <c r="D161">
        <v>8</v>
      </c>
      <c r="E161">
        <v>6</v>
      </c>
      <c r="F161">
        <v>3</v>
      </c>
      <c r="G161" s="3" t="s">
        <v>338</v>
      </c>
      <c r="H161" s="3" t="s">
        <v>338</v>
      </c>
      <c r="I161" s="2">
        <v>0</v>
      </c>
      <c r="J161" s="2" t="s">
        <v>339</v>
      </c>
      <c r="K161" s="2">
        <f t="shared" si="199"/>
        <v>3</v>
      </c>
      <c r="L161" s="2">
        <f t="shared" si="163"/>
        <v>1.4000000000000001</v>
      </c>
      <c r="M161" s="2">
        <f t="shared" si="164"/>
        <v>1.9000000000000001</v>
      </c>
      <c r="N161" s="2">
        <v>10</v>
      </c>
      <c r="O161" s="2">
        <f t="shared" ref="O161:T161" si="212">ROUND(AL161*(1+$AX161),2)</f>
        <v>283.36</v>
      </c>
      <c r="P161" s="2">
        <f t="shared" si="212"/>
        <v>14.45</v>
      </c>
      <c r="Q161" s="2">
        <f t="shared" si="212"/>
        <v>3010.91</v>
      </c>
      <c r="R161" s="2">
        <f t="shared" si="212"/>
        <v>153.56</v>
      </c>
      <c r="S161" s="2">
        <f t="shared" si="212"/>
        <v>70.84</v>
      </c>
      <c r="T161" s="2">
        <f t="shared" si="212"/>
        <v>5.31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17">
        <v>346002</v>
      </c>
      <c r="AA161" s="14" t="s">
        <v>459</v>
      </c>
      <c r="AB161" s="15" t="s">
        <v>368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/>
      <c r="AI161">
        <v>1</v>
      </c>
      <c r="AJ161" s="1">
        <f t="shared" si="157"/>
        <v>215.32258836994731</v>
      </c>
      <c r="AK161">
        <v>8</v>
      </c>
      <c r="AL161">
        <f t="shared" si="167"/>
        <v>283.35999999999996</v>
      </c>
      <c r="AM161">
        <f t="shared" si="168"/>
        <v>14.451359999999998</v>
      </c>
      <c r="AN161">
        <f t="shared" si="169"/>
        <v>3010.9090909090905</v>
      </c>
      <c r="AO161">
        <f t="shared" si="170"/>
        <v>153.55636363636361</v>
      </c>
      <c r="AP161">
        <f t="shared" si="171"/>
        <v>70.839999999999989</v>
      </c>
      <c r="AQ161">
        <f t="shared" si="172"/>
        <v>5.3129999999999988</v>
      </c>
      <c r="AR161">
        <f t="shared" si="174"/>
        <v>1.4</v>
      </c>
      <c r="AS161">
        <f t="shared" si="194"/>
        <v>1.9</v>
      </c>
      <c r="AT161">
        <f t="shared" si="195"/>
        <v>3</v>
      </c>
      <c r="AU161">
        <f t="shared" si="188"/>
        <v>6004</v>
      </c>
      <c r="AV161" s="1">
        <v>0</v>
      </c>
      <c r="AW161">
        <v>3</v>
      </c>
      <c r="AX161">
        <v>0</v>
      </c>
      <c r="AZ161">
        <v>6</v>
      </c>
      <c r="BA161">
        <v>4</v>
      </c>
      <c r="CG161" t="str">
        <f t="shared" si="176"/>
        <v>DATA_Class_Base21</v>
      </c>
      <c r="CH161" s="6" t="s">
        <v>342</v>
      </c>
    </row>
    <row r="162" spans="1:86">
      <c r="A162">
        <f t="shared" si="162"/>
        <v>3081602</v>
      </c>
      <c r="B162" s="6" t="s">
        <v>343</v>
      </c>
      <c r="C162">
        <v>0</v>
      </c>
      <c r="D162">
        <v>8</v>
      </c>
      <c r="E162">
        <v>6</v>
      </c>
      <c r="F162">
        <v>1</v>
      </c>
      <c r="G162" s="3" t="s">
        <v>344</v>
      </c>
      <c r="H162" s="3" t="s">
        <v>344</v>
      </c>
      <c r="I162" t="s">
        <v>345</v>
      </c>
      <c r="J162" s="2" t="s">
        <v>346</v>
      </c>
      <c r="K162" s="2">
        <f t="shared" si="199"/>
        <v>6</v>
      </c>
      <c r="L162" s="2">
        <f t="shared" si="163"/>
        <v>1.8</v>
      </c>
      <c r="M162" s="2">
        <f t="shared" si="164"/>
        <v>2</v>
      </c>
      <c r="N162" s="2">
        <v>10</v>
      </c>
      <c r="O162" s="2">
        <f t="shared" ref="O162:T162" si="213">ROUND(AL162*(1+$AX162),2)</f>
        <v>331.2</v>
      </c>
      <c r="P162" s="2">
        <f t="shared" si="213"/>
        <v>16.89</v>
      </c>
      <c r="Q162" s="2">
        <f t="shared" si="213"/>
        <v>3312</v>
      </c>
      <c r="R162" s="2">
        <f t="shared" si="213"/>
        <v>168.91</v>
      </c>
      <c r="S162" s="2">
        <f t="shared" si="213"/>
        <v>66.239999999999995</v>
      </c>
      <c r="T162" s="2">
        <f t="shared" si="213"/>
        <v>4.97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17">
        <v>346022</v>
      </c>
      <c r="AA162" s="14" t="s">
        <v>460</v>
      </c>
      <c r="AB162" s="15" t="s">
        <v>368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/>
      <c r="AI162">
        <v>1</v>
      </c>
      <c r="AJ162" s="1">
        <f t="shared" si="157"/>
        <v>215.10655770777092</v>
      </c>
      <c r="AK162">
        <v>8</v>
      </c>
      <c r="AL162">
        <f t="shared" si="167"/>
        <v>331.2</v>
      </c>
      <c r="AM162">
        <f t="shared" si="168"/>
        <v>16.891199999999998</v>
      </c>
      <c r="AN162">
        <f t="shared" si="169"/>
        <v>3311.9999999999995</v>
      </c>
      <c r="AO162">
        <f t="shared" si="170"/>
        <v>168.91199999999998</v>
      </c>
      <c r="AP162">
        <f t="shared" si="171"/>
        <v>66.239999999999995</v>
      </c>
      <c r="AQ162">
        <f t="shared" si="172"/>
        <v>4.9679999999999991</v>
      </c>
      <c r="AR162">
        <f t="shared" si="174"/>
        <v>1.8</v>
      </c>
      <c r="AS162">
        <f t="shared" si="194"/>
        <v>2</v>
      </c>
      <c r="AT162">
        <f t="shared" si="195"/>
        <v>6</v>
      </c>
      <c r="AU162">
        <f t="shared" si="188"/>
        <v>6024</v>
      </c>
      <c r="AV162" s="1">
        <v>2</v>
      </c>
      <c r="AW162">
        <v>3</v>
      </c>
      <c r="AX162">
        <v>0</v>
      </c>
      <c r="AZ162">
        <v>6</v>
      </c>
      <c r="BA162">
        <v>4</v>
      </c>
      <c r="CG162" t="str">
        <f t="shared" si="176"/>
        <v>DATA_Class_Base13</v>
      </c>
      <c r="CH162" s="6" t="s">
        <v>295</v>
      </c>
    </row>
    <row r="163" spans="1:86">
      <c r="A163">
        <f t="shared" si="162"/>
        <v>3082300</v>
      </c>
      <c r="B163" s="6" t="s">
        <v>350</v>
      </c>
      <c r="C163">
        <v>0</v>
      </c>
      <c r="D163">
        <v>8</v>
      </c>
      <c r="E163">
        <v>3</v>
      </c>
      <c r="F163">
        <v>2</v>
      </c>
      <c r="G163" s="3" t="s">
        <v>351</v>
      </c>
      <c r="H163" s="3" t="s">
        <v>351</v>
      </c>
      <c r="I163" s="2">
        <v>0</v>
      </c>
      <c r="J163" s="2" t="s">
        <v>352</v>
      </c>
      <c r="K163" s="2">
        <v>6</v>
      </c>
      <c r="L163" s="2">
        <f t="shared" si="163"/>
        <v>1.3</v>
      </c>
      <c r="M163" s="2">
        <f t="shared" si="164"/>
        <v>2</v>
      </c>
      <c r="N163" s="2">
        <v>10</v>
      </c>
      <c r="O163" s="2">
        <f t="shared" ref="O163:T163" si="214">ROUND(AL163*(1+$AX163),2)</f>
        <v>275.08</v>
      </c>
      <c r="P163" s="2">
        <f t="shared" si="214"/>
        <v>14.03</v>
      </c>
      <c r="Q163" s="2">
        <f t="shared" si="214"/>
        <v>2880</v>
      </c>
      <c r="R163" s="2">
        <f t="shared" si="214"/>
        <v>146.88</v>
      </c>
      <c r="S163" s="2">
        <f t="shared" si="214"/>
        <v>68.77</v>
      </c>
      <c r="T163" s="2">
        <f t="shared" si="214"/>
        <v>5.16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17">
        <v>353002</v>
      </c>
      <c r="AA163" s="14" t="s">
        <v>461</v>
      </c>
      <c r="AB163" s="15" t="s">
        <v>368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/>
      <c r="AI163">
        <v>1</v>
      </c>
      <c r="AJ163" s="1">
        <f t="shared" si="157"/>
        <v>215.22532089893733</v>
      </c>
      <c r="AK163">
        <v>8</v>
      </c>
      <c r="AL163">
        <f t="shared" si="167"/>
        <v>275.08</v>
      </c>
      <c r="AM163">
        <f t="shared" si="168"/>
        <v>14.029079999999999</v>
      </c>
      <c r="AN163">
        <f t="shared" si="169"/>
        <v>2880.0000000000005</v>
      </c>
      <c r="AO163">
        <f t="shared" si="170"/>
        <v>146.88000000000002</v>
      </c>
      <c r="AP163">
        <f t="shared" si="171"/>
        <v>68.77</v>
      </c>
      <c r="AQ163">
        <f t="shared" si="172"/>
        <v>5.1577499999999992</v>
      </c>
      <c r="AR163">
        <f t="shared" si="174"/>
        <v>1.3</v>
      </c>
      <c r="AS163">
        <f t="shared" si="194"/>
        <v>2</v>
      </c>
      <c r="AT163">
        <f t="shared" si="195"/>
        <v>3</v>
      </c>
      <c r="AU163">
        <f t="shared" si="188"/>
        <v>3005</v>
      </c>
      <c r="AV163" s="1">
        <v>0</v>
      </c>
      <c r="AW163">
        <v>3</v>
      </c>
      <c r="AX163">
        <v>0</v>
      </c>
      <c r="AZ163">
        <v>3</v>
      </c>
      <c r="BA163">
        <v>5</v>
      </c>
      <c r="CG163" t="str">
        <f t="shared" si="176"/>
        <v>DATA_Class_Base14</v>
      </c>
      <c r="CH163" s="6" t="s">
        <v>300</v>
      </c>
    </row>
    <row r="164" spans="1:86">
      <c r="A164">
        <f t="shared" si="162"/>
        <v>3083302</v>
      </c>
      <c r="B164" s="6" t="s">
        <v>356</v>
      </c>
      <c r="C164">
        <v>0</v>
      </c>
      <c r="D164">
        <v>8</v>
      </c>
      <c r="E164">
        <v>3</v>
      </c>
      <c r="F164">
        <v>3</v>
      </c>
      <c r="G164" s="3" t="s">
        <v>357</v>
      </c>
      <c r="H164" s="3" t="s">
        <v>357</v>
      </c>
      <c r="I164" s="2">
        <v>0</v>
      </c>
      <c r="J164" s="2" t="s">
        <v>358</v>
      </c>
      <c r="K164" s="2">
        <f t="shared" ref="K164:K191" si="215">AT164</f>
        <v>3</v>
      </c>
      <c r="L164" s="2">
        <f t="shared" si="163"/>
        <v>1.4000000000000001</v>
      </c>
      <c r="M164" s="2">
        <f t="shared" si="164"/>
        <v>2</v>
      </c>
      <c r="N164" s="2">
        <v>10</v>
      </c>
      <c r="O164" s="2">
        <f t="shared" ref="O164:T164" si="216">ROUND(AL164*(1+$AX164),2)</f>
        <v>309.12</v>
      </c>
      <c r="P164" s="2">
        <f t="shared" si="216"/>
        <v>15.77</v>
      </c>
      <c r="Q164" s="2">
        <f t="shared" si="216"/>
        <v>2760</v>
      </c>
      <c r="R164" s="2">
        <f t="shared" si="216"/>
        <v>140.76</v>
      </c>
      <c r="S164" s="2">
        <f t="shared" si="216"/>
        <v>77.28</v>
      </c>
      <c r="T164" s="2">
        <f t="shared" si="216"/>
        <v>5.8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17">
        <v>353022</v>
      </c>
      <c r="AA164" s="14" t="s">
        <v>462</v>
      </c>
      <c r="AB164" s="15" t="s">
        <v>368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/>
      <c r="AI164">
        <v>1</v>
      </c>
      <c r="AJ164" s="1">
        <f t="shared" si="157"/>
        <v>215.62576130475065</v>
      </c>
      <c r="AK164">
        <v>8</v>
      </c>
      <c r="AL164">
        <f t="shared" si="167"/>
        <v>309.11999999999995</v>
      </c>
      <c r="AM164">
        <f t="shared" si="168"/>
        <v>15.765119999999996</v>
      </c>
      <c r="AN164">
        <f t="shared" si="169"/>
        <v>2760</v>
      </c>
      <c r="AO164">
        <f t="shared" si="170"/>
        <v>140.76</v>
      </c>
      <c r="AP164">
        <f t="shared" si="171"/>
        <v>77.279999999999987</v>
      </c>
      <c r="AQ164">
        <f t="shared" si="172"/>
        <v>5.7959999999999985</v>
      </c>
      <c r="AR164">
        <f t="shared" si="174"/>
        <v>1.4</v>
      </c>
      <c r="AS164">
        <f t="shared" si="194"/>
        <v>2</v>
      </c>
      <c r="AT164">
        <f t="shared" si="195"/>
        <v>3</v>
      </c>
      <c r="AU164">
        <f t="shared" si="188"/>
        <v>3025</v>
      </c>
      <c r="AV164" s="1">
        <v>2</v>
      </c>
      <c r="AW164">
        <v>3</v>
      </c>
      <c r="AX164">
        <v>0</v>
      </c>
      <c r="AZ164">
        <v>3</v>
      </c>
      <c r="BA164">
        <v>5</v>
      </c>
      <c r="CG164" t="str">
        <f t="shared" si="176"/>
        <v>DATA_Class_Base15</v>
      </c>
      <c r="CH164" s="6" t="s">
        <v>306</v>
      </c>
    </row>
    <row r="165" spans="1:86">
      <c r="A165">
        <f t="shared" si="162"/>
        <v>3082400</v>
      </c>
      <c r="B165" s="6" t="s">
        <v>362</v>
      </c>
      <c r="C165">
        <v>0</v>
      </c>
      <c r="D165">
        <v>8</v>
      </c>
      <c r="E165">
        <v>4</v>
      </c>
      <c r="F165">
        <v>2</v>
      </c>
      <c r="G165" s="3" t="s">
        <v>363</v>
      </c>
      <c r="H165" s="3" t="s">
        <v>363</v>
      </c>
      <c r="I165">
        <v>0</v>
      </c>
      <c r="J165" s="2" t="s">
        <v>364</v>
      </c>
      <c r="K165" s="2">
        <f t="shared" si="215"/>
        <v>6</v>
      </c>
      <c r="L165" s="2">
        <f t="shared" si="163"/>
        <v>1.4000000000000001</v>
      </c>
      <c r="M165" s="2">
        <f t="shared" si="164"/>
        <v>2</v>
      </c>
      <c r="N165" s="2">
        <v>10</v>
      </c>
      <c r="O165" s="2">
        <f t="shared" ref="O165:T165" si="217">ROUND(AL165*(1+$AX165),2)</f>
        <v>322</v>
      </c>
      <c r="P165" s="2">
        <f t="shared" si="217"/>
        <v>16.420000000000002</v>
      </c>
      <c r="Q165" s="2">
        <f t="shared" si="217"/>
        <v>2649.6</v>
      </c>
      <c r="R165" s="2">
        <f t="shared" si="217"/>
        <v>135.13</v>
      </c>
      <c r="S165" s="2">
        <f t="shared" si="217"/>
        <v>58.55</v>
      </c>
      <c r="T165" s="2">
        <f t="shared" si="217"/>
        <v>4.3899999999999997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17">
        <v>354002</v>
      </c>
      <c r="AA165" s="14" t="s">
        <v>463</v>
      </c>
      <c r="AB165" s="15" t="s">
        <v>368</v>
      </c>
      <c r="AC165" s="2">
        <v>0</v>
      </c>
      <c r="AD165" s="8">
        <v>0</v>
      </c>
      <c r="AE165" s="2">
        <v>0</v>
      </c>
      <c r="AF165" s="2">
        <v>0</v>
      </c>
      <c r="AG165" s="2">
        <v>0</v>
      </c>
      <c r="AH165" s="2"/>
      <c r="AI165">
        <v>1</v>
      </c>
      <c r="AJ165" s="1">
        <f t="shared" si="157"/>
        <v>214.74616469770584</v>
      </c>
      <c r="AK165">
        <v>8</v>
      </c>
      <c r="AL165">
        <f t="shared" si="167"/>
        <v>322</v>
      </c>
      <c r="AM165">
        <f t="shared" si="168"/>
        <v>16.422000000000001</v>
      </c>
      <c r="AN165">
        <f t="shared" si="169"/>
        <v>2649.6</v>
      </c>
      <c r="AO165">
        <f t="shared" si="170"/>
        <v>135.12959999999998</v>
      </c>
      <c r="AP165">
        <f t="shared" si="171"/>
        <v>58.545454545454547</v>
      </c>
      <c r="AQ165">
        <f t="shared" si="172"/>
        <v>4.3909090909090907</v>
      </c>
      <c r="AR165">
        <f t="shared" si="174"/>
        <v>1.4</v>
      </c>
      <c r="AS165">
        <f t="shared" si="194"/>
        <v>2</v>
      </c>
      <c r="AT165">
        <f t="shared" si="195"/>
        <v>6</v>
      </c>
      <c r="AU165">
        <f t="shared" si="188"/>
        <v>4005</v>
      </c>
      <c r="AV165" s="1">
        <v>0</v>
      </c>
      <c r="AW165">
        <v>3</v>
      </c>
      <c r="AX165">
        <v>0</v>
      </c>
      <c r="AZ165">
        <v>4</v>
      </c>
      <c r="BA165">
        <v>5</v>
      </c>
      <c r="CG165" t="str">
        <f t="shared" si="176"/>
        <v>DATA_Class_Base16</v>
      </c>
      <c r="CH165" s="6" t="s">
        <v>312</v>
      </c>
    </row>
    <row r="166" spans="1:86" ht="14.25">
      <c r="A166">
        <f t="shared" ref="A166:A191" si="218">AW166*1000000+D166*10000+F166*1000+E166*100+AV166</f>
        <v>5051200</v>
      </c>
      <c r="B166" s="2" t="s">
        <v>464</v>
      </c>
      <c r="C166" s="48" t="s">
        <v>465</v>
      </c>
      <c r="D166">
        <v>5</v>
      </c>
      <c r="E166">
        <v>2</v>
      </c>
      <c r="F166">
        <v>1</v>
      </c>
      <c r="G166" s="3" t="s">
        <v>466</v>
      </c>
      <c r="H166" s="3" t="s">
        <v>466</v>
      </c>
      <c r="I166" s="2">
        <v>0</v>
      </c>
      <c r="J166" s="8" t="s">
        <v>467</v>
      </c>
      <c r="K166" s="2">
        <f t="shared" si="215"/>
        <v>3</v>
      </c>
      <c r="L166" s="2">
        <f t="shared" ref="L166:M206" si="219">FLOOR(AR166/1,0.01)</f>
        <v>1.5</v>
      </c>
      <c r="M166" s="2">
        <f t="shared" si="219"/>
        <v>1.2</v>
      </c>
      <c r="N166" s="2">
        <v>10</v>
      </c>
      <c r="O166" s="2">
        <f t="shared" ref="O166:T197" si="220">ROUND(AL166*(1+$AX166),2)</f>
        <v>168.96</v>
      </c>
      <c r="P166" s="2">
        <f t="shared" si="220"/>
        <v>8.6199999999999992</v>
      </c>
      <c r="Q166" s="2">
        <f t="shared" si="220"/>
        <v>3168</v>
      </c>
      <c r="R166" s="2">
        <f t="shared" si="220"/>
        <v>161.57</v>
      </c>
      <c r="S166" s="2">
        <f t="shared" si="220"/>
        <v>67.58</v>
      </c>
      <c r="T166" s="2">
        <f t="shared" si="220"/>
        <v>5.07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16">
        <v>512001</v>
      </c>
      <c r="AA166" s="14" t="s">
        <v>468</v>
      </c>
      <c r="AB166" s="15" t="s">
        <v>469</v>
      </c>
      <c r="AC166" s="2">
        <v>5061200</v>
      </c>
      <c r="AD166" s="52">
        <v>4</v>
      </c>
      <c r="AE166" s="2">
        <v>1</v>
      </c>
      <c r="AF166" s="2">
        <f>A166</f>
        <v>5051200</v>
      </c>
      <c r="AG166" s="2">
        <v>1</v>
      </c>
      <c r="AH166" s="2"/>
      <c r="AI166">
        <v>1</v>
      </c>
      <c r="AJ166" s="1">
        <f t="shared" ref="AJ166:AJ177" si="221">(AN166+AO166*AI166)*(AL166+AM166*AI166)/AR166*(0.9)*(1+0.5*0.1)*1/1/(1-(AP166+AQ166*AI166)*0.0002)/3000</f>
        <v>103.98806918397264</v>
      </c>
      <c r="AK166">
        <v>5</v>
      </c>
      <c r="AL166">
        <f t="shared" si="167"/>
        <v>153.60000000000002</v>
      </c>
      <c r="AM166">
        <f t="shared" si="168"/>
        <v>7.8336000000000006</v>
      </c>
      <c r="AN166">
        <f t="shared" si="169"/>
        <v>2880</v>
      </c>
      <c r="AO166">
        <f t="shared" si="170"/>
        <v>146.88</v>
      </c>
      <c r="AP166">
        <f t="shared" si="171"/>
        <v>61.440000000000012</v>
      </c>
      <c r="AQ166">
        <f t="shared" si="172"/>
        <v>4.6080000000000005</v>
      </c>
      <c r="AR166">
        <f t="shared" si="174"/>
        <v>1.5</v>
      </c>
      <c r="AS166">
        <f t="shared" si="194"/>
        <v>1.2</v>
      </c>
      <c r="AT166">
        <f t="shared" si="195"/>
        <v>3</v>
      </c>
      <c r="AU166">
        <f t="shared" ref="AU166:AU203" si="222">AZ166*1000+AV166*10+BA166</f>
        <v>2001</v>
      </c>
      <c r="AV166" s="1">
        <v>0</v>
      </c>
      <c r="AW166">
        <v>5</v>
      </c>
      <c r="AX166">
        <v>0.1</v>
      </c>
      <c r="AZ166">
        <v>2</v>
      </c>
      <c r="BA166">
        <v>1</v>
      </c>
      <c r="CG166" t="str">
        <f t="shared" si="176"/>
        <v>DATA_Class_Base17</v>
      </c>
      <c r="CH166" s="6" t="s">
        <v>318</v>
      </c>
    </row>
    <row r="167" spans="1:86" ht="14.25">
      <c r="A167" s="49">
        <f t="shared" si="218"/>
        <v>5051201</v>
      </c>
      <c r="B167" s="2" t="s">
        <v>470</v>
      </c>
      <c r="C167" s="48" t="s">
        <v>471</v>
      </c>
      <c r="D167">
        <v>5</v>
      </c>
      <c r="E167">
        <v>2</v>
      </c>
      <c r="F167">
        <v>1</v>
      </c>
      <c r="G167" s="3" t="s">
        <v>472</v>
      </c>
      <c r="H167" s="3" t="s">
        <v>472</v>
      </c>
      <c r="I167" s="2">
        <v>0</v>
      </c>
      <c r="J167" s="8" t="s">
        <v>298</v>
      </c>
      <c r="K167" s="2">
        <f t="shared" si="215"/>
        <v>3</v>
      </c>
      <c r="L167" s="2">
        <f t="shared" si="219"/>
        <v>1.6</v>
      </c>
      <c r="M167" s="2">
        <f t="shared" si="219"/>
        <v>1.8</v>
      </c>
      <c r="N167" s="2">
        <v>10</v>
      </c>
      <c r="O167" s="2">
        <f t="shared" si="220"/>
        <v>147.46</v>
      </c>
      <c r="P167" s="2">
        <f t="shared" si="220"/>
        <v>7.52</v>
      </c>
      <c r="Q167" s="2">
        <f t="shared" si="220"/>
        <v>4608</v>
      </c>
      <c r="R167" s="2">
        <f t="shared" si="220"/>
        <v>235.01</v>
      </c>
      <c r="S167" s="2">
        <f t="shared" si="220"/>
        <v>86.74</v>
      </c>
      <c r="T167" s="2">
        <f t="shared" si="220"/>
        <v>6.51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16">
        <v>512011</v>
      </c>
      <c r="AA167" s="14" t="s">
        <v>473</v>
      </c>
      <c r="AB167" s="15" t="s">
        <v>469</v>
      </c>
      <c r="AC167" s="2">
        <v>5061201</v>
      </c>
      <c r="AD167" s="52">
        <v>1</v>
      </c>
      <c r="AE167" s="2">
        <v>1</v>
      </c>
      <c r="AF167" s="2">
        <f t="shared" ref="AF167:AF202" si="223">A167</f>
        <v>5051201</v>
      </c>
      <c r="AG167" s="2">
        <v>1</v>
      </c>
      <c r="AH167" s="2"/>
      <c r="AI167">
        <v>1</v>
      </c>
      <c r="AJ167" s="1">
        <f t="shared" si="221"/>
        <v>104.23430303154528</v>
      </c>
      <c r="AK167">
        <v>5</v>
      </c>
      <c r="AL167">
        <f t="shared" si="167"/>
        <v>122.88</v>
      </c>
      <c r="AM167">
        <f t="shared" si="168"/>
        <v>6.2668799999999996</v>
      </c>
      <c r="AN167">
        <f t="shared" si="169"/>
        <v>3840</v>
      </c>
      <c r="AO167">
        <f t="shared" si="170"/>
        <v>195.83999999999997</v>
      </c>
      <c r="AP167">
        <f t="shared" si="171"/>
        <v>72.28235294117647</v>
      </c>
      <c r="AQ167">
        <f t="shared" si="172"/>
        <v>5.421176470588235</v>
      </c>
      <c r="AR167">
        <f t="shared" si="174"/>
        <v>1.6</v>
      </c>
      <c r="AS167">
        <f t="shared" si="194"/>
        <v>1.8</v>
      </c>
      <c r="AT167">
        <f t="shared" si="195"/>
        <v>3</v>
      </c>
      <c r="AU167">
        <f t="shared" si="222"/>
        <v>2011</v>
      </c>
      <c r="AV167" s="1">
        <v>1</v>
      </c>
      <c r="AW167">
        <v>5</v>
      </c>
      <c r="AX167">
        <v>0.2</v>
      </c>
      <c r="AZ167">
        <v>2</v>
      </c>
      <c r="BA167">
        <v>1</v>
      </c>
      <c r="CG167" t="str">
        <f t="shared" si="176"/>
        <v>DATA_Class_Base18</v>
      </c>
      <c r="CH167" s="6" t="s">
        <v>324</v>
      </c>
    </row>
    <row r="168" spans="1:86" ht="14.25">
      <c r="A168">
        <f t="shared" si="218"/>
        <v>5051202</v>
      </c>
      <c r="B168" s="2" t="s">
        <v>474</v>
      </c>
      <c r="C168" s="48" t="s">
        <v>475</v>
      </c>
      <c r="D168">
        <v>5</v>
      </c>
      <c r="E168">
        <v>2</v>
      </c>
      <c r="F168">
        <v>1</v>
      </c>
      <c r="G168" s="3" t="s">
        <v>476</v>
      </c>
      <c r="H168" s="3" t="s">
        <v>476</v>
      </c>
      <c r="I168">
        <v>0</v>
      </c>
      <c r="J168" s="8" t="s">
        <v>477</v>
      </c>
      <c r="K168" s="2">
        <f t="shared" si="215"/>
        <v>3</v>
      </c>
      <c r="L168" s="2">
        <f t="shared" si="219"/>
        <v>1.6</v>
      </c>
      <c r="M168" s="2">
        <f t="shared" si="219"/>
        <v>2</v>
      </c>
      <c r="N168" s="2">
        <v>10</v>
      </c>
      <c r="O168" s="2">
        <f t="shared" si="220"/>
        <v>180.22</v>
      </c>
      <c r="P168" s="2">
        <f t="shared" si="220"/>
        <v>9.19</v>
      </c>
      <c r="Q168" s="2">
        <f t="shared" si="220"/>
        <v>3168</v>
      </c>
      <c r="R168" s="2">
        <f t="shared" si="220"/>
        <v>161.57</v>
      </c>
      <c r="S168" s="2">
        <f t="shared" si="220"/>
        <v>66.75</v>
      </c>
      <c r="T168" s="2">
        <f t="shared" si="220"/>
        <v>5.01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16">
        <v>512021</v>
      </c>
      <c r="AA168" s="14" t="s">
        <v>478</v>
      </c>
      <c r="AB168" s="15" t="s">
        <v>469</v>
      </c>
      <c r="AC168" s="2">
        <v>5061202</v>
      </c>
      <c r="AD168" s="52">
        <v>4</v>
      </c>
      <c r="AE168" s="2">
        <v>1</v>
      </c>
      <c r="AF168" s="2">
        <f t="shared" si="223"/>
        <v>5051202</v>
      </c>
      <c r="AG168" s="2">
        <v>1</v>
      </c>
      <c r="AH168" s="2"/>
      <c r="AI168">
        <v>1</v>
      </c>
      <c r="AJ168" s="1">
        <f t="shared" si="221"/>
        <v>103.97088648114305</v>
      </c>
      <c r="AK168">
        <v>5</v>
      </c>
      <c r="AL168">
        <f t="shared" si="167"/>
        <v>163.84000000000003</v>
      </c>
      <c r="AM168">
        <f t="shared" si="168"/>
        <v>8.3558400000000006</v>
      </c>
      <c r="AN168">
        <f t="shared" si="169"/>
        <v>2880</v>
      </c>
      <c r="AO168">
        <f t="shared" si="170"/>
        <v>146.88</v>
      </c>
      <c r="AP168">
        <f t="shared" si="171"/>
        <v>60.681481481481491</v>
      </c>
      <c r="AQ168">
        <f t="shared" si="172"/>
        <v>4.551111111111112</v>
      </c>
      <c r="AR168">
        <f t="shared" si="174"/>
        <v>1.6</v>
      </c>
      <c r="AS168">
        <f t="shared" si="194"/>
        <v>2</v>
      </c>
      <c r="AT168">
        <f t="shared" si="195"/>
        <v>3</v>
      </c>
      <c r="AU168">
        <f t="shared" si="222"/>
        <v>2021</v>
      </c>
      <c r="AV168" s="1">
        <v>2</v>
      </c>
      <c r="AW168">
        <v>5</v>
      </c>
      <c r="AX168">
        <v>0.1</v>
      </c>
      <c r="AZ168">
        <v>2</v>
      </c>
      <c r="BA168">
        <v>1</v>
      </c>
      <c r="CG168" t="str">
        <f t="shared" si="176"/>
        <v>DATA_Class_Base19</v>
      </c>
      <c r="CH168" s="6" t="s">
        <v>331</v>
      </c>
    </row>
    <row r="169" spans="1:86" ht="14.25">
      <c r="A169">
        <f t="shared" si="218"/>
        <v>5051301</v>
      </c>
      <c r="B169" s="2" t="s">
        <v>479</v>
      </c>
      <c r="C169" s="48" t="s">
        <v>480</v>
      </c>
      <c r="D169">
        <v>5</v>
      </c>
      <c r="E169">
        <v>3</v>
      </c>
      <c r="F169">
        <v>1</v>
      </c>
      <c r="G169" s="3" t="s">
        <v>481</v>
      </c>
      <c r="H169" s="3" t="s">
        <v>481</v>
      </c>
      <c r="I169" s="2">
        <v>0</v>
      </c>
      <c r="J169" s="8" t="s">
        <v>482</v>
      </c>
      <c r="K169" s="2">
        <f t="shared" si="215"/>
        <v>3</v>
      </c>
      <c r="L169" s="2">
        <f t="shared" si="219"/>
        <v>1.3</v>
      </c>
      <c r="M169" s="2">
        <f t="shared" si="219"/>
        <v>2</v>
      </c>
      <c r="N169" s="2">
        <v>10</v>
      </c>
      <c r="O169" s="2">
        <f t="shared" si="220"/>
        <v>201.34</v>
      </c>
      <c r="P169" s="2">
        <f t="shared" si="220"/>
        <v>10.27</v>
      </c>
      <c r="Q169" s="2">
        <f t="shared" si="220"/>
        <v>2304</v>
      </c>
      <c r="R169" s="2">
        <f t="shared" si="220"/>
        <v>117.5</v>
      </c>
      <c r="S169" s="2">
        <f t="shared" si="220"/>
        <v>57.53</v>
      </c>
      <c r="T169" s="2">
        <f t="shared" si="220"/>
        <v>4.3099999999999996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16">
        <v>513011</v>
      </c>
      <c r="AA169" s="14" t="s">
        <v>483</v>
      </c>
      <c r="AB169" s="15" t="s">
        <v>469</v>
      </c>
      <c r="AC169" s="2">
        <v>5061301</v>
      </c>
      <c r="AD169" s="52">
        <v>4</v>
      </c>
      <c r="AE169" s="2">
        <v>1</v>
      </c>
      <c r="AF169" s="2">
        <f t="shared" si="223"/>
        <v>5051301</v>
      </c>
      <c r="AG169" s="2">
        <v>1</v>
      </c>
      <c r="AH169" s="2"/>
      <c r="AI169">
        <v>1</v>
      </c>
      <c r="AJ169" s="1">
        <f t="shared" si="221"/>
        <v>103.78133384227876</v>
      </c>
      <c r="AK169">
        <v>5</v>
      </c>
      <c r="AL169">
        <f t="shared" si="167"/>
        <v>183.04000000000005</v>
      </c>
      <c r="AM169">
        <f t="shared" si="168"/>
        <v>9.3350400000000011</v>
      </c>
      <c r="AN169">
        <f t="shared" si="169"/>
        <v>2094.5454545454545</v>
      </c>
      <c r="AO169">
        <f t="shared" si="170"/>
        <v>106.82181818181817</v>
      </c>
      <c r="AP169">
        <f t="shared" si="171"/>
        <v>52.297142857142873</v>
      </c>
      <c r="AQ169">
        <f t="shared" si="172"/>
        <v>3.9222857142857155</v>
      </c>
      <c r="AR169">
        <f t="shared" si="174"/>
        <v>1.3</v>
      </c>
      <c r="AS169">
        <f t="shared" si="194"/>
        <v>2</v>
      </c>
      <c r="AT169">
        <f t="shared" si="195"/>
        <v>3</v>
      </c>
      <c r="AU169">
        <f t="shared" si="222"/>
        <v>3011</v>
      </c>
      <c r="AV169" s="1">
        <v>1</v>
      </c>
      <c r="AW169">
        <v>5</v>
      </c>
      <c r="AX169">
        <v>0.1</v>
      </c>
      <c r="AZ169">
        <v>3</v>
      </c>
      <c r="BA169">
        <v>1</v>
      </c>
      <c r="CG169" t="str">
        <f t="shared" si="176"/>
        <v>DATA_Class_Base20</v>
      </c>
      <c r="CH169" s="6" t="s">
        <v>336</v>
      </c>
    </row>
    <row r="170" spans="1:86" ht="14.25">
      <c r="A170">
        <f t="shared" si="218"/>
        <v>5051401</v>
      </c>
      <c r="B170" s="2" t="s">
        <v>484</v>
      </c>
      <c r="C170" s="48" t="s">
        <v>485</v>
      </c>
      <c r="D170">
        <v>5</v>
      </c>
      <c r="E170">
        <v>4</v>
      </c>
      <c r="F170">
        <v>1</v>
      </c>
      <c r="G170" s="3" t="s">
        <v>486</v>
      </c>
      <c r="H170" s="3" t="s">
        <v>486</v>
      </c>
      <c r="I170" s="2">
        <v>0</v>
      </c>
      <c r="J170" s="2" t="s">
        <v>161</v>
      </c>
      <c r="K170" s="2">
        <f t="shared" si="215"/>
        <v>6</v>
      </c>
      <c r="L170" s="2">
        <f t="shared" si="219"/>
        <v>1.6</v>
      </c>
      <c r="M170" s="2">
        <f t="shared" si="219"/>
        <v>2</v>
      </c>
      <c r="N170" s="2">
        <v>10</v>
      </c>
      <c r="O170" s="2">
        <f t="shared" si="220"/>
        <v>247.81</v>
      </c>
      <c r="P170" s="2">
        <f t="shared" si="220"/>
        <v>12.64</v>
      </c>
      <c r="Q170" s="2">
        <f t="shared" si="220"/>
        <v>2304</v>
      </c>
      <c r="R170" s="2">
        <f t="shared" si="220"/>
        <v>117.5</v>
      </c>
      <c r="S170" s="2">
        <f t="shared" si="220"/>
        <v>49.56</v>
      </c>
      <c r="T170" s="2">
        <f t="shared" si="220"/>
        <v>3.72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16">
        <v>514011</v>
      </c>
      <c r="AA170" s="14" t="s">
        <v>487</v>
      </c>
      <c r="AB170" s="15" t="s">
        <v>469</v>
      </c>
      <c r="AC170" s="2">
        <v>5061401</v>
      </c>
      <c r="AD170" s="52">
        <v>4</v>
      </c>
      <c r="AE170" s="2">
        <v>1</v>
      </c>
      <c r="AF170" s="2">
        <f t="shared" si="223"/>
        <v>5051401</v>
      </c>
      <c r="AG170" s="2">
        <v>1</v>
      </c>
      <c r="AH170" s="2"/>
      <c r="AI170">
        <v>1</v>
      </c>
      <c r="AJ170" s="1">
        <f t="shared" si="221"/>
        <v>103.61818185766251</v>
      </c>
      <c r="AK170">
        <v>5</v>
      </c>
      <c r="AL170">
        <f t="shared" si="167"/>
        <v>225.28000000000009</v>
      </c>
      <c r="AM170">
        <f t="shared" si="168"/>
        <v>11.489280000000004</v>
      </c>
      <c r="AN170">
        <f t="shared" si="169"/>
        <v>2094.5454545454545</v>
      </c>
      <c r="AO170">
        <f t="shared" si="170"/>
        <v>106.82181818181817</v>
      </c>
      <c r="AP170">
        <f t="shared" si="171"/>
        <v>45.056000000000019</v>
      </c>
      <c r="AQ170">
        <f t="shared" si="172"/>
        <v>3.3792000000000013</v>
      </c>
      <c r="AR170">
        <f t="shared" si="174"/>
        <v>1.6</v>
      </c>
      <c r="AS170">
        <f t="shared" si="194"/>
        <v>2</v>
      </c>
      <c r="AT170">
        <f t="shared" si="195"/>
        <v>6</v>
      </c>
      <c r="AU170">
        <f t="shared" si="222"/>
        <v>4011</v>
      </c>
      <c r="AV170" s="1">
        <v>1</v>
      </c>
      <c r="AW170">
        <v>5</v>
      </c>
      <c r="AX170">
        <v>0.1</v>
      </c>
      <c r="AZ170">
        <v>4</v>
      </c>
      <c r="BA170">
        <v>1</v>
      </c>
      <c r="CG170" t="str">
        <f t="shared" si="176"/>
        <v>DATA_Class_Base21</v>
      </c>
      <c r="CH170" s="6" t="s">
        <v>342</v>
      </c>
    </row>
    <row r="171" spans="1:86" ht="14.25">
      <c r="A171" s="49">
        <f t="shared" si="218"/>
        <v>5051402</v>
      </c>
      <c r="B171" s="2" t="s">
        <v>488</v>
      </c>
      <c r="C171" s="48" t="s">
        <v>489</v>
      </c>
      <c r="D171">
        <v>5</v>
      </c>
      <c r="E171">
        <v>4</v>
      </c>
      <c r="F171">
        <v>1</v>
      </c>
      <c r="G171" s="3" t="s">
        <v>490</v>
      </c>
      <c r="H171" s="3" t="s">
        <v>490</v>
      </c>
      <c r="I171">
        <v>0</v>
      </c>
      <c r="J171" s="8" t="s">
        <v>161</v>
      </c>
      <c r="K171" s="2">
        <f t="shared" si="215"/>
        <v>6</v>
      </c>
      <c r="L171" s="2">
        <f t="shared" si="219"/>
        <v>1.5</v>
      </c>
      <c r="M171" s="2">
        <f t="shared" si="219"/>
        <v>1.5</v>
      </c>
      <c r="N171" s="2">
        <v>10</v>
      </c>
      <c r="O171" s="2">
        <f t="shared" si="220"/>
        <v>264.95999999999998</v>
      </c>
      <c r="P171" s="2">
        <f t="shared" si="220"/>
        <v>13.51</v>
      </c>
      <c r="Q171" s="2">
        <f t="shared" si="220"/>
        <v>2208</v>
      </c>
      <c r="R171" s="2">
        <f t="shared" si="220"/>
        <v>112.61</v>
      </c>
      <c r="S171" s="2">
        <f t="shared" si="220"/>
        <v>44.16</v>
      </c>
      <c r="T171" s="2">
        <f t="shared" si="220"/>
        <v>3.31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16">
        <v>514021</v>
      </c>
      <c r="AA171" s="14" t="s">
        <v>491</v>
      </c>
      <c r="AB171" s="15" t="s">
        <v>469</v>
      </c>
      <c r="AC171" s="2">
        <v>5061402</v>
      </c>
      <c r="AD171" s="52">
        <v>2</v>
      </c>
      <c r="AE171" s="2">
        <v>1</v>
      </c>
      <c r="AF171" s="2">
        <f t="shared" si="223"/>
        <v>5051402</v>
      </c>
      <c r="AG171" s="2">
        <v>1</v>
      </c>
      <c r="AH171" s="2"/>
      <c r="AI171">
        <v>1</v>
      </c>
      <c r="AJ171" s="1">
        <f t="shared" si="221"/>
        <v>103.46866568921014</v>
      </c>
      <c r="AK171">
        <v>5</v>
      </c>
      <c r="AL171">
        <f t="shared" si="167"/>
        <v>230.4</v>
      </c>
      <c r="AM171">
        <f t="shared" si="168"/>
        <v>11.750399999999999</v>
      </c>
      <c r="AN171">
        <f t="shared" si="169"/>
        <v>1920</v>
      </c>
      <c r="AO171">
        <f t="shared" si="170"/>
        <v>97.919999999999987</v>
      </c>
      <c r="AP171">
        <f t="shared" si="171"/>
        <v>38.4</v>
      </c>
      <c r="AQ171">
        <f t="shared" si="172"/>
        <v>2.88</v>
      </c>
      <c r="AR171">
        <f t="shared" si="174"/>
        <v>1.5</v>
      </c>
      <c r="AS171">
        <f t="shared" si="194"/>
        <v>1.5</v>
      </c>
      <c r="AT171">
        <f t="shared" si="195"/>
        <v>6</v>
      </c>
      <c r="AU171">
        <f t="shared" si="222"/>
        <v>4021</v>
      </c>
      <c r="AV171" s="1">
        <v>2</v>
      </c>
      <c r="AW171">
        <v>5</v>
      </c>
      <c r="AX171">
        <v>0.15</v>
      </c>
      <c r="AZ171">
        <v>4</v>
      </c>
      <c r="BA171">
        <v>1</v>
      </c>
      <c r="CG171" t="str">
        <f t="shared" si="176"/>
        <v>DATA_Class_Base22</v>
      </c>
      <c r="CH171" s="6" t="s">
        <v>349</v>
      </c>
    </row>
    <row r="172" spans="1:86" ht="14.25">
      <c r="A172">
        <f t="shared" si="218"/>
        <v>5051500</v>
      </c>
      <c r="B172" s="2" t="s">
        <v>492</v>
      </c>
      <c r="C172" s="48" t="s">
        <v>493</v>
      </c>
      <c r="D172">
        <v>5</v>
      </c>
      <c r="E172">
        <v>5</v>
      </c>
      <c r="F172">
        <v>1</v>
      </c>
      <c r="G172" s="3" t="s">
        <v>494</v>
      </c>
      <c r="H172" s="3" t="s">
        <v>494</v>
      </c>
      <c r="I172">
        <v>0</v>
      </c>
      <c r="J172" s="2" t="s">
        <v>303</v>
      </c>
      <c r="K172" s="2">
        <f t="shared" si="215"/>
        <v>6</v>
      </c>
      <c r="L172" s="2">
        <f t="shared" si="219"/>
        <v>1.5</v>
      </c>
      <c r="M172" s="2">
        <f t="shared" si="219"/>
        <v>1.5</v>
      </c>
      <c r="N172" s="2">
        <v>10</v>
      </c>
      <c r="O172" s="2">
        <f t="shared" si="220"/>
        <v>322.56</v>
      </c>
      <c r="P172" s="2">
        <f t="shared" si="220"/>
        <v>16.45</v>
      </c>
      <c r="Q172" s="2">
        <f t="shared" si="220"/>
        <v>1974.86</v>
      </c>
      <c r="R172" s="2">
        <f t="shared" si="220"/>
        <v>100.72</v>
      </c>
      <c r="S172" s="2">
        <f t="shared" si="220"/>
        <v>46.08</v>
      </c>
      <c r="T172" s="2">
        <f t="shared" si="220"/>
        <v>3.46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16">
        <v>515001</v>
      </c>
      <c r="AA172" s="14" t="s">
        <v>495</v>
      </c>
      <c r="AB172" s="15" t="s">
        <v>469</v>
      </c>
      <c r="AC172" s="2">
        <v>5061500</v>
      </c>
      <c r="AD172" s="52">
        <v>1</v>
      </c>
      <c r="AE172" s="2">
        <v>1</v>
      </c>
      <c r="AF172" s="2">
        <f t="shared" si="223"/>
        <v>5051500</v>
      </c>
      <c r="AG172" s="2">
        <v>1</v>
      </c>
      <c r="AH172" s="2"/>
      <c r="AI172">
        <v>1</v>
      </c>
      <c r="AJ172" s="1">
        <f t="shared" si="221"/>
        <v>103.46866568921014</v>
      </c>
      <c r="AK172">
        <v>5</v>
      </c>
      <c r="AL172">
        <f t="shared" si="167"/>
        <v>268.79999999999995</v>
      </c>
      <c r="AM172">
        <f t="shared" si="168"/>
        <v>13.708799999999997</v>
      </c>
      <c r="AN172">
        <f t="shared" si="169"/>
        <v>1645.714285714286</v>
      </c>
      <c r="AO172">
        <f t="shared" si="170"/>
        <v>83.931428571428583</v>
      </c>
      <c r="AP172">
        <f t="shared" si="171"/>
        <v>38.399999999999991</v>
      </c>
      <c r="AQ172">
        <f t="shared" si="172"/>
        <v>2.8799999999999994</v>
      </c>
      <c r="AR172">
        <f t="shared" si="174"/>
        <v>1.5</v>
      </c>
      <c r="AS172">
        <f t="shared" si="194"/>
        <v>1.5</v>
      </c>
      <c r="AT172">
        <f t="shared" si="195"/>
        <v>6</v>
      </c>
      <c r="AU172">
        <f t="shared" si="222"/>
        <v>5001</v>
      </c>
      <c r="AV172" s="1">
        <v>0</v>
      </c>
      <c r="AW172">
        <v>5</v>
      </c>
      <c r="AX172">
        <v>0.2</v>
      </c>
      <c r="AZ172">
        <v>5</v>
      </c>
      <c r="BA172">
        <v>1</v>
      </c>
      <c r="CG172" t="str">
        <f t="shared" si="176"/>
        <v>DATA_Class_Base23</v>
      </c>
      <c r="CH172" s="6" t="s">
        <v>355</v>
      </c>
    </row>
    <row r="173" spans="1:86" ht="14.25">
      <c r="A173">
        <f t="shared" si="218"/>
        <v>5051502</v>
      </c>
      <c r="B173" s="2" t="s">
        <v>496</v>
      </c>
      <c r="C173" s="48" t="s">
        <v>497</v>
      </c>
      <c r="D173">
        <v>5</v>
      </c>
      <c r="E173">
        <v>5</v>
      </c>
      <c r="F173">
        <v>1</v>
      </c>
      <c r="G173" s="3" t="s">
        <v>498</v>
      </c>
      <c r="H173" s="3" t="s">
        <v>498</v>
      </c>
      <c r="I173" s="2">
        <v>0</v>
      </c>
      <c r="J173" s="8" t="s">
        <v>352</v>
      </c>
      <c r="K173" s="2">
        <f t="shared" si="215"/>
        <v>6</v>
      </c>
      <c r="L173" s="2">
        <f t="shared" si="219"/>
        <v>1.4000000000000001</v>
      </c>
      <c r="M173" s="2">
        <f t="shared" si="219"/>
        <v>2</v>
      </c>
      <c r="N173" s="2">
        <v>10</v>
      </c>
      <c r="O173" s="2">
        <f t="shared" si="220"/>
        <v>267.89999999999998</v>
      </c>
      <c r="P173" s="2">
        <f t="shared" si="220"/>
        <v>13.66</v>
      </c>
      <c r="Q173" s="2">
        <f t="shared" si="220"/>
        <v>2038.15</v>
      </c>
      <c r="R173" s="2">
        <f t="shared" si="220"/>
        <v>103.95</v>
      </c>
      <c r="S173" s="2">
        <f t="shared" si="220"/>
        <v>41.22</v>
      </c>
      <c r="T173" s="2">
        <f t="shared" si="220"/>
        <v>3.09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16">
        <v>515021</v>
      </c>
      <c r="AA173" s="14" t="s">
        <v>499</v>
      </c>
      <c r="AB173" s="15" t="s">
        <v>469</v>
      </c>
      <c r="AC173" s="2">
        <v>5061502</v>
      </c>
      <c r="AD173" s="52">
        <v>2</v>
      </c>
      <c r="AE173" s="2">
        <v>1</v>
      </c>
      <c r="AF173" s="2">
        <f t="shared" si="223"/>
        <v>5051502</v>
      </c>
      <c r="AG173" s="2">
        <v>1</v>
      </c>
      <c r="AH173" s="2"/>
      <c r="AI173">
        <v>1</v>
      </c>
      <c r="AJ173" s="1">
        <f t="shared" si="221"/>
        <v>103.41127430053017</v>
      </c>
      <c r="AK173">
        <v>5</v>
      </c>
      <c r="AL173">
        <f t="shared" si="167"/>
        <v>232.95999999999995</v>
      </c>
      <c r="AM173">
        <f t="shared" si="168"/>
        <v>11.880959999999996</v>
      </c>
      <c r="AN173">
        <f t="shared" si="169"/>
        <v>1772.3076923076924</v>
      </c>
      <c r="AO173">
        <f t="shared" si="170"/>
        <v>90.387692307692305</v>
      </c>
      <c r="AP173">
        <f t="shared" si="171"/>
        <v>35.839999999999989</v>
      </c>
      <c r="AQ173">
        <f t="shared" si="172"/>
        <v>2.6879999999999993</v>
      </c>
      <c r="AR173">
        <f t="shared" si="174"/>
        <v>1.4</v>
      </c>
      <c r="AS173">
        <f t="shared" si="194"/>
        <v>2</v>
      </c>
      <c r="AT173">
        <f t="shared" si="195"/>
        <v>6</v>
      </c>
      <c r="AU173">
        <f t="shared" si="222"/>
        <v>5021</v>
      </c>
      <c r="AV173" s="1">
        <v>2</v>
      </c>
      <c r="AW173">
        <v>5</v>
      </c>
      <c r="AX173">
        <v>0.15</v>
      </c>
      <c r="AZ173">
        <v>5</v>
      </c>
      <c r="BA173">
        <v>1</v>
      </c>
      <c r="CG173" t="str">
        <f t="shared" si="176"/>
        <v>DATA_Class_Base24</v>
      </c>
      <c r="CH173" s="6" t="s">
        <v>361</v>
      </c>
    </row>
    <row r="174" spans="1:86" ht="14.25">
      <c r="A174">
        <f t="shared" si="218"/>
        <v>5051601</v>
      </c>
      <c r="B174" s="2" t="s">
        <v>500</v>
      </c>
      <c r="C174" s="48" t="s">
        <v>501</v>
      </c>
      <c r="D174">
        <v>5</v>
      </c>
      <c r="E174">
        <v>6</v>
      </c>
      <c r="F174">
        <v>1</v>
      </c>
      <c r="G174" s="3" t="s">
        <v>502</v>
      </c>
      <c r="H174" s="3" t="s">
        <v>502</v>
      </c>
      <c r="I174">
        <v>0</v>
      </c>
      <c r="J174" s="2" t="s">
        <v>309</v>
      </c>
      <c r="K174" s="2">
        <f t="shared" si="215"/>
        <v>6</v>
      </c>
      <c r="L174" s="2">
        <f t="shared" si="219"/>
        <v>1.5</v>
      </c>
      <c r="M174" s="2">
        <f t="shared" si="219"/>
        <v>2</v>
      </c>
      <c r="N174" s="2">
        <v>10</v>
      </c>
      <c r="O174" s="2">
        <f t="shared" si="220"/>
        <v>220.8</v>
      </c>
      <c r="P174" s="2">
        <f t="shared" si="220"/>
        <v>11.26</v>
      </c>
      <c r="Q174" s="2">
        <f t="shared" si="220"/>
        <v>2649.6</v>
      </c>
      <c r="R174" s="2">
        <f t="shared" si="220"/>
        <v>135.13</v>
      </c>
      <c r="S174" s="2">
        <f t="shared" si="220"/>
        <v>49.07</v>
      </c>
      <c r="T174" s="2">
        <f t="shared" si="220"/>
        <v>3.68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16">
        <v>516011</v>
      </c>
      <c r="AA174" s="14" t="s">
        <v>503</v>
      </c>
      <c r="AB174" s="15" t="s">
        <v>469</v>
      </c>
      <c r="AC174" s="2">
        <v>5061601</v>
      </c>
      <c r="AD174" s="52">
        <v>2</v>
      </c>
      <c r="AE174" s="2">
        <v>1</v>
      </c>
      <c r="AF174" s="2">
        <f t="shared" si="223"/>
        <v>5051601</v>
      </c>
      <c r="AG174" s="2">
        <v>1</v>
      </c>
      <c r="AH174" s="2"/>
      <c r="AI174">
        <v>1</v>
      </c>
      <c r="AJ174" s="1">
        <f t="shared" si="221"/>
        <v>103.56445969555389</v>
      </c>
      <c r="AK174">
        <v>5</v>
      </c>
      <c r="AL174">
        <f t="shared" si="167"/>
        <v>192</v>
      </c>
      <c r="AM174">
        <f t="shared" si="168"/>
        <v>9.7919999999999998</v>
      </c>
      <c r="AN174">
        <f t="shared" si="169"/>
        <v>2304</v>
      </c>
      <c r="AO174">
        <f t="shared" si="170"/>
        <v>117.50399999999999</v>
      </c>
      <c r="AP174">
        <f t="shared" si="171"/>
        <v>42.666666666666664</v>
      </c>
      <c r="AQ174">
        <f t="shared" si="172"/>
        <v>3.1999999999999997</v>
      </c>
      <c r="AR174">
        <f t="shared" si="174"/>
        <v>1.5</v>
      </c>
      <c r="AS174">
        <f t="shared" si="194"/>
        <v>2</v>
      </c>
      <c r="AT174">
        <f t="shared" si="195"/>
        <v>6</v>
      </c>
      <c r="AU174">
        <f t="shared" si="222"/>
        <v>6011</v>
      </c>
      <c r="AV174" s="1">
        <v>1</v>
      </c>
      <c r="AW174">
        <v>5</v>
      </c>
      <c r="AX174">
        <v>0.15</v>
      </c>
      <c r="AZ174">
        <v>6</v>
      </c>
      <c r="BA174">
        <v>1</v>
      </c>
      <c r="CG174" t="str">
        <f t="shared" si="176"/>
        <v>DATA_Class_Base25</v>
      </c>
      <c r="CH174" s="6" t="s">
        <v>366</v>
      </c>
    </row>
    <row r="175" spans="1:86" ht="14.25">
      <c r="A175">
        <f t="shared" si="218"/>
        <v>5052200</v>
      </c>
      <c r="B175" s="2" t="s">
        <v>504</v>
      </c>
      <c r="C175" s="48" t="s">
        <v>505</v>
      </c>
      <c r="D175">
        <v>5</v>
      </c>
      <c r="E175">
        <v>2</v>
      </c>
      <c r="F175">
        <v>2</v>
      </c>
      <c r="G175" s="3" t="s">
        <v>506</v>
      </c>
      <c r="H175" s="3" t="s">
        <v>506</v>
      </c>
      <c r="I175">
        <v>0</v>
      </c>
      <c r="J175" s="8" t="s">
        <v>507</v>
      </c>
      <c r="K175" s="2">
        <f t="shared" si="215"/>
        <v>3</v>
      </c>
      <c r="L175" s="2">
        <f t="shared" si="219"/>
        <v>1.5</v>
      </c>
      <c r="M175" s="2">
        <f t="shared" si="219"/>
        <v>1.2</v>
      </c>
      <c r="N175" s="2">
        <v>10</v>
      </c>
      <c r="O175" s="2">
        <f t="shared" si="220"/>
        <v>220.8</v>
      </c>
      <c r="P175" s="2">
        <f t="shared" si="220"/>
        <v>11.26</v>
      </c>
      <c r="Q175" s="2">
        <f t="shared" si="220"/>
        <v>2649.6</v>
      </c>
      <c r="R175" s="2">
        <f t="shared" si="220"/>
        <v>135.13</v>
      </c>
      <c r="S175" s="2">
        <f t="shared" si="220"/>
        <v>73.599999999999994</v>
      </c>
      <c r="T175" s="2">
        <f t="shared" si="220"/>
        <v>5.52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16">
        <v>522001</v>
      </c>
      <c r="AA175" s="14" t="s">
        <v>508</v>
      </c>
      <c r="AB175" s="15" t="s">
        <v>469</v>
      </c>
      <c r="AC175" s="2">
        <v>5062200</v>
      </c>
      <c r="AD175" s="52">
        <v>2</v>
      </c>
      <c r="AE175" s="2">
        <v>1</v>
      </c>
      <c r="AF175" s="2">
        <f t="shared" si="223"/>
        <v>5052200</v>
      </c>
      <c r="AG175" s="2">
        <v>1</v>
      </c>
      <c r="AH175" s="2"/>
      <c r="AI175">
        <v>1</v>
      </c>
      <c r="AJ175" s="1">
        <f t="shared" si="221"/>
        <v>104.04610275924726</v>
      </c>
      <c r="AK175">
        <v>5</v>
      </c>
      <c r="AL175">
        <f t="shared" si="167"/>
        <v>192</v>
      </c>
      <c r="AM175">
        <f t="shared" si="168"/>
        <v>9.7919999999999998</v>
      </c>
      <c r="AN175">
        <f t="shared" si="169"/>
        <v>2304</v>
      </c>
      <c r="AO175">
        <f t="shared" si="170"/>
        <v>117.50399999999999</v>
      </c>
      <c r="AP175">
        <f t="shared" si="171"/>
        <v>64</v>
      </c>
      <c r="AQ175">
        <f t="shared" si="172"/>
        <v>4.8</v>
      </c>
      <c r="AR175">
        <f t="shared" si="174"/>
        <v>1.5</v>
      </c>
      <c r="AS175">
        <f t="shared" si="194"/>
        <v>1.2</v>
      </c>
      <c r="AT175">
        <f t="shared" si="195"/>
        <v>3</v>
      </c>
      <c r="AU175">
        <f t="shared" si="222"/>
        <v>2002</v>
      </c>
      <c r="AV175" s="1">
        <v>0</v>
      </c>
      <c r="AW175">
        <v>5</v>
      </c>
      <c r="AX175">
        <v>0.15</v>
      </c>
      <c r="AZ175">
        <v>2</v>
      </c>
      <c r="BA175">
        <v>2</v>
      </c>
      <c r="CG175" t="str">
        <f t="shared" si="176"/>
        <v>DATA_Class_Base26</v>
      </c>
      <c r="CH175" s="6" t="s">
        <v>369</v>
      </c>
    </row>
    <row r="176" spans="1:86" ht="14.25">
      <c r="A176" s="49">
        <f t="shared" si="218"/>
        <v>5052201</v>
      </c>
      <c r="B176" s="2" t="s">
        <v>509</v>
      </c>
      <c r="C176" s="48" t="s">
        <v>510</v>
      </c>
      <c r="D176">
        <v>5</v>
      </c>
      <c r="E176">
        <v>2</v>
      </c>
      <c r="F176">
        <v>2</v>
      </c>
      <c r="G176" s="3" t="s">
        <v>511</v>
      </c>
      <c r="H176" s="3" t="s">
        <v>511</v>
      </c>
      <c r="I176">
        <v>0</v>
      </c>
      <c r="J176" s="8" t="s">
        <v>512</v>
      </c>
      <c r="K176" s="2">
        <f t="shared" si="215"/>
        <v>3</v>
      </c>
      <c r="L176" s="2">
        <f t="shared" si="219"/>
        <v>1.5</v>
      </c>
      <c r="M176" s="2">
        <f t="shared" si="219"/>
        <v>1.8</v>
      </c>
      <c r="N176" s="2">
        <v>10</v>
      </c>
      <c r="O176" s="2">
        <f t="shared" si="220"/>
        <v>176.64</v>
      </c>
      <c r="P176" s="2">
        <f t="shared" si="220"/>
        <v>9.01</v>
      </c>
      <c r="Q176" s="2">
        <f t="shared" si="220"/>
        <v>3312</v>
      </c>
      <c r="R176" s="2">
        <f t="shared" si="220"/>
        <v>168.91</v>
      </c>
      <c r="S176" s="2">
        <f t="shared" si="220"/>
        <v>76.8</v>
      </c>
      <c r="T176" s="2">
        <f t="shared" si="220"/>
        <v>5.76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16">
        <v>522011</v>
      </c>
      <c r="AA176" s="14" t="s">
        <v>513</v>
      </c>
      <c r="AB176" s="15" t="s">
        <v>469</v>
      </c>
      <c r="AC176" s="2">
        <v>5062201</v>
      </c>
      <c r="AD176" s="52">
        <v>2</v>
      </c>
      <c r="AE176" s="2">
        <v>1</v>
      </c>
      <c r="AF176" s="2">
        <f t="shared" si="223"/>
        <v>5052201</v>
      </c>
      <c r="AG176" s="2">
        <v>1</v>
      </c>
      <c r="AH176" s="2"/>
      <c r="AI176">
        <v>1</v>
      </c>
      <c r="AJ176" s="1">
        <f t="shared" si="221"/>
        <v>104.10925624538771</v>
      </c>
      <c r="AK176">
        <v>5</v>
      </c>
      <c r="AL176">
        <f t="shared" si="167"/>
        <v>153.60000000000002</v>
      </c>
      <c r="AM176">
        <f t="shared" si="168"/>
        <v>7.8336000000000006</v>
      </c>
      <c r="AN176">
        <f t="shared" si="169"/>
        <v>2880</v>
      </c>
      <c r="AO176">
        <f t="shared" si="170"/>
        <v>146.88</v>
      </c>
      <c r="AP176">
        <f t="shared" si="171"/>
        <v>66.782608695652186</v>
      </c>
      <c r="AQ176">
        <f t="shared" si="172"/>
        <v>5.0086956521739134</v>
      </c>
      <c r="AR176">
        <f t="shared" si="174"/>
        <v>1.5</v>
      </c>
      <c r="AS176">
        <f t="shared" si="194"/>
        <v>1.8</v>
      </c>
      <c r="AT176">
        <f t="shared" si="195"/>
        <v>3</v>
      </c>
      <c r="AU176">
        <f t="shared" si="222"/>
        <v>2012</v>
      </c>
      <c r="AV176" s="1">
        <v>1</v>
      </c>
      <c r="AW176">
        <v>5</v>
      </c>
      <c r="AX176">
        <v>0.15</v>
      </c>
      <c r="AZ176">
        <v>2</v>
      </c>
      <c r="BA176">
        <v>2</v>
      </c>
      <c r="CG176" t="str">
        <f t="shared" si="176"/>
        <v>DATA_Class_Base27</v>
      </c>
      <c r="CH176" s="6" t="s">
        <v>371</v>
      </c>
    </row>
    <row r="177" spans="1:86" ht="14.25">
      <c r="A177">
        <f t="shared" si="218"/>
        <v>5052202</v>
      </c>
      <c r="B177" s="2" t="s">
        <v>514</v>
      </c>
      <c r="C177" s="48" t="s">
        <v>515</v>
      </c>
      <c r="D177">
        <v>5</v>
      </c>
      <c r="E177">
        <v>2</v>
      </c>
      <c r="F177">
        <v>2</v>
      </c>
      <c r="G177" s="3" t="s">
        <v>516</v>
      </c>
      <c r="H177" s="3" t="s">
        <v>516</v>
      </c>
      <c r="I177" s="2">
        <v>0</v>
      </c>
      <c r="J177" s="2" t="s">
        <v>280</v>
      </c>
      <c r="K177" s="2">
        <f t="shared" si="215"/>
        <v>3</v>
      </c>
      <c r="L177" s="2">
        <f t="shared" si="219"/>
        <v>1.6</v>
      </c>
      <c r="M177" s="2">
        <f t="shared" si="219"/>
        <v>2</v>
      </c>
      <c r="N177" s="2">
        <v>10</v>
      </c>
      <c r="O177" s="2">
        <f t="shared" si="220"/>
        <v>259.07</v>
      </c>
      <c r="P177" s="2">
        <f t="shared" si="220"/>
        <v>13.21</v>
      </c>
      <c r="Q177" s="2">
        <f t="shared" si="220"/>
        <v>2203.83</v>
      </c>
      <c r="R177" s="2">
        <f t="shared" si="220"/>
        <v>112.4</v>
      </c>
      <c r="S177" s="2">
        <f t="shared" si="220"/>
        <v>64.77</v>
      </c>
      <c r="T177" s="2">
        <f t="shared" si="220"/>
        <v>4.8600000000000003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16">
        <v>522021</v>
      </c>
      <c r="AA177" s="14" t="s">
        <v>517</v>
      </c>
      <c r="AB177" s="15" t="s">
        <v>469</v>
      </c>
      <c r="AC177" s="2">
        <v>5062202</v>
      </c>
      <c r="AD177" s="52">
        <v>4</v>
      </c>
      <c r="AE177" s="2">
        <v>1</v>
      </c>
      <c r="AF177" s="2">
        <f t="shared" si="223"/>
        <v>5052202</v>
      </c>
      <c r="AG177" s="2">
        <v>1</v>
      </c>
      <c r="AH177" s="2"/>
      <c r="AI177">
        <v>1</v>
      </c>
      <c r="AJ177" s="1">
        <f t="shared" si="221"/>
        <v>103.93010031113879</v>
      </c>
      <c r="AK177">
        <v>5</v>
      </c>
      <c r="AL177">
        <f t="shared" si="167"/>
        <v>235.51999999999998</v>
      </c>
      <c r="AM177">
        <f t="shared" si="168"/>
        <v>12.011519999999999</v>
      </c>
      <c r="AN177">
        <f t="shared" si="169"/>
        <v>2003.4782608695657</v>
      </c>
      <c r="AO177">
        <f t="shared" si="170"/>
        <v>102.17739130434785</v>
      </c>
      <c r="AP177">
        <f t="shared" si="171"/>
        <v>58.879999999999995</v>
      </c>
      <c r="AQ177">
        <f t="shared" si="172"/>
        <v>4.4159999999999995</v>
      </c>
      <c r="AR177">
        <f t="shared" si="174"/>
        <v>1.6</v>
      </c>
      <c r="AS177">
        <f t="shared" si="194"/>
        <v>2</v>
      </c>
      <c r="AT177">
        <f t="shared" si="195"/>
        <v>3</v>
      </c>
      <c r="AU177">
        <f t="shared" si="222"/>
        <v>2022</v>
      </c>
      <c r="AV177" s="1">
        <v>2</v>
      </c>
      <c r="AW177">
        <v>5</v>
      </c>
      <c r="AX177">
        <v>0.1</v>
      </c>
      <c r="AZ177">
        <v>2</v>
      </c>
      <c r="BA177">
        <v>2</v>
      </c>
      <c r="CG177" t="str">
        <f t="shared" si="176"/>
        <v>DATA_Class_Base13</v>
      </c>
      <c r="CH177" s="6" t="s">
        <v>295</v>
      </c>
    </row>
    <row r="178" spans="1:86" ht="14.25">
      <c r="A178">
        <f t="shared" si="218"/>
        <v>5052301</v>
      </c>
      <c r="B178" s="2" t="s">
        <v>518</v>
      </c>
      <c r="C178" s="48" t="s">
        <v>519</v>
      </c>
      <c r="D178">
        <v>5</v>
      </c>
      <c r="E178">
        <v>3</v>
      </c>
      <c r="F178">
        <v>2</v>
      </c>
      <c r="G178" s="3" t="s">
        <v>520</v>
      </c>
      <c r="H178" s="3" t="s">
        <v>520</v>
      </c>
      <c r="I178">
        <v>0</v>
      </c>
      <c r="J178" s="2" t="s">
        <v>285</v>
      </c>
      <c r="K178" s="2">
        <f t="shared" si="215"/>
        <v>3</v>
      </c>
      <c r="L178" s="2">
        <f t="shared" si="219"/>
        <v>1.2</v>
      </c>
      <c r="M178" s="2">
        <f t="shared" si="219"/>
        <v>1.7</v>
      </c>
      <c r="N178" s="2">
        <v>10</v>
      </c>
      <c r="O178" s="2">
        <f t="shared" si="220"/>
        <v>219.65</v>
      </c>
      <c r="P178" s="2">
        <f t="shared" si="220"/>
        <v>11.2</v>
      </c>
      <c r="Q178" s="2">
        <f t="shared" si="220"/>
        <v>1949.54</v>
      </c>
      <c r="R178" s="2">
        <f t="shared" si="220"/>
        <v>99.43</v>
      </c>
      <c r="S178" s="2">
        <f t="shared" si="220"/>
        <v>54.91</v>
      </c>
      <c r="T178" s="2">
        <f t="shared" si="220"/>
        <v>4.12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16">
        <v>523011</v>
      </c>
      <c r="AA178" s="14" t="s">
        <v>521</v>
      </c>
      <c r="AB178" s="15" t="s">
        <v>469</v>
      </c>
      <c r="AC178" s="2">
        <v>5062301</v>
      </c>
      <c r="AD178" s="52">
        <v>4</v>
      </c>
      <c r="AE178" s="2">
        <v>1</v>
      </c>
      <c r="AF178" s="2">
        <f t="shared" si="223"/>
        <v>5052301</v>
      </c>
      <c r="AG178" s="2">
        <v>1</v>
      </c>
      <c r="AH178" s="2"/>
      <c r="AI178">
        <v>1</v>
      </c>
      <c r="AJ178" s="1">
        <f t="shared" ref="AJ178:AJ241" si="224">(AN178+AO178*AI178)*(AL178+AM178*AI178)/AR178*(0.9)*(1+0.5*0.1)*1/1/(1-(AP178+AQ178*AI178)*0.0002)/3000</f>
        <v>103.72771722875281</v>
      </c>
      <c r="AK178">
        <v>5</v>
      </c>
      <c r="AL178">
        <f t="shared" si="167"/>
        <v>199.68000000000004</v>
      </c>
      <c r="AM178">
        <f t="shared" si="168"/>
        <v>10.183680000000001</v>
      </c>
      <c r="AN178">
        <f t="shared" si="169"/>
        <v>1772.3076923076924</v>
      </c>
      <c r="AO178">
        <f t="shared" si="170"/>
        <v>90.387692307692305</v>
      </c>
      <c r="AP178">
        <f t="shared" si="171"/>
        <v>49.920000000000009</v>
      </c>
      <c r="AQ178">
        <f t="shared" si="172"/>
        <v>3.7440000000000007</v>
      </c>
      <c r="AR178">
        <f t="shared" si="174"/>
        <v>1.2</v>
      </c>
      <c r="AS178">
        <f t="shared" si="194"/>
        <v>1.7</v>
      </c>
      <c r="AT178">
        <f t="shared" si="195"/>
        <v>3</v>
      </c>
      <c r="AU178">
        <f t="shared" si="222"/>
        <v>3012</v>
      </c>
      <c r="AV178" s="1">
        <v>1</v>
      </c>
      <c r="AW178">
        <v>5</v>
      </c>
      <c r="AX178">
        <v>0.1</v>
      </c>
      <c r="AZ178">
        <v>3</v>
      </c>
      <c r="BA178">
        <v>2</v>
      </c>
      <c r="CG178" t="str">
        <f t="shared" si="176"/>
        <v>DATA_Class_Base14</v>
      </c>
      <c r="CH178" s="6" t="s">
        <v>300</v>
      </c>
    </row>
    <row r="179" spans="1:86" ht="14.25">
      <c r="A179">
        <f t="shared" si="218"/>
        <v>5052401</v>
      </c>
      <c r="B179" s="2" t="s">
        <v>522</v>
      </c>
      <c r="C179" s="48" t="s">
        <v>523</v>
      </c>
      <c r="D179">
        <v>5</v>
      </c>
      <c r="E179">
        <v>4</v>
      </c>
      <c r="F179">
        <v>2</v>
      </c>
      <c r="G179" s="3" t="s">
        <v>524</v>
      </c>
      <c r="H179" s="3" t="s">
        <v>524</v>
      </c>
      <c r="I179" s="2">
        <v>0</v>
      </c>
      <c r="J179" s="8" t="s">
        <v>250</v>
      </c>
      <c r="K179" s="2">
        <f t="shared" si="215"/>
        <v>6</v>
      </c>
      <c r="L179" s="2">
        <f t="shared" si="219"/>
        <v>1.6</v>
      </c>
      <c r="M179" s="2">
        <f t="shared" si="219"/>
        <v>1.5</v>
      </c>
      <c r="N179" s="2">
        <v>10</v>
      </c>
      <c r="O179" s="2">
        <f t="shared" si="220"/>
        <v>292.86</v>
      </c>
      <c r="P179" s="2">
        <f t="shared" si="220"/>
        <v>14.94</v>
      </c>
      <c r="Q179" s="2">
        <f t="shared" si="220"/>
        <v>1949.54</v>
      </c>
      <c r="R179" s="2">
        <f t="shared" si="220"/>
        <v>99.43</v>
      </c>
      <c r="S179" s="2">
        <f t="shared" si="220"/>
        <v>41.84</v>
      </c>
      <c r="T179" s="2">
        <f t="shared" si="220"/>
        <v>3.14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16">
        <v>524011</v>
      </c>
      <c r="AA179" s="14" t="s">
        <v>525</v>
      </c>
      <c r="AB179" s="15" t="s">
        <v>469</v>
      </c>
      <c r="AC179" s="2">
        <v>5062401</v>
      </c>
      <c r="AD179" s="52">
        <v>4</v>
      </c>
      <c r="AE179" s="2">
        <v>1</v>
      </c>
      <c r="AF179" s="2">
        <f t="shared" si="223"/>
        <v>5052401</v>
      </c>
      <c r="AG179" s="2">
        <v>1</v>
      </c>
      <c r="AH179" s="2"/>
      <c r="AI179">
        <v>1</v>
      </c>
      <c r="AJ179" s="1">
        <f t="shared" si="224"/>
        <v>103.46046301956297</v>
      </c>
      <c r="AK179">
        <v>5</v>
      </c>
      <c r="AL179">
        <f t="shared" si="167"/>
        <v>266.24</v>
      </c>
      <c r="AM179">
        <f t="shared" si="168"/>
        <v>13.578239999999999</v>
      </c>
      <c r="AN179">
        <f t="shared" si="169"/>
        <v>1772.3076923076924</v>
      </c>
      <c r="AO179">
        <f t="shared" si="170"/>
        <v>90.387692307692305</v>
      </c>
      <c r="AP179">
        <f t="shared" si="171"/>
        <v>38.034285714285716</v>
      </c>
      <c r="AQ179">
        <f t="shared" si="172"/>
        <v>2.8525714285714288</v>
      </c>
      <c r="AR179">
        <f t="shared" si="174"/>
        <v>1.6</v>
      </c>
      <c r="AS179">
        <f t="shared" si="194"/>
        <v>1.5</v>
      </c>
      <c r="AT179">
        <f t="shared" si="195"/>
        <v>6</v>
      </c>
      <c r="AU179">
        <f t="shared" si="222"/>
        <v>4012</v>
      </c>
      <c r="AV179" s="1">
        <v>1</v>
      </c>
      <c r="AW179">
        <v>5</v>
      </c>
      <c r="AX179">
        <v>0.1</v>
      </c>
      <c r="AZ179">
        <v>4</v>
      </c>
      <c r="BA179">
        <v>2</v>
      </c>
      <c r="CG179" t="str">
        <f t="shared" si="176"/>
        <v>DATA_Class_Base15</v>
      </c>
      <c r="CH179" s="6" t="s">
        <v>306</v>
      </c>
    </row>
    <row r="180" spans="1:86" ht="14.25">
      <c r="A180">
        <f t="shared" si="218"/>
        <v>5052402</v>
      </c>
      <c r="B180" s="2" t="s">
        <v>526</v>
      </c>
      <c r="C180" s="48" t="s">
        <v>527</v>
      </c>
      <c r="D180">
        <v>5</v>
      </c>
      <c r="E180">
        <v>4</v>
      </c>
      <c r="F180">
        <v>2</v>
      </c>
      <c r="G180" s="3" t="s">
        <v>528</v>
      </c>
      <c r="H180" s="3" t="s">
        <v>528</v>
      </c>
      <c r="I180">
        <v>0</v>
      </c>
      <c r="J180" s="2" t="s">
        <v>250</v>
      </c>
      <c r="K180" s="2">
        <f t="shared" si="215"/>
        <v>6</v>
      </c>
      <c r="L180" s="2">
        <f t="shared" si="219"/>
        <v>1.5</v>
      </c>
      <c r="M180" s="2">
        <f t="shared" si="219"/>
        <v>1.5</v>
      </c>
      <c r="N180" s="2">
        <v>10</v>
      </c>
      <c r="O180" s="2">
        <f t="shared" si="220"/>
        <v>309.12</v>
      </c>
      <c r="P180" s="2">
        <f t="shared" si="220"/>
        <v>15.77</v>
      </c>
      <c r="Q180" s="2">
        <f t="shared" si="220"/>
        <v>1892.57</v>
      </c>
      <c r="R180" s="2">
        <f t="shared" si="220"/>
        <v>96.52</v>
      </c>
      <c r="S180" s="2">
        <f t="shared" si="220"/>
        <v>44.16</v>
      </c>
      <c r="T180" s="2">
        <f t="shared" si="220"/>
        <v>3.31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16">
        <v>524021</v>
      </c>
      <c r="AA180" s="14" t="s">
        <v>529</v>
      </c>
      <c r="AB180" s="15" t="s">
        <v>469</v>
      </c>
      <c r="AC180" s="2">
        <v>5062402</v>
      </c>
      <c r="AD180" s="52">
        <v>2</v>
      </c>
      <c r="AE180" s="2">
        <v>1</v>
      </c>
      <c r="AF180" s="2">
        <f t="shared" si="223"/>
        <v>5052402</v>
      </c>
      <c r="AG180" s="2">
        <v>1</v>
      </c>
      <c r="AH180" s="2"/>
      <c r="AI180">
        <v>1</v>
      </c>
      <c r="AJ180" s="1">
        <f t="shared" si="224"/>
        <v>103.46866568921014</v>
      </c>
      <c r="AK180">
        <v>5</v>
      </c>
      <c r="AL180">
        <f t="shared" si="167"/>
        <v>268.79999999999995</v>
      </c>
      <c r="AM180">
        <f t="shared" si="168"/>
        <v>13.708799999999997</v>
      </c>
      <c r="AN180">
        <f t="shared" si="169"/>
        <v>1645.714285714286</v>
      </c>
      <c r="AO180">
        <f t="shared" si="170"/>
        <v>83.931428571428583</v>
      </c>
      <c r="AP180">
        <f t="shared" si="171"/>
        <v>38.399999999999991</v>
      </c>
      <c r="AQ180">
        <f t="shared" si="172"/>
        <v>2.8799999999999994</v>
      </c>
      <c r="AR180">
        <f t="shared" si="174"/>
        <v>1.5</v>
      </c>
      <c r="AS180">
        <f t="shared" si="194"/>
        <v>1.5</v>
      </c>
      <c r="AT180">
        <f t="shared" si="195"/>
        <v>6</v>
      </c>
      <c r="AU180">
        <f t="shared" si="222"/>
        <v>4022</v>
      </c>
      <c r="AV180" s="1">
        <v>2</v>
      </c>
      <c r="AW180">
        <v>5</v>
      </c>
      <c r="AX180">
        <v>0.15</v>
      </c>
      <c r="AZ180">
        <v>4</v>
      </c>
      <c r="BA180">
        <v>2</v>
      </c>
      <c r="CG180" t="str">
        <f t="shared" si="176"/>
        <v>DATA_Class_Base16</v>
      </c>
      <c r="CH180" s="6" t="s">
        <v>312</v>
      </c>
    </row>
    <row r="181" spans="1:86" ht="14.25">
      <c r="A181">
        <f t="shared" si="218"/>
        <v>5052500</v>
      </c>
      <c r="B181" s="2" t="s">
        <v>530</v>
      </c>
      <c r="C181" s="48" t="s">
        <v>531</v>
      </c>
      <c r="D181">
        <v>5</v>
      </c>
      <c r="E181">
        <v>5</v>
      </c>
      <c r="F181">
        <v>2</v>
      </c>
      <c r="G181" s="3" t="s">
        <v>532</v>
      </c>
      <c r="H181" s="3" t="s">
        <v>532</v>
      </c>
      <c r="I181" s="2">
        <v>0</v>
      </c>
      <c r="J181" s="2" t="s">
        <v>533</v>
      </c>
      <c r="K181" s="2">
        <f t="shared" si="215"/>
        <v>6</v>
      </c>
      <c r="L181" s="2">
        <f t="shared" si="219"/>
        <v>1.4000000000000001</v>
      </c>
      <c r="M181" s="2">
        <f t="shared" si="219"/>
        <v>2</v>
      </c>
      <c r="N181" s="2">
        <v>10</v>
      </c>
      <c r="O181" s="2">
        <f t="shared" si="220"/>
        <v>295.68</v>
      </c>
      <c r="P181" s="2">
        <f t="shared" si="220"/>
        <v>15.08</v>
      </c>
      <c r="Q181" s="2">
        <f t="shared" si="220"/>
        <v>1689.6</v>
      </c>
      <c r="R181" s="2">
        <f t="shared" si="220"/>
        <v>86.17</v>
      </c>
      <c r="S181" s="2">
        <f t="shared" si="220"/>
        <v>39.42</v>
      </c>
      <c r="T181" s="2">
        <f t="shared" si="220"/>
        <v>2.96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16">
        <v>525001</v>
      </c>
      <c r="AA181" s="14" t="s">
        <v>534</v>
      </c>
      <c r="AB181" s="15" t="s">
        <v>469</v>
      </c>
      <c r="AC181" s="2">
        <v>5062500</v>
      </c>
      <c r="AD181" s="52">
        <v>4</v>
      </c>
      <c r="AE181" s="2">
        <v>1</v>
      </c>
      <c r="AF181" s="2">
        <f t="shared" si="223"/>
        <v>5052500</v>
      </c>
      <c r="AG181" s="2">
        <v>1</v>
      </c>
      <c r="AH181" s="2"/>
      <c r="AI181">
        <v>1</v>
      </c>
      <c r="AJ181" s="1">
        <f t="shared" si="224"/>
        <v>103.41127430053017</v>
      </c>
      <c r="AK181">
        <v>5</v>
      </c>
      <c r="AL181">
        <f t="shared" si="167"/>
        <v>268.79999999999995</v>
      </c>
      <c r="AM181">
        <f t="shared" si="168"/>
        <v>13.708799999999997</v>
      </c>
      <c r="AN181">
        <f t="shared" si="169"/>
        <v>1536</v>
      </c>
      <c r="AO181">
        <f t="shared" si="170"/>
        <v>78.335999999999999</v>
      </c>
      <c r="AP181">
        <f t="shared" si="171"/>
        <v>35.839999999999996</v>
      </c>
      <c r="AQ181">
        <f t="shared" si="172"/>
        <v>2.6879999999999997</v>
      </c>
      <c r="AR181">
        <f t="shared" si="174"/>
        <v>1.4</v>
      </c>
      <c r="AS181">
        <f t="shared" si="194"/>
        <v>2</v>
      </c>
      <c r="AT181">
        <f t="shared" si="195"/>
        <v>6</v>
      </c>
      <c r="AU181">
        <f t="shared" si="222"/>
        <v>5002</v>
      </c>
      <c r="AV181" s="1">
        <v>0</v>
      </c>
      <c r="AW181">
        <v>5</v>
      </c>
      <c r="AX181">
        <v>0.1</v>
      </c>
      <c r="AZ181">
        <v>5</v>
      </c>
      <c r="BA181">
        <v>2</v>
      </c>
      <c r="CG181" t="str">
        <f t="shared" si="176"/>
        <v>DATA_Class_Base17</v>
      </c>
      <c r="CH181" s="6" t="s">
        <v>318</v>
      </c>
    </row>
    <row r="182" spans="1:86" ht="14.25">
      <c r="A182" s="49">
        <f t="shared" si="218"/>
        <v>5052502</v>
      </c>
      <c r="B182" s="2" t="s">
        <v>535</v>
      </c>
      <c r="C182" s="48" t="s">
        <v>536</v>
      </c>
      <c r="D182">
        <v>5</v>
      </c>
      <c r="E182">
        <v>5</v>
      </c>
      <c r="F182">
        <v>2</v>
      </c>
      <c r="G182" s="3" t="s">
        <v>537</v>
      </c>
      <c r="H182" s="3" t="s">
        <v>537</v>
      </c>
      <c r="I182" s="2">
        <v>0</v>
      </c>
      <c r="J182" s="2" t="s">
        <v>291</v>
      </c>
      <c r="K182" s="2">
        <f t="shared" si="215"/>
        <v>6</v>
      </c>
      <c r="L182" s="2">
        <f t="shared" si="219"/>
        <v>1.4000000000000001</v>
      </c>
      <c r="M182" s="2">
        <f t="shared" si="219"/>
        <v>2</v>
      </c>
      <c r="N182" s="2">
        <v>10</v>
      </c>
      <c r="O182" s="2">
        <f t="shared" si="220"/>
        <v>333.31</v>
      </c>
      <c r="P182" s="2">
        <f t="shared" si="220"/>
        <v>17</v>
      </c>
      <c r="Q182" s="2">
        <f t="shared" si="220"/>
        <v>1783.74</v>
      </c>
      <c r="R182" s="2">
        <f t="shared" si="220"/>
        <v>90.97</v>
      </c>
      <c r="S182" s="2">
        <f t="shared" si="220"/>
        <v>47.62</v>
      </c>
      <c r="T182" s="2">
        <f t="shared" si="220"/>
        <v>3.57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16">
        <v>525021</v>
      </c>
      <c r="AA182" s="14" t="s">
        <v>538</v>
      </c>
      <c r="AB182" s="15" t="s">
        <v>469</v>
      </c>
      <c r="AC182" s="2">
        <v>5062502</v>
      </c>
      <c r="AD182" s="52">
        <v>1</v>
      </c>
      <c r="AE182" s="2">
        <v>1</v>
      </c>
      <c r="AF182" s="2">
        <f t="shared" si="223"/>
        <v>5052502</v>
      </c>
      <c r="AG182" s="2">
        <v>1</v>
      </c>
      <c r="AH182" s="2"/>
      <c r="AI182">
        <v>1</v>
      </c>
      <c r="AJ182" s="1">
        <f t="shared" si="224"/>
        <v>103.49738527856853</v>
      </c>
      <c r="AK182">
        <v>5</v>
      </c>
      <c r="AL182">
        <f t="shared" si="167"/>
        <v>277.76</v>
      </c>
      <c r="AM182">
        <f t="shared" si="168"/>
        <v>14.165759999999999</v>
      </c>
      <c r="AN182">
        <f t="shared" si="169"/>
        <v>1486.4516129032259</v>
      </c>
      <c r="AO182">
        <f t="shared" si="170"/>
        <v>75.809032258064519</v>
      </c>
      <c r="AP182">
        <f t="shared" si="171"/>
        <v>39.68</v>
      </c>
      <c r="AQ182">
        <f t="shared" si="172"/>
        <v>2.976</v>
      </c>
      <c r="AR182">
        <f t="shared" si="174"/>
        <v>1.4</v>
      </c>
      <c r="AS182">
        <f t="shared" si="194"/>
        <v>2</v>
      </c>
      <c r="AT182">
        <f t="shared" si="195"/>
        <v>6</v>
      </c>
      <c r="AU182">
        <f t="shared" si="222"/>
        <v>5022</v>
      </c>
      <c r="AV182" s="1">
        <v>2</v>
      </c>
      <c r="AW182">
        <v>5</v>
      </c>
      <c r="AX182">
        <v>0.2</v>
      </c>
      <c r="AZ182">
        <v>5</v>
      </c>
      <c r="BA182">
        <v>2</v>
      </c>
      <c r="CG182" t="str">
        <f t="shared" si="176"/>
        <v>DATA_Class_Base18</v>
      </c>
      <c r="CH182" s="6" t="s">
        <v>324</v>
      </c>
    </row>
    <row r="183" spans="1:86" ht="14.25">
      <c r="A183" s="49">
        <f t="shared" si="218"/>
        <v>5052601</v>
      </c>
      <c r="B183" s="2" t="s">
        <v>539</v>
      </c>
      <c r="C183" s="48" t="s">
        <v>540</v>
      </c>
      <c r="D183">
        <v>5</v>
      </c>
      <c r="E183">
        <v>6</v>
      </c>
      <c r="F183">
        <v>2</v>
      </c>
      <c r="G183" s="3" t="s">
        <v>541</v>
      </c>
      <c r="H183" s="3" t="s">
        <v>541</v>
      </c>
      <c r="I183" s="2">
        <v>0</v>
      </c>
      <c r="J183" s="8" t="s">
        <v>542</v>
      </c>
      <c r="K183" s="2">
        <f t="shared" si="215"/>
        <v>6</v>
      </c>
      <c r="L183" s="2">
        <f t="shared" si="219"/>
        <v>1.5</v>
      </c>
      <c r="M183" s="2">
        <f t="shared" si="219"/>
        <v>2</v>
      </c>
      <c r="N183" s="2">
        <v>10</v>
      </c>
      <c r="O183" s="2">
        <f t="shared" si="220"/>
        <v>253.44</v>
      </c>
      <c r="P183" s="2">
        <f t="shared" si="220"/>
        <v>12.93</v>
      </c>
      <c r="Q183" s="2">
        <f t="shared" si="220"/>
        <v>2513.4499999999998</v>
      </c>
      <c r="R183" s="2">
        <f t="shared" si="220"/>
        <v>128.19</v>
      </c>
      <c r="S183" s="2">
        <f t="shared" si="220"/>
        <v>56.32</v>
      </c>
      <c r="T183" s="2">
        <f t="shared" si="220"/>
        <v>4.22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16">
        <v>526011</v>
      </c>
      <c r="AA183" s="14" t="s">
        <v>543</v>
      </c>
      <c r="AB183" s="15" t="s">
        <v>469</v>
      </c>
      <c r="AC183" s="2">
        <v>5062601</v>
      </c>
      <c r="AD183" s="52">
        <v>1</v>
      </c>
      <c r="AE183" s="2">
        <v>1</v>
      </c>
      <c r="AF183" s="2">
        <f t="shared" si="223"/>
        <v>5052601</v>
      </c>
      <c r="AG183" s="2">
        <v>1</v>
      </c>
      <c r="AH183" s="2"/>
      <c r="AI183">
        <v>1</v>
      </c>
      <c r="AJ183" s="1">
        <f t="shared" si="224"/>
        <v>103.66043124348091</v>
      </c>
      <c r="AK183">
        <v>5</v>
      </c>
      <c r="AL183">
        <f t="shared" si="167"/>
        <v>211.20000000000002</v>
      </c>
      <c r="AM183">
        <f t="shared" si="168"/>
        <v>10.7712</v>
      </c>
      <c r="AN183">
        <f t="shared" si="169"/>
        <v>2094.5454545454545</v>
      </c>
      <c r="AO183">
        <f t="shared" si="170"/>
        <v>106.82181818181817</v>
      </c>
      <c r="AP183">
        <f t="shared" si="171"/>
        <v>46.933333333333337</v>
      </c>
      <c r="AQ183">
        <f t="shared" si="172"/>
        <v>3.52</v>
      </c>
      <c r="AR183">
        <f t="shared" si="174"/>
        <v>1.5</v>
      </c>
      <c r="AS183">
        <f t="shared" si="194"/>
        <v>2</v>
      </c>
      <c r="AT183">
        <f t="shared" si="195"/>
        <v>6</v>
      </c>
      <c r="AU183">
        <f t="shared" si="222"/>
        <v>6012</v>
      </c>
      <c r="AV183" s="1">
        <v>1</v>
      </c>
      <c r="AW183">
        <v>5</v>
      </c>
      <c r="AX183">
        <v>0.2</v>
      </c>
      <c r="AZ183">
        <v>6</v>
      </c>
      <c r="BA183">
        <v>2</v>
      </c>
      <c r="CG183" t="str">
        <f t="shared" si="176"/>
        <v>DATA_Class_Base19</v>
      </c>
      <c r="CH183" s="6" t="s">
        <v>331</v>
      </c>
    </row>
    <row r="184" spans="1:86" ht="14.25">
      <c r="A184" s="49">
        <f t="shared" si="218"/>
        <v>5053200</v>
      </c>
      <c r="B184" s="2" t="s">
        <v>544</v>
      </c>
      <c r="C184" s="48" t="s">
        <v>545</v>
      </c>
      <c r="D184">
        <v>5</v>
      </c>
      <c r="E184">
        <v>2</v>
      </c>
      <c r="F184">
        <v>3</v>
      </c>
      <c r="G184" s="3" t="s">
        <v>546</v>
      </c>
      <c r="H184" s="3" t="s">
        <v>546</v>
      </c>
      <c r="I184">
        <v>0</v>
      </c>
      <c r="J184" s="2" t="s">
        <v>314</v>
      </c>
      <c r="K184" s="2">
        <f t="shared" si="215"/>
        <v>3</v>
      </c>
      <c r="L184" s="2">
        <f t="shared" si="219"/>
        <v>1.5</v>
      </c>
      <c r="M184" s="2">
        <f t="shared" si="219"/>
        <v>1.2</v>
      </c>
      <c r="N184" s="2">
        <v>10</v>
      </c>
      <c r="O184" s="2">
        <f t="shared" si="220"/>
        <v>154.56</v>
      </c>
      <c r="P184" s="2">
        <f t="shared" si="220"/>
        <v>7.88</v>
      </c>
      <c r="Q184" s="2">
        <f t="shared" si="220"/>
        <v>3785.14</v>
      </c>
      <c r="R184" s="2">
        <f t="shared" si="220"/>
        <v>193.04</v>
      </c>
      <c r="S184" s="2">
        <f t="shared" si="220"/>
        <v>77.28</v>
      </c>
      <c r="T184" s="2">
        <f t="shared" si="220"/>
        <v>5.8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16">
        <v>532001</v>
      </c>
      <c r="AA184" s="14" t="s">
        <v>547</v>
      </c>
      <c r="AB184" s="15" t="s">
        <v>469</v>
      </c>
      <c r="AC184" s="2">
        <v>5063200</v>
      </c>
      <c r="AD184" s="52">
        <v>2</v>
      </c>
      <c r="AE184" s="2">
        <v>1</v>
      </c>
      <c r="AF184" s="2">
        <f t="shared" si="223"/>
        <v>5053200</v>
      </c>
      <c r="AG184" s="2">
        <v>1</v>
      </c>
      <c r="AH184" s="2"/>
      <c r="AI184">
        <v>1</v>
      </c>
      <c r="AJ184" s="1">
        <f t="shared" si="224"/>
        <v>104.11873588129293</v>
      </c>
      <c r="AK184">
        <v>5</v>
      </c>
      <c r="AL184">
        <f t="shared" si="167"/>
        <v>134.39999999999998</v>
      </c>
      <c r="AM184">
        <f t="shared" si="168"/>
        <v>6.8543999999999983</v>
      </c>
      <c r="AN184">
        <f t="shared" si="169"/>
        <v>3291.428571428572</v>
      </c>
      <c r="AO184">
        <f t="shared" si="170"/>
        <v>167.86285714285717</v>
      </c>
      <c r="AP184">
        <f t="shared" si="171"/>
        <v>67.199999999999989</v>
      </c>
      <c r="AQ184">
        <f t="shared" si="172"/>
        <v>5.0399999999999991</v>
      </c>
      <c r="AR184">
        <f t="shared" si="174"/>
        <v>1.5</v>
      </c>
      <c r="AS184">
        <f t="shared" si="194"/>
        <v>1.2</v>
      </c>
      <c r="AT184">
        <f t="shared" si="195"/>
        <v>3</v>
      </c>
      <c r="AU184">
        <f t="shared" si="222"/>
        <v>2003</v>
      </c>
      <c r="AV184" s="1">
        <v>0</v>
      </c>
      <c r="AW184">
        <v>5</v>
      </c>
      <c r="AX184">
        <v>0.15</v>
      </c>
      <c r="AZ184">
        <v>2</v>
      </c>
      <c r="BA184">
        <v>3</v>
      </c>
      <c r="CG184" t="str">
        <f t="shared" si="176"/>
        <v>DATA_Class_Base20</v>
      </c>
      <c r="CH184" s="6" t="s">
        <v>336</v>
      </c>
    </row>
    <row r="185" spans="1:86" ht="14.25">
      <c r="A185">
        <f t="shared" si="218"/>
        <v>5053201</v>
      </c>
      <c r="B185" s="2" t="s">
        <v>548</v>
      </c>
      <c r="C185" s="48" t="s">
        <v>549</v>
      </c>
      <c r="D185">
        <v>5</v>
      </c>
      <c r="E185">
        <v>2</v>
      </c>
      <c r="F185">
        <v>3</v>
      </c>
      <c r="G185" s="3" t="s">
        <v>550</v>
      </c>
      <c r="H185" s="3" t="s">
        <v>550</v>
      </c>
      <c r="I185" s="2">
        <v>0</v>
      </c>
      <c r="J185" s="50" t="s">
        <v>1720</v>
      </c>
      <c r="K185" s="2">
        <f t="shared" si="215"/>
        <v>3</v>
      </c>
      <c r="L185" s="2">
        <f t="shared" si="219"/>
        <v>1.7</v>
      </c>
      <c r="M185" s="2">
        <f t="shared" si="219"/>
        <v>1.8</v>
      </c>
      <c r="N185" s="2">
        <v>10</v>
      </c>
      <c r="O185" s="2">
        <f t="shared" si="220"/>
        <v>143.62</v>
      </c>
      <c r="P185" s="2">
        <f t="shared" si="220"/>
        <v>7.32</v>
      </c>
      <c r="Q185" s="2">
        <f t="shared" si="220"/>
        <v>4224</v>
      </c>
      <c r="R185" s="2">
        <f t="shared" si="220"/>
        <v>215.42</v>
      </c>
      <c r="S185" s="2">
        <f t="shared" si="220"/>
        <v>71.81</v>
      </c>
      <c r="T185" s="2">
        <f t="shared" si="220"/>
        <v>5.39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16">
        <v>532011</v>
      </c>
      <c r="AA185" s="14" t="s">
        <v>551</v>
      </c>
      <c r="AB185" s="15" t="s">
        <v>469</v>
      </c>
      <c r="AC185" s="2">
        <v>5063201</v>
      </c>
      <c r="AD185" s="52">
        <v>4</v>
      </c>
      <c r="AE185" s="2">
        <v>1</v>
      </c>
      <c r="AF185" s="2">
        <f t="shared" si="223"/>
        <v>5053201</v>
      </c>
      <c r="AG185" s="2">
        <v>1</v>
      </c>
      <c r="AH185" s="2"/>
      <c r="AI185">
        <v>1</v>
      </c>
      <c r="AJ185" s="1">
        <f t="shared" si="224"/>
        <v>104.07514384416162</v>
      </c>
      <c r="AK185">
        <v>5</v>
      </c>
      <c r="AL185">
        <f t="shared" si="167"/>
        <v>130.56000000000003</v>
      </c>
      <c r="AM185">
        <f t="shared" si="168"/>
        <v>6.6585600000000014</v>
      </c>
      <c r="AN185">
        <f t="shared" si="169"/>
        <v>3840</v>
      </c>
      <c r="AO185">
        <f t="shared" si="170"/>
        <v>195.83999999999997</v>
      </c>
      <c r="AP185">
        <f t="shared" si="171"/>
        <v>65.280000000000015</v>
      </c>
      <c r="AQ185">
        <f t="shared" si="172"/>
        <v>4.8960000000000008</v>
      </c>
      <c r="AR185">
        <f t="shared" si="174"/>
        <v>1.7</v>
      </c>
      <c r="AS185">
        <f t="shared" si="194"/>
        <v>1.8</v>
      </c>
      <c r="AT185">
        <f t="shared" si="195"/>
        <v>3</v>
      </c>
      <c r="AU185">
        <f t="shared" si="222"/>
        <v>2013</v>
      </c>
      <c r="AV185" s="1">
        <v>1</v>
      </c>
      <c r="AW185">
        <v>5</v>
      </c>
      <c r="AX185">
        <v>0.1</v>
      </c>
      <c r="AZ185">
        <v>2</v>
      </c>
      <c r="BA185">
        <v>3</v>
      </c>
      <c r="CG185" t="str">
        <f t="shared" si="176"/>
        <v>DATA_Class_Base21</v>
      </c>
      <c r="CH185" s="6" t="s">
        <v>342</v>
      </c>
    </row>
    <row r="186" spans="1:86" ht="14.25">
      <c r="A186">
        <f t="shared" si="218"/>
        <v>5053202</v>
      </c>
      <c r="B186" s="2" t="s">
        <v>552</v>
      </c>
      <c r="C186" s="48" t="s">
        <v>553</v>
      </c>
      <c r="D186">
        <v>5</v>
      </c>
      <c r="E186">
        <v>2</v>
      </c>
      <c r="F186">
        <v>3</v>
      </c>
      <c r="G186" s="3" t="s">
        <v>554</v>
      </c>
      <c r="H186" s="3" t="s">
        <v>554</v>
      </c>
      <c r="I186">
        <v>0</v>
      </c>
      <c r="J186" s="8" t="s">
        <v>555</v>
      </c>
      <c r="K186" s="2">
        <f t="shared" si="215"/>
        <v>3</v>
      </c>
      <c r="L186" s="2">
        <f t="shared" si="219"/>
        <v>1.7</v>
      </c>
      <c r="M186" s="2">
        <f t="shared" si="219"/>
        <v>2</v>
      </c>
      <c r="N186" s="2">
        <v>10</v>
      </c>
      <c r="O186" s="2">
        <f t="shared" si="220"/>
        <v>225.22</v>
      </c>
      <c r="P186" s="2">
        <f t="shared" si="220"/>
        <v>11.49</v>
      </c>
      <c r="Q186" s="2">
        <f t="shared" si="220"/>
        <v>2944</v>
      </c>
      <c r="R186" s="2">
        <f t="shared" si="220"/>
        <v>150.13999999999999</v>
      </c>
      <c r="S186" s="2">
        <f t="shared" si="220"/>
        <v>75.069999999999993</v>
      </c>
      <c r="T186" s="2">
        <f t="shared" si="220"/>
        <v>5.63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16">
        <v>532021</v>
      </c>
      <c r="AA186" s="14" t="s">
        <v>556</v>
      </c>
      <c r="AB186" s="15" t="s">
        <v>469</v>
      </c>
      <c r="AC186" s="2">
        <v>5063202</v>
      </c>
      <c r="AD186" s="52">
        <v>2</v>
      </c>
      <c r="AE186" s="2">
        <v>1</v>
      </c>
      <c r="AF186" s="2">
        <f t="shared" si="223"/>
        <v>5053202</v>
      </c>
      <c r="AG186" s="2">
        <v>1</v>
      </c>
      <c r="AH186" s="2"/>
      <c r="AI186">
        <v>1</v>
      </c>
      <c r="AJ186" s="1">
        <f t="shared" si="224"/>
        <v>104.07514384416162</v>
      </c>
      <c r="AK186">
        <v>5</v>
      </c>
      <c r="AL186">
        <f t="shared" si="167"/>
        <v>195.84000000000003</v>
      </c>
      <c r="AM186">
        <f t="shared" si="168"/>
        <v>9.9878400000000003</v>
      </c>
      <c r="AN186">
        <f t="shared" si="169"/>
        <v>2560</v>
      </c>
      <c r="AO186">
        <f t="shared" si="170"/>
        <v>130.56</v>
      </c>
      <c r="AP186">
        <f t="shared" si="171"/>
        <v>65.280000000000015</v>
      </c>
      <c r="AQ186">
        <f t="shared" si="172"/>
        <v>4.8960000000000008</v>
      </c>
      <c r="AR186">
        <f t="shared" si="174"/>
        <v>1.7</v>
      </c>
      <c r="AS186">
        <f t="shared" si="194"/>
        <v>2</v>
      </c>
      <c r="AT186">
        <f t="shared" si="195"/>
        <v>3</v>
      </c>
      <c r="AU186">
        <f t="shared" si="222"/>
        <v>2023</v>
      </c>
      <c r="AV186" s="1">
        <v>2</v>
      </c>
      <c r="AW186">
        <v>5</v>
      </c>
      <c r="AX186">
        <v>0.15</v>
      </c>
      <c r="AZ186">
        <v>2</v>
      </c>
      <c r="BA186">
        <v>3</v>
      </c>
      <c r="CG186" t="str">
        <f t="shared" si="176"/>
        <v>DATA_Class_Base13</v>
      </c>
      <c r="CH186" s="6" t="s">
        <v>295</v>
      </c>
    </row>
    <row r="187" spans="1:86" ht="14.25">
      <c r="A187" s="49">
        <f t="shared" si="218"/>
        <v>5053301</v>
      </c>
      <c r="B187" s="2" t="s">
        <v>557</v>
      </c>
      <c r="C187" s="48" t="s">
        <v>558</v>
      </c>
      <c r="D187">
        <v>5</v>
      </c>
      <c r="E187">
        <v>3</v>
      </c>
      <c r="F187">
        <v>3</v>
      </c>
      <c r="G187" s="3" t="s">
        <v>559</v>
      </c>
      <c r="H187" s="3" t="s">
        <v>559</v>
      </c>
      <c r="I187" s="2">
        <v>0</v>
      </c>
      <c r="J187" s="8" t="s">
        <v>555</v>
      </c>
      <c r="K187" s="2">
        <f t="shared" si="215"/>
        <v>3</v>
      </c>
      <c r="L187" s="2">
        <f t="shared" si="219"/>
        <v>1.2</v>
      </c>
      <c r="M187" s="2">
        <f t="shared" si="219"/>
        <v>1.4000000000000001</v>
      </c>
      <c r="N187" s="2">
        <v>10</v>
      </c>
      <c r="O187" s="2">
        <f t="shared" si="220"/>
        <v>221.18</v>
      </c>
      <c r="P187" s="2">
        <f t="shared" si="220"/>
        <v>11.28</v>
      </c>
      <c r="Q187" s="2">
        <f t="shared" si="220"/>
        <v>2304</v>
      </c>
      <c r="R187" s="2">
        <f t="shared" si="220"/>
        <v>117.5</v>
      </c>
      <c r="S187" s="2">
        <f t="shared" si="220"/>
        <v>63.2</v>
      </c>
      <c r="T187" s="2">
        <f t="shared" si="220"/>
        <v>4.74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16">
        <v>533011</v>
      </c>
      <c r="AA187" s="14" t="s">
        <v>560</v>
      </c>
      <c r="AB187" s="15" t="s">
        <v>469</v>
      </c>
      <c r="AC187" s="2">
        <v>5063301</v>
      </c>
      <c r="AD187" s="52">
        <v>1</v>
      </c>
      <c r="AE187" s="2">
        <v>1</v>
      </c>
      <c r="AF187" s="2">
        <f t="shared" si="223"/>
        <v>5053301</v>
      </c>
      <c r="AG187" s="2">
        <v>1</v>
      </c>
      <c r="AH187" s="2"/>
      <c r="AI187">
        <v>1</v>
      </c>
      <c r="AJ187" s="1">
        <f t="shared" si="224"/>
        <v>103.78958747214173</v>
      </c>
      <c r="AK187">
        <v>5</v>
      </c>
      <c r="AL187">
        <f t="shared" si="167"/>
        <v>184.32</v>
      </c>
      <c r="AM187">
        <f t="shared" si="168"/>
        <v>9.4003199999999989</v>
      </c>
      <c r="AN187">
        <f t="shared" si="169"/>
        <v>1920</v>
      </c>
      <c r="AO187">
        <f t="shared" si="170"/>
        <v>97.919999999999987</v>
      </c>
      <c r="AP187">
        <f t="shared" si="171"/>
        <v>52.662857142857142</v>
      </c>
      <c r="AQ187">
        <f t="shared" si="172"/>
        <v>3.9497142857142853</v>
      </c>
      <c r="AR187">
        <f t="shared" si="174"/>
        <v>1.2</v>
      </c>
      <c r="AS187">
        <f t="shared" si="194"/>
        <v>1.4</v>
      </c>
      <c r="AT187">
        <f t="shared" si="195"/>
        <v>3</v>
      </c>
      <c r="AU187">
        <f t="shared" si="222"/>
        <v>3013</v>
      </c>
      <c r="AV187" s="1">
        <v>1</v>
      </c>
      <c r="AW187">
        <v>5</v>
      </c>
      <c r="AX187">
        <v>0.2</v>
      </c>
      <c r="AZ187">
        <v>3</v>
      </c>
      <c r="BA187">
        <v>3</v>
      </c>
      <c r="CG187" t="str">
        <f t="shared" si="176"/>
        <v>DATA_Class_Base14</v>
      </c>
      <c r="CH187" s="6" t="s">
        <v>300</v>
      </c>
    </row>
    <row r="188" spans="1:86" ht="14.25">
      <c r="A188">
        <f t="shared" si="218"/>
        <v>5053401</v>
      </c>
      <c r="B188" s="2" t="s">
        <v>561</v>
      </c>
      <c r="C188" s="48" t="s">
        <v>562</v>
      </c>
      <c r="D188">
        <v>5</v>
      </c>
      <c r="E188">
        <v>4</v>
      </c>
      <c r="F188">
        <v>3</v>
      </c>
      <c r="G188" s="3" t="s">
        <v>563</v>
      </c>
      <c r="H188" s="3" t="s">
        <v>563</v>
      </c>
      <c r="I188">
        <v>0</v>
      </c>
      <c r="J188" s="2" t="s">
        <v>161</v>
      </c>
      <c r="K188" s="2">
        <f t="shared" si="215"/>
        <v>6</v>
      </c>
      <c r="L188" s="2">
        <f t="shared" si="219"/>
        <v>1.6</v>
      </c>
      <c r="M188" s="2">
        <f t="shared" si="219"/>
        <v>1.5</v>
      </c>
      <c r="N188" s="2">
        <v>10</v>
      </c>
      <c r="O188" s="2">
        <f t="shared" si="220"/>
        <v>294.91000000000003</v>
      </c>
      <c r="P188" s="2">
        <f t="shared" si="220"/>
        <v>15.04</v>
      </c>
      <c r="Q188" s="2">
        <f t="shared" si="220"/>
        <v>2304</v>
      </c>
      <c r="R188" s="2">
        <f t="shared" si="220"/>
        <v>117.5</v>
      </c>
      <c r="S188" s="2">
        <f t="shared" si="220"/>
        <v>49.15</v>
      </c>
      <c r="T188" s="2">
        <f t="shared" si="220"/>
        <v>3.69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16">
        <v>534011</v>
      </c>
      <c r="AA188" s="14" t="s">
        <v>564</v>
      </c>
      <c r="AB188" s="15" t="s">
        <v>469</v>
      </c>
      <c r="AC188" s="2">
        <v>5063401</v>
      </c>
      <c r="AD188" s="52">
        <v>1</v>
      </c>
      <c r="AE188" s="2">
        <v>1</v>
      </c>
      <c r="AF188" s="2">
        <f t="shared" si="223"/>
        <v>5053401</v>
      </c>
      <c r="AG188" s="2">
        <v>1</v>
      </c>
      <c r="AH188" s="2"/>
      <c r="AI188">
        <v>1</v>
      </c>
      <c r="AJ188" s="1">
        <f t="shared" si="224"/>
        <v>103.52612081563078</v>
      </c>
      <c r="AK188">
        <v>5</v>
      </c>
      <c r="AL188">
        <f t="shared" si="167"/>
        <v>245.76</v>
      </c>
      <c r="AM188">
        <f t="shared" si="168"/>
        <v>12.533759999999999</v>
      </c>
      <c r="AN188">
        <f t="shared" si="169"/>
        <v>1920</v>
      </c>
      <c r="AO188">
        <f t="shared" si="170"/>
        <v>97.919999999999987</v>
      </c>
      <c r="AP188">
        <f t="shared" si="171"/>
        <v>40.96</v>
      </c>
      <c r="AQ188">
        <f t="shared" si="172"/>
        <v>3.0720000000000001</v>
      </c>
      <c r="AR188">
        <f t="shared" si="174"/>
        <v>1.6</v>
      </c>
      <c r="AS188">
        <f t="shared" si="194"/>
        <v>1.5</v>
      </c>
      <c r="AT188">
        <f t="shared" si="195"/>
        <v>6</v>
      </c>
      <c r="AU188">
        <f t="shared" si="222"/>
        <v>4013</v>
      </c>
      <c r="AV188" s="1">
        <v>1</v>
      </c>
      <c r="AW188">
        <v>5</v>
      </c>
      <c r="AX188">
        <v>0.2</v>
      </c>
      <c r="AZ188">
        <v>4</v>
      </c>
      <c r="BA188">
        <v>3</v>
      </c>
      <c r="CG188" t="str">
        <f t="shared" si="176"/>
        <v>DATA_Class_Base15</v>
      </c>
      <c r="CH188" s="6" t="s">
        <v>306</v>
      </c>
    </row>
    <row r="189" spans="1:86" ht="14.25">
      <c r="A189">
        <f t="shared" si="218"/>
        <v>5053402</v>
      </c>
      <c r="B189" s="2" t="s">
        <v>565</v>
      </c>
      <c r="C189" s="48" t="s">
        <v>566</v>
      </c>
      <c r="D189">
        <v>5</v>
      </c>
      <c r="E189">
        <v>4</v>
      </c>
      <c r="F189">
        <v>3</v>
      </c>
      <c r="G189" s="3" t="s">
        <v>567</v>
      </c>
      <c r="H189" s="3" t="s">
        <v>567</v>
      </c>
      <c r="I189" s="2">
        <v>0</v>
      </c>
      <c r="J189" s="8" t="s">
        <v>568</v>
      </c>
      <c r="K189" s="2">
        <f t="shared" si="215"/>
        <v>6</v>
      </c>
      <c r="L189" s="2">
        <f t="shared" si="219"/>
        <v>1.5</v>
      </c>
      <c r="M189" s="2">
        <f t="shared" si="219"/>
        <v>1.5</v>
      </c>
      <c r="N189" s="2">
        <v>10</v>
      </c>
      <c r="O189" s="2">
        <f t="shared" si="220"/>
        <v>287.04000000000002</v>
      </c>
      <c r="P189" s="2">
        <f t="shared" si="220"/>
        <v>14.64</v>
      </c>
      <c r="Q189" s="2">
        <f t="shared" si="220"/>
        <v>2038.15</v>
      </c>
      <c r="R189" s="2">
        <f t="shared" si="220"/>
        <v>103.95</v>
      </c>
      <c r="S189" s="2">
        <f t="shared" si="220"/>
        <v>41.01</v>
      </c>
      <c r="T189" s="2">
        <f t="shared" si="220"/>
        <v>3.08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16">
        <v>534021</v>
      </c>
      <c r="AA189" s="14" t="s">
        <v>569</v>
      </c>
      <c r="AB189" s="15" t="s">
        <v>469</v>
      </c>
      <c r="AC189" s="2">
        <v>5063402</v>
      </c>
      <c r="AD189" s="52">
        <v>2</v>
      </c>
      <c r="AE189" s="2">
        <v>1</v>
      </c>
      <c r="AF189" s="2">
        <f t="shared" si="223"/>
        <v>5053402</v>
      </c>
      <c r="AG189" s="2">
        <v>1</v>
      </c>
      <c r="AH189" s="2"/>
      <c r="AI189">
        <v>1</v>
      </c>
      <c r="AJ189" s="1">
        <f t="shared" si="224"/>
        <v>103.40717735176649</v>
      </c>
      <c r="AK189">
        <v>5</v>
      </c>
      <c r="AL189">
        <f t="shared" si="167"/>
        <v>249.60000000000002</v>
      </c>
      <c r="AM189">
        <f t="shared" si="168"/>
        <v>12.7296</v>
      </c>
      <c r="AN189">
        <f t="shared" si="169"/>
        <v>1772.3076923076924</v>
      </c>
      <c r="AO189">
        <f t="shared" si="170"/>
        <v>90.387692307692305</v>
      </c>
      <c r="AP189">
        <f t="shared" si="171"/>
        <v>35.657142857142858</v>
      </c>
      <c r="AQ189">
        <f t="shared" si="172"/>
        <v>2.6742857142857144</v>
      </c>
      <c r="AR189">
        <f t="shared" si="174"/>
        <v>1.5</v>
      </c>
      <c r="AS189">
        <f t="shared" si="194"/>
        <v>1.5</v>
      </c>
      <c r="AT189">
        <f t="shared" si="195"/>
        <v>6</v>
      </c>
      <c r="AU189">
        <f t="shared" si="222"/>
        <v>4023</v>
      </c>
      <c r="AV189" s="1">
        <v>2</v>
      </c>
      <c r="AW189">
        <v>5</v>
      </c>
      <c r="AX189">
        <v>0.15</v>
      </c>
      <c r="AZ189">
        <v>4</v>
      </c>
      <c r="BA189">
        <v>3</v>
      </c>
      <c r="CG189" t="str">
        <f t="shared" si="176"/>
        <v>DATA_Class_Base16</v>
      </c>
      <c r="CH189" s="6" t="s">
        <v>312</v>
      </c>
    </row>
    <row r="190" spans="1:86" ht="14.25">
      <c r="A190">
        <f t="shared" si="218"/>
        <v>5053500</v>
      </c>
      <c r="B190" s="2" t="s">
        <v>570</v>
      </c>
      <c r="C190" s="48" t="s">
        <v>571</v>
      </c>
      <c r="D190">
        <v>5</v>
      </c>
      <c r="E190">
        <v>5</v>
      </c>
      <c r="F190">
        <v>3</v>
      </c>
      <c r="G190" s="3" t="s">
        <v>572</v>
      </c>
      <c r="H190" s="3" t="s">
        <v>572</v>
      </c>
      <c r="I190" s="2">
        <v>0</v>
      </c>
      <c r="J190" s="2" t="s">
        <v>303</v>
      </c>
      <c r="K190" s="2">
        <f t="shared" si="215"/>
        <v>6</v>
      </c>
      <c r="L190" s="2">
        <f t="shared" si="219"/>
        <v>1.5</v>
      </c>
      <c r="M190" s="2">
        <f t="shared" si="219"/>
        <v>2</v>
      </c>
      <c r="N190" s="2">
        <v>10</v>
      </c>
      <c r="O190" s="2">
        <f t="shared" si="220"/>
        <v>274.56</v>
      </c>
      <c r="P190" s="2">
        <f t="shared" si="220"/>
        <v>14</v>
      </c>
      <c r="Q190" s="2">
        <f t="shared" si="220"/>
        <v>1949.54</v>
      </c>
      <c r="R190" s="2">
        <f t="shared" si="220"/>
        <v>99.43</v>
      </c>
      <c r="S190" s="2">
        <f t="shared" si="220"/>
        <v>45.76</v>
      </c>
      <c r="T190" s="2">
        <f t="shared" si="220"/>
        <v>3.43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16">
        <v>535001</v>
      </c>
      <c r="AA190" s="14" t="s">
        <v>573</v>
      </c>
      <c r="AB190" s="15" t="s">
        <v>469</v>
      </c>
      <c r="AC190" s="2">
        <v>5063500</v>
      </c>
      <c r="AD190" s="52">
        <v>4</v>
      </c>
      <c r="AE190" s="2">
        <v>1</v>
      </c>
      <c r="AF190" s="2">
        <f t="shared" si="223"/>
        <v>5053500</v>
      </c>
      <c r="AG190" s="2">
        <v>1</v>
      </c>
      <c r="AH190" s="2"/>
      <c r="AI190">
        <v>1</v>
      </c>
      <c r="AJ190" s="1">
        <f t="shared" si="224"/>
        <v>103.54049456870251</v>
      </c>
      <c r="AK190">
        <v>5</v>
      </c>
      <c r="AL190">
        <f t="shared" si="167"/>
        <v>249.60000000000002</v>
      </c>
      <c r="AM190">
        <f t="shared" si="168"/>
        <v>12.7296</v>
      </c>
      <c r="AN190">
        <f t="shared" si="169"/>
        <v>1772.3076923076924</v>
      </c>
      <c r="AO190">
        <f t="shared" si="170"/>
        <v>90.387692307692305</v>
      </c>
      <c r="AP190">
        <f t="shared" si="171"/>
        <v>41.6</v>
      </c>
      <c r="AQ190">
        <f t="shared" si="172"/>
        <v>3.12</v>
      </c>
      <c r="AR190">
        <f t="shared" si="174"/>
        <v>1.5</v>
      </c>
      <c r="AS190">
        <f t="shared" si="194"/>
        <v>2</v>
      </c>
      <c r="AT190">
        <f t="shared" si="195"/>
        <v>6</v>
      </c>
      <c r="AU190">
        <f t="shared" si="222"/>
        <v>5003</v>
      </c>
      <c r="AV190" s="1">
        <v>0</v>
      </c>
      <c r="AW190">
        <v>5</v>
      </c>
      <c r="AX190">
        <v>0.1</v>
      </c>
      <c r="AZ190">
        <v>5</v>
      </c>
      <c r="BA190">
        <v>3</v>
      </c>
      <c r="CG190" t="str">
        <f t="shared" si="176"/>
        <v>DATA_Class_Base17</v>
      </c>
      <c r="CH190" s="6" t="s">
        <v>318</v>
      </c>
    </row>
    <row r="191" spans="1:86" ht="14.25">
      <c r="A191">
        <f t="shared" si="218"/>
        <v>5053502</v>
      </c>
      <c r="B191" s="2" t="s">
        <v>574</v>
      </c>
      <c r="C191" s="48" t="s">
        <v>575</v>
      </c>
      <c r="D191">
        <v>5</v>
      </c>
      <c r="E191">
        <v>5</v>
      </c>
      <c r="F191">
        <v>3</v>
      </c>
      <c r="G191" s="3" t="s">
        <v>576</v>
      </c>
      <c r="H191" s="3" t="s">
        <v>576</v>
      </c>
      <c r="I191" s="2">
        <v>0</v>
      </c>
      <c r="J191" s="8" t="s">
        <v>577</v>
      </c>
      <c r="K191" s="2">
        <f t="shared" si="215"/>
        <v>6</v>
      </c>
      <c r="L191" s="2">
        <f t="shared" si="219"/>
        <v>1.4000000000000001</v>
      </c>
      <c r="M191" s="2">
        <f t="shared" si="219"/>
        <v>2</v>
      </c>
      <c r="N191" s="2">
        <v>10</v>
      </c>
      <c r="O191" s="2">
        <f t="shared" si="220"/>
        <v>266.11</v>
      </c>
      <c r="P191" s="2">
        <f t="shared" si="220"/>
        <v>13.57</v>
      </c>
      <c r="Q191" s="2">
        <f t="shared" si="220"/>
        <v>1877.33</v>
      </c>
      <c r="R191" s="2">
        <f t="shared" si="220"/>
        <v>95.74</v>
      </c>
      <c r="S191" s="2">
        <f t="shared" si="220"/>
        <v>44.35</v>
      </c>
      <c r="T191" s="2">
        <f t="shared" si="220"/>
        <v>3.33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16">
        <v>535021</v>
      </c>
      <c r="AA191" s="14" t="s">
        <v>578</v>
      </c>
      <c r="AB191" s="15" t="s">
        <v>469</v>
      </c>
      <c r="AC191" s="2">
        <v>5063502</v>
      </c>
      <c r="AD191" s="52">
        <v>4</v>
      </c>
      <c r="AE191" s="2">
        <v>1</v>
      </c>
      <c r="AF191" s="2">
        <f t="shared" si="223"/>
        <v>5053502</v>
      </c>
      <c r="AG191" s="2">
        <v>1</v>
      </c>
      <c r="AH191" s="2"/>
      <c r="AI191">
        <v>1</v>
      </c>
      <c r="AJ191" s="1">
        <f t="shared" si="224"/>
        <v>103.51175105280656</v>
      </c>
      <c r="AK191">
        <v>5</v>
      </c>
      <c r="AL191">
        <f t="shared" si="167"/>
        <v>241.92</v>
      </c>
      <c r="AM191">
        <f t="shared" si="168"/>
        <v>12.337919999999999</v>
      </c>
      <c r="AN191">
        <f t="shared" si="169"/>
        <v>1706.6666666666665</v>
      </c>
      <c r="AO191">
        <f t="shared" si="170"/>
        <v>87.039999999999992</v>
      </c>
      <c r="AP191">
        <f t="shared" si="171"/>
        <v>40.32</v>
      </c>
      <c r="AQ191">
        <f t="shared" si="172"/>
        <v>3.024</v>
      </c>
      <c r="AR191">
        <f t="shared" si="174"/>
        <v>1.4</v>
      </c>
      <c r="AS191">
        <f t="shared" si="194"/>
        <v>2</v>
      </c>
      <c r="AT191">
        <f t="shared" si="195"/>
        <v>6</v>
      </c>
      <c r="AU191">
        <f t="shared" si="222"/>
        <v>5023</v>
      </c>
      <c r="AV191" s="1">
        <v>2</v>
      </c>
      <c r="AW191">
        <v>5</v>
      </c>
      <c r="AX191">
        <v>0.1</v>
      </c>
      <c r="AZ191">
        <v>5</v>
      </c>
      <c r="BA191">
        <v>3</v>
      </c>
      <c r="CG191" t="str">
        <f t="shared" si="176"/>
        <v>DATA_Class_Base18</v>
      </c>
      <c r="CH191" s="6" t="s">
        <v>324</v>
      </c>
    </row>
    <row r="192" spans="1:86" ht="14.25">
      <c r="A192">
        <f t="shared" ref="A192:A255" si="225">AW192*1000000+D192*10000+F192*1000+E192*100+AV192</f>
        <v>5053601</v>
      </c>
      <c r="B192" s="2" t="s">
        <v>579</v>
      </c>
      <c r="C192" s="48" t="s">
        <v>580</v>
      </c>
      <c r="D192">
        <v>5</v>
      </c>
      <c r="E192">
        <v>6</v>
      </c>
      <c r="F192">
        <v>3</v>
      </c>
      <c r="G192" s="3" t="s">
        <v>581</v>
      </c>
      <c r="H192" s="3" t="s">
        <v>581</v>
      </c>
      <c r="I192">
        <v>0</v>
      </c>
      <c r="J192" s="2" t="s">
        <v>309</v>
      </c>
      <c r="K192" s="2">
        <f t="shared" ref="K192:K255" si="226">AT192</f>
        <v>6</v>
      </c>
      <c r="L192" s="2">
        <f t="shared" si="219"/>
        <v>1.5</v>
      </c>
      <c r="M192" s="2">
        <f t="shared" si="219"/>
        <v>2</v>
      </c>
      <c r="N192" s="2">
        <v>10</v>
      </c>
      <c r="O192" s="2">
        <f t="shared" si="220"/>
        <v>190.08</v>
      </c>
      <c r="P192" s="2">
        <f t="shared" si="220"/>
        <v>9.69</v>
      </c>
      <c r="Q192" s="2">
        <f t="shared" si="220"/>
        <v>2816</v>
      </c>
      <c r="R192" s="2">
        <f t="shared" si="220"/>
        <v>143.62</v>
      </c>
      <c r="S192" s="2">
        <f t="shared" si="220"/>
        <v>47.52</v>
      </c>
      <c r="T192" s="2">
        <f t="shared" si="220"/>
        <v>3.56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16">
        <v>536011</v>
      </c>
      <c r="AA192" s="15" t="s">
        <v>582</v>
      </c>
      <c r="AB192" s="15" t="s">
        <v>469</v>
      </c>
      <c r="AC192" s="2">
        <v>5063601</v>
      </c>
      <c r="AD192" s="52">
        <v>4</v>
      </c>
      <c r="AE192" s="2">
        <v>1</v>
      </c>
      <c r="AF192" s="2">
        <f t="shared" si="223"/>
        <v>5053601</v>
      </c>
      <c r="AG192" s="2">
        <v>1</v>
      </c>
      <c r="AH192" s="2"/>
      <c r="AI192">
        <v>1</v>
      </c>
      <c r="AJ192" s="1">
        <f t="shared" si="224"/>
        <v>103.5764464196255</v>
      </c>
      <c r="AK192">
        <v>5</v>
      </c>
      <c r="AL192">
        <f t="shared" si="167"/>
        <v>172.8</v>
      </c>
      <c r="AM192">
        <f t="shared" si="168"/>
        <v>8.8127999999999993</v>
      </c>
      <c r="AN192">
        <f t="shared" si="169"/>
        <v>2560</v>
      </c>
      <c r="AO192">
        <f t="shared" si="170"/>
        <v>130.56</v>
      </c>
      <c r="AP192">
        <f t="shared" si="171"/>
        <v>43.2</v>
      </c>
      <c r="AQ192">
        <f t="shared" si="172"/>
        <v>3.24</v>
      </c>
      <c r="AR192">
        <f t="shared" si="174"/>
        <v>1.5</v>
      </c>
      <c r="AS192">
        <f t="shared" si="194"/>
        <v>2</v>
      </c>
      <c r="AT192">
        <f t="shared" si="195"/>
        <v>6</v>
      </c>
      <c r="AU192">
        <f t="shared" si="222"/>
        <v>6013</v>
      </c>
      <c r="AV192" s="1">
        <v>1</v>
      </c>
      <c r="AW192">
        <v>5</v>
      </c>
      <c r="AX192">
        <v>0.1</v>
      </c>
      <c r="AZ192">
        <v>6</v>
      </c>
      <c r="BA192">
        <v>3</v>
      </c>
      <c r="CG192" t="str">
        <f t="shared" si="176"/>
        <v>DATA_Class_Base19</v>
      </c>
      <c r="CH192" s="6" t="s">
        <v>331</v>
      </c>
    </row>
    <row r="193" spans="1:86" ht="14.25">
      <c r="A193">
        <f t="shared" si="225"/>
        <v>5054201</v>
      </c>
      <c r="B193" s="2" t="s">
        <v>583</v>
      </c>
      <c r="C193" s="48" t="s">
        <v>584</v>
      </c>
      <c r="D193">
        <v>5</v>
      </c>
      <c r="E193">
        <v>2</v>
      </c>
      <c r="F193">
        <v>4</v>
      </c>
      <c r="G193" s="3" t="s">
        <v>585</v>
      </c>
      <c r="H193" s="3" t="s">
        <v>585</v>
      </c>
      <c r="I193" s="30">
        <v>0</v>
      </c>
      <c r="J193" s="8" t="s">
        <v>298</v>
      </c>
      <c r="K193" s="2">
        <f t="shared" si="226"/>
        <v>3</v>
      </c>
      <c r="L193" s="2">
        <f t="shared" si="219"/>
        <v>1.8</v>
      </c>
      <c r="M193" s="2">
        <f t="shared" si="219"/>
        <v>1.8</v>
      </c>
      <c r="N193" s="2">
        <v>10</v>
      </c>
      <c r="O193" s="2">
        <f t="shared" si="220"/>
        <v>221.18</v>
      </c>
      <c r="P193" s="2">
        <f t="shared" si="220"/>
        <v>11.28</v>
      </c>
      <c r="Q193" s="2">
        <f t="shared" si="220"/>
        <v>3456</v>
      </c>
      <c r="R193" s="2">
        <f t="shared" si="220"/>
        <v>176.26</v>
      </c>
      <c r="S193" s="2">
        <f t="shared" si="220"/>
        <v>81.92</v>
      </c>
      <c r="T193" s="2">
        <f t="shared" si="220"/>
        <v>6.14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16">
        <v>542011</v>
      </c>
      <c r="AA193" s="15" t="s">
        <v>586</v>
      </c>
      <c r="AB193" s="15" t="s">
        <v>469</v>
      </c>
      <c r="AC193" s="2">
        <v>5064201</v>
      </c>
      <c r="AD193" s="52">
        <v>1</v>
      </c>
      <c r="AE193" s="2">
        <v>1</v>
      </c>
      <c r="AF193" s="2">
        <f t="shared" si="223"/>
        <v>5054201</v>
      </c>
      <c r="AG193" s="2">
        <v>1</v>
      </c>
      <c r="AH193" s="2"/>
      <c r="AI193">
        <v>1</v>
      </c>
      <c r="AJ193" s="1">
        <f t="shared" si="224"/>
        <v>104.14296946240286</v>
      </c>
      <c r="AK193">
        <v>5</v>
      </c>
      <c r="AL193">
        <f t="shared" ref="AL193:AL256" si="227">INDEX($BD$5:$BD$60,MATCH($AU193,$BB$5:$BB$60,0))*$AR193/1.5*$BH$4*INDEX($BD$106:$BQ$106,MATCH($AK193,$BD$105:$BQ$105,0))</f>
        <v>184.32000000000002</v>
      </c>
      <c r="AM193">
        <f t="shared" ref="AM193:AM256" si="228">(INDEX($BD$5:$BD$56,MATCH($AU193,$BB$5:$BB$56,0))*$AR193/1.5*$BH$4*INDEX($BD$106:$BQ$106,MATCH($AK193,$BD$105:$BQ$105,0)))*0.051</f>
        <v>9.4003200000000007</v>
      </c>
      <c r="AN193">
        <f t="shared" ref="AN193:AN256" si="229">INDEX($BE$5:$BE$60,MATCH($AU193,$BB$5:$BB$60,0))*$BI$4*INDEX($BD$106:$BQ$106,MATCH($AK193,$BD$105:$BQ$105,0))</f>
        <v>2880</v>
      </c>
      <c r="AO193">
        <f t="shared" ref="AO193:AO256" si="230">(INDEX($BE$5:$BE$60,MATCH($AU193,$BB$5:$BB$60,0))*$BI$4*INDEX($BD$106:$BQ$106,MATCH($AK193,$BD$105:$BQ$105,0)))*0.051</f>
        <v>146.88</v>
      </c>
      <c r="AP193">
        <f t="shared" ref="AP193:AP256" si="231">$AL193/INDEX($BF$5:$BF$60,MATCH($AU193,$BB$5:$BB$60,0))</f>
        <v>68.266666666666666</v>
      </c>
      <c r="AQ193">
        <f t="shared" ref="AQ193:AQ256" si="232">AP193*0.075</f>
        <v>5.12</v>
      </c>
      <c r="AR193">
        <f t="shared" si="174"/>
        <v>1.8</v>
      </c>
      <c r="AS193">
        <f t="shared" si="194"/>
        <v>1.8</v>
      </c>
      <c r="AT193">
        <f t="shared" si="195"/>
        <v>3</v>
      </c>
      <c r="AU193">
        <f t="shared" si="222"/>
        <v>2014</v>
      </c>
      <c r="AV193" s="1">
        <v>1</v>
      </c>
      <c r="AW193">
        <v>5</v>
      </c>
      <c r="AX193">
        <v>0.2</v>
      </c>
      <c r="AZ193">
        <v>2</v>
      </c>
      <c r="BA193">
        <v>4</v>
      </c>
      <c r="CG193" t="str">
        <f t="shared" si="176"/>
        <v>DATA_Class_Base20</v>
      </c>
      <c r="CH193" s="6" t="s">
        <v>336</v>
      </c>
    </row>
    <row r="194" spans="1:86" ht="14.25">
      <c r="A194">
        <f t="shared" si="225"/>
        <v>5054302</v>
      </c>
      <c r="B194" s="2" t="s">
        <v>587</v>
      </c>
      <c r="C194" s="48" t="s">
        <v>588</v>
      </c>
      <c r="D194">
        <v>5</v>
      </c>
      <c r="E194">
        <v>3</v>
      </c>
      <c r="F194">
        <v>4</v>
      </c>
      <c r="G194" s="3" t="s">
        <v>589</v>
      </c>
      <c r="H194" s="3" t="s">
        <v>589</v>
      </c>
      <c r="I194" s="30">
        <v>0</v>
      </c>
      <c r="J194" s="8" t="s">
        <v>590</v>
      </c>
      <c r="K194" s="2">
        <f t="shared" si="226"/>
        <v>3</v>
      </c>
      <c r="L194" s="2">
        <f t="shared" si="219"/>
        <v>1.4000000000000001</v>
      </c>
      <c r="M194" s="2">
        <f t="shared" si="219"/>
        <v>2</v>
      </c>
      <c r="N194" s="2">
        <v>10</v>
      </c>
      <c r="O194" s="2">
        <f t="shared" si="220"/>
        <v>226.69</v>
      </c>
      <c r="P194" s="2">
        <f t="shared" si="220"/>
        <v>11.56</v>
      </c>
      <c r="Q194" s="2">
        <f t="shared" si="220"/>
        <v>2408.73</v>
      </c>
      <c r="R194" s="2">
        <f t="shared" si="220"/>
        <v>122.85</v>
      </c>
      <c r="S194" s="2">
        <f t="shared" si="220"/>
        <v>56.67</v>
      </c>
      <c r="T194" s="2">
        <f t="shared" si="220"/>
        <v>4.25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16">
        <v>543021</v>
      </c>
      <c r="AA194" s="15" t="s">
        <v>591</v>
      </c>
      <c r="AB194" s="15" t="s">
        <v>469</v>
      </c>
      <c r="AC194" s="2">
        <v>5064302</v>
      </c>
      <c r="AD194" s="52">
        <v>2</v>
      </c>
      <c r="AE194" s="2">
        <v>1</v>
      </c>
      <c r="AF194" s="2">
        <f t="shared" si="223"/>
        <v>5054302</v>
      </c>
      <c r="AG194" s="2">
        <v>1</v>
      </c>
      <c r="AH194" s="2"/>
      <c r="AI194">
        <v>1</v>
      </c>
      <c r="AJ194" s="1">
        <f t="shared" si="224"/>
        <v>103.7132914508602</v>
      </c>
      <c r="AK194">
        <v>5</v>
      </c>
      <c r="AL194">
        <f t="shared" si="227"/>
        <v>197.12</v>
      </c>
      <c r="AM194">
        <f t="shared" si="228"/>
        <v>10.05312</v>
      </c>
      <c r="AN194">
        <f t="shared" si="229"/>
        <v>2094.5454545454545</v>
      </c>
      <c r="AO194">
        <f t="shared" si="230"/>
        <v>106.82181818181817</v>
      </c>
      <c r="AP194">
        <f t="shared" si="231"/>
        <v>49.28</v>
      </c>
      <c r="AQ194">
        <f t="shared" si="232"/>
        <v>3.6959999999999997</v>
      </c>
      <c r="AR194">
        <f t="shared" ref="AR194:AR257" si="233">INDEX($BG$5:$BG$60,MATCH($AU194,$BB$5:$BB$60,0))</f>
        <v>1.4</v>
      </c>
      <c r="AS194">
        <f t="shared" si="194"/>
        <v>2</v>
      </c>
      <c r="AT194">
        <f t="shared" si="195"/>
        <v>3</v>
      </c>
      <c r="AU194">
        <f t="shared" si="222"/>
        <v>3024</v>
      </c>
      <c r="AV194" s="1">
        <v>2</v>
      </c>
      <c r="AW194">
        <v>5</v>
      </c>
      <c r="AX194">
        <v>0.15</v>
      </c>
      <c r="AZ194">
        <v>3</v>
      </c>
      <c r="BA194">
        <v>4</v>
      </c>
      <c r="CG194" t="str">
        <f t="shared" si="176"/>
        <v>DATA_Class_Base21</v>
      </c>
      <c r="CH194" s="6" t="s">
        <v>342</v>
      </c>
    </row>
    <row r="195" spans="1:86" ht="14.25">
      <c r="A195" s="49">
        <f t="shared" si="225"/>
        <v>5054501</v>
      </c>
      <c r="B195" s="2" t="s">
        <v>592</v>
      </c>
      <c r="C195" s="48" t="s">
        <v>593</v>
      </c>
      <c r="D195">
        <v>5</v>
      </c>
      <c r="E195">
        <v>5</v>
      </c>
      <c r="F195">
        <v>4</v>
      </c>
      <c r="G195" s="3" t="s">
        <v>594</v>
      </c>
      <c r="H195" s="3" t="s">
        <v>594</v>
      </c>
      <c r="I195">
        <v>0</v>
      </c>
      <c r="J195" s="2" t="s">
        <v>334</v>
      </c>
      <c r="K195" s="2">
        <f t="shared" si="226"/>
        <v>6</v>
      </c>
      <c r="L195" s="2">
        <f t="shared" si="219"/>
        <v>1.6</v>
      </c>
      <c r="M195" s="2">
        <f t="shared" si="219"/>
        <v>2</v>
      </c>
      <c r="N195" s="2">
        <v>10</v>
      </c>
      <c r="O195" s="2">
        <f t="shared" si="220"/>
        <v>306.18</v>
      </c>
      <c r="P195" s="2">
        <f t="shared" si="220"/>
        <v>15.61</v>
      </c>
      <c r="Q195" s="2">
        <f t="shared" si="220"/>
        <v>2038.15</v>
      </c>
      <c r="R195" s="2">
        <f t="shared" si="220"/>
        <v>103.95</v>
      </c>
      <c r="S195" s="2">
        <f t="shared" si="220"/>
        <v>43.74</v>
      </c>
      <c r="T195" s="2">
        <f t="shared" si="220"/>
        <v>3.28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16">
        <v>545011</v>
      </c>
      <c r="AA195" s="14" t="s">
        <v>595</v>
      </c>
      <c r="AB195" s="15" t="s">
        <v>469</v>
      </c>
      <c r="AC195" s="2">
        <v>5064501</v>
      </c>
      <c r="AD195" s="52">
        <v>2</v>
      </c>
      <c r="AE195" s="2">
        <v>1</v>
      </c>
      <c r="AF195" s="2">
        <f t="shared" si="223"/>
        <v>5054501</v>
      </c>
      <c r="AG195" s="2">
        <v>1</v>
      </c>
      <c r="AH195" s="2"/>
      <c r="AI195">
        <v>1</v>
      </c>
      <c r="AJ195" s="1">
        <f t="shared" si="224"/>
        <v>103.46046301956297</v>
      </c>
      <c r="AK195">
        <v>5</v>
      </c>
      <c r="AL195">
        <f t="shared" si="227"/>
        <v>266.24</v>
      </c>
      <c r="AM195">
        <f t="shared" si="228"/>
        <v>13.578239999999999</v>
      </c>
      <c r="AN195">
        <f t="shared" si="229"/>
        <v>1772.3076923076924</v>
      </c>
      <c r="AO195">
        <f t="shared" si="230"/>
        <v>90.387692307692305</v>
      </c>
      <c r="AP195">
        <f t="shared" si="231"/>
        <v>38.034285714285716</v>
      </c>
      <c r="AQ195">
        <f t="shared" si="232"/>
        <v>2.8525714285714288</v>
      </c>
      <c r="AR195">
        <f t="shared" si="233"/>
        <v>1.6</v>
      </c>
      <c r="AS195">
        <f t="shared" si="194"/>
        <v>2</v>
      </c>
      <c r="AT195">
        <f t="shared" si="195"/>
        <v>6</v>
      </c>
      <c r="AU195">
        <f t="shared" si="222"/>
        <v>5014</v>
      </c>
      <c r="AV195" s="1">
        <v>1</v>
      </c>
      <c r="AW195">
        <v>5</v>
      </c>
      <c r="AX195">
        <v>0.15</v>
      </c>
      <c r="AZ195">
        <v>5</v>
      </c>
      <c r="BA195">
        <v>4</v>
      </c>
      <c r="CG195" t="str">
        <f t="shared" ref="CG195:CG258" si="234">INDEX($CD$66:$CD$107,MATCH($CH195,$CE$66:$CE$107,0))</f>
        <v>DATA_Class_Base13</v>
      </c>
      <c r="CH195" s="6" t="s">
        <v>295</v>
      </c>
    </row>
    <row r="196" spans="1:86" ht="14.25">
      <c r="A196" s="49">
        <f t="shared" si="225"/>
        <v>5054600</v>
      </c>
      <c r="B196" s="2" t="s">
        <v>596</v>
      </c>
      <c r="C196" s="48" t="s">
        <v>597</v>
      </c>
      <c r="D196">
        <v>5</v>
      </c>
      <c r="E196">
        <v>6</v>
      </c>
      <c r="F196">
        <v>4</v>
      </c>
      <c r="G196" s="3" t="s">
        <v>598</v>
      </c>
      <c r="H196" s="3" t="s">
        <v>598</v>
      </c>
      <c r="I196" s="2">
        <v>0</v>
      </c>
      <c r="J196" s="2" t="s">
        <v>339</v>
      </c>
      <c r="K196" s="2">
        <f t="shared" si="226"/>
        <v>3</v>
      </c>
      <c r="L196" s="2">
        <f t="shared" si="219"/>
        <v>1.4000000000000001</v>
      </c>
      <c r="M196" s="2">
        <f t="shared" si="219"/>
        <v>1.9000000000000001</v>
      </c>
      <c r="N196" s="2">
        <v>10</v>
      </c>
      <c r="O196" s="2">
        <f t="shared" si="220"/>
        <v>226.69</v>
      </c>
      <c r="P196" s="2">
        <f t="shared" si="220"/>
        <v>11.56</v>
      </c>
      <c r="Q196" s="2">
        <f t="shared" si="220"/>
        <v>2408.73</v>
      </c>
      <c r="R196" s="2">
        <f t="shared" si="220"/>
        <v>122.85</v>
      </c>
      <c r="S196" s="2">
        <f t="shared" si="220"/>
        <v>56.67</v>
      </c>
      <c r="T196" s="2">
        <f t="shared" si="220"/>
        <v>4.25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16">
        <v>546001</v>
      </c>
      <c r="AA196" s="14" t="s">
        <v>599</v>
      </c>
      <c r="AB196" s="15" t="s">
        <v>469</v>
      </c>
      <c r="AC196" s="2">
        <v>5064600</v>
      </c>
      <c r="AD196" s="52">
        <v>2</v>
      </c>
      <c r="AE196" s="2">
        <v>1</v>
      </c>
      <c r="AF196" s="2">
        <f t="shared" si="223"/>
        <v>5054600</v>
      </c>
      <c r="AG196" s="2">
        <v>1</v>
      </c>
      <c r="AH196" s="2"/>
      <c r="AI196">
        <v>1</v>
      </c>
      <c r="AJ196" s="1">
        <f t="shared" si="224"/>
        <v>103.7132914508602</v>
      </c>
      <c r="AK196">
        <v>5</v>
      </c>
      <c r="AL196">
        <f t="shared" si="227"/>
        <v>197.12</v>
      </c>
      <c r="AM196">
        <f t="shared" si="228"/>
        <v>10.05312</v>
      </c>
      <c r="AN196">
        <f t="shared" si="229"/>
        <v>2094.5454545454545</v>
      </c>
      <c r="AO196">
        <f t="shared" si="230"/>
        <v>106.82181818181817</v>
      </c>
      <c r="AP196">
        <f t="shared" si="231"/>
        <v>49.28</v>
      </c>
      <c r="AQ196">
        <f t="shared" si="232"/>
        <v>3.6959999999999997</v>
      </c>
      <c r="AR196">
        <f t="shared" si="233"/>
        <v>1.4</v>
      </c>
      <c r="AS196">
        <f t="shared" si="194"/>
        <v>1.9</v>
      </c>
      <c r="AT196">
        <f t="shared" si="195"/>
        <v>3</v>
      </c>
      <c r="AU196">
        <f t="shared" si="222"/>
        <v>6004</v>
      </c>
      <c r="AV196" s="1">
        <v>0</v>
      </c>
      <c r="AW196">
        <v>5</v>
      </c>
      <c r="AX196">
        <v>0.15</v>
      </c>
      <c r="AZ196">
        <v>6</v>
      </c>
      <c r="BA196">
        <v>4</v>
      </c>
      <c r="CG196" t="str">
        <f t="shared" si="234"/>
        <v>DATA_Class_Base14</v>
      </c>
      <c r="CH196" s="6" t="s">
        <v>300</v>
      </c>
    </row>
    <row r="197" spans="1:86" ht="14.25">
      <c r="A197">
        <f t="shared" si="225"/>
        <v>5054602</v>
      </c>
      <c r="B197" s="2" t="s">
        <v>600</v>
      </c>
      <c r="C197" s="48" t="s">
        <v>601</v>
      </c>
      <c r="D197">
        <v>5</v>
      </c>
      <c r="E197">
        <v>6</v>
      </c>
      <c r="F197">
        <v>4</v>
      </c>
      <c r="G197" s="3" t="s">
        <v>602</v>
      </c>
      <c r="H197" s="3" t="s">
        <v>602</v>
      </c>
      <c r="I197" t="s">
        <v>345</v>
      </c>
      <c r="J197" s="2" t="s">
        <v>346</v>
      </c>
      <c r="K197" s="2">
        <f t="shared" si="226"/>
        <v>6</v>
      </c>
      <c r="L197" s="2">
        <f t="shared" si="219"/>
        <v>1.8</v>
      </c>
      <c r="M197" s="2">
        <f t="shared" si="219"/>
        <v>2</v>
      </c>
      <c r="N197" s="2">
        <v>10</v>
      </c>
      <c r="O197" s="2">
        <f t="shared" si="220"/>
        <v>276.48</v>
      </c>
      <c r="P197" s="2">
        <f t="shared" si="220"/>
        <v>14.1</v>
      </c>
      <c r="Q197" s="2">
        <f t="shared" si="220"/>
        <v>2764.8</v>
      </c>
      <c r="R197" s="2">
        <f t="shared" ref="R197:T248" si="235">ROUND(AO197*(1+$AX197),2)</f>
        <v>141</v>
      </c>
      <c r="S197" s="2">
        <f t="shared" si="235"/>
        <v>55.3</v>
      </c>
      <c r="T197" s="2">
        <f t="shared" si="235"/>
        <v>4.1500000000000004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16">
        <v>546021</v>
      </c>
      <c r="AA197" s="55" t="s">
        <v>1721</v>
      </c>
      <c r="AB197" s="15" t="s">
        <v>469</v>
      </c>
      <c r="AC197" s="2">
        <v>5064602</v>
      </c>
      <c r="AD197" s="52">
        <v>1</v>
      </c>
      <c r="AE197" s="2">
        <v>1</v>
      </c>
      <c r="AF197" s="2">
        <f t="shared" si="223"/>
        <v>5054602</v>
      </c>
      <c r="AG197" s="2">
        <v>1</v>
      </c>
      <c r="AH197" s="2"/>
      <c r="AI197">
        <v>1</v>
      </c>
      <c r="AJ197" s="1">
        <f t="shared" si="224"/>
        <v>103.64122270688161</v>
      </c>
      <c r="AK197">
        <v>5</v>
      </c>
      <c r="AL197">
        <f t="shared" si="227"/>
        <v>230.4</v>
      </c>
      <c r="AM197">
        <f t="shared" si="228"/>
        <v>11.750399999999999</v>
      </c>
      <c r="AN197">
        <f t="shared" si="229"/>
        <v>2304</v>
      </c>
      <c r="AO197">
        <f t="shared" si="230"/>
        <v>117.50399999999999</v>
      </c>
      <c r="AP197">
        <f t="shared" si="231"/>
        <v>46.08</v>
      </c>
      <c r="AQ197">
        <f t="shared" si="232"/>
        <v>3.456</v>
      </c>
      <c r="AR197">
        <f t="shared" si="233"/>
        <v>1.8</v>
      </c>
      <c r="AS197">
        <f t="shared" si="194"/>
        <v>2</v>
      </c>
      <c r="AT197">
        <f t="shared" si="195"/>
        <v>6</v>
      </c>
      <c r="AU197">
        <f t="shared" si="222"/>
        <v>6024</v>
      </c>
      <c r="AV197" s="1">
        <v>2</v>
      </c>
      <c r="AW197">
        <v>5</v>
      </c>
      <c r="AX197">
        <v>0.2</v>
      </c>
      <c r="AZ197">
        <v>6</v>
      </c>
      <c r="BA197">
        <v>4</v>
      </c>
      <c r="CG197" t="str">
        <f t="shared" si="234"/>
        <v>DATA_Class_Base15</v>
      </c>
      <c r="CH197" s="6" t="s">
        <v>306</v>
      </c>
    </row>
    <row r="198" spans="1:86" ht="14.25">
      <c r="A198">
        <f t="shared" si="225"/>
        <v>5055202</v>
      </c>
      <c r="B198" s="2" t="s">
        <v>604</v>
      </c>
      <c r="C198" s="48" t="s">
        <v>605</v>
      </c>
      <c r="D198">
        <v>5</v>
      </c>
      <c r="E198">
        <v>2</v>
      </c>
      <c r="F198">
        <v>5</v>
      </c>
      <c r="G198" s="3" t="s">
        <v>606</v>
      </c>
      <c r="H198" s="3" t="s">
        <v>606</v>
      </c>
      <c r="I198" s="3">
        <v>0</v>
      </c>
      <c r="J198" s="8" t="s">
        <v>607</v>
      </c>
      <c r="K198" s="2">
        <f t="shared" si="226"/>
        <v>3</v>
      </c>
      <c r="L198" s="2">
        <f t="shared" si="219"/>
        <v>1.6</v>
      </c>
      <c r="M198" s="2">
        <f t="shared" si="219"/>
        <v>2</v>
      </c>
      <c r="N198" s="2">
        <v>10</v>
      </c>
      <c r="O198" s="2">
        <f t="shared" ref="O198:T249" si="236">ROUND(AL198*(1+$AX198),2)</f>
        <v>235.52</v>
      </c>
      <c r="P198" s="2">
        <f t="shared" si="236"/>
        <v>12.01</v>
      </c>
      <c r="Q198" s="2">
        <f t="shared" si="236"/>
        <v>2649.6</v>
      </c>
      <c r="R198" s="2">
        <f t="shared" si="235"/>
        <v>135.13</v>
      </c>
      <c r="S198" s="2">
        <f t="shared" si="235"/>
        <v>78.510000000000005</v>
      </c>
      <c r="T198" s="2">
        <f t="shared" si="235"/>
        <v>5.89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16">
        <v>552021</v>
      </c>
      <c r="AA198" s="15" t="s">
        <v>608</v>
      </c>
      <c r="AB198" s="15" t="s">
        <v>469</v>
      </c>
      <c r="AC198" s="2">
        <v>5065202</v>
      </c>
      <c r="AD198" s="52">
        <v>2</v>
      </c>
      <c r="AE198" s="2">
        <v>1</v>
      </c>
      <c r="AF198" s="2">
        <f t="shared" si="223"/>
        <v>5055202</v>
      </c>
      <c r="AG198" s="2">
        <v>1</v>
      </c>
      <c r="AH198" s="2"/>
      <c r="AI198">
        <v>1</v>
      </c>
      <c r="AJ198" s="1">
        <f t="shared" si="224"/>
        <v>104.14296946240286</v>
      </c>
      <c r="AK198">
        <v>5</v>
      </c>
      <c r="AL198">
        <f t="shared" si="227"/>
        <v>204.8</v>
      </c>
      <c r="AM198">
        <f t="shared" si="228"/>
        <v>10.444800000000001</v>
      </c>
      <c r="AN198">
        <f t="shared" si="229"/>
        <v>2304</v>
      </c>
      <c r="AO198">
        <f t="shared" si="230"/>
        <v>117.50399999999999</v>
      </c>
      <c r="AP198">
        <f t="shared" si="231"/>
        <v>68.266666666666666</v>
      </c>
      <c r="AQ198">
        <f t="shared" si="232"/>
        <v>5.12</v>
      </c>
      <c r="AR198">
        <f t="shared" si="233"/>
        <v>1.6</v>
      </c>
      <c r="AS198">
        <f t="shared" si="194"/>
        <v>2</v>
      </c>
      <c r="AT198">
        <f t="shared" si="195"/>
        <v>3</v>
      </c>
      <c r="AU198">
        <f t="shared" si="222"/>
        <v>2025</v>
      </c>
      <c r="AV198" s="1">
        <v>2</v>
      </c>
      <c r="AW198">
        <v>5</v>
      </c>
      <c r="AX198">
        <v>0.15</v>
      </c>
      <c r="AZ198">
        <v>2</v>
      </c>
      <c r="BA198">
        <v>5</v>
      </c>
      <c r="CG198" t="str">
        <f t="shared" si="234"/>
        <v>DATA_Class_Base16</v>
      </c>
      <c r="CH198" s="6" t="s">
        <v>312</v>
      </c>
    </row>
    <row r="199" spans="1:86" ht="14.25">
      <c r="A199" s="49">
        <f t="shared" si="225"/>
        <v>5055300</v>
      </c>
      <c r="B199" s="2" t="s">
        <v>609</v>
      </c>
      <c r="C199" s="48" t="s">
        <v>610</v>
      </c>
      <c r="D199">
        <v>5</v>
      </c>
      <c r="E199">
        <v>3</v>
      </c>
      <c r="F199">
        <v>5</v>
      </c>
      <c r="G199" s="3" t="s">
        <v>611</v>
      </c>
      <c r="H199" s="3" t="s">
        <v>611</v>
      </c>
      <c r="I199" s="2">
        <v>0</v>
      </c>
      <c r="J199" s="8" t="s">
        <v>612</v>
      </c>
      <c r="K199" s="2">
        <f t="shared" si="226"/>
        <v>3</v>
      </c>
      <c r="L199" s="2">
        <f t="shared" si="219"/>
        <v>1.3</v>
      </c>
      <c r="M199" s="2">
        <f t="shared" si="219"/>
        <v>2</v>
      </c>
      <c r="N199" s="2">
        <v>10</v>
      </c>
      <c r="O199" s="2">
        <f t="shared" si="236"/>
        <v>229.63</v>
      </c>
      <c r="P199" s="2">
        <f t="shared" si="236"/>
        <v>11.71</v>
      </c>
      <c r="Q199" s="2">
        <f t="shared" si="236"/>
        <v>2404.17</v>
      </c>
      <c r="R199" s="2">
        <f t="shared" si="235"/>
        <v>122.61</v>
      </c>
      <c r="S199" s="2">
        <f t="shared" si="235"/>
        <v>57.41</v>
      </c>
      <c r="T199" s="2">
        <f t="shared" si="235"/>
        <v>4.3099999999999996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16">
        <v>553001</v>
      </c>
      <c r="AA199" s="14" t="s">
        <v>613</v>
      </c>
      <c r="AB199" s="15" t="s">
        <v>469</v>
      </c>
      <c r="AC199" s="2">
        <v>5065300</v>
      </c>
      <c r="AD199" s="52">
        <v>1</v>
      </c>
      <c r="AE199" s="2">
        <v>1</v>
      </c>
      <c r="AF199" s="2">
        <f t="shared" si="223"/>
        <v>5055300</v>
      </c>
      <c r="AG199" s="2">
        <v>1</v>
      </c>
      <c r="AH199" s="2"/>
      <c r="AI199">
        <v>1</v>
      </c>
      <c r="AJ199" s="1">
        <f t="shared" si="224"/>
        <v>103.68084811666887</v>
      </c>
      <c r="AK199">
        <v>5</v>
      </c>
      <c r="AL199">
        <f t="shared" si="227"/>
        <v>191.36</v>
      </c>
      <c r="AM199">
        <f t="shared" si="228"/>
        <v>9.7593600000000009</v>
      </c>
      <c r="AN199">
        <f t="shared" si="229"/>
        <v>2003.4782608695657</v>
      </c>
      <c r="AO199">
        <f t="shared" si="230"/>
        <v>102.17739130434785</v>
      </c>
      <c r="AP199">
        <f t="shared" si="231"/>
        <v>47.84</v>
      </c>
      <c r="AQ199">
        <f t="shared" si="232"/>
        <v>3.5880000000000001</v>
      </c>
      <c r="AR199">
        <f t="shared" si="233"/>
        <v>1.3</v>
      </c>
      <c r="AS199">
        <f t="shared" si="194"/>
        <v>2</v>
      </c>
      <c r="AT199">
        <f t="shared" si="195"/>
        <v>3</v>
      </c>
      <c r="AU199">
        <f t="shared" si="222"/>
        <v>3005</v>
      </c>
      <c r="AV199" s="1">
        <v>0</v>
      </c>
      <c r="AW199">
        <v>5</v>
      </c>
      <c r="AX199">
        <v>0.2</v>
      </c>
      <c r="AZ199">
        <v>3</v>
      </c>
      <c r="BA199">
        <v>5</v>
      </c>
      <c r="CG199" t="str">
        <f t="shared" si="234"/>
        <v>DATA_Class_Base17</v>
      </c>
      <c r="CH199" s="6" t="s">
        <v>318</v>
      </c>
    </row>
    <row r="200" spans="1:86" ht="14.25">
      <c r="A200">
        <f t="shared" si="225"/>
        <v>5055302</v>
      </c>
      <c r="B200" s="2" t="s">
        <v>614</v>
      </c>
      <c r="C200" s="48" t="s">
        <v>615</v>
      </c>
      <c r="D200">
        <v>5</v>
      </c>
      <c r="E200">
        <v>3</v>
      </c>
      <c r="F200">
        <v>5</v>
      </c>
      <c r="G200" s="3" t="s">
        <v>616</v>
      </c>
      <c r="H200" s="3" t="s">
        <v>616</v>
      </c>
      <c r="I200" s="2">
        <v>0</v>
      </c>
      <c r="J200" s="2" t="s">
        <v>358</v>
      </c>
      <c r="K200" s="2">
        <f t="shared" si="226"/>
        <v>3</v>
      </c>
      <c r="L200" s="2">
        <f t="shared" si="219"/>
        <v>1.4000000000000001</v>
      </c>
      <c r="M200" s="2">
        <f t="shared" si="219"/>
        <v>2</v>
      </c>
      <c r="N200" s="2">
        <v>10</v>
      </c>
      <c r="O200" s="2">
        <f t="shared" si="236"/>
        <v>247.3</v>
      </c>
      <c r="P200" s="2">
        <f t="shared" si="236"/>
        <v>12.61</v>
      </c>
      <c r="Q200" s="2">
        <f t="shared" si="236"/>
        <v>2208</v>
      </c>
      <c r="R200" s="2">
        <f t="shared" si="235"/>
        <v>112.61</v>
      </c>
      <c r="S200" s="2">
        <f t="shared" si="235"/>
        <v>61.82</v>
      </c>
      <c r="T200" s="2">
        <f t="shared" si="235"/>
        <v>4.6399999999999997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16">
        <v>553021</v>
      </c>
      <c r="AA200" s="14" t="s">
        <v>617</v>
      </c>
      <c r="AB200" s="15" t="s">
        <v>469</v>
      </c>
      <c r="AC200" s="2">
        <v>5065302</v>
      </c>
      <c r="AD200" s="52">
        <v>2</v>
      </c>
      <c r="AE200" s="2">
        <v>1</v>
      </c>
      <c r="AF200" s="2">
        <f t="shared" si="223"/>
        <v>5055302</v>
      </c>
      <c r="AG200" s="2">
        <v>1</v>
      </c>
      <c r="AH200" s="2"/>
      <c r="AI200">
        <v>1</v>
      </c>
      <c r="AJ200" s="1">
        <f t="shared" si="224"/>
        <v>103.81435624044963</v>
      </c>
      <c r="AK200">
        <v>5</v>
      </c>
      <c r="AL200">
        <f t="shared" si="227"/>
        <v>215.03999999999996</v>
      </c>
      <c r="AM200">
        <f t="shared" si="228"/>
        <v>10.967039999999997</v>
      </c>
      <c r="AN200">
        <f t="shared" si="229"/>
        <v>1920</v>
      </c>
      <c r="AO200">
        <f t="shared" si="230"/>
        <v>97.919999999999987</v>
      </c>
      <c r="AP200">
        <f t="shared" si="231"/>
        <v>53.759999999999991</v>
      </c>
      <c r="AQ200">
        <f t="shared" si="232"/>
        <v>4.0319999999999991</v>
      </c>
      <c r="AR200">
        <f t="shared" si="233"/>
        <v>1.4</v>
      </c>
      <c r="AS200">
        <f t="shared" si="194"/>
        <v>2</v>
      </c>
      <c r="AT200">
        <f t="shared" si="195"/>
        <v>3</v>
      </c>
      <c r="AU200">
        <f t="shared" si="222"/>
        <v>3025</v>
      </c>
      <c r="AV200" s="1">
        <v>2</v>
      </c>
      <c r="AW200">
        <v>5</v>
      </c>
      <c r="AX200">
        <v>0.15</v>
      </c>
      <c r="AZ200">
        <v>3</v>
      </c>
      <c r="BA200">
        <v>5</v>
      </c>
      <c r="CG200" t="str">
        <f t="shared" si="234"/>
        <v>DATA_Class_Base18</v>
      </c>
      <c r="CH200" s="6" t="s">
        <v>324</v>
      </c>
    </row>
    <row r="201" spans="1:86" ht="14.25">
      <c r="A201" s="49">
        <f t="shared" si="225"/>
        <v>5055400</v>
      </c>
      <c r="B201" s="2" t="s">
        <v>618</v>
      </c>
      <c r="C201" s="48" t="s">
        <v>619</v>
      </c>
      <c r="D201">
        <v>5</v>
      </c>
      <c r="E201">
        <v>4</v>
      </c>
      <c r="F201">
        <v>5</v>
      </c>
      <c r="G201" s="3" t="s">
        <v>620</v>
      </c>
      <c r="H201" s="3" t="s">
        <v>620</v>
      </c>
      <c r="I201">
        <v>0</v>
      </c>
      <c r="J201" s="2" t="s">
        <v>364</v>
      </c>
      <c r="K201" s="2">
        <f t="shared" si="226"/>
        <v>6</v>
      </c>
      <c r="L201" s="2">
        <f t="shared" si="219"/>
        <v>1.4000000000000001</v>
      </c>
      <c r="M201" s="2">
        <f t="shared" si="219"/>
        <v>2</v>
      </c>
      <c r="N201" s="2">
        <v>10</v>
      </c>
      <c r="O201" s="2">
        <f t="shared" si="236"/>
        <v>268.8</v>
      </c>
      <c r="P201" s="2">
        <f t="shared" si="236"/>
        <v>13.71</v>
      </c>
      <c r="Q201" s="2">
        <f t="shared" si="236"/>
        <v>2211.84</v>
      </c>
      <c r="R201" s="2">
        <f t="shared" si="235"/>
        <v>112.8</v>
      </c>
      <c r="S201" s="2">
        <f t="shared" si="235"/>
        <v>48.87</v>
      </c>
      <c r="T201" s="2">
        <f t="shared" si="235"/>
        <v>3.67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16">
        <v>554001</v>
      </c>
      <c r="AA201" s="14" t="s">
        <v>621</v>
      </c>
      <c r="AB201" s="15" t="s">
        <v>469</v>
      </c>
      <c r="AC201" s="2">
        <v>5065400</v>
      </c>
      <c r="AD201" s="52">
        <v>1</v>
      </c>
      <c r="AE201" s="2">
        <v>1</v>
      </c>
      <c r="AF201" s="2">
        <f t="shared" si="223"/>
        <v>5055400</v>
      </c>
      <c r="AG201" s="2">
        <v>1</v>
      </c>
      <c r="AH201" s="2"/>
      <c r="AI201">
        <v>1</v>
      </c>
      <c r="AJ201" s="1">
        <f t="shared" si="224"/>
        <v>103.52089498573694</v>
      </c>
      <c r="AK201">
        <v>5</v>
      </c>
      <c r="AL201">
        <f t="shared" si="227"/>
        <v>224</v>
      </c>
      <c r="AM201">
        <f t="shared" si="228"/>
        <v>11.423999999999999</v>
      </c>
      <c r="AN201">
        <f t="shared" si="229"/>
        <v>1843.2</v>
      </c>
      <c r="AO201">
        <f t="shared" si="230"/>
        <v>94.003199999999993</v>
      </c>
      <c r="AP201">
        <f t="shared" si="231"/>
        <v>40.727272727272727</v>
      </c>
      <c r="AQ201">
        <f t="shared" si="232"/>
        <v>3.0545454545454542</v>
      </c>
      <c r="AR201">
        <f t="shared" si="233"/>
        <v>1.4</v>
      </c>
      <c r="AS201">
        <f t="shared" si="194"/>
        <v>2</v>
      </c>
      <c r="AT201">
        <f t="shared" si="195"/>
        <v>6</v>
      </c>
      <c r="AU201">
        <f t="shared" si="222"/>
        <v>4005</v>
      </c>
      <c r="AV201" s="1">
        <v>0</v>
      </c>
      <c r="AW201">
        <v>5</v>
      </c>
      <c r="AX201">
        <v>0.2</v>
      </c>
      <c r="AZ201">
        <v>4</v>
      </c>
      <c r="BA201">
        <v>5</v>
      </c>
      <c r="CG201" t="str">
        <f t="shared" si="234"/>
        <v>DATA_Class_Base19</v>
      </c>
      <c r="CH201" s="6" t="s">
        <v>331</v>
      </c>
    </row>
    <row r="202" spans="1:86" ht="14.25">
      <c r="A202">
        <f t="shared" si="225"/>
        <v>5055501</v>
      </c>
      <c r="B202" s="2" t="s">
        <v>622</v>
      </c>
      <c r="C202" s="48" t="s">
        <v>623</v>
      </c>
      <c r="D202">
        <v>5</v>
      </c>
      <c r="E202">
        <v>5</v>
      </c>
      <c r="F202">
        <v>5</v>
      </c>
      <c r="G202" s="3" t="s">
        <v>624</v>
      </c>
      <c r="H202" s="3" t="s">
        <v>624</v>
      </c>
      <c r="I202" s="3">
        <v>0</v>
      </c>
      <c r="J202" s="8" t="s">
        <v>625</v>
      </c>
      <c r="K202" s="2">
        <f t="shared" si="226"/>
        <v>6</v>
      </c>
      <c r="L202" s="2">
        <f t="shared" si="219"/>
        <v>1.5</v>
      </c>
      <c r="M202" s="2">
        <f t="shared" si="219"/>
        <v>2</v>
      </c>
      <c r="N202" s="2">
        <v>10</v>
      </c>
      <c r="O202" s="2">
        <f t="shared" si="236"/>
        <v>320.16000000000003</v>
      </c>
      <c r="P202" s="2">
        <f t="shared" si="236"/>
        <v>16.329999999999998</v>
      </c>
      <c r="Q202" s="2">
        <f t="shared" si="236"/>
        <v>1827.31</v>
      </c>
      <c r="R202" s="2">
        <f t="shared" si="235"/>
        <v>93.19</v>
      </c>
      <c r="S202" s="2">
        <f t="shared" si="235"/>
        <v>40.020000000000003</v>
      </c>
      <c r="T202" s="2">
        <f t="shared" si="235"/>
        <v>3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16">
        <v>555011</v>
      </c>
      <c r="AA202" s="15" t="s">
        <v>626</v>
      </c>
      <c r="AB202" s="15" t="s">
        <v>469</v>
      </c>
      <c r="AC202" s="2">
        <v>5065501</v>
      </c>
      <c r="AD202" s="52">
        <v>2</v>
      </c>
      <c r="AE202" s="2">
        <v>1</v>
      </c>
      <c r="AF202" s="2">
        <f t="shared" si="223"/>
        <v>5055501</v>
      </c>
      <c r="AG202" s="2">
        <v>1</v>
      </c>
      <c r="AH202" s="2"/>
      <c r="AI202">
        <v>1</v>
      </c>
      <c r="AJ202" s="1">
        <f t="shared" si="224"/>
        <v>103.38797723092179</v>
      </c>
      <c r="AK202">
        <v>5</v>
      </c>
      <c r="AL202">
        <f t="shared" si="227"/>
        <v>278.40000000000003</v>
      </c>
      <c r="AM202">
        <f t="shared" si="228"/>
        <v>14.198400000000001</v>
      </c>
      <c r="AN202">
        <f t="shared" si="229"/>
        <v>1588.9655172413795</v>
      </c>
      <c r="AO202">
        <f t="shared" si="230"/>
        <v>81.037241379310345</v>
      </c>
      <c r="AP202">
        <f t="shared" si="231"/>
        <v>34.800000000000004</v>
      </c>
      <c r="AQ202">
        <f t="shared" si="232"/>
        <v>2.6100000000000003</v>
      </c>
      <c r="AR202">
        <f t="shared" si="233"/>
        <v>1.5</v>
      </c>
      <c r="AS202">
        <f t="shared" si="194"/>
        <v>2</v>
      </c>
      <c r="AT202">
        <f t="shared" si="195"/>
        <v>6</v>
      </c>
      <c r="AU202">
        <f t="shared" si="222"/>
        <v>5015</v>
      </c>
      <c r="AV202" s="1">
        <v>1</v>
      </c>
      <c r="AW202">
        <v>5</v>
      </c>
      <c r="AX202">
        <v>0.15</v>
      </c>
      <c r="AZ202">
        <v>5</v>
      </c>
      <c r="BA202">
        <v>5</v>
      </c>
      <c r="CG202" t="str">
        <f t="shared" si="234"/>
        <v>DATA_Class_Base20</v>
      </c>
      <c r="CH202" s="6" t="s">
        <v>336</v>
      </c>
    </row>
    <row r="203" spans="1:86" ht="14.25">
      <c r="A203">
        <f t="shared" si="225"/>
        <v>5061200</v>
      </c>
      <c r="B203" s="2" t="s">
        <v>464</v>
      </c>
      <c r="C203" s="48" t="s">
        <v>465</v>
      </c>
      <c r="D203">
        <v>6</v>
      </c>
      <c r="E203">
        <v>2</v>
      </c>
      <c r="F203">
        <v>1</v>
      </c>
      <c r="G203" s="3" t="s">
        <v>466</v>
      </c>
      <c r="H203" s="3" t="s">
        <v>466</v>
      </c>
      <c r="I203" s="2">
        <v>0</v>
      </c>
      <c r="J203" s="8" t="s">
        <v>467</v>
      </c>
      <c r="K203" s="2">
        <f t="shared" si="226"/>
        <v>3</v>
      </c>
      <c r="L203" s="2">
        <f t="shared" si="219"/>
        <v>1.5</v>
      </c>
      <c r="M203" s="2">
        <f t="shared" si="219"/>
        <v>1.2</v>
      </c>
      <c r="N203" s="2">
        <v>10</v>
      </c>
      <c r="O203" s="2">
        <f t="shared" si="236"/>
        <v>190.08</v>
      </c>
      <c r="P203" s="2">
        <f t="shared" si="236"/>
        <v>9.69</v>
      </c>
      <c r="Q203" s="2">
        <f t="shared" si="236"/>
        <v>3564</v>
      </c>
      <c r="R203" s="2">
        <f t="shared" si="235"/>
        <v>181.76</v>
      </c>
      <c r="S203" s="2">
        <f t="shared" si="235"/>
        <v>76.03</v>
      </c>
      <c r="T203" s="2">
        <f t="shared" si="235"/>
        <v>5.7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17">
        <v>512002</v>
      </c>
      <c r="AA203" s="14" t="s">
        <v>468</v>
      </c>
      <c r="AB203" s="15" t="s">
        <v>469</v>
      </c>
      <c r="AC203" s="2">
        <v>5071200</v>
      </c>
      <c r="AD203" s="2">
        <v>0</v>
      </c>
      <c r="AE203" s="2">
        <v>2</v>
      </c>
      <c r="AF203" s="2">
        <v>6</v>
      </c>
      <c r="AG203" s="2">
        <v>2</v>
      </c>
      <c r="AH203" s="2"/>
      <c r="AI203">
        <v>1</v>
      </c>
      <c r="AJ203" s="1">
        <f t="shared" si="224"/>
        <v>131.8304925081857</v>
      </c>
      <c r="AK203">
        <v>6</v>
      </c>
      <c r="AL203">
        <f t="shared" si="227"/>
        <v>172.80000000000004</v>
      </c>
      <c r="AM203">
        <f t="shared" si="228"/>
        <v>8.8128000000000011</v>
      </c>
      <c r="AN203">
        <f t="shared" si="229"/>
        <v>3240</v>
      </c>
      <c r="AO203">
        <f t="shared" si="230"/>
        <v>165.23999999999998</v>
      </c>
      <c r="AP203">
        <f t="shared" si="231"/>
        <v>69.120000000000019</v>
      </c>
      <c r="AQ203">
        <f t="shared" si="232"/>
        <v>5.1840000000000011</v>
      </c>
      <c r="AR203">
        <f t="shared" si="233"/>
        <v>1.5</v>
      </c>
      <c r="AS203">
        <f t="shared" si="194"/>
        <v>1.2</v>
      </c>
      <c r="AT203">
        <f t="shared" si="195"/>
        <v>3</v>
      </c>
      <c r="AU203">
        <f t="shared" si="222"/>
        <v>2001</v>
      </c>
      <c r="AV203" s="1">
        <v>0</v>
      </c>
      <c r="AW203">
        <v>5</v>
      </c>
      <c r="AX203">
        <v>0.1</v>
      </c>
      <c r="AZ203">
        <v>2</v>
      </c>
      <c r="BA203">
        <v>1</v>
      </c>
      <c r="CG203" t="str">
        <f t="shared" si="234"/>
        <v>DATA_Class_Base21</v>
      </c>
      <c r="CH203" s="6" t="s">
        <v>342</v>
      </c>
    </row>
    <row r="204" spans="1:86" ht="14.25">
      <c r="A204" s="49">
        <f t="shared" si="225"/>
        <v>5061201</v>
      </c>
      <c r="B204" s="2" t="s">
        <v>470</v>
      </c>
      <c r="C204" s="48" t="s">
        <v>471</v>
      </c>
      <c r="D204">
        <v>6</v>
      </c>
      <c r="E204">
        <v>2</v>
      </c>
      <c r="F204">
        <v>1</v>
      </c>
      <c r="G204" s="3" t="s">
        <v>472</v>
      </c>
      <c r="H204" s="3" t="s">
        <v>472</v>
      </c>
      <c r="I204" s="2">
        <v>0</v>
      </c>
      <c r="J204" s="8" t="s">
        <v>298</v>
      </c>
      <c r="K204" s="2">
        <f t="shared" si="226"/>
        <v>3</v>
      </c>
      <c r="L204" s="2">
        <f t="shared" si="219"/>
        <v>1.6</v>
      </c>
      <c r="M204" s="2">
        <f t="shared" si="219"/>
        <v>1.8</v>
      </c>
      <c r="N204" s="2">
        <v>10</v>
      </c>
      <c r="O204" s="2">
        <f t="shared" si="236"/>
        <v>165.89</v>
      </c>
      <c r="P204" s="2">
        <f t="shared" si="236"/>
        <v>8.4600000000000009</v>
      </c>
      <c r="Q204" s="2">
        <f t="shared" si="236"/>
        <v>5184</v>
      </c>
      <c r="R204" s="2">
        <f t="shared" si="235"/>
        <v>264.38</v>
      </c>
      <c r="S204" s="2">
        <f t="shared" si="235"/>
        <v>97.58</v>
      </c>
      <c r="T204" s="2">
        <f t="shared" si="235"/>
        <v>7.32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17">
        <v>512012</v>
      </c>
      <c r="AA204" s="14" t="s">
        <v>473</v>
      </c>
      <c r="AB204" s="15" t="s">
        <v>469</v>
      </c>
      <c r="AC204" s="2">
        <v>5071201</v>
      </c>
      <c r="AD204" s="2">
        <v>0</v>
      </c>
      <c r="AE204" s="2">
        <v>2</v>
      </c>
      <c r="AF204" s="2">
        <v>6</v>
      </c>
      <c r="AG204" s="2">
        <v>2</v>
      </c>
      <c r="AH204" s="2"/>
      <c r="AI204">
        <v>1</v>
      </c>
      <c r="AJ204" s="1">
        <f t="shared" si="224"/>
        <v>132.18236916235284</v>
      </c>
      <c r="AK204">
        <v>6</v>
      </c>
      <c r="AL204">
        <f t="shared" si="227"/>
        <v>138.24</v>
      </c>
      <c r="AM204">
        <f t="shared" si="228"/>
        <v>7.0502399999999996</v>
      </c>
      <c r="AN204">
        <f t="shared" si="229"/>
        <v>4320</v>
      </c>
      <c r="AO204">
        <f t="shared" si="230"/>
        <v>220.32</v>
      </c>
      <c r="AP204">
        <f t="shared" si="231"/>
        <v>81.317647058823539</v>
      </c>
      <c r="AQ204">
        <f t="shared" si="232"/>
        <v>6.0988235294117654</v>
      </c>
      <c r="AR204">
        <f t="shared" si="233"/>
        <v>1.6</v>
      </c>
      <c r="AS204">
        <f t="shared" si="194"/>
        <v>1.8</v>
      </c>
      <c r="AT204">
        <f t="shared" si="195"/>
        <v>3</v>
      </c>
      <c r="AU204">
        <f t="shared" ref="AU204:AU267" si="237">AZ204*1000+AV204*10+BA204</f>
        <v>2011</v>
      </c>
      <c r="AV204" s="1">
        <v>1</v>
      </c>
      <c r="AW204">
        <v>5</v>
      </c>
      <c r="AX204">
        <v>0.2</v>
      </c>
      <c r="AZ204">
        <v>2</v>
      </c>
      <c r="BA204">
        <v>1</v>
      </c>
      <c r="CG204" t="str">
        <f t="shared" si="234"/>
        <v>DATA_Class_Base22</v>
      </c>
      <c r="CH204" s="6" t="s">
        <v>349</v>
      </c>
    </row>
    <row r="205" spans="1:86" ht="14.25">
      <c r="A205">
        <f t="shared" si="225"/>
        <v>5061202</v>
      </c>
      <c r="B205" s="2" t="s">
        <v>474</v>
      </c>
      <c r="C205" s="48" t="s">
        <v>475</v>
      </c>
      <c r="D205">
        <v>6</v>
      </c>
      <c r="E205">
        <v>2</v>
      </c>
      <c r="F205">
        <v>1</v>
      </c>
      <c r="G205" s="3" t="s">
        <v>476</v>
      </c>
      <c r="H205" s="3" t="s">
        <v>476</v>
      </c>
      <c r="I205">
        <v>0</v>
      </c>
      <c r="J205" s="8" t="s">
        <v>477</v>
      </c>
      <c r="K205" s="2">
        <f t="shared" si="226"/>
        <v>3</v>
      </c>
      <c r="L205" s="2">
        <f t="shared" si="219"/>
        <v>1.6</v>
      </c>
      <c r="M205" s="2">
        <f t="shared" si="219"/>
        <v>2</v>
      </c>
      <c r="N205" s="2">
        <v>10</v>
      </c>
      <c r="O205" s="2">
        <f t="shared" si="236"/>
        <v>202.75</v>
      </c>
      <c r="P205" s="2">
        <f t="shared" si="236"/>
        <v>10.34</v>
      </c>
      <c r="Q205" s="2">
        <f t="shared" si="236"/>
        <v>3564</v>
      </c>
      <c r="R205" s="2">
        <f t="shared" si="235"/>
        <v>181.76</v>
      </c>
      <c r="S205" s="2">
        <f t="shared" si="235"/>
        <v>75.09</v>
      </c>
      <c r="T205" s="2">
        <f t="shared" si="235"/>
        <v>5.63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17">
        <v>512022</v>
      </c>
      <c r="AA205" s="14" t="s">
        <v>478</v>
      </c>
      <c r="AB205" s="15" t="s">
        <v>469</v>
      </c>
      <c r="AC205" s="2">
        <v>5071202</v>
      </c>
      <c r="AD205" s="2">
        <v>0</v>
      </c>
      <c r="AE205" s="2">
        <v>2</v>
      </c>
      <c r="AF205" s="2">
        <v>6</v>
      </c>
      <c r="AG205" s="2">
        <v>2</v>
      </c>
      <c r="AH205" s="2"/>
      <c r="AI205">
        <v>1</v>
      </c>
      <c r="AJ205" s="1">
        <f t="shared" si="224"/>
        <v>131.8059457258536</v>
      </c>
      <c r="AK205">
        <v>6</v>
      </c>
      <c r="AL205">
        <f t="shared" si="227"/>
        <v>184.32000000000005</v>
      </c>
      <c r="AM205">
        <f t="shared" si="228"/>
        <v>9.4003200000000025</v>
      </c>
      <c r="AN205">
        <f t="shared" si="229"/>
        <v>3240</v>
      </c>
      <c r="AO205">
        <f t="shared" si="230"/>
        <v>165.23999999999998</v>
      </c>
      <c r="AP205">
        <f t="shared" si="231"/>
        <v>68.26666666666668</v>
      </c>
      <c r="AQ205">
        <f t="shared" si="232"/>
        <v>5.120000000000001</v>
      </c>
      <c r="AR205">
        <f t="shared" si="233"/>
        <v>1.6</v>
      </c>
      <c r="AS205">
        <f t="shared" si="194"/>
        <v>2</v>
      </c>
      <c r="AT205">
        <f t="shared" si="195"/>
        <v>3</v>
      </c>
      <c r="AU205">
        <f t="shared" si="237"/>
        <v>2021</v>
      </c>
      <c r="AV205" s="1">
        <v>2</v>
      </c>
      <c r="AW205">
        <v>5</v>
      </c>
      <c r="AX205">
        <v>0.1</v>
      </c>
      <c r="AZ205">
        <v>2</v>
      </c>
      <c r="BA205">
        <v>1</v>
      </c>
      <c r="CG205" t="str">
        <f t="shared" si="234"/>
        <v>DATA_Class_Base23</v>
      </c>
      <c r="CH205" s="6" t="s">
        <v>355</v>
      </c>
    </row>
    <row r="206" spans="1:86" ht="14.25">
      <c r="A206">
        <f t="shared" si="225"/>
        <v>5061301</v>
      </c>
      <c r="B206" s="2" t="s">
        <v>479</v>
      </c>
      <c r="C206" s="48" t="s">
        <v>480</v>
      </c>
      <c r="D206">
        <v>6</v>
      </c>
      <c r="E206">
        <v>3</v>
      </c>
      <c r="F206">
        <v>1</v>
      </c>
      <c r="G206" s="3" t="s">
        <v>481</v>
      </c>
      <c r="H206" s="3" t="s">
        <v>481</v>
      </c>
      <c r="I206" s="2">
        <v>0</v>
      </c>
      <c r="J206" s="8" t="s">
        <v>482</v>
      </c>
      <c r="K206" s="2">
        <f t="shared" si="226"/>
        <v>3</v>
      </c>
      <c r="L206" s="2">
        <f t="shared" si="219"/>
        <v>1.3</v>
      </c>
      <c r="M206" s="2">
        <f t="shared" si="219"/>
        <v>2</v>
      </c>
      <c r="N206" s="2">
        <v>10</v>
      </c>
      <c r="O206" s="2">
        <f t="shared" si="236"/>
        <v>226.51</v>
      </c>
      <c r="P206" s="2">
        <f t="shared" si="236"/>
        <v>11.55</v>
      </c>
      <c r="Q206" s="2">
        <f t="shared" si="236"/>
        <v>2592</v>
      </c>
      <c r="R206" s="2">
        <f t="shared" si="235"/>
        <v>132.19</v>
      </c>
      <c r="S206" s="2">
        <f t="shared" si="235"/>
        <v>64.72</v>
      </c>
      <c r="T206" s="2">
        <f t="shared" si="235"/>
        <v>4.8499999999999996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17">
        <v>513012</v>
      </c>
      <c r="AA206" s="14" t="s">
        <v>483</v>
      </c>
      <c r="AB206" s="15" t="s">
        <v>469</v>
      </c>
      <c r="AC206" s="2">
        <v>5071301</v>
      </c>
      <c r="AD206" s="2">
        <v>0</v>
      </c>
      <c r="AE206" s="2">
        <v>2</v>
      </c>
      <c r="AF206" s="2">
        <v>6</v>
      </c>
      <c r="AG206" s="2">
        <v>2</v>
      </c>
      <c r="AH206" s="2"/>
      <c r="AI206">
        <v>1</v>
      </c>
      <c r="AJ206" s="1">
        <f t="shared" si="224"/>
        <v>131.53522382725123</v>
      </c>
      <c r="AK206">
        <v>6</v>
      </c>
      <c r="AL206">
        <f t="shared" si="227"/>
        <v>205.92000000000004</v>
      </c>
      <c r="AM206">
        <f t="shared" si="228"/>
        <v>10.501920000000002</v>
      </c>
      <c r="AN206">
        <f t="shared" si="229"/>
        <v>2356.3636363636365</v>
      </c>
      <c r="AO206">
        <f t="shared" si="230"/>
        <v>120.17454545454545</v>
      </c>
      <c r="AP206">
        <f t="shared" si="231"/>
        <v>58.834285714285727</v>
      </c>
      <c r="AQ206">
        <f t="shared" si="232"/>
        <v>4.4125714285714297</v>
      </c>
      <c r="AR206">
        <f t="shared" si="233"/>
        <v>1.3</v>
      </c>
      <c r="AS206">
        <f t="shared" si="194"/>
        <v>2</v>
      </c>
      <c r="AT206">
        <f t="shared" si="195"/>
        <v>3</v>
      </c>
      <c r="AU206">
        <f t="shared" si="237"/>
        <v>3011</v>
      </c>
      <c r="AV206" s="1">
        <v>1</v>
      </c>
      <c r="AW206">
        <v>5</v>
      </c>
      <c r="AX206">
        <v>0.1</v>
      </c>
      <c r="AZ206">
        <v>3</v>
      </c>
      <c r="BA206">
        <v>1</v>
      </c>
      <c r="CG206" t="str">
        <f t="shared" si="234"/>
        <v>DATA_Class_Base24</v>
      </c>
      <c r="CH206" s="6" t="s">
        <v>361</v>
      </c>
    </row>
    <row r="207" spans="1:86" ht="14.25">
      <c r="A207">
        <f t="shared" si="225"/>
        <v>5061401</v>
      </c>
      <c r="B207" s="2" t="s">
        <v>484</v>
      </c>
      <c r="C207" s="48" t="s">
        <v>485</v>
      </c>
      <c r="D207">
        <v>6</v>
      </c>
      <c r="E207">
        <v>4</v>
      </c>
      <c r="F207">
        <v>1</v>
      </c>
      <c r="G207" s="3" t="s">
        <v>486</v>
      </c>
      <c r="H207" s="3" t="s">
        <v>486</v>
      </c>
      <c r="I207" s="2">
        <v>0</v>
      </c>
      <c r="J207" s="2" t="s">
        <v>161</v>
      </c>
      <c r="K207" s="2">
        <f t="shared" si="226"/>
        <v>6</v>
      </c>
      <c r="L207" s="2">
        <f t="shared" ref="L207:M268" si="238">FLOOR(AR207/1,0.01)</f>
        <v>1.6</v>
      </c>
      <c r="M207" s="2">
        <f t="shared" si="238"/>
        <v>2</v>
      </c>
      <c r="N207" s="2">
        <v>10</v>
      </c>
      <c r="O207" s="2">
        <f t="shared" si="236"/>
        <v>278.77999999999997</v>
      </c>
      <c r="P207" s="2">
        <f t="shared" si="236"/>
        <v>14.22</v>
      </c>
      <c r="Q207" s="2">
        <f t="shared" si="236"/>
        <v>2592</v>
      </c>
      <c r="R207" s="2">
        <f t="shared" si="235"/>
        <v>132.19</v>
      </c>
      <c r="S207" s="2">
        <f t="shared" si="235"/>
        <v>55.76</v>
      </c>
      <c r="T207" s="2">
        <f t="shared" si="235"/>
        <v>4.18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17">
        <v>514012</v>
      </c>
      <c r="AA207" s="14" t="s">
        <v>487</v>
      </c>
      <c r="AB207" s="15" t="s">
        <v>469</v>
      </c>
      <c r="AC207" s="2">
        <v>5071401</v>
      </c>
      <c r="AD207" s="2">
        <v>0</v>
      </c>
      <c r="AE207" s="2">
        <v>2</v>
      </c>
      <c r="AF207" s="2">
        <v>6</v>
      </c>
      <c r="AG207" s="2">
        <v>2</v>
      </c>
      <c r="AH207" s="2"/>
      <c r="AI207">
        <v>1</v>
      </c>
      <c r="AJ207" s="1">
        <f t="shared" si="224"/>
        <v>131.30230797322764</v>
      </c>
      <c r="AK207">
        <v>6</v>
      </c>
      <c r="AL207">
        <f t="shared" si="227"/>
        <v>253.44000000000008</v>
      </c>
      <c r="AM207">
        <f t="shared" si="228"/>
        <v>12.925440000000004</v>
      </c>
      <c r="AN207">
        <f t="shared" si="229"/>
        <v>2356.3636363636365</v>
      </c>
      <c r="AO207">
        <f t="shared" si="230"/>
        <v>120.17454545454545</v>
      </c>
      <c r="AP207">
        <f t="shared" si="231"/>
        <v>50.688000000000017</v>
      </c>
      <c r="AQ207">
        <f t="shared" si="232"/>
        <v>3.801600000000001</v>
      </c>
      <c r="AR207">
        <f t="shared" si="233"/>
        <v>1.6</v>
      </c>
      <c r="AS207">
        <f t="shared" si="194"/>
        <v>2</v>
      </c>
      <c r="AT207">
        <f t="shared" si="195"/>
        <v>6</v>
      </c>
      <c r="AU207">
        <f t="shared" si="237"/>
        <v>4011</v>
      </c>
      <c r="AV207" s="1">
        <v>1</v>
      </c>
      <c r="AW207">
        <v>5</v>
      </c>
      <c r="AX207">
        <v>0.1</v>
      </c>
      <c r="AZ207">
        <v>4</v>
      </c>
      <c r="BA207">
        <v>1</v>
      </c>
      <c r="CG207" t="str">
        <f t="shared" si="234"/>
        <v>DATA_Class_Base25</v>
      </c>
      <c r="CH207" s="6" t="s">
        <v>366</v>
      </c>
    </row>
    <row r="208" spans="1:86" ht="14.25">
      <c r="A208" s="49">
        <f t="shared" si="225"/>
        <v>5061402</v>
      </c>
      <c r="B208" s="2" t="s">
        <v>488</v>
      </c>
      <c r="C208" s="48" t="s">
        <v>489</v>
      </c>
      <c r="D208">
        <v>6</v>
      </c>
      <c r="E208">
        <v>4</v>
      </c>
      <c r="F208">
        <v>1</v>
      </c>
      <c r="G208" s="3" t="s">
        <v>490</v>
      </c>
      <c r="H208" s="3" t="s">
        <v>490</v>
      </c>
      <c r="I208">
        <v>0</v>
      </c>
      <c r="J208" s="8" t="s">
        <v>161</v>
      </c>
      <c r="K208" s="2">
        <f t="shared" si="226"/>
        <v>6</v>
      </c>
      <c r="L208" s="2">
        <f t="shared" si="238"/>
        <v>1.5</v>
      </c>
      <c r="M208" s="2">
        <f t="shared" si="238"/>
        <v>1.5</v>
      </c>
      <c r="N208" s="2">
        <v>10</v>
      </c>
      <c r="O208" s="2">
        <f t="shared" si="236"/>
        <v>298.08</v>
      </c>
      <c r="P208" s="2">
        <f t="shared" si="236"/>
        <v>15.2</v>
      </c>
      <c r="Q208" s="2">
        <f t="shared" si="236"/>
        <v>2484</v>
      </c>
      <c r="R208" s="2">
        <f t="shared" si="235"/>
        <v>126.68</v>
      </c>
      <c r="S208" s="2">
        <f t="shared" si="235"/>
        <v>49.68</v>
      </c>
      <c r="T208" s="2">
        <f t="shared" si="235"/>
        <v>3.73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17">
        <v>514022</v>
      </c>
      <c r="AA208" s="14" t="s">
        <v>491</v>
      </c>
      <c r="AB208" s="15" t="s">
        <v>469</v>
      </c>
      <c r="AC208" s="2">
        <v>5071402</v>
      </c>
      <c r="AD208" s="2">
        <v>0</v>
      </c>
      <c r="AE208" s="2">
        <v>2</v>
      </c>
      <c r="AF208" s="2">
        <v>6</v>
      </c>
      <c r="AG208" s="2">
        <v>2</v>
      </c>
      <c r="AH208" s="2"/>
      <c r="AI208">
        <v>1</v>
      </c>
      <c r="AJ208" s="1">
        <f t="shared" si="224"/>
        <v>131.08893999983849</v>
      </c>
      <c r="AK208">
        <v>6</v>
      </c>
      <c r="AL208">
        <f t="shared" si="227"/>
        <v>259.2</v>
      </c>
      <c r="AM208">
        <f t="shared" si="228"/>
        <v>13.219199999999999</v>
      </c>
      <c r="AN208">
        <f t="shared" si="229"/>
        <v>2160</v>
      </c>
      <c r="AO208">
        <f t="shared" si="230"/>
        <v>110.16</v>
      </c>
      <c r="AP208">
        <f t="shared" si="231"/>
        <v>43.199999999999996</v>
      </c>
      <c r="AQ208">
        <f t="shared" si="232"/>
        <v>3.2399999999999998</v>
      </c>
      <c r="AR208">
        <f t="shared" si="233"/>
        <v>1.5</v>
      </c>
      <c r="AS208">
        <f t="shared" si="194"/>
        <v>1.5</v>
      </c>
      <c r="AT208">
        <f t="shared" si="195"/>
        <v>6</v>
      </c>
      <c r="AU208">
        <f t="shared" si="237"/>
        <v>4021</v>
      </c>
      <c r="AV208" s="1">
        <v>2</v>
      </c>
      <c r="AW208">
        <v>5</v>
      </c>
      <c r="AX208">
        <v>0.15</v>
      </c>
      <c r="AZ208">
        <v>4</v>
      </c>
      <c r="BA208">
        <v>1</v>
      </c>
      <c r="CG208" t="str">
        <f t="shared" si="234"/>
        <v>DATA_Class_Base26</v>
      </c>
      <c r="CH208" s="6" t="s">
        <v>369</v>
      </c>
    </row>
    <row r="209" spans="1:86" ht="14.25">
      <c r="A209">
        <f t="shared" si="225"/>
        <v>5061500</v>
      </c>
      <c r="B209" s="2" t="s">
        <v>492</v>
      </c>
      <c r="C209" s="48" t="s">
        <v>493</v>
      </c>
      <c r="D209">
        <v>6</v>
      </c>
      <c r="E209">
        <v>5</v>
      </c>
      <c r="F209">
        <v>1</v>
      </c>
      <c r="G209" s="3" t="s">
        <v>494</v>
      </c>
      <c r="H209" s="3" t="s">
        <v>494</v>
      </c>
      <c r="I209">
        <v>0</v>
      </c>
      <c r="J209" s="2" t="s">
        <v>303</v>
      </c>
      <c r="K209" s="2">
        <f t="shared" si="226"/>
        <v>6</v>
      </c>
      <c r="L209" s="2">
        <f t="shared" si="238"/>
        <v>1.5</v>
      </c>
      <c r="M209" s="2">
        <f t="shared" si="238"/>
        <v>1.5</v>
      </c>
      <c r="N209" s="2">
        <v>10</v>
      </c>
      <c r="O209" s="2">
        <f t="shared" si="236"/>
        <v>362.88</v>
      </c>
      <c r="P209" s="2">
        <f t="shared" si="236"/>
        <v>18.510000000000002</v>
      </c>
      <c r="Q209" s="2">
        <f t="shared" si="236"/>
        <v>2221.71</v>
      </c>
      <c r="R209" s="2">
        <f t="shared" si="235"/>
        <v>113.31</v>
      </c>
      <c r="S209" s="2">
        <f t="shared" si="235"/>
        <v>51.84</v>
      </c>
      <c r="T209" s="2">
        <f t="shared" si="235"/>
        <v>3.89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17">
        <v>515002</v>
      </c>
      <c r="AA209" s="14" t="s">
        <v>495</v>
      </c>
      <c r="AB209" s="15" t="s">
        <v>469</v>
      </c>
      <c r="AC209" s="2">
        <v>5071500</v>
      </c>
      <c r="AD209" s="2">
        <v>0</v>
      </c>
      <c r="AE209" s="2">
        <v>2</v>
      </c>
      <c r="AF209" s="2">
        <v>6</v>
      </c>
      <c r="AG209" s="2">
        <v>2</v>
      </c>
      <c r="AH209" s="2"/>
      <c r="AI209">
        <v>1</v>
      </c>
      <c r="AJ209" s="1">
        <f t="shared" si="224"/>
        <v>131.08893999983849</v>
      </c>
      <c r="AK209">
        <v>6</v>
      </c>
      <c r="AL209">
        <f t="shared" si="227"/>
        <v>302.39999999999998</v>
      </c>
      <c r="AM209">
        <f t="shared" si="228"/>
        <v>15.422399999999998</v>
      </c>
      <c r="AN209">
        <f t="shared" si="229"/>
        <v>1851.4285714285716</v>
      </c>
      <c r="AO209">
        <f t="shared" si="230"/>
        <v>94.42285714285714</v>
      </c>
      <c r="AP209">
        <f t="shared" si="231"/>
        <v>43.199999999999996</v>
      </c>
      <c r="AQ209">
        <f t="shared" si="232"/>
        <v>3.2399999999999998</v>
      </c>
      <c r="AR209">
        <f t="shared" si="233"/>
        <v>1.5</v>
      </c>
      <c r="AS209">
        <f t="shared" ref="AS209:AS272" si="239">ROUND(IF(INDEX($BO$5:$BO$60,MATCH($AU209,$BB$5:$BB$60,0))&lt;2,INDEX($BO$5:$BO$60,MATCH($AU209,$BB$5:$BB$60,0))+0.2,2),1)</f>
        <v>1.5</v>
      </c>
      <c r="AT209">
        <f t="shared" ref="AT209:AT272" si="240">INDEX($BK$5:$BK$60,MATCH($AU209,$BB$5:$BB$60,0))</f>
        <v>6</v>
      </c>
      <c r="AU209">
        <f t="shared" si="237"/>
        <v>5001</v>
      </c>
      <c r="AV209" s="1">
        <v>0</v>
      </c>
      <c r="AW209">
        <v>5</v>
      </c>
      <c r="AX209">
        <v>0.2</v>
      </c>
      <c r="AZ209">
        <v>5</v>
      </c>
      <c r="BA209">
        <v>1</v>
      </c>
      <c r="CG209" t="str">
        <f t="shared" si="234"/>
        <v>DATA_Class_Base27</v>
      </c>
      <c r="CH209" s="6" t="s">
        <v>371</v>
      </c>
    </row>
    <row r="210" spans="1:86" ht="14.25">
      <c r="A210">
        <f t="shared" si="225"/>
        <v>5061502</v>
      </c>
      <c r="B210" s="2" t="s">
        <v>496</v>
      </c>
      <c r="C210" s="48" t="s">
        <v>497</v>
      </c>
      <c r="D210">
        <v>6</v>
      </c>
      <c r="E210">
        <v>5</v>
      </c>
      <c r="F210">
        <v>1</v>
      </c>
      <c r="G210" s="3" t="s">
        <v>498</v>
      </c>
      <c r="H210" s="3" t="s">
        <v>498</v>
      </c>
      <c r="I210" s="2">
        <v>0</v>
      </c>
      <c r="J210" s="8" t="s">
        <v>352</v>
      </c>
      <c r="K210" s="2">
        <f t="shared" si="226"/>
        <v>6</v>
      </c>
      <c r="L210" s="2">
        <f t="shared" si="238"/>
        <v>1.4000000000000001</v>
      </c>
      <c r="M210" s="2">
        <f t="shared" si="238"/>
        <v>2</v>
      </c>
      <c r="N210" s="2">
        <v>10</v>
      </c>
      <c r="O210" s="2">
        <f t="shared" si="236"/>
        <v>301.39</v>
      </c>
      <c r="P210" s="2">
        <f t="shared" si="236"/>
        <v>15.37</v>
      </c>
      <c r="Q210" s="2">
        <f t="shared" si="236"/>
        <v>2292.92</v>
      </c>
      <c r="R210" s="2">
        <f t="shared" si="235"/>
        <v>116.94</v>
      </c>
      <c r="S210" s="2">
        <f t="shared" si="235"/>
        <v>46.37</v>
      </c>
      <c r="T210" s="2">
        <f t="shared" si="235"/>
        <v>3.48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17">
        <v>515022</v>
      </c>
      <c r="AA210" s="14" t="s">
        <v>499</v>
      </c>
      <c r="AB210" s="15" t="s">
        <v>469</v>
      </c>
      <c r="AC210" s="2">
        <v>5071502</v>
      </c>
      <c r="AD210" s="2">
        <v>0</v>
      </c>
      <c r="AE210" s="2">
        <v>2</v>
      </c>
      <c r="AF210" s="2">
        <v>6</v>
      </c>
      <c r="AG210" s="2">
        <v>2</v>
      </c>
      <c r="AH210" s="2"/>
      <c r="AI210">
        <v>1</v>
      </c>
      <c r="AJ210" s="1">
        <f t="shared" si="224"/>
        <v>131.00705992620831</v>
      </c>
      <c r="AK210">
        <v>6</v>
      </c>
      <c r="AL210">
        <f t="shared" si="227"/>
        <v>262.07999999999993</v>
      </c>
      <c r="AM210">
        <f t="shared" si="228"/>
        <v>13.366079999999995</v>
      </c>
      <c r="AN210">
        <f t="shared" si="229"/>
        <v>1993.8461538461538</v>
      </c>
      <c r="AO210">
        <f t="shared" si="230"/>
        <v>101.68615384615384</v>
      </c>
      <c r="AP210">
        <f t="shared" si="231"/>
        <v>40.319999999999986</v>
      </c>
      <c r="AQ210">
        <f t="shared" si="232"/>
        <v>3.0239999999999987</v>
      </c>
      <c r="AR210">
        <f t="shared" si="233"/>
        <v>1.4</v>
      </c>
      <c r="AS210">
        <f t="shared" si="239"/>
        <v>2</v>
      </c>
      <c r="AT210">
        <f t="shared" si="240"/>
        <v>6</v>
      </c>
      <c r="AU210">
        <f t="shared" si="237"/>
        <v>5021</v>
      </c>
      <c r="AV210" s="1">
        <v>2</v>
      </c>
      <c r="AW210">
        <v>5</v>
      </c>
      <c r="AX210">
        <v>0.15</v>
      </c>
      <c r="AZ210">
        <v>5</v>
      </c>
      <c r="BA210">
        <v>1</v>
      </c>
      <c r="CG210" t="str">
        <f t="shared" si="234"/>
        <v>DATA_Class_Base13</v>
      </c>
      <c r="CH210" s="6" t="s">
        <v>295</v>
      </c>
    </row>
    <row r="211" spans="1:86" ht="14.25">
      <c r="A211">
        <f t="shared" si="225"/>
        <v>5061601</v>
      </c>
      <c r="B211" s="2" t="s">
        <v>500</v>
      </c>
      <c r="C211" s="48" t="s">
        <v>501</v>
      </c>
      <c r="D211">
        <v>6</v>
      </c>
      <c r="E211">
        <v>6</v>
      </c>
      <c r="F211">
        <v>1</v>
      </c>
      <c r="G211" s="3" t="s">
        <v>502</v>
      </c>
      <c r="H211" s="3" t="s">
        <v>502</v>
      </c>
      <c r="I211">
        <v>0</v>
      </c>
      <c r="J211" s="2" t="s">
        <v>309</v>
      </c>
      <c r="K211" s="2">
        <f t="shared" si="226"/>
        <v>6</v>
      </c>
      <c r="L211" s="2">
        <f t="shared" si="238"/>
        <v>1.5</v>
      </c>
      <c r="M211" s="2">
        <f t="shared" si="238"/>
        <v>2</v>
      </c>
      <c r="N211" s="2">
        <v>10</v>
      </c>
      <c r="O211" s="2">
        <f t="shared" si="236"/>
        <v>248.4</v>
      </c>
      <c r="P211" s="2">
        <f t="shared" si="236"/>
        <v>12.67</v>
      </c>
      <c r="Q211" s="2">
        <f t="shared" si="236"/>
        <v>2980.8</v>
      </c>
      <c r="R211" s="2">
        <f t="shared" si="235"/>
        <v>152.02000000000001</v>
      </c>
      <c r="S211" s="2">
        <f t="shared" si="235"/>
        <v>55.2</v>
      </c>
      <c r="T211" s="2">
        <f t="shared" si="235"/>
        <v>4.1399999999999997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17">
        <v>516012</v>
      </c>
      <c r="AA211" s="14" t="s">
        <v>503</v>
      </c>
      <c r="AB211" s="15" t="s">
        <v>469</v>
      </c>
      <c r="AC211" s="2">
        <v>5071601</v>
      </c>
      <c r="AD211" s="2">
        <v>0</v>
      </c>
      <c r="AE211" s="2">
        <v>2</v>
      </c>
      <c r="AF211" s="2">
        <v>6</v>
      </c>
      <c r="AG211" s="2">
        <v>2</v>
      </c>
      <c r="AH211" s="2"/>
      <c r="AI211">
        <v>1</v>
      </c>
      <c r="AJ211" s="1">
        <f t="shared" si="224"/>
        <v>131.22563447288013</v>
      </c>
      <c r="AK211">
        <v>6</v>
      </c>
      <c r="AL211">
        <f t="shared" si="227"/>
        <v>216</v>
      </c>
      <c r="AM211">
        <f t="shared" si="228"/>
        <v>11.016</v>
      </c>
      <c r="AN211">
        <f t="shared" si="229"/>
        <v>2592</v>
      </c>
      <c r="AO211">
        <f t="shared" si="230"/>
        <v>132.19199999999998</v>
      </c>
      <c r="AP211">
        <f t="shared" si="231"/>
        <v>48</v>
      </c>
      <c r="AQ211">
        <f t="shared" si="232"/>
        <v>3.5999999999999996</v>
      </c>
      <c r="AR211">
        <f t="shared" si="233"/>
        <v>1.5</v>
      </c>
      <c r="AS211">
        <f t="shared" si="239"/>
        <v>2</v>
      </c>
      <c r="AT211">
        <f t="shared" si="240"/>
        <v>6</v>
      </c>
      <c r="AU211">
        <f t="shared" si="237"/>
        <v>6011</v>
      </c>
      <c r="AV211" s="1">
        <v>1</v>
      </c>
      <c r="AW211">
        <v>5</v>
      </c>
      <c r="AX211">
        <v>0.15</v>
      </c>
      <c r="AZ211">
        <v>6</v>
      </c>
      <c r="BA211">
        <v>1</v>
      </c>
      <c r="CG211" t="str">
        <f t="shared" si="234"/>
        <v>DATA_Class_Base14</v>
      </c>
      <c r="CH211" s="6" t="s">
        <v>300</v>
      </c>
    </row>
    <row r="212" spans="1:86" ht="14.25">
      <c r="A212">
        <f t="shared" si="225"/>
        <v>5062200</v>
      </c>
      <c r="B212" s="2" t="s">
        <v>504</v>
      </c>
      <c r="C212" s="48" t="s">
        <v>505</v>
      </c>
      <c r="D212">
        <v>6</v>
      </c>
      <c r="E212">
        <v>2</v>
      </c>
      <c r="F212">
        <v>2</v>
      </c>
      <c r="G212" s="3" t="s">
        <v>506</v>
      </c>
      <c r="H212" s="3" t="s">
        <v>506</v>
      </c>
      <c r="I212">
        <v>0</v>
      </c>
      <c r="J212" s="8" t="s">
        <v>507</v>
      </c>
      <c r="K212" s="2">
        <f t="shared" si="226"/>
        <v>3</v>
      </c>
      <c r="L212" s="2">
        <f t="shared" si="238"/>
        <v>1.5</v>
      </c>
      <c r="M212" s="2">
        <f t="shared" si="238"/>
        <v>1.2</v>
      </c>
      <c r="N212" s="2">
        <v>10</v>
      </c>
      <c r="O212" s="2">
        <f t="shared" si="236"/>
        <v>248.4</v>
      </c>
      <c r="P212" s="2">
        <f t="shared" si="236"/>
        <v>12.67</v>
      </c>
      <c r="Q212" s="2">
        <f t="shared" si="236"/>
        <v>2980.8</v>
      </c>
      <c r="R212" s="2">
        <f t="shared" si="235"/>
        <v>152.02000000000001</v>
      </c>
      <c r="S212" s="2">
        <f t="shared" si="235"/>
        <v>82.8</v>
      </c>
      <c r="T212" s="2">
        <f t="shared" si="235"/>
        <v>6.21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17">
        <v>522002</v>
      </c>
      <c r="AA212" s="14" t="s">
        <v>508</v>
      </c>
      <c r="AB212" s="15" t="s">
        <v>469</v>
      </c>
      <c r="AC212" s="2">
        <v>5072200</v>
      </c>
      <c r="AD212" s="2">
        <v>0</v>
      </c>
      <c r="AE212" s="2">
        <v>2</v>
      </c>
      <c r="AF212" s="2">
        <v>6</v>
      </c>
      <c r="AG212" s="2">
        <v>2</v>
      </c>
      <c r="AH212" s="2"/>
      <c r="AI212">
        <v>1</v>
      </c>
      <c r="AJ212" s="1">
        <f t="shared" si="224"/>
        <v>131.91340544135213</v>
      </c>
      <c r="AK212">
        <v>6</v>
      </c>
      <c r="AL212">
        <f t="shared" si="227"/>
        <v>216</v>
      </c>
      <c r="AM212">
        <f t="shared" si="228"/>
        <v>11.016</v>
      </c>
      <c r="AN212">
        <f t="shared" si="229"/>
        <v>2592</v>
      </c>
      <c r="AO212">
        <f t="shared" si="230"/>
        <v>132.19199999999998</v>
      </c>
      <c r="AP212">
        <f t="shared" si="231"/>
        <v>72</v>
      </c>
      <c r="AQ212">
        <f t="shared" si="232"/>
        <v>5.3999999999999995</v>
      </c>
      <c r="AR212">
        <f t="shared" si="233"/>
        <v>1.5</v>
      </c>
      <c r="AS212">
        <f t="shared" si="239"/>
        <v>1.2</v>
      </c>
      <c r="AT212">
        <f t="shared" si="240"/>
        <v>3</v>
      </c>
      <c r="AU212">
        <f t="shared" si="237"/>
        <v>2002</v>
      </c>
      <c r="AV212" s="1">
        <v>0</v>
      </c>
      <c r="AW212">
        <v>5</v>
      </c>
      <c r="AX212">
        <v>0.15</v>
      </c>
      <c r="AZ212">
        <v>2</v>
      </c>
      <c r="BA212">
        <v>2</v>
      </c>
      <c r="CG212" t="str">
        <f t="shared" si="234"/>
        <v>DATA_Class_Base15</v>
      </c>
      <c r="CH212" s="6" t="s">
        <v>306</v>
      </c>
    </row>
    <row r="213" spans="1:86" ht="14.25">
      <c r="A213" s="49">
        <f t="shared" si="225"/>
        <v>5062201</v>
      </c>
      <c r="B213" s="2" t="s">
        <v>509</v>
      </c>
      <c r="C213" s="48" t="s">
        <v>510</v>
      </c>
      <c r="D213">
        <v>6</v>
      </c>
      <c r="E213">
        <v>2</v>
      </c>
      <c r="F213">
        <v>2</v>
      </c>
      <c r="G213" s="3" t="s">
        <v>511</v>
      </c>
      <c r="H213" s="3" t="s">
        <v>511</v>
      </c>
      <c r="I213">
        <v>0</v>
      </c>
      <c r="J213" s="8" t="s">
        <v>512</v>
      </c>
      <c r="K213" s="2">
        <f t="shared" si="226"/>
        <v>3</v>
      </c>
      <c r="L213" s="2">
        <f t="shared" si="238"/>
        <v>1.5</v>
      </c>
      <c r="M213" s="2">
        <f t="shared" si="238"/>
        <v>1.8</v>
      </c>
      <c r="N213" s="2">
        <v>10</v>
      </c>
      <c r="O213" s="2">
        <f t="shared" si="236"/>
        <v>198.72</v>
      </c>
      <c r="P213" s="2">
        <f t="shared" si="236"/>
        <v>10.130000000000001</v>
      </c>
      <c r="Q213" s="2">
        <f t="shared" si="236"/>
        <v>3726</v>
      </c>
      <c r="R213" s="2">
        <f t="shared" si="235"/>
        <v>190.03</v>
      </c>
      <c r="S213" s="2">
        <f t="shared" si="235"/>
        <v>86.4</v>
      </c>
      <c r="T213" s="2">
        <f t="shared" si="235"/>
        <v>6.48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17">
        <v>522012</v>
      </c>
      <c r="AA213" s="14" t="s">
        <v>513</v>
      </c>
      <c r="AB213" s="15" t="s">
        <v>469</v>
      </c>
      <c r="AC213" s="2">
        <v>5072201</v>
      </c>
      <c r="AD213" s="2">
        <v>0</v>
      </c>
      <c r="AE213" s="2">
        <v>2</v>
      </c>
      <c r="AF213" s="2">
        <v>6</v>
      </c>
      <c r="AG213" s="2">
        <v>2</v>
      </c>
      <c r="AH213" s="2"/>
      <c r="AI213">
        <v>1</v>
      </c>
      <c r="AJ213" s="1">
        <f t="shared" si="224"/>
        <v>132.00364656741243</v>
      </c>
      <c r="AK213">
        <v>6</v>
      </c>
      <c r="AL213">
        <f t="shared" si="227"/>
        <v>172.80000000000004</v>
      </c>
      <c r="AM213">
        <f t="shared" si="228"/>
        <v>8.8128000000000011</v>
      </c>
      <c r="AN213">
        <f t="shared" si="229"/>
        <v>3240</v>
      </c>
      <c r="AO213">
        <f t="shared" si="230"/>
        <v>165.23999999999998</v>
      </c>
      <c r="AP213">
        <f t="shared" si="231"/>
        <v>75.130434782608717</v>
      </c>
      <c r="AQ213">
        <f t="shared" si="232"/>
        <v>5.6347826086956534</v>
      </c>
      <c r="AR213">
        <f t="shared" si="233"/>
        <v>1.5</v>
      </c>
      <c r="AS213">
        <f t="shared" si="239"/>
        <v>1.8</v>
      </c>
      <c r="AT213">
        <f t="shared" si="240"/>
        <v>3</v>
      </c>
      <c r="AU213">
        <f t="shared" si="237"/>
        <v>2012</v>
      </c>
      <c r="AV213" s="1">
        <v>1</v>
      </c>
      <c r="AW213">
        <v>5</v>
      </c>
      <c r="AX213">
        <v>0.15</v>
      </c>
      <c r="AZ213">
        <v>2</v>
      </c>
      <c r="BA213">
        <v>2</v>
      </c>
      <c r="CG213" t="str">
        <f t="shared" si="234"/>
        <v>DATA_Class_Base16</v>
      </c>
      <c r="CH213" s="6" t="s">
        <v>312</v>
      </c>
    </row>
    <row r="214" spans="1:86" ht="14.25">
      <c r="A214">
        <f t="shared" si="225"/>
        <v>5062202</v>
      </c>
      <c r="B214" s="2" t="s">
        <v>514</v>
      </c>
      <c r="C214" s="48" t="s">
        <v>515</v>
      </c>
      <c r="D214">
        <v>6</v>
      </c>
      <c r="E214">
        <v>2</v>
      </c>
      <c r="F214">
        <v>2</v>
      </c>
      <c r="G214" s="3" t="s">
        <v>516</v>
      </c>
      <c r="H214" s="3" t="s">
        <v>516</v>
      </c>
      <c r="I214" s="2">
        <v>0</v>
      </c>
      <c r="J214" s="2" t="s">
        <v>280</v>
      </c>
      <c r="K214" s="2">
        <f t="shared" si="226"/>
        <v>3</v>
      </c>
      <c r="L214" s="2">
        <f t="shared" si="238"/>
        <v>1.6</v>
      </c>
      <c r="M214" s="2">
        <f t="shared" si="238"/>
        <v>2</v>
      </c>
      <c r="N214" s="2">
        <v>10</v>
      </c>
      <c r="O214" s="2">
        <f t="shared" si="236"/>
        <v>291.45999999999998</v>
      </c>
      <c r="P214" s="2">
        <f t="shared" si="236"/>
        <v>14.86</v>
      </c>
      <c r="Q214" s="2">
        <f t="shared" si="236"/>
        <v>2479.3000000000002</v>
      </c>
      <c r="R214" s="2">
        <f t="shared" si="235"/>
        <v>126.44</v>
      </c>
      <c r="S214" s="2">
        <f t="shared" si="235"/>
        <v>72.86</v>
      </c>
      <c r="T214" s="2">
        <f t="shared" si="235"/>
        <v>5.46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17">
        <v>522022</v>
      </c>
      <c r="AA214" s="14" t="s">
        <v>517</v>
      </c>
      <c r="AB214" s="15" t="s">
        <v>469</v>
      </c>
      <c r="AC214" s="2">
        <v>5072202</v>
      </c>
      <c r="AD214" s="2">
        <v>0</v>
      </c>
      <c r="AE214" s="2">
        <v>2</v>
      </c>
      <c r="AF214" s="2">
        <v>6</v>
      </c>
      <c r="AG214" s="2">
        <v>2</v>
      </c>
      <c r="AH214" s="2"/>
      <c r="AI214">
        <v>1</v>
      </c>
      <c r="AJ214" s="1">
        <f t="shared" si="224"/>
        <v>131.74768373784087</v>
      </c>
      <c r="AK214">
        <v>6</v>
      </c>
      <c r="AL214">
        <f t="shared" si="227"/>
        <v>264.95999999999998</v>
      </c>
      <c r="AM214">
        <f t="shared" si="228"/>
        <v>13.512959999999998</v>
      </c>
      <c r="AN214">
        <f t="shared" si="229"/>
        <v>2253.9130434782614</v>
      </c>
      <c r="AO214">
        <f t="shared" si="230"/>
        <v>114.94956521739132</v>
      </c>
      <c r="AP214">
        <f t="shared" si="231"/>
        <v>66.239999999999995</v>
      </c>
      <c r="AQ214">
        <f t="shared" si="232"/>
        <v>4.9679999999999991</v>
      </c>
      <c r="AR214">
        <f t="shared" si="233"/>
        <v>1.6</v>
      </c>
      <c r="AS214">
        <f t="shared" si="239"/>
        <v>2</v>
      </c>
      <c r="AT214">
        <f t="shared" si="240"/>
        <v>3</v>
      </c>
      <c r="AU214">
        <f t="shared" si="237"/>
        <v>2022</v>
      </c>
      <c r="AV214" s="1">
        <v>2</v>
      </c>
      <c r="AW214">
        <v>5</v>
      </c>
      <c r="AX214">
        <v>0.1</v>
      </c>
      <c r="AZ214">
        <v>2</v>
      </c>
      <c r="BA214">
        <v>2</v>
      </c>
      <c r="CG214" t="str">
        <f t="shared" si="234"/>
        <v>DATA_Class_Base17</v>
      </c>
      <c r="CH214" s="6" t="s">
        <v>318</v>
      </c>
    </row>
    <row r="215" spans="1:86" ht="14.25">
      <c r="A215">
        <f t="shared" si="225"/>
        <v>5062301</v>
      </c>
      <c r="B215" s="2" t="s">
        <v>518</v>
      </c>
      <c r="C215" s="48" t="s">
        <v>519</v>
      </c>
      <c r="D215">
        <v>6</v>
      </c>
      <c r="E215">
        <v>3</v>
      </c>
      <c r="F215">
        <v>2</v>
      </c>
      <c r="G215" s="3" t="s">
        <v>520</v>
      </c>
      <c r="H215" s="3" t="s">
        <v>520</v>
      </c>
      <c r="I215">
        <v>0</v>
      </c>
      <c r="J215" s="2" t="s">
        <v>285</v>
      </c>
      <c r="K215" s="2">
        <f t="shared" si="226"/>
        <v>3</v>
      </c>
      <c r="L215" s="2">
        <f t="shared" si="238"/>
        <v>1.2</v>
      </c>
      <c r="M215" s="2">
        <f t="shared" si="238"/>
        <v>1.7</v>
      </c>
      <c r="N215" s="2">
        <v>10</v>
      </c>
      <c r="O215" s="2">
        <f t="shared" si="236"/>
        <v>247.1</v>
      </c>
      <c r="P215" s="2">
        <f t="shared" si="236"/>
        <v>12.6</v>
      </c>
      <c r="Q215" s="2">
        <f t="shared" si="236"/>
        <v>2193.23</v>
      </c>
      <c r="R215" s="2">
        <f t="shared" si="235"/>
        <v>111.85</v>
      </c>
      <c r="S215" s="2">
        <f t="shared" si="235"/>
        <v>61.78</v>
      </c>
      <c r="T215" s="2">
        <f t="shared" si="235"/>
        <v>4.63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17">
        <v>523012</v>
      </c>
      <c r="AA215" s="14" t="s">
        <v>521</v>
      </c>
      <c r="AB215" s="15" t="s">
        <v>469</v>
      </c>
      <c r="AC215" s="2">
        <v>5072301</v>
      </c>
      <c r="AD215" s="2">
        <v>0</v>
      </c>
      <c r="AE215" s="2">
        <v>2</v>
      </c>
      <c r="AF215" s="2">
        <v>6</v>
      </c>
      <c r="AG215" s="2">
        <v>2</v>
      </c>
      <c r="AH215" s="2"/>
      <c r="AI215">
        <v>1</v>
      </c>
      <c r="AJ215" s="1">
        <f t="shared" si="224"/>
        <v>131.45867049615885</v>
      </c>
      <c r="AK215">
        <v>6</v>
      </c>
      <c r="AL215">
        <f t="shared" si="227"/>
        <v>224.64000000000001</v>
      </c>
      <c r="AM215">
        <f t="shared" si="228"/>
        <v>11.45664</v>
      </c>
      <c r="AN215">
        <f t="shared" si="229"/>
        <v>1993.8461538461538</v>
      </c>
      <c r="AO215">
        <f t="shared" si="230"/>
        <v>101.68615384615384</v>
      </c>
      <c r="AP215">
        <f t="shared" si="231"/>
        <v>56.160000000000004</v>
      </c>
      <c r="AQ215">
        <f t="shared" si="232"/>
        <v>4.2119999999999997</v>
      </c>
      <c r="AR215">
        <f t="shared" si="233"/>
        <v>1.2</v>
      </c>
      <c r="AS215">
        <f t="shared" si="239"/>
        <v>1.7</v>
      </c>
      <c r="AT215">
        <f t="shared" si="240"/>
        <v>3</v>
      </c>
      <c r="AU215">
        <f t="shared" si="237"/>
        <v>3012</v>
      </c>
      <c r="AV215" s="1">
        <v>1</v>
      </c>
      <c r="AW215">
        <v>5</v>
      </c>
      <c r="AX215">
        <v>0.1</v>
      </c>
      <c r="AZ215">
        <v>3</v>
      </c>
      <c r="BA215">
        <v>2</v>
      </c>
      <c r="CG215" t="str">
        <f t="shared" si="234"/>
        <v>DATA_Class_Base18</v>
      </c>
      <c r="CH215" s="6" t="s">
        <v>324</v>
      </c>
    </row>
    <row r="216" spans="1:86" ht="14.25">
      <c r="A216">
        <f t="shared" si="225"/>
        <v>5062401</v>
      </c>
      <c r="B216" s="2" t="s">
        <v>522</v>
      </c>
      <c r="C216" s="48" t="s">
        <v>523</v>
      </c>
      <c r="D216">
        <v>6</v>
      </c>
      <c r="E216">
        <v>4</v>
      </c>
      <c r="F216">
        <v>2</v>
      </c>
      <c r="G216" s="3" t="s">
        <v>524</v>
      </c>
      <c r="H216" s="3" t="s">
        <v>524</v>
      </c>
      <c r="I216" s="2">
        <v>0</v>
      </c>
      <c r="J216" s="8" t="s">
        <v>250</v>
      </c>
      <c r="K216" s="2">
        <f t="shared" si="226"/>
        <v>6</v>
      </c>
      <c r="L216" s="2">
        <f t="shared" si="238"/>
        <v>1.6</v>
      </c>
      <c r="M216" s="2">
        <f t="shared" si="238"/>
        <v>1.5</v>
      </c>
      <c r="N216" s="2">
        <v>10</v>
      </c>
      <c r="O216" s="2">
        <f t="shared" si="236"/>
        <v>329.47</v>
      </c>
      <c r="P216" s="2">
        <f t="shared" si="236"/>
        <v>16.8</v>
      </c>
      <c r="Q216" s="2">
        <f t="shared" si="236"/>
        <v>2193.23</v>
      </c>
      <c r="R216" s="2">
        <f t="shared" si="235"/>
        <v>111.85</v>
      </c>
      <c r="S216" s="2">
        <f t="shared" si="235"/>
        <v>47.07</v>
      </c>
      <c r="T216" s="2">
        <f t="shared" si="235"/>
        <v>3.53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17">
        <v>524012</v>
      </c>
      <c r="AA216" s="14" t="s">
        <v>525</v>
      </c>
      <c r="AB216" s="15" t="s">
        <v>469</v>
      </c>
      <c r="AC216" s="2">
        <v>5072401</v>
      </c>
      <c r="AD216" s="2">
        <v>0</v>
      </c>
      <c r="AE216" s="2">
        <v>2</v>
      </c>
      <c r="AF216" s="2">
        <v>6</v>
      </c>
      <c r="AG216" s="2">
        <v>2</v>
      </c>
      <c r="AH216" s="2"/>
      <c r="AI216">
        <v>1</v>
      </c>
      <c r="AJ216" s="1">
        <f t="shared" si="224"/>
        <v>131.07723658063946</v>
      </c>
      <c r="AK216">
        <v>6</v>
      </c>
      <c r="AL216">
        <f t="shared" si="227"/>
        <v>299.52000000000004</v>
      </c>
      <c r="AM216">
        <f t="shared" si="228"/>
        <v>15.27552</v>
      </c>
      <c r="AN216">
        <f t="shared" si="229"/>
        <v>1993.8461538461538</v>
      </c>
      <c r="AO216">
        <f t="shared" si="230"/>
        <v>101.68615384615384</v>
      </c>
      <c r="AP216">
        <f t="shared" si="231"/>
        <v>42.788571428571437</v>
      </c>
      <c r="AQ216">
        <f t="shared" si="232"/>
        <v>3.2091428571428575</v>
      </c>
      <c r="AR216">
        <f t="shared" si="233"/>
        <v>1.6</v>
      </c>
      <c r="AS216">
        <f t="shared" si="239"/>
        <v>1.5</v>
      </c>
      <c r="AT216">
        <f t="shared" si="240"/>
        <v>6</v>
      </c>
      <c r="AU216">
        <f t="shared" si="237"/>
        <v>4012</v>
      </c>
      <c r="AV216" s="1">
        <v>1</v>
      </c>
      <c r="AW216">
        <v>5</v>
      </c>
      <c r="AX216">
        <v>0.1</v>
      </c>
      <c r="AZ216">
        <v>4</v>
      </c>
      <c r="BA216">
        <v>2</v>
      </c>
      <c r="CG216" t="str">
        <f t="shared" si="234"/>
        <v>DATA_Class_Base19</v>
      </c>
      <c r="CH216" s="6" t="s">
        <v>331</v>
      </c>
    </row>
    <row r="217" spans="1:86" ht="14.25" customHeight="1">
      <c r="A217">
        <f t="shared" si="225"/>
        <v>5062402</v>
      </c>
      <c r="B217" s="2" t="s">
        <v>526</v>
      </c>
      <c r="C217" s="48" t="s">
        <v>527</v>
      </c>
      <c r="D217">
        <v>6</v>
      </c>
      <c r="E217">
        <v>4</v>
      </c>
      <c r="F217">
        <v>2</v>
      </c>
      <c r="G217" s="3" t="s">
        <v>528</v>
      </c>
      <c r="H217" s="3" t="s">
        <v>528</v>
      </c>
      <c r="I217">
        <v>0</v>
      </c>
      <c r="J217" s="2" t="s">
        <v>250</v>
      </c>
      <c r="K217" s="2">
        <f t="shared" si="226"/>
        <v>6</v>
      </c>
      <c r="L217" s="2">
        <f t="shared" si="238"/>
        <v>1.5</v>
      </c>
      <c r="M217" s="2">
        <f t="shared" si="238"/>
        <v>1.5</v>
      </c>
      <c r="N217" s="2">
        <v>10</v>
      </c>
      <c r="O217" s="2">
        <f t="shared" si="236"/>
        <v>347.76</v>
      </c>
      <c r="P217" s="2">
        <f t="shared" si="236"/>
        <v>17.739999999999998</v>
      </c>
      <c r="Q217" s="2">
        <f t="shared" si="236"/>
        <v>2129.14</v>
      </c>
      <c r="R217" s="2">
        <f t="shared" si="235"/>
        <v>108.59</v>
      </c>
      <c r="S217" s="2">
        <f t="shared" si="235"/>
        <v>49.68</v>
      </c>
      <c r="T217" s="2">
        <f t="shared" si="235"/>
        <v>3.73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17">
        <v>524022</v>
      </c>
      <c r="AA217" s="14" t="s">
        <v>529</v>
      </c>
      <c r="AB217" s="15" t="s">
        <v>469</v>
      </c>
      <c r="AC217" s="2">
        <v>5072402</v>
      </c>
      <c r="AD217" s="2">
        <v>0</v>
      </c>
      <c r="AE217" s="2">
        <v>2</v>
      </c>
      <c r="AF217" s="2">
        <v>6</v>
      </c>
      <c r="AG217" s="2">
        <v>2</v>
      </c>
      <c r="AH217" s="2"/>
      <c r="AI217">
        <v>1</v>
      </c>
      <c r="AJ217" s="1">
        <f t="shared" si="224"/>
        <v>131.08893999983849</v>
      </c>
      <c r="AK217">
        <v>6</v>
      </c>
      <c r="AL217">
        <f t="shared" si="227"/>
        <v>302.39999999999998</v>
      </c>
      <c r="AM217">
        <f t="shared" si="228"/>
        <v>15.422399999999998</v>
      </c>
      <c r="AN217">
        <f t="shared" si="229"/>
        <v>1851.4285714285716</v>
      </c>
      <c r="AO217">
        <f t="shared" si="230"/>
        <v>94.42285714285714</v>
      </c>
      <c r="AP217">
        <f t="shared" si="231"/>
        <v>43.199999999999996</v>
      </c>
      <c r="AQ217">
        <f t="shared" si="232"/>
        <v>3.2399999999999998</v>
      </c>
      <c r="AR217">
        <f t="shared" si="233"/>
        <v>1.5</v>
      </c>
      <c r="AS217">
        <f t="shared" si="239"/>
        <v>1.5</v>
      </c>
      <c r="AT217">
        <f t="shared" si="240"/>
        <v>6</v>
      </c>
      <c r="AU217">
        <f t="shared" si="237"/>
        <v>4022</v>
      </c>
      <c r="AV217" s="1">
        <v>2</v>
      </c>
      <c r="AW217">
        <v>5</v>
      </c>
      <c r="AX217">
        <v>0.15</v>
      </c>
      <c r="AZ217">
        <v>4</v>
      </c>
      <c r="BA217">
        <v>2</v>
      </c>
      <c r="CG217" t="str">
        <f t="shared" si="234"/>
        <v>DATA_Class_Base20</v>
      </c>
      <c r="CH217" s="6" t="s">
        <v>336</v>
      </c>
    </row>
    <row r="218" spans="1:86" ht="14.25">
      <c r="A218">
        <f t="shared" si="225"/>
        <v>5062500</v>
      </c>
      <c r="B218" s="2" t="s">
        <v>530</v>
      </c>
      <c r="C218" s="48" t="s">
        <v>531</v>
      </c>
      <c r="D218">
        <v>6</v>
      </c>
      <c r="E218">
        <v>5</v>
      </c>
      <c r="F218">
        <v>2</v>
      </c>
      <c r="G218" s="3" t="s">
        <v>532</v>
      </c>
      <c r="H218" s="3" t="s">
        <v>532</v>
      </c>
      <c r="I218" s="2">
        <v>0</v>
      </c>
      <c r="J218" s="2" t="s">
        <v>533</v>
      </c>
      <c r="K218" s="2">
        <f t="shared" si="226"/>
        <v>6</v>
      </c>
      <c r="L218" s="2">
        <f t="shared" si="238"/>
        <v>1.4000000000000001</v>
      </c>
      <c r="M218" s="2">
        <f t="shared" si="238"/>
        <v>2</v>
      </c>
      <c r="N218" s="2">
        <v>10</v>
      </c>
      <c r="O218" s="2">
        <f t="shared" si="236"/>
        <v>332.64</v>
      </c>
      <c r="P218" s="2">
        <f t="shared" si="236"/>
        <v>16.96</v>
      </c>
      <c r="Q218" s="2">
        <f t="shared" si="236"/>
        <v>1900.8</v>
      </c>
      <c r="R218" s="2">
        <f t="shared" si="235"/>
        <v>96.94</v>
      </c>
      <c r="S218" s="2">
        <f t="shared" si="235"/>
        <v>44.35</v>
      </c>
      <c r="T218" s="2">
        <f t="shared" si="235"/>
        <v>3.33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17">
        <v>525002</v>
      </c>
      <c r="AA218" s="14" t="s">
        <v>534</v>
      </c>
      <c r="AB218" s="15" t="s">
        <v>469</v>
      </c>
      <c r="AC218" s="2">
        <v>5072500</v>
      </c>
      <c r="AD218" s="2">
        <v>0</v>
      </c>
      <c r="AE218" s="2">
        <v>2</v>
      </c>
      <c r="AF218" s="2">
        <v>6</v>
      </c>
      <c r="AG218" s="2">
        <v>2</v>
      </c>
      <c r="AH218" s="2"/>
      <c r="AI218">
        <v>1</v>
      </c>
      <c r="AJ218" s="1">
        <f t="shared" si="224"/>
        <v>131.00705992620831</v>
      </c>
      <c r="AK218">
        <v>6</v>
      </c>
      <c r="AL218">
        <f t="shared" si="227"/>
        <v>302.39999999999998</v>
      </c>
      <c r="AM218">
        <f t="shared" si="228"/>
        <v>15.422399999999998</v>
      </c>
      <c r="AN218">
        <f t="shared" si="229"/>
        <v>1728</v>
      </c>
      <c r="AO218">
        <f t="shared" si="230"/>
        <v>88.128</v>
      </c>
      <c r="AP218">
        <f t="shared" si="231"/>
        <v>40.32</v>
      </c>
      <c r="AQ218">
        <f t="shared" si="232"/>
        <v>3.024</v>
      </c>
      <c r="AR218">
        <f t="shared" si="233"/>
        <v>1.4</v>
      </c>
      <c r="AS218">
        <f t="shared" si="239"/>
        <v>2</v>
      </c>
      <c r="AT218">
        <f t="shared" si="240"/>
        <v>6</v>
      </c>
      <c r="AU218">
        <f t="shared" si="237"/>
        <v>5002</v>
      </c>
      <c r="AV218" s="1">
        <v>0</v>
      </c>
      <c r="AW218">
        <v>5</v>
      </c>
      <c r="AX218">
        <v>0.1</v>
      </c>
      <c r="AZ218">
        <v>5</v>
      </c>
      <c r="BA218">
        <v>2</v>
      </c>
      <c r="CG218" t="str">
        <f t="shared" si="234"/>
        <v>DATA_Class_Base21</v>
      </c>
      <c r="CH218" s="6" t="s">
        <v>342</v>
      </c>
    </row>
    <row r="219" spans="1:86" ht="14.25">
      <c r="A219" s="49">
        <f t="shared" si="225"/>
        <v>5062502</v>
      </c>
      <c r="B219" s="2" t="s">
        <v>535</v>
      </c>
      <c r="C219" s="48" t="s">
        <v>536</v>
      </c>
      <c r="D219">
        <v>6</v>
      </c>
      <c r="E219">
        <v>5</v>
      </c>
      <c r="F219">
        <v>2</v>
      </c>
      <c r="G219" s="3" t="s">
        <v>537</v>
      </c>
      <c r="H219" s="3" t="s">
        <v>537</v>
      </c>
      <c r="I219" s="2">
        <v>0</v>
      </c>
      <c r="J219" s="2" t="s">
        <v>291</v>
      </c>
      <c r="K219" s="2">
        <f t="shared" si="226"/>
        <v>6</v>
      </c>
      <c r="L219" s="2">
        <f t="shared" si="238"/>
        <v>1.4000000000000001</v>
      </c>
      <c r="M219" s="2">
        <f t="shared" si="238"/>
        <v>2</v>
      </c>
      <c r="N219" s="2">
        <v>10</v>
      </c>
      <c r="O219" s="2">
        <f t="shared" si="236"/>
        <v>374.98</v>
      </c>
      <c r="P219" s="2">
        <f t="shared" si="236"/>
        <v>19.12</v>
      </c>
      <c r="Q219" s="2">
        <f t="shared" si="236"/>
        <v>2006.71</v>
      </c>
      <c r="R219" s="2">
        <f t="shared" si="235"/>
        <v>102.34</v>
      </c>
      <c r="S219" s="2">
        <f t="shared" si="235"/>
        <v>53.57</v>
      </c>
      <c r="T219" s="2">
        <f t="shared" si="235"/>
        <v>4.0199999999999996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17">
        <v>525022</v>
      </c>
      <c r="AA219" s="14" t="s">
        <v>538</v>
      </c>
      <c r="AB219" s="15" t="s">
        <v>469</v>
      </c>
      <c r="AC219" s="2">
        <v>5072502</v>
      </c>
      <c r="AD219" s="2">
        <v>0</v>
      </c>
      <c r="AE219" s="2">
        <v>2</v>
      </c>
      <c r="AF219" s="2">
        <v>6</v>
      </c>
      <c r="AG219" s="2">
        <v>2</v>
      </c>
      <c r="AH219" s="2"/>
      <c r="AI219">
        <v>1</v>
      </c>
      <c r="AJ219" s="1">
        <f t="shared" si="224"/>
        <v>131.12991843024616</v>
      </c>
      <c r="AK219">
        <v>6</v>
      </c>
      <c r="AL219">
        <f t="shared" si="227"/>
        <v>312.48</v>
      </c>
      <c r="AM219">
        <f t="shared" si="228"/>
        <v>15.93648</v>
      </c>
      <c r="AN219">
        <f t="shared" si="229"/>
        <v>1672.258064516129</v>
      </c>
      <c r="AO219">
        <f t="shared" si="230"/>
        <v>85.285161290322577</v>
      </c>
      <c r="AP219">
        <f t="shared" si="231"/>
        <v>44.64</v>
      </c>
      <c r="AQ219">
        <f t="shared" si="232"/>
        <v>3.3479999999999999</v>
      </c>
      <c r="AR219">
        <f t="shared" si="233"/>
        <v>1.4</v>
      </c>
      <c r="AS219">
        <f t="shared" si="239"/>
        <v>2</v>
      </c>
      <c r="AT219">
        <f t="shared" si="240"/>
        <v>6</v>
      </c>
      <c r="AU219">
        <f t="shared" si="237"/>
        <v>5022</v>
      </c>
      <c r="AV219" s="1">
        <v>2</v>
      </c>
      <c r="AW219">
        <v>5</v>
      </c>
      <c r="AX219">
        <v>0.2</v>
      </c>
      <c r="AZ219">
        <v>5</v>
      </c>
      <c r="BA219">
        <v>2</v>
      </c>
      <c r="CG219" t="str">
        <f t="shared" si="234"/>
        <v>DATA_Class_Base13</v>
      </c>
      <c r="CH219" s="6" t="s">
        <v>295</v>
      </c>
    </row>
    <row r="220" spans="1:86" ht="14.25">
      <c r="A220" s="49">
        <f t="shared" si="225"/>
        <v>5062601</v>
      </c>
      <c r="B220" s="2" t="s">
        <v>539</v>
      </c>
      <c r="C220" s="48" t="s">
        <v>540</v>
      </c>
      <c r="D220">
        <v>6</v>
      </c>
      <c r="E220">
        <v>6</v>
      </c>
      <c r="F220">
        <v>2</v>
      </c>
      <c r="G220" s="3" t="s">
        <v>541</v>
      </c>
      <c r="H220" s="3" t="s">
        <v>541</v>
      </c>
      <c r="I220" s="2">
        <v>0</v>
      </c>
      <c r="J220" s="8" t="s">
        <v>542</v>
      </c>
      <c r="K220" s="2">
        <f t="shared" si="226"/>
        <v>6</v>
      </c>
      <c r="L220" s="2">
        <f t="shared" si="238"/>
        <v>1.5</v>
      </c>
      <c r="M220" s="2">
        <f t="shared" si="238"/>
        <v>2</v>
      </c>
      <c r="N220" s="2">
        <v>10</v>
      </c>
      <c r="O220" s="2">
        <f t="shared" si="236"/>
        <v>285.12</v>
      </c>
      <c r="P220" s="2">
        <f t="shared" si="236"/>
        <v>14.54</v>
      </c>
      <c r="Q220" s="2">
        <f t="shared" si="236"/>
        <v>2827.64</v>
      </c>
      <c r="R220" s="2">
        <f t="shared" si="235"/>
        <v>144.21</v>
      </c>
      <c r="S220" s="2">
        <f t="shared" si="235"/>
        <v>63.36</v>
      </c>
      <c r="T220" s="2">
        <f t="shared" si="235"/>
        <v>4.75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17">
        <v>526012</v>
      </c>
      <c r="AA220" s="14" t="s">
        <v>543</v>
      </c>
      <c r="AB220" s="15" t="s">
        <v>469</v>
      </c>
      <c r="AC220" s="2">
        <v>5072601</v>
      </c>
      <c r="AD220" s="2">
        <v>0</v>
      </c>
      <c r="AE220" s="2">
        <v>2</v>
      </c>
      <c r="AF220" s="2">
        <v>6</v>
      </c>
      <c r="AG220" s="2">
        <v>2</v>
      </c>
      <c r="AH220" s="2"/>
      <c r="AI220">
        <v>1</v>
      </c>
      <c r="AJ220" s="1">
        <f t="shared" si="224"/>
        <v>131.36261432291374</v>
      </c>
      <c r="AK220">
        <v>6</v>
      </c>
      <c r="AL220">
        <f t="shared" si="227"/>
        <v>237.6</v>
      </c>
      <c r="AM220">
        <f t="shared" si="228"/>
        <v>12.117599999999999</v>
      </c>
      <c r="AN220">
        <f t="shared" si="229"/>
        <v>2356.3636363636365</v>
      </c>
      <c r="AO220">
        <f t="shared" si="230"/>
        <v>120.17454545454545</v>
      </c>
      <c r="AP220">
        <f t="shared" si="231"/>
        <v>52.8</v>
      </c>
      <c r="AQ220">
        <f t="shared" si="232"/>
        <v>3.9599999999999995</v>
      </c>
      <c r="AR220">
        <f t="shared" si="233"/>
        <v>1.5</v>
      </c>
      <c r="AS220">
        <f t="shared" si="239"/>
        <v>2</v>
      </c>
      <c r="AT220">
        <f t="shared" si="240"/>
        <v>6</v>
      </c>
      <c r="AU220">
        <f t="shared" si="237"/>
        <v>6012</v>
      </c>
      <c r="AV220" s="1">
        <v>1</v>
      </c>
      <c r="AW220">
        <v>5</v>
      </c>
      <c r="AX220">
        <v>0.2</v>
      </c>
      <c r="AZ220">
        <v>6</v>
      </c>
      <c r="BA220">
        <v>2</v>
      </c>
      <c r="CG220" t="str">
        <f t="shared" si="234"/>
        <v>DATA_Class_Base14</v>
      </c>
      <c r="CH220" s="6" t="s">
        <v>300</v>
      </c>
    </row>
    <row r="221" spans="1:86" ht="14.25">
      <c r="A221" s="49">
        <f t="shared" si="225"/>
        <v>5063200</v>
      </c>
      <c r="B221" s="2" t="s">
        <v>544</v>
      </c>
      <c r="C221" s="48" t="s">
        <v>545</v>
      </c>
      <c r="D221">
        <v>6</v>
      </c>
      <c r="E221">
        <v>2</v>
      </c>
      <c r="F221">
        <v>3</v>
      </c>
      <c r="G221" s="3" t="s">
        <v>546</v>
      </c>
      <c r="H221" s="3" t="s">
        <v>546</v>
      </c>
      <c r="I221">
        <v>0</v>
      </c>
      <c r="J221" s="2" t="s">
        <v>314</v>
      </c>
      <c r="K221" s="2">
        <f t="shared" si="226"/>
        <v>3</v>
      </c>
      <c r="L221" s="2">
        <f t="shared" si="238"/>
        <v>1.5</v>
      </c>
      <c r="M221" s="2">
        <f t="shared" si="238"/>
        <v>1.2</v>
      </c>
      <c r="N221" s="2">
        <v>10</v>
      </c>
      <c r="O221" s="2">
        <f t="shared" si="236"/>
        <v>173.88</v>
      </c>
      <c r="P221" s="2">
        <f t="shared" si="236"/>
        <v>8.8699999999999992</v>
      </c>
      <c r="Q221" s="2">
        <f t="shared" si="236"/>
        <v>4258.29</v>
      </c>
      <c r="R221" s="2">
        <f t="shared" si="235"/>
        <v>217.17</v>
      </c>
      <c r="S221" s="2">
        <f t="shared" si="235"/>
        <v>86.94</v>
      </c>
      <c r="T221" s="2">
        <f t="shared" si="235"/>
        <v>6.52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17">
        <v>532002</v>
      </c>
      <c r="AA221" s="14" t="s">
        <v>547</v>
      </c>
      <c r="AB221" s="15" t="s">
        <v>469</v>
      </c>
      <c r="AC221" s="2">
        <v>5073200</v>
      </c>
      <c r="AD221" s="2">
        <v>0</v>
      </c>
      <c r="AE221" s="2">
        <v>2</v>
      </c>
      <c r="AF221" s="2">
        <v>6</v>
      </c>
      <c r="AG221" s="2">
        <v>2</v>
      </c>
      <c r="AH221" s="2"/>
      <c r="AI221">
        <v>1</v>
      </c>
      <c r="AJ221" s="1">
        <f t="shared" si="224"/>
        <v>132.01719338642292</v>
      </c>
      <c r="AK221">
        <v>6</v>
      </c>
      <c r="AL221">
        <f t="shared" si="227"/>
        <v>151.19999999999999</v>
      </c>
      <c r="AM221">
        <f t="shared" si="228"/>
        <v>7.7111999999999989</v>
      </c>
      <c r="AN221">
        <f t="shared" si="229"/>
        <v>3702.8571428571431</v>
      </c>
      <c r="AO221">
        <f t="shared" si="230"/>
        <v>188.84571428571428</v>
      </c>
      <c r="AP221">
        <f t="shared" si="231"/>
        <v>75.599999999999994</v>
      </c>
      <c r="AQ221">
        <f t="shared" si="232"/>
        <v>5.669999999999999</v>
      </c>
      <c r="AR221">
        <f t="shared" si="233"/>
        <v>1.5</v>
      </c>
      <c r="AS221">
        <f t="shared" si="239"/>
        <v>1.2</v>
      </c>
      <c r="AT221">
        <f t="shared" si="240"/>
        <v>3</v>
      </c>
      <c r="AU221">
        <f t="shared" si="237"/>
        <v>2003</v>
      </c>
      <c r="AV221" s="1">
        <v>0</v>
      </c>
      <c r="AW221">
        <v>5</v>
      </c>
      <c r="AX221">
        <v>0.15</v>
      </c>
      <c r="AZ221">
        <v>2</v>
      </c>
      <c r="BA221">
        <v>3</v>
      </c>
      <c r="CG221" t="str">
        <f t="shared" si="234"/>
        <v>DATA_Class_Base15</v>
      </c>
      <c r="CH221" s="6" t="s">
        <v>306</v>
      </c>
    </row>
    <row r="222" spans="1:86" ht="14.25">
      <c r="A222">
        <f t="shared" si="225"/>
        <v>5063201</v>
      </c>
      <c r="B222" s="2" t="s">
        <v>548</v>
      </c>
      <c r="C222" s="48" t="s">
        <v>549</v>
      </c>
      <c r="D222">
        <v>6</v>
      </c>
      <c r="E222">
        <v>2</v>
      </c>
      <c r="F222">
        <v>3</v>
      </c>
      <c r="G222" s="3" t="s">
        <v>550</v>
      </c>
      <c r="H222" s="3" t="s">
        <v>550</v>
      </c>
      <c r="I222" s="2">
        <v>0</v>
      </c>
      <c r="J222" s="50" t="s">
        <v>1720</v>
      </c>
      <c r="K222" s="2">
        <f t="shared" si="226"/>
        <v>3</v>
      </c>
      <c r="L222" s="2">
        <f t="shared" si="238"/>
        <v>1.7</v>
      </c>
      <c r="M222" s="2">
        <f t="shared" si="238"/>
        <v>1.8</v>
      </c>
      <c r="N222" s="2">
        <v>10</v>
      </c>
      <c r="O222" s="2">
        <f t="shared" si="236"/>
        <v>161.57</v>
      </c>
      <c r="P222" s="2">
        <f t="shared" si="236"/>
        <v>8.24</v>
      </c>
      <c r="Q222" s="2">
        <f t="shared" si="236"/>
        <v>4752</v>
      </c>
      <c r="R222" s="2">
        <f t="shared" si="235"/>
        <v>242.35</v>
      </c>
      <c r="S222" s="2">
        <f t="shared" si="235"/>
        <v>80.78</v>
      </c>
      <c r="T222" s="2">
        <f t="shared" si="235"/>
        <v>6.06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17">
        <v>532012</v>
      </c>
      <c r="AA222" s="14" t="s">
        <v>551</v>
      </c>
      <c r="AB222" s="15" t="s">
        <v>469</v>
      </c>
      <c r="AC222" s="2">
        <v>5073201</v>
      </c>
      <c r="AD222" s="2">
        <v>0</v>
      </c>
      <c r="AE222" s="2">
        <v>2</v>
      </c>
      <c r="AF222" s="2">
        <v>6</v>
      </c>
      <c r="AG222" s="2">
        <v>2</v>
      </c>
      <c r="AH222" s="2"/>
      <c r="AI222">
        <v>1</v>
      </c>
      <c r="AJ222" s="1">
        <f t="shared" si="224"/>
        <v>131.95490103043008</v>
      </c>
      <c r="AK222">
        <v>6</v>
      </c>
      <c r="AL222">
        <f t="shared" si="227"/>
        <v>146.88000000000002</v>
      </c>
      <c r="AM222">
        <f t="shared" si="228"/>
        <v>7.4908800000000006</v>
      </c>
      <c r="AN222">
        <f t="shared" si="229"/>
        <v>4320</v>
      </c>
      <c r="AO222">
        <f t="shared" si="230"/>
        <v>220.32</v>
      </c>
      <c r="AP222">
        <f t="shared" si="231"/>
        <v>73.440000000000012</v>
      </c>
      <c r="AQ222">
        <f t="shared" si="232"/>
        <v>5.5080000000000009</v>
      </c>
      <c r="AR222">
        <f t="shared" si="233"/>
        <v>1.7</v>
      </c>
      <c r="AS222">
        <f t="shared" si="239"/>
        <v>1.8</v>
      </c>
      <c r="AT222">
        <f t="shared" si="240"/>
        <v>3</v>
      </c>
      <c r="AU222">
        <f t="shared" si="237"/>
        <v>2013</v>
      </c>
      <c r="AV222" s="1">
        <v>1</v>
      </c>
      <c r="AW222">
        <v>5</v>
      </c>
      <c r="AX222">
        <v>0.1</v>
      </c>
      <c r="AZ222">
        <v>2</v>
      </c>
      <c r="BA222">
        <v>3</v>
      </c>
      <c r="CG222" t="str">
        <f t="shared" si="234"/>
        <v>DATA_Class_Base16</v>
      </c>
      <c r="CH222" s="6" t="s">
        <v>312</v>
      </c>
    </row>
    <row r="223" spans="1:86" ht="14.25">
      <c r="A223">
        <f t="shared" si="225"/>
        <v>5063202</v>
      </c>
      <c r="B223" s="2" t="s">
        <v>552</v>
      </c>
      <c r="C223" s="48" t="s">
        <v>553</v>
      </c>
      <c r="D223">
        <v>6</v>
      </c>
      <c r="E223">
        <v>2</v>
      </c>
      <c r="F223">
        <v>3</v>
      </c>
      <c r="G223" s="3" t="s">
        <v>554</v>
      </c>
      <c r="H223" s="3" t="s">
        <v>554</v>
      </c>
      <c r="I223">
        <v>0</v>
      </c>
      <c r="J223" s="8" t="s">
        <v>555</v>
      </c>
      <c r="K223" s="2">
        <f t="shared" si="226"/>
        <v>3</v>
      </c>
      <c r="L223" s="2">
        <f t="shared" si="238"/>
        <v>1.7</v>
      </c>
      <c r="M223" s="2">
        <f t="shared" si="238"/>
        <v>2</v>
      </c>
      <c r="N223" s="2">
        <v>10</v>
      </c>
      <c r="O223" s="2">
        <f t="shared" si="236"/>
        <v>253.37</v>
      </c>
      <c r="P223" s="2">
        <f t="shared" si="236"/>
        <v>12.92</v>
      </c>
      <c r="Q223" s="2">
        <f t="shared" si="236"/>
        <v>3312</v>
      </c>
      <c r="R223" s="2">
        <f t="shared" si="235"/>
        <v>168.91</v>
      </c>
      <c r="S223" s="2">
        <f t="shared" si="235"/>
        <v>84.46</v>
      </c>
      <c r="T223" s="2">
        <f t="shared" si="235"/>
        <v>6.33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17">
        <v>532022</v>
      </c>
      <c r="AA223" s="14" t="s">
        <v>556</v>
      </c>
      <c r="AB223" s="15" t="s">
        <v>469</v>
      </c>
      <c r="AC223" s="2">
        <v>5073202</v>
      </c>
      <c r="AD223" s="2">
        <v>0</v>
      </c>
      <c r="AE223" s="2">
        <v>2</v>
      </c>
      <c r="AF223" s="2">
        <v>6</v>
      </c>
      <c r="AG223" s="2">
        <v>2</v>
      </c>
      <c r="AH223" s="2"/>
      <c r="AI223">
        <v>1</v>
      </c>
      <c r="AJ223" s="1">
        <f t="shared" si="224"/>
        <v>131.95490103043014</v>
      </c>
      <c r="AK223">
        <v>6</v>
      </c>
      <c r="AL223">
        <f t="shared" si="227"/>
        <v>220.32000000000002</v>
      </c>
      <c r="AM223">
        <f t="shared" si="228"/>
        <v>11.236320000000001</v>
      </c>
      <c r="AN223">
        <f t="shared" si="229"/>
        <v>2880</v>
      </c>
      <c r="AO223">
        <f t="shared" si="230"/>
        <v>146.88</v>
      </c>
      <c r="AP223">
        <f t="shared" si="231"/>
        <v>73.440000000000012</v>
      </c>
      <c r="AQ223">
        <f t="shared" si="232"/>
        <v>5.5080000000000009</v>
      </c>
      <c r="AR223">
        <f t="shared" si="233"/>
        <v>1.7</v>
      </c>
      <c r="AS223">
        <f t="shared" si="239"/>
        <v>2</v>
      </c>
      <c r="AT223">
        <f t="shared" si="240"/>
        <v>3</v>
      </c>
      <c r="AU223">
        <f t="shared" si="237"/>
        <v>2023</v>
      </c>
      <c r="AV223" s="1">
        <v>2</v>
      </c>
      <c r="AW223">
        <v>5</v>
      </c>
      <c r="AX223">
        <v>0.15</v>
      </c>
      <c r="AZ223">
        <v>2</v>
      </c>
      <c r="BA223">
        <v>3</v>
      </c>
      <c r="CG223" t="str">
        <f t="shared" si="234"/>
        <v>DATA_Class_Base17</v>
      </c>
      <c r="CH223" s="6" t="s">
        <v>318</v>
      </c>
    </row>
    <row r="224" spans="1:86" ht="14.25">
      <c r="A224" s="49">
        <f t="shared" si="225"/>
        <v>5063301</v>
      </c>
      <c r="B224" s="2" t="s">
        <v>557</v>
      </c>
      <c r="C224" s="48" t="s">
        <v>558</v>
      </c>
      <c r="D224">
        <v>6</v>
      </c>
      <c r="E224">
        <v>3</v>
      </c>
      <c r="F224">
        <v>3</v>
      </c>
      <c r="G224" s="3" t="s">
        <v>559</v>
      </c>
      <c r="H224" s="3" t="s">
        <v>559</v>
      </c>
      <c r="I224" s="2">
        <v>0</v>
      </c>
      <c r="J224" s="8" t="s">
        <v>555</v>
      </c>
      <c r="K224" s="2">
        <f t="shared" si="226"/>
        <v>3</v>
      </c>
      <c r="L224" s="2">
        <f t="shared" si="238"/>
        <v>1.2</v>
      </c>
      <c r="M224" s="2">
        <f t="shared" si="238"/>
        <v>1.4000000000000001</v>
      </c>
      <c r="N224" s="2">
        <v>10</v>
      </c>
      <c r="O224" s="2">
        <f t="shared" si="236"/>
        <v>248.83</v>
      </c>
      <c r="P224" s="2">
        <f t="shared" si="236"/>
        <v>12.69</v>
      </c>
      <c r="Q224" s="2">
        <f t="shared" si="236"/>
        <v>2592</v>
      </c>
      <c r="R224" s="2">
        <f t="shared" si="235"/>
        <v>132.19</v>
      </c>
      <c r="S224" s="2">
        <f t="shared" si="235"/>
        <v>71.09</v>
      </c>
      <c r="T224" s="2">
        <f t="shared" si="235"/>
        <v>5.33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17">
        <v>533012</v>
      </c>
      <c r="AA224" s="14" t="s">
        <v>560</v>
      </c>
      <c r="AB224" s="15" t="s">
        <v>469</v>
      </c>
      <c r="AC224" s="2">
        <v>5073301</v>
      </c>
      <c r="AD224" s="2">
        <v>0</v>
      </c>
      <c r="AE224" s="2">
        <v>2</v>
      </c>
      <c r="AF224" s="2">
        <v>6</v>
      </c>
      <c r="AG224" s="2">
        <v>2</v>
      </c>
      <c r="AH224" s="2"/>
      <c r="AI224">
        <v>1</v>
      </c>
      <c r="AJ224" s="1">
        <f t="shared" si="224"/>
        <v>131.54700917710204</v>
      </c>
      <c r="AK224">
        <v>6</v>
      </c>
      <c r="AL224">
        <f t="shared" si="227"/>
        <v>207.35999999999999</v>
      </c>
      <c r="AM224">
        <f t="shared" si="228"/>
        <v>10.575359999999998</v>
      </c>
      <c r="AN224">
        <f t="shared" si="229"/>
        <v>2160</v>
      </c>
      <c r="AO224">
        <f t="shared" si="230"/>
        <v>110.16</v>
      </c>
      <c r="AP224">
        <f t="shared" si="231"/>
        <v>59.245714285714278</v>
      </c>
      <c r="AQ224">
        <f t="shared" si="232"/>
        <v>4.4434285714285711</v>
      </c>
      <c r="AR224">
        <f t="shared" si="233"/>
        <v>1.2</v>
      </c>
      <c r="AS224">
        <f t="shared" si="239"/>
        <v>1.4</v>
      </c>
      <c r="AT224">
        <f t="shared" si="240"/>
        <v>3</v>
      </c>
      <c r="AU224">
        <f t="shared" si="237"/>
        <v>3013</v>
      </c>
      <c r="AV224" s="1">
        <v>1</v>
      </c>
      <c r="AW224">
        <v>5</v>
      </c>
      <c r="AX224">
        <v>0.2</v>
      </c>
      <c r="AZ224">
        <v>3</v>
      </c>
      <c r="BA224">
        <v>3</v>
      </c>
      <c r="CG224" t="str">
        <f t="shared" si="234"/>
        <v>DATA_Class_Base18</v>
      </c>
      <c r="CH224" s="6" t="s">
        <v>324</v>
      </c>
    </row>
    <row r="225" spans="1:86" ht="14.25">
      <c r="A225">
        <f t="shared" si="225"/>
        <v>5063401</v>
      </c>
      <c r="B225" s="2" t="s">
        <v>561</v>
      </c>
      <c r="C225" s="48" t="s">
        <v>562</v>
      </c>
      <c r="D225">
        <v>6</v>
      </c>
      <c r="E225">
        <v>4</v>
      </c>
      <c r="F225">
        <v>3</v>
      </c>
      <c r="G225" s="3" t="s">
        <v>563</v>
      </c>
      <c r="H225" s="3" t="s">
        <v>563</v>
      </c>
      <c r="I225">
        <v>0</v>
      </c>
      <c r="J225" s="2" t="s">
        <v>161</v>
      </c>
      <c r="K225" s="2">
        <f t="shared" si="226"/>
        <v>6</v>
      </c>
      <c r="L225" s="2">
        <f t="shared" si="238"/>
        <v>1.6</v>
      </c>
      <c r="M225" s="2">
        <f t="shared" si="238"/>
        <v>1.5</v>
      </c>
      <c r="N225" s="2">
        <v>10</v>
      </c>
      <c r="O225" s="2">
        <f t="shared" si="236"/>
        <v>331.78</v>
      </c>
      <c r="P225" s="2">
        <f t="shared" si="236"/>
        <v>16.920000000000002</v>
      </c>
      <c r="Q225" s="2">
        <f t="shared" si="236"/>
        <v>2592</v>
      </c>
      <c r="R225" s="2">
        <f t="shared" si="235"/>
        <v>132.19</v>
      </c>
      <c r="S225" s="2">
        <f t="shared" si="235"/>
        <v>55.3</v>
      </c>
      <c r="T225" s="2">
        <f t="shared" si="235"/>
        <v>4.1500000000000004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17">
        <v>534012</v>
      </c>
      <c r="AA225" s="14" t="s">
        <v>564</v>
      </c>
      <c r="AB225" s="15" t="s">
        <v>469</v>
      </c>
      <c r="AC225" s="2">
        <v>5073401</v>
      </c>
      <c r="AD225" s="2">
        <v>0</v>
      </c>
      <c r="AE225" s="2">
        <v>2</v>
      </c>
      <c r="AF225" s="2">
        <v>6</v>
      </c>
      <c r="AG225" s="2">
        <v>2</v>
      </c>
      <c r="AH225" s="2"/>
      <c r="AI225">
        <v>1</v>
      </c>
      <c r="AJ225" s="1">
        <f t="shared" si="224"/>
        <v>131.17092248839705</v>
      </c>
      <c r="AK225">
        <v>6</v>
      </c>
      <c r="AL225">
        <f t="shared" si="227"/>
        <v>276.48</v>
      </c>
      <c r="AM225">
        <f t="shared" si="228"/>
        <v>14.100479999999999</v>
      </c>
      <c r="AN225">
        <f t="shared" si="229"/>
        <v>2160</v>
      </c>
      <c r="AO225">
        <f t="shared" si="230"/>
        <v>110.16</v>
      </c>
      <c r="AP225">
        <f t="shared" si="231"/>
        <v>46.080000000000005</v>
      </c>
      <c r="AQ225">
        <f t="shared" si="232"/>
        <v>3.4560000000000004</v>
      </c>
      <c r="AR225">
        <f t="shared" si="233"/>
        <v>1.6</v>
      </c>
      <c r="AS225">
        <f t="shared" si="239"/>
        <v>1.5</v>
      </c>
      <c r="AT225">
        <f t="shared" si="240"/>
        <v>6</v>
      </c>
      <c r="AU225">
        <f t="shared" si="237"/>
        <v>4013</v>
      </c>
      <c r="AV225" s="1">
        <v>1</v>
      </c>
      <c r="AW225">
        <v>5</v>
      </c>
      <c r="AX225">
        <v>0.2</v>
      </c>
      <c r="AZ225">
        <v>4</v>
      </c>
      <c r="BA225">
        <v>3</v>
      </c>
      <c r="CG225" t="str">
        <f t="shared" si="234"/>
        <v>DATA_Class_Base19</v>
      </c>
      <c r="CH225" s="6" t="s">
        <v>331</v>
      </c>
    </row>
    <row r="226" spans="1:86" ht="14.25">
      <c r="A226">
        <f t="shared" si="225"/>
        <v>5063402</v>
      </c>
      <c r="B226" s="2" t="s">
        <v>565</v>
      </c>
      <c r="C226" s="48" t="s">
        <v>566</v>
      </c>
      <c r="D226">
        <v>6</v>
      </c>
      <c r="E226">
        <v>4</v>
      </c>
      <c r="F226">
        <v>3</v>
      </c>
      <c r="G226" s="3" t="s">
        <v>567</v>
      </c>
      <c r="H226" s="3" t="s">
        <v>567</v>
      </c>
      <c r="I226" s="2">
        <v>0</v>
      </c>
      <c r="J226" s="8" t="s">
        <v>568</v>
      </c>
      <c r="K226" s="2">
        <f t="shared" si="226"/>
        <v>6</v>
      </c>
      <c r="L226" s="2">
        <f t="shared" si="238"/>
        <v>1.5</v>
      </c>
      <c r="M226" s="2">
        <f t="shared" si="238"/>
        <v>1.5</v>
      </c>
      <c r="N226" s="2">
        <v>10</v>
      </c>
      <c r="O226" s="2">
        <f t="shared" si="236"/>
        <v>322.92</v>
      </c>
      <c r="P226" s="2">
        <f t="shared" si="236"/>
        <v>16.47</v>
      </c>
      <c r="Q226" s="2">
        <f t="shared" si="236"/>
        <v>2292.92</v>
      </c>
      <c r="R226" s="2">
        <f t="shared" si="235"/>
        <v>116.94</v>
      </c>
      <c r="S226" s="2">
        <f t="shared" si="235"/>
        <v>46.13</v>
      </c>
      <c r="T226" s="2">
        <f t="shared" si="235"/>
        <v>3.46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17">
        <v>534022</v>
      </c>
      <c r="AA226" s="14" t="s">
        <v>569</v>
      </c>
      <c r="AB226" s="15" t="s">
        <v>469</v>
      </c>
      <c r="AC226" s="2">
        <v>5073402</v>
      </c>
      <c r="AD226" s="2">
        <v>0</v>
      </c>
      <c r="AE226" s="2">
        <v>2</v>
      </c>
      <c r="AF226" s="2">
        <v>6</v>
      </c>
      <c r="AG226" s="2">
        <v>2</v>
      </c>
      <c r="AH226" s="2"/>
      <c r="AI226">
        <v>1</v>
      </c>
      <c r="AJ226" s="1">
        <f t="shared" si="224"/>
        <v>131.00121526338879</v>
      </c>
      <c r="AK226">
        <v>6</v>
      </c>
      <c r="AL226">
        <f t="shared" si="227"/>
        <v>280.8</v>
      </c>
      <c r="AM226">
        <f t="shared" si="228"/>
        <v>14.3208</v>
      </c>
      <c r="AN226">
        <f t="shared" si="229"/>
        <v>1993.8461538461538</v>
      </c>
      <c r="AO226">
        <f t="shared" si="230"/>
        <v>101.68615384615384</v>
      </c>
      <c r="AP226">
        <f t="shared" si="231"/>
        <v>40.114285714285714</v>
      </c>
      <c r="AQ226">
        <f t="shared" si="232"/>
        <v>3.0085714285714285</v>
      </c>
      <c r="AR226">
        <f t="shared" si="233"/>
        <v>1.5</v>
      </c>
      <c r="AS226">
        <f t="shared" si="239"/>
        <v>1.5</v>
      </c>
      <c r="AT226">
        <f t="shared" si="240"/>
        <v>6</v>
      </c>
      <c r="AU226">
        <f t="shared" si="237"/>
        <v>4023</v>
      </c>
      <c r="AV226" s="1">
        <v>2</v>
      </c>
      <c r="AW226">
        <v>5</v>
      </c>
      <c r="AX226">
        <v>0.15</v>
      </c>
      <c r="AZ226">
        <v>4</v>
      </c>
      <c r="BA226">
        <v>3</v>
      </c>
      <c r="CG226" t="str">
        <f t="shared" si="234"/>
        <v>DATA_Class_Base20</v>
      </c>
      <c r="CH226" s="6" t="s">
        <v>336</v>
      </c>
    </row>
    <row r="227" spans="1:86" ht="14.25">
      <c r="A227">
        <f t="shared" si="225"/>
        <v>5063500</v>
      </c>
      <c r="B227" s="2" t="s">
        <v>570</v>
      </c>
      <c r="C227" s="48" t="s">
        <v>571</v>
      </c>
      <c r="D227">
        <v>6</v>
      </c>
      <c r="E227">
        <v>5</v>
      </c>
      <c r="F227">
        <v>3</v>
      </c>
      <c r="G227" s="3" t="s">
        <v>572</v>
      </c>
      <c r="H227" s="3" t="s">
        <v>572</v>
      </c>
      <c r="I227" s="2">
        <v>0</v>
      </c>
      <c r="J227" s="2" t="s">
        <v>303</v>
      </c>
      <c r="K227" s="2">
        <f t="shared" si="226"/>
        <v>6</v>
      </c>
      <c r="L227" s="2">
        <f t="shared" si="238"/>
        <v>1.5</v>
      </c>
      <c r="M227" s="2">
        <f t="shared" si="238"/>
        <v>2</v>
      </c>
      <c r="N227" s="2">
        <v>10</v>
      </c>
      <c r="O227" s="2">
        <f t="shared" si="236"/>
        <v>308.88</v>
      </c>
      <c r="P227" s="2">
        <f t="shared" si="236"/>
        <v>15.75</v>
      </c>
      <c r="Q227" s="2">
        <f t="shared" si="236"/>
        <v>2193.23</v>
      </c>
      <c r="R227" s="2">
        <f t="shared" si="235"/>
        <v>111.85</v>
      </c>
      <c r="S227" s="2">
        <f t="shared" si="235"/>
        <v>51.48</v>
      </c>
      <c r="T227" s="2">
        <f t="shared" si="235"/>
        <v>3.86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17">
        <v>535002</v>
      </c>
      <c r="AA227" s="14" t="s">
        <v>573</v>
      </c>
      <c r="AB227" s="15" t="s">
        <v>469</v>
      </c>
      <c r="AC227" s="2">
        <v>5073500</v>
      </c>
      <c r="AD227" s="2">
        <v>0</v>
      </c>
      <c r="AE227" s="2">
        <v>2</v>
      </c>
      <c r="AF227" s="2">
        <v>6</v>
      </c>
      <c r="AG227" s="2">
        <v>2</v>
      </c>
      <c r="AH227" s="2"/>
      <c r="AI227">
        <v>1</v>
      </c>
      <c r="AJ227" s="1">
        <f t="shared" si="224"/>
        <v>131.19143413539032</v>
      </c>
      <c r="AK227">
        <v>6</v>
      </c>
      <c r="AL227">
        <f t="shared" si="227"/>
        <v>280.8</v>
      </c>
      <c r="AM227">
        <f t="shared" si="228"/>
        <v>14.3208</v>
      </c>
      <c r="AN227">
        <f t="shared" si="229"/>
        <v>1993.8461538461538</v>
      </c>
      <c r="AO227">
        <f t="shared" si="230"/>
        <v>101.68615384615384</v>
      </c>
      <c r="AP227">
        <f t="shared" si="231"/>
        <v>46.800000000000004</v>
      </c>
      <c r="AQ227">
        <f t="shared" si="232"/>
        <v>3.5100000000000002</v>
      </c>
      <c r="AR227">
        <f t="shared" si="233"/>
        <v>1.5</v>
      </c>
      <c r="AS227">
        <f t="shared" si="239"/>
        <v>2</v>
      </c>
      <c r="AT227">
        <f t="shared" si="240"/>
        <v>6</v>
      </c>
      <c r="AU227">
        <f t="shared" si="237"/>
        <v>5003</v>
      </c>
      <c r="AV227" s="1">
        <v>0</v>
      </c>
      <c r="AW227">
        <v>5</v>
      </c>
      <c r="AX227">
        <v>0.1</v>
      </c>
      <c r="AZ227">
        <v>5</v>
      </c>
      <c r="BA227">
        <v>3</v>
      </c>
      <c r="CG227" t="str">
        <f t="shared" si="234"/>
        <v>DATA_Class_Base21</v>
      </c>
      <c r="CH227" s="6" t="s">
        <v>342</v>
      </c>
    </row>
    <row r="228" spans="1:86" ht="14.25">
      <c r="A228">
        <f t="shared" si="225"/>
        <v>5063502</v>
      </c>
      <c r="B228" s="2" t="s">
        <v>574</v>
      </c>
      <c r="C228" s="48" t="s">
        <v>575</v>
      </c>
      <c r="D228">
        <v>6</v>
      </c>
      <c r="E228">
        <v>5</v>
      </c>
      <c r="F228">
        <v>3</v>
      </c>
      <c r="G228" s="3" t="s">
        <v>576</v>
      </c>
      <c r="H228" s="3" t="s">
        <v>576</v>
      </c>
      <c r="I228" s="2">
        <v>0</v>
      </c>
      <c r="J228" s="8" t="s">
        <v>577</v>
      </c>
      <c r="K228" s="2">
        <f t="shared" si="226"/>
        <v>6</v>
      </c>
      <c r="L228" s="2">
        <f t="shared" si="238"/>
        <v>1.4000000000000001</v>
      </c>
      <c r="M228" s="2">
        <f t="shared" si="238"/>
        <v>2</v>
      </c>
      <c r="N228" s="2">
        <v>10</v>
      </c>
      <c r="O228" s="2">
        <f t="shared" si="236"/>
        <v>299.38</v>
      </c>
      <c r="P228" s="2">
        <f t="shared" si="236"/>
        <v>15.27</v>
      </c>
      <c r="Q228" s="2">
        <f t="shared" si="236"/>
        <v>2112</v>
      </c>
      <c r="R228" s="2">
        <f t="shared" si="235"/>
        <v>107.71</v>
      </c>
      <c r="S228" s="2">
        <f t="shared" si="235"/>
        <v>49.9</v>
      </c>
      <c r="T228" s="2">
        <f t="shared" si="235"/>
        <v>3.74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17">
        <v>535022</v>
      </c>
      <c r="AA228" s="14" t="s">
        <v>578</v>
      </c>
      <c r="AB228" s="15" t="s">
        <v>469</v>
      </c>
      <c r="AC228" s="2">
        <v>5073502</v>
      </c>
      <c r="AD228" s="2">
        <v>0</v>
      </c>
      <c r="AE228" s="2">
        <v>2</v>
      </c>
      <c r="AF228" s="2">
        <v>6</v>
      </c>
      <c r="AG228" s="2">
        <v>2</v>
      </c>
      <c r="AH228" s="2"/>
      <c r="AI228">
        <v>1</v>
      </c>
      <c r="AJ228" s="1">
        <f t="shared" si="224"/>
        <v>131.15041725435131</v>
      </c>
      <c r="AK228">
        <v>6</v>
      </c>
      <c r="AL228">
        <f t="shared" si="227"/>
        <v>272.15999999999997</v>
      </c>
      <c r="AM228">
        <f t="shared" si="228"/>
        <v>13.880159999999998</v>
      </c>
      <c r="AN228">
        <f t="shared" si="229"/>
        <v>1919.9999999999998</v>
      </c>
      <c r="AO228">
        <f t="shared" si="230"/>
        <v>97.919999999999987</v>
      </c>
      <c r="AP228">
        <f t="shared" si="231"/>
        <v>45.359999999999992</v>
      </c>
      <c r="AQ228">
        <f t="shared" si="232"/>
        <v>3.4019999999999992</v>
      </c>
      <c r="AR228">
        <f t="shared" si="233"/>
        <v>1.4</v>
      </c>
      <c r="AS228">
        <f t="shared" si="239"/>
        <v>2</v>
      </c>
      <c r="AT228">
        <f t="shared" si="240"/>
        <v>6</v>
      </c>
      <c r="AU228">
        <f t="shared" si="237"/>
        <v>5023</v>
      </c>
      <c r="AV228" s="1">
        <v>2</v>
      </c>
      <c r="AW228">
        <v>5</v>
      </c>
      <c r="AX228">
        <v>0.1</v>
      </c>
      <c r="AZ228">
        <v>5</v>
      </c>
      <c r="BA228">
        <v>3</v>
      </c>
      <c r="CG228" t="str">
        <f t="shared" si="234"/>
        <v>DATA_Class_Base13</v>
      </c>
      <c r="CH228" s="6" t="s">
        <v>295</v>
      </c>
    </row>
    <row r="229" spans="1:86" ht="14.25">
      <c r="A229">
        <f t="shared" si="225"/>
        <v>5063601</v>
      </c>
      <c r="B229" s="2" t="s">
        <v>579</v>
      </c>
      <c r="C229" s="48" t="s">
        <v>580</v>
      </c>
      <c r="D229">
        <v>6</v>
      </c>
      <c r="E229">
        <v>6</v>
      </c>
      <c r="F229">
        <v>3</v>
      </c>
      <c r="G229" s="3" t="s">
        <v>581</v>
      </c>
      <c r="H229" s="3" t="s">
        <v>581</v>
      </c>
      <c r="I229">
        <v>0</v>
      </c>
      <c r="J229" s="2" t="s">
        <v>309</v>
      </c>
      <c r="K229" s="2">
        <f t="shared" si="226"/>
        <v>6</v>
      </c>
      <c r="L229" s="2">
        <f t="shared" si="238"/>
        <v>1.5</v>
      </c>
      <c r="M229" s="2">
        <f t="shared" si="238"/>
        <v>2</v>
      </c>
      <c r="N229" s="2">
        <v>10</v>
      </c>
      <c r="O229" s="2">
        <f t="shared" si="236"/>
        <v>213.84</v>
      </c>
      <c r="P229" s="2">
        <f t="shared" si="236"/>
        <v>10.91</v>
      </c>
      <c r="Q229" s="2">
        <f t="shared" si="236"/>
        <v>3168</v>
      </c>
      <c r="R229" s="2">
        <f t="shared" si="235"/>
        <v>161.57</v>
      </c>
      <c r="S229" s="2">
        <f t="shared" si="235"/>
        <v>53.46</v>
      </c>
      <c r="T229" s="2">
        <f t="shared" si="235"/>
        <v>4.01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17">
        <v>536012</v>
      </c>
      <c r="AA229" s="14" t="s">
        <v>582</v>
      </c>
      <c r="AB229" s="15" t="s">
        <v>469</v>
      </c>
      <c r="AC229" s="2">
        <v>5073601</v>
      </c>
      <c r="AD229" s="2">
        <v>0</v>
      </c>
      <c r="AE229" s="2">
        <v>2</v>
      </c>
      <c r="AF229" s="2">
        <v>6</v>
      </c>
      <c r="AG229" s="2">
        <v>2</v>
      </c>
      <c r="AH229" s="2"/>
      <c r="AI229">
        <v>1</v>
      </c>
      <c r="AJ229" s="1">
        <f t="shared" si="224"/>
        <v>131.24274132926956</v>
      </c>
      <c r="AK229">
        <v>6</v>
      </c>
      <c r="AL229">
        <f t="shared" si="227"/>
        <v>194.4</v>
      </c>
      <c r="AM229">
        <f t="shared" si="228"/>
        <v>9.9143999999999988</v>
      </c>
      <c r="AN229">
        <f t="shared" si="229"/>
        <v>2880</v>
      </c>
      <c r="AO229">
        <f t="shared" si="230"/>
        <v>146.88</v>
      </c>
      <c r="AP229">
        <f t="shared" si="231"/>
        <v>48.6</v>
      </c>
      <c r="AQ229">
        <f t="shared" si="232"/>
        <v>3.645</v>
      </c>
      <c r="AR229">
        <f t="shared" si="233"/>
        <v>1.5</v>
      </c>
      <c r="AS229">
        <f t="shared" si="239"/>
        <v>2</v>
      </c>
      <c r="AT229">
        <f t="shared" si="240"/>
        <v>6</v>
      </c>
      <c r="AU229">
        <f t="shared" si="237"/>
        <v>6013</v>
      </c>
      <c r="AV229" s="1">
        <v>1</v>
      </c>
      <c r="AW229">
        <v>5</v>
      </c>
      <c r="AX229">
        <v>0.1</v>
      </c>
      <c r="AZ229">
        <v>6</v>
      </c>
      <c r="BA229">
        <v>3</v>
      </c>
      <c r="CG229" t="str">
        <f t="shared" si="234"/>
        <v>DATA_Class_Base14</v>
      </c>
      <c r="CH229" s="6" t="s">
        <v>300</v>
      </c>
    </row>
    <row r="230" spans="1:86" ht="14.25">
      <c r="A230">
        <f t="shared" si="225"/>
        <v>5064201</v>
      </c>
      <c r="B230" s="2" t="s">
        <v>583</v>
      </c>
      <c r="C230" s="48" t="s">
        <v>584</v>
      </c>
      <c r="D230">
        <v>6</v>
      </c>
      <c r="E230">
        <v>2</v>
      </c>
      <c r="F230">
        <v>4</v>
      </c>
      <c r="G230" s="3" t="s">
        <v>585</v>
      </c>
      <c r="H230" s="3" t="s">
        <v>585</v>
      </c>
      <c r="I230" s="30">
        <v>0</v>
      </c>
      <c r="J230" s="8" t="s">
        <v>298</v>
      </c>
      <c r="K230" s="2">
        <f t="shared" si="226"/>
        <v>3</v>
      </c>
      <c r="L230" s="2">
        <f t="shared" si="238"/>
        <v>1.8</v>
      </c>
      <c r="M230" s="2">
        <f t="shared" si="238"/>
        <v>1.8</v>
      </c>
      <c r="N230" s="2">
        <v>10</v>
      </c>
      <c r="O230" s="2">
        <f t="shared" si="236"/>
        <v>248.83</v>
      </c>
      <c r="P230" s="2">
        <f t="shared" si="236"/>
        <v>12.69</v>
      </c>
      <c r="Q230" s="2">
        <f t="shared" si="236"/>
        <v>3888</v>
      </c>
      <c r="R230" s="2">
        <f t="shared" si="235"/>
        <v>198.29</v>
      </c>
      <c r="S230" s="2">
        <f t="shared" si="235"/>
        <v>92.16</v>
      </c>
      <c r="T230" s="2">
        <f t="shared" si="235"/>
        <v>6.91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17">
        <v>542012</v>
      </c>
      <c r="AA230" s="15" t="s">
        <v>586</v>
      </c>
      <c r="AB230" s="15" t="s">
        <v>469</v>
      </c>
      <c r="AC230" s="2">
        <v>5074201</v>
      </c>
      <c r="AD230" s="2">
        <v>0</v>
      </c>
      <c r="AE230" s="2">
        <v>1</v>
      </c>
      <c r="AF230" s="2">
        <v>5064201</v>
      </c>
      <c r="AG230" s="2">
        <v>1</v>
      </c>
      <c r="AH230" s="2"/>
      <c r="AI230">
        <v>1</v>
      </c>
      <c r="AJ230" s="1">
        <f t="shared" si="224"/>
        <v>132.05182567059282</v>
      </c>
      <c r="AK230">
        <v>6</v>
      </c>
      <c r="AL230">
        <f t="shared" si="227"/>
        <v>207.36</v>
      </c>
      <c r="AM230">
        <f t="shared" si="228"/>
        <v>10.57536</v>
      </c>
      <c r="AN230">
        <f t="shared" si="229"/>
        <v>3240</v>
      </c>
      <c r="AO230">
        <f t="shared" si="230"/>
        <v>165.23999999999998</v>
      </c>
      <c r="AP230">
        <f t="shared" si="231"/>
        <v>76.8</v>
      </c>
      <c r="AQ230">
        <f t="shared" si="232"/>
        <v>5.76</v>
      </c>
      <c r="AR230">
        <f t="shared" si="233"/>
        <v>1.8</v>
      </c>
      <c r="AS230">
        <f t="shared" si="239"/>
        <v>1.8</v>
      </c>
      <c r="AT230">
        <f t="shared" si="240"/>
        <v>3</v>
      </c>
      <c r="AU230">
        <f t="shared" si="237"/>
        <v>2014</v>
      </c>
      <c r="AV230" s="1">
        <v>1</v>
      </c>
      <c r="AW230">
        <v>5</v>
      </c>
      <c r="AX230">
        <v>0.2</v>
      </c>
      <c r="AZ230">
        <v>2</v>
      </c>
      <c r="BA230">
        <v>4</v>
      </c>
      <c r="CG230" t="str">
        <f t="shared" si="234"/>
        <v>DATA_Class_Base15</v>
      </c>
      <c r="CH230" s="6" t="s">
        <v>306</v>
      </c>
    </row>
    <row r="231" spans="1:86" ht="14.25">
      <c r="A231">
        <f t="shared" si="225"/>
        <v>5064302</v>
      </c>
      <c r="B231" s="2" t="s">
        <v>587</v>
      </c>
      <c r="C231" s="48" t="s">
        <v>588</v>
      </c>
      <c r="D231">
        <v>6</v>
      </c>
      <c r="E231">
        <v>3</v>
      </c>
      <c r="F231">
        <v>4</v>
      </c>
      <c r="G231" s="3" t="s">
        <v>589</v>
      </c>
      <c r="H231" s="3" t="s">
        <v>589</v>
      </c>
      <c r="I231" s="30">
        <v>0</v>
      </c>
      <c r="J231" s="8" t="s">
        <v>590</v>
      </c>
      <c r="K231" s="2">
        <f t="shared" si="226"/>
        <v>3</v>
      </c>
      <c r="L231" s="2">
        <f t="shared" si="238"/>
        <v>1.4000000000000001</v>
      </c>
      <c r="M231" s="2">
        <f t="shared" si="238"/>
        <v>2</v>
      </c>
      <c r="N231" s="2">
        <v>10</v>
      </c>
      <c r="O231" s="2">
        <f t="shared" si="236"/>
        <v>255.02</v>
      </c>
      <c r="P231" s="2">
        <f t="shared" si="236"/>
        <v>13.01</v>
      </c>
      <c r="Q231" s="2">
        <f t="shared" si="236"/>
        <v>2709.82</v>
      </c>
      <c r="R231" s="2">
        <f t="shared" si="235"/>
        <v>138.19999999999999</v>
      </c>
      <c r="S231" s="2">
        <f t="shared" si="235"/>
        <v>63.76</v>
      </c>
      <c r="T231" s="2">
        <f t="shared" si="235"/>
        <v>4.78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17">
        <v>543022</v>
      </c>
      <c r="AA231" s="15" t="s">
        <v>591</v>
      </c>
      <c r="AB231" s="15" t="s">
        <v>469</v>
      </c>
      <c r="AC231" s="2">
        <v>5074302</v>
      </c>
      <c r="AD231" s="2">
        <v>0</v>
      </c>
      <c r="AE231" s="2">
        <v>1</v>
      </c>
      <c r="AF231" s="2">
        <v>5064302</v>
      </c>
      <c r="AG231" s="2">
        <v>1</v>
      </c>
      <c r="AH231" s="2"/>
      <c r="AI231">
        <v>1</v>
      </c>
      <c r="AJ231" s="1">
        <f t="shared" si="224"/>
        <v>131.43807520634959</v>
      </c>
      <c r="AK231">
        <v>6</v>
      </c>
      <c r="AL231">
        <f t="shared" si="227"/>
        <v>221.76</v>
      </c>
      <c r="AM231">
        <f t="shared" si="228"/>
        <v>11.309759999999999</v>
      </c>
      <c r="AN231">
        <f t="shared" si="229"/>
        <v>2356.3636363636365</v>
      </c>
      <c r="AO231">
        <f t="shared" si="230"/>
        <v>120.17454545454545</v>
      </c>
      <c r="AP231">
        <f t="shared" si="231"/>
        <v>55.44</v>
      </c>
      <c r="AQ231">
        <f t="shared" si="232"/>
        <v>4.1579999999999995</v>
      </c>
      <c r="AR231">
        <f t="shared" si="233"/>
        <v>1.4</v>
      </c>
      <c r="AS231">
        <f t="shared" si="239"/>
        <v>2</v>
      </c>
      <c r="AT231">
        <f t="shared" si="240"/>
        <v>3</v>
      </c>
      <c r="AU231">
        <f t="shared" si="237"/>
        <v>3024</v>
      </c>
      <c r="AV231" s="1">
        <v>2</v>
      </c>
      <c r="AW231">
        <v>5</v>
      </c>
      <c r="AX231">
        <v>0.15</v>
      </c>
      <c r="AZ231">
        <v>3</v>
      </c>
      <c r="BA231">
        <v>4</v>
      </c>
      <c r="CG231" t="str">
        <f t="shared" si="234"/>
        <v>DATA_Class_Base16</v>
      </c>
      <c r="CH231" s="6" t="s">
        <v>312</v>
      </c>
    </row>
    <row r="232" spans="1:86" ht="14.25">
      <c r="A232" s="49">
        <f t="shared" si="225"/>
        <v>5064501</v>
      </c>
      <c r="B232" s="2" t="s">
        <v>592</v>
      </c>
      <c r="C232" s="48" t="s">
        <v>593</v>
      </c>
      <c r="D232">
        <v>6</v>
      </c>
      <c r="E232">
        <v>5</v>
      </c>
      <c r="F232">
        <v>4</v>
      </c>
      <c r="G232" s="3" t="s">
        <v>594</v>
      </c>
      <c r="H232" s="3" t="s">
        <v>594</v>
      </c>
      <c r="I232">
        <v>0</v>
      </c>
      <c r="J232" s="2" t="s">
        <v>334</v>
      </c>
      <c r="K232" s="2">
        <f t="shared" si="226"/>
        <v>6</v>
      </c>
      <c r="L232" s="2">
        <f t="shared" si="238"/>
        <v>1.6</v>
      </c>
      <c r="M232" s="2">
        <f t="shared" si="238"/>
        <v>2</v>
      </c>
      <c r="N232" s="2">
        <v>10</v>
      </c>
      <c r="O232" s="2">
        <f t="shared" si="236"/>
        <v>344.45</v>
      </c>
      <c r="P232" s="2">
        <f t="shared" si="236"/>
        <v>17.57</v>
      </c>
      <c r="Q232" s="2">
        <f t="shared" si="236"/>
        <v>2292.92</v>
      </c>
      <c r="R232" s="2">
        <f t="shared" si="235"/>
        <v>116.94</v>
      </c>
      <c r="S232" s="2">
        <f t="shared" si="235"/>
        <v>49.21</v>
      </c>
      <c r="T232" s="2">
        <f t="shared" si="235"/>
        <v>3.69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17">
        <v>545012</v>
      </c>
      <c r="AA232" s="14" t="s">
        <v>595</v>
      </c>
      <c r="AB232" s="15" t="s">
        <v>469</v>
      </c>
      <c r="AC232" s="2">
        <v>5074501</v>
      </c>
      <c r="AD232" s="2">
        <v>0</v>
      </c>
      <c r="AE232" s="2">
        <v>1</v>
      </c>
      <c r="AF232" s="2">
        <v>5064501</v>
      </c>
      <c r="AG232" s="2">
        <v>1</v>
      </c>
      <c r="AH232" s="2"/>
      <c r="AI232">
        <v>1</v>
      </c>
      <c r="AJ232" s="1">
        <f t="shared" si="224"/>
        <v>131.07723658063946</v>
      </c>
      <c r="AK232">
        <v>6</v>
      </c>
      <c r="AL232">
        <f t="shared" si="227"/>
        <v>299.52000000000004</v>
      </c>
      <c r="AM232">
        <f t="shared" si="228"/>
        <v>15.27552</v>
      </c>
      <c r="AN232">
        <f t="shared" si="229"/>
        <v>1993.8461538461538</v>
      </c>
      <c r="AO232">
        <f t="shared" si="230"/>
        <v>101.68615384615384</v>
      </c>
      <c r="AP232">
        <f t="shared" si="231"/>
        <v>42.788571428571437</v>
      </c>
      <c r="AQ232">
        <f t="shared" si="232"/>
        <v>3.2091428571428575</v>
      </c>
      <c r="AR232">
        <f t="shared" si="233"/>
        <v>1.6</v>
      </c>
      <c r="AS232">
        <f t="shared" si="239"/>
        <v>2</v>
      </c>
      <c r="AT232">
        <f t="shared" si="240"/>
        <v>6</v>
      </c>
      <c r="AU232">
        <f t="shared" si="237"/>
        <v>5014</v>
      </c>
      <c r="AV232" s="1">
        <v>1</v>
      </c>
      <c r="AW232">
        <v>5</v>
      </c>
      <c r="AX232">
        <v>0.15</v>
      </c>
      <c r="AZ232">
        <v>5</v>
      </c>
      <c r="BA232">
        <v>4</v>
      </c>
      <c r="CG232" t="str">
        <f t="shared" si="234"/>
        <v>DATA_Class_Base17</v>
      </c>
      <c r="CH232" s="6" t="s">
        <v>318</v>
      </c>
    </row>
    <row r="233" spans="1:86" ht="14.25">
      <c r="A233" s="49">
        <f t="shared" si="225"/>
        <v>5064600</v>
      </c>
      <c r="B233" s="2" t="s">
        <v>596</v>
      </c>
      <c r="C233" s="48" t="s">
        <v>597</v>
      </c>
      <c r="D233">
        <v>6</v>
      </c>
      <c r="E233">
        <v>6</v>
      </c>
      <c r="F233">
        <v>4</v>
      </c>
      <c r="G233" s="3" t="s">
        <v>598</v>
      </c>
      <c r="H233" s="3" t="s">
        <v>598</v>
      </c>
      <c r="I233" s="2">
        <v>0</v>
      </c>
      <c r="J233" s="2" t="s">
        <v>339</v>
      </c>
      <c r="K233" s="2">
        <f t="shared" si="226"/>
        <v>3</v>
      </c>
      <c r="L233" s="2">
        <f t="shared" si="238"/>
        <v>1.4000000000000001</v>
      </c>
      <c r="M233" s="2">
        <f t="shared" si="238"/>
        <v>1.9000000000000001</v>
      </c>
      <c r="N233" s="2">
        <v>10</v>
      </c>
      <c r="O233" s="2">
        <f t="shared" si="236"/>
        <v>255.02</v>
      </c>
      <c r="P233" s="2">
        <f t="shared" si="236"/>
        <v>13.01</v>
      </c>
      <c r="Q233" s="2">
        <f t="shared" si="236"/>
        <v>2709.82</v>
      </c>
      <c r="R233" s="2">
        <f t="shared" si="235"/>
        <v>138.19999999999999</v>
      </c>
      <c r="S233" s="2">
        <f t="shared" si="235"/>
        <v>63.76</v>
      </c>
      <c r="T233" s="2">
        <f t="shared" si="235"/>
        <v>4.78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17">
        <v>546002</v>
      </c>
      <c r="AA233" s="14" t="s">
        <v>599</v>
      </c>
      <c r="AB233" s="15" t="s">
        <v>469</v>
      </c>
      <c r="AC233" s="2">
        <v>5074600</v>
      </c>
      <c r="AD233" s="2">
        <v>0</v>
      </c>
      <c r="AE233" s="2">
        <v>1</v>
      </c>
      <c r="AF233" s="2">
        <v>5064600</v>
      </c>
      <c r="AG233" s="2">
        <v>1</v>
      </c>
      <c r="AH233" s="2"/>
      <c r="AI233">
        <v>1</v>
      </c>
      <c r="AJ233" s="1">
        <f t="shared" si="224"/>
        <v>131.43807520634959</v>
      </c>
      <c r="AK233">
        <v>6</v>
      </c>
      <c r="AL233">
        <f t="shared" si="227"/>
        <v>221.76</v>
      </c>
      <c r="AM233">
        <f t="shared" si="228"/>
        <v>11.309759999999999</v>
      </c>
      <c r="AN233">
        <f t="shared" si="229"/>
        <v>2356.3636363636365</v>
      </c>
      <c r="AO233">
        <f t="shared" si="230"/>
        <v>120.17454545454545</v>
      </c>
      <c r="AP233">
        <f t="shared" si="231"/>
        <v>55.44</v>
      </c>
      <c r="AQ233">
        <f t="shared" si="232"/>
        <v>4.1579999999999995</v>
      </c>
      <c r="AR233">
        <f t="shared" si="233"/>
        <v>1.4</v>
      </c>
      <c r="AS233">
        <f t="shared" si="239"/>
        <v>1.9</v>
      </c>
      <c r="AT233">
        <f t="shared" si="240"/>
        <v>3</v>
      </c>
      <c r="AU233">
        <f t="shared" si="237"/>
        <v>6004</v>
      </c>
      <c r="AV233" s="1">
        <v>0</v>
      </c>
      <c r="AW233">
        <v>5</v>
      </c>
      <c r="AX233">
        <v>0.15</v>
      </c>
      <c r="AZ233">
        <v>6</v>
      </c>
      <c r="BA233">
        <v>4</v>
      </c>
      <c r="CG233" t="str">
        <f t="shared" si="234"/>
        <v>DATA_Class_Base18</v>
      </c>
      <c r="CH233" s="6" t="s">
        <v>324</v>
      </c>
    </row>
    <row r="234" spans="1:86" ht="14.25">
      <c r="A234">
        <f t="shared" si="225"/>
        <v>5064602</v>
      </c>
      <c r="B234" s="2" t="s">
        <v>600</v>
      </c>
      <c r="C234" s="48" t="s">
        <v>601</v>
      </c>
      <c r="D234">
        <v>6</v>
      </c>
      <c r="E234">
        <v>6</v>
      </c>
      <c r="F234">
        <v>4</v>
      </c>
      <c r="G234" s="3" t="s">
        <v>602</v>
      </c>
      <c r="H234" s="3" t="s">
        <v>602</v>
      </c>
      <c r="I234" t="s">
        <v>345</v>
      </c>
      <c r="J234" s="2" t="s">
        <v>346</v>
      </c>
      <c r="K234" s="2">
        <f t="shared" si="226"/>
        <v>6</v>
      </c>
      <c r="L234" s="2">
        <f t="shared" si="238"/>
        <v>1.8</v>
      </c>
      <c r="M234" s="2">
        <f t="shared" si="238"/>
        <v>2</v>
      </c>
      <c r="N234" s="2">
        <v>10</v>
      </c>
      <c r="O234" s="2">
        <f t="shared" si="236"/>
        <v>311.04000000000002</v>
      </c>
      <c r="P234" s="2">
        <f t="shared" si="236"/>
        <v>15.86</v>
      </c>
      <c r="Q234" s="2">
        <f t="shared" si="236"/>
        <v>3110.4</v>
      </c>
      <c r="R234" s="2">
        <f t="shared" si="235"/>
        <v>158.63</v>
      </c>
      <c r="S234" s="2">
        <f t="shared" si="235"/>
        <v>62.21</v>
      </c>
      <c r="T234" s="2">
        <f t="shared" si="235"/>
        <v>4.67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17">
        <v>546022</v>
      </c>
      <c r="AA234" s="55" t="s">
        <v>1721</v>
      </c>
      <c r="AB234" s="15" t="s">
        <v>469</v>
      </c>
      <c r="AC234" s="2">
        <v>5074602</v>
      </c>
      <c r="AD234" s="2">
        <v>0</v>
      </c>
      <c r="AE234" s="2">
        <v>1</v>
      </c>
      <c r="AF234" s="2">
        <v>5064602</v>
      </c>
      <c r="AG234" s="2">
        <v>1</v>
      </c>
      <c r="AH234" s="2"/>
      <c r="AI234">
        <v>1</v>
      </c>
      <c r="AJ234" s="1">
        <f t="shared" si="224"/>
        <v>131.33519547986032</v>
      </c>
      <c r="AK234">
        <v>6</v>
      </c>
      <c r="AL234">
        <f t="shared" si="227"/>
        <v>259.2</v>
      </c>
      <c r="AM234">
        <f t="shared" si="228"/>
        <v>13.219199999999999</v>
      </c>
      <c r="AN234">
        <f t="shared" si="229"/>
        <v>2592</v>
      </c>
      <c r="AO234">
        <f t="shared" si="230"/>
        <v>132.19199999999998</v>
      </c>
      <c r="AP234">
        <f t="shared" si="231"/>
        <v>51.839999999999996</v>
      </c>
      <c r="AQ234">
        <f t="shared" si="232"/>
        <v>3.8879999999999995</v>
      </c>
      <c r="AR234">
        <f t="shared" si="233"/>
        <v>1.8</v>
      </c>
      <c r="AS234">
        <f t="shared" si="239"/>
        <v>2</v>
      </c>
      <c r="AT234">
        <f t="shared" si="240"/>
        <v>6</v>
      </c>
      <c r="AU234">
        <f t="shared" si="237"/>
        <v>6024</v>
      </c>
      <c r="AV234" s="1">
        <v>2</v>
      </c>
      <c r="AW234">
        <v>5</v>
      </c>
      <c r="AX234">
        <v>0.2</v>
      </c>
      <c r="AZ234">
        <v>6</v>
      </c>
      <c r="BA234">
        <v>4</v>
      </c>
      <c r="CG234" t="str">
        <f t="shared" si="234"/>
        <v>DATA_Class_Base19</v>
      </c>
      <c r="CH234" s="6" t="s">
        <v>331</v>
      </c>
    </row>
    <row r="235" spans="1:86" ht="14.25">
      <c r="A235">
        <f t="shared" si="225"/>
        <v>5065202</v>
      </c>
      <c r="B235" s="2" t="s">
        <v>604</v>
      </c>
      <c r="C235" s="48" t="s">
        <v>605</v>
      </c>
      <c r="D235">
        <v>6</v>
      </c>
      <c r="E235">
        <v>2</v>
      </c>
      <c r="F235">
        <v>5</v>
      </c>
      <c r="G235" s="3" t="s">
        <v>606</v>
      </c>
      <c r="H235" s="3" t="s">
        <v>606</v>
      </c>
      <c r="I235" s="3">
        <v>0</v>
      </c>
      <c r="J235" s="8" t="s">
        <v>607</v>
      </c>
      <c r="K235" s="2">
        <f t="shared" si="226"/>
        <v>3</v>
      </c>
      <c r="L235" s="2">
        <f t="shared" si="238"/>
        <v>1.6</v>
      </c>
      <c r="M235" s="2">
        <f t="shared" si="238"/>
        <v>2</v>
      </c>
      <c r="N235" s="2">
        <v>10</v>
      </c>
      <c r="O235" s="2">
        <f t="shared" si="236"/>
        <v>264.95999999999998</v>
      </c>
      <c r="P235" s="2">
        <f t="shared" si="236"/>
        <v>13.51</v>
      </c>
      <c r="Q235" s="2">
        <f t="shared" si="236"/>
        <v>2980.8</v>
      </c>
      <c r="R235" s="2">
        <f t="shared" si="235"/>
        <v>152.02000000000001</v>
      </c>
      <c r="S235" s="2">
        <f t="shared" si="235"/>
        <v>88.32</v>
      </c>
      <c r="T235" s="2">
        <f t="shared" si="235"/>
        <v>6.62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17">
        <v>552022</v>
      </c>
      <c r="AA235" s="15" t="s">
        <v>608</v>
      </c>
      <c r="AB235" s="15" t="s">
        <v>469</v>
      </c>
      <c r="AC235" s="2">
        <v>5075202</v>
      </c>
      <c r="AD235" s="2">
        <v>0</v>
      </c>
      <c r="AE235" s="2">
        <v>1</v>
      </c>
      <c r="AF235" s="2">
        <v>5065202</v>
      </c>
      <c r="AG235" s="2">
        <v>1</v>
      </c>
      <c r="AH235" s="2"/>
      <c r="AI235">
        <v>1</v>
      </c>
      <c r="AJ235" s="1">
        <f t="shared" si="224"/>
        <v>132.05182567059282</v>
      </c>
      <c r="AK235">
        <v>6</v>
      </c>
      <c r="AL235">
        <f t="shared" si="227"/>
        <v>230.4</v>
      </c>
      <c r="AM235">
        <f t="shared" si="228"/>
        <v>11.750399999999999</v>
      </c>
      <c r="AN235">
        <f t="shared" si="229"/>
        <v>2592</v>
      </c>
      <c r="AO235">
        <f t="shared" si="230"/>
        <v>132.19199999999998</v>
      </c>
      <c r="AP235">
        <f t="shared" si="231"/>
        <v>76.8</v>
      </c>
      <c r="AQ235">
        <f t="shared" si="232"/>
        <v>5.76</v>
      </c>
      <c r="AR235">
        <f t="shared" si="233"/>
        <v>1.6</v>
      </c>
      <c r="AS235">
        <f t="shared" si="239"/>
        <v>2</v>
      </c>
      <c r="AT235">
        <f t="shared" si="240"/>
        <v>3</v>
      </c>
      <c r="AU235">
        <f t="shared" si="237"/>
        <v>2025</v>
      </c>
      <c r="AV235" s="1">
        <v>2</v>
      </c>
      <c r="AW235">
        <v>5</v>
      </c>
      <c r="AX235">
        <v>0.15</v>
      </c>
      <c r="AZ235">
        <v>2</v>
      </c>
      <c r="BA235">
        <v>5</v>
      </c>
      <c r="CG235" t="str">
        <f t="shared" si="234"/>
        <v>DATA_Class_Base20</v>
      </c>
      <c r="CH235" s="6" t="s">
        <v>336</v>
      </c>
    </row>
    <row r="236" spans="1:86" ht="14.25">
      <c r="A236" s="49">
        <f t="shared" si="225"/>
        <v>5065300</v>
      </c>
      <c r="B236" s="2" t="s">
        <v>609</v>
      </c>
      <c r="C236" s="48" t="s">
        <v>610</v>
      </c>
      <c r="D236">
        <v>6</v>
      </c>
      <c r="E236">
        <v>3</v>
      </c>
      <c r="F236">
        <v>5</v>
      </c>
      <c r="G236" s="3" t="s">
        <v>611</v>
      </c>
      <c r="H236" s="3" t="s">
        <v>611</v>
      </c>
      <c r="I236" s="2">
        <v>0</v>
      </c>
      <c r="J236" s="8" t="s">
        <v>612</v>
      </c>
      <c r="K236" s="2">
        <f t="shared" si="226"/>
        <v>3</v>
      </c>
      <c r="L236" s="2">
        <f t="shared" si="238"/>
        <v>1.3</v>
      </c>
      <c r="M236" s="2">
        <f t="shared" si="238"/>
        <v>2</v>
      </c>
      <c r="N236" s="2">
        <v>10</v>
      </c>
      <c r="O236" s="2">
        <f t="shared" si="236"/>
        <v>258.33999999999997</v>
      </c>
      <c r="P236" s="2">
        <f t="shared" si="236"/>
        <v>13.18</v>
      </c>
      <c r="Q236" s="2">
        <f t="shared" si="236"/>
        <v>2704.7</v>
      </c>
      <c r="R236" s="2">
        <f t="shared" si="235"/>
        <v>137.94</v>
      </c>
      <c r="S236" s="2">
        <f t="shared" si="235"/>
        <v>64.58</v>
      </c>
      <c r="T236" s="2">
        <f t="shared" si="235"/>
        <v>4.84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17">
        <v>553002</v>
      </c>
      <c r="AA236" s="14" t="s">
        <v>613</v>
      </c>
      <c r="AB236" s="15" t="s">
        <v>469</v>
      </c>
      <c r="AC236" s="2">
        <v>5075300</v>
      </c>
      <c r="AD236" s="2">
        <v>0</v>
      </c>
      <c r="AE236" s="2">
        <v>1</v>
      </c>
      <c r="AF236" s="2">
        <v>5065300</v>
      </c>
      <c r="AG236" s="2">
        <v>1</v>
      </c>
      <c r="AH236" s="2"/>
      <c r="AI236">
        <v>1</v>
      </c>
      <c r="AJ236" s="1">
        <f t="shared" si="224"/>
        <v>131.39175939055599</v>
      </c>
      <c r="AK236">
        <v>6</v>
      </c>
      <c r="AL236">
        <f t="shared" si="227"/>
        <v>215.28</v>
      </c>
      <c r="AM236">
        <f t="shared" si="228"/>
        <v>10.979279999999999</v>
      </c>
      <c r="AN236">
        <f t="shared" si="229"/>
        <v>2253.9130434782614</v>
      </c>
      <c r="AO236">
        <f t="shared" si="230"/>
        <v>114.94956521739132</v>
      </c>
      <c r="AP236">
        <f t="shared" si="231"/>
        <v>53.82</v>
      </c>
      <c r="AQ236">
        <f t="shared" si="232"/>
        <v>4.0365000000000002</v>
      </c>
      <c r="AR236">
        <f t="shared" si="233"/>
        <v>1.3</v>
      </c>
      <c r="AS236">
        <f t="shared" si="239"/>
        <v>2</v>
      </c>
      <c r="AT236">
        <f t="shared" si="240"/>
        <v>3</v>
      </c>
      <c r="AU236">
        <f t="shared" si="237"/>
        <v>3005</v>
      </c>
      <c r="AV236" s="1">
        <v>0</v>
      </c>
      <c r="AW236">
        <v>5</v>
      </c>
      <c r="AX236">
        <v>0.2</v>
      </c>
      <c r="AZ236">
        <v>3</v>
      </c>
      <c r="BA236">
        <v>5</v>
      </c>
      <c r="CG236" t="str">
        <f t="shared" si="234"/>
        <v>DATA_Class_Base21</v>
      </c>
      <c r="CH236" s="6" t="s">
        <v>342</v>
      </c>
    </row>
    <row r="237" spans="1:86" ht="14.25">
      <c r="A237">
        <f t="shared" si="225"/>
        <v>5065302</v>
      </c>
      <c r="B237" s="2" t="s">
        <v>614</v>
      </c>
      <c r="C237" s="48" t="s">
        <v>615</v>
      </c>
      <c r="D237">
        <v>6</v>
      </c>
      <c r="E237">
        <v>3</v>
      </c>
      <c r="F237">
        <v>5</v>
      </c>
      <c r="G237" s="3" t="s">
        <v>616</v>
      </c>
      <c r="H237" s="3" t="s">
        <v>616</v>
      </c>
      <c r="I237" s="2">
        <v>0</v>
      </c>
      <c r="J237" s="2" t="s">
        <v>358</v>
      </c>
      <c r="K237" s="2">
        <f t="shared" si="226"/>
        <v>3</v>
      </c>
      <c r="L237" s="2">
        <f t="shared" si="238"/>
        <v>1.4000000000000001</v>
      </c>
      <c r="M237" s="2">
        <f t="shared" si="238"/>
        <v>2</v>
      </c>
      <c r="N237" s="2">
        <v>10</v>
      </c>
      <c r="O237" s="2">
        <f t="shared" si="236"/>
        <v>278.20999999999998</v>
      </c>
      <c r="P237" s="2">
        <f t="shared" si="236"/>
        <v>14.19</v>
      </c>
      <c r="Q237" s="2">
        <f t="shared" si="236"/>
        <v>2484</v>
      </c>
      <c r="R237" s="2">
        <f t="shared" si="235"/>
        <v>126.68</v>
      </c>
      <c r="S237" s="2">
        <f t="shared" si="235"/>
        <v>69.55</v>
      </c>
      <c r="T237" s="2">
        <f t="shared" si="235"/>
        <v>5.22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17">
        <v>553022</v>
      </c>
      <c r="AA237" s="14" t="s">
        <v>617</v>
      </c>
      <c r="AB237" s="15" t="s">
        <v>469</v>
      </c>
      <c r="AC237" s="2">
        <v>5075302</v>
      </c>
      <c r="AD237" s="2">
        <v>0</v>
      </c>
      <c r="AE237" s="2">
        <v>1</v>
      </c>
      <c r="AF237" s="2">
        <v>5065302</v>
      </c>
      <c r="AG237" s="2">
        <v>1</v>
      </c>
      <c r="AH237" s="2"/>
      <c r="AI237">
        <v>1</v>
      </c>
      <c r="AJ237" s="1">
        <f t="shared" si="224"/>
        <v>131.5823779014481</v>
      </c>
      <c r="AK237">
        <v>6</v>
      </c>
      <c r="AL237">
        <f t="shared" si="227"/>
        <v>241.91999999999996</v>
      </c>
      <c r="AM237">
        <f t="shared" si="228"/>
        <v>12.337919999999997</v>
      </c>
      <c r="AN237">
        <f t="shared" si="229"/>
        <v>2160</v>
      </c>
      <c r="AO237">
        <f t="shared" si="230"/>
        <v>110.16</v>
      </c>
      <c r="AP237">
        <f t="shared" si="231"/>
        <v>60.47999999999999</v>
      </c>
      <c r="AQ237">
        <f t="shared" si="232"/>
        <v>4.5359999999999987</v>
      </c>
      <c r="AR237">
        <f t="shared" si="233"/>
        <v>1.4</v>
      </c>
      <c r="AS237">
        <f t="shared" si="239"/>
        <v>2</v>
      </c>
      <c r="AT237">
        <f t="shared" si="240"/>
        <v>3</v>
      </c>
      <c r="AU237">
        <f t="shared" si="237"/>
        <v>3025</v>
      </c>
      <c r="AV237" s="1">
        <v>2</v>
      </c>
      <c r="AW237">
        <v>5</v>
      </c>
      <c r="AX237">
        <v>0.15</v>
      </c>
      <c r="AZ237">
        <v>3</v>
      </c>
      <c r="BA237">
        <v>5</v>
      </c>
      <c r="CG237" t="str">
        <f t="shared" si="234"/>
        <v>DATA_Class_Base22</v>
      </c>
      <c r="CH237" s="6" t="s">
        <v>349</v>
      </c>
    </row>
    <row r="238" spans="1:86" ht="14.25">
      <c r="A238" s="49">
        <f t="shared" si="225"/>
        <v>5065400</v>
      </c>
      <c r="B238" s="2" t="s">
        <v>618</v>
      </c>
      <c r="C238" s="48" t="s">
        <v>619</v>
      </c>
      <c r="D238">
        <v>6</v>
      </c>
      <c r="E238">
        <v>4</v>
      </c>
      <c r="F238">
        <v>5</v>
      </c>
      <c r="G238" s="3" t="s">
        <v>620</v>
      </c>
      <c r="H238" s="3" t="s">
        <v>620</v>
      </c>
      <c r="I238">
        <v>0</v>
      </c>
      <c r="J238" s="2" t="s">
        <v>364</v>
      </c>
      <c r="K238" s="2">
        <f t="shared" si="226"/>
        <v>6</v>
      </c>
      <c r="L238" s="2">
        <f t="shared" si="238"/>
        <v>1.4000000000000001</v>
      </c>
      <c r="M238" s="2">
        <f t="shared" si="238"/>
        <v>2</v>
      </c>
      <c r="N238" s="2">
        <v>10</v>
      </c>
      <c r="O238" s="2">
        <f t="shared" si="236"/>
        <v>302.39999999999998</v>
      </c>
      <c r="P238" s="2">
        <f t="shared" si="236"/>
        <v>15.42</v>
      </c>
      <c r="Q238" s="2">
        <f t="shared" si="236"/>
        <v>2488.3200000000002</v>
      </c>
      <c r="R238" s="2">
        <f t="shared" si="235"/>
        <v>126.9</v>
      </c>
      <c r="S238" s="2">
        <f t="shared" si="235"/>
        <v>54.98</v>
      </c>
      <c r="T238" s="2">
        <f t="shared" si="235"/>
        <v>4.12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17">
        <v>554002</v>
      </c>
      <c r="AA238" s="14" t="s">
        <v>621</v>
      </c>
      <c r="AB238" s="15" t="s">
        <v>469</v>
      </c>
      <c r="AC238" s="2">
        <v>5075400</v>
      </c>
      <c r="AD238" s="2">
        <v>0</v>
      </c>
      <c r="AE238" s="2">
        <v>1</v>
      </c>
      <c r="AF238" s="2">
        <v>5065400</v>
      </c>
      <c r="AG238" s="2">
        <v>1</v>
      </c>
      <c r="AH238" s="2"/>
      <c r="AI238">
        <v>1</v>
      </c>
      <c r="AJ238" s="1">
        <f t="shared" si="224"/>
        <v>131.1634652978174</v>
      </c>
      <c r="AK238">
        <v>6</v>
      </c>
      <c r="AL238">
        <f t="shared" si="227"/>
        <v>252</v>
      </c>
      <c r="AM238">
        <f t="shared" si="228"/>
        <v>12.851999999999999</v>
      </c>
      <c r="AN238">
        <f t="shared" si="229"/>
        <v>2073.6</v>
      </c>
      <c r="AO238">
        <f t="shared" si="230"/>
        <v>105.75359999999999</v>
      </c>
      <c r="AP238">
        <f t="shared" si="231"/>
        <v>45.81818181818182</v>
      </c>
      <c r="AQ238">
        <f t="shared" si="232"/>
        <v>3.4363636363636365</v>
      </c>
      <c r="AR238">
        <f t="shared" si="233"/>
        <v>1.4</v>
      </c>
      <c r="AS238">
        <f t="shared" si="239"/>
        <v>2</v>
      </c>
      <c r="AT238">
        <f t="shared" si="240"/>
        <v>6</v>
      </c>
      <c r="AU238">
        <f t="shared" si="237"/>
        <v>4005</v>
      </c>
      <c r="AV238" s="1">
        <v>0</v>
      </c>
      <c r="AW238">
        <v>5</v>
      </c>
      <c r="AX238">
        <v>0.2</v>
      </c>
      <c r="AZ238">
        <v>4</v>
      </c>
      <c r="BA238">
        <v>5</v>
      </c>
      <c r="CG238" t="str">
        <f t="shared" si="234"/>
        <v>DATA_Class_Base23</v>
      </c>
      <c r="CH238" s="6" t="s">
        <v>355</v>
      </c>
    </row>
    <row r="239" spans="1:86" ht="14.25">
      <c r="A239">
        <f t="shared" si="225"/>
        <v>5065501</v>
      </c>
      <c r="B239" s="2" t="s">
        <v>622</v>
      </c>
      <c r="C239" s="48" t="s">
        <v>623</v>
      </c>
      <c r="D239">
        <v>6</v>
      </c>
      <c r="E239">
        <v>5</v>
      </c>
      <c r="F239">
        <v>5</v>
      </c>
      <c r="G239" s="3" t="s">
        <v>624</v>
      </c>
      <c r="H239" s="3" t="s">
        <v>624</v>
      </c>
      <c r="I239" s="3">
        <v>0</v>
      </c>
      <c r="J239" s="8" t="s">
        <v>625</v>
      </c>
      <c r="K239" s="2">
        <f t="shared" si="226"/>
        <v>6</v>
      </c>
      <c r="L239" s="2">
        <f t="shared" si="238"/>
        <v>1.5</v>
      </c>
      <c r="M239" s="2">
        <f t="shared" si="238"/>
        <v>2</v>
      </c>
      <c r="N239" s="2">
        <v>10</v>
      </c>
      <c r="O239" s="2">
        <f t="shared" si="236"/>
        <v>360.18</v>
      </c>
      <c r="P239" s="2">
        <f t="shared" si="236"/>
        <v>18.37</v>
      </c>
      <c r="Q239" s="2">
        <f t="shared" si="236"/>
        <v>2055.7199999999998</v>
      </c>
      <c r="R239" s="2">
        <f t="shared" si="235"/>
        <v>104.84</v>
      </c>
      <c r="S239" s="2">
        <f t="shared" si="235"/>
        <v>45.02</v>
      </c>
      <c r="T239" s="2">
        <f t="shared" si="235"/>
        <v>3.38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17">
        <v>555012</v>
      </c>
      <c r="AA239" s="15" t="s">
        <v>626</v>
      </c>
      <c r="AB239" s="15" t="s">
        <v>469</v>
      </c>
      <c r="AC239" s="2">
        <v>5075501</v>
      </c>
      <c r="AD239" s="2">
        <v>0</v>
      </c>
      <c r="AE239" s="2">
        <v>1</v>
      </c>
      <c r="AF239" s="2">
        <v>5065501</v>
      </c>
      <c r="AG239" s="2">
        <v>1</v>
      </c>
      <c r="AH239" s="2"/>
      <c r="AI239">
        <v>1</v>
      </c>
      <c r="AJ239" s="1">
        <f t="shared" si="224"/>
        <v>130.97382535660287</v>
      </c>
      <c r="AK239">
        <v>6</v>
      </c>
      <c r="AL239">
        <f t="shared" si="227"/>
        <v>313.2</v>
      </c>
      <c r="AM239">
        <f t="shared" si="228"/>
        <v>15.973199999999999</v>
      </c>
      <c r="AN239">
        <f t="shared" si="229"/>
        <v>1787.5862068965519</v>
      </c>
      <c r="AO239">
        <f t="shared" si="230"/>
        <v>91.166896551724136</v>
      </c>
      <c r="AP239">
        <f t="shared" si="231"/>
        <v>39.15</v>
      </c>
      <c r="AQ239">
        <f t="shared" si="232"/>
        <v>2.9362499999999998</v>
      </c>
      <c r="AR239">
        <f t="shared" si="233"/>
        <v>1.5</v>
      </c>
      <c r="AS239">
        <f t="shared" si="239"/>
        <v>2</v>
      </c>
      <c r="AT239">
        <f t="shared" si="240"/>
        <v>6</v>
      </c>
      <c r="AU239">
        <f t="shared" si="237"/>
        <v>5015</v>
      </c>
      <c r="AV239" s="1">
        <v>1</v>
      </c>
      <c r="AW239">
        <v>5</v>
      </c>
      <c r="AX239">
        <v>0.15</v>
      </c>
      <c r="AZ239">
        <v>5</v>
      </c>
      <c r="BA239">
        <v>5</v>
      </c>
      <c r="CG239" t="str">
        <f t="shared" si="234"/>
        <v>DATA_Class_Base24</v>
      </c>
      <c r="CH239" s="6" t="s">
        <v>361</v>
      </c>
    </row>
    <row r="240" spans="1:86" ht="14.25">
      <c r="A240">
        <f t="shared" si="225"/>
        <v>5071200</v>
      </c>
      <c r="B240" s="2" t="s">
        <v>464</v>
      </c>
      <c r="C240" s="48" t="s">
        <v>465</v>
      </c>
      <c r="D240">
        <v>7</v>
      </c>
      <c r="E240">
        <v>2</v>
      </c>
      <c r="F240">
        <v>1</v>
      </c>
      <c r="G240" s="3" t="s">
        <v>466</v>
      </c>
      <c r="H240" s="3" t="s">
        <v>466</v>
      </c>
      <c r="I240" s="2">
        <v>0</v>
      </c>
      <c r="J240" s="8" t="s">
        <v>467</v>
      </c>
      <c r="K240" s="2">
        <f t="shared" si="226"/>
        <v>3</v>
      </c>
      <c r="L240" s="2">
        <f t="shared" si="238"/>
        <v>1.5</v>
      </c>
      <c r="M240" s="2">
        <f t="shared" si="238"/>
        <v>1.2</v>
      </c>
      <c r="N240" s="2">
        <v>10</v>
      </c>
      <c r="O240" s="2">
        <f t="shared" si="236"/>
        <v>216.48</v>
      </c>
      <c r="P240" s="2">
        <f t="shared" si="236"/>
        <v>11.04</v>
      </c>
      <c r="Q240" s="2">
        <f t="shared" si="236"/>
        <v>4059</v>
      </c>
      <c r="R240" s="2">
        <f t="shared" si="235"/>
        <v>207.01</v>
      </c>
      <c r="S240" s="2">
        <f t="shared" si="235"/>
        <v>86.59</v>
      </c>
      <c r="T240" s="2">
        <f t="shared" si="235"/>
        <v>6.49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17">
        <v>512002</v>
      </c>
      <c r="AA240" s="14" t="s">
        <v>627</v>
      </c>
      <c r="AB240" s="15" t="s">
        <v>469</v>
      </c>
      <c r="AC240" s="2">
        <v>5081200</v>
      </c>
      <c r="AD240" s="2">
        <v>0</v>
      </c>
      <c r="AE240" s="2">
        <v>1</v>
      </c>
      <c r="AF240" s="2">
        <f t="shared" ref="AF240:AF276" si="241">A203</f>
        <v>5061200</v>
      </c>
      <c r="AG240" s="2">
        <v>1</v>
      </c>
      <c r="AH240" s="2"/>
      <c r="AI240">
        <v>1</v>
      </c>
      <c r="AJ240" s="1">
        <f t="shared" si="224"/>
        <v>171.35210609760068</v>
      </c>
      <c r="AK240">
        <v>7</v>
      </c>
      <c r="AL240">
        <f t="shared" si="227"/>
        <v>196.8</v>
      </c>
      <c r="AM240">
        <f t="shared" si="228"/>
        <v>10.036799999999999</v>
      </c>
      <c r="AN240">
        <f t="shared" si="229"/>
        <v>3689.9999999999995</v>
      </c>
      <c r="AO240">
        <f t="shared" si="230"/>
        <v>188.18999999999997</v>
      </c>
      <c r="AP240">
        <f t="shared" si="231"/>
        <v>78.72</v>
      </c>
      <c r="AQ240">
        <f t="shared" si="232"/>
        <v>5.9039999999999999</v>
      </c>
      <c r="AR240">
        <f t="shared" si="233"/>
        <v>1.5</v>
      </c>
      <c r="AS240">
        <f t="shared" si="239"/>
        <v>1.2</v>
      </c>
      <c r="AT240">
        <f t="shared" si="240"/>
        <v>3</v>
      </c>
      <c r="AU240">
        <f t="shared" si="237"/>
        <v>2001</v>
      </c>
      <c r="AV240" s="1">
        <v>0</v>
      </c>
      <c r="AW240">
        <v>5</v>
      </c>
      <c r="AX240">
        <v>0.1</v>
      </c>
      <c r="AZ240">
        <v>2</v>
      </c>
      <c r="BA240">
        <v>1</v>
      </c>
      <c r="CG240" t="str">
        <f t="shared" si="234"/>
        <v>DATA_Class_Base25</v>
      </c>
      <c r="CH240" s="6" t="s">
        <v>366</v>
      </c>
    </row>
    <row r="241" spans="1:86" ht="14.25">
      <c r="A241" s="49">
        <f t="shared" si="225"/>
        <v>5071201</v>
      </c>
      <c r="B241" s="2" t="s">
        <v>470</v>
      </c>
      <c r="C241" s="48" t="s">
        <v>471</v>
      </c>
      <c r="D241">
        <v>7</v>
      </c>
      <c r="E241">
        <v>2</v>
      </c>
      <c r="F241">
        <v>1</v>
      </c>
      <c r="G241" s="3" t="s">
        <v>472</v>
      </c>
      <c r="H241" s="3" t="s">
        <v>472</v>
      </c>
      <c r="I241" s="2">
        <v>0</v>
      </c>
      <c r="J241" s="8" t="s">
        <v>298</v>
      </c>
      <c r="K241" s="2">
        <f t="shared" si="226"/>
        <v>3</v>
      </c>
      <c r="L241" s="2">
        <f t="shared" si="238"/>
        <v>1.6</v>
      </c>
      <c r="M241" s="2">
        <f t="shared" si="238"/>
        <v>1.8</v>
      </c>
      <c r="N241" s="2">
        <v>10</v>
      </c>
      <c r="O241" s="2">
        <f t="shared" si="236"/>
        <v>188.93</v>
      </c>
      <c r="P241" s="2">
        <f t="shared" si="236"/>
        <v>9.64</v>
      </c>
      <c r="Q241" s="2">
        <f t="shared" si="236"/>
        <v>5904</v>
      </c>
      <c r="R241" s="2">
        <f t="shared" si="235"/>
        <v>301.10000000000002</v>
      </c>
      <c r="S241" s="2">
        <f t="shared" si="235"/>
        <v>111.13</v>
      </c>
      <c r="T241" s="2">
        <f t="shared" si="235"/>
        <v>8.34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17">
        <v>512012</v>
      </c>
      <c r="AA241" s="14" t="s">
        <v>628</v>
      </c>
      <c r="AB241" s="15" t="s">
        <v>469</v>
      </c>
      <c r="AC241" s="2">
        <v>5081201</v>
      </c>
      <c r="AD241" s="2">
        <v>0</v>
      </c>
      <c r="AE241" s="2">
        <v>1</v>
      </c>
      <c r="AF241" s="2">
        <f t="shared" si="241"/>
        <v>5061201</v>
      </c>
      <c r="AG241" s="2">
        <v>1</v>
      </c>
      <c r="AH241" s="2"/>
      <c r="AI241">
        <v>1</v>
      </c>
      <c r="AJ241" s="1">
        <f t="shared" si="224"/>
        <v>171.8742858705576</v>
      </c>
      <c r="AK241">
        <v>7</v>
      </c>
      <c r="AL241">
        <f t="shared" si="227"/>
        <v>157.43999999999997</v>
      </c>
      <c r="AM241">
        <f t="shared" si="228"/>
        <v>8.0294399999999975</v>
      </c>
      <c r="AN241">
        <f t="shared" si="229"/>
        <v>4920</v>
      </c>
      <c r="AO241">
        <f t="shared" si="230"/>
        <v>250.92</v>
      </c>
      <c r="AP241">
        <f t="shared" si="231"/>
        <v>92.611764705882337</v>
      </c>
      <c r="AQ241">
        <f t="shared" si="232"/>
        <v>6.9458823529411751</v>
      </c>
      <c r="AR241">
        <f t="shared" si="233"/>
        <v>1.6</v>
      </c>
      <c r="AS241">
        <f t="shared" si="239"/>
        <v>1.8</v>
      </c>
      <c r="AT241">
        <f t="shared" si="240"/>
        <v>3</v>
      </c>
      <c r="AU241">
        <f t="shared" si="237"/>
        <v>2011</v>
      </c>
      <c r="AV241" s="1">
        <v>1</v>
      </c>
      <c r="AW241">
        <v>5</v>
      </c>
      <c r="AX241">
        <v>0.2</v>
      </c>
      <c r="AZ241">
        <v>2</v>
      </c>
      <c r="BA241">
        <v>1</v>
      </c>
      <c r="CG241" t="str">
        <f t="shared" si="234"/>
        <v>DATA_Class_Base26</v>
      </c>
      <c r="CH241" s="6" t="s">
        <v>369</v>
      </c>
    </row>
    <row r="242" spans="1:86" ht="14.25">
      <c r="A242">
        <f t="shared" si="225"/>
        <v>5071202</v>
      </c>
      <c r="B242" s="2" t="s">
        <v>474</v>
      </c>
      <c r="C242" s="48" t="s">
        <v>475</v>
      </c>
      <c r="D242">
        <v>7</v>
      </c>
      <c r="E242">
        <v>2</v>
      </c>
      <c r="F242">
        <v>1</v>
      </c>
      <c r="G242" s="3" t="s">
        <v>476</v>
      </c>
      <c r="H242" s="3" t="s">
        <v>476</v>
      </c>
      <c r="I242">
        <v>0</v>
      </c>
      <c r="J242" s="8" t="s">
        <v>477</v>
      </c>
      <c r="K242" s="2">
        <f t="shared" si="226"/>
        <v>3</v>
      </c>
      <c r="L242" s="2">
        <f t="shared" si="238"/>
        <v>1.6</v>
      </c>
      <c r="M242" s="2">
        <f t="shared" si="238"/>
        <v>2</v>
      </c>
      <c r="N242" s="2">
        <v>10</v>
      </c>
      <c r="O242" s="2">
        <f t="shared" si="236"/>
        <v>230.91</v>
      </c>
      <c r="P242" s="2">
        <f t="shared" si="236"/>
        <v>11.78</v>
      </c>
      <c r="Q242" s="2">
        <f t="shared" si="236"/>
        <v>4059</v>
      </c>
      <c r="R242" s="2">
        <f t="shared" si="235"/>
        <v>207.01</v>
      </c>
      <c r="S242" s="2">
        <f t="shared" si="235"/>
        <v>85.52</v>
      </c>
      <c r="T242" s="2">
        <f t="shared" si="235"/>
        <v>6.41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17">
        <v>512022</v>
      </c>
      <c r="AA242" s="14" t="s">
        <v>629</v>
      </c>
      <c r="AB242" s="15" t="s">
        <v>469</v>
      </c>
      <c r="AC242" s="2">
        <v>5081202</v>
      </c>
      <c r="AD242" s="2">
        <v>0</v>
      </c>
      <c r="AE242" s="2">
        <v>1</v>
      </c>
      <c r="AF242" s="2">
        <f t="shared" si="241"/>
        <v>5061202</v>
      </c>
      <c r="AG242" s="2">
        <v>1</v>
      </c>
      <c r="AH242" s="2"/>
      <c r="AI242">
        <v>1</v>
      </c>
      <c r="AJ242" s="1">
        <f t="shared" ref="AJ242:AJ305" si="242">(AN242+AO242*AI242)*(AL242+AM242*AI242)/AR242*(0.9)*(1+0.5*0.1)*1/1/(1-(AP242+AQ242*AI242)*0.0002)/3000</f>
        <v>171.31569372858419</v>
      </c>
      <c r="AK242">
        <v>7</v>
      </c>
      <c r="AL242">
        <f t="shared" si="227"/>
        <v>209.92000000000002</v>
      </c>
      <c r="AM242">
        <f t="shared" si="228"/>
        <v>10.705920000000001</v>
      </c>
      <c r="AN242">
        <f t="shared" si="229"/>
        <v>3689.9999999999995</v>
      </c>
      <c r="AO242">
        <f t="shared" si="230"/>
        <v>188.18999999999997</v>
      </c>
      <c r="AP242">
        <f t="shared" si="231"/>
        <v>77.748148148148147</v>
      </c>
      <c r="AQ242">
        <f t="shared" si="232"/>
        <v>5.8311111111111105</v>
      </c>
      <c r="AR242">
        <f t="shared" si="233"/>
        <v>1.6</v>
      </c>
      <c r="AS242">
        <f t="shared" si="239"/>
        <v>2</v>
      </c>
      <c r="AT242">
        <f t="shared" si="240"/>
        <v>3</v>
      </c>
      <c r="AU242">
        <f t="shared" si="237"/>
        <v>2021</v>
      </c>
      <c r="AV242" s="1">
        <v>2</v>
      </c>
      <c r="AW242">
        <v>5</v>
      </c>
      <c r="AX242">
        <v>0.1</v>
      </c>
      <c r="AZ242">
        <v>2</v>
      </c>
      <c r="BA242">
        <v>1</v>
      </c>
      <c r="CD242" s="13"/>
      <c r="CE242" s="13"/>
      <c r="CG242" t="str">
        <f t="shared" si="234"/>
        <v>DATA_Class_Base27</v>
      </c>
      <c r="CH242" s="6" t="s">
        <v>371</v>
      </c>
    </row>
    <row r="243" spans="1:86" ht="14.25">
      <c r="A243">
        <f t="shared" si="225"/>
        <v>5071301</v>
      </c>
      <c r="B243" s="2" t="s">
        <v>479</v>
      </c>
      <c r="C243" s="48" t="s">
        <v>480</v>
      </c>
      <c r="D243">
        <v>7</v>
      </c>
      <c r="E243">
        <v>3</v>
      </c>
      <c r="F243">
        <v>1</v>
      </c>
      <c r="G243" s="3" t="s">
        <v>481</v>
      </c>
      <c r="H243" s="3" t="s">
        <v>481</v>
      </c>
      <c r="I243" s="2">
        <v>0</v>
      </c>
      <c r="J243" s="8" t="s">
        <v>482</v>
      </c>
      <c r="K243" s="2">
        <f t="shared" si="226"/>
        <v>3</v>
      </c>
      <c r="L243" s="2">
        <f t="shared" si="238"/>
        <v>1.3</v>
      </c>
      <c r="M243" s="2">
        <f t="shared" si="238"/>
        <v>2</v>
      </c>
      <c r="N243" s="2">
        <v>10</v>
      </c>
      <c r="O243" s="2">
        <f t="shared" si="236"/>
        <v>257.97000000000003</v>
      </c>
      <c r="P243" s="2">
        <f t="shared" si="236"/>
        <v>13.16</v>
      </c>
      <c r="Q243" s="2">
        <f t="shared" si="236"/>
        <v>2952</v>
      </c>
      <c r="R243" s="2">
        <f t="shared" si="235"/>
        <v>150.55000000000001</v>
      </c>
      <c r="S243" s="2">
        <f t="shared" si="235"/>
        <v>73.709999999999994</v>
      </c>
      <c r="T243" s="2">
        <f t="shared" si="235"/>
        <v>5.53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17">
        <v>513012</v>
      </c>
      <c r="AA243" s="14" t="s">
        <v>630</v>
      </c>
      <c r="AB243" s="15" t="s">
        <v>469</v>
      </c>
      <c r="AC243" s="2">
        <v>5081301</v>
      </c>
      <c r="AD243" s="2">
        <v>0</v>
      </c>
      <c r="AE243" s="2">
        <v>1</v>
      </c>
      <c r="AF243" s="2">
        <f t="shared" si="241"/>
        <v>5061301</v>
      </c>
      <c r="AG243" s="2">
        <v>1</v>
      </c>
      <c r="AH243" s="2"/>
      <c r="AI243">
        <v>1</v>
      </c>
      <c r="AJ243" s="1">
        <f t="shared" si="242"/>
        <v>170.91423551526387</v>
      </c>
      <c r="AK243">
        <v>7</v>
      </c>
      <c r="AL243">
        <f t="shared" si="227"/>
        <v>234.52</v>
      </c>
      <c r="AM243">
        <f t="shared" si="228"/>
        <v>11.960519999999999</v>
      </c>
      <c r="AN243">
        <f t="shared" si="229"/>
        <v>2683.6363636363631</v>
      </c>
      <c r="AO243">
        <f t="shared" si="230"/>
        <v>136.8654545454545</v>
      </c>
      <c r="AP243">
        <f t="shared" si="231"/>
        <v>67.005714285714291</v>
      </c>
      <c r="AQ243">
        <f t="shared" si="232"/>
        <v>5.0254285714285718</v>
      </c>
      <c r="AR243">
        <f t="shared" si="233"/>
        <v>1.3</v>
      </c>
      <c r="AS243">
        <f t="shared" si="239"/>
        <v>2</v>
      </c>
      <c r="AT243">
        <f t="shared" si="240"/>
        <v>3</v>
      </c>
      <c r="AU243">
        <f t="shared" si="237"/>
        <v>3011</v>
      </c>
      <c r="AV243" s="1">
        <v>1</v>
      </c>
      <c r="AW243">
        <v>5</v>
      </c>
      <c r="AX243">
        <v>0.1</v>
      </c>
      <c r="AZ243">
        <v>3</v>
      </c>
      <c r="BA243">
        <v>1</v>
      </c>
      <c r="BZ243" t="str">
        <f>CA243&amp;","&amp;CB243</f>
        <v>1312002,2312001</v>
      </c>
      <c r="CA243">
        <v>1312002</v>
      </c>
      <c r="CB243">
        <v>2312001</v>
      </c>
      <c r="CD243" s="13"/>
      <c r="CE243" s="13"/>
      <c r="CG243" t="str">
        <f t="shared" si="234"/>
        <v>DATA_Class_Base13</v>
      </c>
      <c r="CH243" s="6" t="s">
        <v>295</v>
      </c>
    </row>
    <row r="244" spans="1:86" ht="14.25">
      <c r="A244">
        <f t="shared" si="225"/>
        <v>5071401</v>
      </c>
      <c r="B244" s="2" t="s">
        <v>484</v>
      </c>
      <c r="C244" s="48" t="s">
        <v>485</v>
      </c>
      <c r="D244">
        <v>7</v>
      </c>
      <c r="E244">
        <v>4</v>
      </c>
      <c r="F244">
        <v>1</v>
      </c>
      <c r="G244" s="3" t="s">
        <v>486</v>
      </c>
      <c r="H244" s="3" t="s">
        <v>486</v>
      </c>
      <c r="I244" s="2">
        <v>0</v>
      </c>
      <c r="J244" s="2" t="s">
        <v>161</v>
      </c>
      <c r="K244" s="2">
        <f t="shared" si="226"/>
        <v>6</v>
      </c>
      <c r="L244" s="2">
        <f t="shared" si="238"/>
        <v>1.6</v>
      </c>
      <c r="M244" s="2">
        <f t="shared" si="238"/>
        <v>2</v>
      </c>
      <c r="N244" s="2">
        <v>10</v>
      </c>
      <c r="O244" s="2">
        <f t="shared" si="236"/>
        <v>317.5</v>
      </c>
      <c r="P244" s="2">
        <f t="shared" si="236"/>
        <v>16.190000000000001</v>
      </c>
      <c r="Q244" s="2">
        <f t="shared" si="236"/>
        <v>2952</v>
      </c>
      <c r="R244" s="2">
        <f t="shared" si="235"/>
        <v>150.55000000000001</v>
      </c>
      <c r="S244" s="2">
        <f t="shared" si="235"/>
        <v>63.5</v>
      </c>
      <c r="T244" s="2">
        <f t="shared" si="235"/>
        <v>4.76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17">
        <v>514012</v>
      </c>
      <c r="AA244" s="14" t="s">
        <v>631</v>
      </c>
      <c r="AB244" s="15" t="s">
        <v>469</v>
      </c>
      <c r="AC244" s="2">
        <v>5081401</v>
      </c>
      <c r="AD244" s="2">
        <v>0</v>
      </c>
      <c r="AE244" s="2">
        <v>1</v>
      </c>
      <c r="AF244" s="2">
        <f t="shared" si="241"/>
        <v>5061401</v>
      </c>
      <c r="AG244" s="2">
        <v>1</v>
      </c>
      <c r="AH244" s="2"/>
      <c r="AI244">
        <v>1</v>
      </c>
      <c r="AJ244" s="1">
        <f t="shared" si="242"/>
        <v>170.56902686058064</v>
      </c>
      <c r="AK244">
        <v>7</v>
      </c>
      <c r="AL244">
        <f t="shared" si="227"/>
        <v>288.64000000000004</v>
      </c>
      <c r="AM244">
        <f t="shared" si="228"/>
        <v>14.720640000000001</v>
      </c>
      <c r="AN244">
        <f t="shared" si="229"/>
        <v>2683.6363636363631</v>
      </c>
      <c r="AO244">
        <f t="shared" si="230"/>
        <v>136.8654545454545</v>
      </c>
      <c r="AP244">
        <f t="shared" si="231"/>
        <v>57.728000000000009</v>
      </c>
      <c r="AQ244">
        <f t="shared" si="232"/>
        <v>4.3296000000000001</v>
      </c>
      <c r="AR244">
        <f t="shared" si="233"/>
        <v>1.6</v>
      </c>
      <c r="AS244">
        <f t="shared" si="239"/>
        <v>2</v>
      </c>
      <c r="AT244">
        <f t="shared" si="240"/>
        <v>6</v>
      </c>
      <c r="AU244">
        <f t="shared" si="237"/>
        <v>4011</v>
      </c>
      <c r="AV244" s="1">
        <v>1</v>
      </c>
      <c r="AW244">
        <v>5</v>
      </c>
      <c r="AX244">
        <v>0.1</v>
      </c>
      <c r="AZ244">
        <v>4</v>
      </c>
      <c r="BA244">
        <v>1</v>
      </c>
      <c r="BZ244" t="str">
        <f t="shared" ref="BZ244:BZ275" si="243">CA244&amp;","&amp;CB244</f>
        <v>1312012,2312011</v>
      </c>
      <c r="CA244">
        <v>1312012</v>
      </c>
      <c r="CB244">
        <v>2312011</v>
      </c>
      <c r="CD244" s="13"/>
      <c r="CE244" s="13"/>
      <c r="CG244" t="str">
        <f t="shared" si="234"/>
        <v>DATA_Class_Base14</v>
      </c>
      <c r="CH244" s="6" t="s">
        <v>300</v>
      </c>
    </row>
    <row r="245" spans="1:86" ht="14.25">
      <c r="A245" s="49">
        <f t="shared" si="225"/>
        <v>5071402</v>
      </c>
      <c r="B245" s="2" t="s">
        <v>488</v>
      </c>
      <c r="C245" s="48" t="s">
        <v>489</v>
      </c>
      <c r="D245">
        <v>7</v>
      </c>
      <c r="E245">
        <v>4</v>
      </c>
      <c r="F245">
        <v>1</v>
      </c>
      <c r="G245" s="3" t="s">
        <v>490</v>
      </c>
      <c r="H245" s="3" t="s">
        <v>490</v>
      </c>
      <c r="I245">
        <v>0</v>
      </c>
      <c r="J245" s="8" t="s">
        <v>161</v>
      </c>
      <c r="K245" s="2">
        <f t="shared" si="226"/>
        <v>6</v>
      </c>
      <c r="L245" s="2">
        <f t="shared" si="238"/>
        <v>1.5</v>
      </c>
      <c r="M245" s="2">
        <f t="shared" si="238"/>
        <v>1.5</v>
      </c>
      <c r="N245" s="2">
        <v>10</v>
      </c>
      <c r="O245" s="2">
        <f t="shared" si="236"/>
        <v>339.48</v>
      </c>
      <c r="P245" s="2">
        <f t="shared" si="236"/>
        <v>17.309999999999999</v>
      </c>
      <c r="Q245" s="2">
        <f t="shared" si="236"/>
        <v>2829</v>
      </c>
      <c r="R245" s="2">
        <f t="shared" si="235"/>
        <v>144.28</v>
      </c>
      <c r="S245" s="2">
        <f t="shared" si="235"/>
        <v>56.58</v>
      </c>
      <c r="T245" s="2">
        <f t="shared" si="235"/>
        <v>4.24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17">
        <v>514022</v>
      </c>
      <c r="AA245" s="14" t="s">
        <v>632</v>
      </c>
      <c r="AB245" s="15" t="s">
        <v>469</v>
      </c>
      <c r="AC245" s="2">
        <v>5081402</v>
      </c>
      <c r="AD245" s="2">
        <v>0</v>
      </c>
      <c r="AE245" s="2">
        <v>1</v>
      </c>
      <c r="AF245" s="2">
        <f t="shared" si="241"/>
        <v>5061402</v>
      </c>
      <c r="AG245" s="2">
        <v>1</v>
      </c>
      <c r="AH245" s="2"/>
      <c r="AI245">
        <v>1</v>
      </c>
      <c r="AJ245" s="1">
        <f t="shared" si="242"/>
        <v>170.25294158844258</v>
      </c>
      <c r="AK245">
        <v>7</v>
      </c>
      <c r="AL245">
        <f t="shared" si="227"/>
        <v>295.2</v>
      </c>
      <c r="AM245">
        <f t="shared" si="228"/>
        <v>15.055199999999999</v>
      </c>
      <c r="AN245">
        <f t="shared" si="229"/>
        <v>2460</v>
      </c>
      <c r="AO245">
        <f t="shared" si="230"/>
        <v>125.46</v>
      </c>
      <c r="AP245">
        <f t="shared" si="231"/>
        <v>49.199999999999996</v>
      </c>
      <c r="AQ245">
        <f t="shared" si="232"/>
        <v>3.6899999999999995</v>
      </c>
      <c r="AR245">
        <f t="shared" si="233"/>
        <v>1.5</v>
      </c>
      <c r="AS245">
        <f t="shared" si="239"/>
        <v>1.5</v>
      </c>
      <c r="AT245">
        <f t="shared" si="240"/>
        <v>6</v>
      </c>
      <c r="AU245">
        <f t="shared" si="237"/>
        <v>4021</v>
      </c>
      <c r="AV245" s="1">
        <v>2</v>
      </c>
      <c r="AW245">
        <v>5</v>
      </c>
      <c r="AX245">
        <v>0.15</v>
      </c>
      <c r="AZ245">
        <v>4</v>
      </c>
      <c r="BA245">
        <v>1</v>
      </c>
      <c r="BZ245" t="str">
        <f t="shared" si="243"/>
        <v>1312022,2312021</v>
      </c>
      <c r="CA245">
        <v>1312022</v>
      </c>
      <c r="CB245">
        <v>2312021</v>
      </c>
      <c r="CD245" s="13"/>
      <c r="CE245" s="13"/>
      <c r="CG245" t="str">
        <f t="shared" si="234"/>
        <v>DATA_Class_Base15</v>
      </c>
      <c r="CH245" s="6" t="s">
        <v>306</v>
      </c>
    </row>
    <row r="246" spans="1:86" ht="14.25">
      <c r="A246">
        <f t="shared" si="225"/>
        <v>5071500</v>
      </c>
      <c r="B246" s="2" t="s">
        <v>492</v>
      </c>
      <c r="C246" s="48" t="s">
        <v>493</v>
      </c>
      <c r="D246">
        <v>7</v>
      </c>
      <c r="E246">
        <v>5</v>
      </c>
      <c r="F246">
        <v>1</v>
      </c>
      <c r="G246" s="3" t="s">
        <v>494</v>
      </c>
      <c r="H246" s="3" t="s">
        <v>494</v>
      </c>
      <c r="I246">
        <v>0</v>
      </c>
      <c r="J246" s="2" t="s">
        <v>303</v>
      </c>
      <c r="K246" s="2">
        <f t="shared" si="226"/>
        <v>6</v>
      </c>
      <c r="L246" s="2">
        <f t="shared" si="238"/>
        <v>1.5</v>
      </c>
      <c r="M246" s="2">
        <f t="shared" si="238"/>
        <v>1.5</v>
      </c>
      <c r="N246" s="2">
        <v>10</v>
      </c>
      <c r="O246" s="2">
        <f t="shared" si="236"/>
        <v>413.28</v>
      </c>
      <c r="P246" s="2">
        <f t="shared" si="236"/>
        <v>21.08</v>
      </c>
      <c r="Q246" s="2">
        <f t="shared" si="236"/>
        <v>2530.29</v>
      </c>
      <c r="R246" s="2">
        <f t="shared" si="235"/>
        <v>129.04</v>
      </c>
      <c r="S246" s="2">
        <f t="shared" si="235"/>
        <v>59.04</v>
      </c>
      <c r="T246" s="2">
        <f t="shared" si="235"/>
        <v>4.43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17">
        <v>515002</v>
      </c>
      <c r="AA246" s="14" t="s">
        <v>633</v>
      </c>
      <c r="AB246" s="15" t="s">
        <v>469</v>
      </c>
      <c r="AC246" s="2">
        <v>5081500</v>
      </c>
      <c r="AD246" s="2">
        <v>0</v>
      </c>
      <c r="AE246" s="2">
        <v>1</v>
      </c>
      <c r="AF246" s="2">
        <f t="shared" si="241"/>
        <v>5061500</v>
      </c>
      <c r="AG246" s="2">
        <v>1</v>
      </c>
      <c r="AH246" s="2"/>
      <c r="AI246">
        <v>1</v>
      </c>
      <c r="AJ246" s="1">
        <f t="shared" si="242"/>
        <v>170.2529415884425</v>
      </c>
      <c r="AK246">
        <v>7</v>
      </c>
      <c r="AL246">
        <f t="shared" si="227"/>
        <v>344.39999999999992</v>
      </c>
      <c r="AM246">
        <f t="shared" si="228"/>
        <v>17.564399999999996</v>
      </c>
      <c r="AN246">
        <f t="shared" si="229"/>
        <v>2108.5714285714284</v>
      </c>
      <c r="AO246">
        <f t="shared" si="230"/>
        <v>107.53714285714284</v>
      </c>
      <c r="AP246">
        <f t="shared" si="231"/>
        <v>49.199999999999989</v>
      </c>
      <c r="AQ246">
        <f t="shared" si="232"/>
        <v>3.6899999999999991</v>
      </c>
      <c r="AR246">
        <f t="shared" si="233"/>
        <v>1.5</v>
      </c>
      <c r="AS246">
        <f t="shared" si="239"/>
        <v>1.5</v>
      </c>
      <c r="AT246">
        <f t="shared" si="240"/>
        <v>6</v>
      </c>
      <c r="AU246">
        <f t="shared" si="237"/>
        <v>5001</v>
      </c>
      <c r="AV246" s="1">
        <v>0</v>
      </c>
      <c r="AW246">
        <v>5</v>
      </c>
      <c r="AX246">
        <v>0.2</v>
      </c>
      <c r="AZ246">
        <v>5</v>
      </c>
      <c r="BA246">
        <v>1</v>
      </c>
      <c r="BZ246" t="str">
        <f t="shared" si="243"/>
        <v>1313012,2313011</v>
      </c>
      <c r="CA246">
        <v>1313012</v>
      </c>
      <c r="CB246">
        <v>2313011</v>
      </c>
      <c r="CD246" s="13"/>
      <c r="CE246" s="13"/>
      <c r="CG246" t="str">
        <f t="shared" si="234"/>
        <v>DATA_Class_Base16</v>
      </c>
      <c r="CH246" s="6" t="s">
        <v>312</v>
      </c>
    </row>
    <row r="247" spans="1:86" ht="14.25">
      <c r="A247">
        <f t="shared" si="225"/>
        <v>5071502</v>
      </c>
      <c r="B247" s="2" t="s">
        <v>496</v>
      </c>
      <c r="C247" s="48" t="s">
        <v>497</v>
      </c>
      <c r="D247">
        <v>7</v>
      </c>
      <c r="E247">
        <v>5</v>
      </c>
      <c r="F247">
        <v>1</v>
      </c>
      <c r="G247" s="3" t="s">
        <v>498</v>
      </c>
      <c r="H247" s="3" t="s">
        <v>498</v>
      </c>
      <c r="I247" s="2">
        <v>0</v>
      </c>
      <c r="J247" s="8" t="s">
        <v>352</v>
      </c>
      <c r="K247" s="2">
        <f t="shared" si="226"/>
        <v>6</v>
      </c>
      <c r="L247" s="2">
        <f t="shared" si="238"/>
        <v>1.4000000000000001</v>
      </c>
      <c r="M247" s="2">
        <f t="shared" si="238"/>
        <v>2</v>
      </c>
      <c r="N247" s="2">
        <v>10</v>
      </c>
      <c r="O247" s="2">
        <f t="shared" si="236"/>
        <v>343.25</v>
      </c>
      <c r="P247" s="2">
        <f t="shared" si="236"/>
        <v>17.510000000000002</v>
      </c>
      <c r="Q247" s="2">
        <f t="shared" si="236"/>
        <v>2611.38</v>
      </c>
      <c r="R247" s="2">
        <f t="shared" si="235"/>
        <v>133.18</v>
      </c>
      <c r="S247" s="2">
        <f t="shared" si="235"/>
        <v>52.81</v>
      </c>
      <c r="T247" s="2">
        <f t="shared" si="235"/>
        <v>3.96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17">
        <v>515022</v>
      </c>
      <c r="AA247" s="14" t="s">
        <v>634</v>
      </c>
      <c r="AB247" s="15" t="s">
        <v>469</v>
      </c>
      <c r="AC247" s="2">
        <v>5081502</v>
      </c>
      <c r="AD247" s="2">
        <v>0</v>
      </c>
      <c r="AE247" s="2">
        <v>1</v>
      </c>
      <c r="AF247" s="2">
        <f t="shared" si="241"/>
        <v>5061502</v>
      </c>
      <c r="AG247" s="2">
        <v>1</v>
      </c>
      <c r="AH247" s="2"/>
      <c r="AI247">
        <v>1</v>
      </c>
      <c r="AJ247" s="1">
        <f t="shared" si="242"/>
        <v>170.13168204279202</v>
      </c>
      <c r="AK247">
        <v>7</v>
      </c>
      <c r="AL247">
        <f t="shared" si="227"/>
        <v>298.4799999999999</v>
      </c>
      <c r="AM247">
        <f t="shared" si="228"/>
        <v>15.222479999999994</v>
      </c>
      <c r="AN247">
        <f t="shared" si="229"/>
        <v>2270.7692307692305</v>
      </c>
      <c r="AO247">
        <f t="shared" si="230"/>
        <v>115.80923076923075</v>
      </c>
      <c r="AP247">
        <f t="shared" si="231"/>
        <v>45.919999999999987</v>
      </c>
      <c r="AQ247">
        <f t="shared" si="232"/>
        <v>3.4439999999999991</v>
      </c>
      <c r="AR247">
        <f t="shared" si="233"/>
        <v>1.4</v>
      </c>
      <c r="AS247">
        <f t="shared" si="239"/>
        <v>2</v>
      </c>
      <c r="AT247">
        <f t="shared" si="240"/>
        <v>6</v>
      </c>
      <c r="AU247">
        <f t="shared" si="237"/>
        <v>5021</v>
      </c>
      <c r="AV247" s="1">
        <v>2</v>
      </c>
      <c r="AW247">
        <v>5</v>
      </c>
      <c r="AX247">
        <v>0.15</v>
      </c>
      <c r="AZ247">
        <v>5</v>
      </c>
      <c r="BA247">
        <v>1</v>
      </c>
      <c r="BZ247" t="str">
        <f t="shared" si="243"/>
        <v>1314012,2314011</v>
      </c>
      <c r="CA247">
        <v>1314012</v>
      </c>
      <c r="CB247">
        <v>2314011</v>
      </c>
      <c r="CD247" s="13"/>
      <c r="CE247" s="13"/>
      <c r="CG247" t="str">
        <f t="shared" si="234"/>
        <v>DATA_Class_Base17</v>
      </c>
      <c r="CH247" s="6" t="s">
        <v>318</v>
      </c>
    </row>
    <row r="248" spans="1:86" ht="14.25">
      <c r="A248">
        <f t="shared" si="225"/>
        <v>5071601</v>
      </c>
      <c r="B248" s="2" t="s">
        <v>500</v>
      </c>
      <c r="C248" s="48" t="s">
        <v>501</v>
      </c>
      <c r="D248">
        <v>7</v>
      </c>
      <c r="E248">
        <v>6</v>
      </c>
      <c r="F248">
        <v>1</v>
      </c>
      <c r="G248" s="3" t="s">
        <v>502</v>
      </c>
      <c r="H248" s="3" t="s">
        <v>502</v>
      </c>
      <c r="I248">
        <v>0</v>
      </c>
      <c r="J248" s="2" t="s">
        <v>309</v>
      </c>
      <c r="K248" s="2">
        <f t="shared" si="226"/>
        <v>6</v>
      </c>
      <c r="L248" s="2">
        <f t="shared" si="238"/>
        <v>1.5</v>
      </c>
      <c r="M248" s="2">
        <f t="shared" si="238"/>
        <v>2</v>
      </c>
      <c r="N248" s="2">
        <v>10</v>
      </c>
      <c r="O248" s="2">
        <f t="shared" si="236"/>
        <v>282.89999999999998</v>
      </c>
      <c r="P248" s="2">
        <f t="shared" si="236"/>
        <v>14.43</v>
      </c>
      <c r="Q248" s="2">
        <f t="shared" si="236"/>
        <v>3394.8</v>
      </c>
      <c r="R248" s="2">
        <f t="shared" si="235"/>
        <v>173.13</v>
      </c>
      <c r="S248" s="2">
        <f t="shared" si="235"/>
        <v>62.87</v>
      </c>
      <c r="T248" s="2">
        <f t="shared" si="235"/>
        <v>4.72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17">
        <v>516012</v>
      </c>
      <c r="AA248" s="14" t="s">
        <v>635</v>
      </c>
      <c r="AB248" s="15" t="s">
        <v>469</v>
      </c>
      <c r="AC248" s="2">
        <v>5081601</v>
      </c>
      <c r="AD248" s="2">
        <v>0</v>
      </c>
      <c r="AE248" s="2">
        <v>1</v>
      </c>
      <c r="AF248" s="2">
        <f t="shared" si="241"/>
        <v>5061601</v>
      </c>
      <c r="AG248" s="2">
        <v>1</v>
      </c>
      <c r="AH248" s="2"/>
      <c r="AI248">
        <v>1</v>
      </c>
      <c r="AJ248" s="1">
        <f t="shared" si="242"/>
        <v>170.45542540558699</v>
      </c>
      <c r="AK248">
        <v>7</v>
      </c>
      <c r="AL248">
        <f t="shared" si="227"/>
        <v>245.99999999999997</v>
      </c>
      <c r="AM248">
        <f t="shared" si="228"/>
        <v>12.545999999999998</v>
      </c>
      <c r="AN248">
        <f t="shared" si="229"/>
        <v>2951.9999999999995</v>
      </c>
      <c r="AO248">
        <f t="shared" si="230"/>
        <v>150.55199999999996</v>
      </c>
      <c r="AP248">
        <f t="shared" si="231"/>
        <v>54.666666666666657</v>
      </c>
      <c r="AQ248">
        <f t="shared" si="232"/>
        <v>4.0999999999999988</v>
      </c>
      <c r="AR248">
        <f t="shared" si="233"/>
        <v>1.5</v>
      </c>
      <c r="AS248">
        <f t="shared" si="239"/>
        <v>2</v>
      </c>
      <c r="AT248">
        <f t="shared" si="240"/>
        <v>6</v>
      </c>
      <c r="AU248">
        <f t="shared" si="237"/>
        <v>6011</v>
      </c>
      <c r="AV248" s="1">
        <v>1</v>
      </c>
      <c r="AW248">
        <v>5</v>
      </c>
      <c r="AX248">
        <v>0.15</v>
      </c>
      <c r="AZ248">
        <v>6</v>
      </c>
      <c r="BA248">
        <v>1</v>
      </c>
      <c r="BZ248" t="str">
        <f t="shared" si="243"/>
        <v>1314022,2314021</v>
      </c>
      <c r="CA248">
        <v>1314022</v>
      </c>
      <c r="CB248">
        <v>2314021</v>
      </c>
      <c r="CD248" s="13"/>
      <c r="CE248" s="13"/>
      <c r="CG248" t="str">
        <f t="shared" si="234"/>
        <v>DATA_Class_Base18</v>
      </c>
      <c r="CH248" s="6" t="s">
        <v>324</v>
      </c>
    </row>
    <row r="249" spans="1:86" ht="14.25">
      <c r="A249">
        <f t="shared" si="225"/>
        <v>5072200</v>
      </c>
      <c r="B249" s="2" t="s">
        <v>504</v>
      </c>
      <c r="C249" s="48" t="s">
        <v>505</v>
      </c>
      <c r="D249">
        <v>7</v>
      </c>
      <c r="E249">
        <v>2</v>
      </c>
      <c r="F249">
        <v>2</v>
      </c>
      <c r="G249" s="3" t="s">
        <v>506</v>
      </c>
      <c r="H249" s="3" t="s">
        <v>506</v>
      </c>
      <c r="I249">
        <v>0</v>
      </c>
      <c r="J249" s="8" t="s">
        <v>507</v>
      </c>
      <c r="K249" s="2">
        <f t="shared" si="226"/>
        <v>3</v>
      </c>
      <c r="L249" s="2">
        <f t="shared" si="238"/>
        <v>1.5</v>
      </c>
      <c r="M249" s="2">
        <f t="shared" si="238"/>
        <v>1.2</v>
      </c>
      <c r="N249" s="2">
        <v>10</v>
      </c>
      <c r="O249" s="2">
        <f t="shared" si="236"/>
        <v>282.89999999999998</v>
      </c>
      <c r="P249" s="2">
        <f t="shared" si="236"/>
        <v>14.43</v>
      </c>
      <c r="Q249" s="2">
        <f t="shared" si="236"/>
        <v>3394.8</v>
      </c>
      <c r="R249" s="2">
        <f t="shared" si="236"/>
        <v>173.13</v>
      </c>
      <c r="S249" s="2">
        <f t="shared" si="236"/>
        <v>94.3</v>
      </c>
      <c r="T249" s="2">
        <f t="shared" si="236"/>
        <v>7.07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17">
        <v>522002</v>
      </c>
      <c r="AA249" s="14" t="s">
        <v>636</v>
      </c>
      <c r="AB249" s="15" t="s">
        <v>469</v>
      </c>
      <c r="AC249" s="2">
        <v>5082200</v>
      </c>
      <c r="AD249" s="2">
        <v>0</v>
      </c>
      <c r="AE249" s="2">
        <v>1</v>
      </c>
      <c r="AF249" s="2">
        <f t="shared" si="241"/>
        <v>5062200</v>
      </c>
      <c r="AG249" s="2">
        <v>1</v>
      </c>
      <c r="AH249" s="2"/>
      <c r="AI249">
        <v>1</v>
      </c>
      <c r="AJ249" s="1">
        <f t="shared" si="242"/>
        <v>171.47511220041329</v>
      </c>
      <c r="AK249">
        <v>7</v>
      </c>
      <c r="AL249">
        <f t="shared" si="227"/>
        <v>245.99999999999997</v>
      </c>
      <c r="AM249">
        <f t="shared" si="228"/>
        <v>12.545999999999998</v>
      </c>
      <c r="AN249">
        <f t="shared" si="229"/>
        <v>2951.9999999999995</v>
      </c>
      <c r="AO249">
        <f t="shared" si="230"/>
        <v>150.55199999999996</v>
      </c>
      <c r="AP249">
        <f t="shared" si="231"/>
        <v>81.999999999999986</v>
      </c>
      <c r="AQ249">
        <f t="shared" si="232"/>
        <v>6.1499999999999986</v>
      </c>
      <c r="AR249">
        <f t="shared" si="233"/>
        <v>1.5</v>
      </c>
      <c r="AS249">
        <f t="shared" si="239"/>
        <v>1.2</v>
      </c>
      <c r="AT249">
        <f t="shared" si="240"/>
        <v>3</v>
      </c>
      <c r="AU249">
        <f t="shared" si="237"/>
        <v>2002</v>
      </c>
      <c r="AV249" s="1">
        <v>0</v>
      </c>
      <c r="AW249">
        <v>5</v>
      </c>
      <c r="AX249">
        <v>0.15</v>
      </c>
      <c r="AZ249">
        <v>2</v>
      </c>
      <c r="BA249">
        <v>2</v>
      </c>
      <c r="BZ249" t="str">
        <f t="shared" si="243"/>
        <v>1315002,2315001</v>
      </c>
      <c r="CA249">
        <v>1315002</v>
      </c>
      <c r="CB249">
        <v>2315001</v>
      </c>
      <c r="CD249" s="13"/>
      <c r="CE249" s="13"/>
      <c r="CG249" t="str">
        <f t="shared" si="234"/>
        <v>DATA_Class_Base19</v>
      </c>
      <c r="CH249" s="6" t="s">
        <v>331</v>
      </c>
    </row>
    <row r="250" spans="1:86" ht="14.25">
      <c r="A250" s="49">
        <f t="shared" si="225"/>
        <v>5072201</v>
      </c>
      <c r="B250" s="2" t="s">
        <v>509</v>
      </c>
      <c r="C250" s="48" t="s">
        <v>510</v>
      </c>
      <c r="D250">
        <v>7</v>
      </c>
      <c r="E250">
        <v>2</v>
      </c>
      <c r="F250">
        <v>2</v>
      </c>
      <c r="G250" s="3" t="s">
        <v>511</v>
      </c>
      <c r="H250" s="3" t="s">
        <v>511</v>
      </c>
      <c r="I250">
        <v>0</v>
      </c>
      <c r="J250" s="8" t="s">
        <v>512</v>
      </c>
      <c r="K250" s="2">
        <f t="shared" si="226"/>
        <v>3</v>
      </c>
      <c r="L250" s="2">
        <f t="shared" si="238"/>
        <v>1.5</v>
      </c>
      <c r="M250" s="2">
        <f t="shared" si="238"/>
        <v>1.8</v>
      </c>
      <c r="N250" s="2">
        <v>10</v>
      </c>
      <c r="O250" s="2">
        <f t="shared" ref="O250:T292" si="244">ROUND(AL250*(1+$AX250),2)</f>
        <v>226.32</v>
      </c>
      <c r="P250" s="2">
        <f t="shared" si="244"/>
        <v>11.54</v>
      </c>
      <c r="Q250" s="2">
        <f t="shared" si="244"/>
        <v>4243.5</v>
      </c>
      <c r="R250" s="2">
        <f t="shared" si="244"/>
        <v>216.42</v>
      </c>
      <c r="S250" s="2">
        <f t="shared" si="244"/>
        <v>98.4</v>
      </c>
      <c r="T250" s="2">
        <f t="shared" si="244"/>
        <v>7.38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17">
        <v>522012</v>
      </c>
      <c r="AA250" s="14" t="s">
        <v>637</v>
      </c>
      <c r="AB250" s="15" t="s">
        <v>469</v>
      </c>
      <c r="AC250" s="2">
        <v>5082201</v>
      </c>
      <c r="AD250" s="2">
        <v>0</v>
      </c>
      <c r="AE250" s="2">
        <v>1</v>
      </c>
      <c r="AF250" s="2">
        <f t="shared" si="241"/>
        <v>5062201</v>
      </c>
      <c r="AG250" s="2">
        <v>1</v>
      </c>
      <c r="AH250" s="2"/>
      <c r="AI250">
        <v>1</v>
      </c>
      <c r="AJ250" s="1">
        <f t="shared" si="242"/>
        <v>171.60901494641243</v>
      </c>
      <c r="AK250">
        <v>7</v>
      </c>
      <c r="AL250">
        <f t="shared" si="227"/>
        <v>196.8</v>
      </c>
      <c r="AM250">
        <f t="shared" si="228"/>
        <v>10.036799999999999</v>
      </c>
      <c r="AN250">
        <f t="shared" si="229"/>
        <v>3689.9999999999995</v>
      </c>
      <c r="AO250">
        <f t="shared" si="230"/>
        <v>188.18999999999997</v>
      </c>
      <c r="AP250">
        <f t="shared" si="231"/>
        <v>85.565217391304358</v>
      </c>
      <c r="AQ250">
        <f t="shared" si="232"/>
        <v>6.4173913043478263</v>
      </c>
      <c r="AR250">
        <f t="shared" si="233"/>
        <v>1.5</v>
      </c>
      <c r="AS250">
        <f t="shared" si="239"/>
        <v>1.8</v>
      </c>
      <c r="AT250">
        <f t="shared" si="240"/>
        <v>3</v>
      </c>
      <c r="AU250">
        <f t="shared" si="237"/>
        <v>2012</v>
      </c>
      <c r="AV250" s="1">
        <v>1</v>
      </c>
      <c r="AW250">
        <v>5</v>
      </c>
      <c r="AX250">
        <v>0.15</v>
      </c>
      <c r="AZ250">
        <v>2</v>
      </c>
      <c r="BA250">
        <v>2</v>
      </c>
      <c r="BZ250" t="str">
        <f t="shared" si="243"/>
        <v>1315022,2315021</v>
      </c>
      <c r="CA250">
        <v>1315022</v>
      </c>
      <c r="CB250">
        <v>2315021</v>
      </c>
      <c r="CD250" s="13"/>
      <c r="CE250" s="13"/>
      <c r="CG250" t="str">
        <f t="shared" si="234"/>
        <v>DATA_Class_Base20</v>
      </c>
      <c r="CH250" s="6" t="s">
        <v>336</v>
      </c>
    </row>
    <row r="251" spans="1:86" ht="14.25">
      <c r="A251">
        <f t="shared" si="225"/>
        <v>5072202</v>
      </c>
      <c r="B251" s="2" t="s">
        <v>514</v>
      </c>
      <c r="C251" s="48" t="s">
        <v>515</v>
      </c>
      <c r="D251">
        <v>7</v>
      </c>
      <c r="E251">
        <v>2</v>
      </c>
      <c r="F251">
        <v>2</v>
      </c>
      <c r="G251" s="3" t="s">
        <v>516</v>
      </c>
      <c r="H251" s="3" t="s">
        <v>516</v>
      </c>
      <c r="I251" s="2">
        <v>0</v>
      </c>
      <c r="J251" s="2" t="s">
        <v>280</v>
      </c>
      <c r="K251" s="2">
        <f t="shared" si="226"/>
        <v>3</v>
      </c>
      <c r="L251" s="2">
        <f t="shared" si="238"/>
        <v>1.6</v>
      </c>
      <c r="M251" s="2">
        <f t="shared" si="238"/>
        <v>2</v>
      </c>
      <c r="N251" s="2">
        <v>10</v>
      </c>
      <c r="O251" s="2">
        <f t="shared" si="244"/>
        <v>331.94</v>
      </c>
      <c r="P251" s="2">
        <f t="shared" si="244"/>
        <v>16.93</v>
      </c>
      <c r="Q251" s="2">
        <f t="shared" si="244"/>
        <v>2823.65</v>
      </c>
      <c r="R251" s="2">
        <f t="shared" si="244"/>
        <v>144.01</v>
      </c>
      <c r="S251" s="2">
        <f t="shared" si="244"/>
        <v>82.98</v>
      </c>
      <c r="T251" s="2">
        <f t="shared" si="244"/>
        <v>6.22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17">
        <v>522022</v>
      </c>
      <c r="AA251" s="14" t="s">
        <v>638</v>
      </c>
      <c r="AB251" s="15" t="s">
        <v>469</v>
      </c>
      <c r="AC251" s="2">
        <v>5082202</v>
      </c>
      <c r="AD251" s="2">
        <v>0</v>
      </c>
      <c r="AE251" s="2">
        <v>1</v>
      </c>
      <c r="AF251" s="2">
        <f t="shared" si="241"/>
        <v>5062202</v>
      </c>
      <c r="AG251" s="2">
        <v>1</v>
      </c>
      <c r="AH251" s="2"/>
      <c r="AI251">
        <v>1</v>
      </c>
      <c r="AJ251" s="1">
        <f t="shared" si="242"/>
        <v>171.22927634289107</v>
      </c>
      <c r="AK251">
        <v>7</v>
      </c>
      <c r="AL251">
        <f t="shared" si="227"/>
        <v>301.75999999999993</v>
      </c>
      <c r="AM251">
        <f t="shared" si="228"/>
        <v>15.389759999999995</v>
      </c>
      <c r="AN251">
        <f t="shared" si="229"/>
        <v>2566.9565217391305</v>
      </c>
      <c r="AO251">
        <f t="shared" si="230"/>
        <v>130.91478260869565</v>
      </c>
      <c r="AP251">
        <f t="shared" si="231"/>
        <v>75.439999999999984</v>
      </c>
      <c r="AQ251">
        <f t="shared" si="232"/>
        <v>5.6579999999999986</v>
      </c>
      <c r="AR251">
        <f t="shared" si="233"/>
        <v>1.6</v>
      </c>
      <c r="AS251">
        <f t="shared" si="239"/>
        <v>2</v>
      </c>
      <c r="AT251">
        <f t="shared" si="240"/>
        <v>3</v>
      </c>
      <c r="AU251">
        <f t="shared" si="237"/>
        <v>2022</v>
      </c>
      <c r="AV251" s="1">
        <v>2</v>
      </c>
      <c r="AW251">
        <v>5</v>
      </c>
      <c r="AX251">
        <v>0.1</v>
      </c>
      <c r="AZ251">
        <v>2</v>
      </c>
      <c r="BA251">
        <v>2</v>
      </c>
      <c r="BZ251" t="str">
        <f t="shared" si="243"/>
        <v>1316012,2316011</v>
      </c>
      <c r="CA251">
        <v>1316012</v>
      </c>
      <c r="CB251">
        <v>2316011</v>
      </c>
      <c r="CD251" s="13"/>
      <c r="CE251" s="13"/>
      <c r="CG251" t="str">
        <f t="shared" si="234"/>
        <v>DATA_Class_Base21</v>
      </c>
      <c r="CH251" s="6" t="s">
        <v>342</v>
      </c>
    </row>
    <row r="252" spans="1:86" ht="14.25">
      <c r="A252">
        <f t="shared" si="225"/>
        <v>5072301</v>
      </c>
      <c r="B252" s="2" t="s">
        <v>518</v>
      </c>
      <c r="C252" s="48" t="s">
        <v>519</v>
      </c>
      <c r="D252">
        <v>7</v>
      </c>
      <c r="E252">
        <v>3</v>
      </c>
      <c r="F252">
        <v>2</v>
      </c>
      <c r="G252" s="3" t="s">
        <v>520</v>
      </c>
      <c r="H252" s="3" t="s">
        <v>520</v>
      </c>
      <c r="I252">
        <v>0</v>
      </c>
      <c r="J252" s="2" t="s">
        <v>285</v>
      </c>
      <c r="K252" s="2">
        <f t="shared" si="226"/>
        <v>3</v>
      </c>
      <c r="L252" s="2">
        <f t="shared" si="238"/>
        <v>1.2</v>
      </c>
      <c r="M252" s="2">
        <f t="shared" si="238"/>
        <v>1.7</v>
      </c>
      <c r="N252" s="2">
        <v>10</v>
      </c>
      <c r="O252" s="2">
        <f t="shared" si="244"/>
        <v>281.42</v>
      </c>
      <c r="P252" s="2">
        <f t="shared" si="244"/>
        <v>14.35</v>
      </c>
      <c r="Q252" s="2">
        <f t="shared" si="244"/>
        <v>2497.85</v>
      </c>
      <c r="R252" s="2">
        <f t="shared" si="244"/>
        <v>127.39</v>
      </c>
      <c r="S252" s="2">
        <f t="shared" si="244"/>
        <v>70.36</v>
      </c>
      <c r="T252" s="2">
        <f t="shared" si="244"/>
        <v>5.28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17">
        <v>523012</v>
      </c>
      <c r="AA252" s="14" t="s">
        <v>639</v>
      </c>
      <c r="AB252" s="15" t="s">
        <v>469</v>
      </c>
      <c r="AC252" s="2">
        <v>5082301</v>
      </c>
      <c r="AD252" s="2">
        <v>0</v>
      </c>
      <c r="AE252" s="2">
        <v>1</v>
      </c>
      <c r="AF252" s="2">
        <f t="shared" si="241"/>
        <v>5062301</v>
      </c>
      <c r="AG252" s="2">
        <v>1</v>
      </c>
      <c r="AH252" s="2"/>
      <c r="AI252">
        <v>1</v>
      </c>
      <c r="AJ252" s="1">
        <f t="shared" si="242"/>
        <v>170.80075548124478</v>
      </c>
      <c r="AK252">
        <v>7</v>
      </c>
      <c r="AL252">
        <f t="shared" si="227"/>
        <v>255.84</v>
      </c>
      <c r="AM252">
        <f t="shared" si="228"/>
        <v>13.047839999999999</v>
      </c>
      <c r="AN252">
        <f t="shared" si="229"/>
        <v>2270.7692307692305</v>
      </c>
      <c r="AO252">
        <f t="shared" si="230"/>
        <v>115.80923076923075</v>
      </c>
      <c r="AP252">
        <f t="shared" si="231"/>
        <v>63.96</v>
      </c>
      <c r="AQ252">
        <f t="shared" si="232"/>
        <v>4.7969999999999997</v>
      </c>
      <c r="AR252">
        <f t="shared" si="233"/>
        <v>1.2</v>
      </c>
      <c r="AS252">
        <f t="shared" si="239"/>
        <v>1.7</v>
      </c>
      <c r="AT252">
        <f t="shared" si="240"/>
        <v>3</v>
      </c>
      <c r="AU252">
        <f t="shared" si="237"/>
        <v>3012</v>
      </c>
      <c r="AV252" s="1">
        <v>1</v>
      </c>
      <c r="AW252">
        <v>5</v>
      </c>
      <c r="AX252">
        <v>0.1</v>
      </c>
      <c r="AZ252">
        <v>3</v>
      </c>
      <c r="BA252">
        <v>2</v>
      </c>
      <c r="BZ252" t="str">
        <f t="shared" si="243"/>
        <v>1322002,2322001</v>
      </c>
      <c r="CA252">
        <v>1322002</v>
      </c>
      <c r="CB252">
        <v>2322001</v>
      </c>
      <c r="CD252" s="13"/>
      <c r="CE252" s="13"/>
      <c r="CG252" t="str">
        <f t="shared" si="234"/>
        <v>DATA_Class_Base13</v>
      </c>
      <c r="CH252" s="6" t="s">
        <v>295</v>
      </c>
    </row>
    <row r="253" spans="1:86" ht="14.25">
      <c r="A253">
        <f t="shared" si="225"/>
        <v>5072401</v>
      </c>
      <c r="B253" s="2" t="s">
        <v>522</v>
      </c>
      <c r="C253" s="48" t="s">
        <v>523</v>
      </c>
      <c r="D253">
        <v>7</v>
      </c>
      <c r="E253">
        <v>4</v>
      </c>
      <c r="F253">
        <v>2</v>
      </c>
      <c r="G253" s="3" t="s">
        <v>524</v>
      </c>
      <c r="H253" s="3" t="s">
        <v>524</v>
      </c>
      <c r="I253" s="2">
        <v>0</v>
      </c>
      <c r="J253" s="8" t="s">
        <v>250</v>
      </c>
      <c r="K253" s="2">
        <f t="shared" si="226"/>
        <v>6</v>
      </c>
      <c r="L253" s="2">
        <f t="shared" si="238"/>
        <v>1.6</v>
      </c>
      <c r="M253" s="2">
        <f t="shared" si="238"/>
        <v>1.5</v>
      </c>
      <c r="N253" s="2">
        <v>10</v>
      </c>
      <c r="O253" s="2">
        <f t="shared" si="244"/>
        <v>375.23</v>
      </c>
      <c r="P253" s="2">
        <f t="shared" si="244"/>
        <v>19.14</v>
      </c>
      <c r="Q253" s="2">
        <f t="shared" si="244"/>
        <v>2497.85</v>
      </c>
      <c r="R253" s="2">
        <f t="shared" si="244"/>
        <v>127.39</v>
      </c>
      <c r="S253" s="2">
        <f t="shared" si="244"/>
        <v>53.6</v>
      </c>
      <c r="T253" s="2">
        <f t="shared" si="244"/>
        <v>4.0199999999999996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17">
        <v>524012</v>
      </c>
      <c r="AA253" s="14" t="s">
        <v>640</v>
      </c>
      <c r="AB253" s="15" t="s">
        <v>469</v>
      </c>
      <c r="AC253" s="2">
        <v>5082401</v>
      </c>
      <c r="AD253" s="2">
        <v>0</v>
      </c>
      <c r="AE253" s="2">
        <v>1</v>
      </c>
      <c r="AF253" s="2">
        <f t="shared" si="241"/>
        <v>5062401</v>
      </c>
      <c r="AG253" s="2">
        <v>1</v>
      </c>
      <c r="AH253" s="2"/>
      <c r="AI253">
        <v>1</v>
      </c>
      <c r="AJ253" s="1">
        <f t="shared" si="242"/>
        <v>170.23560821445349</v>
      </c>
      <c r="AK253">
        <v>7</v>
      </c>
      <c r="AL253">
        <f t="shared" si="227"/>
        <v>341.12</v>
      </c>
      <c r="AM253">
        <f t="shared" si="228"/>
        <v>17.397119999999997</v>
      </c>
      <c r="AN253">
        <f t="shared" si="229"/>
        <v>2270.7692307692305</v>
      </c>
      <c r="AO253">
        <f t="shared" si="230"/>
        <v>115.80923076923075</v>
      </c>
      <c r="AP253">
        <f t="shared" si="231"/>
        <v>48.731428571428573</v>
      </c>
      <c r="AQ253">
        <f t="shared" si="232"/>
        <v>3.6548571428571428</v>
      </c>
      <c r="AR253">
        <f t="shared" si="233"/>
        <v>1.6</v>
      </c>
      <c r="AS253">
        <f t="shared" si="239"/>
        <v>1.5</v>
      </c>
      <c r="AT253">
        <f t="shared" si="240"/>
        <v>6</v>
      </c>
      <c r="AU253">
        <f t="shared" si="237"/>
        <v>4012</v>
      </c>
      <c r="AV253" s="1">
        <v>1</v>
      </c>
      <c r="AW253">
        <v>5</v>
      </c>
      <c r="AX253">
        <v>0.1</v>
      </c>
      <c r="AZ253">
        <v>4</v>
      </c>
      <c r="BA253">
        <v>2</v>
      </c>
      <c r="BZ253" t="str">
        <f t="shared" si="243"/>
        <v>1322012,2322011</v>
      </c>
      <c r="CA253">
        <v>1322012</v>
      </c>
      <c r="CB253">
        <v>2322011</v>
      </c>
      <c r="CD253" s="13"/>
      <c r="CE253" s="13"/>
      <c r="CG253" t="str">
        <f t="shared" si="234"/>
        <v>DATA_Class_Base14</v>
      </c>
      <c r="CH253" s="6" t="s">
        <v>300</v>
      </c>
    </row>
    <row r="254" spans="1:86" ht="14.25">
      <c r="A254">
        <f t="shared" si="225"/>
        <v>5072402</v>
      </c>
      <c r="B254" s="2" t="s">
        <v>526</v>
      </c>
      <c r="C254" s="48" t="s">
        <v>527</v>
      </c>
      <c r="D254">
        <v>7</v>
      </c>
      <c r="E254">
        <v>4</v>
      </c>
      <c r="F254">
        <v>2</v>
      </c>
      <c r="G254" s="3" t="s">
        <v>528</v>
      </c>
      <c r="H254" s="3" t="s">
        <v>528</v>
      </c>
      <c r="I254">
        <v>0</v>
      </c>
      <c r="J254" s="2" t="s">
        <v>250</v>
      </c>
      <c r="K254" s="2">
        <f t="shared" si="226"/>
        <v>6</v>
      </c>
      <c r="L254" s="2">
        <f t="shared" si="238"/>
        <v>1.5</v>
      </c>
      <c r="M254" s="2">
        <f t="shared" si="238"/>
        <v>1.5</v>
      </c>
      <c r="N254" s="2">
        <v>10</v>
      </c>
      <c r="O254" s="2">
        <f t="shared" si="244"/>
        <v>396.06</v>
      </c>
      <c r="P254" s="2">
        <f t="shared" si="244"/>
        <v>20.2</v>
      </c>
      <c r="Q254" s="2">
        <f t="shared" si="244"/>
        <v>2424.86</v>
      </c>
      <c r="R254" s="2">
        <f t="shared" si="244"/>
        <v>123.67</v>
      </c>
      <c r="S254" s="2">
        <f t="shared" si="244"/>
        <v>56.58</v>
      </c>
      <c r="T254" s="2">
        <f t="shared" si="244"/>
        <v>4.24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17">
        <v>524022</v>
      </c>
      <c r="AA254" s="14" t="s">
        <v>641</v>
      </c>
      <c r="AB254" s="15" t="s">
        <v>469</v>
      </c>
      <c r="AC254" s="2">
        <v>5082402</v>
      </c>
      <c r="AD254" s="2">
        <v>0</v>
      </c>
      <c r="AE254" s="2">
        <v>1</v>
      </c>
      <c r="AF254" s="2">
        <f t="shared" si="241"/>
        <v>5062402</v>
      </c>
      <c r="AG254" s="2">
        <v>1</v>
      </c>
      <c r="AH254" s="2"/>
      <c r="AI254">
        <v>1</v>
      </c>
      <c r="AJ254" s="1">
        <f t="shared" si="242"/>
        <v>170.2529415884425</v>
      </c>
      <c r="AK254">
        <v>7</v>
      </c>
      <c r="AL254">
        <f t="shared" si="227"/>
        <v>344.39999999999992</v>
      </c>
      <c r="AM254">
        <f t="shared" si="228"/>
        <v>17.564399999999996</v>
      </c>
      <c r="AN254">
        <f t="shared" si="229"/>
        <v>2108.5714285714284</v>
      </c>
      <c r="AO254">
        <f t="shared" si="230"/>
        <v>107.53714285714284</v>
      </c>
      <c r="AP254">
        <f t="shared" si="231"/>
        <v>49.199999999999989</v>
      </c>
      <c r="AQ254">
        <f t="shared" si="232"/>
        <v>3.6899999999999991</v>
      </c>
      <c r="AR254">
        <f t="shared" si="233"/>
        <v>1.5</v>
      </c>
      <c r="AS254">
        <f t="shared" si="239"/>
        <v>1.5</v>
      </c>
      <c r="AT254">
        <f t="shared" si="240"/>
        <v>6</v>
      </c>
      <c r="AU254">
        <f t="shared" si="237"/>
        <v>4022</v>
      </c>
      <c r="AV254" s="1">
        <v>2</v>
      </c>
      <c r="AW254">
        <v>5</v>
      </c>
      <c r="AX254">
        <v>0.15</v>
      </c>
      <c r="AZ254">
        <v>4</v>
      </c>
      <c r="BA254">
        <v>2</v>
      </c>
      <c r="BZ254" t="str">
        <f t="shared" si="243"/>
        <v>1322022,2322021</v>
      </c>
      <c r="CA254">
        <v>1322022</v>
      </c>
      <c r="CB254">
        <v>2322021</v>
      </c>
      <c r="CD254" s="13"/>
      <c r="CE254" s="13"/>
      <c r="CG254" t="str">
        <f t="shared" si="234"/>
        <v>DATA_Class_Base15</v>
      </c>
      <c r="CH254" s="6" t="s">
        <v>306</v>
      </c>
    </row>
    <row r="255" spans="1:86" ht="14.25">
      <c r="A255">
        <f t="shared" si="225"/>
        <v>5072500</v>
      </c>
      <c r="B255" s="2" t="s">
        <v>530</v>
      </c>
      <c r="C255" s="48" t="s">
        <v>531</v>
      </c>
      <c r="D255">
        <v>7</v>
      </c>
      <c r="E255">
        <v>5</v>
      </c>
      <c r="F255">
        <v>2</v>
      </c>
      <c r="G255" s="3" t="s">
        <v>532</v>
      </c>
      <c r="H255" s="3" t="s">
        <v>532</v>
      </c>
      <c r="I255" s="2">
        <v>0</v>
      </c>
      <c r="J255" s="2" t="s">
        <v>533</v>
      </c>
      <c r="K255" s="2">
        <f t="shared" si="226"/>
        <v>6</v>
      </c>
      <c r="L255" s="2">
        <f t="shared" si="238"/>
        <v>1.4000000000000001</v>
      </c>
      <c r="M255" s="2">
        <f t="shared" si="238"/>
        <v>2</v>
      </c>
      <c r="N255" s="2">
        <v>10</v>
      </c>
      <c r="O255" s="2">
        <f t="shared" si="244"/>
        <v>378.84</v>
      </c>
      <c r="P255" s="2">
        <f t="shared" si="244"/>
        <v>19.32</v>
      </c>
      <c r="Q255" s="2">
        <f t="shared" si="244"/>
        <v>2164.8000000000002</v>
      </c>
      <c r="R255" s="2">
        <f t="shared" si="244"/>
        <v>110.4</v>
      </c>
      <c r="S255" s="2">
        <f t="shared" si="244"/>
        <v>50.51</v>
      </c>
      <c r="T255" s="2">
        <f t="shared" si="244"/>
        <v>3.79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17">
        <v>525002</v>
      </c>
      <c r="AA255" s="14" t="s">
        <v>642</v>
      </c>
      <c r="AB255" s="15" t="s">
        <v>469</v>
      </c>
      <c r="AC255" s="2">
        <v>5082500</v>
      </c>
      <c r="AD255" s="2">
        <v>0</v>
      </c>
      <c r="AE255" s="2">
        <v>1</v>
      </c>
      <c r="AF255" s="2">
        <f t="shared" si="241"/>
        <v>5062500</v>
      </c>
      <c r="AG255" s="2">
        <v>1</v>
      </c>
      <c r="AH255" s="2"/>
      <c r="AI255">
        <v>1</v>
      </c>
      <c r="AJ255" s="1">
        <f t="shared" si="242"/>
        <v>170.13168204279202</v>
      </c>
      <c r="AK255">
        <v>7</v>
      </c>
      <c r="AL255">
        <f t="shared" si="227"/>
        <v>344.39999999999992</v>
      </c>
      <c r="AM255">
        <f t="shared" si="228"/>
        <v>17.564399999999996</v>
      </c>
      <c r="AN255">
        <f t="shared" si="229"/>
        <v>1967.9999999999998</v>
      </c>
      <c r="AO255">
        <f t="shared" si="230"/>
        <v>100.36799999999998</v>
      </c>
      <c r="AP255">
        <f t="shared" si="231"/>
        <v>45.919999999999987</v>
      </c>
      <c r="AQ255">
        <f t="shared" si="232"/>
        <v>3.4439999999999991</v>
      </c>
      <c r="AR255">
        <f t="shared" si="233"/>
        <v>1.4</v>
      </c>
      <c r="AS255">
        <f t="shared" si="239"/>
        <v>2</v>
      </c>
      <c r="AT255">
        <f t="shared" si="240"/>
        <v>6</v>
      </c>
      <c r="AU255">
        <f t="shared" si="237"/>
        <v>5002</v>
      </c>
      <c r="AV255" s="1">
        <v>0</v>
      </c>
      <c r="AW255">
        <v>5</v>
      </c>
      <c r="AX255">
        <v>0.1</v>
      </c>
      <c r="AZ255">
        <v>5</v>
      </c>
      <c r="BA255">
        <v>2</v>
      </c>
      <c r="BZ255" t="str">
        <f t="shared" si="243"/>
        <v>1323012,2323011</v>
      </c>
      <c r="CA255">
        <v>1323012</v>
      </c>
      <c r="CB255">
        <v>2323011</v>
      </c>
      <c r="CD255" s="13"/>
      <c r="CE255" s="13"/>
      <c r="CG255" t="str">
        <f t="shared" si="234"/>
        <v>DATA_Class_Base16</v>
      </c>
      <c r="CH255" s="6" t="s">
        <v>312</v>
      </c>
    </row>
    <row r="256" spans="1:86" ht="14.25">
      <c r="A256" s="49">
        <f t="shared" ref="A256:A327" si="245">AW256*1000000+D256*10000+F256*1000+E256*100+AV256</f>
        <v>5072502</v>
      </c>
      <c r="B256" s="2" t="s">
        <v>535</v>
      </c>
      <c r="C256" s="48" t="s">
        <v>536</v>
      </c>
      <c r="D256">
        <v>7</v>
      </c>
      <c r="E256">
        <v>5</v>
      </c>
      <c r="F256">
        <v>2</v>
      </c>
      <c r="G256" s="3" t="s">
        <v>537</v>
      </c>
      <c r="H256" s="3" t="s">
        <v>537</v>
      </c>
      <c r="I256" s="2">
        <v>0</v>
      </c>
      <c r="J256" s="2" t="s">
        <v>291</v>
      </c>
      <c r="K256" s="2">
        <f t="shared" ref="K256:K327" si="246">AT256</f>
        <v>6</v>
      </c>
      <c r="L256" s="2">
        <f t="shared" si="238"/>
        <v>1.4000000000000001</v>
      </c>
      <c r="M256" s="2">
        <f t="shared" si="238"/>
        <v>2</v>
      </c>
      <c r="N256" s="2">
        <v>10</v>
      </c>
      <c r="O256" s="2">
        <f t="shared" si="244"/>
        <v>427.06</v>
      </c>
      <c r="P256" s="2">
        <f t="shared" si="244"/>
        <v>21.78</v>
      </c>
      <c r="Q256" s="2">
        <f t="shared" si="244"/>
        <v>2285.42</v>
      </c>
      <c r="R256" s="2">
        <f t="shared" si="244"/>
        <v>116.56</v>
      </c>
      <c r="S256" s="2">
        <f t="shared" si="244"/>
        <v>61.01</v>
      </c>
      <c r="T256" s="2">
        <f t="shared" si="244"/>
        <v>4.58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17">
        <v>525022</v>
      </c>
      <c r="AA256" s="14" t="s">
        <v>643</v>
      </c>
      <c r="AB256" s="15" t="s">
        <v>469</v>
      </c>
      <c r="AC256" s="2">
        <v>5082502</v>
      </c>
      <c r="AD256" s="2">
        <v>0</v>
      </c>
      <c r="AE256" s="2">
        <v>1</v>
      </c>
      <c r="AF256" s="2">
        <f t="shared" si="241"/>
        <v>5062502</v>
      </c>
      <c r="AG256" s="2">
        <v>1</v>
      </c>
      <c r="AH256" s="2"/>
      <c r="AI256">
        <v>1</v>
      </c>
      <c r="AJ256" s="1">
        <f t="shared" si="242"/>
        <v>170.31363620421374</v>
      </c>
      <c r="AK256">
        <v>7</v>
      </c>
      <c r="AL256">
        <f t="shared" si="227"/>
        <v>355.87999999999994</v>
      </c>
      <c r="AM256">
        <f t="shared" si="228"/>
        <v>18.149879999999996</v>
      </c>
      <c r="AN256">
        <f t="shared" si="229"/>
        <v>1904.5161290322578</v>
      </c>
      <c r="AO256">
        <f t="shared" si="230"/>
        <v>97.130322580645142</v>
      </c>
      <c r="AP256">
        <f t="shared" si="231"/>
        <v>50.839999999999989</v>
      </c>
      <c r="AQ256">
        <f t="shared" si="232"/>
        <v>3.8129999999999988</v>
      </c>
      <c r="AR256">
        <f t="shared" si="233"/>
        <v>1.4</v>
      </c>
      <c r="AS256">
        <f t="shared" si="239"/>
        <v>2</v>
      </c>
      <c r="AT256">
        <f t="shared" si="240"/>
        <v>6</v>
      </c>
      <c r="AU256">
        <f t="shared" si="237"/>
        <v>5022</v>
      </c>
      <c r="AV256" s="1">
        <v>2</v>
      </c>
      <c r="AW256">
        <v>5</v>
      </c>
      <c r="AX256">
        <v>0.2</v>
      </c>
      <c r="AZ256">
        <v>5</v>
      </c>
      <c r="BA256">
        <v>2</v>
      </c>
      <c r="BZ256" t="str">
        <f t="shared" si="243"/>
        <v>1324012,2324011</v>
      </c>
      <c r="CA256">
        <v>1324012</v>
      </c>
      <c r="CB256">
        <v>2324011</v>
      </c>
      <c r="CD256" s="13"/>
      <c r="CE256" s="13"/>
      <c r="CG256" t="str">
        <f t="shared" si="234"/>
        <v>DATA_Class_Base17</v>
      </c>
      <c r="CH256" s="6" t="s">
        <v>318</v>
      </c>
    </row>
    <row r="257" spans="1:86" ht="14.25">
      <c r="A257" s="49">
        <f t="shared" si="245"/>
        <v>5072601</v>
      </c>
      <c r="B257" s="2" t="s">
        <v>539</v>
      </c>
      <c r="C257" s="48" t="s">
        <v>540</v>
      </c>
      <c r="D257">
        <v>7</v>
      </c>
      <c r="E257">
        <v>6</v>
      </c>
      <c r="F257">
        <v>2</v>
      </c>
      <c r="G257" s="3" t="s">
        <v>541</v>
      </c>
      <c r="H257" s="3" t="s">
        <v>541</v>
      </c>
      <c r="I257" s="2">
        <v>0</v>
      </c>
      <c r="J257" s="8" t="s">
        <v>542</v>
      </c>
      <c r="K257" s="2">
        <f t="shared" si="246"/>
        <v>6</v>
      </c>
      <c r="L257" s="2">
        <f t="shared" si="238"/>
        <v>1.5</v>
      </c>
      <c r="M257" s="2">
        <f t="shared" si="238"/>
        <v>2</v>
      </c>
      <c r="N257" s="2">
        <v>10</v>
      </c>
      <c r="O257" s="2">
        <f t="shared" si="244"/>
        <v>324.72000000000003</v>
      </c>
      <c r="P257" s="2">
        <f t="shared" si="244"/>
        <v>16.559999999999999</v>
      </c>
      <c r="Q257" s="2">
        <f t="shared" si="244"/>
        <v>3220.36</v>
      </c>
      <c r="R257" s="2">
        <f t="shared" si="244"/>
        <v>164.24</v>
      </c>
      <c r="S257" s="2">
        <f t="shared" si="244"/>
        <v>72.16</v>
      </c>
      <c r="T257" s="2">
        <f t="shared" si="244"/>
        <v>5.41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17">
        <v>526012</v>
      </c>
      <c r="AA257" s="14" t="s">
        <v>644</v>
      </c>
      <c r="AB257" s="15" t="s">
        <v>469</v>
      </c>
      <c r="AC257" s="2">
        <v>5082601</v>
      </c>
      <c r="AD257" s="2">
        <v>0</v>
      </c>
      <c r="AE257" s="2">
        <v>1</v>
      </c>
      <c r="AF257" s="2">
        <f t="shared" si="241"/>
        <v>5062601</v>
      </c>
      <c r="AG257" s="2">
        <v>1</v>
      </c>
      <c r="AH257" s="2"/>
      <c r="AI257">
        <v>1</v>
      </c>
      <c r="AJ257" s="1">
        <f t="shared" si="242"/>
        <v>170.65839142897471</v>
      </c>
      <c r="AK257">
        <v>7</v>
      </c>
      <c r="AL257">
        <f t="shared" ref="AL257:AL320" si="247">INDEX($BD$5:$BD$60,MATCH($AU257,$BB$5:$BB$60,0))*$AR257/1.5*$BH$4*INDEX($BD$106:$BQ$106,MATCH($AK257,$BD$105:$BQ$105,0))</f>
        <v>270.59999999999997</v>
      </c>
      <c r="AM257">
        <f t="shared" ref="AM257:AM320" si="248">(INDEX($BD$5:$BD$56,MATCH($AU257,$BB$5:$BB$56,0))*$AR257/1.5*$BH$4*INDEX($BD$106:$BQ$106,MATCH($AK257,$BD$105:$BQ$105,0)))*0.051</f>
        <v>13.800599999999998</v>
      </c>
      <c r="AN257">
        <f t="shared" ref="AN257:AN320" si="249">INDEX($BE$5:$BE$60,MATCH($AU257,$BB$5:$BB$60,0))*$BI$4*INDEX($BD$106:$BQ$106,MATCH($AK257,$BD$105:$BQ$105,0))</f>
        <v>2683.6363636363631</v>
      </c>
      <c r="AO257">
        <f t="shared" ref="AO257:AO320" si="250">(INDEX($BE$5:$BE$60,MATCH($AU257,$BB$5:$BB$60,0))*$BI$4*INDEX($BD$106:$BQ$106,MATCH($AK257,$BD$105:$BQ$105,0)))*0.051</f>
        <v>136.8654545454545</v>
      </c>
      <c r="AP257">
        <f t="shared" ref="AP257:AP320" si="251">$AL257/INDEX($BF$5:$BF$60,MATCH($AU257,$BB$5:$BB$60,0))</f>
        <v>60.133333333333326</v>
      </c>
      <c r="AQ257">
        <f t="shared" ref="AQ257:AQ320" si="252">AP257*0.075</f>
        <v>4.5099999999999989</v>
      </c>
      <c r="AR257">
        <f t="shared" si="233"/>
        <v>1.5</v>
      </c>
      <c r="AS257">
        <f t="shared" si="239"/>
        <v>2</v>
      </c>
      <c r="AT257">
        <f t="shared" si="240"/>
        <v>6</v>
      </c>
      <c r="AU257">
        <f t="shared" si="237"/>
        <v>6012</v>
      </c>
      <c r="AV257" s="1">
        <v>1</v>
      </c>
      <c r="AW257">
        <v>5</v>
      </c>
      <c r="AX257">
        <v>0.2</v>
      </c>
      <c r="AZ257">
        <v>6</v>
      </c>
      <c r="BA257">
        <v>2</v>
      </c>
      <c r="BZ257" t="str">
        <f t="shared" si="243"/>
        <v>1324022,2324021</v>
      </c>
      <c r="CA257">
        <v>1324022</v>
      </c>
      <c r="CB257">
        <v>2324021</v>
      </c>
      <c r="CD257" s="13"/>
      <c r="CE257" s="13"/>
      <c r="CG257" t="str">
        <f t="shared" si="234"/>
        <v>DATA_Class_Base18</v>
      </c>
      <c r="CH257" s="6" t="s">
        <v>324</v>
      </c>
    </row>
    <row r="258" spans="1:86" ht="14.25">
      <c r="A258" s="49">
        <f t="shared" si="245"/>
        <v>5073200</v>
      </c>
      <c r="B258" s="2" t="s">
        <v>544</v>
      </c>
      <c r="C258" s="48" t="s">
        <v>545</v>
      </c>
      <c r="D258">
        <v>7</v>
      </c>
      <c r="E258">
        <v>2</v>
      </c>
      <c r="F258">
        <v>3</v>
      </c>
      <c r="G258" s="3" t="s">
        <v>546</v>
      </c>
      <c r="H258" s="3" t="s">
        <v>546</v>
      </c>
      <c r="I258">
        <v>0</v>
      </c>
      <c r="J258" s="2" t="s">
        <v>314</v>
      </c>
      <c r="K258" s="2">
        <f t="shared" si="246"/>
        <v>3</v>
      </c>
      <c r="L258" s="2">
        <f t="shared" si="238"/>
        <v>1.5</v>
      </c>
      <c r="M258" s="2">
        <f t="shared" si="238"/>
        <v>1.2</v>
      </c>
      <c r="N258" s="2">
        <v>10</v>
      </c>
      <c r="O258" s="2">
        <f t="shared" si="244"/>
        <v>198.03</v>
      </c>
      <c r="P258" s="2">
        <f t="shared" si="244"/>
        <v>10.1</v>
      </c>
      <c r="Q258" s="2">
        <f t="shared" si="244"/>
        <v>4849.71</v>
      </c>
      <c r="R258" s="2">
        <f t="shared" si="244"/>
        <v>247.34</v>
      </c>
      <c r="S258" s="2">
        <f t="shared" si="244"/>
        <v>99.02</v>
      </c>
      <c r="T258" s="2">
        <f t="shared" si="244"/>
        <v>7.43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17">
        <v>532002</v>
      </c>
      <c r="AA258" s="14" t="s">
        <v>645</v>
      </c>
      <c r="AB258" s="15" t="s">
        <v>469</v>
      </c>
      <c r="AC258" s="2">
        <v>5083200</v>
      </c>
      <c r="AD258" s="2">
        <v>0</v>
      </c>
      <c r="AE258" s="2">
        <v>1</v>
      </c>
      <c r="AF258" s="2">
        <f t="shared" si="241"/>
        <v>5063200</v>
      </c>
      <c r="AG258" s="2">
        <v>1</v>
      </c>
      <c r="AH258" s="2"/>
      <c r="AI258">
        <v>1</v>
      </c>
      <c r="AJ258" s="1">
        <f t="shared" si="242"/>
        <v>171.62911839753596</v>
      </c>
      <c r="AK258">
        <v>7</v>
      </c>
      <c r="AL258">
        <f t="shared" si="247"/>
        <v>172.19999999999996</v>
      </c>
      <c r="AM258">
        <f t="shared" si="248"/>
        <v>8.7821999999999978</v>
      </c>
      <c r="AN258">
        <f t="shared" si="249"/>
        <v>4217.1428571428569</v>
      </c>
      <c r="AO258">
        <f t="shared" si="250"/>
        <v>215.07428571428568</v>
      </c>
      <c r="AP258">
        <f t="shared" si="251"/>
        <v>86.09999999999998</v>
      </c>
      <c r="AQ258">
        <f t="shared" si="252"/>
        <v>6.4574999999999987</v>
      </c>
      <c r="AR258">
        <f t="shared" ref="AR258:AR321" si="253">INDEX($BG$5:$BG$60,MATCH($AU258,$BB$5:$BB$60,0))</f>
        <v>1.5</v>
      </c>
      <c r="AS258">
        <f t="shared" si="239"/>
        <v>1.2</v>
      </c>
      <c r="AT258">
        <f t="shared" si="240"/>
        <v>3</v>
      </c>
      <c r="AU258">
        <f t="shared" si="237"/>
        <v>2003</v>
      </c>
      <c r="AV258" s="1">
        <v>0</v>
      </c>
      <c r="AW258">
        <v>5</v>
      </c>
      <c r="AX258">
        <v>0.15</v>
      </c>
      <c r="AZ258">
        <v>2</v>
      </c>
      <c r="BA258">
        <v>3</v>
      </c>
      <c r="BZ258" t="str">
        <f t="shared" si="243"/>
        <v>1325002,2325001</v>
      </c>
      <c r="CA258">
        <v>1325002</v>
      </c>
      <c r="CB258">
        <v>2325001</v>
      </c>
      <c r="CD258" s="13"/>
      <c r="CE258" s="13"/>
      <c r="CG258" t="str">
        <f t="shared" si="234"/>
        <v>DATA_Class_Base19</v>
      </c>
      <c r="CH258" s="6" t="s">
        <v>331</v>
      </c>
    </row>
    <row r="259" spans="1:86" ht="14.25">
      <c r="A259">
        <f t="shared" si="245"/>
        <v>5073201</v>
      </c>
      <c r="B259" s="2" t="s">
        <v>548</v>
      </c>
      <c r="C259" s="48" t="s">
        <v>549</v>
      </c>
      <c r="D259">
        <v>7</v>
      </c>
      <c r="E259">
        <v>2</v>
      </c>
      <c r="F259">
        <v>3</v>
      </c>
      <c r="G259" s="3" t="s">
        <v>550</v>
      </c>
      <c r="H259" s="3" t="s">
        <v>550</v>
      </c>
      <c r="I259" s="2">
        <v>0</v>
      </c>
      <c r="J259" s="50" t="s">
        <v>1720</v>
      </c>
      <c r="K259" s="2">
        <f t="shared" si="246"/>
        <v>3</v>
      </c>
      <c r="L259" s="2">
        <f t="shared" si="238"/>
        <v>1.7</v>
      </c>
      <c r="M259" s="2">
        <f t="shared" si="238"/>
        <v>1.8</v>
      </c>
      <c r="N259" s="2">
        <v>10</v>
      </c>
      <c r="O259" s="2">
        <f t="shared" si="244"/>
        <v>184.01</v>
      </c>
      <c r="P259" s="2">
        <f t="shared" si="244"/>
        <v>9.3800000000000008</v>
      </c>
      <c r="Q259" s="2">
        <f t="shared" si="244"/>
        <v>5412</v>
      </c>
      <c r="R259" s="2">
        <f t="shared" si="244"/>
        <v>276.01</v>
      </c>
      <c r="S259" s="2">
        <f t="shared" si="244"/>
        <v>92</v>
      </c>
      <c r="T259" s="2">
        <f t="shared" si="244"/>
        <v>6.9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17">
        <v>532012</v>
      </c>
      <c r="AA259" s="14" t="s">
        <v>646</v>
      </c>
      <c r="AB259" s="15" t="s">
        <v>469</v>
      </c>
      <c r="AC259" s="2">
        <v>5083201</v>
      </c>
      <c r="AD259" s="2">
        <v>0</v>
      </c>
      <c r="AE259" s="2">
        <v>1</v>
      </c>
      <c r="AF259" s="2">
        <f t="shared" si="241"/>
        <v>5063201</v>
      </c>
      <c r="AG259" s="2">
        <v>1</v>
      </c>
      <c r="AH259" s="2"/>
      <c r="AI259">
        <v>1</v>
      </c>
      <c r="AJ259" s="1">
        <f t="shared" si="242"/>
        <v>171.53668150108138</v>
      </c>
      <c r="AK259">
        <v>7</v>
      </c>
      <c r="AL259">
        <f t="shared" si="247"/>
        <v>167.28</v>
      </c>
      <c r="AM259">
        <f t="shared" si="248"/>
        <v>8.5312799999999989</v>
      </c>
      <c r="AN259">
        <f t="shared" si="249"/>
        <v>4920</v>
      </c>
      <c r="AO259">
        <f t="shared" si="250"/>
        <v>250.92</v>
      </c>
      <c r="AP259">
        <f t="shared" si="251"/>
        <v>83.64</v>
      </c>
      <c r="AQ259">
        <f t="shared" si="252"/>
        <v>6.2729999999999997</v>
      </c>
      <c r="AR259">
        <f t="shared" si="253"/>
        <v>1.7</v>
      </c>
      <c r="AS259">
        <f t="shared" si="239"/>
        <v>1.8</v>
      </c>
      <c r="AT259">
        <f t="shared" si="240"/>
        <v>3</v>
      </c>
      <c r="AU259">
        <f t="shared" si="237"/>
        <v>2013</v>
      </c>
      <c r="AV259" s="1">
        <v>1</v>
      </c>
      <c r="AW259">
        <v>5</v>
      </c>
      <c r="AX259">
        <v>0.1</v>
      </c>
      <c r="AZ259">
        <v>2</v>
      </c>
      <c r="BA259">
        <v>3</v>
      </c>
      <c r="BZ259" t="str">
        <f t="shared" si="243"/>
        <v>1325022,2325021</v>
      </c>
      <c r="CA259">
        <v>1325022</v>
      </c>
      <c r="CB259">
        <v>2325021</v>
      </c>
      <c r="CD259" s="13"/>
      <c r="CE259" s="13"/>
      <c r="CG259" t="str">
        <f t="shared" ref="CG259:CG326" si="254">INDEX($CD$66:$CD$107,MATCH($CH259,$CE$66:$CE$107,0))</f>
        <v>DATA_Class_Base20</v>
      </c>
      <c r="CH259" s="6" t="s">
        <v>336</v>
      </c>
    </row>
    <row r="260" spans="1:86" ht="14.25">
      <c r="A260">
        <f t="shared" si="245"/>
        <v>5073202</v>
      </c>
      <c r="B260" s="2" t="s">
        <v>552</v>
      </c>
      <c r="C260" s="48" t="s">
        <v>553</v>
      </c>
      <c r="D260">
        <v>7</v>
      </c>
      <c r="E260">
        <v>2</v>
      </c>
      <c r="F260">
        <v>3</v>
      </c>
      <c r="G260" s="3" t="s">
        <v>554</v>
      </c>
      <c r="H260" s="3" t="s">
        <v>554</v>
      </c>
      <c r="I260">
        <v>0</v>
      </c>
      <c r="J260" s="8" t="s">
        <v>555</v>
      </c>
      <c r="K260" s="2">
        <f t="shared" si="246"/>
        <v>3</v>
      </c>
      <c r="L260" s="2">
        <f t="shared" si="238"/>
        <v>1.7</v>
      </c>
      <c r="M260" s="2">
        <f t="shared" si="238"/>
        <v>2</v>
      </c>
      <c r="N260" s="2">
        <v>10</v>
      </c>
      <c r="O260" s="2">
        <f t="shared" si="244"/>
        <v>288.56</v>
      </c>
      <c r="P260" s="2">
        <f t="shared" si="244"/>
        <v>14.72</v>
      </c>
      <c r="Q260" s="2">
        <f t="shared" si="244"/>
        <v>3772</v>
      </c>
      <c r="R260" s="2">
        <f t="shared" si="244"/>
        <v>192.37</v>
      </c>
      <c r="S260" s="2">
        <f t="shared" si="244"/>
        <v>96.19</v>
      </c>
      <c r="T260" s="2">
        <f t="shared" si="244"/>
        <v>7.21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17">
        <v>532022</v>
      </c>
      <c r="AA260" s="14" t="s">
        <v>647</v>
      </c>
      <c r="AB260" s="15" t="s">
        <v>469</v>
      </c>
      <c r="AC260" s="2">
        <v>5083202</v>
      </c>
      <c r="AD260" s="2">
        <v>0</v>
      </c>
      <c r="AE260" s="2">
        <v>1</v>
      </c>
      <c r="AF260" s="2">
        <f t="shared" si="241"/>
        <v>5063202</v>
      </c>
      <c r="AG260" s="2">
        <v>1</v>
      </c>
      <c r="AH260" s="2"/>
      <c r="AI260">
        <v>1</v>
      </c>
      <c r="AJ260" s="1">
        <f t="shared" si="242"/>
        <v>171.53668150108132</v>
      </c>
      <c r="AK260">
        <v>7</v>
      </c>
      <c r="AL260">
        <f t="shared" si="247"/>
        <v>250.92</v>
      </c>
      <c r="AM260">
        <f t="shared" si="248"/>
        <v>12.796919999999998</v>
      </c>
      <c r="AN260">
        <f t="shared" si="249"/>
        <v>3279.9999999999995</v>
      </c>
      <c r="AO260">
        <f t="shared" si="250"/>
        <v>167.27999999999997</v>
      </c>
      <c r="AP260">
        <f t="shared" si="251"/>
        <v>83.64</v>
      </c>
      <c r="AQ260">
        <f t="shared" si="252"/>
        <v>6.2729999999999997</v>
      </c>
      <c r="AR260">
        <f t="shared" si="253"/>
        <v>1.7</v>
      </c>
      <c r="AS260">
        <f t="shared" si="239"/>
        <v>2</v>
      </c>
      <c r="AT260">
        <f t="shared" si="240"/>
        <v>3</v>
      </c>
      <c r="AU260">
        <f t="shared" si="237"/>
        <v>2023</v>
      </c>
      <c r="AV260" s="1">
        <v>2</v>
      </c>
      <c r="AW260">
        <v>5</v>
      </c>
      <c r="AX260">
        <v>0.15</v>
      </c>
      <c r="AZ260">
        <v>2</v>
      </c>
      <c r="BA260">
        <v>3</v>
      </c>
      <c r="BZ260" t="str">
        <f t="shared" si="243"/>
        <v>1326012,2326011</v>
      </c>
      <c r="CA260">
        <v>1326012</v>
      </c>
      <c r="CB260">
        <v>2326011</v>
      </c>
      <c r="CD260" s="13"/>
      <c r="CE260" s="13"/>
      <c r="CG260" t="str">
        <f t="shared" si="254"/>
        <v>DATA_Class_Base21</v>
      </c>
      <c r="CH260" s="6" t="s">
        <v>342</v>
      </c>
    </row>
    <row r="261" spans="1:86" ht="14.25">
      <c r="A261" s="49">
        <f t="shared" si="245"/>
        <v>5073301</v>
      </c>
      <c r="B261" s="2" t="s">
        <v>557</v>
      </c>
      <c r="C261" s="48" t="s">
        <v>558</v>
      </c>
      <c r="D261">
        <v>7</v>
      </c>
      <c r="E261">
        <v>3</v>
      </c>
      <c r="F261">
        <v>3</v>
      </c>
      <c r="G261" s="3" t="s">
        <v>559</v>
      </c>
      <c r="H261" s="3" t="s">
        <v>559</v>
      </c>
      <c r="I261" s="2">
        <v>0</v>
      </c>
      <c r="J261" s="8" t="s">
        <v>555</v>
      </c>
      <c r="K261" s="2">
        <f t="shared" si="246"/>
        <v>3</v>
      </c>
      <c r="L261" s="2">
        <f t="shared" si="238"/>
        <v>1.2</v>
      </c>
      <c r="M261" s="2">
        <f t="shared" si="238"/>
        <v>1.4000000000000001</v>
      </c>
      <c r="N261" s="2">
        <v>10</v>
      </c>
      <c r="O261" s="2">
        <f t="shared" si="244"/>
        <v>283.39</v>
      </c>
      <c r="P261" s="2">
        <f t="shared" si="244"/>
        <v>14.45</v>
      </c>
      <c r="Q261" s="2">
        <f t="shared" si="244"/>
        <v>2952</v>
      </c>
      <c r="R261" s="2">
        <f t="shared" si="244"/>
        <v>150.55000000000001</v>
      </c>
      <c r="S261" s="2">
        <f t="shared" si="244"/>
        <v>80.97</v>
      </c>
      <c r="T261" s="2">
        <f t="shared" si="244"/>
        <v>6.07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17">
        <v>533012</v>
      </c>
      <c r="AA261" s="14" t="s">
        <v>648</v>
      </c>
      <c r="AB261" s="15" t="s">
        <v>469</v>
      </c>
      <c r="AC261" s="2">
        <v>5083301</v>
      </c>
      <c r="AD261" s="2">
        <v>0</v>
      </c>
      <c r="AE261" s="2">
        <v>1</v>
      </c>
      <c r="AF261" s="2">
        <f t="shared" si="241"/>
        <v>5063301</v>
      </c>
      <c r="AG261" s="2">
        <v>1</v>
      </c>
      <c r="AH261" s="2"/>
      <c r="AI261">
        <v>1</v>
      </c>
      <c r="AJ261" s="1">
        <f t="shared" si="242"/>
        <v>170.93170736733484</v>
      </c>
      <c r="AK261">
        <v>7</v>
      </c>
      <c r="AL261">
        <f t="shared" si="247"/>
        <v>236.15999999999997</v>
      </c>
      <c r="AM261">
        <f t="shared" si="248"/>
        <v>12.044159999999998</v>
      </c>
      <c r="AN261">
        <f t="shared" si="249"/>
        <v>2460</v>
      </c>
      <c r="AO261">
        <f t="shared" si="250"/>
        <v>125.46</v>
      </c>
      <c r="AP261">
        <f t="shared" si="251"/>
        <v>67.474285714285699</v>
      </c>
      <c r="AQ261">
        <f t="shared" si="252"/>
        <v>5.0605714285714276</v>
      </c>
      <c r="AR261">
        <f t="shared" si="253"/>
        <v>1.2</v>
      </c>
      <c r="AS261">
        <f t="shared" si="239"/>
        <v>1.4</v>
      </c>
      <c r="AT261">
        <f t="shared" si="240"/>
        <v>3</v>
      </c>
      <c r="AU261">
        <f t="shared" si="237"/>
        <v>3013</v>
      </c>
      <c r="AV261" s="1">
        <v>1</v>
      </c>
      <c r="AW261">
        <v>5</v>
      </c>
      <c r="AX261">
        <v>0.2</v>
      </c>
      <c r="AZ261">
        <v>3</v>
      </c>
      <c r="BA261">
        <v>3</v>
      </c>
      <c r="BZ261" t="str">
        <f t="shared" si="243"/>
        <v>1332002,2332001</v>
      </c>
      <c r="CA261">
        <v>1332002</v>
      </c>
      <c r="CB261">
        <v>2332001</v>
      </c>
      <c r="CD261" s="13"/>
      <c r="CE261" s="13"/>
      <c r="CG261" t="str">
        <f t="shared" si="254"/>
        <v>DATA_Class_Base13</v>
      </c>
      <c r="CH261" s="6" t="s">
        <v>295</v>
      </c>
    </row>
    <row r="262" spans="1:86" ht="14.25">
      <c r="A262">
        <f t="shared" si="245"/>
        <v>5073401</v>
      </c>
      <c r="B262" s="2" t="s">
        <v>561</v>
      </c>
      <c r="C262" s="48" t="s">
        <v>562</v>
      </c>
      <c r="D262">
        <v>7</v>
      </c>
      <c r="E262">
        <v>4</v>
      </c>
      <c r="F262">
        <v>3</v>
      </c>
      <c r="G262" s="3" t="s">
        <v>563</v>
      </c>
      <c r="H262" s="3" t="s">
        <v>563</v>
      </c>
      <c r="I262">
        <v>0</v>
      </c>
      <c r="J262" s="2" t="s">
        <v>161</v>
      </c>
      <c r="K262" s="2">
        <f t="shared" si="246"/>
        <v>6</v>
      </c>
      <c r="L262" s="2">
        <f t="shared" si="238"/>
        <v>1.6</v>
      </c>
      <c r="M262" s="2">
        <f t="shared" si="238"/>
        <v>1.5</v>
      </c>
      <c r="N262" s="2">
        <v>10</v>
      </c>
      <c r="O262" s="2">
        <f t="shared" si="244"/>
        <v>377.86</v>
      </c>
      <c r="P262" s="2">
        <f t="shared" si="244"/>
        <v>19.27</v>
      </c>
      <c r="Q262" s="2">
        <f t="shared" si="244"/>
        <v>2952</v>
      </c>
      <c r="R262" s="2">
        <f t="shared" si="244"/>
        <v>150.55000000000001</v>
      </c>
      <c r="S262" s="2">
        <f t="shared" si="244"/>
        <v>62.98</v>
      </c>
      <c r="T262" s="2">
        <f t="shared" si="244"/>
        <v>4.72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17">
        <v>534012</v>
      </c>
      <c r="AA262" s="14" t="s">
        <v>649</v>
      </c>
      <c r="AB262" s="15" t="s">
        <v>469</v>
      </c>
      <c r="AC262" s="2">
        <v>5083401</v>
      </c>
      <c r="AD262" s="2">
        <v>0</v>
      </c>
      <c r="AE262" s="2">
        <v>1</v>
      </c>
      <c r="AF262" s="2">
        <f t="shared" si="241"/>
        <v>5063401</v>
      </c>
      <c r="AG262" s="2">
        <v>1</v>
      </c>
      <c r="AH262" s="2"/>
      <c r="AI262">
        <v>1</v>
      </c>
      <c r="AJ262" s="1">
        <f t="shared" si="242"/>
        <v>170.37437411028111</v>
      </c>
      <c r="AK262">
        <v>7</v>
      </c>
      <c r="AL262">
        <f t="shared" si="247"/>
        <v>314.87999999999994</v>
      </c>
      <c r="AM262">
        <f t="shared" si="248"/>
        <v>16.058879999999995</v>
      </c>
      <c r="AN262">
        <f t="shared" si="249"/>
        <v>2460</v>
      </c>
      <c r="AO262">
        <f t="shared" si="250"/>
        <v>125.46</v>
      </c>
      <c r="AP262">
        <f t="shared" si="251"/>
        <v>52.47999999999999</v>
      </c>
      <c r="AQ262">
        <f t="shared" si="252"/>
        <v>3.9359999999999991</v>
      </c>
      <c r="AR262">
        <f t="shared" si="253"/>
        <v>1.6</v>
      </c>
      <c r="AS262">
        <f t="shared" si="239"/>
        <v>1.5</v>
      </c>
      <c r="AT262">
        <f t="shared" si="240"/>
        <v>6</v>
      </c>
      <c r="AU262">
        <f t="shared" si="237"/>
        <v>4013</v>
      </c>
      <c r="AV262" s="1">
        <v>1</v>
      </c>
      <c r="AW262">
        <v>5</v>
      </c>
      <c r="AX262">
        <v>0.2</v>
      </c>
      <c r="AZ262">
        <v>4</v>
      </c>
      <c r="BA262">
        <v>3</v>
      </c>
      <c r="BZ262" t="str">
        <f t="shared" si="243"/>
        <v>1332012,2332011</v>
      </c>
      <c r="CA262">
        <v>1332012</v>
      </c>
      <c r="CB262">
        <v>2332011</v>
      </c>
      <c r="CD262" s="13"/>
      <c r="CE262" s="13"/>
      <c r="CG262" t="str">
        <f t="shared" si="254"/>
        <v>DATA_Class_Base14</v>
      </c>
      <c r="CH262" s="6" t="s">
        <v>300</v>
      </c>
    </row>
    <row r="263" spans="1:86" ht="14.25">
      <c r="A263">
        <f t="shared" si="245"/>
        <v>5073402</v>
      </c>
      <c r="B263" s="2" t="s">
        <v>565</v>
      </c>
      <c r="C263" s="48" t="s">
        <v>566</v>
      </c>
      <c r="D263">
        <v>7</v>
      </c>
      <c r="E263">
        <v>4</v>
      </c>
      <c r="F263">
        <v>3</v>
      </c>
      <c r="G263" s="3" t="s">
        <v>567</v>
      </c>
      <c r="H263" s="3" t="s">
        <v>567</v>
      </c>
      <c r="I263" s="2">
        <v>0</v>
      </c>
      <c r="J263" s="8" t="s">
        <v>568</v>
      </c>
      <c r="K263" s="2">
        <f t="shared" si="246"/>
        <v>6</v>
      </c>
      <c r="L263" s="2">
        <f t="shared" si="238"/>
        <v>1.5</v>
      </c>
      <c r="M263" s="2">
        <f t="shared" si="238"/>
        <v>1.5</v>
      </c>
      <c r="N263" s="2">
        <v>10</v>
      </c>
      <c r="O263" s="2">
        <f t="shared" si="244"/>
        <v>367.77</v>
      </c>
      <c r="P263" s="2">
        <f t="shared" si="244"/>
        <v>18.760000000000002</v>
      </c>
      <c r="Q263" s="2">
        <f t="shared" si="244"/>
        <v>2611.38</v>
      </c>
      <c r="R263" s="2">
        <f t="shared" si="244"/>
        <v>133.18</v>
      </c>
      <c r="S263" s="2">
        <f t="shared" si="244"/>
        <v>52.54</v>
      </c>
      <c r="T263" s="2">
        <f t="shared" si="244"/>
        <v>3.94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17">
        <v>534022</v>
      </c>
      <c r="AA263" s="14" t="s">
        <v>650</v>
      </c>
      <c r="AB263" s="15" t="s">
        <v>469</v>
      </c>
      <c r="AC263" s="2">
        <v>5083402</v>
      </c>
      <c r="AD263" s="2">
        <v>0</v>
      </c>
      <c r="AE263" s="2">
        <v>1</v>
      </c>
      <c r="AF263" s="2">
        <f t="shared" si="241"/>
        <v>5063402</v>
      </c>
      <c r="AG263" s="2">
        <v>1</v>
      </c>
      <c r="AH263" s="2"/>
      <c r="AI263">
        <v>1</v>
      </c>
      <c r="AJ263" s="1">
        <f t="shared" si="242"/>
        <v>170.12302725589618</v>
      </c>
      <c r="AK263">
        <v>7</v>
      </c>
      <c r="AL263">
        <f t="shared" si="247"/>
        <v>319.79999999999995</v>
      </c>
      <c r="AM263">
        <f t="shared" si="248"/>
        <v>16.309799999999996</v>
      </c>
      <c r="AN263">
        <f t="shared" si="249"/>
        <v>2270.7692307692305</v>
      </c>
      <c r="AO263">
        <f t="shared" si="250"/>
        <v>115.80923076923075</v>
      </c>
      <c r="AP263">
        <f t="shared" si="251"/>
        <v>45.685714285714276</v>
      </c>
      <c r="AQ263">
        <f t="shared" si="252"/>
        <v>3.4264285714285707</v>
      </c>
      <c r="AR263">
        <f t="shared" si="253"/>
        <v>1.5</v>
      </c>
      <c r="AS263">
        <f t="shared" si="239"/>
        <v>1.5</v>
      </c>
      <c r="AT263">
        <f t="shared" si="240"/>
        <v>6</v>
      </c>
      <c r="AU263">
        <f t="shared" si="237"/>
        <v>4023</v>
      </c>
      <c r="AV263" s="1">
        <v>2</v>
      </c>
      <c r="AW263">
        <v>5</v>
      </c>
      <c r="AX263">
        <v>0.15</v>
      </c>
      <c r="AZ263">
        <v>4</v>
      </c>
      <c r="BA263">
        <v>3</v>
      </c>
      <c r="BZ263" t="str">
        <f t="shared" si="243"/>
        <v>1332022,2332021</v>
      </c>
      <c r="CA263">
        <v>1332022</v>
      </c>
      <c r="CB263">
        <v>2332021</v>
      </c>
      <c r="CD263" s="13"/>
      <c r="CE263" s="13"/>
      <c r="CG263" t="str">
        <f t="shared" si="254"/>
        <v>DATA_Class_Base15</v>
      </c>
      <c r="CH263" s="6" t="s">
        <v>306</v>
      </c>
    </row>
    <row r="264" spans="1:86" ht="14.25">
      <c r="A264">
        <f t="shared" si="245"/>
        <v>5073500</v>
      </c>
      <c r="B264" s="2" t="s">
        <v>570</v>
      </c>
      <c r="C264" s="48" t="s">
        <v>571</v>
      </c>
      <c r="D264">
        <v>7</v>
      </c>
      <c r="E264">
        <v>5</v>
      </c>
      <c r="F264">
        <v>3</v>
      </c>
      <c r="G264" s="3" t="s">
        <v>572</v>
      </c>
      <c r="H264" s="3" t="s">
        <v>572</v>
      </c>
      <c r="I264" s="2">
        <v>0</v>
      </c>
      <c r="J264" s="2" t="s">
        <v>303</v>
      </c>
      <c r="K264" s="2">
        <f t="shared" si="246"/>
        <v>6</v>
      </c>
      <c r="L264" s="2">
        <f t="shared" si="238"/>
        <v>1.5</v>
      </c>
      <c r="M264" s="2">
        <f t="shared" si="238"/>
        <v>2</v>
      </c>
      <c r="N264" s="2">
        <v>10</v>
      </c>
      <c r="O264" s="2">
        <f t="shared" si="244"/>
        <v>351.78</v>
      </c>
      <c r="P264" s="2">
        <f t="shared" si="244"/>
        <v>17.940000000000001</v>
      </c>
      <c r="Q264" s="2">
        <f t="shared" si="244"/>
        <v>2497.85</v>
      </c>
      <c r="R264" s="2">
        <f t="shared" si="244"/>
        <v>127.39</v>
      </c>
      <c r="S264" s="2">
        <f t="shared" si="244"/>
        <v>58.63</v>
      </c>
      <c r="T264" s="2">
        <f t="shared" si="244"/>
        <v>4.4000000000000004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17">
        <v>535002</v>
      </c>
      <c r="AA264" s="14" t="s">
        <v>651</v>
      </c>
      <c r="AB264" s="15" t="s">
        <v>469</v>
      </c>
      <c r="AC264" s="2">
        <v>5083500</v>
      </c>
      <c r="AD264" s="2">
        <v>0</v>
      </c>
      <c r="AE264" s="2">
        <v>1</v>
      </c>
      <c r="AF264" s="2">
        <f t="shared" si="241"/>
        <v>5063500</v>
      </c>
      <c r="AG264" s="2">
        <v>1</v>
      </c>
      <c r="AH264" s="2"/>
      <c r="AI264">
        <v>1</v>
      </c>
      <c r="AJ264" s="1">
        <f t="shared" si="242"/>
        <v>170.40475931165184</v>
      </c>
      <c r="AK264">
        <v>7</v>
      </c>
      <c r="AL264">
        <f t="shared" si="247"/>
        <v>319.79999999999995</v>
      </c>
      <c r="AM264">
        <f t="shared" si="248"/>
        <v>16.309799999999996</v>
      </c>
      <c r="AN264">
        <f t="shared" si="249"/>
        <v>2270.7692307692305</v>
      </c>
      <c r="AO264">
        <f t="shared" si="250"/>
        <v>115.80923076923075</v>
      </c>
      <c r="AP264">
        <f t="shared" si="251"/>
        <v>53.29999999999999</v>
      </c>
      <c r="AQ264">
        <f t="shared" si="252"/>
        <v>3.9974999999999992</v>
      </c>
      <c r="AR264">
        <f t="shared" si="253"/>
        <v>1.5</v>
      </c>
      <c r="AS264">
        <f t="shared" si="239"/>
        <v>2</v>
      </c>
      <c r="AT264">
        <f t="shared" si="240"/>
        <v>6</v>
      </c>
      <c r="AU264">
        <f t="shared" si="237"/>
        <v>5003</v>
      </c>
      <c r="AV264" s="1">
        <v>0</v>
      </c>
      <c r="AW264">
        <v>5</v>
      </c>
      <c r="AX264">
        <v>0.1</v>
      </c>
      <c r="AZ264">
        <v>5</v>
      </c>
      <c r="BA264">
        <v>3</v>
      </c>
      <c r="BZ264" t="str">
        <f t="shared" si="243"/>
        <v>1333012,2333011</v>
      </c>
      <c r="CA264">
        <v>1333012</v>
      </c>
      <c r="CB264">
        <v>2333011</v>
      </c>
      <c r="CD264" s="13"/>
      <c r="CE264" s="13"/>
      <c r="CG264" t="str">
        <f t="shared" si="254"/>
        <v>DATA_Class_Base16</v>
      </c>
      <c r="CH264" s="6" t="s">
        <v>312</v>
      </c>
    </row>
    <row r="265" spans="1:86" ht="14.25">
      <c r="A265">
        <f t="shared" si="245"/>
        <v>5073502</v>
      </c>
      <c r="B265" s="2" t="s">
        <v>574</v>
      </c>
      <c r="C265" s="48" t="s">
        <v>575</v>
      </c>
      <c r="D265">
        <v>7</v>
      </c>
      <c r="E265">
        <v>5</v>
      </c>
      <c r="F265">
        <v>3</v>
      </c>
      <c r="G265" s="3" t="s">
        <v>576</v>
      </c>
      <c r="H265" s="3" t="s">
        <v>576</v>
      </c>
      <c r="I265" s="2">
        <v>0</v>
      </c>
      <c r="J265" s="8" t="s">
        <v>577</v>
      </c>
      <c r="K265" s="2">
        <f t="shared" si="246"/>
        <v>6</v>
      </c>
      <c r="L265" s="2">
        <f t="shared" si="238"/>
        <v>1.4000000000000001</v>
      </c>
      <c r="M265" s="2">
        <f t="shared" si="238"/>
        <v>2</v>
      </c>
      <c r="N265" s="2">
        <v>10</v>
      </c>
      <c r="O265" s="2">
        <f t="shared" si="244"/>
        <v>340.96</v>
      </c>
      <c r="P265" s="2">
        <f t="shared" si="244"/>
        <v>17.39</v>
      </c>
      <c r="Q265" s="2">
        <f t="shared" si="244"/>
        <v>2405.33</v>
      </c>
      <c r="R265" s="2">
        <f t="shared" si="244"/>
        <v>122.67</v>
      </c>
      <c r="S265" s="2">
        <f t="shared" si="244"/>
        <v>56.83</v>
      </c>
      <c r="T265" s="2">
        <f t="shared" si="244"/>
        <v>4.26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17">
        <v>535022</v>
      </c>
      <c r="AA265" s="14" t="s">
        <v>652</v>
      </c>
      <c r="AB265" s="15" t="s">
        <v>469</v>
      </c>
      <c r="AC265" s="2">
        <v>5083502</v>
      </c>
      <c r="AD265" s="2">
        <v>0</v>
      </c>
      <c r="AE265" s="2">
        <v>1</v>
      </c>
      <c r="AF265" s="2">
        <f t="shared" si="241"/>
        <v>5063502</v>
      </c>
      <c r="AG265" s="2">
        <v>1</v>
      </c>
      <c r="AH265" s="2"/>
      <c r="AI265">
        <v>1</v>
      </c>
      <c r="AJ265" s="1">
        <f t="shared" si="242"/>
        <v>170.34399974306618</v>
      </c>
      <c r="AK265">
        <v>7</v>
      </c>
      <c r="AL265">
        <f t="shared" si="247"/>
        <v>309.95999999999992</v>
      </c>
      <c r="AM265">
        <f t="shared" si="248"/>
        <v>15.807959999999994</v>
      </c>
      <c r="AN265">
        <f t="shared" si="249"/>
        <v>2186.6666666666661</v>
      </c>
      <c r="AO265">
        <f t="shared" si="250"/>
        <v>111.51999999999997</v>
      </c>
      <c r="AP265">
        <f t="shared" si="251"/>
        <v>51.659999999999989</v>
      </c>
      <c r="AQ265">
        <f t="shared" si="252"/>
        <v>3.8744999999999989</v>
      </c>
      <c r="AR265">
        <f t="shared" si="253"/>
        <v>1.4</v>
      </c>
      <c r="AS265">
        <f t="shared" si="239"/>
        <v>2</v>
      </c>
      <c r="AT265">
        <f t="shared" si="240"/>
        <v>6</v>
      </c>
      <c r="AU265">
        <f t="shared" si="237"/>
        <v>5023</v>
      </c>
      <c r="AV265" s="1">
        <v>2</v>
      </c>
      <c r="AW265">
        <v>5</v>
      </c>
      <c r="AX265">
        <v>0.1</v>
      </c>
      <c r="AZ265">
        <v>5</v>
      </c>
      <c r="BA265">
        <v>3</v>
      </c>
      <c r="BZ265" t="str">
        <f t="shared" si="243"/>
        <v>1334012,2334011</v>
      </c>
      <c r="CA265">
        <v>1334012</v>
      </c>
      <c r="CB265">
        <v>2334011</v>
      </c>
      <c r="CD265" s="13"/>
      <c r="CE265" s="13"/>
      <c r="CG265" t="str">
        <f t="shared" si="254"/>
        <v>DATA_Class_Base17</v>
      </c>
      <c r="CH265" s="6" t="s">
        <v>318</v>
      </c>
    </row>
    <row r="266" spans="1:86" ht="14.25">
      <c r="A266">
        <f t="shared" si="245"/>
        <v>5073601</v>
      </c>
      <c r="B266" s="2" t="s">
        <v>579</v>
      </c>
      <c r="C266" s="48" t="s">
        <v>580</v>
      </c>
      <c r="D266">
        <v>7</v>
      </c>
      <c r="E266">
        <v>6</v>
      </c>
      <c r="F266">
        <v>3</v>
      </c>
      <c r="G266" s="3" t="s">
        <v>581</v>
      </c>
      <c r="H266" s="3" t="s">
        <v>581</v>
      </c>
      <c r="I266">
        <v>0</v>
      </c>
      <c r="J266" s="2" t="s">
        <v>309</v>
      </c>
      <c r="K266" s="2">
        <f t="shared" si="246"/>
        <v>6</v>
      </c>
      <c r="L266" s="2">
        <f t="shared" si="238"/>
        <v>1.5</v>
      </c>
      <c r="M266" s="2">
        <f t="shared" si="238"/>
        <v>2</v>
      </c>
      <c r="N266" s="2">
        <v>10</v>
      </c>
      <c r="O266" s="2">
        <f t="shared" si="244"/>
        <v>243.54</v>
      </c>
      <c r="P266" s="2">
        <f t="shared" si="244"/>
        <v>12.42</v>
      </c>
      <c r="Q266" s="2">
        <f t="shared" si="244"/>
        <v>3608</v>
      </c>
      <c r="R266" s="2">
        <f t="shared" si="244"/>
        <v>184.01</v>
      </c>
      <c r="S266" s="2">
        <f t="shared" si="244"/>
        <v>60.89</v>
      </c>
      <c r="T266" s="2">
        <f t="shared" si="244"/>
        <v>4.57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17">
        <v>536012</v>
      </c>
      <c r="AA266" s="14" t="s">
        <v>653</v>
      </c>
      <c r="AB266" s="15" t="s">
        <v>469</v>
      </c>
      <c r="AC266" s="2">
        <v>5083601</v>
      </c>
      <c r="AD266" s="2">
        <v>0</v>
      </c>
      <c r="AE266" s="2">
        <v>1</v>
      </c>
      <c r="AF266" s="2">
        <f t="shared" si="241"/>
        <v>5063601</v>
      </c>
      <c r="AG266" s="2">
        <v>1</v>
      </c>
      <c r="AH266" s="2"/>
      <c r="AI266">
        <v>1</v>
      </c>
      <c r="AJ266" s="1">
        <f t="shared" si="242"/>
        <v>170.48076975256799</v>
      </c>
      <c r="AK266">
        <v>7</v>
      </c>
      <c r="AL266">
        <f t="shared" si="247"/>
        <v>221.39999999999998</v>
      </c>
      <c r="AM266">
        <f t="shared" si="248"/>
        <v>11.291399999999998</v>
      </c>
      <c r="AN266">
        <f t="shared" si="249"/>
        <v>3279.9999999999995</v>
      </c>
      <c r="AO266">
        <f t="shared" si="250"/>
        <v>167.27999999999997</v>
      </c>
      <c r="AP266">
        <f t="shared" si="251"/>
        <v>55.349999999999994</v>
      </c>
      <c r="AQ266">
        <f t="shared" si="252"/>
        <v>4.1512499999999992</v>
      </c>
      <c r="AR266">
        <f t="shared" si="253"/>
        <v>1.5</v>
      </c>
      <c r="AS266">
        <f t="shared" si="239"/>
        <v>2</v>
      </c>
      <c r="AT266">
        <f t="shared" si="240"/>
        <v>6</v>
      </c>
      <c r="AU266">
        <f t="shared" si="237"/>
        <v>6013</v>
      </c>
      <c r="AV266" s="1">
        <v>1</v>
      </c>
      <c r="AW266">
        <v>5</v>
      </c>
      <c r="AX266">
        <v>0.1</v>
      </c>
      <c r="AZ266">
        <v>6</v>
      </c>
      <c r="BA266">
        <v>3</v>
      </c>
      <c r="BZ266" t="str">
        <f t="shared" si="243"/>
        <v>1334022,2334021</v>
      </c>
      <c r="CA266">
        <v>1334022</v>
      </c>
      <c r="CB266">
        <v>2334021</v>
      </c>
      <c r="CD266" s="13"/>
      <c r="CE266" s="13"/>
      <c r="CG266" t="str">
        <f t="shared" si="254"/>
        <v>DATA_Class_Base18</v>
      </c>
      <c r="CH266" s="6" t="s">
        <v>324</v>
      </c>
    </row>
    <row r="267" spans="1:86" ht="14.25" customHeight="1">
      <c r="A267">
        <f t="shared" si="245"/>
        <v>5074201</v>
      </c>
      <c r="B267" s="2" t="s">
        <v>583</v>
      </c>
      <c r="C267" s="48" t="s">
        <v>584</v>
      </c>
      <c r="D267">
        <v>7</v>
      </c>
      <c r="E267">
        <v>2</v>
      </c>
      <c r="F267">
        <v>4</v>
      </c>
      <c r="G267" s="3" t="s">
        <v>585</v>
      </c>
      <c r="H267" s="3" t="s">
        <v>585</v>
      </c>
      <c r="I267" s="30">
        <v>0</v>
      </c>
      <c r="J267" s="8" t="s">
        <v>298</v>
      </c>
      <c r="K267" s="2">
        <f t="shared" si="246"/>
        <v>3</v>
      </c>
      <c r="L267" s="2">
        <f t="shared" si="238"/>
        <v>1.8</v>
      </c>
      <c r="M267" s="2">
        <f t="shared" si="238"/>
        <v>1.8</v>
      </c>
      <c r="N267" s="2">
        <v>10</v>
      </c>
      <c r="O267" s="2">
        <f t="shared" si="244"/>
        <v>283.39</v>
      </c>
      <c r="P267" s="2">
        <f t="shared" si="244"/>
        <v>14.45</v>
      </c>
      <c r="Q267" s="2">
        <f t="shared" si="244"/>
        <v>4428</v>
      </c>
      <c r="R267" s="2">
        <f t="shared" si="244"/>
        <v>225.83</v>
      </c>
      <c r="S267" s="2">
        <f t="shared" si="244"/>
        <v>104.96</v>
      </c>
      <c r="T267" s="2">
        <f t="shared" si="244"/>
        <v>7.87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17">
        <v>542012</v>
      </c>
      <c r="AA267" s="15" t="s">
        <v>654</v>
      </c>
      <c r="AB267" s="15" t="s">
        <v>469</v>
      </c>
      <c r="AC267" s="2">
        <v>5084201</v>
      </c>
      <c r="AD267" s="2">
        <v>0</v>
      </c>
      <c r="AE267" s="2">
        <v>1</v>
      </c>
      <c r="AF267" s="2">
        <f t="shared" si="241"/>
        <v>5064201</v>
      </c>
      <c r="AG267" s="2">
        <v>1</v>
      </c>
      <c r="AH267" s="2"/>
      <c r="AI267">
        <v>1</v>
      </c>
      <c r="AJ267" s="1">
        <f t="shared" si="242"/>
        <v>171.6805152891713</v>
      </c>
      <c r="AK267">
        <v>7</v>
      </c>
      <c r="AL267">
        <f t="shared" si="247"/>
        <v>236.16</v>
      </c>
      <c r="AM267">
        <f t="shared" si="248"/>
        <v>12.04416</v>
      </c>
      <c r="AN267">
        <f t="shared" si="249"/>
        <v>3689.9999999999995</v>
      </c>
      <c r="AO267">
        <f t="shared" si="250"/>
        <v>188.18999999999997</v>
      </c>
      <c r="AP267">
        <f t="shared" si="251"/>
        <v>87.466666666666654</v>
      </c>
      <c r="AQ267">
        <f t="shared" si="252"/>
        <v>6.5599999999999987</v>
      </c>
      <c r="AR267">
        <f t="shared" si="253"/>
        <v>1.8</v>
      </c>
      <c r="AS267">
        <f t="shared" si="239"/>
        <v>1.8</v>
      </c>
      <c r="AT267">
        <f t="shared" si="240"/>
        <v>3</v>
      </c>
      <c r="AU267">
        <f t="shared" si="237"/>
        <v>2014</v>
      </c>
      <c r="AV267" s="1">
        <v>1</v>
      </c>
      <c r="AW267">
        <v>5</v>
      </c>
      <c r="AX267">
        <v>0.2</v>
      </c>
      <c r="AZ267">
        <v>2</v>
      </c>
      <c r="BA267">
        <v>4</v>
      </c>
      <c r="BZ267" t="str">
        <f t="shared" si="243"/>
        <v>1335002,2335001</v>
      </c>
      <c r="CA267">
        <v>1335002</v>
      </c>
      <c r="CB267">
        <v>2335001</v>
      </c>
      <c r="CD267" s="13"/>
      <c r="CE267" s="13"/>
      <c r="CG267" t="str">
        <f t="shared" si="254"/>
        <v>DATA_Class_Base19</v>
      </c>
      <c r="CH267" s="6" t="s">
        <v>331</v>
      </c>
    </row>
    <row r="268" spans="1:86" ht="14.25">
      <c r="A268">
        <f t="shared" si="245"/>
        <v>5074302</v>
      </c>
      <c r="B268" s="2" t="s">
        <v>587</v>
      </c>
      <c r="C268" s="48" t="s">
        <v>588</v>
      </c>
      <c r="D268">
        <v>7</v>
      </c>
      <c r="E268">
        <v>3</v>
      </c>
      <c r="F268">
        <v>4</v>
      </c>
      <c r="G268" s="3" t="s">
        <v>589</v>
      </c>
      <c r="H268" s="3" t="s">
        <v>589</v>
      </c>
      <c r="I268" s="30">
        <v>0</v>
      </c>
      <c r="J268" s="8" t="s">
        <v>590</v>
      </c>
      <c r="K268" s="2">
        <f t="shared" si="246"/>
        <v>3</v>
      </c>
      <c r="L268" s="2">
        <f t="shared" si="238"/>
        <v>1.4000000000000001</v>
      </c>
      <c r="M268" s="2">
        <f t="shared" si="238"/>
        <v>2</v>
      </c>
      <c r="N268" s="2">
        <v>10</v>
      </c>
      <c r="O268" s="2">
        <f t="shared" si="244"/>
        <v>290.44</v>
      </c>
      <c r="P268" s="2">
        <f t="shared" si="244"/>
        <v>14.81</v>
      </c>
      <c r="Q268" s="2">
        <f t="shared" si="244"/>
        <v>3086.18</v>
      </c>
      <c r="R268" s="2">
        <f t="shared" si="244"/>
        <v>157.4</v>
      </c>
      <c r="S268" s="2">
        <f t="shared" si="244"/>
        <v>72.61</v>
      </c>
      <c r="T268" s="2">
        <f t="shared" si="244"/>
        <v>5.45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17">
        <v>543022</v>
      </c>
      <c r="AA268" s="15" t="s">
        <v>655</v>
      </c>
      <c r="AB268" s="15" t="s">
        <v>469</v>
      </c>
      <c r="AC268" s="2">
        <v>5084302</v>
      </c>
      <c r="AD268" s="2">
        <v>0</v>
      </c>
      <c r="AE268" s="2">
        <v>1</v>
      </c>
      <c r="AF268" s="2">
        <f t="shared" si="241"/>
        <v>5064302</v>
      </c>
      <c r="AG268" s="2">
        <v>1</v>
      </c>
      <c r="AH268" s="2"/>
      <c r="AI268">
        <v>1</v>
      </c>
      <c r="AJ268" s="1">
        <f t="shared" si="242"/>
        <v>170.77022890675201</v>
      </c>
      <c r="AK268">
        <v>7</v>
      </c>
      <c r="AL268">
        <f t="shared" si="247"/>
        <v>252.55999999999995</v>
      </c>
      <c r="AM268">
        <f t="shared" si="248"/>
        <v>12.880559999999996</v>
      </c>
      <c r="AN268">
        <f t="shared" si="249"/>
        <v>2683.6363636363631</v>
      </c>
      <c r="AO268">
        <f t="shared" si="250"/>
        <v>136.8654545454545</v>
      </c>
      <c r="AP268">
        <f t="shared" si="251"/>
        <v>63.139999999999986</v>
      </c>
      <c r="AQ268">
        <f t="shared" si="252"/>
        <v>4.7354999999999992</v>
      </c>
      <c r="AR268">
        <f t="shared" si="253"/>
        <v>1.4</v>
      </c>
      <c r="AS268">
        <f t="shared" si="239"/>
        <v>2</v>
      </c>
      <c r="AT268">
        <f t="shared" si="240"/>
        <v>3</v>
      </c>
      <c r="AU268">
        <f t="shared" ref="AU268:AU331" si="255">AZ268*1000+AV268*10+BA268</f>
        <v>3024</v>
      </c>
      <c r="AV268" s="1">
        <v>2</v>
      </c>
      <c r="AW268">
        <v>5</v>
      </c>
      <c r="AX268">
        <v>0.15</v>
      </c>
      <c r="AZ268">
        <v>3</v>
      </c>
      <c r="BA268">
        <v>4</v>
      </c>
      <c r="BZ268" t="str">
        <f t="shared" si="243"/>
        <v>1335022,2335021</v>
      </c>
      <c r="CA268">
        <v>1335022</v>
      </c>
      <c r="CB268">
        <v>2335021</v>
      </c>
      <c r="CD268" s="13"/>
      <c r="CE268" s="13"/>
      <c r="CG268" t="str">
        <f t="shared" si="254"/>
        <v>DATA_Class_Base20</v>
      </c>
      <c r="CH268" s="6" t="s">
        <v>336</v>
      </c>
    </row>
    <row r="269" spans="1:86" ht="14.25">
      <c r="A269" s="49">
        <f t="shared" si="245"/>
        <v>5074501</v>
      </c>
      <c r="B269" s="2" t="s">
        <v>592</v>
      </c>
      <c r="C269" s="48" t="s">
        <v>593</v>
      </c>
      <c r="D269">
        <v>7</v>
      </c>
      <c r="E269">
        <v>5</v>
      </c>
      <c r="F269">
        <v>4</v>
      </c>
      <c r="G269" s="3" t="s">
        <v>594</v>
      </c>
      <c r="H269" s="3" t="s">
        <v>594</v>
      </c>
      <c r="I269">
        <v>0</v>
      </c>
      <c r="J269" s="2" t="s">
        <v>334</v>
      </c>
      <c r="K269" s="2">
        <f t="shared" si="246"/>
        <v>6</v>
      </c>
      <c r="L269" s="2">
        <f t="shared" ref="L269:M284" si="256">FLOOR(AR269/1,0.01)</f>
        <v>1.6</v>
      </c>
      <c r="M269" s="2">
        <f t="shared" si="256"/>
        <v>2</v>
      </c>
      <c r="N269" s="2">
        <v>10</v>
      </c>
      <c r="O269" s="2">
        <f t="shared" si="244"/>
        <v>392.29</v>
      </c>
      <c r="P269" s="2">
        <f t="shared" si="244"/>
        <v>20.010000000000002</v>
      </c>
      <c r="Q269" s="2">
        <f t="shared" si="244"/>
        <v>2611.38</v>
      </c>
      <c r="R269" s="2">
        <f t="shared" si="244"/>
        <v>133.18</v>
      </c>
      <c r="S269" s="2">
        <f t="shared" si="244"/>
        <v>56.04</v>
      </c>
      <c r="T269" s="2">
        <f t="shared" si="244"/>
        <v>4.2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17">
        <v>545012</v>
      </c>
      <c r="AA269" s="14" t="s">
        <v>656</v>
      </c>
      <c r="AB269" s="15" t="s">
        <v>469</v>
      </c>
      <c r="AC269" s="2">
        <v>5084501</v>
      </c>
      <c r="AD269" s="2">
        <v>0</v>
      </c>
      <c r="AE269" s="2">
        <v>1</v>
      </c>
      <c r="AF269" s="2">
        <f t="shared" si="241"/>
        <v>5064501</v>
      </c>
      <c r="AG269" s="2">
        <v>1</v>
      </c>
      <c r="AH269" s="2"/>
      <c r="AI269">
        <v>1</v>
      </c>
      <c r="AJ269" s="1">
        <f t="shared" si="242"/>
        <v>170.23560821445349</v>
      </c>
      <c r="AK269">
        <v>7</v>
      </c>
      <c r="AL269">
        <f t="shared" si="247"/>
        <v>341.12</v>
      </c>
      <c r="AM269">
        <f t="shared" si="248"/>
        <v>17.397119999999997</v>
      </c>
      <c r="AN269">
        <f t="shared" si="249"/>
        <v>2270.7692307692305</v>
      </c>
      <c r="AO269">
        <f t="shared" si="250"/>
        <v>115.80923076923075</v>
      </c>
      <c r="AP269">
        <f t="shared" si="251"/>
        <v>48.731428571428573</v>
      </c>
      <c r="AQ269">
        <f t="shared" si="252"/>
        <v>3.6548571428571428</v>
      </c>
      <c r="AR269">
        <f t="shared" si="253"/>
        <v>1.6</v>
      </c>
      <c r="AS269">
        <f t="shared" si="239"/>
        <v>2</v>
      </c>
      <c r="AT269">
        <f t="shared" si="240"/>
        <v>6</v>
      </c>
      <c r="AU269">
        <f t="shared" si="255"/>
        <v>5014</v>
      </c>
      <c r="AV269" s="1">
        <v>1</v>
      </c>
      <c r="AW269">
        <v>5</v>
      </c>
      <c r="AX269">
        <v>0.15</v>
      </c>
      <c r="AZ269">
        <v>5</v>
      </c>
      <c r="BA269">
        <v>4</v>
      </c>
      <c r="BZ269" t="str">
        <f t="shared" si="243"/>
        <v>1336012,2336011</v>
      </c>
      <c r="CA269">
        <v>1336012</v>
      </c>
      <c r="CB269">
        <v>2336011</v>
      </c>
      <c r="CD269" s="13"/>
      <c r="CE269" s="13"/>
      <c r="CG269" t="str">
        <f t="shared" si="254"/>
        <v>DATA_Class_Base21</v>
      </c>
      <c r="CH269" s="6" t="s">
        <v>342</v>
      </c>
    </row>
    <row r="270" spans="1:86" ht="14.25">
      <c r="A270" s="49">
        <f t="shared" si="245"/>
        <v>5074600</v>
      </c>
      <c r="B270" s="2" t="s">
        <v>596</v>
      </c>
      <c r="C270" s="48" t="s">
        <v>597</v>
      </c>
      <c r="D270">
        <v>7</v>
      </c>
      <c r="E270">
        <v>6</v>
      </c>
      <c r="F270">
        <v>4</v>
      </c>
      <c r="G270" s="3" t="s">
        <v>598</v>
      </c>
      <c r="H270" s="3" t="s">
        <v>598</v>
      </c>
      <c r="I270" s="2">
        <v>0</v>
      </c>
      <c r="J270" s="2" t="s">
        <v>339</v>
      </c>
      <c r="K270" s="2">
        <f t="shared" si="246"/>
        <v>3</v>
      </c>
      <c r="L270" s="2">
        <f t="shared" si="256"/>
        <v>1.4000000000000001</v>
      </c>
      <c r="M270" s="2">
        <f t="shared" si="256"/>
        <v>1.9000000000000001</v>
      </c>
      <c r="N270" s="2">
        <v>10</v>
      </c>
      <c r="O270" s="2">
        <f t="shared" si="244"/>
        <v>290.44</v>
      </c>
      <c r="P270" s="2">
        <f t="shared" si="244"/>
        <v>14.81</v>
      </c>
      <c r="Q270" s="2">
        <f t="shared" si="244"/>
        <v>3086.18</v>
      </c>
      <c r="R270" s="2">
        <f t="shared" si="244"/>
        <v>157.4</v>
      </c>
      <c r="S270" s="2">
        <f t="shared" si="244"/>
        <v>72.61</v>
      </c>
      <c r="T270" s="2">
        <f t="shared" si="244"/>
        <v>5.45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17">
        <v>546002</v>
      </c>
      <c r="AA270" s="14" t="s">
        <v>657</v>
      </c>
      <c r="AB270" s="15" t="s">
        <v>469</v>
      </c>
      <c r="AC270" s="2">
        <v>5084600</v>
      </c>
      <c r="AD270" s="2">
        <v>0</v>
      </c>
      <c r="AE270" s="2">
        <v>1</v>
      </c>
      <c r="AF270" s="2">
        <f t="shared" si="241"/>
        <v>5064600</v>
      </c>
      <c r="AG270" s="2">
        <v>1</v>
      </c>
      <c r="AH270" s="2"/>
      <c r="AI270">
        <v>1</v>
      </c>
      <c r="AJ270" s="1">
        <f t="shared" si="242"/>
        <v>170.77022890675201</v>
      </c>
      <c r="AK270">
        <v>7</v>
      </c>
      <c r="AL270">
        <f t="shared" si="247"/>
        <v>252.55999999999995</v>
      </c>
      <c r="AM270">
        <f t="shared" si="248"/>
        <v>12.880559999999996</v>
      </c>
      <c r="AN270">
        <f t="shared" si="249"/>
        <v>2683.6363636363631</v>
      </c>
      <c r="AO270">
        <f t="shared" si="250"/>
        <v>136.8654545454545</v>
      </c>
      <c r="AP270">
        <f t="shared" si="251"/>
        <v>63.139999999999986</v>
      </c>
      <c r="AQ270">
        <f t="shared" si="252"/>
        <v>4.7354999999999992</v>
      </c>
      <c r="AR270">
        <f t="shared" si="253"/>
        <v>1.4</v>
      </c>
      <c r="AS270">
        <f t="shared" si="239"/>
        <v>1.9</v>
      </c>
      <c r="AT270">
        <f t="shared" si="240"/>
        <v>3</v>
      </c>
      <c r="AU270">
        <f t="shared" si="255"/>
        <v>6004</v>
      </c>
      <c r="AV270" s="1">
        <v>0</v>
      </c>
      <c r="AW270">
        <v>5</v>
      </c>
      <c r="AX270">
        <v>0.15</v>
      </c>
      <c r="AZ270">
        <v>6</v>
      </c>
      <c r="BA270">
        <v>4</v>
      </c>
      <c r="BZ270" t="str">
        <f t="shared" si="243"/>
        <v>1345012,2345011</v>
      </c>
      <c r="CA270">
        <v>1345012</v>
      </c>
      <c r="CB270">
        <v>2345011</v>
      </c>
      <c r="CD270" s="13"/>
      <c r="CE270" s="13"/>
      <c r="CG270" t="str">
        <f t="shared" si="254"/>
        <v>DATA_Class_Base22</v>
      </c>
      <c r="CH270" s="6" t="s">
        <v>349</v>
      </c>
    </row>
    <row r="271" spans="1:86" ht="14.25">
      <c r="A271">
        <f t="shared" si="245"/>
        <v>5074602</v>
      </c>
      <c r="B271" s="2" t="s">
        <v>600</v>
      </c>
      <c r="C271" s="48" t="s">
        <v>601</v>
      </c>
      <c r="D271">
        <v>7</v>
      </c>
      <c r="E271">
        <v>6</v>
      </c>
      <c r="F271">
        <v>4</v>
      </c>
      <c r="G271" s="3" t="s">
        <v>602</v>
      </c>
      <c r="H271" s="3" t="s">
        <v>602</v>
      </c>
      <c r="I271" t="s">
        <v>345</v>
      </c>
      <c r="J271" s="2" t="s">
        <v>346</v>
      </c>
      <c r="K271" s="2">
        <f t="shared" si="246"/>
        <v>6</v>
      </c>
      <c r="L271" s="2">
        <f t="shared" si="256"/>
        <v>1.8</v>
      </c>
      <c r="M271" s="2">
        <f t="shared" si="256"/>
        <v>2</v>
      </c>
      <c r="N271" s="2">
        <v>10</v>
      </c>
      <c r="O271" s="2">
        <f t="shared" si="244"/>
        <v>354.24</v>
      </c>
      <c r="P271" s="2">
        <f t="shared" si="244"/>
        <v>18.07</v>
      </c>
      <c r="Q271" s="2">
        <f t="shared" si="244"/>
        <v>3542.4</v>
      </c>
      <c r="R271" s="2">
        <f t="shared" si="244"/>
        <v>180.66</v>
      </c>
      <c r="S271" s="2">
        <f t="shared" si="244"/>
        <v>70.849999999999994</v>
      </c>
      <c r="T271" s="2">
        <f t="shared" si="244"/>
        <v>5.31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17">
        <v>546022</v>
      </c>
      <c r="AA271" s="55" t="s">
        <v>1722</v>
      </c>
      <c r="AB271" s="15" t="s">
        <v>469</v>
      </c>
      <c r="AC271" s="2">
        <v>5084602</v>
      </c>
      <c r="AD271" s="2">
        <v>0</v>
      </c>
      <c r="AE271" s="2">
        <v>1</v>
      </c>
      <c r="AF271" s="2">
        <f t="shared" si="241"/>
        <v>5064602</v>
      </c>
      <c r="AG271" s="2">
        <v>1</v>
      </c>
      <c r="AH271" s="2"/>
      <c r="AI271">
        <v>1</v>
      </c>
      <c r="AJ271" s="1">
        <f t="shared" si="242"/>
        <v>170.617759565136</v>
      </c>
      <c r="AK271">
        <v>7</v>
      </c>
      <c r="AL271">
        <f t="shared" si="247"/>
        <v>295.2</v>
      </c>
      <c r="AM271">
        <f t="shared" si="248"/>
        <v>15.055199999999999</v>
      </c>
      <c r="AN271">
        <f t="shared" si="249"/>
        <v>2951.9999999999995</v>
      </c>
      <c r="AO271">
        <f t="shared" si="250"/>
        <v>150.55199999999996</v>
      </c>
      <c r="AP271">
        <f t="shared" si="251"/>
        <v>59.04</v>
      </c>
      <c r="AQ271">
        <f t="shared" si="252"/>
        <v>4.4279999999999999</v>
      </c>
      <c r="AR271">
        <f t="shared" si="253"/>
        <v>1.8</v>
      </c>
      <c r="AS271">
        <f t="shared" si="239"/>
        <v>2</v>
      </c>
      <c r="AT271">
        <f t="shared" si="240"/>
        <v>6</v>
      </c>
      <c r="AU271">
        <f t="shared" si="255"/>
        <v>6024</v>
      </c>
      <c r="AV271" s="1">
        <v>2</v>
      </c>
      <c r="AW271">
        <v>5</v>
      </c>
      <c r="AX271">
        <v>0.2</v>
      </c>
      <c r="AZ271">
        <v>6</v>
      </c>
      <c r="BA271">
        <v>4</v>
      </c>
      <c r="BZ271" t="str">
        <f t="shared" si="243"/>
        <v>1346002,2346001</v>
      </c>
      <c r="CA271">
        <v>1346002</v>
      </c>
      <c r="CB271">
        <v>2346001</v>
      </c>
      <c r="CD271" s="13"/>
      <c r="CE271" s="13"/>
      <c r="CG271" t="str">
        <f t="shared" si="254"/>
        <v>DATA_Class_Base23</v>
      </c>
      <c r="CH271" s="6" t="s">
        <v>355</v>
      </c>
    </row>
    <row r="272" spans="1:86" ht="14.25">
      <c r="A272">
        <f t="shared" si="245"/>
        <v>5075202</v>
      </c>
      <c r="B272" s="2" t="s">
        <v>604</v>
      </c>
      <c r="C272" s="48" t="s">
        <v>605</v>
      </c>
      <c r="D272">
        <v>7</v>
      </c>
      <c r="E272">
        <v>2</v>
      </c>
      <c r="F272">
        <v>5</v>
      </c>
      <c r="G272" s="3" t="s">
        <v>606</v>
      </c>
      <c r="H272" s="3" t="s">
        <v>606</v>
      </c>
      <c r="I272" s="3">
        <v>0</v>
      </c>
      <c r="J272" s="8" t="s">
        <v>607</v>
      </c>
      <c r="K272" s="2">
        <f t="shared" si="246"/>
        <v>3</v>
      </c>
      <c r="L272" s="2">
        <f t="shared" si="256"/>
        <v>1.6</v>
      </c>
      <c r="M272" s="2">
        <f t="shared" si="256"/>
        <v>2</v>
      </c>
      <c r="N272" s="2">
        <v>10</v>
      </c>
      <c r="O272" s="2">
        <f t="shared" si="244"/>
        <v>301.76</v>
      </c>
      <c r="P272" s="2">
        <f t="shared" si="244"/>
        <v>15.39</v>
      </c>
      <c r="Q272" s="2">
        <f t="shared" si="244"/>
        <v>3394.8</v>
      </c>
      <c r="R272" s="2">
        <f t="shared" si="244"/>
        <v>173.13</v>
      </c>
      <c r="S272" s="2">
        <f t="shared" si="244"/>
        <v>100.59</v>
      </c>
      <c r="T272" s="2">
        <f t="shared" si="244"/>
        <v>7.54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17">
        <v>552022</v>
      </c>
      <c r="AA272" s="15" t="s">
        <v>659</v>
      </c>
      <c r="AB272" s="15" t="s">
        <v>469</v>
      </c>
      <c r="AC272" s="2">
        <v>5085202</v>
      </c>
      <c r="AD272" s="2">
        <v>0</v>
      </c>
      <c r="AE272" s="2">
        <v>1</v>
      </c>
      <c r="AF272" s="2">
        <f t="shared" si="241"/>
        <v>5065202</v>
      </c>
      <c r="AG272" s="2">
        <v>1</v>
      </c>
      <c r="AH272" s="2"/>
      <c r="AI272">
        <v>1</v>
      </c>
      <c r="AJ272" s="1">
        <f t="shared" si="242"/>
        <v>171.68051528917124</v>
      </c>
      <c r="AK272">
        <v>7</v>
      </c>
      <c r="AL272">
        <f t="shared" si="247"/>
        <v>262.39999999999998</v>
      </c>
      <c r="AM272">
        <f t="shared" si="248"/>
        <v>13.382399999999999</v>
      </c>
      <c r="AN272">
        <f t="shared" si="249"/>
        <v>2951.9999999999995</v>
      </c>
      <c r="AO272">
        <f t="shared" si="250"/>
        <v>150.55199999999996</v>
      </c>
      <c r="AP272">
        <f t="shared" si="251"/>
        <v>87.466666666666654</v>
      </c>
      <c r="AQ272">
        <f t="shared" si="252"/>
        <v>6.5599999999999987</v>
      </c>
      <c r="AR272">
        <f t="shared" si="253"/>
        <v>1.6</v>
      </c>
      <c r="AS272">
        <f t="shared" si="239"/>
        <v>2</v>
      </c>
      <c r="AT272">
        <f t="shared" si="240"/>
        <v>3</v>
      </c>
      <c r="AU272">
        <f t="shared" si="255"/>
        <v>2025</v>
      </c>
      <c r="AV272" s="1">
        <v>2</v>
      </c>
      <c r="AW272">
        <v>5</v>
      </c>
      <c r="AX272">
        <v>0.15</v>
      </c>
      <c r="AZ272">
        <v>2</v>
      </c>
      <c r="BA272">
        <v>5</v>
      </c>
      <c r="BZ272" t="str">
        <f t="shared" si="243"/>
        <v>1346022,2346021</v>
      </c>
      <c r="CA272">
        <v>1346022</v>
      </c>
      <c r="CB272">
        <v>2346021</v>
      </c>
      <c r="CD272" s="13"/>
      <c r="CE272" s="13"/>
      <c r="CG272" t="str">
        <f t="shared" si="254"/>
        <v>DATA_Class_Base24</v>
      </c>
      <c r="CH272" s="6" t="s">
        <v>361</v>
      </c>
    </row>
    <row r="273" spans="1:86" ht="14.25">
      <c r="A273" s="49">
        <f t="shared" si="245"/>
        <v>5075300</v>
      </c>
      <c r="B273" s="2" t="s">
        <v>609</v>
      </c>
      <c r="C273" s="48" t="s">
        <v>610</v>
      </c>
      <c r="D273">
        <v>7</v>
      </c>
      <c r="E273">
        <v>3</v>
      </c>
      <c r="F273">
        <v>5</v>
      </c>
      <c r="G273" s="3" t="s">
        <v>611</v>
      </c>
      <c r="H273" s="3" t="s">
        <v>611</v>
      </c>
      <c r="I273" s="2">
        <v>0</v>
      </c>
      <c r="J273" s="8" t="s">
        <v>612</v>
      </c>
      <c r="K273" s="2">
        <f t="shared" si="246"/>
        <v>3</v>
      </c>
      <c r="L273" s="2">
        <f t="shared" si="256"/>
        <v>1.3</v>
      </c>
      <c r="M273" s="2">
        <f t="shared" si="256"/>
        <v>2</v>
      </c>
      <c r="N273" s="2">
        <v>10</v>
      </c>
      <c r="O273" s="2">
        <f t="shared" si="244"/>
        <v>294.22000000000003</v>
      </c>
      <c r="P273" s="2">
        <f t="shared" si="244"/>
        <v>15.01</v>
      </c>
      <c r="Q273" s="2">
        <f t="shared" si="244"/>
        <v>3080.35</v>
      </c>
      <c r="R273" s="2">
        <f t="shared" si="244"/>
        <v>157.1</v>
      </c>
      <c r="S273" s="2">
        <f t="shared" si="244"/>
        <v>73.55</v>
      </c>
      <c r="T273" s="2">
        <f t="shared" si="244"/>
        <v>5.52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17">
        <v>553002</v>
      </c>
      <c r="AA273" s="14" t="s">
        <v>660</v>
      </c>
      <c r="AB273" s="15" t="s">
        <v>469</v>
      </c>
      <c r="AC273" s="2">
        <v>5085300</v>
      </c>
      <c r="AD273" s="2">
        <v>0</v>
      </c>
      <c r="AE273" s="2">
        <v>1</v>
      </c>
      <c r="AF273" s="2">
        <f t="shared" si="241"/>
        <v>5065300</v>
      </c>
      <c r="AG273" s="2">
        <v>1</v>
      </c>
      <c r="AH273" s="2"/>
      <c r="AI273">
        <v>1</v>
      </c>
      <c r="AJ273" s="1">
        <f t="shared" si="242"/>
        <v>170.70158399437102</v>
      </c>
      <c r="AK273">
        <v>7</v>
      </c>
      <c r="AL273">
        <f t="shared" si="247"/>
        <v>245.17999999999998</v>
      </c>
      <c r="AM273">
        <f t="shared" si="248"/>
        <v>12.504179999999998</v>
      </c>
      <c r="AN273">
        <f t="shared" si="249"/>
        <v>2566.9565217391305</v>
      </c>
      <c r="AO273">
        <f t="shared" si="250"/>
        <v>130.91478260869565</v>
      </c>
      <c r="AP273">
        <f t="shared" si="251"/>
        <v>61.294999999999995</v>
      </c>
      <c r="AQ273">
        <f t="shared" si="252"/>
        <v>4.5971249999999992</v>
      </c>
      <c r="AR273">
        <f t="shared" si="253"/>
        <v>1.3</v>
      </c>
      <c r="AS273">
        <f t="shared" ref="AS273:AS336" si="257">ROUND(IF(INDEX($BO$5:$BO$60,MATCH($AU273,$BB$5:$BB$60,0))&lt;2,INDEX($BO$5:$BO$60,MATCH($AU273,$BB$5:$BB$60,0))+0.2,2),1)</f>
        <v>2</v>
      </c>
      <c r="AT273">
        <f t="shared" ref="AT273:AT336" si="258">INDEX($BK$5:$BK$60,MATCH($AU273,$BB$5:$BB$60,0))</f>
        <v>3</v>
      </c>
      <c r="AU273">
        <f t="shared" si="255"/>
        <v>3005</v>
      </c>
      <c r="AV273" s="1">
        <v>0</v>
      </c>
      <c r="AW273">
        <v>5</v>
      </c>
      <c r="AX273">
        <v>0.2</v>
      </c>
      <c r="AZ273">
        <v>3</v>
      </c>
      <c r="BA273">
        <v>5</v>
      </c>
      <c r="BZ273" t="str">
        <f t="shared" si="243"/>
        <v>1353002,2353001</v>
      </c>
      <c r="CA273">
        <v>1353002</v>
      </c>
      <c r="CB273">
        <v>2353001</v>
      </c>
      <c r="CD273" s="13"/>
      <c r="CE273" s="13"/>
      <c r="CG273" t="str">
        <f t="shared" si="254"/>
        <v>DATA_Class_Base25</v>
      </c>
      <c r="CH273" s="6" t="s">
        <v>366</v>
      </c>
    </row>
    <row r="274" spans="1:86" ht="14.25">
      <c r="A274">
        <f t="shared" si="245"/>
        <v>5075302</v>
      </c>
      <c r="B274" s="2" t="s">
        <v>614</v>
      </c>
      <c r="C274" s="48" t="s">
        <v>615</v>
      </c>
      <c r="D274">
        <v>7</v>
      </c>
      <c r="E274">
        <v>3</v>
      </c>
      <c r="F274">
        <v>5</v>
      </c>
      <c r="G274" s="3" t="s">
        <v>616</v>
      </c>
      <c r="H274" s="3" t="s">
        <v>616</v>
      </c>
      <c r="I274" s="2">
        <v>0</v>
      </c>
      <c r="J274" s="2" t="s">
        <v>358</v>
      </c>
      <c r="K274" s="2">
        <f t="shared" si="246"/>
        <v>3</v>
      </c>
      <c r="L274" s="2">
        <f t="shared" si="256"/>
        <v>1.4000000000000001</v>
      </c>
      <c r="M274" s="2">
        <f t="shared" si="256"/>
        <v>2</v>
      </c>
      <c r="N274" s="2">
        <v>10</v>
      </c>
      <c r="O274" s="2">
        <f t="shared" si="244"/>
        <v>316.85000000000002</v>
      </c>
      <c r="P274" s="2">
        <f t="shared" si="244"/>
        <v>16.16</v>
      </c>
      <c r="Q274" s="2">
        <f t="shared" si="244"/>
        <v>2829</v>
      </c>
      <c r="R274" s="2">
        <f t="shared" si="244"/>
        <v>144.28</v>
      </c>
      <c r="S274" s="2">
        <f t="shared" si="244"/>
        <v>79.209999999999994</v>
      </c>
      <c r="T274" s="2">
        <f t="shared" si="244"/>
        <v>5.94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17">
        <v>553022</v>
      </c>
      <c r="AA274" s="14" t="s">
        <v>661</v>
      </c>
      <c r="AB274" s="15" t="s">
        <v>469</v>
      </c>
      <c r="AC274" s="2">
        <v>5085302</v>
      </c>
      <c r="AD274" s="2">
        <v>0</v>
      </c>
      <c r="AE274" s="2">
        <v>1</v>
      </c>
      <c r="AF274" s="2">
        <f t="shared" si="241"/>
        <v>5065302</v>
      </c>
      <c r="AG274" s="2">
        <v>1</v>
      </c>
      <c r="AH274" s="2"/>
      <c r="AI274">
        <v>1</v>
      </c>
      <c r="AJ274" s="1">
        <f t="shared" si="242"/>
        <v>170.98414436302079</v>
      </c>
      <c r="AK274">
        <v>7</v>
      </c>
      <c r="AL274">
        <f t="shared" si="247"/>
        <v>275.51999999999992</v>
      </c>
      <c r="AM274">
        <f t="shared" si="248"/>
        <v>14.051519999999995</v>
      </c>
      <c r="AN274">
        <f t="shared" si="249"/>
        <v>2460</v>
      </c>
      <c r="AO274">
        <f t="shared" si="250"/>
        <v>125.46</v>
      </c>
      <c r="AP274">
        <f t="shared" si="251"/>
        <v>68.879999999999981</v>
      </c>
      <c r="AQ274">
        <f t="shared" si="252"/>
        <v>5.1659999999999986</v>
      </c>
      <c r="AR274">
        <f t="shared" si="253"/>
        <v>1.4</v>
      </c>
      <c r="AS274">
        <f t="shared" si="257"/>
        <v>2</v>
      </c>
      <c r="AT274">
        <f t="shared" si="258"/>
        <v>3</v>
      </c>
      <c r="AU274">
        <f t="shared" si="255"/>
        <v>3025</v>
      </c>
      <c r="AV274" s="1">
        <v>2</v>
      </c>
      <c r="AW274">
        <v>5</v>
      </c>
      <c r="AX274">
        <v>0.15</v>
      </c>
      <c r="AZ274">
        <v>3</v>
      </c>
      <c r="BA274">
        <v>5</v>
      </c>
      <c r="BZ274" t="str">
        <f t="shared" si="243"/>
        <v>1353022,2353021</v>
      </c>
      <c r="CA274">
        <v>1353022</v>
      </c>
      <c r="CB274">
        <v>2353021</v>
      </c>
      <c r="CD274" s="13"/>
      <c r="CE274" s="13"/>
      <c r="CG274" t="str">
        <f t="shared" si="254"/>
        <v>DATA_Class_Base26</v>
      </c>
      <c r="CH274" s="6" t="s">
        <v>369</v>
      </c>
    </row>
    <row r="275" spans="1:86" ht="14.25">
      <c r="A275" s="49">
        <f t="shared" si="245"/>
        <v>5075400</v>
      </c>
      <c r="B275" s="2" t="s">
        <v>618</v>
      </c>
      <c r="C275" s="48" t="s">
        <v>619</v>
      </c>
      <c r="D275">
        <v>7</v>
      </c>
      <c r="E275">
        <v>4</v>
      </c>
      <c r="F275">
        <v>5</v>
      </c>
      <c r="G275" s="3" t="s">
        <v>620</v>
      </c>
      <c r="H275" s="3" t="s">
        <v>620</v>
      </c>
      <c r="I275">
        <v>0</v>
      </c>
      <c r="J275" s="2" t="s">
        <v>364</v>
      </c>
      <c r="K275" s="2">
        <f t="shared" si="246"/>
        <v>6</v>
      </c>
      <c r="L275" s="2">
        <f t="shared" si="256"/>
        <v>1.4000000000000001</v>
      </c>
      <c r="M275" s="2">
        <f t="shared" si="256"/>
        <v>2</v>
      </c>
      <c r="N275" s="2">
        <v>10</v>
      </c>
      <c r="O275" s="2">
        <f t="shared" si="244"/>
        <v>344.4</v>
      </c>
      <c r="P275" s="2">
        <f t="shared" si="244"/>
        <v>17.559999999999999</v>
      </c>
      <c r="Q275" s="2">
        <f t="shared" si="244"/>
        <v>2833.92</v>
      </c>
      <c r="R275" s="2">
        <f t="shared" si="244"/>
        <v>144.53</v>
      </c>
      <c r="S275" s="2">
        <f t="shared" si="244"/>
        <v>62.62</v>
      </c>
      <c r="T275" s="2">
        <f t="shared" si="244"/>
        <v>4.7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17">
        <v>554002</v>
      </c>
      <c r="AA275" s="14" t="s">
        <v>662</v>
      </c>
      <c r="AB275" s="15" t="s">
        <v>469</v>
      </c>
      <c r="AC275" s="2">
        <v>5085400</v>
      </c>
      <c r="AD275" s="2">
        <v>0</v>
      </c>
      <c r="AE275" s="2">
        <v>1</v>
      </c>
      <c r="AF275" s="2">
        <f t="shared" si="241"/>
        <v>5065400</v>
      </c>
      <c r="AG275" s="2">
        <v>1</v>
      </c>
      <c r="AH275" s="2"/>
      <c r="AI275">
        <v>1</v>
      </c>
      <c r="AJ275" s="1">
        <f t="shared" si="242"/>
        <v>170.36332763260549</v>
      </c>
      <c r="AK275">
        <v>7</v>
      </c>
      <c r="AL275">
        <f t="shared" si="247"/>
        <v>287</v>
      </c>
      <c r="AM275">
        <f t="shared" si="248"/>
        <v>14.636999999999999</v>
      </c>
      <c r="AN275">
        <f t="shared" si="249"/>
        <v>2361.6</v>
      </c>
      <c r="AO275">
        <f t="shared" si="250"/>
        <v>120.44159999999999</v>
      </c>
      <c r="AP275">
        <f t="shared" si="251"/>
        <v>52.18181818181818</v>
      </c>
      <c r="AQ275">
        <f t="shared" si="252"/>
        <v>3.9136363636363631</v>
      </c>
      <c r="AR275">
        <f t="shared" si="253"/>
        <v>1.4</v>
      </c>
      <c r="AS275">
        <f t="shared" si="257"/>
        <v>2</v>
      </c>
      <c r="AT275">
        <f t="shared" si="258"/>
        <v>6</v>
      </c>
      <c r="AU275">
        <f t="shared" si="255"/>
        <v>4005</v>
      </c>
      <c r="AV275" s="1">
        <v>0</v>
      </c>
      <c r="AW275">
        <v>5</v>
      </c>
      <c r="AX275">
        <v>0.2</v>
      </c>
      <c r="AZ275">
        <v>4</v>
      </c>
      <c r="BA275">
        <v>5</v>
      </c>
      <c r="BZ275" t="str">
        <f t="shared" si="243"/>
        <v>1354002,2354001</v>
      </c>
      <c r="CA275">
        <v>1354002</v>
      </c>
      <c r="CB275">
        <v>2354001</v>
      </c>
      <c r="CG275" t="str">
        <f t="shared" si="254"/>
        <v>DATA_Class_Base27</v>
      </c>
      <c r="CH275" s="6" t="s">
        <v>371</v>
      </c>
    </row>
    <row r="276" spans="1:86" ht="14.25">
      <c r="A276">
        <f t="shared" si="245"/>
        <v>5075501</v>
      </c>
      <c r="B276" s="2" t="s">
        <v>622</v>
      </c>
      <c r="C276" s="48" t="s">
        <v>623</v>
      </c>
      <c r="D276">
        <v>7</v>
      </c>
      <c r="E276">
        <v>5</v>
      </c>
      <c r="F276">
        <v>5</v>
      </c>
      <c r="G276" s="3" t="s">
        <v>624</v>
      </c>
      <c r="H276" s="3" t="s">
        <v>624</v>
      </c>
      <c r="I276" s="3">
        <v>0</v>
      </c>
      <c r="J276" s="8" t="s">
        <v>625</v>
      </c>
      <c r="K276" s="2">
        <f t="shared" si="246"/>
        <v>6</v>
      </c>
      <c r="L276" s="2">
        <f t="shared" si="256"/>
        <v>1.5</v>
      </c>
      <c r="M276" s="2">
        <f t="shared" si="256"/>
        <v>2</v>
      </c>
      <c r="N276" s="2">
        <v>10</v>
      </c>
      <c r="O276" s="2">
        <f t="shared" si="244"/>
        <v>410.21</v>
      </c>
      <c r="P276" s="2">
        <f t="shared" si="244"/>
        <v>20.92</v>
      </c>
      <c r="Q276" s="2">
        <f t="shared" si="244"/>
        <v>2341.2399999999998</v>
      </c>
      <c r="R276" s="2">
        <f t="shared" si="244"/>
        <v>119.4</v>
      </c>
      <c r="S276" s="2">
        <f t="shared" si="244"/>
        <v>51.28</v>
      </c>
      <c r="T276" s="2">
        <f t="shared" si="244"/>
        <v>3.85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17">
        <v>555012</v>
      </c>
      <c r="AA276" s="15" t="s">
        <v>663</v>
      </c>
      <c r="AB276" s="15" t="s">
        <v>469</v>
      </c>
      <c r="AC276" s="2">
        <v>5085501</v>
      </c>
      <c r="AD276" s="2">
        <v>0</v>
      </c>
      <c r="AE276" s="2">
        <v>1</v>
      </c>
      <c r="AF276" s="2">
        <f t="shared" si="241"/>
        <v>5065501</v>
      </c>
      <c r="AG276" s="2">
        <v>1</v>
      </c>
      <c r="AH276" s="2"/>
      <c r="AI276">
        <v>1</v>
      </c>
      <c r="AJ276" s="1">
        <f t="shared" si="242"/>
        <v>170.08246967741951</v>
      </c>
      <c r="AK276">
        <v>7</v>
      </c>
      <c r="AL276">
        <f t="shared" si="247"/>
        <v>356.7</v>
      </c>
      <c r="AM276">
        <f t="shared" si="248"/>
        <v>18.191699999999997</v>
      </c>
      <c r="AN276">
        <f t="shared" si="249"/>
        <v>2035.8620689655172</v>
      </c>
      <c r="AO276">
        <f t="shared" si="250"/>
        <v>103.82896551724137</v>
      </c>
      <c r="AP276">
        <f t="shared" si="251"/>
        <v>44.587499999999999</v>
      </c>
      <c r="AQ276">
        <f t="shared" si="252"/>
        <v>3.3440624999999997</v>
      </c>
      <c r="AR276">
        <f t="shared" si="253"/>
        <v>1.5</v>
      </c>
      <c r="AS276">
        <f t="shared" si="257"/>
        <v>2</v>
      </c>
      <c r="AT276">
        <f t="shared" si="258"/>
        <v>6</v>
      </c>
      <c r="AU276">
        <f t="shared" si="255"/>
        <v>5015</v>
      </c>
      <c r="AV276" s="1">
        <v>1</v>
      </c>
      <c r="AW276">
        <v>5</v>
      </c>
      <c r="AX276">
        <v>0.15</v>
      </c>
      <c r="AZ276">
        <v>5</v>
      </c>
      <c r="BA276">
        <v>5</v>
      </c>
      <c r="BX276">
        <v>1</v>
      </c>
      <c r="BZ276" t="str">
        <f t="shared" ref="BZ276:BZ312" si="259">CA276&amp;","&amp;CB276&amp;","&amp;CC276</f>
        <v>1512003,2512003,3512003</v>
      </c>
      <c r="CA276">
        <v>1512003</v>
      </c>
      <c r="CB276">
        <v>2512003</v>
      </c>
      <c r="CC276">
        <v>3512003</v>
      </c>
      <c r="CG276" t="str">
        <f t="shared" si="254"/>
        <v>DATA_Class_Base28</v>
      </c>
      <c r="CH276" s="3" t="s">
        <v>374</v>
      </c>
    </row>
    <row r="277" spans="1:86" ht="14.25">
      <c r="A277">
        <f t="shared" si="245"/>
        <v>5081200</v>
      </c>
      <c r="B277" s="2" t="s">
        <v>464</v>
      </c>
      <c r="C277" s="48" t="s">
        <v>465</v>
      </c>
      <c r="D277">
        <v>8</v>
      </c>
      <c r="E277">
        <v>2</v>
      </c>
      <c r="F277">
        <v>1</v>
      </c>
      <c r="G277" s="3" t="s">
        <v>466</v>
      </c>
      <c r="H277" s="3" t="s">
        <v>466</v>
      </c>
      <c r="I277" s="2">
        <v>0</v>
      </c>
      <c r="J277" s="8" t="s">
        <v>467</v>
      </c>
      <c r="K277" s="2">
        <f t="shared" si="246"/>
        <v>3</v>
      </c>
      <c r="L277" s="2">
        <f t="shared" si="256"/>
        <v>1.5</v>
      </c>
      <c r="M277" s="2">
        <f t="shared" si="256"/>
        <v>1.2</v>
      </c>
      <c r="N277" s="2">
        <v>10</v>
      </c>
      <c r="O277" s="2">
        <f t="shared" si="244"/>
        <v>242.88</v>
      </c>
      <c r="P277" s="2">
        <f t="shared" si="244"/>
        <v>12.39</v>
      </c>
      <c r="Q277" s="2">
        <f t="shared" si="244"/>
        <v>4554</v>
      </c>
      <c r="R277" s="2">
        <f t="shared" si="244"/>
        <v>232.25</v>
      </c>
      <c r="S277" s="2">
        <f t="shared" si="244"/>
        <v>97.15</v>
      </c>
      <c r="T277" s="2">
        <f t="shared" si="244"/>
        <v>7.29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17">
        <v>512002</v>
      </c>
      <c r="AA277" s="14" t="s">
        <v>664</v>
      </c>
      <c r="AB277" s="15" t="s">
        <v>469</v>
      </c>
      <c r="AC277" s="2">
        <v>5091200</v>
      </c>
      <c r="AD277" s="2">
        <v>0</v>
      </c>
      <c r="AE277" s="2">
        <v>2</v>
      </c>
      <c r="AF277" s="2">
        <v>8</v>
      </c>
      <c r="AG277" s="2">
        <v>1</v>
      </c>
      <c r="AH277" s="2"/>
      <c r="AI277">
        <v>1</v>
      </c>
      <c r="AJ277" s="1">
        <f t="shared" si="242"/>
        <v>216.14747737387711</v>
      </c>
      <c r="AK277">
        <v>8</v>
      </c>
      <c r="AL277">
        <f t="shared" si="247"/>
        <v>220.8</v>
      </c>
      <c r="AM277">
        <f t="shared" si="248"/>
        <v>11.2608</v>
      </c>
      <c r="AN277">
        <f t="shared" si="249"/>
        <v>4140</v>
      </c>
      <c r="AO277">
        <f t="shared" si="250"/>
        <v>211.14</v>
      </c>
      <c r="AP277">
        <f t="shared" si="251"/>
        <v>88.320000000000007</v>
      </c>
      <c r="AQ277">
        <f t="shared" si="252"/>
        <v>6.6240000000000006</v>
      </c>
      <c r="AR277">
        <f t="shared" si="253"/>
        <v>1.5</v>
      </c>
      <c r="AS277">
        <f t="shared" si="257"/>
        <v>1.2</v>
      </c>
      <c r="AT277">
        <f t="shared" si="258"/>
        <v>3</v>
      </c>
      <c r="AU277">
        <f t="shared" si="255"/>
        <v>2001</v>
      </c>
      <c r="AV277" s="1">
        <v>0</v>
      </c>
      <c r="AW277">
        <v>5</v>
      </c>
      <c r="AX277">
        <v>0.1</v>
      </c>
      <c r="AZ277">
        <v>2</v>
      </c>
      <c r="BA277">
        <v>1</v>
      </c>
      <c r="BZ277" t="str">
        <f t="shared" si="259"/>
        <v>1512013,2512013,3512013</v>
      </c>
      <c r="CA277">
        <v>1512013</v>
      </c>
      <c r="CB277">
        <v>2512013</v>
      </c>
      <c r="CC277">
        <v>3512013</v>
      </c>
      <c r="CG277" t="str">
        <f t="shared" si="254"/>
        <v>DATA_Class_Base29</v>
      </c>
      <c r="CH277" s="3" t="s">
        <v>378</v>
      </c>
    </row>
    <row r="278" spans="1:86" ht="14.25">
      <c r="A278" s="49">
        <f t="shared" si="245"/>
        <v>5081201</v>
      </c>
      <c r="B278" s="2" t="s">
        <v>470</v>
      </c>
      <c r="C278" s="48" t="s">
        <v>471</v>
      </c>
      <c r="D278">
        <v>8</v>
      </c>
      <c r="E278">
        <v>2</v>
      </c>
      <c r="F278">
        <v>1</v>
      </c>
      <c r="G278" s="3" t="s">
        <v>472</v>
      </c>
      <c r="H278" s="3" t="s">
        <v>472</v>
      </c>
      <c r="I278" s="2">
        <v>0</v>
      </c>
      <c r="J278" s="8" t="s">
        <v>298</v>
      </c>
      <c r="K278" s="2">
        <f t="shared" si="246"/>
        <v>3</v>
      </c>
      <c r="L278" s="2">
        <f t="shared" si="256"/>
        <v>1.6</v>
      </c>
      <c r="M278" s="2">
        <f t="shared" si="256"/>
        <v>1.8</v>
      </c>
      <c r="N278" s="2">
        <v>10</v>
      </c>
      <c r="O278" s="2">
        <f t="shared" si="244"/>
        <v>211.97</v>
      </c>
      <c r="P278" s="2">
        <f t="shared" si="244"/>
        <v>10.81</v>
      </c>
      <c r="Q278" s="2">
        <f t="shared" si="244"/>
        <v>6624</v>
      </c>
      <c r="R278" s="2">
        <f t="shared" si="244"/>
        <v>337.82</v>
      </c>
      <c r="S278" s="2">
        <f t="shared" si="244"/>
        <v>124.69</v>
      </c>
      <c r="T278" s="2">
        <f t="shared" si="244"/>
        <v>9.35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17">
        <v>512012</v>
      </c>
      <c r="AA278" s="14" t="s">
        <v>665</v>
      </c>
      <c r="AB278" s="15" t="s">
        <v>469</v>
      </c>
      <c r="AC278" s="2">
        <v>5091201</v>
      </c>
      <c r="AD278" s="2">
        <v>0</v>
      </c>
      <c r="AE278" s="2">
        <v>2</v>
      </c>
      <c r="AF278" s="2">
        <v>8</v>
      </c>
      <c r="AG278" s="2">
        <v>1</v>
      </c>
      <c r="AH278" s="2"/>
      <c r="AI278">
        <v>1</v>
      </c>
      <c r="AJ278" s="1">
        <f t="shared" si="242"/>
        <v>216.88833042465853</v>
      </c>
      <c r="AK278">
        <v>8</v>
      </c>
      <c r="AL278">
        <f t="shared" si="247"/>
        <v>176.64</v>
      </c>
      <c r="AM278">
        <f t="shared" si="248"/>
        <v>9.008639999999998</v>
      </c>
      <c r="AN278">
        <f t="shared" si="249"/>
        <v>5520</v>
      </c>
      <c r="AO278">
        <f t="shared" si="250"/>
        <v>281.52</v>
      </c>
      <c r="AP278">
        <f t="shared" si="251"/>
        <v>103.90588235294118</v>
      </c>
      <c r="AQ278">
        <f t="shared" si="252"/>
        <v>7.7929411764705883</v>
      </c>
      <c r="AR278">
        <f t="shared" si="253"/>
        <v>1.6</v>
      </c>
      <c r="AS278">
        <f t="shared" si="257"/>
        <v>1.8</v>
      </c>
      <c r="AT278">
        <f t="shared" si="258"/>
        <v>3</v>
      </c>
      <c r="AU278">
        <f t="shared" si="255"/>
        <v>2011</v>
      </c>
      <c r="AV278" s="1">
        <v>1</v>
      </c>
      <c r="AW278">
        <v>5</v>
      </c>
      <c r="AX278">
        <v>0.2</v>
      </c>
      <c r="AZ278">
        <v>2</v>
      </c>
      <c r="BA278">
        <v>1</v>
      </c>
      <c r="BZ278" t="str">
        <f t="shared" si="259"/>
        <v>1512023,2512023,3512023</v>
      </c>
      <c r="CA278">
        <v>1512023</v>
      </c>
      <c r="CB278">
        <v>2512023</v>
      </c>
      <c r="CC278">
        <v>3512023</v>
      </c>
      <c r="CG278" t="str">
        <f t="shared" si="254"/>
        <v>DATA_Class_Base30</v>
      </c>
      <c r="CH278" s="3" t="s">
        <v>381</v>
      </c>
    </row>
    <row r="279" spans="1:86" ht="14.25">
      <c r="A279">
        <f t="shared" si="245"/>
        <v>5081202</v>
      </c>
      <c r="B279" s="2" t="s">
        <v>474</v>
      </c>
      <c r="C279" s="48" t="s">
        <v>475</v>
      </c>
      <c r="D279">
        <v>8</v>
      </c>
      <c r="E279">
        <v>2</v>
      </c>
      <c r="F279">
        <v>1</v>
      </c>
      <c r="G279" s="3" t="s">
        <v>476</v>
      </c>
      <c r="H279" s="3" t="s">
        <v>476</v>
      </c>
      <c r="I279">
        <v>0</v>
      </c>
      <c r="J279" s="8" t="s">
        <v>477</v>
      </c>
      <c r="K279" s="2">
        <f t="shared" si="246"/>
        <v>3</v>
      </c>
      <c r="L279" s="2">
        <f t="shared" si="256"/>
        <v>1.6</v>
      </c>
      <c r="M279" s="2">
        <f t="shared" si="256"/>
        <v>2</v>
      </c>
      <c r="N279" s="2">
        <v>10</v>
      </c>
      <c r="O279" s="2">
        <f t="shared" si="244"/>
        <v>259.07</v>
      </c>
      <c r="P279" s="2">
        <f t="shared" si="244"/>
        <v>13.21</v>
      </c>
      <c r="Q279" s="2">
        <f t="shared" si="244"/>
        <v>4554</v>
      </c>
      <c r="R279" s="2">
        <f t="shared" si="244"/>
        <v>232.25</v>
      </c>
      <c r="S279" s="2">
        <f t="shared" si="244"/>
        <v>95.95</v>
      </c>
      <c r="T279" s="2">
        <f t="shared" si="244"/>
        <v>7.2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17">
        <v>512022</v>
      </c>
      <c r="AA279" s="14" t="s">
        <v>666</v>
      </c>
      <c r="AB279" s="15" t="s">
        <v>469</v>
      </c>
      <c r="AC279" s="2">
        <v>5091202</v>
      </c>
      <c r="AD279" s="2">
        <v>0</v>
      </c>
      <c r="AE279" s="2">
        <v>2</v>
      </c>
      <c r="AF279" s="2">
        <v>8</v>
      </c>
      <c r="AG279" s="2">
        <v>1</v>
      </c>
      <c r="AH279" s="2"/>
      <c r="AI279">
        <v>1</v>
      </c>
      <c r="AJ279" s="1">
        <f t="shared" si="242"/>
        <v>216.09583752801584</v>
      </c>
      <c r="AK279">
        <v>8</v>
      </c>
      <c r="AL279">
        <f t="shared" si="247"/>
        <v>235.52000000000004</v>
      </c>
      <c r="AM279">
        <f t="shared" si="248"/>
        <v>12.011520000000001</v>
      </c>
      <c r="AN279">
        <f t="shared" si="249"/>
        <v>4140</v>
      </c>
      <c r="AO279">
        <f t="shared" si="250"/>
        <v>211.14</v>
      </c>
      <c r="AP279">
        <f t="shared" si="251"/>
        <v>87.229629629629642</v>
      </c>
      <c r="AQ279">
        <f t="shared" si="252"/>
        <v>6.5422222222222226</v>
      </c>
      <c r="AR279">
        <f t="shared" si="253"/>
        <v>1.6</v>
      </c>
      <c r="AS279">
        <f t="shared" si="257"/>
        <v>2</v>
      </c>
      <c r="AT279">
        <f t="shared" si="258"/>
        <v>3</v>
      </c>
      <c r="AU279">
        <f t="shared" si="255"/>
        <v>2021</v>
      </c>
      <c r="AV279" s="1">
        <v>2</v>
      </c>
      <c r="AW279">
        <v>5</v>
      </c>
      <c r="AX279">
        <v>0.1</v>
      </c>
      <c r="AZ279">
        <v>2</v>
      </c>
      <c r="BA279">
        <v>1</v>
      </c>
      <c r="BZ279" t="str">
        <f t="shared" si="259"/>
        <v>1513013,2513013,3513013</v>
      </c>
      <c r="CA279">
        <v>1513013</v>
      </c>
      <c r="CB279">
        <v>2513013</v>
      </c>
      <c r="CC279">
        <v>3513013</v>
      </c>
      <c r="CG279" t="str">
        <f t="shared" si="254"/>
        <v>DATA_Class_Base31</v>
      </c>
      <c r="CH279" s="3" t="s">
        <v>384</v>
      </c>
    </row>
    <row r="280" spans="1:86" ht="14.25">
      <c r="A280">
        <f t="shared" si="245"/>
        <v>5081301</v>
      </c>
      <c r="B280" s="2" t="s">
        <v>479</v>
      </c>
      <c r="C280" s="48" t="s">
        <v>480</v>
      </c>
      <c r="D280">
        <v>8</v>
      </c>
      <c r="E280">
        <v>3</v>
      </c>
      <c r="F280">
        <v>1</v>
      </c>
      <c r="G280" s="3" t="s">
        <v>481</v>
      </c>
      <c r="H280" s="3" t="s">
        <v>481</v>
      </c>
      <c r="I280" s="2">
        <v>0</v>
      </c>
      <c r="J280" s="8" t="s">
        <v>482</v>
      </c>
      <c r="K280" s="2">
        <f t="shared" si="246"/>
        <v>3</v>
      </c>
      <c r="L280" s="2">
        <f t="shared" si="256"/>
        <v>1.3</v>
      </c>
      <c r="M280" s="2">
        <f t="shared" si="256"/>
        <v>2</v>
      </c>
      <c r="N280" s="2">
        <v>10</v>
      </c>
      <c r="O280" s="2">
        <f t="shared" si="244"/>
        <v>289.43</v>
      </c>
      <c r="P280" s="2">
        <f t="shared" si="244"/>
        <v>14.76</v>
      </c>
      <c r="Q280" s="2">
        <f t="shared" si="244"/>
        <v>3312</v>
      </c>
      <c r="R280" s="2">
        <f t="shared" si="244"/>
        <v>168.91</v>
      </c>
      <c r="S280" s="2">
        <f t="shared" si="244"/>
        <v>82.69</v>
      </c>
      <c r="T280" s="2">
        <f t="shared" si="244"/>
        <v>6.2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17">
        <v>513012</v>
      </c>
      <c r="AA280" s="14" t="s">
        <v>667</v>
      </c>
      <c r="AB280" s="15" t="s">
        <v>469</v>
      </c>
      <c r="AC280" s="2">
        <v>5091301</v>
      </c>
      <c r="AD280" s="2">
        <v>0</v>
      </c>
      <c r="AE280" s="2">
        <v>2</v>
      </c>
      <c r="AF280" s="2">
        <v>8</v>
      </c>
      <c r="AG280" s="2">
        <v>1</v>
      </c>
      <c r="AH280" s="2"/>
      <c r="AI280">
        <v>1</v>
      </c>
      <c r="AJ280" s="1">
        <f t="shared" si="242"/>
        <v>215.52667223252911</v>
      </c>
      <c r="AK280">
        <v>8</v>
      </c>
      <c r="AL280">
        <f t="shared" si="247"/>
        <v>263.12</v>
      </c>
      <c r="AM280">
        <f t="shared" si="248"/>
        <v>13.419119999999999</v>
      </c>
      <c r="AN280">
        <f t="shared" si="249"/>
        <v>3010.9090909090905</v>
      </c>
      <c r="AO280">
        <f t="shared" si="250"/>
        <v>153.55636363636361</v>
      </c>
      <c r="AP280">
        <f t="shared" si="251"/>
        <v>75.177142857142854</v>
      </c>
      <c r="AQ280">
        <f t="shared" si="252"/>
        <v>5.6382857142857139</v>
      </c>
      <c r="AR280">
        <f t="shared" si="253"/>
        <v>1.3</v>
      </c>
      <c r="AS280">
        <f t="shared" si="257"/>
        <v>2</v>
      </c>
      <c r="AT280">
        <f t="shared" si="258"/>
        <v>3</v>
      </c>
      <c r="AU280">
        <f t="shared" si="255"/>
        <v>3011</v>
      </c>
      <c r="AV280" s="1">
        <v>1</v>
      </c>
      <c r="AW280">
        <v>5</v>
      </c>
      <c r="AX280">
        <v>0.1</v>
      </c>
      <c r="AZ280">
        <v>3</v>
      </c>
      <c r="BA280">
        <v>1</v>
      </c>
      <c r="BZ280" t="str">
        <f t="shared" si="259"/>
        <v>1514013,2514013,3514013</v>
      </c>
      <c r="CA280">
        <v>1514013</v>
      </c>
      <c r="CB280">
        <v>2514013</v>
      </c>
      <c r="CC280">
        <v>3514013</v>
      </c>
      <c r="CG280" t="str">
        <f t="shared" si="254"/>
        <v>DATA_Class_Base32</v>
      </c>
      <c r="CH280" s="3" t="s">
        <v>388</v>
      </c>
    </row>
    <row r="281" spans="1:86" ht="14.25">
      <c r="A281">
        <f t="shared" si="245"/>
        <v>5081401</v>
      </c>
      <c r="B281" s="2" t="s">
        <v>484</v>
      </c>
      <c r="C281" s="48" t="s">
        <v>485</v>
      </c>
      <c r="D281">
        <v>8</v>
      </c>
      <c r="E281">
        <v>4</v>
      </c>
      <c r="F281">
        <v>1</v>
      </c>
      <c r="G281" s="3" t="s">
        <v>486</v>
      </c>
      <c r="H281" s="3" t="s">
        <v>486</v>
      </c>
      <c r="I281" s="2">
        <v>0</v>
      </c>
      <c r="J281" s="2" t="s">
        <v>161</v>
      </c>
      <c r="K281" s="2">
        <f t="shared" si="246"/>
        <v>6</v>
      </c>
      <c r="L281" s="2">
        <f t="shared" si="256"/>
        <v>1.6</v>
      </c>
      <c r="M281" s="2">
        <f t="shared" si="256"/>
        <v>2</v>
      </c>
      <c r="N281" s="2">
        <v>10</v>
      </c>
      <c r="O281" s="2">
        <f t="shared" si="244"/>
        <v>356.22</v>
      </c>
      <c r="P281" s="2">
        <f t="shared" si="244"/>
        <v>18.170000000000002</v>
      </c>
      <c r="Q281" s="2">
        <f t="shared" si="244"/>
        <v>3312</v>
      </c>
      <c r="R281" s="2">
        <f t="shared" si="244"/>
        <v>168.91</v>
      </c>
      <c r="S281" s="2">
        <f t="shared" si="244"/>
        <v>71.239999999999995</v>
      </c>
      <c r="T281" s="2">
        <f t="shared" si="244"/>
        <v>5.34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17">
        <v>514012</v>
      </c>
      <c r="AA281" s="14" t="s">
        <v>668</v>
      </c>
      <c r="AB281" s="15" t="s">
        <v>469</v>
      </c>
      <c r="AC281" s="2">
        <v>5091401</v>
      </c>
      <c r="AD281" s="2">
        <v>0</v>
      </c>
      <c r="AE281" s="2">
        <v>2</v>
      </c>
      <c r="AF281" s="2">
        <v>8</v>
      </c>
      <c r="AG281" s="2">
        <v>1</v>
      </c>
      <c r="AH281" s="2"/>
      <c r="AI281">
        <v>1</v>
      </c>
      <c r="AJ281" s="1">
        <f t="shared" si="242"/>
        <v>215.03751941791685</v>
      </c>
      <c r="AK281">
        <v>8</v>
      </c>
      <c r="AL281">
        <f t="shared" si="247"/>
        <v>323.84000000000009</v>
      </c>
      <c r="AM281">
        <f t="shared" si="248"/>
        <v>16.515840000000004</v>
      </c>
      <c r="AN281">
        <f t="shared" si="249"/>
        <v>3010.9090909090905</v>
      </c>
      <c r="AO281">
        <f t="shared" si="250"/>
        <v>153.55636363636361</v>
      </c>
      <c r="AP281">
        <f t="shared" si="251"/>
        <v>64.768000000000015</v>
      </c>
      <c r="AQ281">
        <f t="shared" si="252"/>
        <v>4.8576000000000006</v>
      </c>
      <c r="AR281">
        <f t="shared" si="253"/>
        <v>1.6</v>
      </c>
      <c r="AS281">
        <f t="shared" si="257"/>
        <v>2</v>
      </c>
      <c r="AT281">
        <f t="shared" si="258"/>
        <v>6</v>
      </c>
      <c r="AU281">
        <f t="shared" si="255"/>
        <v>4011</v>
      </c>
      <c r="AV281" s="1">
        <v>1</v>
      </c>
      <c r="AW281">
        <v>5</v>
      </c>
      <c r="AX281">
        <v>0.1</v>
      </c>
      <c r="AZ281">
        <v>4</v>
      </c>
      <c r="BA281">
        <v>1</v>
      </c>
      <c r="BZ281" t="str">
        <f t="shared" si="259"/>
        <v>1514023,2514023,3514023</v>
      </c>
      <c r="CA281">
        <v>1514023</v>
      </c>
      <c r="CB281">
        <v>2514023</v>
      </c>
      <c r="CC281">
        <v>3514023</v>
      </c>
      <c r="CG281" t="str">
        <f t="shared" si="254"/>
        <v>DATA_Class_Base33</v>
      </c>
      <c r="CH281" s="3" t="s">
        <v>391</v>
      </c>
    </row>
    <row r="282" spans="1:86" ht="14.25" customHeight="1">
      <c r="A282" s="49">
        <f t="shared" si="245"/>
        <v>5081402</v>
      </c>
      <c r="B282" s="2" t="s">
        <v>488</v>
      </c>
      <c r="C282" s="48" t="s">
        <v>489</v>
      </c>
      <c r="D282">
        <v>8</v>
      </c>
      <c r="E282">
        <v>4</v>
      </c>
      <c r="F282">
        <v>1</v>
      </c>
      <c r="G282" s="3" t="s">
        <v>490</v>
      </c>
      <c r="H282" s="3" t="s">
        <v>490</v>
      </c>
      <c r="I282">
        <v>0</v>
      </c>
      <c r="J282" s="8" t="s">
        <v>161</v>
      </c>
      <c r="K282" s="2">
        <f t="shared" si="246"/>
        <v>6</v>
      </c>
      <c r="L282" s="2">
        <f t="shared" si="256"/>
        <v>1.5</v>
      </c>
      <c r="M282" s="2">
        <f t="shared" si="256"/>
        <v>1.5</v>
      </c>
      <c r="N282" s="2">
        <v>10</v>
      </c>
      <c r="O282" s="2">
        <f t="shared" si="244"/>
        <v>380.88</v>
      </c>
      <c r="P282" s="2">
        <f t="shared" si="244"/>
        <v>19.420000000000002</v>
      </c>
      <c r="Q282" s="2">
        <f t="shared" si="244"/>
        <v>3174</v>
      </c>
      <c r="R282" s="2">
        <f t="shared" si="244"/>
        <v>161.87</v>
      </c>
      <c r="S282" s="2">
        <f t="shared" si="244"/>
        <v>63.48</v>
      </c>
      <c r="T282" s="2">
        <f t="shared" si="244"/>
        <v>4.76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17">
        <v>514022</v>
      </c>
      <c r="AA282" s="14" t="s">
        <v>669</v>
      </c>
      <c r="AB282" s="15" t="s">
        <v>469</v>
      </c>
      <c r="AC282" s="2">
        <v>5091402</v>
      </c>
      <c r="AD282" s="2">
        <v>0</v>
      </c>
      <c r="AE282" s="2">
        <v>2</v>
      </c>
      <c r="AF282" s="2">
        <v>8</v>
      </c>
      <c r="AG282" s="2">
        <v>1</v>
      </c>
      <c r="AH282" s="2"/>
      <c r="AI282">
        <v>1</v>
      </c>
      <c r="AJ282" s="1">
        <f t="shared" si="242"/>
        <v>214.58984847724795</v>
      </c>
      <c r="AK282">
        <v>8</v>
      </c>
      <c r="AL282">
        <f t="shared" si="247"/>
        <v>331.2</v>
      </c>
      <c r="AM282">
        <f t="shared" si="248"/>
        <v>16.891199999999998</v>
      </c>
      <c r="AN282">
        <f t="shared" si="249"/>
        <v>2760</v>
      </c>
      <c r="AO282">
        <f t="shared" si="250"/>
        <v>140.76</v>
      </c>
      <c r="AP282">
        <f t="shared" si="251"/>
        <v>55.199999999999996</v>
      </c>
      <c r="AQ282">
        <f t="shared" si="252"/>
        <v>4.1399999999999997</v>
      </c>
      <c r="AR282">
        <f t="shared" si="253"/>
        <v>1.5</v>
      </c>
      <c r="AS282">
        <f t="shared" si="257"/>
        <v>1.5</v>
      </c>
      <c r="AT282">
        <f t="shared" si="258"/>
        <v>6</v>
      </c>
      <c r="AU282">
        <f t="shared" si="255"/>
        <v>4021</v>
      </c>
      <c r="AV282" s="1">
        <v>2</v>
      </c>
      <c r="AW282">
        <v>5</v>
      </c>
      <c r="AX282">
        <v>0.15</v>
      </c>
      <c r="AZ282">
        <v>4</v>
      </c>
      <c r="BA282">
        <v>1</v>
      </c>
      <c r="BZ282" t="str">
        <f t="shared" si="259"/>
        <v>1515003,2515003,3515003</v>
      </c>
      <c r="CA282">
        <v>1515003</v>
      </c>
      <c r="CB282">
        <v>2515003</v>
      </c>
      <c r="CC282">
        <v>3515003</v>
      </c>
      <c r="CG282" t="str">
        <f t="shared" si="254"/>
        <v>DATA_Class_Base34</v>
      </c>
      <c r="CH282" s="3" t="s">
        <v>184</v>
      </c>
    </row>
    <row r="283" spans="1:86" ht="14.25">
      <c r="A283">
        <f t="shared" si="245"/>
        <v>5081500</v>
      </c>
      <c r="B283" s="2" t="s">
        <v>492</v>
      </c>
      <c r="C283" s="48" t="s">
        <v>493</v>
      </c>
      <c r="D283">
        <v>8</v>
      </c>
      <c r="E283">
        <v>5</v>
      </c>
      <c r="F283">
        <v>1</v>
      </c>
      <c r="G283" s="3" t="s">
        <v>494</v>
      </c>
      <c r="H283" s="3" t="s">
        <v>494</v>
      </c>
      <c r="I283">
        <v>0</v>
      </c>
      <c r="J283" s="2" t="s">
        <v>303</v>
      </c>
      <c r="K283" s="2">
        <f t="shared" si="246"/>
        <v>6</v>
      </c>
      <c r="L283" s="2">
        <f t="shared" si="256"/>
        <v>1.5</v>
      </c>
      <c r="M283" s="2">
        <f t="shared" si="256"/>
        <v>1.5</v>
      </c>
      <c r="N283" s="2">
        <v>10</v>
      </c>
      <c r="O283" s="2">
        <f t="shared" si="244"/>
        <v>463.68</v>
      </c>
      <c r="P283" s="2">
        <f t="shared" si="244"/>
        <v>23.65</v>
      </c>
      <c r="Q283" s="2">
        <f t="shared" si="244"/>
        <v>2838.86</v>
      </c>
      <c r="R283" s="2">
        <f t="shared" si="244"/>
        <v>144.78</v>
      </c>
      <c r="S283" s="2">
        <f t="shared" si="244"/>
        <v>66.239999999999995</v>
      </c>
      <c r="T283" s="2">
        <f t="shared" si="244"/>
        <v>4.97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17">
        <v>515002</v>
      </c>
      <c r="AA283" s="14" t="s">
        <v>670</v>
      </c>
      <c r="AB283" s="15" t="s">
        <v>469</v>
      </c>
      <c r="AC283" s="2">
        <v>5091500</v>
      </c>
      <c r="AD283" s="2">
        <v>0</v>
      </c>
      <c r="AE283" s="2">
        <v>2</v>
      </c>
      <c r="AF283" s="2">
        <v>8</v>
      </c>
      <c r="AG283" s="2">
        <v>1</v>
      </c>
      <c r="AH283" s="2"/>
      <c r="AI283">
        <v>1</v>
      </c>
      <c r="AJ283" s="1">
        <f t="shared" si="242"/>
        <v>214.5898484772479</v>
      </c>
      <c r="AK283">
        <v>8</v>
      </c>
      <c r="AL283">
        <f t="shared" si="247"/>
        <v>386.39999999999992</v>
      </c>
      <c r="AM283">
        <f t="shared" si="248"/>
        <v>19.706399999999995</v>
      </c>
      <c r="AN283">
        <f t="shared" si="249"/>
        <v>2365.7142857142858</v>
      </c>
      <c r="AO283">
        <f t="shared" si="250"/>
        <v>120.65142857142857</v>
      </c>
      <c r="AP283">
        <f t="shared" si="251"/>
        <v>55.199999999999989</v>
      </c>
      <c r="AQ283">
        <f t="shared" si="252"/>
        <v>4.1399999999999988</v>
      </c>
      <c r="AR283">
        <f t="shared" si="253"/>
        <v>1.5</v>
      </c>
      <c r="AS283">
        <f t="shared" si="257"/>
        <v>1.5</v>
      </c>
      <c r="AT283">
        <f t="shared" si="258"/>
        <v>6</v>
      </c>
      <c r="AU283">
        <f t="shared" si="255"/>
        <v>5001</v>
      </c>
      <c r="AV283" s="1">
        <v>0</v>
      </c>
      <c r="AW283">
        <v>5</v>
      </c>
      <c r="AX283">
        <v>0.2</v>
      </c>
      <c r="AZ283">
        <v>5</v>
      </c>
      <c r="BA283">
        <v>1</v>
      </c>
      <c r="BZ283" t="str">
        <f t="shared" si="259"/>
        <v>1515023,2515023,3515023</v>
      </c>
      <c r="CA283">
        <v>1515023</v>
      </c>
      <c r="CB283">
        <v>2515023</v>
      </c>
      <c r="CC283">
        <v>3515023</v>
      </c>
      <c r="CG283" t="str">
        <f t="shared" si="254"/>
        <v>DATA_Class_Base35</v>
      </c>
      <c r="CH283" s="3" t="s">
        <v>195</v>
      </c>
    </row>
    <row r="284" spans="1:86" ht="14.25">
      <c r="A284">
        <f t="shared" si="245"/>
        <v>5081502</v>
      </c>
      <c r="B284" s="2" t="s">
        <v>496</v>
      </c>
      <c r="C284" s="48" t="s">
        <v>497</v>
      </c>
      <c r="D284">
        <v>8</v>
      </c>
      <c r="E284">
        <v>5</v>
      </c>
      <c r="F284">
        <v>1</v>
      </c>
      <c r="G284" s="3" t="s">
        <v>498</v>
      </c>
      <c r="H284" s="3" t="s">
        <v>498</v>
      </c>
      <c r="I284" s="2">
        <v>0</v>
      </c>
      <c r="J284" s="8" t="s">
        <v>352</v>
      </c>
      <c r="K284" s="2">
        <f t="shared" si="246"/>
        <v>6</v>
      </c>
      <c r="L284" s="2">
        <f t="shared" si="256"/>
        <v>1.4000000000000001</v>
      </c>
      <c r="M284" s="2">
        <f t="shared" si="256"/>
        <v>2</v>
      </c>
      <c r="N284" s="2">
        <v>10</v>
      </c>
      <c r="O284" s="2">
        <f t="shared" si="244"/>
        <v>385.11</v>
      </c>
      <c r="P284" s="2">
        <f t="shared" si="244"/>
        <v>19.64</v>
      </c>
      <c r="Q284" s="2">
        <f t="shared" si="244"/>
        <v>2929.85</v>
      </c>
      <c r="R284" s="2">
        <f t="shared" si="244"/>
        <v>149.41999999999999</v>
      </c>
      <c r="S284" s="2">
        <f t="shared" si="244"/>
        <v>59.25</v>
      </c>
      <c r="T284" s="2">
        <f t="shared" si="244"/>
        <v>4.4400000000000004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17">
        <v>515022</v>
      </c>
      <c r="AA284" s="14" t="s">
        <v>671</v>
      </c>
      <c r="AB284" s="15" t="s">
        <v>469</v>
      </c>
      <c r="AC284" s="2">
        <v>5091502</v>
      </c>
      <c r="AD284" s="2">
        <v>0</v>
      </c>
      <c r="AE284" s="2">
        <v>2</v>
      </c>
      <c r="AF284" s="2">
        <v>8</v>
      </c>
      <c r="AG284" s="2">
        <v>1</v>
      </c>
      <c r="AH284" s="2"/>
      <c r="AI284">
        <v>1</v>
      </c>
      <c r="AJ284" s="1">
        <f t="shared" si="242"/>
        <v>214.41816326638906</v>
      </c>
      <c r="AK284">
        <v>8</v>
      </c>
      <c r="AL284">
        <f t="shared" si="247"/>
        <v>334.87999999999988</v>
      </c>
      <c r="AM284">
        <f t="shared" si="248"/>
        <v>17.078879999999995</v>
      </c>
      <c r="AN284">
        <f t="shared" si="249"/>
        <v>2547.6923076923072</v>
      </c>
      <c r="AO284">
        <f t="shared" si="250"/>
        <v>129.93230769230766</v>
      </c>
      <c r="AP284">
        <f t="shared" si="251"/>
        <v>51.519999999999982</v>
      </c>
      <c r="AQ284">
        <f t="shared" si="252"/>
        <v>3.8639999999999985</v>
      </c>
      <c r="AR284">
        <f t="shared" si="253"/>
        <v>1.4</v>
      </c>
      <c r="AS284">
        <f t="shared" si="257"/>
        <v>2</v>
      </c>
      <c r="AT284">
        <f t="shared" si="258"/>
        <v>6</v>
      </c>
      <c r="AU284">
        <f t="shared" si="255"/>
        <v>5021</v>
      </c>
      <c r="AV284" s="1">
        <v>2</v>
      </c>
      <c r="AW284">
        <v>5</v>
      </c>
      <c r="AX284">
        <v>0.15</v>
      </c>
      <c r="AZ284">
        <v>5</v>
      </c>
      <c r="BA284">
        <v>1</v>
      </c>
      <c r="BZ284" t="str">
        <f t="shared" si="259"/>
        <v>1516013,2516013,3516013</v>
      </c>
      <c r="CA284">
        <v>1516013</v>
      </c>
      <c r="CB284">
        <v>2516013</v>
      </c>
      <c r="CC284">
        <v>3516013</v>
      </c>
      <c r="CG284" t="str">
        <f t="shared" si="254"/>
        <v>DATA_Class_Base36</v>
      </c>
      <c r="CH284" s="3" t="s">
        <v>201</v>
      </c>
    </row>
    <row r="285" spans="1:86" ht="14.25">
      <c r="A285">
        <f t="shared" si="245"/>
        <v>5081601</v>
      </c>
      <c r="B285" s="2" t="s">
        <v>500</v>
      </c>
      <c r="C285" s="48" t="s">
        <v>501</v>
      </c>
      <c r="D285">
        <v>8</v>
      </c>
      <c r="E285">
        <v>6</v>
      </c>
      <c r="F285">
        <v>1</v>
      </c>
      <c r="G285" s="3" t="s">
        <v>502</v>
      </c>
      <c r="H285" s="3" t="s">
        <v>502</v>
      </c>
      <c r="I285">
        <v>0</v>
      </c>
      <c r="J285" s="2" t="s">
        <v>309</v>
      </c>
      <c r="K285" s="2">
        <f t="shared" si="246"/>
        <v>6</v>
      </c>
      <c r="L285" s="2">
        <f t="shared" ref="L285:M348" si="260">FLOOR(AR285/1,0.01)</f>
        <v>1.5</v>
      </c>
      <c r="M285" s="2">
        <f t="shared" si="260"/>
        <v>2</v>
      </c>
      <c r="N285" s="2">
        <v>10</v>
      </c>
      <c r="O285" s="2">
        <f t="shared" si="244"/>
        <v>317.39999999999998</v>
      </c>
      <c r="P285" s="2">
        <f t="shared" si="244"/>
        <v>16.190000000000001</v>
      </c>
      <c r="Q285" s="2">
        <f t="shared" si="244"/>
        <v>3808.8</v>
      </c>
      <c r="R285" s="2">
        <f t="shared" si="244"/>
        <v>194.25</v>
      </c>
      <c r="S285" s="2">
        <f t="shared" si="244"/>
        <v>70.53</v>
      </c>
      <c r="T285" s="2">
        <f t="shared" si="244"/>
        <v>5.29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17">
        <v>516012</v>
      </c>
      <c r="AA285" s="14" t="s">
        <v>672</v>
      </c>
      <c r="AB285" s="15" t="s">
        <v>469</v>
      </c>
      <c r="AC285" s="2">
        <v>5091601</v>
      </c>
      <c r="AD285" s="2">
        <v>0</v>
      </c>
      <c r="AE285" s="2">
        <v>2</v>
      </c>
      <c r="AF285" s="2">
        <v>8</v>
      </c>
      <c r="AG285" s="2">
        <v>1</v>
      </c>
      <c r="AH285" s="2"/>
      <c r="AI285">
        <v>1</v>
      </c>
      <c r="AJ285" s="1">
        <f t="shared" si="242"/>
        <v>214.87660228430906</v>
      </c>
      <c r="AK285">
        <v>8</v>
      </c>
      <c r="AL285">
        <f t="shared" si="247"/>
        <v>276</v>
      </c>
      <c r="AM285">
        <f t="shared" si="248"/>
        <v>14.075999999999999</v>
      </c>
      <c r="AN285">
        <f t="shared" si="249"/>
        <v>3311.9999999999995</v>
      </c>
      <c r="AO285">
        <f t="shared" si="250"/>
        <v>168.91199999999998</v>
      </c>
      <c r="AP285">
        <f t="shared" si="251"/>
        <v>61.333333333333336</v>
      </c>
      <c r="AQ285">
        <f t="shared" si="252"/>
        <v>4.5999999999999996</v>
      </c>
      <c r="AR285">
        <f t="shared" si="253"/>
        <v>1.5</v>
      </c>
      <c r="AS285">
        <f t="shared" si="257"/>
        <v>2</v>
      </c>
      <c r="AT285">
        <f t="shared" si="258"/>
        <v>6</v>
      </c>
      <c r="AU285">
        <f t="shared" si="255"/>
        <v>6011</v>
      </c>
      <c r="AV285" s="1">
        <v>1</v>
      </c>
      <c r="AW285">
        <v>5</v>
      </c>
      <c r="AX285">
        <v>0.15</v>
      </c>
      <c r="AZ285">
        <v>6</v>
      </c>
      <c r="BA285">
        <v>1</v>
      </c>
      <c r="BZ285" t="str">
        <f t="shared" si="259"/>
        <v>1522003,2522003,3522003</v>
      </c>
      <c r="CA285">
        <v>1522003</v>
      </c>
      <c r="CB285">
        <v>2522003</v>
      </c>
      <c r="CC285">
        <v>3522003</v>
      </c>
      <c r="CG285" t="str">
        <f t="shared" si="254"/>
        <v>DATA_Class_Base28</v>
      </c>
      <c r="CH285" s="3" t="s">
        <v>374</v>
      </c>
    </row>
    <row r="286" spans="1:86" ht="14.25">
      <c r="A286">
        <f t="shared" si="245"/>
        <v>5082200</v>
      </c>
      <c r="B286" s="2" t="s">
        <v>504</v>
      </c>
      <c r="C286" s="48" t="s">
        <v>505</v>
      </c>
      <c r="D286">
        <v>8</v>
      </c>
      <c r="E286">
        <v>2</v>
      </c>
      <c r="F286">
        <v>2</v>
      </c>
      <c r="G286" s="3" t="s">
        <v>506</v>
      </c>
      <c r="H286" s="3" t="s">
        <v>506</v>
      </c>
      <c r="I286">
        <v>0</v>
      </c>
      <c r="J286" s="8" t="s">
        <v>507</v>
      </c>
      <c r="K286" s="2">
        <f t="shared" si="246"/>
        <v>3</v>
      </c>
      <c r="L286" s="2">
        <f t="shared" si="260"/>
        <v>1.5</v>
      </c>
      <c r="M286" s="2">
        <f t="shared" si="260"/>
        <v>1.2</v>
      </c>
      <c r="N286" s="2">
        <v>10</v>
      </c>
      <c r="O286" s="2">
        <f t="shared" si="244"/>
        <v>317.39999999999998</v>
      </c>
      <c r="P286" s="2">
        <f t="shared" si="244"/>
        <v>16.190000000000001</v>
      </c>
      <c r="Q286" s="2">
        <f t="shared" si="244"/>
        <v>3808.8</v>
      </c>
      <c r="R286" s="2">
        <f t="shared" si="244"/>
        <v>194.25</v>
      </c>
      <c r="S286" s="2">
        <f t="shared" si="244"/>
        <v>105.8</v>
      </c>
      <c r="T286" s="2">
        <f t="shared" si="244"/>
        <v>7.94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17">
        <v>522002</v>
      </c>
      <c r="AA286" s="14" t="s">
        <v>673</v>
      </c>
      <c r="AB286" s="15" t="s">
        <v>469</v>
      </c>
      <c r="AC286" s="2">
        <v>5092200</v>
      </c>
      <c r="AD286" s="2">
        <v>0</v>
      </c>
      <c r="AE286" s="2">
        <v>2</v>
      </c>
      <c r="AF286" s="2">
        <v>8</v>
      </c>
      <c r="AG286" s="2">
        <v>1</v>
      </c>
      <c r="AH286" s="2"/>
      <c r="AI286">
        <v>1</v>
      </c>
      <c r="AJ286" s="1">
        <f t="shared" si="242"/>
        <v>216.32194421203403</v>
      </c>
      <c r="AK286">
        <v>8</v>
      </c>
      <c r="AL286">
        <f t="shared" si="247"/>
        <v>276</v>
      </c>
      <c r="AM286">
        <f t="shared" si="248"/>
        <v>14.075999999999999</v>
      </c>
      <c r="AN286">
        <f t="shared" si="249"/>
        <v>3311.9999999999995</v>
      </c>
      <c r="AO286">
        <f t="shared" si="250"/>
        <v>168.91199999999998</v>
      </c>
      <c r="AP286">
        <f t="shared" si="251"/>
        <v>92</v>
      </c>
      <c r="AQ286">
        <f t="shared" si="252"/>
        <v>6.8999999999999995</v>
      </c>
      <c r="AR286">
        <f t="shared" si="253"/>
        <v>1.5</v>
      </c>
      <c r="AS286">
        <f t="shared" si="257"/>
        <v>1.2</v>
      </c>
      <c r="AT286">
        <f t="shared" si="258"/>
        <v>3</v>
      </c>
      <c r="AU286">
        <f t="shared" si="255"/>
        <v>2002</v>
      </c>
      <c r="AV286" s="1">
        <v>0</v>
      </c>
      <c r="AW286">
        <v>5</v>
      </c>
      <c r="AX286">
        <v>0.15</v>
      </c>
      <c r="AZ286">
        <v>2</v>
      </c>
      <c r="BA286">
        <v>2</v>
      </c>
      <c r="BZ286" t="str">
        <f t="shared" si="259"/>
        <v>1522013,2522013,3522013</v>
      </c>
      <c r="CA286">
        <v>1522013</v>
      </c>
      <c r="CB286">
        <v>2522013</v>
      </c>
      <c r="CC286">
        <v>3522013</v>
      </c>
      <c r="CG286" t="str">
        <f t="shared" si="254"/>
        <v>DATA_Class_Base29</v>
      </c>
      <c r="CH286" s="3" t="s">
        <v>378</v>
      </c>
    </row>
    <row r="287" spans="1:86" ht="14.25">
      <c r="A287" s="49">
        <f t="shared" si="245"/>
        <v>5082201</v>
      </c>
      <c r="B287" s="2" t="s">
        <v>509</v>
      </c>
      <c r="C287" s="48" t="s">
        <v>510</v>
      </c>
      <c r="D287">
        <v>8</v>
      </c>
      <c r="E287">
        <v>2</v>
      </c>
      <c r="F287">
        <v>2</v>
      </c>
      <c r="G287" s="3" t="s">
        <v>511</v>
      </c>
      <c r="H287" s="3" t="s">
        <v>511</v>
      </c>
      <c r="I287">
        <v>0</v>
      </c>
      <c r="J287" s="8" t="s">
        <v>512</v>
      </c>
      <c r="K287" s="2">
        <f t="shared" si="246"/>
        <v>3</v>
      </c>
      <c r="L287" s="2">
        <f t="shared" si="260"/>
        <v>1.5</v>
      </c>
      <c r="M287" s="2">
        <f t="shared" si="260"/>
        <v>1.8</v>
      </c>
      <c r="N287" s="2">
        <v>10</v>
      </c>
      <c r="O287" s="2">
        <f t="shared" si="244"/>
        <v>253.92</v>
      </c>
      <c r="P287" s="2">
        <f t="shared" si="244"/>
        <v>12.95</v>
      </c>
      <c r="Q287" s="2">
        <f t="shared" si="244"/>
        <v>4761</v>
      </c>
      <c r="R287" s="2">
        <f t="shared" si="244"/>
        <v>242.81</v>
      </c>
      <c r="S287" s="2">
        <f t="shared" si="244"/>
        <v>110.4</v>
      </c>
      <c r="T287" s="2">
        <f t="shared" si="244"/>
        <v>8.2799999999999994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17">
        <v>522012</v>
      </c>
      <c r="AA287" s="14" t="s">
        <v>674</v>
      </c>
      <c r="AB287" s="15" t="s">
        <v>469</v>
      </c>
      <c r="AC287" s="2">
        <v>5092201</v>
      </c>
      <c r="AD287" s="2">
        <v>0</v>
      </c>
      <c r="AE287" s="2">
        <v>2</v>
      </c>
      <c r="AF287" s="2">
        <v>8</v>
      </c>
      <c r="AG287" s="2">
        <v>1</v>
      </c>
      <c r="AH287" s="2"/>
      <c r="AI287">
        <v>1</v>
      </c>
      <c r="AJ287" s="1">
        <f t="shared" si="242"/>
        <v>216.51190180885479</v>
      </c>
      <c r="AK287">
        <v>8</v>
      </c>
      <c r="AL287">
        <f t="shared" si="247"/>
        <v>220.8</v>
      </c>
      <c r="AM287">
        <f t="shared" si="248"/>
        <v>11.2608</v>
      </c>
      <c r="AN287">
        <f t="shared" si="249"/>
        <v>4140</v>
      </c>
      <c r="AO287">
        <f t="shared" si="250"/>
        <v>211.14</v>
      </c>
      <c r="AP287">
        <f t="shared" si="251"/>
        <v>96.000000000000014</v>
      </c>
      <c r="AQ287">
        <f t="shared" si="252"/>
        <v>7.2000000000000011</v>
      </c>
      <c r="AR287">
        <f t="shared" si="253"/>
        <v>1.5</v>
      </c>
      <c r="AS287">
        <f t="shared" si="257"/>
        <v>1.8</v>
      </c>
      <c r="AT287">
        <f t="shared" si="258"/>
        <v>3</v>
      </c>
      <c r="AU287">
        <f t="shared" si="255"/>
        <v>2012</v>
      </c>
      <c r="AV287" s="1">
        <v>1</v>
      </c>
      <c r="AW287">
        <v>5</v>
      </c>
      <c r="AX287">
        <v>0.15</v>
      </c>
      <c r="AZ287">
        <v>2</v>
      </c>
      <c r="BA287">
        <v>2</v>
      </c>
      <c r="BZ287" t="str">
        <f t="shared" si="259"/>
        <v>1522023,2522023,3522023</v>
      </c>
      <c r="CA287">
        <v>1522023</v>
      </c>
      <c r="CB287">
        <v>2522023</v>
      </c>
      <c r="CC287">
        <v>3522023</v>
      </c>
      <c r="CG287" t="str">
        <f t="shared" si="254"/>
        <v>DATA_Class_Base30</v>
      </c>
      <c r="CH287" s="3" t="s">
        <v>381</v>
      </c>
    </row>
    <row r="288" spans="1:86" ht="14.25">
      <c r="A288">
        <f t="shared" si="245"/>
        <v>5082202</v>
      </c>
      <c r="B288" s="2" t="s">
        <v>514</v>
      </c>
      <c r="C288" s="48" t="s">
        <v>515</v>
      </c>
      <c r="D288">
        <v>8</v>
      </c>
      <c r="E288">
        <v>2</v>
      </c>
      <c r="F288">
        <v>2</v>
      </c>
      <c r="G288" s="3" t="s">
        <v>516</v>
      </c>
      <c r="H288" s="3" t="s">
        <v>516</v>
      </c>
      <c r="I288" s="2">
        <v>0</v>
      </c>
      <c r="J288" s="2" t="s">
        <v>280</v>
      </c>
      <c r="K288" s="2">
        <f t="shared" si="246"/>
        <v>3</v>
      </c>
      <c r="L288" s="2">
        <f t="shared" si="260"/>
        <v>1.6</v>
      </c>
      <c r="M288" s="2">
        <f t="shared" si="260"/>
        <v>2</v>
      </c>
      <c r="N288" s="2">
        <v>10</v>
      </c>
      <c r="O288" s="2">
        <f t="shared" si="244"/>
        <v>372.42</v>
      </c>
      <c r="P288" s="2">
        <f t="shared" si="244"/>
        <v>18.989999999999998</v>
      </c>
      <c r="Q288" s="2">
        <f t="shared" si="244"/>
        <v>3168</v>
      </c>
      <c r="R288" s="2">
        <f t="shared" si="244"/>
        <v>161.57</v>
      </c>
      <c r="S288" s="2">
        <f t="shared" si="244"/>
        <v>93.1</v>
      </c>
      <c r="T288" s="2">
        <f t="shared" si="244"/>
        <v>6.98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17">
        <v>522022</v>
      </c>
      <c r="AA288" s="14" t="s">
        <v>675</v>
      </c>
      <c r="AB288" s="15" t="s">
        <v>469</v>
      </c>
      <c r="AC288" s="2">
        <v>5092202</v>
      </c>
      <c r="AD288" s="2">
        <v>0</v>
      </c>
      <c r="AE288" s="2">
        <v>2</v>
      </c>
      <c r="AF288" s="2">
        <v>8</v>
      </c>
      <c r="AG288" s="2">
        <v>1</v>
      </c>
      <c r="AH288" s="2"/>
      <c r="AI288">
        <v>1</v>
      </c>
      <c r="AJ288" s="1">
        <f t="shared" si="242"/>
        <v>215.97329172908925</v>
      </c>
      <c r="AK288">
        <v>8</v>
      </c>
      <c r="AL288">
        <f t="shared" si="247"/>
        <v>338.55999999999995</v>
      </c>
      <c r="AM288">
        <f t="shared" si="248"/>
        <v>17.266559999999995</v>
      </c>
      <c r="AN288">
        <f t="shared" si="249"/>
        <v>2880.0000000000005</v>
      </c>
      <c r="AO288">
        <f t="shared" si="250"/>
        <v>146.88000000000002</v>
      </c>
      <c r="AP288">
        <f t="shared" si="251"/>
        <v>84.639999999999986</v>
      </c>
      <c r="AQ288">
        <f t="shared" si="252"/>
        <v>6.347999999999999</v>
      </c>
      <c r="AR288">
        <f t="shared" si="253"/>
        <v>1.6</v>
      </c>
      <c r="AS288">
        <f t="shared" si="257"/>
        <v>2</v>
      </c>
      <c r="AT288">
        <f t="shared" si="258"/>
        <v>3</v>
      </c>
      <c r="AU288">
        <f t="shared" si="255"/>
        <v>2022</v>
      </c>
      <c r="AV288" s="1">
        <v>2</v>
      </c>
      <c r="AW288">
        <v>5</v>
      </c>
      <c r="AX288">
        <v>0.1</v>
      </c>
      <c r="AZ288">
        <v>2</v>
      </c>
      <c r="BA288">
        <v>2</v>
      </c>
      <c r="BZ288" t="str">
        <f t="shared" si="259"/>
        <v>1523013,2523013,3523013</v>
      </c>
      <c r="CA288">
        <v>1523013</v>
      </c>
      <c r="CB288">
        <v>2523013</v>
      </c>
      <c r="CC288">
        <v>3523013</v>
      </c>
      <c r="CG288" t="str">
        <f t="shared" si="254"/>
        <v>DATA_Class_Base31</v>
      </c>
      <c r="CH288" s="3" t="s">
        <v>384</v>
      </c>
    </row>
    <row r="289" spans="1:86" ht="14.25">
      <c r="A289">
        <f t="shared" si="245"/>
        <v>5082301</v>
      </c>
      <c r="B289" s="2" t="s">
        <v>518</v>
      </c>
      <c r="C289" s="48" t="s">
        <v>519</v>
      </c>
      <c r="D289">
        <v>8</v>
      </c>
      <c r="E289">
        <v>3</v>
      </c>
      <c r="F289">
        <v>2</v>
      </c>
      <c r="G289" s="3" t="s">
        <v>520</v>
      </c>
      <c r="H289" s="3" t="s">
        <v>520</v>
      </c>
      <c r="I289">
        <v>0</v>
      </c>
      <c r="J289" s="2" t="s">
        <v>285</v>
      </c>
      <c r="K289" s="2">
        <f t="shared" si="246"/>
        <v>3</v>
      </c>
      <c r="L289" s="2">
        <f t="shared" si="260"/>
        <v>1.2</v>
      </c>
      <c r="M289" s="2">
        <f t="shared" si="260"/>
        <v>1.7</v>
      </c>
      <c r="N289" s="2">
        <v>10</v>
      </c>
      <c r="O289" s="2">
        <f t="shared" si="244"/>
        <v>315.74</v>
      </c>
      <c r="P289" s="2">
        <f t="shared" si="244"/>
        <v>16.100000000000001</v>
      </c>
      <c r="Q289" s="2">
        <f t="shared" si="244"/>
        <v>2802.46</v>
      </c>
      <c r="R289" s="2">
        <f t="shared" si="244"/>
        <v>142.93</v>
      </c>
      <c r="S289" s="2">
        <f t="shared" si="244"/>
        <v>78.94</v>
      </c>
      <c r="T289" s="2">
        <f t="shared" si="244"/>
        <v>5.92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17">
        <v>523012</v>
      </c>
      <c r="AA289" s="14" t="s">
        <v>676</v>
      </c>
      <c r="AB289" s="15" t="s">
        <v>469</v>
      </c>
      <c r="AC289" s="2">
        <v>5092301</v>
      </c>
      <c r="AD289" s="2">
        <v>0</v>
      </c>
      <c r="AE289" s="2">
        <v>2</v>
      </c>
      <c r="AF289" s="2">
        <v>8</v>
      </c>
      <c r="AG289" s="2">
        <v>1</v>
      </c>
      <c r="AH289" s="2"/>
      <c r="AI289">
        <v>1</v>
      </c>
      <c r="AJ289" s="1">
        <f t="shared" si="242"/>
        <v>215.36584658294026</v>
      </c>
      <c r="AK289">
        <v>8</v>
      </c>
      <c r="AL289">
        <f t="shared" si="247"/>
        <v>287.04000000000002</v>
      </c>
      <c r="AM289">
        <f t="shared" si="248"/>
        <v>14.63904</v>
      </c>
      <c r="AN289">
        <f t="shared" si="249"/>
        <v>2547.6923076923072</v>
      </c>
      <c r="AO289">
        <f t="shared" si="250"/>
        <v>129.93230769230766</v>
      </c>
      <c r="AP289">
        <f t="shared" si="251"/>
        <v>71.760000000000005</v>
      </c>
      <c r="AQ289">
        <f t="shared" si="252"/>
        <v>5.3820000000000006</v>
      </c>
      <c r="AR289">
        <f t="shared" si="253"/>
        <v>1.2</v>
      </c>
      <c r="AS289">
        <f t="shared" si="257"/>
        <v>1.7</v>
      </c>
      <c r="AT289">
        <f t="shared" si="258"/>
        <v>3</v>
      </c>
      <c r="AU289">
        <f t="shared" si="255"/>
        <v>3012</v>
      </c>
      <c r="AV289" s="1">
        <v>1</v>
      </c>
      <c r="AW289">
        <v>5</v>
      </c>
      <c r="AX289">
        <v>0.1</v>
      </c>
      <c r="AZ289">
        <v>3</v>
      </c>
      <c r="BA289">
        <v>2</v>
      </c>
      <c r="BZ289" t="str">
        <f t="shared" si="259"/>
        <v>1524013,2524013,3524013</v>
      </c>
      <c r="CA289">
        <v>1524013</v>
      </c>
      <c r="CB289">
        <v>2524013</v>
      </c>
      <c r="CC289">
        <v>3524013</v>
      </c>
      <c r="CG289" t="str">
        <f t="shared" si="254"/>
        <v>DATA_Class_Base32</v>
      </c>
      <c r="CH289" s="3" t="s">
        <v>388</v>
      </c>
    </row>
    <row r="290" spans="1:86" ht="14.25">
      <c r="A290">
        <f t="shared" si="245"/>
        <v>5082401</v>
      </c>
      <c r="B290" s="2" t="s">
        <v>522</v>
      </c>
      <c r="C290" s="48" t="s">
        <v>523</v>
      </c>
      <c r="D290">
        <v>8</v>
      </c>
      <c r="E290">
        <v>4</v>
      </c>
      <c r="F290">
        <v>2</v>
      </c>
      <c r="G290" s="3" t="s">
        <v>524</v>
      </c>
      <c r="H290" s="3" t="s">
        <v>524</v>
      </c>
      <c r="I290" s="2">
        <v>0</v>
      </c>
      <c r="J290" s="8" t="s">
        <v>250</v>
      </c>
      <c r="K290" s="2">
        <f t="shared" si="246"/>
        <v>6</v>
      </c>
      <c r="L290" s="2">
        <f t="shared" si="260"/>
        <v>1.6</v>
      </c>
      <c r="M290" s="2">
        <f t="shared" si="260"/>
        <v>1.5</v>
      </c>
      <c r="N290" s="2">
        <v>10</v>
      </c>
      <c r="O290" s="2">
        <f t="shared" si="244"/>
        <v>420.99</v>
      </c>
      <c r="P290" s="2">
        <f t="shared" si="244"/>
        <v>21.47</v>
      </c>
      <c r="Q290" s="2">
        <f t="shared" si="244"/>
        <v>2802.46</v>
      </c>
      <c r="R290" s="2">
        <f t="shared" si="244"/>
        <v>142.93</v>
      </c>
      <c r="S290" s="2">
        <f t="shared" si="244"/>
        <v>60.14</v>
      </c>
      <c r="T290" s="2">
        <f t="shared" si="244"/>
        <v>4.51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17">
        <v>524012</v>
      </c>
      <c r="AA290" s="14" t="s">
        <v>677</v>
      </c>
      <c r="AB290" s="15" t="s">
        <v>469</v>
      </c>
      <c r="AC290" s="2">
        <v>5092401</v>
      </c>
      <c r="AD290" s="2">
        <v>0</v>
      </c>
      <c r="AE290" s="2">
        <v>2</v>
      </c>
      <c r="AF290" s="2">
        <v>8</v>
      </c>
      <c r="AG290" s="2">
        <v>1</v>
      </c>
      <c r="AH290" s="2"/>
      <c r="AI290">
        <v>1</v>
      </c>
      <c r="AJ290" s="1">
        <f t="shared" si="242"/>
        <v>214.56530518756242</v>
      </c>
      <c r="AK290">
        <v>8</v>
      </c>
      <c r="AL290">
        <f t="shared" si="247"/>
        <v>382.71999999999997</v>
      </c>
      <c r="AM290">
        <f t="shared" si="248"/>
        <v>19.518719999999998</v>
      </c>
      <c r="AN290">
        <f t="shared" si="249"/>
        <v>2547.6923076923072</v>
      </c>
      <c r="AO290">
        <f t="shared" si="250"/>
        <v>129.93230769230766</v>
      </c>
      <c r="AP290">
        <f t="shared" si="251"/>
        <v>54.674285714285709</v>
      </c>
      <c r="AQ290">
        <f t="shared" si="252"/>
        <v>4.1005714285714276</v>
      </c>
      <c r="AR290">
        <f t="shared" si="253"/>
        <v>1.6</v>
      </c>
      <c r="AS290">
        <f t="shared" si="257"/>
        <v>1.5</v>
      </c>
      <c r="AT290">
        <f t="shared" si="258"/>
        <v>6</v>
      </c>
      <c r="AU290">
        <f t="shared" si="255"/>
        <v>4012</v>
      </c>
      <c r="AV290" s="1">
        <v>1</v>
      </c>
      <c r="AW290">
        <v>5</v>
      </c>
      <c r="AX290">
        <v>0.1</v>
      </c>
      <c r="AZ290">
        <v>4</v>
      </c>
      <c r="BA290">
        <v>2</v>
      </c>
      <c r="BZ290" t="str">
        <f t="shared" si="259"/>
        <v>1524023,2524023,3524023</v>
      </c>
      <c r="CA290">
        <v>1524023</v>
      </c>
      <c r="CB290">
        <v>2524023</v>
      </c>
      <c r="CC290">
        <v>3524023</v>
      </c>
      <c r="CG290" t="str">
        <f t="shared" si="254"/>
        <v>DATA_Class_Base33</v>
      </c>
      <c r="CH290" s="3" t="s">
        <v>391</v>
      </c>
    </row>
    <row r="291" spans="1:86" ht="14.25">
      <c r="A291">
        <f t="shared" si="245"/>
        <v>5082402</v>
      </c>
      <c r="B291" s="2" t="s">
        <v>526</v>
      </c>
      <c r="C291" s="48" t="s">
        <v>527</v>
      </c>
      <c r="D291">
        <v>8</v>
      </c>
      <c r="E291">
        <v>4</v>
      </c>
      <c r="F291">
        <v>2</v>
      </c>
      <c r="G291" s="3" t="s">
        <v>528</v>
      </c>
      <c r="H291" s="3" t="s">
        <v>528</v>
      </c>
      <c r="I291">
        <v>0</v>
      </c>
      <c r="J291" s="2" t="s">
        <v>250</v>
      </c>
      <c r="K291" s="2">
        <f t="shared" si="246"/>
        <v>6</v>
      </c>
      <c r="L291" s="2">
        <f t="shared" si="260"/>
        <v>1.5</v>
      </c>
      <c r="M291" s="2">
        <f t="shared" si="260"/>
        <v>1.5</v>
      </c>
      <c r="N291" s="2">
        <v>10</v>
      </c>
      <c r="O291" s="2">
        <f t="shared" si="244"/>
        <v>444.36</v>
      </c>
      <c r="P291" s="2">
        <f t="shared" si="244"/>
        <v>22.66</v>
      </c>
      <c r="Q291" s="2">
        <f t="shared" si="244"/>
        <v>2720.57</v>
      </c>
      <c r="R291" s="2">
        <f t="shared" si="244"/>
        <v>138.75</v>
      </c>
      <c r="S291" s="2">
        <f t="shared" si="244"/>
        <v>63.48</v>
      </c>
      <c r="T291" s="2">
        <f t="shared" si="244"/>
        <v>4.76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17">
        <v>524022</v>
      </c>
      <c r="AA291" s="14" t="s">
        <v>678</v>
      </c>
      <c r="AB291" s="15" t="s">
        <v>469</v>
      </c>
      <c r="AC291" s="2">
        <v>5092402</v>
      </c>
      <c r="AD291" s="2">
        <v>0</v>
      </c>
      <c r="AE291" s="2">
        <v>2</v>
      </c>
      <c r="AF291" s="2">
        <v>8</v>
      </c>
      <c r="AG291" s="2">
        <v>1</v>
      </c>
      <c r="AH291" s="2"/>
      <c r="AI291">
        <v>1</v>
      </c>
      <c r="AJ291" s="1">
        <f t="shared" si="242"/>
        <v>214.5898484772479</v>
      </c>
      <c r="AK291">
        <v>8</v>
      </c>
      <c r="AL291">
        <f t="shared" si="247"/>
        <v>386.39999999999992</v>
      </c>
      <c r="AM291">
        <f t="shared" si="248"/>
        <v>19.706399999999995</v>
      </c>
      <c r="AN291">
        <f t="shared" si="249"/>
        <v>2365.7142857142858</v>
      </c>
      <c r="AO291">
        <f t="shared" si="250"/>
        <v>120.65142857142857</v>
      </c>
      <c r="AP291">
        <f t="shared" si="251"/>
        <v>55.199999999999989</v>
      </c>
      <c r="AQ291">
        <f t="shared" si="252"/>
        <v>4.1399999999999988</v>
      </c>
      <c r="AR291">
        <f t="shared" si="253"/>
        <v>1.5</v>
      </c>
      <c r="AS291">
        <f t="shared" si="257"/>
        <v>1.5</v>
      </c>
      <c r="AT291">
        <f t="shared" si="258"/>
        <v>6</v>
      </c>
      <c r="AU291">
        <f t="shared" si="255"/>
        <v>4022</v>
      </c>
      <c r="AV291" s="1">
        <v>2</v>
      </c>
      <c r="AW291">
        <v>5</v>
      </c>
      <c r="AX291">
        <v>0.15</v>
      </c>
      <c r="AZ291">
        <v>4</v>
      </c>
      <c r="BA291">
        <v>2</v>
      </c>
      <c r="BZ291" t="str">
        <f t="shared" si="259"/>
        <v>1525003,2525003,3525003</v>
      </c>
      <c r="CA291">
        <v>1525003</v>
      </c>
      <c r="CB291">
        <v>2525003</v>
      </c>
      <c r="CC291">
        <v>3525003</v>
      </c>
      <c r="CG291" t="str">
        <f t="shared" si="254"/>
        <v>DATA_Class_Base34</v>
      </c>
      <c r="CH291" s="3" t="s">
        <v>184</v>
      </c>
    </row>
    <row r="292" spans="1:86" ht="14.25">
      <c r="A292">
        <f t="shared" si="245"/>
        <v>5082500</v>
      </c>
      <c r="B292" s="2" t="s">
        <v>530</v>
      </c>
      <c r="C292" s="48" t="s">
        <v>531</v>
      </c>
      <c r="D292">
        <v>8</v>
      </c>
      <c r="E292">
        <v>5</v>
      </c>
      <c r="F292">
        <v>2</v>
      </c>
      <c r="G292" s="3" t="s">
        <v>532</v>
      </c>
      <c r="H292" s="3" t="s">
        <v>532</v>
      </c>
      <c r="I292" s="2">
        <v>0</v>
      </c>
      <c r="J292" s="2" t="s">
        <v>533</v>
      </c>
      <c r="K292" s="2">
        <f t="shared" si="246"/>
        <v>6</v>
      </c>
      <c r="L292" s="2">
        <f t="shared" si="260"/>
        <v>1.4000000000000001</v>
      </c>
      <c r="M292" s="2">
        <f t="shared" si="260"/>
        <v>2</v>
      </c>
      <c r="N292" s="2">
        <v>10</v>
      </c>
      <c r="O292" s="2">
        <f t="shared" si="244"/>
        <v>425.04</v>
      </c>
      <c r="P292" s="2">
        <f t="shared" si="244"/>
        <v>21.68</v>
      </c>
      <c r="Q292" s="2">
        <f t="shared" si="244"/>
        <v>2428.8000000000002</v>
      </c>
      <c r="R292" s="2">
        <f t="shared" ref="R292:T355" si="261">ROUND(AO292*(1+$AX292),2)</f>
        <v>123.87</v>
      </c>
      <c r="S292" s="2">
        <f t="shared" si="261"/>
        <v>56.67</v>
      </c>
      <c r="T292" s="2">
        <f t="shared" si="261"/>
        <v>4.25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17">
        <v>525002</v>
      </c>
      <c r="AA292" s="14" t="s">
        <v>679</v>
      </c>
      <c r="AB292" s="15" t="s">
        <v>469</v>
      </c>
      <c r="AC292" s="2">
        <v>5092500</v>
      </c>
      <c r="AD292" s="2">
        <v>0</v>
      </c>
      <c r="AE292" s="2">
        <v>2</v>
      </c>
      <c r="AF292" s="2">
        <v>8</v>
      </c>
      <c r="AG292" s="2">
        <v>1</v>
      </c>
      <c r="AH292" s="2"/>
      <c r="AI292">
        <v>1</v>
      </c>
      <c r="AJ292" s="1">
        <f t="shared" si="242"/>
        <v>214.41816326638912</v>
      </c>
      <c r="AK292">
        <v>8</v>
      </c>
      <c r="AL292">
        <f t="shared" si="247"/>
        <v>386.39999999999992</v>
      </c>
      <c r="AM292">
        <f t="shared" si="248"/>
        <v>19.706399999999995</v>
      </c>
      <c r="AN292">
        <f t="shared" si="249"/>
        <v>2208</v>
      </c>
      <c r="AO292">
        <f t="shared" si="250"/>
        <v>112.60799999999999</v>
      </c>
      <c r="AP292">
        <f t="shared" si="251"/>
        <v>51.519999999999989</v>
      </c>
      <c r="AQ292">
        <f t="shared" si="252"/>
        <v>3.863999999999999</v>
      </c>
      <c r="AR292">
        <f t="shared" si="253"/>
        <v>1.4</v>
      </c>
      <c r="AS292">
        <f t="shared" si="257"/>
        <v>2</v>
      </c>
      <c r="AT292">
        <f t="shared" si="258"/>
        <v>6</v>
      </c>
      <c r="AU292">
        <f t="shared" si="255"/>
        <v>5002</v>
      </c>
      <c r="AV292" s="1">
        <v>0</v>
      </c>
      <c r="AW292">
        <v>5</v>
      </c>
      <c r="AX292">
        <v>0.1</v>
      </c>
      <c r="AZ292">
        <v>5</v>
      </c>
      <c r="BA292">
        <v>2</v>
      </c>
      <c r="BZ292" t="str">
        <f t="shared" si="259"/>
        <v>1525023,2525023,3525023</v>
      </c>
      <c r="CA292">
        <v>1525023</v>
      </c>
      <c r="CB292">
        <v>2525023</v>
      </c>
      <c r="CC292">
        <v>3525023</v>
      </c>
      <c r="CG292" t="str">
        <f t="shared" si="254"/>
        <v>DATA_Class_Base35</v>
      </c>
      <c r="CH292" s="3" t="s">
        <v>195</v>
      </c>
    </row>
    <row r="293" spans="1:86" ht="14.25">
      <c r="A293" s="49">
        <f t="shared" si="245"/>
        <v>5082502</v>
      </c>
      <c r="B293" s="2" t="s">
        <v>535</v>
      </c>
      <c r="C293" s="48" t="s">
        <v>536</v>
      </c>
      <c r="D293">
        <v>8</v>
      </c>
      <c r="E293">
        <v>5</v>
      </c>
      <c r="F293">
        <v>2</v>
      </c>
      <c r="G293" s="3" t="s">
        <v>537</v>
      </c>
      <c r="H293" s="3" t="s">
        <v>537</v>
      </c>
      <c r="I293" s="2">
        <v>0</v>
      </c>
      <c r="J293" s="2" t="s">
        <v>291</v>
      </c>
      <c r="K293" s="2">
        <f t="shared" si="246"/>
        <v>6</v>
      </c>
      <c r="L293" s="2">
        <f t="shared" si="260"/>
        <v>1.4000000000000001</v>
      </c>
      <c r="M293" s="2">
        <f t="shared" si="260"/>
        <v>2</v>
      </c>
      <c r="N293" s="2">
        <v>10</v>
      </c>
      <c r="O293" s="2">
        <f t="shared" ref="O293:T356" si="262">ROUND(AL293*(1+$AX293),2)</f>
        <v>479.14</v>
      </c>
      <c r="P293" s="2">
        <f t="shared" si="262"/>
        <v>24.44</v>
      </c>
      <c r="Q293" s="2">
        <f t="shared" si="262"/>
        <v>2564.13</v>
      </c>
      <c r="R293" s="2">
        <f t="shared" si="261"/>
        <v>130.77000000000001</v>
      </c>
      <c r="S293" s="2">
        <f t="shared" si="261"/>
        <v>68.45</v>
      </c>
      <c r="T293" s="2">
        <f t="shared" si="261"/>
        <v>5.13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17">
        <v>525022</v>
      </c>
      <c r="AA293" s="14" t="s">
        <v>680</v>
      </c>
      <c r="AB293" s="15" t="s">
        <v>469</v>
      </c>
      <c r="AC293" s="2">
        <v>5092502</v>
      </c>
      <c r="AD293" s="2">
        <v>0</v>
      </c>
      <c r="AE293" s="2">
        <v>2</v>
      </c>
      <c r="AF293" s="2">
        <v>8</v>
      </c>
      <c r="AG293" s="2">
        <v>1</v>
      </c>
      <c r="AH293" s="2"/>
      <c r="AI293">
        <v>1</v>
      </c>
      <c r="AJ293" s="1">
        <f t="shared" si="242"/>
        <v>214.67579422558487</v>
      </c>
      <c r="AK293">
        <v>8</v>
      </c>
      <c r="AL293">
        <f t="shared" si="247"/>
        <v>399.28</v>
      </c>
      <c r="AM293">
        <f t="shared" si="248"/>
        <v>20.363279999999996</v>
      </c>
      <c r="AN293">
        <f t="shared" si="249"/>
        <v>2136.7741935483868</v>
      </c>
      <c r="AO293">
        <f t="shared" si="250"/>
        <v>108.97548387096772</v>
      </c>
      <c r="AP293">
        <f t="shared" si="251"/>
        <v>57.04</v>
      </c>
      <c r="AQ293">
        <f t="shared" si="252"/>
        <v>4.2779999999999996</v>
      </c>
      <c r="AR293">
        <f t="shared" si="253"/>
        <v>1.4</v>
      </c>
      <c r="AS293">
        <f t="shared" si="257"/>
        <v>2</v>
      </c>
      <c r="AT293">
        <f t="shared" si="258"/>
        <v>6</v>
      </c>
      <c r="AU293">
        <f t="shared" si="255"/>
        <v>5022</v>
      </c>
      <c r="AV293" s="1">
        <v>2</v>
      </c>
      <c r="AW293">
        <v>5</v>
      </c>
      <c r="AX293">
        <v>0.2</v>
      </c>
      <c r="AZ293">
        <v>5</v>
      </c>
      <c r="BA293">
        <v>2</v>
      </c>
      <c r="BZ293" t="str">
        <f t="shared" si="259"/>
        <v>1526013,2526013,3526013</v>
      </c>
      <c r="CA293">
        <v>1526013</v>
      </c>
      <c r="CB293">
        <v>2526013</v>
      </c>
      <c r="CC293">
        <v>3526013</v>
      </c>
      <c r="CG293" t="str">
        <f t="shared" si="254"/>
        <v>DATA_Class_Base36</v>
      </c>
      <c r="CH293" s="3" t="s">
        <v>201</v>
      </c>
    </row>
    <row r="294" spans="1:86" ht="14.25">
      <c r="A294" s="49">
        <f t="shared" si="245"/>
        <v>5082601</v>
      </c>
      <c r="B294" s="2" t="s">
        <v>539</v>
      </c>
      <c r="C294" s="48" t="s">
        <v>540</v>
      </c>
      <c r="D294">
        <v>8</v>
      </c>
      <c r="E294">
        <v>6</v>
      </c>
      <c r="F294">
        <v>2</v>
      </c>
      <c r="G294" s="3" t="s">
        <v>541</v>
      </c>
      <c r="H294" s="3" t="s">
        <v>541</v>
      </c>
      <c r="I294" s="2">
        <v>0</v>
      </c>
      <c r="J294" s="8" t="s">
        <v>542</v>
      </c>
      <c r="K294" s="2">
        <f t="shared" si="246"/>
        <v>6</v>
      </c>
      <c r="L294" s="2">
        <f t="shared" si="260"/>
        <v>1.5</v>
      </c>
      <c r="M294" s="2">
        <f t="shared" si="260"/>
        <v>2</v>
      </c>
      <c r="N294" s="2">
        <v>10</v>
      </c>
      <c r="O294" s="2">
        <f t="shared" si="262"/>
        <v>364.32</v>
      </c>
      <c r="P294" s="2">
        <f t="shared" si="262"/>
        <v>18.579999999999998</v>
      </c>
      <c r="Q294" s="2">
        <f t="shared" si="262"/>
        <v>3613.09</v>
      </c>
      <c r="R294" s="2">
        <f t="shared" si="261"/>
        <v>184.27</v>
      </c>
      <c r="S294" s="2">
        <f t="shared" si="261"/>
        <v>80.959999999999994</v>
      </c>
      <c r="T294" s="2">
        <f t="shared" si="261"/>
        <v>6.07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17">
        <v>526012</v>
      </c>
      <c r="AA294" s="14" t="s">
        <v>681</v>
      </c>
      <c r="AB294" s="15" t="s">
        <v>469</v>
      </c>
      <c r="AC294" s="2">
        <v>5092601</v>
      </c>
      <c r="AD294" s="2">
        <v>0</v>
      </c>
      <c r="AE294" s="2">
        <v>2</v>
      </c>
      <c r="AF294" s="2">
        <v>8</v>
      </c>
      <c r="AG294" s="2">
        <v>1</v>
      </c>
      <c r="AH294" s="2"/>
      <c r="AI294">
        <v>1</v>
      </c>
      <c r="AJ294" s="1">
        <f t="shared" si="242"/>
        <v>215.16412348808919</v>
      </c>
      <c r="AK294">
        <v>8</v>
      </c>
      <c r="AL294">
        <f t="shared" si="247"/>
        <v>303.59999999999997</v>
      </c>
      <c r="AM294">
        <f t="shared" si="248"/>
        <v>15.483599999999997</v>
      </c>
      <c r="AN294">
        <f t="shared" si="249"/>
        <v>3010.9090909090905</v>
      </c>
      <c r="AO294">
        <f t="shared" si="250"/>
        <v>153.55636363636361</v>
      </c>
      <c r="AP294">
        <f t="shared" si="251"/>
        <v>67.466666666666654</v>
      </c>
      <c r="AQ294">
        <f t="shared" si="252"/>
        <v>5.0599999999999987</v>
      </c>
      <c r="AR294">
        <f t="shared" si="253"/>
        <v>1.5</v>
      </c>
      <c r="AS294">
        <f t="shared" si="257"/>
        <v>2</v>
      </c>
      <c r="AT294">
        <f t="shared" si="258"/>
        <v>6</v>
      </c>
      <c r="AU294">
        <f t="shared" si="255"/>
        <v>6012</v>
      </c>
      <c r="AV294" s="1">
        <v>1</v>
      </c>
      <c r="AW294">
        <v>5</v>
      </c>
      <c r="AX294">
        <v>0.2</v>
      </c>
      <c r="AZ294">
        <v>6</v>
      </c>
      <c r="BA294">
        <v>2</v>
      </c>
      <c r="BZ294" t="str">
        <f t="shared" si="259"/>
        <v>1532003,2532003,3532003</v>
      </c>
      <c r="CA294">
        <v>1532003</v>
      </c>
      <c r="CB294">
        <v>2532003</v>
      </c>
      <c r="CC294">
        <v>3532003</v>
      </c>
      <c r="CG294" t="str">
        <f t="shared" si="254"/>
        <v>DATA_Class_Base28</v>
      </c>
      <c r="CH294" s="3" t="s">
        <v>374</v>
      </c>
    </row>
    <row r="295" spans="1:86" ht="14.25">
      <c r="A295" s="49">
        <f t="shared" si="245"/>
        <v>5083200</v>
      </c>
      <c r="B295" s="2" t="s">
        <v>544</v>
      </c>
      <c r="C295" s="48" t="s">
        <v>545</v>
      </c>
      <c r="D295">
        <v>8</v>
      </c>
      <c r="E295">
        <v>2</v>
      </c>
      <c r="F295">
        <v>3</v>
      </c>
      <c r="G295" s="3" t="s">
        <v>546</v>
      </c>
      <c r="H295" s="3" t="s">
        <v>546</v>
      </c>
      <c r="I295">
        <v>0</v>
      </c>
      <c r="J295" s="2" t="s">
        <v>314</v>
      </c>
      <c r="K295" s="2">
        <f t="shared" si="246"/>
        <v>3</v>
      </c>
      <c r="L295" s="2">
        <f t="shared" si="260"/>
        <v>1.5</v>
      </c>
      <c r="M295" s="2">
        <f t="shared" si="260"/>
        <v>1.2</v>
      </c>
      <c r="N295" s="2">
        <v>10</v>
      </c>
      <c r="O295" s="2">
        <f t="shared" si="262"/>
        <v>222.18</v>
      </c>
      <c r="P295" s="2">
        <f t="shared" si="262"/>
        <v>11.33</v>
      </c>
      <c r="Q295" s="2">
        <f t="shared" si="262"/>
        <v>5441.14</v>
      </c>
      <c r="R295" s="2">
        <f t="shared" si="261"/>
        <v>277.5</v>
      </c>
      <c r="S295" s="2">
        <f t="shared" si="261"/>
        <v>111.09</v>
      </c>
      <c r="T295" s="2">
        <f t="shared" si="261"/>
        <v>8.33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17">
        <v>532002</v>
      </c>
      <c r="AA295" s="14" t="s">
        <v>682</v>
      </c>
      <c r="AB295" s="15" t="s">
        <v>469</v>
      </c>
      <c r="AC295" s="2">
        <v>5093200</v>
      </c>
      <c r="AD295" s="2">
        <v>0</v>
      </c>
      <c r="AE295" s="2">
        <v>2</v>
      </c>
      <c r="AF295" s="2">
        <v>8</v>
      </c>
      <c r="AG295" s="2">
        <v>1</v>
      </c>
      <c r="AH295" s="2"/>
      <c r="AI295">
        <v>1</v>
      </c>
      <c r="AJ295" s="1">
        <f t="shared" si="242"/>
        <v>216.54042422627546</v>
      </c>
      <c r="AK295">
        <v>8</v>
      </c>
      <c r="AL295">
        <f t="shared" si="247"/>
        <v>193.19999999999996</v>
      </c>
      <c r="AM295">
        <f t="shared" si="248"/>
        <v>9.8531999999999975</v>
      </c>
      <c r="AN295">
        <f t="shared" si="249"/>
        <v>4731.4285714285716</v>
      </c>
      <c r="AO295">
        <f t="shared" si="250"/>
        <v>241.30285714285714</v>
      </c>
      <c r="AP295">
        <f t="shared" si="251"/>
        <v>96.59999999999998</v>
      </c>
      <c r="AQ295">
        <f t="shared" si="252"/>
        <v>7.2449999999999983</v>
      </c>
      <c r="AR295">
        <f t="shared" si="253"/>
        <v>1.5</v>
      </c>
      <c r="AS295">
        <f t="shared" si="257"/>
        <v>1.2</v>
      </c>
      <c r="AT295">
        <f t="shared" si="258"/>
        <v>3</v>
      </c>
      <c r="AU295">
        <f t="shared" si="255"/>
        <v>2003</v>
      </c>
      <c r="AV295" s="1">
        <v>0</v>
      </c>
      <c r="AW295">
        <v>5</v>
      </c>
      <c r="AX295">
        <v>0.15</v>
      </c>
      <c r="AZ295">
        <v>2</v>
      </c>
      <c r="BA295">
        <v>3</v>
      </c>
      <c r="BZ295" t="str">
        <f t="shared" si="259"/>
        <v>1532013,2532013,3532013</v>
      </c>
      <c r="CA295">
        <v>1532013</v>
      </c>
      <c r="CB295">
        <v>2532013</v>
      </c>
      <c r="CC295">
        <v>3532013</v>
      </c>
      <c r="CG295" t="str">
        <f t="shared" si="254"/>
        <v>DATA_Class_Base29</v>
      </c>
      <c r="CH295" s="3" t="s">
        <v>378</v>
      </c>
    </row>
    <row r="296" spans="1:86" ht="14.25">
      <c r="A296">
        <f t="shared" si="245"/>
        <v>5083201</v>
      </c>
      <c r="B296" s="2" t="s">
        <v>548</v>
      </c>
      <c r="C296" s="48" t="s">
        <v>549</v>
      </c>
      <c r="D296">
        <v>8</v>
      </c>
      <c r="E296">
        <v>2</v>
      </c>
      <c r="F296">
        <v>3</v>
      </c>
      <c r="G296" s="3" t="s">
        <v>550</v>
      </c>
      <c r="H296" s="3" t="s">
        <v>550</v>
      </c>
      <c r="I296" s="2">
        <v>0</v>
      </c>
      <c r="J296" s="50" t="s">
        <v>1720</v>
      </c>
      <c r="K296" s="2">
        <f t="shared" si="246"/>
        <v>3</v>
      </c>
      <c r="L296" s="2">
        <f t="shared" si="260"/>
        <v>1.7</v>
      </c>
      <c r="M296" s="2">
        <f t="shared" si="260"/>
        <v>1.8</v>
      </c>
      <c r="N296" s="2">
        <v>10</v>
      </c>
      <c r="O296" s="2">
        <f t="shared" si="262"/>
        <v>206.45</v>
      </c>
      <c r="P296" s="2">
        <f t="shared" si="262"/>
        <v>10.53</v>
      </c>
      <c r="Q296" s="2">
        <f t="shared" si="262"/>
        <v>6072</v>
      </c>
      <c r="R296" s="2">
        <f t="shared" si="261"/>
        <v>309.67</v>
      </c>
      <c r="S296" s="2">
        <f t="shared" si="261"/>
        <v>103.22</v>
      </c>
      <c r="T296" s="2">
        <f t="shared" si="261"/>
        <v>7.74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17">
        <v>532012</v>
      </c>
      <c r="AA296" s="14" t="s">
        <v>683</v>
      </c>
      <c r="AB296" s="15" t="s">
        <v>469</v>
      </c>
      <c r="AC296" s="2">
        <v>5093201</v>
      </c>
      <c r="AD296" s="2">
        <v>0</v>
      </c>
      <c r="AE296" s="2">
        <v>2</v>
      </c>
      <c r="AF296" s="2">
        <v>8</v>
      </c>
      <c r="AG296" s="2">
        <v>1</v>
      </c>
      <c r="AH296" s="2"/>
      <c r="AI296">
        <v>1</v>
      </c>
      <c r="AJ296" s="1">
        <f t="shared" si="242"/>
        <v>216.40928329149591</v>
      </c>
      <c r="AK296">
        <v>8</v>
      </c>
      <c r="AL296">
        <f t="shared" si="247"/>
        <v>187.68</v>
      </c>
      <c r="AM296">
        <f t="shared" si="248"/>
        <v>9.5716799999999989</v>
      </c>
      <c r="AN296">
        <f t="shared" si="249"/>
        <v>5520</v>
      </c>
      <c r="AO296">
        <f t="shared" si="250"/>
        <v>281.52</v>
      </c>
      <c r="AP296">
        <f t="shared" si="251"/>
        <v>93.84</v>
      </c>
      <c r="AQ296">
        <f t="shared" si="252"/>
        <v>7.0380000000000003</v>
      </c>
      <c r="AR296">
        <f t="shared" si="253"/>
        <v>1.7</v>
      </c>
      <c r="AS296">
        <f t="shared" si="257"/>
        <v>1.8</v>
      </c>
      <c r="AT296">
        <f t="shared" si="258"/>
        <v>3</v>
      </c>
      <c r="AU296">
        <f t="shared" si="255"/>
        <v>2013</v>
      </c>
      <c r="AV296" s="1">
        <v>1</v>
      </c>
      <c r="AW296">
        <v>5</v>
      </c>
      <c r="AX296">
        <v>0.1</v>
      </c>
      <c r="AZ296">
        <v>2</v>
      </c>
      <c r="BA296">
        <v>3</v>
      </c>
      <c r="BZ296" t="str">
        <f t="shared" si="259"/>
        <v>1532023,2532023,3532023</v>
      </c>
      <c r="CA296">
        <v>1532023</v>
      </c>
      <c r="CB296">
        <v>2532023</v>
      </c>
      <c r="CC296">
        <v>3532023</v>
      </c>
      <c r="CG296" t="str">
        <f t="shared" si="254"/>
        <v>DATA_Class_Base30</v>
      </c>
      <c r="CH296" s="3" t="s">
        <v>381</v>
      </c>
    </row>
    <row r="297" spans="1:86" ht="14.25">
      <c r="A297">
        <f t="shared" si="245"/>
        <v>5083202</v>
      </c>
      <c r="B297" s="2" t="s">
        <v>552</v>
      </c>
      <c r="C297" s="48" t="s">
        <v>553</v>
      </c>
      <c r="D297">
        <v>8</v>
      </c>
      <c r="E297">
        <v>2</v>
      </c>
      <c r="F297">
        <v>3</v>
      </c>
      <c r="G297" s="3" t="s">
        <v>554</v>
      </c>
      <c r="H297" s="3" t="s">
        <v>554</v>
      </c>
      <c r="I297">
        <v>0</v>
      </c>
      <c r="J297" s="8" t="s">
        <v>555</v>
      </c>
      <c r="K297" s="2">
        <f t="shared" si="246"/>
        <v>3</v>
      </c>
      <c r="L297" s="2">
        <f t="shared" si="260"/>
        <v>1.7</v>
      </c>
      <c r="M297" s="2">
        <f t="shared" si="260"/>
        <v>2</v>
      </c>
      <c r="N297" s="2">
        <v>10</v>
      </c>
      <c r="O297" s="2">
        <f t="shared" si="262"/>
        <v>323.75</v>
      </c>
      <c r="P297" s="2">
        <f t="shared" si="262"/>
        <v>16.510000000000002</v>
      </c>
      <c r="Q297" s="2">
        <f t="shared" si="262"/>
        <v>4232</v>
      </c>
      <c r="R297" s="2">
        <f t="shared" si="261"/>
        <v>215.83</v>
      </c>
      <c r="S297" s="2">
        <f t="shared" si="261"/>
        <v>107.92</v>
      </c>
      <c r="T297" s="2">
        <f t="shared" si="261"/>
        <v>8.09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17">
        <v>532022</v>
      </c>
      <c r="AA297" s="14" t="s">
        <v>684</v>
      </c>
      <c r="AB297" s="15" t="s">
        <v>469</v>
      </c>
      <c r="AC297" s="2">
        <v>5093202</v>
      </c>
      <c r="AD297" s="2">
        <v>0</v>
      </c>
      <c r="AE297" s="2">
        <v>2</v>
      </c>
      <c r="AF297" s="2">
        <v>8</v>
      </c>
      <c r="AG297" s="2">
        <v>1</v>
      </c>
      <c r="AH297" s="2"/>
      <c r="AI297">
        <v>1</v>
      </c>
      <c r="AJ297" s="1">
        <f t="shared" si="242"/>
        <v>216.40928329149588</v>
      </c>
      <c r="AK297">
        <v>8</v>
      </c>
      <c r="AL297">
        <f t="shared" si="247"/>
        <v>281.52</v>
      </c>
      <c r="AM297">
        <f t="shared" si="248"/>
        <v>14.357519999999997</v>
      </c>
      <c r="AN297">
        <f t="shared" si="249"/>
        <v>3679.9999999999995</v>
      </c>
      <c r="AO297">
        <f t="shared" si="250"/>
        <v>187.67999999999998</v>
      </c>
      <c r="AP297">
        <f t="shared" si="251"/>
        <v>93.839999999999989</v>
      </c>
      <c r="AQ297">
        <f t="shared" si="252"/>
        <v>7.0379999999999994</v>
      </c>
      <c r="AR297">
        <f t="shared" si="253"/>
        <v>1.7</v>
      </c>
      <c r="AS297">
        <f t="shared" si="257"/>
        <v>2</v>
      </c>
      <c r="AT297">
        <f t="shared" si="258"/>
        <v>3</v>
      </c>
      <c r="AU297">
        <f t="shared" si="255"/>
        <v>2023</v>
      </c>
      <c r="AV297" s="1">
        <v>2</v>
      </c>
      <c r="AW297">
        <v>5</v>
      </c>
      <c r="AX297">
        <v>0.15</v>
      </c>
      <c r="AZ297">
        <v>2</v>
      </c>
      <c r="BA297">
        <v>3</v>
      </c>
      <c r="BZ297" t="str">
        <f t="shared" si="259"/>
        <v>1533013,2533013,3533013</v>
      </c>
      <c r="CA297">
        <v>1533013</v>
      </c>
      <c r="CB297">
        <v>2533013</v>
      </c>
      <c r="CC297">
        <v>3533013</v>
      </c>
      <c r="CG297" t="str">
        <f t="shared" si="254"/>
        <v>DATA_Class_Base31</v>
      </c>
      <c r="CH297" s="3" t="s">
        <v>384</v>
      </c>
    </row>
    <row r="298" spans="1:86" ht="14.25">
      <c r="A298" s="49">
        <f t="shared" si="245"/>
        <v>5083301</v>
      </c>
      <c r="B298" s="2" t="s">
        <v>557</v>
      </c>
      <c r="C298" s="48" t="s">
        <v>558</v>
      </c>
      <c r="D298">
        <v>8</v>
      </c>
      <c r="E298">
        <v>3</v>
      </c>
      <c r="F298">
        <v>3</v>
      </c>
      <c r="G298" s="3" t="s">
        <v>559</v>
      </c>
      <c r="H298" s="3" t="s">
        <v>559</v>
      </c>
      <c r="I298" s="2">
        <v>0</v>
      </c>
      <c r="J298" s="8" t="s">
        <v>555</v>
      </c>
      <c r="K298" s="2">
        <f t="shared" si="246"/>
        <v>3</v>
      </c>
      <c r="L298" s="2">
        <f t="shared" si="260"/>
        <v>1.2</v>
      </c>
      <c r="M298" s="2">
        <f t="shared" si="260"/>
        <v>1.4000000000000001</v>
      </c>
      <c r="N298" s="2">
        <v>10</v>
      </c>
      <c r="O298" s="2">
        <f t="shared" si="262"/>
        <v>317.95</v>
      </c>
      <c r="P298" s="2">
        <f t="shared" si="262"/>
        <v>16.22</v>
      </c>
      <c r="Q298" s="2">
        <f t="shared" si="262"/>
        <v>3312</v>
      </c>
      <c r="R298" s="2">
        <f t="shared" si="261"/>
        <v>168.91</v>
      </c>
      <c r="S298" s="2">
        <f t="shared" si="261"/>
        <v>90.84</v>
      </c>
      <c r="T298" s="2">
        <f t="shared" si="261"/>
        <v>6.81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17">
        <v>533012</v>
      </c>
      <c r="AA298" s="14" t="s">
        <v>685</v>
      </c>
      <c r="AB298" s="15" t="s">
        <v>469</v>
      </c>
      <c r="AC298" s="2">
        <v>5093301</v>
      </c>
      <c r="AD298" s="2">
        <v>0</v>
      </c>
      <c r="AE298" s="2">
        <v>2</v>
      </c>
      <c r="AF298" s="2">
        <v>8</v>
      </c>
      <c r="AG298" s="2">
        <v>1</v>
      </c>
      <c r="AH298" s="2"/>
      <c r="AI298">
        <v>1</v>
      </c>
      <c r="AJ298" s="1">
        <f t="shared" si="242"/>
        <v>215.55143596168219</v>
      </c>
      <c r="AK298">
        <v>8</v>
      </c>
      <c r="AL298">
        <f t="shared" si="247"/>
        <v>264.95999999999998</v>
      </c>
      <c r="AM298">
        <f t="shared" si="248"/>
        <v>13.512959999999998</v>
      </c>
      <c r="AN298">
        <f t="shared" si="249"/>
        <v>2760</v>
      </c>
      <c r="AO298">
        <f t="shared" si="250"/>
        <v>140.76</v>
      </c>
      <c r="AP298">
        <f t="shared" si="251"/>
        <v>75.702857142857141</v>
      </c>
      <c r="AQ298">
        <f t="shared" si="252"/>
        <v>5.677714285714285</v>
      </c>
      <c r="AR298">
        <f t="shared" si="253"/>
        <v>1.2</v>
      </c>
      <c r="AS298">
        <f t="shared" si="257"/>
        <v>1.4</v>
      </c>
      <c r="AT298">
        <f t="shared" si="258"/>
        <v>3</v>
      </c>
      <c r="AU298">
        <f t="shared" si="255"/>
        <v>3013</v>
      </c>
      <c r="AV298" s="1">
        <v>1</v>
      </c>
      <c r="AW298">
        <v>5</v>
      </c>
      <c r="AX298">
        <v>0.2</v>
      </c>
      <c r="AZ298">
        <v>3</v>
      </c>
      <c r="BA298">
        <v>3</v>
      </c>
      <c r="BZ298" t="str">
        <f t="shared" si="259"/>
        <v>1534013,2534013,3534013</v>
      </c>
      <c r="CA298">
        <v>1534013</v>
      </c>
      <c r="CB298">
        <v>2534013</v>
      </c>
      <c r="CC298">
        <v>3534013</v>
      </c>
      <c r="CG298" t="str">
        <f t="shared" si="254"/>
        <v>DATA_Class_Base32</v>
      </c>
      <c r="CH298" s="3" t="s">
        <v>388</v>
      </c>
    </row>
    <row r="299" spans="1:86" ht="14.25">
      <c r="A299">
        <f t="shared" si="245"/>
        <v>5083401</v>
      </c>
      <c r="B299" s="2" t="s">
        <v>561</v>
      </c>
      <c r="C299" s="48" t="s">
        <v>562</v>
      </c>
      <c r="D299">
        <v>8</v>
      </c>
      <c r="E299">
        <v>4</v>
      </c>
      <c r="F299">
        <v>3</v>
      </c>
      <c r="G299" s="3" t="s">
        <v>563</v>
      </c>
      <c r="H299" s="3" t="s">
        <v>563</v>
      </c>
      <c r="I299">
        <v>0</v>
      </c>
      <c r="J299" s="2" t="s">
        <v>161</v>
      </c>
      <c r="K299" s="2">
        <f t="shared" si="246"/>
        <v>6</v>
      </c>
      <c r="L299" s="2">
        <f t="shared" si="260"/>
        <v>1.6</v>
      </c>
      <c r="M299" s="2">
        <f t="shared" si="260"/>
        <v>1.5</v>
      </c>
      <c r="N299" s="2">
        <v>10</v>
      </c>
      <c r="O299" s="2">
        <f t="shared" si="262"/>
        <v>423.94</v>
      </c>
      <c r="P299" s="2">
        <f t="shared" si="262"/>
        <v>21.62</v>
      </c>
      <c r="Q299" s="2">
        <f t="shared" si="262"/>
        <v>3312</v>
      </c>
      <c r="R299" s="2">
        <f t="shared" si="261"/>
        <v>168.91</v>
      </c>
      <c r="S299" s="2">
        <f t="shared" si="261"/>
        <v>70.66</v>
      </c>
      <c r="T299" s="2">
        <f t="shared" si="261"/>
        <v>5.3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17">
        <v>534012</v>
      </c>
      <c r="AA299" s="14" t="s">
        <v>686</v>
      </c>
      <c r="AB299" s="15" t="s">
        <v>469</v>
      </c>
      <c r="AC299" s="2">
        <v>5093401</v>
      </c>
      <c r="AD299" s="2">
        <v>0</v>
      </c>
      <c r="AE299" s="2">
        <v>2</v>
      </c>
      <c r="AF299" s="2">
        <v>8</v>
      </c>
      <c r="AG299" s="2">
        <v>1</v>
      </c>
      <c r="AH299" s="2"/>
      <c r="AI299">
        <v>1</v>
      </c>
      <c r="AJ299" s="1">
        <f t="shared" si="242"/>
        <v>214.76180884606407</v>
      </c>
      <c r="AK299">
        <v>8</v>
      </c>
      <c r="AL299">
        <f t="shared" si="247"/>
        <v>353.28</v>
      </c>
      <c r="AM299">
        <f t="shared" si="248"/>
        <v>18.017279999999996</v>
      </c>
      <c r="AN299">
        <f t="shared" si="249"/>
        <v>2760</v>
      </c>
      <c r="AO299">
        <f t="shared" si="250"/>
        <v>140.76</v>
      </c>
      <c r="AP299">
        <f t="shared" si="251"/>
        <v>58.879999999999995</v>
      </c>
      <c r="AQ299">
        <f t="shared" si="252"/>
        <v>4.4159999999999995</v>
      </c>
      <c r="AR299">
        <f t="shared" si="253"/>
        <v>1.6</v>
      </c>
      <c r="AS299">
        <f t="shared" si="257"/>
        <v>1.5</v>
      </c>
      <c r="AT299">
        <f t="shared" si="258"/>
        <v>6</v>
      </c>
      <c r="AU299">
        <f t="shared" si="255"/>
        <v>4013</v>
      </c>
      <c r="AV299" s="1">
        <v>1</v>
      </c>
      <c r="AW299">
        <v>5</v>
      </c>
      <c r="AX299">
        <v>0.2</v>
      </c>
      <c r="AZ299">
        <v>4</v>
      </c>
      <c r="BA299">
        <v>3</v>
      </c>
      <c r="BZ299" t="str">
        <f t="shared" si="259"/>
        <v>1534023,2534023,3534023</v>
      </c>
      <c r="CA299">
        <v>1534023</v>
      </c>
      <c r="CB299">
        <v>2534023</v>
      </c>
      <c r="CC299">
        <v>3534023</v>
      </c>
      <c r="CG299" t="str">
        <f t="shared" si="254"/>
        <v>DATA_Class_Base33</v>
      </c>
      <c r="CH299" s="3" t="s">
        <v>391</v>
      </c>
    </row>
    <row r="300" spans="1:86" ht="14.25">
      <c r="A300">
        <f t="shared" si="245"/>
        <v>5083402</v>
      </c>
      <c r="B300" s="2" t="s">
        <v>565</v>
      </c>
      <c r="C300" s="48" t="s">
        <v>566</v>
      </c>
      <c r="D300">
        <v>8</v>
      </c>
      <c r="E300">
        <v>4</v>
      </c>
      <c r="F300">
        <v>3</v>
      </c>
      <c r="G300" s="3" t="s">
        <v>567</v>
      </c>
      <c r="H300" s="3" t="s">
        <v>567</v>
      </c>
      <c r="I300" s="2">
        <v>0</v>
      </c>
      <c r="J300" s="8" t="s">
        <v>568</v>
      </c>
      <c r="K300" s="2">
        <f t="shared" si="246"/>
        <v>6</v>
      </c>
      <c r="L300" s="2">
        <f t="shared" si="260"/>
        <v>1.5</v>
      </c>
      <c r="M300" s="2">
        <f t="shared" si="260"/>
        <v>1.5</v>
      </c>
      <c r="N300" s="2">
        <v>10</v>
      </c>
      <c r="O300" s="2">
        <f t="shared" si="262"/>
        <v>412.62</v>
      </c>
      <c r="P300" s="2">
        <f t="shared" si="262"/>
        <v>21.04</v>
      </c>
      <c r="Q300" s="2">
        <f t="shared" si="262"/>
        <v>2929.85</v>
      </c>
      <c r="R300" s="2">
        <f t="shared" si="261"/>
        <v>149.41999999999999</v>
      </c>
      <c r="S300" s="2">
        <f t="shared" si="261"/>
        <v>58.95</v>
      </c>
      <c r="T300" s="2">
        <f t="shared" si="261"/>
        <v>4.42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17">
        <v>534022</v>
      </c>
      <c r="AA300" s="14" t="s">
        <v>687</v>
      </c>
      <c r="AB300" s="15" t="s">
        <v>469</v>
      </c>
      <c r="AC300" s="2">
        <v>5093402</v>
      </c>
      <c r="AD300" s="2">
        <v>0</v>
      </c>
      <c r="AE300" s="2">
        <v>2</v>
      </c>
      <c r="AF300" s="2">
        <v>8</v>
      </c>
      <c r="AG300" s="2">
        <v>1</v>
      </c>
      <c r="AH300" s="2"/>
      <c r="AI300">
        <v>1</v>
      </c>
      <c r="AJ300" s="1">
        <f t="shared" si="242"/>
        <v>214.40591054859706</v>
      </c>
      <c r="AK300">
        <v>8</v>
      </c>
      <c r="AL300">
        <f t="shared" si="247"/>
        <v>358.79999999999995</v>
      </c>
      <c r="AM300">
        <f t="shared" si="248"/>
        <v>18.298799999999996</v>
      </c>
      <c r="AN300">
        <f t="shared" si="249"/>
        <v>2547.6923076923072</v>
      </c>
      <c r="AO300">
        <f t="shared" si="250"/>
        <v>129.93230769230766</v>
      </c>
      <c r="AP300">
        <f t="shared" si="251"/>
        <v>51.257142857142853</v>
      </c>
      <c r="AQ300">
        <f t="shared" si="252"/>
        <v>3.8442857142857139</v>
      </c>
      <c r="AR300">
        <f t="shared" si="253"/>
        <v>1.5</v>
      </c>
      <c r="AS300">
        <f t="shared" si="257"/>
        <v>1.5</v>
      </c>
      <c r="AT300">
        <f t="shared" si="258"/>
        <v>6</v>
      </c>
      <c r="AU300">
        <f t="shared" si="255"/>
        <v>4023</v>
      </c>
      <c r="AV300" s="1">
        <v>2</v>
      </c>
      <c r="AW300">
        <v>5</v>
      </c>
      <c r="AX300">
        <v>0.15</v>
      </c>
      <c r="AZ300">
        <v>4</v>
      </c>
      <c r="BA300">
        <v>3</v>
      </c>
      <c r="BZ300" t="str">
        <f t="shared" si="259"/>
        <v>1535003,2535003,3535003</v>
      </c>
      <c r="CA300">
        <v>1535003</v>
      </c>
      <c r="CB300">
        <v>2535003</v>
      </c>
      <c r="CC300">
        <v>3535003</v>
      </c>
      <c r="CG300" t="str">
        <f t="shared" si="254"/>
        <v>DATA_Class_Base34</v>
      </c>
      <c r="CH300" s="3" t="s">
        <v>184</v>
      </c>
    </row>
    <row r="301" spans="1:86" ht="14.25">
      <c r="A301">
        <f t="shared" si="245"/>
        <v>5083500</v>
      </c>
      <c r="B301" s="2" t="s">
        <v>570</v>
      </c>
      <c r="C301" s="48" t="s">
        <v>571</v>
      </c>
      <c r="D301">
        <v>8</v>
      </c>
      <c r="E301">
        <v>5</v>
      </c>
      <c r="F301">
        <v>3</v>
      </c>
      <c r="G301" s="3" t="s">
        <v>572</v>
      </c>
      <c r="H301" s="3" t="s">
        <v>572</v>
      </c>
      <c r="I301" s="2">
        <v>0</v>
      </c>
      <c r="J301" s="2" t="s">
        <v>303</v>
      </c>
      <c r="K301" s="2">
        <f t="shared" si="246"/>
        <v>6</v>
      </c>
      <c r="L301" s="2">
        <f t="shared" si="260"/>
        <v>1.5</v>
      </c>
      <c r="M301" s="2">
        <f t="shared" si="260"/>
        <v>2</v>
      </c>
      <c r="N301" s="2">
        <v>10</v>
      </c>
      <c r="O301" s="2">
        <f t="shared" si="262"/>
        <v>394.68</v>
      </c>
      <c r="P301" s="2">
        <f t="shared" si="262"/>
        <v>20.13</v>
      </c>
      <c r="Q301" s="2">
        <f t="shared" si="262"/>
        <v>2802.46</v>
      </c>
      <c r="R301" s="2">
        <f t="shared" si="261"/>
        <v>142.93</v>
      </c>
      <c r="S301" s="2">
        <f t="shared" si="261"/>
        <v>65.78</v>
      </c>
      <c r="T301" s="2">
        <f t="shared" si="261"/>
        <v>4.93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17">
        <v>535002</v>
      </c>
      <c r="AA301" s="14" t="s">
        <v>688</v>
      </c>
      <c r="AB301" s="15" t="s">
        <v>469</v>
      </c>
      <c r="AC301" s="2">
        <v>5093500</v>
      </c>
      <c r="AD301" s="2">
        <v>0</v>
      </c>
      <c r="AE301" s="2">
        <v>2</v>
      </c>
      <c r="AF301" s="2">
        <v>8</v>
      </c>
      <c r="AG301" s="2">
        <v>1</v>
      </c>
      <c r="AH301" s="2"/>
      <c r="AI301">
        <v>1</v>
      </c>
      <c r="AJ301" s="1">
        <f t="shared" si="242"/>
        <v>214.80484200923266</v>
      </c>
      <c r="AK301">
        <v>8</v>
      </c>
      <c r="AL301">
        <f t="shared" si="247"/>
        <v>358.79999999999995</v>
      </c>
      <c r="AM301">
        <f t="shared" si="248"/>
        <v>18.298799999999996</v>
      </c>
      <c r="AN301">
        <f t="shared" si="249"/>
        <v>2547.6923076923072</v>
      </c>
      <c r="AO301">
        <f t="shared" si="250"/>
        <v>129.93230769230766</v>
      </c>
      <c r="AP301">
        <f t="shared" si="251"/>
        <v>59.79999999999999</v>
      </c>
      <c r="AQ301">
        <f t="shared" si="252"/>
        <v>4.4849999999999994</v>
      </c>
      <c r="AR301">
        <f t="shared" si="253"/>
        <v>1.5</v>
      </c>
      <c r="AS301">
        <f t="shared" si="257"/>
        <v>2</v>
      </c>
      <c r="AT301">
        <f t="shared" si="258"/>
        <v>6</v>
      </c>
      <c r="AU301">
        <f t="shared" si="255"/>
        <v>5003</v>
      </c>
      <c r="AV301" s="1">
        <v>0</v>
      </c>
      <c r="AW301">
        <v>5</v>
      </c>
      <c r="AX301">
        <v>0.1</v>
      </c>
      <c r="AZ301">
        <v>5</v>
      </c>
      <c r="BA301">
        <v>3</v>
      </c>
      <c r="BZ301" t="str">
        <f t="shared" si="259"/>
        <v>1535023,2535023,3535023</v>
      </c>
      <c r="CA301">
        <v>1535023</v>
      </c>
      <c r="CB301">
        <v>2535023</v>
      </c>
      <c r="CC301">
        <v>3535023</v>
      </c>
      <c r="CG301" t="str">
        <f t="shared" si="254"/>
        <v>DATA_Class_Base35</v>
      </c>
      <c r="CH301" s="3" t="s">
        <v>195</v>
      </c>
    </row>
    <row r="302" spans="1:86" ht="14.25">
      <c r="A302">
        <f t="shared" si="245"/>
        <v>5083502</v>
      </c>
      <c r="B302" s="2" t="s">
        <v>574</v>
      </c>
      <c r="C302" s="48" t="s">
        <v>575</v>
      </c>
      <c r="D302">
        <v>8</v>
      </c>
      <c r="E302">
        <v>5</v>
      </c>
      <c r="F302">
        <v>3</v>
      </c>
      <c r="G302" s="3" t="s">
        <v>576</v>
      </c>
      <c r="H302" s="3" t="s">
        <v>576</v>
      </c>
      <c r="I302" s="2">
        <v>0</v>
      </c>
      <c r="J302" s="8" t="s">
        <v>577</v>
      </c>
      <c r="K302" s="2">
        <f t="shared" si="246"/>
        <v>6</v>
      </c>
      <c r="L302" s="2">
        <f t="shared" si="260"/>
        <v>1.4000000000000001</v>
      </c>
      <c r="M302" s="2">
        <f t="shared" si="260"/>
        <v>2</v>
      </c>
      <c r="N302" s="2">
        <v>10</v>
      </c>
      <c r="O302" s="2">
        <f t="shared" si="262"/>
        <v>382.54</v>
      </c>
      <c r="P302" s="2">
        <f t="shared" si="262"/>
        <v>19.510000000000002</v>
      </c>
      <c r="Q302" s="2">
        <f t="shared" si="262"/>
        <v>2698.67</v>
      </c>
      <c r="R302" s="2">
        <f t="shared" si="261"/>
        <v>137.63</v>
      </c>
      <c r="S302" s="2">
        <f t="shared" si="261"/>
        <v>63.76</v>
      </c>
      <c r="T302" s="2">
        <f t="shared" si="261"/>
        <v>4.78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17">
        <v>535022</v>
      </c>
      <c r="AA302" s="14" t="s">
        <v>689</v>
      </c>
      <c r="AB302" s="15" t="s">
        <v>469</v>
      </c>
      <c r="AC302" s="2">
        <v>5093502</v>
      </c>
      <c r="AD302" s="2">
        <v>0</v>
      </c>
      <c r="AE302" s="2">
        <v>2</v>
      </c>
      <c r="AF302" s="2">
        <v>8</v>
      </c>
      <c r="AG302" s="2">
        <v>1</v>
      </c>
      <c r="AH302" s="2"/>
      <c r="AI302">
        <v>1</v>
      </c>
      <c r="AJ302" s="1">
        <f t="shared" si="242"/>
        <v>214.71879292163354</v>
      </c>
      <c r="AK302">
        <v>8</v>
      </c>
      <c r="AL302">
        <f t="shared" si="247"/>
        <v>347.75999999999993</v>
      </c>
      <c r="AM302">
        <f t="shared" si="248"/>
        <v>17.735759999999996</v>
      </c>
      <c r="AN302">
        <f t="shared" si="249"/>
        <v>2453.3333333333326</v>
      </c>
      <c r="AO302">
        <f t="shared" si="250"/>
        <v>125.11999999999995</v>
      </c>
      <c r="AP302">
        <f t="shared" si="251"/>
        <v>57.959999999999987</v>
      </c>
      <c r="AQ302">
        <f t="shared" si="252"/>
        <v>4.3469999999999986</v>
      </c>
      <c r="AR302">
        <f t="shared" si="253"/>
        <v>1.4</v>
      </c>
      <c r="AS302">
        <f t="shared" si="257"/>
        <v>2</v>
      </c>
      <c r="AT302">
        <f t="shared" si="258"/>
        <v>6</v>
      </c>
      <c r="AU302">
        <f t="shared" si="255"/>
        <v>5023</v>
      </c>
      <c r="AV302" s="1">
        <v>2</v>
      </c>
      <c r="AW302">
        <v>5</v>
      </c>
      <c r="AX302">
        <v>0.1</v>
      </c>
      <c r="AZ302">
        <v>5</v>
      </c>
      <c r="BA302">
        <v>3</v>
      </c>
      <c r="BZ302" t="str">
        <f t="shared" si="259"/>
        <v>1536013,2536013,3536013</v>
      </c>
      <c r="CA302">
        <v>1536013</v>
      </c>
      <c r="CB302">
        <v>2536013</v>
      </c>
      <c r="CC302">
        <v>3536013</v>
      </c>
      <c r="CG302" t="str">
        <f t="shared" si="254"/>
        <v>DATA_Class_Base36</v>
      </c>
      <c r="CH302" s="3" t="s">
        <v>201</v>
      </c>
    </row>
    <row r="303" spans="1:86" ht="14.25">
      <c r="A303">
        <f t="shared" si="245"/>
        <v>5083601</v>
      </c>
      <c r="B303" s="2" t="s">
        <v>579</v>
      </c>
      <c r="C303" s="48" t="s">
        <v>580</v>
      </c>
      <c r="D303">
        <v>8</v>
      </c>
      <c r="E303">
        <v>6</v>
      </c>
      <c r="F303">
        <v>3</v>
      </c>
      <c r="G303" s="3" t="s">
        <v>581</v>
      </c>
      <c r="H303" s="3" t="s">
        <v>581</v>
      </c>
      <c r="I303">
        <v>0</v>
      </c>
      <c r="J303" s="2" t="s">
        <v>309</v>
      </c>
      <c r="K303" s="2">
        <f t="shared" si="246"/>
        <v>6</v>
      </c>
      <c r="L303" s="2">
        <f t="shared" si="260"/>
        <v>1.5</v>
      </c>
      <c r="M303" s="2">
        <f t="shared" si="260"/>
        <v>2</v>
      </c>
      <c r="N303" s="2">
        <v>10</v>
      </c>
      <c r="O303" s="2">
        <f t="shared" si="262"/>
        <v>273.24</v>
      </c>
      <c r="P303" s="2">
        <f t="shared" si="262"/>
        <v>13.94</v>
      </c>
      <c r="Q303" s="2">
        <f t="shared" si="262"/>
        <v>4048</v>
      </c>
      <c r="R303" s="2">
        <f t="shared" si="261"/>
        <v>206.45</v>
      </c>
      <c r="S303" s="2">
        <f t="shared" si="261"/>
        <v>68.31</v>
      </c>
      <c r="T303" s="2">
        <f t="shared" si="261"/>
        <v>5.12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17">
        <v>536012</v>
      </c>
      <c r="AA303" s="14" t="s">
        <v>690</v>
      </c>
      <c r="AB303" s="15" t="s">
        <v>469</v>
      </c>
      <c r="AC303" s="2">
        <v>5093601</v>
      </c>
      <c r="AD303" s="2">
        <v>0</v>
      </c>
      <c r="AE303" s="2">
        <v>2</v>
      </c>
      <c r="AF303" s="2">
        <v>8</v>
      </c>
      <c r="AG303" s="2">
        <v>1</v>
      </c>
      <c r="AH303" s="2"/>
      <c r="AI303">
        <v>1</v>
      </c>
      <c r="AJ303" s="1">
        <f t="shared" si="242"/>
        <v>214.91250040467293</v>
      </c>
      <c r="AK303">
        <v>8</v>
      </c>
      <c r="AL303">
        <f t="shared" si="247"/>
        <v>248.39999999999998</v>
      </c>
      <c r="AM303">
        <f t="shared" si="248"/>
        <v>12.668399999999998</v>
      </c>
      <c r="AN303">
        <f t="shared" si="249"/>
        <v>3679.9999999999995</v>
      </c>
      <c r="AO303">
        <f t="shared" si="250"/>
        <v>187.67999999999998</v>
      </c>
      <c r="AP303">
        <f t="shared" si="251"/>
        <v>62.099999999999994</v>
      </c>
      <c r="AQ303">
        <f t="shared" si="252"/>
        <v>4.6574999999999998</v>
      </c>
      <c r="AR303">
        <f t="shared" si="253"/>
        <v>1.5</v>
      </c>
      <c r="AS303">
        <f t="shared" si="257"/>
        <v>2</v>
      </c>
      <c r="AT303">
        <f t="shared" si="258"/>
        <v>6</v>
      </c>
      <c r="AU303">
        <f t="shared" si="255"/>
        <v>6013</v>
      </c>
      <c r="AV303" s="1">
        <v>1</v>
      </c>
      <c r="AW303">
        <v>5</v>
      </c>
      <c r="AX303">
        <v>0.1</v>
      </c>
      <c r="AZ303">
        <v>6</v>
      </c>
      <c r="BA303">
        <v>3</v>
      </c>
      <c r="BZ303" t="str">
        <f t="shared" si="259"/>
        <v>1542013,2542013,3542013</v>
      </c>
      <c r="CA303">
        <v>1542013</v>
      </c>
      <c r="CB303">
        <v>2542013</v>
      </c>
      <c r="CC303">
        <v>3542013</v>
      </c>
      <c r="CG303" t="str">
        <f t="shared" si="254"/>
        <v>DATA_Class_Base29</v>
      </c>
      <c r="CH303" s="3" t="s">
        <v>378</v>
      </c>
    </row>
    <row r="304" spans="1:86" ht="14.25">
      <c r="A304">
        <f t="shared" si="245"/>
        <v>5084201</v>
      </c>
      <c r="B304" s="2" t="s">
        <v>583</v>
      </c>
      <c r="C304" s="48" t="s">
        <v>584</v>
      </c>
      <c r="D304">
        <v>8</v>
      </c>
      <c r="E304">
        <v>2</v>
      </c>
      <c r="F304">
        <v>4</v>
      </c>
      <c r="G304" s="3" t="s">
        <v>585</v>
      </c>
      <c r="H304" s="3" t="s">
        <v>585</v>
      </c>
      <c r="I304" s="30">
        <v>0</v>
      </c>
      <c r="J304" s="8" t="s">
        <v>298</v>
      </c>
      <c r="K304" s="2">
        <f t="shared" si="246"/>
        <v>3</v>
      </c>
      <c r="L304" s="2">
        <f t="shared" si="260"/>
        <v>1.8</v>
      </c>
      <c r="M304" s="2">
        <f t="shared" si="260"/>
        <v>1.8</v>
      </c>
      <c r="N304" s="2">
        <v>10</v>
      </c>
      <c r="O304" s="2">
        <f t="shared" si="262"/>
        <v>317.95</v>
      </c>
      <c r="P304" s="2">
        <f t="shared" si="262"/>
        <v>16.22</v>
      </c>
      <c r="Q304" s="2">
        <f t="shared" si="262"/>
        <v>4968</v>
      </c>
      <c r="R304" s="2">
        <f t="shared" si="261"/>
        <v>253.37</v>
      </c>
      <c r="S304" s="2">
        <f t="shared" si="261"/>
        <v>117.76</v>
      </c>
      <c r="T304" s="2">
        <f t="shared" si="261"/>
        <v>8.83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17">
        <v>542012</v>
      </c>
      <c r="AA304" s="15" t="s">
        <v>691</v>
      </c>
      <c r="AB304" s="15" t="s">
        <v>469</v>
      </c>
      <c r="AC304" s="2">
        <v>5094201</v>
      </c>
      <c r="AD304" s="2">
        <v>0</v>
      </c>
      <c r="AE304" s="2">
        <v>1</v>
      </c>
      <c r="AF304" s="2">
        <v>5064201</v>
      </c>
      <c r="AG304" s="2">
        <v>1</v>
      </c>
      <c r="AH304" s="2"/>
      <c r="AI304">
        <v>1</v>
      </c>
      <c r="AJ304" s="1">
        <f t="shared" si="242"/>
        <v>216.61334900165633</v>
      </c>
      <c r="AK304">
        <v>8</v>
      </c>
      <c r="AL304">
        <f t="shared" si="247"/>
        <v>264.95999999999998</v>
      </c>
      <c r="AM304">
        <f t="shared" si="248"/>
        <v>13.512959999999998</v>
      </c>
      <c r="AN304">
        <f t="shared" si="249"/>
        <v>4140</v>
      </c>
      <c r="AO304">
        <f t="shared" si="250"/>
        <v>211.14</v>
      </c>
      <c r="AP304">
        <f t="shared" si="251"/>
        <v>98.133333333333326</v>
      </c>
      <c r="AQ304">
        <f t="shared" si="252"/>
        <v>7.3599999999999994</v>
      </c>
      <c r="AR304">
        <f t="shared" si="253"/>
        <v>1.8</v>
      </c>
      <c r="AS304">
        <f t="shared" si="257"/>
        <v>1.8</v>
      </c>
      <c r="AT304">
        <f t="shared" si="258"/>
        <v>3</v>
      </c>
      <c r="AU304">
        <f t="shared" si="255"/>
        <v>2014</v>
      </c>
      <c r="AV304" s="1">
        <v>1</v>
      </c>
      <c r="AW304">
        <v>5</v>
      </c>
      <c r="AX304">
        <v>0.2</v>
      </c>
      <c r="AZ304">
        <v>2</v>
      </c>
      <c r="BA304">
        <v>4</v>
      </c>
      <c r="BZ304" t="str">
        <f t="shared" si="259"/>
        <v>1543023,2543023,3543023</v>
      </c>
      <c r="CA304">
        <v>1543023</v>
      </c>
      <c r="CB304">
        <v>2543023</v>
      </c>
      <c r="CC304">
        <v>3543023</v>
      </c>
      <c r="CG304" t="str">
        <f t="shared" si="254"/>
        <v>DATA_Class_Base41</v>
      </c>
      <c r="CH304" s="3" t="s">
        <v>413</v>
      </c>
    </row>
    <row r="305" spans="1:86" ht="14.25">
      <c r="A305">
        <f t="shared" si="245"/>
        <v>5084302</v>
      </c>
      <c r="B305" s="2" t="s">
        <v>587</v>
      </c>
      <c r="C305" s="48" t="s">
        <v>588</v>
      </c>
      <c r="D305">
        <v>8</v>
      </c>
      <c r="E305">
        <v>3</v>
      </c>
      <c r="F305">
        <v>4</v>
      </c>
      <c r="G305" s="3" t="s">
        <v>589</v>
      </c>
      <c r="H305" s="3" t="s">
        <v>589</v>
      </c>
      <c r="I305" s="30">
        <v>0</v>
      </c>
      <c r="J305" s="8" t="s">
        <v>590</v>
      </c>
      <c r="K305" s="2">
        <f t="shared" si="246"/>
        <v>3</v>
      </c>
      <c r="L305" s="2">
        <f t="shared" si="260"/>
        <v>1.4000000000000001</v>
      </c>
      <c r="M305" s="2">
        <f t="shared" si="260"/>
        <v>2</v>
      </c>
      <c r="N305" s="2">
        <v>10</v>
      </c>
      <c r="O305" s="2">
        <f t="shared" si="262"/>
        <v>325.86</v>
      </c>
      <c r="P305" s="2">
        <f t="shared" si="262"/>
        <v>16.62</v>
      </c>
      <c r="Q305" s="2">
        <f t="shared" si="262"/>
        <v>3462.55</v>
      </c>
      <c r="R305" s="2">
        <f t="shared" si="261"/>
        <v>176.59</v>
      </c>
      <c r="S305" s="2">
        <f t="shared" si="261"/>
        <v>81.47</v>
      </c>
      <c r="T305" s="2">
        <f t="shared" si="261"/>
        <v>6.11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17">
        <v>543022</v>
      </c>
      <c r="AA305" s="15" t="s">
        <v>692</v>
      </c>
      <c r="AB305" s="15" t="s">
        <v>469</v>
      </c>
      <c r="AC305" s="2">
        <v>5094302</v>
      </c>
      <c r="AD305" s="2">
        <v>0</v>
      </c>
      <c r="AE305" s="2">
        <v>1</v>
      </c>
      <c r="AF305" s="2">
        <v>5064302</v>
      </c>
      <c r="AG305" s="2">
        <v>1</v>
      </c>
      <c r="AH305" s="2"/>
      <c r="AI305">
        <v>1</v>
      </c>
      <c r="AJ305" s="1">
        <f t="shared" si="242"/>
        <v>215.32258836994731</v>
      </c>
      <c r="AK305">
        <v>8</v>
      </c>
      <c r="AL305">
        <f t="shared" si="247"/>
        <v>283.35999999999996</v>
      </c>
      <c r="AM305">
        <f t="shared" si="248"/>
        <v>14.451359999999998</v>
      </c>
      <c r="AN305">
        <f t="shared" si="249"/>
        <v>3010.9090909090905</v>
      </c>
      <c r="AO305">
        <f t="shared" si="250"/>
        <v>153.55636363636361</v>
      </c>
      <c r="AP305">
        <f t="shared" si="251"/>
        <v>70.839999999999989</v>
      </c>
      <c r="AQ305">
        <f t="shared" si="252"/>
        <v>5.3129999999999988</v>
      </c>
      <c r="AR305">
        <f t="shared" si="253"/>
        <v>1.4</v>
      </c>
      <c r="AS305">
        <f t="shared" si="257"/>
        <v>2</v>
      </c>
      <c r="AT305">
        <f t="shared" si="258"/>
        <v>3</v>
      </c>
      <c r="AU305">
        <f t="shared" si="255"/>
        <v>3024</v>
      </c>
      <c r="AV305" s="1">
        <v>2</v>
      </c>
      <c r="AW305">
        <v>5</v>
      </c>
      <c r="AX305">
        <v>0.15</v>
      </c>
      <c r="AZ305">
        <v>3</v>
      </c>
      <c r="BA305">
        <v>4</v>
      </c>
      <c r="BZ305" t="str">
        <f t="shared" si="259"/>
        <v>1545013,2545013,3545013</v>
      </c>
      <c r="CA305">
        <v>1545013</v>
      </c>
      <c r="CB305">
        <v>2545013</v>
      </c>
      <c r="CC305">
        <v>3545013</v>
      </c>
      <c r="CG305" t="str">
        <f t="shared" si="254"/>
        <v>DATA_Class_Base37</v>
      </c>
      <c r="CH305" s="3" t="s">
        <v>402</v>
      </c>
    </row>
    <row r="306" spans="1:86" ht="14.25">
      <c r="A306" s="49">
        <f t="shared" si="245"/>
        <v>5084501</v>
      </c>
      <c r="B306" s="2" t="s">
        <v>592</v>
      </c>
      <c r="C306" s="48" t="s">
        <v>593</v>
      </c>
      <c r="D306">
        <v>8</v>
      </c>
      <c r="E306">
        <v>5</v>
      </c>
      <c r="F306">
        <v>4</v>
      </c>
      <c r="G306" s="3" t="s">
        <v>594</v>
      </c>
      <c r="H306" s="3" t="s">
        <v>594</v>
      </c>
      <c r="I306">
        <v>0</v>
      </c>
      <c r="J306" s="2" t="s">
        <v>334</v>
      </c>
      <c r="K306" s="2">
        <f t="shared" si="246"/>
        <v>6</v>
      </c>
      <c r="L306" s="2">
        <f t="shared" si="260"/>
        <v>1.6</v>
      </c>
      <c r="M306" s="2">
        <f t="shared" si="260"/>
        <v>2</v>
      </c>
      <c r="N306" s="2">
        <v>10</v>
      </c>
      <c r="O306" s="2">
        <f t="shared" si="262"/>
        <v>440.13</v>
      </c>
      <c r="P306" s="2">
        <f t="shared" si="262"/>
        <v>22.45</v>
      </c>
      <c r="Q306" s="2">
        <f t="shared" si="262"/>
        <v>2929.85</v>
      </c>
      <c r="R306" s="2">
        <f t="shared" si="261"/>
        <v>149.41999999999999</v>
      </c>
      <c r="S306" s="2">
        <f t="shared" si="261"/>
        <v>62.88</v>
      </c>
      <c r="T306" s="2">
        <f t="shared" si="261"/>
        <v>4.72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17">
        <v>545012</v>
      </c>
      <c r="AA306" s="14" t="s">
        <v>693</v>
      </c>
      <c r="AB306" s="15" t="s">
        <v>469</v>
      </c>
      <c r="AC306" s="2">
        <v>5094501</v>
      </c>
      <c r="AD306" s="2">
        <v>0</v>
      </c>
      <c r="AE306" s="2">
        <v>1</v>
      </c>
      <c r="AF306" s="2">
        <v>5064501</v>
      </c>
      <c r="AG306" s="2">
        <v>1</v>
      </c>
      <c r="AH306" s="2"/>
      <c r="AI306">
        <v>1</v>
      </c>
      <c r="AJ306" s="1">
        <f t="shared" ref="AJ306:AJ369" si="263">(AN306+AO306*AI306)*(AL306+AM306*AI306)/AR306*(0.9)*(1+0.5*0.1)*1/1/(1-(AP306+AQ306*AI306)*0.0002)/3000</f>
        <v>214.56530518756242</v>
      </c>
      <c r="AK306">
        <v>8</v>
      </c>
      <c r="AL306">
        <f t="shared" si="247"/>
        <v>382.71999999999997</v>
      </c>
      <c r="AM306">
        <f t="shared" si="248"/>
        <v>19.518719999999998</v>
      </c>
      <c r="AN306">
        <f t="shared" si="249"/>
        <v>2547.6923076923072</v>
      </c>
      <c r="AO306">
        <f t="shared" si="250"/>
        <v>129.93230769230766</v>
      </c>
      <c r="AP306">
        <f t="shared" si="251"/>
        <v>54.674285714285709</v>
      </c>
      <c r="AQ306">
        <f t="shared" si="252"/>
        <v>4.1005714285714276</v>
      </c>
      <c r="AR306">
        <f t="shared" si="253"/>
        <v>1.6</v>
      </c>
      <c r="AS306">
        <f t="shared" si="257"/>
        <v>2</v>
      </c>
      <c r="AT306">
        <f t="shared" si="258"/>
        <v>6</v>
      </c>
      <c r="AU306">
        <f t="shared" si="255"/>
        <v>5014</v>
      </c>
      <c r="AV306" s="1">
        <v>1</v>
      </c>
      <c r="AW306">
        <v>5</v>
      </c>
      <c r="AX306">
        <v>0.15</v>
      </c>
      <c r="AZ306">
        <v>5</v>
      </c>
      <c r="BA306">
        <v>4</v>
      </c>
      <c r="BZ306" t="str">
        <f t="shared" si="259"/>
        <v>1546003,2546003,3546003</v>
      </c>
      <c r="CA306">
        <v>1546003</v>
      </c>
      <c r="CB306">
        <v>2546003</v>
      </c>
      <c r="CC306">
        <v>3546003</v>
      </c>
      <c r="CG306" t="str">
        <f t="shared" si="254"/>
        <v>DATA_Class_Base38</v>
      </c>
      <c r="CH306" s="3" t="s">
        <v>198</v>
      </c>
    </row>
    <row r="307" spans="1:86" ht="14.25">
      <c r="A307" s="49">
        <f t="shared" si="245"/>
        <v>5084600</v>
      </c>
      <c r="B307" s="2" t="s">
        <v>596</v>
      </c>
      <c r="C307" s="48" t="s">
        <v>597</v>
      </c>
      <c r="D307">
        <v>8</v>
      </c>
      <c r="E307">
        <v>6</v>
      </c>
      <c r="F307">
        <v>4</v>
      </c>
      <c r="G307" s="3" t="s">
        <v>598</v>
      </c>
      <c r="H307" s="3" t="s">
        <v>598</v>
      </c>
      <c r="I307" s="2">
        <v>0</v>
      </c>
      <c r="J307" s="2" t="s">
        <v>339</v>
      </c>
      <c r="K307" s="2">
        <f t="shared" si="246"/>
        <v>3</v>
      </c>
      <c r="L307" s="2">
        <f t="shared" si="260"/>
        <v>1.4000000000000001</v>
      </c>
      <c r="M307" s="2">
        <f t="shared" si="260"/>
        <v>1.9000000000000001</v>
      </c>
      <c r="N307" s="2">
        <v>10</v>
      </c>
      <c r="O307" s="2">
        <f t="shared" si="262"/>
        <v>325.86</v>
      </c>
      <c r="P307" s="2">
        <f t="shared" si="262"/>
        <v>16.62</v>
      </c>
      <c r="Q307" s="2">
        <f t="shared" si="262"/>
        <v>3462.55</v>
      </c>
      <c r="R307" s="2">
        <f t="shared" si="261"/>
        <v>176.59</v>
      </c>
      <c r="S307" s="2">
        <f t="shared" si="261"/>
        <v>81.47</v>
      </c>
      <c r="T307" s="2">
        <f t="shared" si="261"/>
        <v>6.11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17">
        <v>546002</v>
      </c>
      <c r="AA307" s="14" t="s">
        <v>694</v>
      </c>
      <c r="AB307" s="15" t="s">
        <v>469</v>
      </c>
      <c r="AC307" s="2">
        <v>5094600</v>
      </c>
      <c r="AD307" s="2">
        <v>0</v>
      </c>
      <c r="AE307" s="2">
        <v>1</v>
      </c>
      <c r="AF307" s="2">
        <v>5064600</v>
      </c>
      <c r="AG307" s="2">
        <v>1</v>
      </c>
      <c r="AH307" s="2"/>
      <c r="AI307">
        <v>1</v>
      </c>
      <c r="AJ307" s="1">
        <f t="shared" si="263"/>
        <v>215.32258836994731</v>
      </c>
      <c r="AK307">
        <v>8</v>
      </c>
      <c r="AL307">
        <f t="shared" si="247"/>
        <v>283.35999999999996</v>
      </c>
      <c r="AM307">
        <f t="shared" si="248"/>
        <v>14.451359999999998</v>
      </c>
      <c r="AN307">
        <f t="shared" si="249"/>
        <v>3010.9090909090905</v>
      </c>
      <c r="AO307">
        <f t="shared" si="250"/>
        <v>153.55636363636361</v>
      </c>
      <c r="AP307">
        <f t="shared" si="251"/>
        <v>70.839999999999989</v>
      </c>
      <c r="AQ307">
        <f t="shared" si="252"/>
        <v>5.3129999999999988</v>
      </c>
      <c r="AR307">
        <f t="shared" si="253"/>
        <v>1.4</v>
      </c>
      <c r="AS307">
        <f t="shared" si="257"/>
        <v>1.9</v>
      </c>
      <c r="AT307">
        <f t="shared" si="258"/>
        <v>3</v>
      </c>
      <c r="AU307">
        <f t="shared" si="255"/>
        <v>6004</v>
      </c>
      <c r="AV307" s="1">
        <v>0</v>
      </c>
      <c r="AW307">
        <v>5</v>
      </c>
      <c r="AX307">
        <v>0.15</v>
      </c>
      <c r="AZ307">
        <v>6</v>
      </c>
      <c r="BA307">
        <v>4</v>
      </c>
      <c r="BZ307" t="str">
        <f t="shared" si="259"/>
        <v>1546023,2546023,3546023</v>
      </c>
      <c r="CA307">
        <v>1546023</v>
      </c>
      <c r="CB307">
        <v>2546023</v>
      </c>
      <c r="CC307">
        <v>3546023</v>
      </c>
      <c r="CG307" t="str">
        <f t="shared" si="254"/>
        <v>DATA_Class_Base39</v>
      </c>
      <c r="CH307" s="3" t="s">
        <v>407</v>
      </c>
    </row>
    <row r="308" spans="1:86" ht="14.25">
      <c r="A308">
        <f t="shared" si="245"/>
        <v>5084602</v>
      </c>
      <c r="B308" s="2" t="s">
        <v>600</v>
      </c>
      <c r="C308" s="48" t="s">
        <v>601</v>
      </c>
      <c r="D308">
        <v>8</v>
      </c>
      <c r="E308">
        <v>6</v>
      </c>
      <c r="F308">
        <v>4</v>
      </c>
      <c r="G308" s="3" t="s">
        <v>602</v>
      </c>
      <c r="H308" s="3" t="s">
        <v>602</v>
      </c>
      <c r="I308" t="s">
        <v>345</v>
      </c>
      <c r="J308" s="2" t="s">
        <v>346</v>
      </c>
      <c r="K308" s="2">
        <f t="shared" si="246"/>
        <v>6</v>
      </c>
      <c r="L308" s="2">
        <f t="shared" si="260"/>
        <v>1.8</v>
      </c>
      <c r="M308" s="2">
        <f t="shared" si="260"/>
        <v>2</v>
      </c>
      <c r="N308" s="2">
        <v>10</v>
      </c>
      <c r="O308" s="2">
        <f t="shared" si="262"/>
        <v>397.44</v>
      </c>
      <c r="P308" s="2">
        <f t="shared" si="262"/>
        <v>20.27</v>
      </c>
      <c r="Q308" s="2">
        <f t="shared" si="262"/>
        <v>3974.4</v>
      </c>
      <c r="R308" s="2">
        <f t="shared" si="261"/>
        <v>202.69</v>
      </c>
      <c r="S308" s="2">
        <f t="shared" si="261"/>
        <v>79.489999999999995</v>
      </c>
      <c r="T308" s="2">
        <f t="shared" si="261"/>
        <v>5.96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17">
        <v>546022</v>
      </c>
      <c r="AA308" s="55" t="s">
        <v>1723</v>
      </c>
      <c r="AB308" s="15" t="s">
        <v>469</v>
      </c>
      <c r="AC308" s="2">
        <v>5094602</v>
      </c>
      <c r="AD308" s="2">
        <v>0</v>
      </c>
      <c r="AE308" s="2">
        <v>1</v>
      </c>
      <c r="AF308" s="2">
        <v>5064602</v>
      </c>
      <c r="AG308" s="2">
        <v>1</v>
      </c>
      <c r="AH308" s="2"/>
      <c r="AI308">
        <v>1</v>
      </c>
      <c r="AJ308" s="1">
        <f t="shared" si="263"/>
        <v>215.10655770777092</v>
      </c>
      <c r="AK308">
        <v>8</v>
      </c>
      <c r="AL308">
        <f t="shared" si="247"/>
        <v>331.2</v>
      </c>
      <c r="AM308">
        <f t="shared" si="248"/>
        <v>16.891199999999998</v>
      </c>
      <c r="AN308">
        <f t="shared" si="249"/>
        <v>3311.9999999999995</v>
      </c>
      <c r="AO308">
        <f t="shared" si="250"/>
        <v>168.91199999999998</v>
      </c>
      <c r="AP308">
        <f t="shared" si="251"/>
        <v>66.239999999999995</v>
      </c>
      <c r="AQ308">
        <f t="shared" si="252"/>
        <v>4.9679999999999991</v>
      </c>
      <c r="AR308">
        <f t="shared" si="253"/>
        <v>1.8</v>
      </c>
      <c r="AS308">
        <f t="shared" si="257"/>
        <v>2</v>
      </c>
      <c r="AT308">
        <f t="shared" si="258"/>
        <v>6</v>
      </c>
      <c r="AU308">
        <f t="shared" si="255"/>
        <v>6024</v>
      </c>
      <c r="AV308" s="1">
        <v>2</v>
      </c>
      <c r="AW308">
        <v>5</v>
      </c>
      <c r="AX308">
        <v>0.2</v>
      </c>
      <c r="AZ308">
        <v>6</v>
      </c>
      <c r="BA308">
        <v>4</v>
      </c>
      <c r="BZ308" t="str">
        <f t="shared" si="259"/>
        <v>1552023,2552023,3552023</v>
      </c>
      <c r="CA308">
        <v>1552023</v>
      </c>
      <c r="CB308">
        <v>2552023</v>
      </c>
      <c r="CC308">
        <v>3552023</v>
      </c>
      <c r="CG308" t="str">
        <f t="shared" si="254"/>
        <v>DATA_Class_Base30</v>
      </c>
      <c r="CH308" s="3" t="s">
        <v>381</v>
      </c>
    </row>
    <row r="309" spans="1:86" ht="14.25">
      <c r="A309">
        <f t="shared" si="245"/>
        <v>5085202</v>
      </c>
      <c r="B309" s="2" t="s">
        <v>604</v>
      </c>
      <c r="C309" s="48" t="s">
        <v>605</v>
      </c>
      <c r="D309">
        <v>8</v>
      </c>
      <c r="E309">
        <v>2</v>
      </c>
      <c r="F309">
        <v>5</v>
      </c>
      <c r="G309" s="3" t="s">
        <v>606</v>
      </c>
      <c r="H309" s="3" t="s">
        <v>606</v>
      </c>
      <c r="I309" s="3">
        <v>0</v>
      </c>
      <c r="J309" s="8" t="s">
        <v>607</v>
      </c>
      <c r="K309" s="2">
        <f t="shared" si="246"/>
        <v>3</v>
      </c>
      <c r="L309" s="2">
        <f t="shared" si="260"/>
        <v>1.6</v>
      </c>
      <c r="M309" s="2">
        <f t="shared" si="260"/>
        <v>2</v>
      </c>
      <c r="N309" s="2">
        <v>10</v>
      </c>
      <c r="O309" s="2">
        <f t="shared" si="262"/>
        <v>338.56</v>
      </c>
      <c r="P309" s="2">
        <f t="shared" si="262"/>
        <v>17.27</v>
      </c>
      <c r="Q309" s="2">
        <f t="shared" si="262"/>
        <v>3808.8</v>
      </c>
      <c r="R309" s="2">
        <f t="shared" si="261"/>
        <v>194.25</v>
      </c>
      <c r="S309" s="2">
        <f t="shared" si="261"/>
        <v>112.85</v>
      </c>
      <c r="T309" s="2">
        <f t="shared" si="261"/>
        <v>8.4600000000000009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17">
        <v>552022</v>
      </c>
      <c r="AA309" s="15" t="s">
        <v>696</v>
      </c>
      <c r="AB309" s="15" t="s">
        <v>469</v>
      </c>
      <c r="AC309" s="2">
        <v>5095202</v>
      </c>
      <c r="AD309" s="2">
        <v>0</v>
      </c>
      <c r="AE309" s="2">
        <v>1</v>
      </c>
      <c r="AF309" s="2">
        <v>5065202</v>
      </c>
      <c r="AG309" s="2">
        <v>1</v>
      </c>
      <c r="AH309" s="2"/>
      <c r="AI309">
        <v>1</v>
      </c>
      <c r="AJ309" s="1">
        <f t="shared" si="263"/>
        <v>216.61334900165627</v>
      </c>
      <c r="AK309">
        <v>8</v>
      </c>
      <c r="AL309">
        <f t="shared" si="247"/>
        <v>294.39999999999998</v>
      </c>
      <c r="AM309">
        <f t="shared" si="248"/>
        <v>15.014399999999998</v>
      </c>
      <c r="AN309">
        <f t="shared" si="249"/>
        <v>3311.9999999999995</v>
      </c>
      <c r="AO309">
        <f t="shared" si="250"/>
        <v>168.91199999999998</v>
      </c>
      <c r="AP309">
        <f t="shared" si="251"/>
        <v>98.133333333333326</v>
      </c>
      <c r="AQ309">
        <f t="shared" si="252"/>
        <v>7.3599999999999994</v>
      </c>
      <c r="AR309">
        <f t="shared" si="253"/>
        <v>1.6</v>
      </c>
      <c r="AS309">
        <f t="shared" si="257"/>
        <v>2</v>
      </c>
      <c r="AT309">
        <f t="shared" si="258"/>
        <v>3</v>
      </c>
      <c r="AU309">
        <f t="shared" si="255"/>
        <v>2025</v>
      </c>
      <c r="AV309" s="1">
        <v>2</v>
      </c>
      <c r="AW309">
        <v>5</v>
      </c>
      <c r="AX309">
        <v>0.15</v>
      </c>
      <c r="AZ309">
        <v>2</v>
      </c>
      <c r="BA309">
        <v>5</v>
      </c>
      <c r="BZ309" t="str">
        <f t="shared" si="259"/>
        <v>1553003,2553003,3553003</v>
      </c>
      <c r="CA309">
        <v>1553003</v>
      </c>
      <c r="CB309">
        <v>2553003</v>
      </c>
      <c r="CC309">
        <v>3553003</v>
      </c>
      <c r="CG309" t="str">
        <f t="shared" si="254"/>
        <v>DATA_Class_Base40</v>
      </c>
      <c r="CH309" s="3" t="s">
        <v>411</v>
      </c>
    </row>
    <row r="310" spans="1:86" ht="14.25">
      <c r="A310" s="49">
        <f t="shared" si="245"/>
        <v>5085300</v>
      </c>
      <c r="B310" s="2" t="s">
        <v>609</v>
      </c>
      <c r="C310" s="48" t="s">
        <v>610</v>
      </c>
      <c r="D310">
        <v>8</v>
      </c>
      <c r="E310">
        <v>3</v>
      </c>
      <c r="F310">
        <v>5</v>
      </c>
      <c r="G310" s="3" t="s">
        <v>611</v>
      </c>
      <c r="H310" s="3" t="s">
        <v>611</v>
      </c>
      <c r="I310" s="2">
        <v>0</v>
      </c>
      <c r="J310" s="8" t="s">
        <v>612</v>
      </c>
      <c r="K310" s="2">
        <f t="shared" si="246"/>
        <v>3</v>
      </c>
      <c r="L310" s="2">
        <f t="shared" si="260"/>
        <v>1.3</v>
      </c>
      <c r="M310" s="2">
        <f t="shared" si="260"/>
        <v>2</v>
      </c>
      <c r="N310" s="2">
        <v>10</v>
      </c>
      <c r="O310" s="2">
        <f t="shared" si="262"/>
        <v>330.1</v>
      </c>
      <c r="P310" s="2">
        <f t="shared" si="262"/>
        <v>16.829999999999998</v>
      </c>
      <c r="Q310" s="2">
        <f t="shared" si="262"/>
        <v>3456</v>
      </c>
      <c r="R310" s="2">
        <f t="shared" si="261"/>
        <v>176.26</v>
      </c>
      <c r="S310" s="2">
        <f t="shared" si="261"/>
        <v>82.52</v>
      </c>
      <c r="T310" s="2">
        <f t="shared" si="261"/>
        <v>6.19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17">
        <v>553002</v>
      </c>
      <c r="AA310" s="14" t="s">
        <v>697</v>
      </c>
      <c r="AB310" s="15" t="s">
        <v>469</v>
      </c>
      <c r="AC310" s="2">
        <v>5095300</v>
      </c>
      <c r="AD310" s="2">
        <v>0</v>
      </c>
      <c r="AE310" s="2">
        <v>1</v>
      </c>
      <c r="AF310" s="2">
        <v>5065300</v>
      </c>
      <c r="AG310" s="2">
        <v>1</v>
      </c>
      <c r="AH310" s="2"/>
      <c r="AI310">
        <v>1</v>
      </c>
      <c r="AJ310" s="1">
        <f t="shared" si="263"/>
        <v>215.22532089893733</v>
      </c>
      <c r="AK310">
        <v>8</v>
      </c>
      <c r="AL310">
        <f t="shared" si="247"/>
        <v>275.08</v>
      </c>
      <c r="AM310">
        <f t="shared" si="248"/>
        <v>14.029079999999999</v>
      </c>
      <c r="AN310">
        <f t="shared" si="249"/>
        <v>2880.0000000000005</v>
      </c>
      <c r="AO310">
        <f t="shared" si="250"/>
        <v>146.88000000000002</v>
      </c>
      <c r="AP310">
        <f t="shared" si="251"/>
        <v>68.77</v>
      </c>
      <c r="AQ310">
        <f t="shared" si="252"/>
        <v>5.1577499999999992</v>
      </c>
      <c r="AR310">
        <f t="shared" si="253"/>
        <v>1.3</v>
      </c>
      <c r="AS310">
        <f t="shared" si="257"/>
        <v>2</v>
      </c>
      <c r="AT310">
        <f t="shared" si="258"/>
        <v>3</v>
      </c>
      <c r="AU310">
        <f t="shared" si="255"/>
        <v>3005</v>
      </c>
      <c r="AV310" s="1">
        <v>0</v>
      </c>
      <c r="AW310">
        <v>5</v>
      </c>
      <c r="AX310">
        <v>0.2</v>
      </c>
      <c r="AZ310">
        <v>3</v>
      </c>
      <c r="BA310">
        <v>5</v>
      </c>
      <c r="BZ310" t="str">
        <f t="shared" si="259"/>
        <v>1553023,2553023,3553023</v>
      </c>
      <c r="CA310">
        <v>1553023</v>
      </c>
      <c r="CB310">
        <v>2553023</v>
      </c>
      <c r="CC310">
        <v>3553023</v>
      </c>
      <c r="CG310" t="str">
        <f t="shared" si="254"/>
        <v>DATA_Class_Base41</v>
      </c>
      <c r="CH310" s="3" t="s">
        <v>413</v>
      </c>
    </row>
    <row r="311" spans="1:86" ht="14.25">
      <c r="A311">
        <f t="shared" si="245"/>
        <v>5085302</v>
      </c>
      <c r="B311" s="2" t="s">
        <v>614</v>
      </c>
      <c r="C311" s="48" t="s">
        <v>615</v>
      </c>
      <c r="D311">
        <v>8</v>
      </c>
      <c r="E311">
        <v>3</v>
      </c>
      <c r="F311">
        <v>5</v>
      </c>
      <c r="G311" s="3" t="s">
        <v>616</v>
      </c>
      <c r="H311" s="3" t="s">
        <v>616</v>
      </c>
      <c r="I311" s="2">
        <v>0</v>
      </c>
      <c r="J311" s="2" t="s">
        <v>358</v>
      </c>
      <c r="K311" s="2">
        <f t="shared" si="246"/>
        <v>3</v>
      </c>
      <c r="L311" s="2">
        <f t="shared" si="260"/>
        <v>1.4000000000000001</v>
      </c>
      <c r="M311" s="2">
        <f t="shared" si="260"/>
        <v>2</v>
      </c>
      <c r="N311" s="2">
        <v>10</v>
      </c>
      <c r="O311" s="2">
        <f t="shared" si="262"/>
        <v>355.49</v>
      </c>
      <c r="P311" s="2">
        <f t="shared" si="262"/>
        <v>18.13</v>
      </c>
      <c r="Q311" s="2">
        <f t="shared" si="262"/>
        <v>3174</v>
      </c>
      <c r="R311" s="2">
        <f t="shared" si="261"/>
        <v>161.87</v>
      </c>
      <c r="S311" s="2">
        <f t="shared" si="261"/>
        <v>88.87</v>
      </c>
      <c r="T311" s="2">
        <f t="shared" si="261"/>
        <v>6.67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17">
        <v>553022</v>
      </c>
      <c r="AA311" s="14" t="s">
        <v>698</v>
      </c>
      <c r="AB311" s="15" t="s">
        <v>469</v>
      </c>
      <c r="AC311" s="2">
        <v>5095302</v>
      </c>
      <c r="AD311" s="2">
        <v>0</v>
      </c>
      <c r="AE311" s="2">
        <v>1</v>
      </c>
      <c r="AF311" s="2">
        <v>5065302</v>
      </c>
      <c r="AG311" s="2">
        <v>1</v>
      </c>
      <c r="AH311" s="2"/>
      <c r="AI311">
        <v>1</v>
      </c>
      <c r="AJ311" s="1">
        <f t="shared" si="263"/>
        <v>215.62576130475065</v>
      </c>
      <c r="AK311">
        <v>8</v>
      </c>
      <c r="AL311">
        <f t="shared" si="247"/>
        <v>309.11999999999995</v>
      </c>
      <c r="AM311">
        <f t="shared" si="248"/>
        <v>15.765119999999996</v>
      </c>
      <c r="AN311">
        <f t="shared" si="249"/>
        <v>2760</v>
      </c>
      <c r="AO311">
        <f t="shared" si="250"/>
        <v>140.76</v>
      </c>
      <c r="AP311">
        <f t="shared" si="251"/>
        <v>77.279999999999987</v>
      </c>
      <c r="AQ311">
        <f t="shared" si="252"/>
        <v>5.7959999999999985</v>
      </c>
      <c r="AR311">
        <f t="shared" si="253"/>
        <v>1.4</v>
      </c>
      <c r="AS311">
        <f t="shared" si="257"/>
        <v>2</v>
      </c>
      <c r="AT311">
        <f t="shared" si="258"/>
        <v>3</v>
      </c>
      <c r="AU311">
        <f t="shared" si="255"/>
        <v>3025</v>
      </c>
      <c r="AV311" s="1">
        <v>2</v>
      </c>
      <c r="AW311">
        <v>5</v>
      </c>
      <c r="AX311">
        <v>0.15</v>
      </c>
      <c r="AZ311">
        <v>3</v>
      </c>
      <c r="BA311">
        <v>5</v>
      </c>
      <c r="BZ311" t="str">
        <f t="shared" si="259"/>
        <v>1554003,2554003,3554003</v>
      </c>
      <c r="CA311">
        <v>1554003</v>
      </c>
      <c r="CB311">
        <v>2554003</v>
      </c>
      <c r="CC311">
        <v>3554003</v>
      </c>
      <c r="CG311" t="str">
        <f t="shared" si="254"/>
        <v>DATA_Class_Base42</v>
      </c>
      <c r="CH311" s="3" t="s">
        <v>174</v>
      </c>
    </row>
    <row r="312" spans="1:86" ht="14.25">
      <c r="A312" s="49">
        <f t="shared" si="245"/>
        <v>5085400</v>
      </c>
      <c r="B312" s="2" t="s">
        <v>618</v>
      </c>
      <c r="C312" s="48" t="s">
        <v>619</v>
      </c>
      <c r="D312">
        <v>8</v>
      </c>
      <c r="E312">
        <v>4</v>
      </c>
      <c r="F312">
        <v>5</v>
      </c>
      <c r="G312" s="3" t="s">
        <v>620</v>
      </c>
      <c r="H312" s="3" t="s">
        <v>620</v>
      </c>
      <c r="I312">
        <v>0</v>
      </c>
      <c r="J312" s="2" t="s">
        <v>364</v>
      </c>
      <c r="K312" s="2">
        <f t="shared" si="246"/>
        <v>6</v>
      </c>
      <c r="L312" s="2">
        <f t="shared" si="260"/>
        <v>1.4000000000000001</v>
      </c>
      <c r="M312" s="2">
        <f t="shared" si="260"/>
        <v>2</v>
      </c>
      <c r="N312" s="2">
        <v>10</v>
      </c>
      <c r="O312" s="2">
        <f t="shared" si="262"/>
        <v>386.4</v>
      </c>
      <c r="P312" s="2">
        <f t="shared" si="262"/>
        <v>19.71</v>
      </c>
      <c r="Q312" s="2">
        <f t="shared" si="262"/>
        <v>3179.52</v>
      </c>
      <c r="R312" s="2">
        <f t="shared" si="261"/>
        <v>162.16</v>
      </c>
      <c r="S312" s="2">
        <f t="shared" si="261"/>
        <v>70.25</v>
      </c>
      <c r="T312" s="2">
        <f t="shared" si="261"/>
        <v>5.27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17">
        <v>554002</v>
      </c>
      <c r="AA312" s="14" t="s">
        <v>699</v>
      </c>
      <c r="AB312" s="15" t="s">
        <v>469</v>
      </c>
      <c r="AC312" s="2">
        <v>5095400</v>
      </c>
      <c r="AD312" s="2">
        <v>0</v>
      </c>
      <c r="AE312" s="2">
        <v>1</v>
      </c>
      <c r="AF312" s="2">
        <v>5065400</v>
      </c>
      <c r="AG312" s="2">
        <v>1</v>
      </c>
      <c r="AH312" s="2"/>
      <c r="AI312">
        <v>1</v>
      </c>
      <c r="AJ312" s="1">
        <f t="shared" si="263"/>
        <v>214.74616469770584</v>
      </c>
      <c r="AK312">
        <v>8</v>
      </c>
      <c r="AL312">
        <f t="shared" si="247"/>
        <v>322</v>
      </c>
      <c r="AM312">
        <f t="shared" si="248"/>
        <v>16.422000000000001</v>
      </c>
      <c r="AN312">
        <f t="shared" si="249"/>
        <v>2649.6</v>
      </c>
      <c r="AO312">
        <f t="shared" si="250"/>
        <v>135.12959999999998</v>
      </c>
      <c r="AP312">
        <f t="shared" si="251"/>
        <v>58.545454545454547</v>
      </c>
      <c r="AQ312">
        <f t="shared" si="252"/>
        <v>4.3909090909090907</v>
      </c>
      <c r="AR312">
        <f t="shared" si="253"/>
        <v>1.4</v>
      </c>
      <c r="AS312">
        <f t="shared" si="257"/>
        <v>2</v>
      </c>
      <c r="AT312">
        <f t="shared" si="258"/>
        <v>6</v>
      </c>
      <c r="AU312">
        <f t="shared" si="255"/>
        <v>4005</v>
      </c>
      <c r="AV312" s="1">
        <v>0</v>
      </c>
      <c r="AW312">
        <v>5</v>
      </c>
      <c r="AX312">
        <v>0.2</v>
      </c>
      <c r="AZ312">
        <v>4</v>
      </c>
      <c r="BA312">
        <v>5</v>
      </c>
      <c r="BZ312" t="str">
        <f t="shared" si="259"/>
        <v>1555013,2555013,3555013</v>
      </c>
      <c r="CA312">
        <v>1555013</v>
      </c>
      <c r="CB312">
        <v>2555013</v>
      </c>
      <c r="CC312">
        <v>3555013</v>
      </c>
      <c r="CG312" t="str">
        <f t="shared" si="254"/>
        <v>DATA_Class_Base37</v>
      </c>
      <c r="CH312" s="3" t="s">
        <v>402</v>
      </c>
    </row>
    <row r="313" spans="1:86" ht="14.25">
      <c r="A313">
        <f t="shared" si="245"/>
        <v>5085501</v>
      </c>
      <c r="B313" s="2" t="s">
        <v>622</v>
      </c>
      <c r="C313" s="48" t="s">
        <v>623</v>
      </c>
      <c r="D313">
        <v>8</v>
      </c>
      <c r="E313">
        <v>5</v>
      </c>
      <c r="F313">
        <v>5</v>
      </c>
      <c r="G313" s="3" t="s">
        <v>624</v>
      </c>
      <c r="H313" s="3" t="s">
        <v>624</v>
      </c>
      <c r="I313" s="3">
        <v>0</v>
      </c>
      <c r="J313" s="8" t="s">
        <v>625</v>
      </c>
      <c r="K313" s="2">
        <f t="shared" si="246"/>
        <v>6</v>
      </c>
      <c r="L313" s="2">
        <f t="shared" si="260"/>
        <v>1.5</v>
      </c>
      <c r="M313" s="2">
        <f t="shared" si="260"/>
        <v>2</v>
      </c>
      <c r="N313" s="2">
        <v>10</v>
      </c>
      <c r="O313" s="2">
        <f t="shared" si="262"/>
        <v>460.23</v>
      </c>
      <c r="P313" s="2">
        <f t="shared" si="262"/>
        <v>23.47</v>
      </c>
      <c r="Q313" s="2">
        <f t="shared" si="262"/>
        <v>2626.76</v>
      </c>
      <c r="R313" s="2">
        <f t="shared" si="261"/>
        <v>133.96</v>
      </c>
      <c r="S313" s="2">
        <f t="shared" si="261"/>
        <v>57.53</v>
      </c>
      <c r="T313" s="2">
        <f t="shared" si="261"/>
        <v>4.3099999999999996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17">
        <v>555012</v>
      </c>
      <c r="AA313" s="15" t="s">
        <v>700</v>
      </c>
      <c r="AB313" s="15" t="s">
        <v>469</v>
      </c>
      <c r="AC313" s="2">
        <v>5095501</v>
      </c>
      <c r="AD313" s="2">
        <v>0</v>
      </c>
      <c r="AE313" s="2">
        <v>1</v>
      </c>
      <c r="AF313" s="2">
        <v>5065501</v>
      </c>
      <c r="AG313" s="2">
        <v>1</v>
      </c>
      <c r="AH313" s="2"/>
      <c r="AI313">
        <v>1</v>
      </c>
      <c r="AJ313" s="1">
        <f t="shared" si="263"/>
        <v>214.34849459558092</v>
      </c>
      <c r="AK313">
        <v>8</v>
      </c>
      <c r="AL313">
        <f t="shared" si="247"/>
        <v>400.2</v>
      </c>
      <c r="AM313">
        <f t="shared" si="248"/>
        <v>20.4102</v>
      </c>
      <c r="AN313">
        <f t="shared" si="249"/>
        <v>2284.1379310344828</v>
      </c>
      <c r="AO313">
        <f t="shared" si="250"/>
        <v>116.49103448275862</v>
      </c>
      <c r="AP313">
        <f t="shared" si="251"/>
        <v>50.024999999999999</v>
      </c>
      <c r="AQ313">
        <f t="shared" si="252"/>
        <v>3.7518749999999996</v>
      </c>
      <c r="AR313">
        <f t="shared" si="253"/>
        <v>1.5</v>
      </c>
      <c r="AS313">
        <f t="shared" si="257"/>
        <v>2</v>
      </c>
      <c r="AT313">
        <f t="shared" si="258"/>
        <v>6</v>
      </c>
      <c r="AU313">
        <f t="shared" si="255"/>
        <v>5015</v>
      </c>
      <c r="AV313" s="1">
        <v>1</v>
      </c>
      <c r="AW313">
        <v>5</v>
      </c>
      <c r="AX313">
        <v>0.15</v>
      </c>
      <c r="AZ313">
        <v>5</v>
      </c>
      <c r="BA313">
        <v>5</v>
      </c>
      <c r="CG313" t="str">
        <f t="shared" si="254"/>
        <v>DATA_Class_Base28</v>
      </c>
      <c r="CH313" s="3" t="s">
        <v>374</v>
      </c>
    </row>
    <row r="314" spans="1:86" ht="14.25">
      <c r="A314">
        <f t="shared" si="245"/>
        <v>5091200</v>
      </c>
      <c r="B314" s="2" t="s">
        <v>464</v>
      </c>
      <c r="C314" s="48" t="s">
        <v>465</v>
      </c>
      <c r="D314">
        <v>9</v>
      </c>
      <c r="E314">
        <v>2</v>
      </c>
      <c r="F314">
        <v>1</v>
      </c>
      <c r="G314" s="3" t="s">
        <v>466</v>
      </c>
      <c r="H314" s="3" t="s">
        <v>466</v>
      </c>
      <c r="I314" s="2">
        <v>0</v>
      </c>
      <c r="J314" s="8" t="s">
        <v>467</v>
      </c>
      <c r="K314" s="2">
        <f t="shared" si="246"/>
        <v>3</v>
      </c>
      <c r="L314" s="2">
        <f t="shared" si="260"/>
        <v>1.5</v>
      </c>
      <c r="M314" s="2">
        <f t="shared" si="260"/>
        <v>1.2</v>
      </c>
      <c r="N314" s="2">
        <v>10</v>
      </c>
      <c r="O314" s="2">
        <f t="shared" si="262"/>
        <v>269.27999999999997</v>
      </c>
      <c r="P314" s="2">
        <f t="shared" si="262"/>
        <v>13.73</v>
      </c>
      <c r="Q314" s="2">
        <f t="shared" si="262"/>
        <v>5049</v>
      </c>
      <c r="R314" s="2">
        <f t="shared" si="261"/>
        <v>257.5</v>
      </c>
      <c r="S314" s="2">
        <f t="shared" si="261"/>
        <v>107.71</v>
      </c>
      <c r="T314" s="2">
        <f t="shared" si="261"/>
        <v>8.08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17">
        <v>512002</v>
      </c>
      <c r="AA314" s="14" t="s">
        <v>701</v>
      </c>
      <c r="AB314" s="15" t="s">
        <v>469</v>
      </c>
      <c r="AC314" s="2">
        <v>5101200</v>
      </c>
      <c r="AD314" s="2">
        <v>0</v>
      </c>
      <c r="AE314" s="2">
        <v>2</v>
      </c>
      <c r="AF314" s="2">
        <v>8</v>
      </c>
      <c r="AG314" s="2">
        <v>1</v>
      </c>
      <c r="AH314" s="2"/>
      <c r="AI314">
        <v>1</v>
      </c>
      <c r="AJ314" s="1">
        <f t="shared" si="263"/>
        <v>266.24996371072928</v>
      </c>
      <c r="AK314">
        <v>9</v>
      </c>
      <c r="AL314">
        <f t="shared" si="247"/>
        <v>244.8</v>
      </c>
      <c r="AM314">
        <f t="shared" si="248"/>
        <v>12.4848</v>
      </c>
      <c r="AN314">
        <f t="shared" si="249"/>
        <v>4590</v>
      </c>
      <c r="AO314">
        <f t="shared" si="250"/>
        <v>234.08999999999997</v>
      </c>
      <c r="AP314">
        <f t="shared" si="251"/>
        <v>97.92</v>
      </c>
      <c r="AQ314">
        <f t="shared" si="252"/>
        <v>7.3439999999999994</v>
      </c>
      <c r="AR314">
        <f t="shared" si="253"/>
        <v>1.5</v>
      </c>
      <c r="AS314">
        <f t="shared" si="257"/>
        <v>1.2</v>
      </c>
      <c r="AT314">
        <f t="shared" si="258"/>
        <v>3</v>
      </c>
      <c r="AU314">
        <f t="shared" si="255"/>
        <v>2001</v>
      </c>
      <c r="AV314" s="1">
        <v>0</v>
      </c>
      <c r="AW314">
        <v>5</v>
      </c>
      <c r="AX314">
        <v>0.1</v>
      </c>
      <c r="AZ314">
        <v>2</v>
      </c>
      <c r="BA314">
        <v>1</v>
      </c>
      <c r="CG314" t="str">
        <f t="shared" si="254"/>
        <v>DATA_Class_Base29</v>
      </c>
      <c r="CH314" s="3" t="s">
        <v>378</v>
      </c>
    </row>
    <row r="315" spans="1:86" ht="14.25">
      <c r="A315" s="49">
        <f t="shared" si="245"/>
        <v>5091201</v>
      </c>
      <c r="B315" s="2" t="s">
        <v>470</v>
      </c>
      <c r="C315" s="48" t="s">
        <v>471</v>
      </c>
      <c r="D315">
        <v>9</v>
      </c>
      <c r="E315">
        <v>2</v>
      </c>
      <c r="F315">
        <v>1</v>
      </c>
      <c r="G315" s="3" t="s">
        <v>472</v>
      </c>
      <c r="H315" s="3" t="s">
        <v>472</v>
      </c>
      <c r="I315" s="2">
        <v>0</v>
      </c>
      <c r="J315" s="8" t="s">
        <v>298</v>
      </c>
      <c r="K315" s="2">
        <f t="shared" si="246"/>
        <v>3</v>
      </c>
      <c r="L315" s="2">
        <f t="shared" si="260"/>
        <v>1.6</v>
      </c>
      <c r="M315" s="2">
        <f t="shared" si="260"/>
        <v>1.8</v>
      </c>
      <c r="N315" s="2">
        <v>10</v>
      </c>
      <c r="O315" s="2">
        <f t="shared" si="262"/>
        <v>235.01</v>
      </c>
      <c r="P315" s="2">
        <f t="shared" si="262"/>
        <v>11.99</v>
      </c>
      <c r="Q315" s="2">
        <f t="shared" si="262"/>
        <v>7344</v>
      </c>
      <c r="R315" s="2">
        <f t="shared" si="261"/>
        <v>374.54</v>
      </c>
      <c r="S315" s="2">
        <f t="shared" si="261"/>
        <v>138.24</v>
      </c>
      <c r="T315" s="2">
        <f t="shared" si="261"/>
        <v>10.37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17">
        <v>512012</v>
      </c>
      <c r="AA315" s="14" t="s">
        <v>702</v>
      </c>
      <c r="AB315" s="15" t="s">
        <v>469</v>
      </c>
      <c r="AC315" s="2">
        <v>5101201</v>
      </c>
      <c r="AD315" s="2">
        <v>0</v>
      </c>
      <c r="AE315" s="2">
        <v>2</v>
      </c>
      <c r="AF315" s="2">
        <v>8</v>
      </c>
      <c r="AG315" s="2">
        <v>1</v>
      </c>
      <c r="AH315" s="2"/>
      <c r="AI315">
        <v>1</v>
      </c>
      <c r="AJ315" s="1">
        <f t="shared" si="263"/>
        <v>267.2642576071334</v>
      </c>
      <c r="AK315">
        <v>9</v>
      </c>
      <c r="AL315">
        <f t="shared" si="247"/>
        <v>195.83999999999997</v>
      </c>
      <c r="AM315">
        <f t="shared" si="248"/>
        <v>9.9878399999999985</v>
      </c>
      <c r="AN315">
        <f t="shared" si="249"/>
        <v>6120</v>
      </c>
      <c r="AO315">
        <f t="shared" si="250"/>
        <v>312.12</v>
      </c>
      <c r="AP315">
        <f t="shared" si="251"/>
        <v>115.19999999999999</v>
      </c>
      <c r="AQ315">
        <f t="shared" si="252"/>
        <v>8.6399999999999988</v>
      </c>
      <c r="AR315">
        <f t="shared" si="253"/>
        <v>1.6</v>
      </c>
      <c r="AS315">
        <f t="shared" si="257"/>
        <v>1.8</v>
      </c>
      <c r="AT315">
        <f t="shared" si="258"/>
        <v>3</v>
      </c>
      <c r="AU315">
        <f t="shared" si="255"/>
        <v>2011</v>
      </c>
      <c r="AV315" s="1">
        <v>1</v>
      </c>
      <c r="AW315">
        <v>5</v>
      </c>
      <c r="AX315">
        <v>0.2</v>
      </c>
      <c r="AZ315">
        <v>2</v>
      </c>
      <c r="BA315">
        <v>1</v>
      </c>
      <c r="CG315" t="str">
        <f t="shared" si="254"/>
        <v>DATA_Class_Base30</v>
      </c>
      <c r="CH315" s="3" t="s">
        <v>381</v>
      </c>
    </row>
    <row r="316" spans="1:86" ht="14.25">
      <c r="A316">
        <f t="shared" si="245"/>
        <v>5091202</v>
      </c>
      <c r="B316" s="2" t="s">
        <v>474</v>
      </c>
      <c r="C316" s="48" t="s">
        <v>475</v>
      </c>
      <c r="D316">
        <v>9</v>
      </c>
      <c r="E316">
        <v>2</v>
      </c>
      <c r="F316">
        <v>1</v>
      </c>
      <c r="G316" s="3" t="s">
        <v>476</v>
      </c>
      <c r="H316" s="3" t="s">
        <v>476</v>
      </c>
      <c r="I316">
        <v>0</v>
      </c>
      <c r="J316" s="8" t="s">
        <v>477</v>
      </c>
      <c r="K316" s="2">
        <f t="shared" si="246"/>
        <v>3</v>
      </c>
      <c r="L316" s="2">
        <f t="shared" si="260"/>
        <v>1.6</v>
      </c>
      <c r="M316" s="2">
        <f t="shared" si="260"/>
        <v>2</v>
      </c>
      <c r="N316" s="2">
        <v>10</v>
      </c>
      <c r="O316" s="2">
        <f t="shared" si="262"/>
        <v>287.23</v>
      </c>
      <c r="P316" s="2">
        <f t="shared" si="262"/>
        <v>14.65</v>
      </c>
      <c r="Q316" s="2">
        <f t="shared" si="262"/>
        <v>5049</v>
      </c>
      <c r="R316" s="2">
        <f t="shared" si="261"/>
        <v>257.5</v>
      </c>
      <c r="S316" s="2">
        <f t="shared" si="261"/>
        <v>106.38</v>
      </c>
      <c r="T316" s="2">
        <f t="shared" si="261"/>
        <v>7.98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17">
        <v>512022</v>
      </c>
      <c r="AA316" s="14" t="s">
        <v>703</v>
      </c>
      <c r="AB316" s="15" t="s">
        <v>469</v>
      </c>
      <c r="AC316" s="2">
        <v>5101202</v>
      </c>
      <c r="AD316" s="2">
        <v>0</v>
      </c>
      <c r="AE316" s="2">
        <v>2</v>
      </c>
      <c r="AF316" s="2">
        <v>8</v>
      </c>
      <c r="AG316" s="2">
        <v>1</v>
      </c>
      <c r="AH316" s="2"/>
      <c r="AI316">
        <v>1</v>
      </c>
      <c r="AJ316" s="1">
        <f t="shared" si="263"/>
        <v>266.17929293728804</v>
      </c>
      <c r="AK316">
        <v>9</v>
      </c>
      <c r="AL316">
        <f t="shared" si="247"/>
        <v>261.12</v>
      </c>
      <c r="AM316">
        <f t="shared" si="248"/>
        <v>13.317119999999999</v>
      </c>
      <c r="AN316">
        <f t="shared" si="249"/>
        <v>4590</v>
      </c>
      <c r="AO316">
        <f t="shared" si="250"/>
        <v>234.08999999999997</v>
      </c>
      <c r="AP316">
        <f t="shared" si="251"/>
        <v>96.711111111111109</v>
      </c>
      <c r="AQ316">
        <f t="shared" si="252"/>
        <v>7.253333333333333</v>
      </c>
      <c r="AR316">
        <f t="shared" si="253"/>
        <v>1.6</v>
      </c>
      <c r="AS316">
        <f t="shared" si="257"/>
        <v>2</v>
      </c>
      <c r="AT316">
        <f t="shared" si="258"/>
        <v>3</v>
      </c>
      <c r="AU316">
        <f t="shared" si="255"/>
        <v>2021</v>
      </c>
      <c r="AV316" s="1">
        <v>2</v>
      </c>
      <c r="AW316">
        <v>5</v>
      </c>
      <c r="AX316">
        <v>0.1</v>
      </c>
      <c r="AZ316">
        <v>2</v>
      </c>
      <c r="BA316">
        <v>1</v>
      </c>
      <c r="CG316" t="str">
        <f t="shared" si="254"/>
        <v>DATA_Class_Base31</v>
      </c>
      <c r="CH316" s="3" t="s">
        <v>384</v>
      </c>
    </row>
    <row r="317" spans="1:86" ht="14.25">
      <c r="A317">
        <f t="shared" si="245"/>
        <v>5091301</v>
      </c>
      <c r="B317" s="2" t="s">
        <v>479</v>
      </c>
      <c r="C317" s="48" t="s">
        <v>480</v>
      </c>
      <c r="D317">
        <v>9</v>
      </c>
      <c r="E317">
        <v>3</v>
      </c>
      <c r="F317">
        <v>1</v>
      </c>
      <c r="G317" s="3" t="s">
        <v>481</v>
      </c>
      <c r="H317" s="3" t="s">
        <v>481</v>
      </c>
      <c r="I317" s="2">
        <v>0</v>
      </c>
      <c r="J317" s="8" t="s">
        <v>482</v>
      </c>
      <c r="K317" s="2">
        <f t="shared" si="246"/>
        <v>3</v>
      </c>
      <c r="L317" s="2">
        <f t="shared" si="260"/>
        <v>1.3</v>
      </c>
      <c r="M317" s="2">
        <f t="shared" si="260"/>
        <v>2</v>
      </c>
      <c r="N317" s="2">
        <v>10</v>
      </c>
      <c r="O317" s="2">
        <f t="shared" si="262"/>
        <v>320.89</v>
      </c>
      <c r="P317" s="2">
        <f t="shared" si="262"/>
        <v>16.37</v>
      </c>
      <c r="Q317" s="2">
        <f t="shared" si="262"/>
        <v>3672</v>
      </c>
      <c r="R317" s="2">
        <f t="shared" si="261"/>
        <v>187.27</v>
      </c>
      <c r="S317" s="2">
        <f t="shared" si="261"/>
        <v>91.68</v>
      </c>
      <c r="T317" s="2">
        <f t="shared" si="261"/>
        <v>6.88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17">
        <v>513012</v>
      </c>
      <c r="AA317" s="14" t="s">
        <v>704</v>
      </c>
      <c r="AB317" s="15" t="s">
        <v>469</v>
      </c>
      <c r="AC317" s="2">
        <v>5101301</v>
      </c>
      <c r="AD317" s="2">
        <v>0</v>
      </c>
      <c r="AE317" s="2">
        <v>2</v>
      </c>
      <c r="AF317" s="2">
        <v>8</v>
      </c>
      <c r="AG317" s="2">
        <v>1</v>
      </c>
      <c r="AH317" s="2"/>
      <c r="AI317">
        <v>1</v>
      </c>
      <c r="AJ317" s="1">
        <f t="shared" si="263"/>
        <v>265.40062042702243</v>
      </c>
      <c r="AK317">
        <v>9</v>
      </c>
      <c r="AL317">
        <f t="shared" si="247"/>
        <v>291.72000000000003</v>
      </c>
      <c r="AM317">
        <f t="shared" si="248"/>
        <v>14.87772</v>
      </c>
      <c r="AN317">
        <f t="shared" si="249"/>
        <v>3338.1818181818176</v>
      </c>
      <c r="AO317">
        <f t="shared" si="250"/>
        <v>170.24727272727267</v>
      </c>
      <c r="AP317">
        <f t="shared" si="251"/>
        <v>83.348571428571432</v>
      </c>
      <c r="AQ317">
        <f t="shared" si="252"/>
        <v>6.2511428571428569</v>
      </c>
      <c r="AR317">
        <f t="shared" si="253"/>
        <v>1.3</v>
      </c>
      <c r="AS317">
        <f t="shared" si="257"/>
        <v>2</v>
      </c>
      <c r="AT317">
        <f t="shared" si="258"/>
        <v>3</v>
      </c>
      <c r="AU317">
        <f t="shared" si="255"/>
        <v>3011</v>
      </c>
      <c r="AV317" s="1">
        <v>1</v>
      </c>
      <c r="AW317">
        <v>5</v>
      </c>
      <c r="AX317">
        <v>0.1</v>
      </c>
      <c r="AZ317">
        <v>3</v>
      </c>
      <c r="BA317">
        <v>1</v>
      </c>
      <c r="CG317" t="str">
        <f t="shared" si="254"/>
        <v>DATA_Class_Base32</v>
      </c>
      <c r="CH317" s="3" t="s">
        <v>388</v>
      </c>
    </row>
    <row r="318" spans="1:86" ht="14.25">
      <c r="A318">
        <f t="shared" si="245"/>
        <v>5091401</v>
      </c>
      <c r="B318" s="2" t="s">
        <v>484</v>
      </c>
      <c r="C318" s="48" t="s">
        <v>485</v>
      </c>
      <c r="D318">
        <v>9</v>
      </c>
      <c r="E318">
        <v>4</v>
      </c>
      <c r="F318">
        <v>1</v>
      </c>
      <c r="G318" s="3" t="s">
        <v>486</v>
      </c>
      <c r="H318" s="3" t="s">
        <v>486</v>
      </c>
      <c r="I318" s="2">
        <v>0</v>
      </c>
      <c r="J318" s="2" t="s">
        <v>161</v>
      </c>
      <c r="K318" s="2">
        <f t="shared" si="246"/>
        <v>6</v>
      </c>
      <c r="L318" s="2">
        <f t="shared" si="260"/>
        <v>1.6</v>
      </c>
      <c r="M318" s="2">
        <f t="shared" si="260"/>
        <v>2</v>
      </c>
      <c r="N318" s="2">
        <v>10</v>
      </c>
      <c r="O318" s="2">
        <f t="shared" si="262"/>
        <v>394.94</v>
      </c>
      <c r="P318" s="2">
        <f t="shared" si="262"/>
        <v>20.14</v>
      </c>
      <c r="Q318" s="2">
        <f t="shared" si="262"/>
        <v>3672</v>
      </c>
      <c r="R318" s="2">
        <f t="shared" si="261"/>
        <v>187.27</v>
      </c>
      <c r="S318" s="2">
        <f t="shared" si="261"/>
        <v>78.989999999999995</v>
      </c>
      <c r="T318" s="2">
        <f t="shared" si="261"/>
        <v>5.92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17">
        <v>514012</v>
      </c>
      <c r="AA318" s="14" t="s">
        <v>705</v>
      </c>
      <c r="AB318" s="15" t="s">
        <v>469</v>
      </c>
      <c r="AC318" s="2">
        <v>5101401</v>
      </c>
      <c r="AD318" s="2">
        <v>0</v>
      </c>
      <c r="AE318" s="2">
        <v>2</v>
      </c>
      <c r="AF318" s="2">
        <v>8</v>
      </c>
      <c r="AG318" s="2">
        <v>1</v>
      </c>
      <c r="AH318" s="2"/>
      <c r="AI318">
        <v>1</v>
      </c>
      <c r="AJ318" s="1">
        <f t="shared" si="263"/>
        <v>264.73177624324205</v>
      </c>
      <c r="AK318">
        <v>9</v>
      </c>
      <c r="AL318">
        <f t="shared" si="247"/>
        <v>359.04000000000008</v>
      </c>
      <c r="AM318">
        <f t="shared" si="248"/>
        <v>18.311040000000002</v>
      </c>
      <c r="AN318">
        <f t="shared" si="249"/>
        <v>3338.1818181818176</v>
      </c>
      <c r="AO318">
        <f t="shared" si="250"/>
        <v>170.24727272727267</v>
      </c>
      <c r="AP318">
        <f t="shared" si="251"/>
        <v>71.808000000000021</v>
      </c>
      <c r="AQ318">
        <f t="shared" si="252"/>
        <v>5.3856000000000011</v>
      </c>
      <c r="AR318">
        <f t="shared" si="253"/>
        <v>1.6</v>
      </c>
      <c r="AS318">
        <f t="shared" si="257"/>
        <v>2</v>
      </c>
      <c r="AT318">
        <f t="shared" si="258"/>
        <v>6</v>
      </c>
      <c r="AU318">
        <f t="shared" si="255"/>
        <v>4011</v>
      </c>
      <c r="AV318" s="1">
        <v>1</v>
      </c>
      <c r="AW318">
        <v>5</v>
      </c>
      <c r="AX318">
        <v>0.1</v>
      </c>
      <c r="AZ318">
        <v>4</v>
      </c>
      <c r="BA318">
        <v>1</v>
      </c>
      <c r="CG318" t="str">
        <f t="shared" si="254"/>
        <v>DATA_Class_Base33</v>
      </c>
      <c r="CH318" s="3" t="s">
        <v>391</v>
      </c>
    </row>
    <row r="319" spans="1:86" ht="14.25">
      <c r="A319" s="49">
        <f t="shared" si="245"/>
        <v>5091402</v>
      </c>
      <c r="B319" s="2" t="s">
        <v>488</v>
      </c>
      <c r="C319" s="48" t="s">
        <v>489</v>
      </c>
      <c r="D319">
        <v>9</v>
      </c>
      <c r="E319">
        <v>4</v>
      </c>
      <c r="F319">
        <v>1</v>
      </c>
      <c r="G319" s="3" t="s">
        <v>490</v>
      </c>
      <c r="H319" s="3" t="s">
        <v>490</v>
      </c>
      <c r="I319">
        <v>0</v>
      </c>
      <c r="J319" s="8" t="s">
        <v>161</v>
      </c>
      <c r="K319" s="2">
        <f t="shared" si="246"/>
        <v>6</v>
      </c>
      <c r="L319" s="2">
        <f t="shared" si="260"/>
        <v>1.5</v>
      </c>
      <c r="M319" s="2">
        <f t="shared" si="260"/>
        <v>1.5</v>
      </c>
      <c r="N319" s="2">
        <v>10</v>
      </c>
      <c r="O319" s="2">
        <f t="shared" si="262"/>
        <v>422.28</v>
      </c>
      <c r="P319" s="2">
        <f t="shared" si="262"/>
        <v>21.54</v>
      </c>
      <c r="Q319" s="2">
        <f t="shared" si="262"/>
        <v>3519</v>
      </c>
      <c r="R319" s="2">
        <f t="shared" si="261"/>
        <v>179.47</v>
      </c>
      <c r="S319" s="2">
        <f t="shared" si="261"/>
        <v>70.38</v>
      </c>
      <c r="T319" s="2">
        <f t="shared" si="261"/>
        <v>5.28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17">
        <v>514022</v>
      </c>
      <c r="AA319" s="14" t="s">
        <v>706</v>
      </c>
      <c r="AB319" s="15" t="s">
        <v>469</v>
      </c>
      <c r="AC319" s="2">
        <v>5101402</v>
      </c>
      <c r="AD319" s="2">
        <v>0</v>
      </c>
      <c r="AE319" s="2">
        <v>2</v>
      </c>
      <c r="AF319" s="2">
        <v>8</v>
      </c>
      <c r="AG319" s="2">
        <v>1</v>
      </c>
      <c r="AH319" s="2"/>
      <c r="AI319">
        <v>1</v>
      </c>
      <c r="AJ319" s="1">
        <f t="shared" si="263"/>
        <v>264.1199467338439</v>
      </c>
      <c r="AK319">
        <v>9</v>
      </c>
      <c r="AL319">
        <f t="shared" si="247"/>
        <v>367.2</v>
      </c>
      <c r="AM319">
        <f t="shared" si="248"/>
        <v>18.7272</v>
      </c>
      <c r="AN319">
        <f t="shared" si="249"/>
        <v>3060</v>
      </c>
      <c r="AO319">
        <f t="shared" si="250"/>
        <v>156.06</v>
      </c>
      <c r="AP319">
        <f t="shared" si="251"/>
        <v>61.199999999999996</v>
      </c>
      <c r="AQ319">
        <f t="shared" si="252"/>
        <v>4.59</v>
      </c>
      <c r="AR319">
        <f t="shared" si="253"/>
        <v>1.5</v>
      </c>
      <c r="AS319">
        <f t="shared" si="257"/>
        <v>1.5</v>
      </c>
      <c r="AT319">
        <f t="shared" si="258"/>
        <v>6</v>
      </c>
      <c r="AU319">
        <f t="shared" si="255"/>
        <v>4021</v>
      </c>
      <c r="AV319" s="1">
        <v>2</v>
      </c>
      <c r="AW319">
        <v>5</v>
      </c>
      <c r="AX319">
        <v>0.15</v>
      </c>
      <c r="AZ319">
        <v>4</v>
      </c>
      <c r="BA319">
        <v>1</v>
      </c>
      <c r="CG319" t="str">
        <f t="shared" si="254"/>
        <v>DATA_Class_Base34</v>
      </c>
      <c r="CH319" s="3" t="s">
        <v>184</v>
      </c>
    </row>
    <row r="320" spans="1:86" ht="14.25">
      <c r="A320">
        <f t="shared" si="245"/>
        <v>5091500</v>
      </c>
      <c r="B320" s="2" t="s">
        <v>492</v>
      </c>
      <c r="C320" s="48" t="s">
        <v>493</v>
      </c>
      <c r="D320">
        <v>9</v>
      </c>
      <c r="E320">
        <v>5</v>
      </c>
      <c r="F320">
        <v>1</v>
      </c>
      <c r="G320" s="3" t="s">
        <v>494</v>
      </c>
      <c r="H320" s="3" t="s">
        <v>494</v>
      </c>
      <c r="I320">
        <v>0</v>
      </c>
      <c r="J320" s="2" t="s">
        <v>303</v>
      </c>
      <c r="K320" s="2">
        <f t="shared" si="246"/>
        <v>6</v>
      </c>
      <c r="L320" s="2">
        <f t="shared" si="260"/>
        <v>1.5</v>
      </c>
      <c r="M320" s="2">
        <f t="shared" si="260"/>
        <v>1.5</v>
      </c>
      <c r="N320" s="2">
        <v>10</v>
      </c>
      <c r="O320" s="2">
        <f t="shared" si="262"/>
        <v>514.08000000000004</v>
      </c>
      <c r="P320" s="2">
        <f t="shared" si="262"/>
        <v>26.22</v>
      </c>
      <c r="Q320" s="2">
        <f t="shared" si="262"/>
        <v>3147.43</v>
      </c>
      <c r="R320" s="2">
        <f t="shared" si="261"/>
        <v>160.52000000000001</v>
      </c>
      <c r="S320" s="2">
        <f t="shared" si="261"/>
        <v>73.44</v>
      </c>
      <c r="T320" s="2">
        <f t="shared" si="261"/>
        <v>5.51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17">
        <v>515002</v>
      </c>
      <c r="AA320" s="14" t="s">
        <v>707</v>
      </c>
      <c r="AB320" s="15" t="s">
        <v>469</v>
      </c>
      <c r="AC320" s="2">
        <v>5101500</v>
      </c>
      <c r="AD320" s="2">
        <v>0</v>
      </c>
      <c r="AE320" s="2">
        <v>2</v>
      </c>
      <c r="AF320" s="2">
        <v>8</v>
      </c>
      <c r="AG320" s="2">
        <v>1</v>
      </c>
      <c r="AH320" s="2"/>
      <c r="AI320">
        <v>1</v>
      </c>
      <c r="AJ320" s="1">
        <f t="shared" si="263"/>
        <v>264.1199467338439</v>
      </c>
      <c r="AK320">
        <v>9</v>
      </c>
      <c r="AL320">
        <f t="shared" si="247"/>
        <v>428.39999999999992</v>
      </c>
      <c r="AM320">
        <f t="shared" si="248"/>
        <v>21.848399999999994</v>
      </c>
      <c r="AN320">
        <f t="shared" si="249"/>
        <v>2622.8571428571431</v>
      </c>
      <c r="AO320">
        <f t="shared" si="250"/>
        <v>133.7657142857143</v>
      </c>
      <c r="AP320">
        <f t="shared" si="251"/>
        <v>61.199999999999989</v>
      </c>
      <c r="AQ320">
        <f t="shared" si="252"/>
        <v>4.589999999999999</v>
      </c>
      <c r="AR320">
        <f t="shared" si="253"/>
        <v>1.5</v>
      </c>
      <c r="AS320">
        <f t="shared" si="257"/>
        <v>1.5</v>
      </c>
      <c r="AT320">
        <f t="shared" si="258"/>
        <v>6</v>
      </c>
      <c r="AU320">
        <f t="shared" si="255"/>
        <v>5001</v>
      </c>
      <c r="AV320" s="1">
        <v>0</v>
      </c>
      <c r="AW320">
        <v>5</v>
      </c>
      <c r="AX320">
        <v>0.2</v>
      </c>
      <c r="AZ320">
        <v>5</v>
      </c>
      <c r="BA320">
        <v>1</v>
      </c>
      <c r="CG320" t="str">
        <f t="shared" si="254"/>
        <v>DATA_Class_Base35</v>
      </c>
      <c r="CH320" s="3" t="s">
        <v>195</v>
      </c>
    </row>
    <row r="321" spans="1:86" ht="14.25" customHeight="1">
      <c r="A321">
        <f t="shared" si="245"/>
        <v>5091502</v>
      </c>
      <c r="B321" s="2" t="s">
        <v>496</v>
      </c>
      <c r="C321" s="48" t="s">
        <v>497</v>
      </c>
      <c r="D321">
        <v>9</v>
      </c>
      <c r="E321">
        <v>5</v>
      </c>
      <c r="F321">
        <v>1</v>
      </c>
      <c r="G321" s="3" t="s">
        <v>498</v>
      </c>
      <c r="H321" s="3" t="s">
        <v>498</v>
      </c>
      <c r="I321" s="2">
        <v>0</v>
      </c>
      <c r="J321" s="8" t="s">
        <v>352</v>
      </c>
      <c r="K321" s="2">
        <f t="shared" si="246"/>
        <v>6</v>
      </c>
      <c r="L321" s="2">
        <f t="shared" si="260"/>
        <v>1.4000000000000001</v>
      </c>
      <c r="M321" s="2">
        <f t="shared" si="260"/>
        <v>2</v>
      </c>
      <c r="N321" s="2">
        <v>10</v>
      </c>
      <c r="O321" s="2">
        <f t="shared" si="262"/>
        <v>426.97</v>
      </c>
      <c r="P321" s="2">
        <f t="shared" si="262"/>
        <v>21.78</v>
      </c>
      <c r="Q321" s="2">
        <f t="shared" si="262"/>
        <v>3248.31</v>
      </c>
      <c r="R321" s="2">
        <f t="shared" si="261"/>
        <v>165.66</v>
      </c>
      <c r="S321" s="2">
        <f t="shared" si="261"/>
        <v>65.69</v>
      </c>
      <c r="T321" s="2">
        <f t="shared" si="261"/>
        <v>4.93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17">
        <v>515022</v>
      </c>
      <c r="AA321" s="14" t="s">
        <v>708</v>
      </c>
      <c r="AB321" s="15" t="s">
        <v>469</v>
      </c>
      <c r="AC321" s="2">
        <v>5101502</v>
      </c>
      <c r="AD321" s="2">
        <v>0</v>
      </c>
      <c r="AE321" s="2">
        <v>2</v>
      </c>
      <c r="AF321" s="2">
        <v>8</v>
      </c>
      <c r="AG321" s="2">
        <v>1</v>
      </c>
      <c r="AH321" s="2"/>
      <c r="AI321">
        <v>1</v>
      </c>
      <c r="AJ321" s="1">
        <f t="shared" si="263"/>
        <v>263.88538005003841</v>
      </c>
      <c r="AK321">
        <v>9</v>
      </c>
      <c r="AL321">
        <f t="shared" ref="AL321:AL384" si="264">INDEX($BD$5:$BD$60,MATCH($AU321,$BB$5:$BB$60,0))*$AR321/1.5*$BH$4*INDEX($BD$106:$BQ$106,MATCH($AK321,$BD$105:$BQ$105,0))</f>
        <v>371.27999999999986</v>
      </c>
      <c r="AM321">
        <f t="shared" ref="AM321:AM384" si="265">(INDEX($BD$5:$BD$56,MATCH($AU321,$BB$5:$BB$56,0))*$AR321/1.5*$BH$4*INDEX($BD$106:$BQ$106,MATCH($AK321,$BD$105:$BQ$105,0)))*0.051</f>
        <v>18.935279999999992</v>
      </c>
      <c r="AN321">
        <f t="shared" ref="AN321:AN384" si="266">INDEX($BE$5:$BE$60,MATCH($AU321,$BB$5:$BB$60,0))*$BI$4*INDEX($BD$106:$BQ$106,MATCH($AK321,$BD$105:$BQ$105,0))</f>
        <v>2824.6153846153843</v>
      </c>
      <c r="AO321">
        <f t="shared" ref="AO321:AO384" si="267">(INDEX($BE$5:$BE$60,MATCH($AU321,$BB$5:$BB$60,0))*$BI$4*INDEX($BD$106:$BQ$106,MATCH($AK321,$BD$105:$BQ$105,0)))*0.051</f>
        <v>144.05538461538458</v>
      </c>
      <c r="AP321">
        <f t="shared" ref="AP321:AP384" si="268">$AL321/INDEX($BF$5:$BF$60,MATCH($AU321,$BB$5:$BB$60,0))</f>
        <v>57.119999999999976</v>
      </c>
      <c r="AQ321">
        <f t="shared" ref="AQ321:AQ384" si="269">AP321*0.075</f>
        <v>4.283999999999998</v>
      </c>
      <c r="AR321">
        <f t="shared" si="253"/>
        <v>1.4</v>
      </c>
      <c r="AS321">
        <f t="shared" si="257"/>
        <v>2</v>
      </c>
      <c r="AT321">
        <f t="shared" si="258"/>
        <v>6</v>
      </c>
      <c r="AU321">
        <f t="shared" si="255"/>
        <v>5021</v>
      </c>
      <c r="AV321" s="1">
        <v>2</v>
      </c>
      <c r="AW321">
        <v>5</v>
      </c>
      <c r="AX321">
        <v>0.15</v>
      </c>
      <c r="AZ321">
        <v>5</v>
      </c>
      <c r="BA321">
        <v>1</v>
      </c>
      <c r="CG321" t="str">
        <f t="shared" si="254"/>
        <v>DATA_Class_Base36</v>
      </c>
      <c r="CH321" s="3" t="s">
        <v>201</v>
      </c>
    </row>
    <row r="322" spans="1:86" ht="14.25">
      <c r="A322">
        <f t="shared" si="245"/>
        <v>5091601</v>
      </c>
      <c r="B322" s="2" t="s">
        <v>500</v>
      </c>
      <c r="C322" s="48" t="s">
        <v>501</v>
      </c>
      <c r="D322">
        <v>9</v>
      </c>
      <c r="E322">
        <v>6</v>
      </c>
      <c r="F322">
        <v>1</v>
      </c>
      <c r="G322" s="3" t="s">
        <v>502</v>
      </c>
      <c r="H322" s="3" t="s">
        <v>502</v>
      </c>
      <c r="I322">
        <v>0</v>
      </c>
      <c r="J322" s="2" t="s">
        <v>309</v>
      </c>
      <c r="K322" s="2">
        <f t="shared" si="246"/>
        <v>6</v>
      </c>
      <c r="L322" s="2">
        <f t="shared" si="260"/>
        <v>1.5</v>
      </c>
      <c r="M322" s="2">
        <f t="shared" si="260"/>
        <v>2</v>
      </c>
      <c r="N322" s="2">
        <v>10</v>
      </c>
      <c r="O322" s="2">
        <f t="shared" si="262"/>
        <v>351.9</v>
      </c>
      <c r="P322" s="2">
        <f t="shared" si="262"/>
        <v>17.95</v>
      </c>
      <c r="Q322" s="2">
        <f t="shared" si="262"/>
        <v>4222.8</v>
      </c>
      <c r="R322" s="2">
        <f t="shared" si="261"/>
        <v>215.36</v>
      </c>
      <c r="S322" s="2">
        <f t="shared" si="261"/>
        <v>78.2</v>
      </c>
      <c r="T322" s="2">
        <f t="shared" si="261"/>
        <v>5.87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17">
        <v>516012</v>
      </c>
      <c r="AA322" s="14" t="s">
        <v>709</v>
      </c>
      <c r="AB322" s="15" t="s">
        <v>469</v>
      </c>
      <c r="AC322" s="2">
        <v>5101601</v>
      </c>
      <c r="AD322" s="2">
        <v>0</v>
      </c>
      <c r="AE322" s="2">
        <v>2</v>
      </c>
      <c r="AF322" s="2">
        <v>8</v>
      </c>
      <c r="AG322" s="2">
        <v>1</v>
      </c>
      <c r="AH322" s="2"/>
      <c r="AI322">
        <v>1</v>
      </c>
      <c r="AJ322" s="1">
        <f t="shared" si="263"/>
        <v>264.51181927248371</v>
      </c>
      <c r="AK322">
        <v>9</v>
      </c>
      <c r="AL322">
        <f t="shared" si="264"/>
        <v>306</v>
      </c>
      <c r="AM322">
        <f t="shared" si="265"/>
        <v>15.606</v>
      </c>
      <c r="AN322">
        <f t="shared" si="266"/>
        <v>3671.9999999999995</v>
      </c>
      <c r="AO322">
        <f t="shared" si="267"/>
        <v>187.27199999999996</v>
      </c>
      <c r="AP322">
        <f t="shared" si="268"/>
        <v>68</v>
      </c>
      <c r="AQ322">
        <f t="shared" si="269"/>
        <v>5.0999999999999996</v>
      </c>
      <c r="AR322">
        <f t="shared" ref="AR322:AR385" si="270">INDEX($BG$5:$BG$60,MATCH($AU322,$BB$5:$BB$60,0))</f>
        <v>1.5</v>
      </c>
      <c r="AS322">
        <f t="shared" si="257"/>
        <v>2</v>
      </c>
      <c r="AT322">
        <f t="shared" si="258"/>
        <v>6</v>
      </c>
      <c r="AU322">
        <f t="shared" si="255"/>
        <v>6011</v>
      </c>
      <c r="AV322" s="1">
        <v>1</v>
      </c>
      <c r="AW322">
        <v>5</v>
      </c>
      <c r="AX322">
        <v>0.15</v>
      </c>
      <c r="AZ322">
        <v>6</v>
      </c>
      <c r="BA322">
        <v>1</v>
      </c>
      <c r="CG322" t="str">
        <f t="shared" si="254"/>
        <v>DATA_Class_Base28</v>
      </c>
      <c r="CH322" s="3" t="s">
        <v>374</v>
      </c>
    </row>
    <row r="323" spans="1:86" ht="14.25">
      <c r="A323">
        <f t="shared" si="245"/>
        <v>5092200</v>
      </c>
      <c r="B323" s="2" t="s">
        <v>504</v>
      </c>
      <c r="C323" s="48" t="s">
        <v>505</v>
      </c>
      <c r="D323">
        <v>9</v>
      </c>
      <c r="E323">
        <v>2</v>
      </c>
      <c r="F323">
        <v>2</v>
      </c>
      <c r="G323" s="3" t="s">
        <v>506</v>
      </c>
      <c r="H323" s="3" t="s">
        <v>506</v>
      </c>
      <c r="I323">
        <v>0</v>
      </c>
      <c r="J323" s="8" t="s">
        <v>507</v>
      </c>
      <c r="K323" s="2">
        <f t="shared" si="246"/>
        <v>3</v>
      </c>
      <c r="L323" s="2">
        <f t="shared" si="260"/>
        <v>1.5</v>
      </c>
      <c r="M323" s="2">
        <f t="shared" si="260"/>
        <v>1.2</v>
      </c>
      <c r="N323" s="2">
        <v>10</v>
      </c>
      <c r="O323" s="2">
        <f t="shared" si="262"/>
        <v>351.9</v>
      </c>
      <c r="P323" s="2">
        <f t="shared" si="262"/>
        <v>17.95</v>
      </c>
      <c r="Q323" s="2">
        <f t="shared" si="262"/>
        <v>4222.8</v>
      </c>
      <c r="R323" s="2">
        <f t="shared" si="261"/>
        <v>215.36</v>
      </c>
      <c r="S323" s="2">
        <f t="shared" si="261"/>
        <v>117.3</v>
      </c>
      <c r="T323" s="2">
        <f t="shared" si="261"/>
        <v>8.8000000000000007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17">
        <v>522002</v>
      </c>
      <c r="AA323" s="14" t="s">
        <v>710</v>
      </c>
      <c r="AB323" s="15" t="s">
        <v>469</v>
      </c>
      <c r="AC323" s="2">
        <v>5102200</v>
      </c>
      <c r="AD323" s="2">
        <v>0</v>
      </c>
      <c r="AE323" s="2">
        <v>2</v>
      </c>
      <c r="AF323" s="2">
        <v>8</v>
      </c>
      <c r="AG323" s="2">
        <v>1</v>
      </c>
      <c r="AH323" s="2"/>
      <c r="AI323">
        <v>1</v>
      </c>
      <c r="AJ323" s="1">
        <f t="shared" si="263"/>
        <v>266.48875486899709</v>
      </c>
      <c r="AK323">
        <v>9</v>
      </c>
      <c r="AL323">
        <f t="shared" si="264"/>
        <v>306</v>
      </c>
      <c r="AM323">
        <f t="shared" si="265"/>
        <v>15.606</v>
      </c>
      <c r="AN323">
        <f t="shared" si="266"/>
        <v>3671.9999999999995</v>
      </c>
      <c r="AO323">
        <f t="shared" si="267"/>
        <v>187.27199999999996</v>
      </c>
      <c r="AP323">
        <f t="shared" si="268"/>
        <v>102</v>
      </c>
      <c r="AQ323">
        <f t="shared" si="269"/>
        <v>7.6499999999999995</v>
      </c>
      <c r="AR323">
        <f t="shared" si="270"/>
        <v>1.5</v>
      </c>
      <c r="AS323">
        <f t="shared" si="257"/>
        <v>1.2</v>
      </c>
      <c r="AT323">
        <f t="shared" si="258"/>
        <v>3</v>
      </c>
      <c r="AU323">
        <f t="shared" si="255"/>
        <v>2002</v>
      </c>
      <c r="AV323" s="1">
        <v>0</v>
      </c>
      <c r="AW323">
        <v>5</v>
      </c>
      <c r="AX323">
        <v>0.15</v>
      </c>
      <c r="AZ323">
        <v>2</v>
      </c>
      <c r="BA323">
        <v>2</v>
      </c>
      <c r="CG323" t="str">
        <f t="shared" si="254"/>
        <v>DATA_Class_Base29</v>
      </c>
      <c r="CH323" s="3" t="s">
        <v>378</v>
      </c>
    </row>
    <row r="324" spans="1:86" ht="14.25">
      <c r="A324" s="49">
        <f t="shared" si="245"/>
        <v>5092201</v>
      </c>
      <c r="B324" s="2" t="s">
        <v>509</v>
      </c>
      <c r="C324" s="48" t="s">
        <v>510</v>
      </c>
      <c r="D324">
        <v>9</v>
      </c>
      <c r="E324">
        <v>2</v>
      </c>
      <c r="F324">
        <v>2</v>
      </c>
      <c r="G324" s="3" t="s">
        <v>511</v>
      </c>
      <c r="H324" s="3" t="s">
        <v>511</v>
      </c>
      <c r="I324">
        <v>0</v>
      </c>
      <c r="J324" s="8" t="s">
        <v>512</v>
      </c>
      <c r="K324" s="2">
        <f t="shared" si="246"/>
        <v>3</v>
      </c>
      <c r="L324" s="2">
        <f t="shared" si="260"/>
        <v>1.5</v>
      </c>
      <c r="M324" s="2">
        <f t="shared" si="260"/>
        <v>1.8</v>
      </c>
      <c r="N324" s="2">
        <v>10</v>
      </c>
      <c r="O324" s="2">
        <f t="shared" si="262"/>
        <v>281.52</v>
      </c>
      <c r="P324" s="2">
        <f t="shared" si="262"/>
        <v>14.36</v>
      </c>
      <c r="Q324" s="2">
        <f t="shared" si="262"/>
        <v>5278.5</v>
      </c>
      <c r="R324" s="2">
        <f t="shared" si="261"/>
        <v>269.2</v>
      </c>
      <c r="S324" s="2">
        <f t="shared" si="261"/>
        <v>122.4</v>
      </c>
      <c r="T324" s="2">
        <f t="shared" si="261"/>
        <v>9.18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17">
        <v>522012</v>
      </c>
      <c r="AA324" s="14" t="s">
        <v>711</v>
      </c>
      <c r="AB324" s="15" t="s">
        <v>469</v>
      </c>
      <c r="AC324" s="2">
        <v>5102201</v>
      </c>
      <c r="AD324" s="2">
        <v>0</v>
      </c>
      <c r="AE324" s="2">
        <v>2</v>
      </c>
      <c r="AF324" s="2">
        <v>8</v>
      </c>
      <c r="AG324" s="2">
        <v>1</v>
      </c>
      <c r="AH324" s="2"/>
      <c r="AI324">
        <v>1</v>
      </c>
      <c r="AJ324" s="1">
        <f t="shared" si="263"/>
        <v>266.74879676664261</v>
      </c>
      <c r="AK324">
        <v>9</v>
      </c>
      <c r="AL324">
        <f t="shared" si="264"/>
        <v>244.8</v>
      </c>
      <c r="AM324">
        <f t="shared" si="265"/>
        <v>12.4848</v>
      </c>
      <c r="AN324">
        <f t="shared" si="266"/>
        <v>4590</v>
      </c>
      <c r="AO324">
        <f t="shared" si="267"/>
        <v>234.08999999999997</v>
      </c>
      <c r="AP324">
        <f t="shared" si="268"/>
        <v>106.43478260869567</v>
      </c>
      <c r="AQ324">
        <f t="shared" si="269"/>
        <v>7.9826086956521749</v>
      </c>
      <c r="AR324">
        <f t="shared" si="270"/>
        <v>1.5</v>
      </c>
      <c r="AS324">
        <f t="shared" si="257"/>
        <v>1.8</v>
      </c>
      <c r="AT324">
        <f t="shared" si="258"/>
        <v>3</v>
      </c>
      <c r="AU324">
        <f t="shared" si="255"/>
        <v>2012</v>
      </c>
      <c r="AV324" s="1">
        <v>1</v>
      </c>
      <c r="AW324">
        <v>5</v>
      </c>
      <c r="AX324">
        <v>0.15</v>
      </c>
      <c r="AZ324">
        <v>2</v>
      </c>
      <c r="BA324">
        <v>2</v>
      </c>
      <c r="CG324" t="str">
        <f t="shared" si="254"/>
        <v>DATA_Class_Base30</v>
      </c>
      <c r="CH324" s="3" t="s">
        <v>381</v>
      </c>
    </row>
    <row r="325" spans="1:86" ht="14.25">
      <c r="A325">
        <f t="shared" si="245"/>
        <v>5092202</v>
      </c>
      <c r="B325" s="2" t="s">
        <v>514</v>
      </c>
      <c r="C325" s="48" t="s">
        <v>515</v>
      </c>
      <c r="D325">
        <v>9</v>
      </c>
      <c r="E325">
        <v>2</v>
      </c>
      <c r="F325">
        <v>2</v>
      </c>
      <c r="G325" s="3" t="s">
        <v>516</v>
      </c>
      <c r="H325" s="3" t="s">
        <v>516</v>
      </c>
      <c r="I325" s="2">
        <v>0</v>
      </c>
      <c r="J325" s="2" t="s">
        <v>280</v>
      </c>
      <c r="K325" s="2">
        <f t="shared" si="246"/>
        <v>3</v>
      </c>
      <c r="L325" s="2">
        <f t="shared" si="260"/>
        <v>1.6</v>
      </c>
      <c r="M325" s="2">
        <f t="shared" si="260"/>
        <v>2</v>
      </c>
      <c r="N325" s="2">
        <v>10</v>
      </c>
      <c r="O325" s="2">
        <f t="shared" si="262"/>
        <v>412.9</v>
      </c>
      <c r="P325" s="2">
        <f t="shared" si="262"/>
        <v>21.06</v>
      </c>
      <c r="Q325" s="2">
        <f t="shared" si="262"/>
        <v>3512.35</v>
      </c>
      <c r="R325" s="2">
        <f t="shared" si="261"/>
        <v>179.13</v>
      </c>
      <c r="S325" s="2">
        <f t="shared" si="261"/>
        <v>103.22</v>
      </c>
      <c r="T325" s="2">
        <f t="shared" si="261"/>
        <v>7.74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17">
        <v>522022</v>
      </c>
      <c r="AA325" s="14" t="s">
        <v>712</v>
      </c>
      <c r="AB325" s="15" t="s">
        <v>469</v>
      </c>
      <c r="AC325" s="2">
        <v>5102202</v>
      </c>
      <c r="AD325" s="2">
        <v>0</v>
      </c>
      <c r="AE325" s="2">
        <v>2</v>
      </c>
      <c r="AF325" s="2">
        <v>8</v>
      </c>
      <c r="AG325" s="2">
        <v>1</v>
      </c>
      <c r="AH325" s="2"/>
      <c r="AI325">
        <v>1</v>
      </c>
      <c r="AJ325" s="1">
        <f t="shared" si="263"/>
        <v>266.01160011397957</v>
      </c>
      <c r="AK325">
        <v>9</v>
      </c>
      <c r="AL325">
        <f t="shared" si="264"/>
        <v>375.35999999999996</v>
      </c>
      <c r="AM325">
        <f t="shared" si="265"/>
        <v>19.143359999999998</v>
      </c>
      <c r="AN325">
        <f t="shared" si="266"/>
        <v>3193.04347826087</v>
      </c>
      <c r="AO325">
        <f t="shared" si="267"/>
        <v>162.84521739130435</v>
      </c>
      <c r="AP325">
        <f t="shared" si="268"/>
        <v>93.839999999999989</v>
      </c>
      <c r="AQ325">
        <f t="shared" si="269"/>
        <v>7.0379999999999994</v>
      </c>
      <c r="AR325">
        <f t="shared" si="270"/>
        <v>1.6</v>
      </c>
      <c r="AS325">
        <f t="shared" si="257"/>
        <v>2</v>
      </c>
      <c r="AT325">
        <f t="shared" si="258"/>
        <v>3</v>
      </c>
      <c r="AU325">
        <f t="shared" si="255"/>
        <v>2022</v>
      </c>
      <c r="AV325" s="1">
        <v>2</v>
      </c>
      <c r="AW325">
        <v>5</v>
      </c>
      <c r="AX325">
        <v>0.1</v>
      </c>
      <c r="AZ325">
        <v>2</v>
      </c>
      <c r="BA325">
        <v>2</v>
      </c>
      <c r="CG325" t="str">
        <f t="shared" si="254"/>
        <v>DATA_Class_Base31</v>
      </c>
      <c r="CH325" s="3" t="s">
        <v>384</v>
      </c>
    </row>
    <row r="326" spans="1:86" ht="14.25">
      <c r="A326">
        <f t="shared" si="245"/>
        <v>5092301</v>
      </c>
      <c r="B326" s="2" t="s">
        <v>518</v>
      </c>
      <c r="C326" s="48" t="s">
        <v>519</v>
      </c>
      <c r="D326">
        <v>9</v>
      </c>
      <c r="E326">
        <v>3</v>
      </c>
      <c r="F326">
        <v>2</v>
      </c>
      <c r="G326" s="3" t="s">
        <v>520</v>
      </c>
      <c r="H326" s="3" t="s">
        <v>520</v>
      </c>
      <c r="I326">
        <v>0</v>
      </c>
      <c r="J326" s="2" t="s">
        <v>285</v>
      </c>
      <c r="K326" s="2">
        <f t="shared" si="246"/>
        <v>3</v>
      </c>
      <c r="L326" s="2">
        <f t="shared" si="260"/>
        <v>1.2</v>
      </c>
      <c r="M326" s="2">
        <f t="shared" si="260"/>
        <v>1.7</v>
      </c>
      <c r="N326" s="2">
        <v>10</v>
      </c>
      <c r="O326" s="2">
        <f t="shared" si="262"/>
        <v>350.06</v>
      </c>
      <c r="P326" s="2">
        <f t="shared" si="262"/>
        <v>17.850000000000001</v>
      </c>
      <c r="Q326" s="2">
        <f t="shared" si="262"/>
        <v>3107.08</v>
      </c>
      <c r="R326" s="2">
        <f t="shared" si="261"/>
        <v>158.46</v>
      </c>
      <c r="S326" s="2">
        <f t="shared" si="261"/>
        <v>87.52</v>
      </c>
      <c r="T326" s="2">
        <f t="shared" si="261"/>
        <v>6.56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17">
        <v>523012</v>
      </c>
      <c r="AA326" s="14" t="s">
        <v>713</v>
      </c>
      <c r="AB326" s="15" t="s">
        <v>469</v>
      </c>
      <c r="AC326" s="2">
        <v>5102301</v>
      </c>
      <c r="AD326" s="2">
        <v>0</v>
      </c>
      <c r="AE326" s="2">
        <v>2</v>
      </c>
      <c r="AF326" s="2">
        <v>8</v>
      </c>
      <c r="AG326" s="2">
        <v>1</v>
      </c>
      <c r="AH326" s="2"/>
      <c r="AI326">
        <v>1</v>
      </c>
      <c r="AJ326" s="1">
        <f t="shared" si="263"/>
        <v>265.18067804495013</v>
      </c>
      <c r="AK326">
        <v>9</v>
      </c>
      <c r="AL326">
        <f t="shared" si="264"/>
        <v>318.24</v>
      </c>
      <c r="AM326">
        <f t="shared" si="265"/>
        <v>16.230239999999998</v>
      </c>
      <c r="AN326">
        <f t="shared" si="266"/>
        <v>2824.6153846153843</v>
      </c>
      <c r="AO326">
        <f t="shared" si="267"/>
        <v>144.05538461538458</v>
      </c>
      <c r="AP326">
        <f t="shared" si="268"/>
        <v>79.56</v>
      </c>
      <c r="AQ326">
        <f t="shared" si="269"/>
        <v>5.9669999999999996</v>
      </c>
      <c r="AR326">
        <f t="shared" si="270"/>
        <v>1.2</v>
      </c>
      <c r="AS326">
        <f t="shared" si="257"/>
        <v>1.7</v>
      </c>
      <c r="AT326">
        <f t="shared" si="258"/>
        <v>3</v>
      </c>
      <c r="AU326">
        <f t="shared" si="255"/>
        <v>3012</v>
      </c>
      <c r="AV326" s="1">
        <v>1</v>
      </c>
      <c r="AW326">
        <v>5</v>
      </c>
      <c r="AX326">
        <v>0.1</v>
      </c>
      <c r="AZ326">
        <v>3</v>
      </c>
      <c r="BA326">
        <v>2</v>
      </c>
      <c r="CG326" t="str">
        <f t="shared" si="254"/>
        <v>DATA_Class_Base32</v>
      </c>
      <c r="CH326" s="3" t="s">
        <v>388</v>
      </c>
    </row>
    <row r="327" spans="1:86" ht="14.25">
      <c r="A327">
        <f t="shared" si="245"/>
        <v>5092401</v>
      </c>
      <c r="B327" s="2" t="s">
        <v>522</v>
      </c>
      <c r="C327" s="48" t="s">
        <v>523</v>
      </c>
      <c r="D327">
        <v>9</v>
      </c>
      <c r="E327">
        <v>4</v>
      </c>
      <c r="F327">
        <v>2</v>
      </c>
      <c r="G327" s="3" t="s">
        <v>524</v>
      </c>
      <c r="H327" s="3" t="s">
        <v>524</v>
      </c>
      <c r="I327" s="2">
        <v>0</v>
      </c>
      <c r="J327" s="8" t="s">
        <v>250</v>
      </c>
      <c r="K327" s="2">
        <f t="shared" si="246"/>
        <v>6</v>
      </c>
      <c r="L327" s="2">
        <f t="shared" si="260"/>
        <v>1.6</v>
      </c>
      <c r="M327" s="2">
        <f t="shared" si="260"/>
        <v>1.5</v>
      </c>
      <c r="N327" s="2">
        <v>10</v>
      </c>
      <c r="O327" s="2">
        <f t="shared" si="262"/>
        <v>466.75</v>
      </c>
      <c r="P327" s="2">
        <f t="shared" si="262"/>
        <v>23.8</v>
      </c>
      <c r="Q327" s="2">
        <f t="shared" si="262"/>
        <v>3107.08</v>
      </c>
      <c r="R327" s="2">
        <f t="shared" si="261"/>
        <v>158.46</v>
      </c>
      <c r="S327" s="2">
        <f t="shared" si="261"/>
        <v>66.680000000000007</v>
      </c>
      <c r="T327" s="2">
        <f t="shared" si="261"/>
        <v>5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17">
        <v>524012</v>
      </c>
      <c r="AA327" s="14" t="s">
        <v>714</v>
      </c>
      <c r="AB327" s="15" t="s">
        <v>469</v>
      </c>
      <c r="AC327" s="2">
        <v>5102401</v>
      </c>
      <c r="AD327" s="2">
        <v>0</v>
      </c>
      <c r="AE327" s="2">
        <v>2</v>
      </c>
      <c r="AF327" s="2">
        <v>8</v>
      </c>
      <c r="AG327" s="2">
        <v>1</v>
      </c>
      <c r="AH327" s="2"/>
      <c r="AI327">
        <v>1</v>
      </c>
      <c r="AJ327" s="1">
        <f t="shared" si="263"/>
        <v>264.08641167955301</v>
      </c>
      <c r="AK327">
        <v>9</v>
      </c>
      <c r="AL327">
        <f t="shared" si="264"/>
        <v>424.32</v>
      </c>
      <c r="AM327">
        <f t="shared" si="265"/>
        <v>21.640319999999999</v>
      </c>
      <c r="AN327">
        <f t="shared" si="266"/>
        <v>2824.6153846153843</v>
      </c>
      <c r="AO327">
        <f t="shared" si="267"/>
        <v>144.05538461538458</v>
      </c>
      <c r="AP327">
        <f t="shared" si="268"/>
        <v>60.617142857142859</v>
      </c>
      <c r="AQ327">
        <f t="shared" si="269"/>
        <v>4.5462857142857143</v>
      </c>
      <c r="AR327">
        <f t="shared" si="270"/>
        <v>1.6</v>
      </c>
      <c r="AS327">
        <f t="shared" si="257"/>
        <v>1.5</v>
      </c>
      <c r="AT327">
        <f t="shared" si="258"/>
        <v>6</v>
      </c>
      <c r="AU327">
        <f t="shared" si="255"/>
        <v>4012</v>
      </c>
      <c r="AV327" s="1">
        <v>1</v>
      </c>
      <c r="AW327">
        <v>5</v>
      </c>
      <c r="AX327">
        <v>0.1</v>
      </c>
      <c r="AZ327">
        <v>4</v>
      </c>
      <c r="BA327">
        <v>2</v>
      </c>
      <c r="CG327" t="str">
        <f t="shared" ref="CG327:CG398" si="271">INDEX($CD$66:$CD$107,MATCH($CH327,$CE$66:$CE$107,0))</f>
        <v>DATA_Class_Base33</v>
      </c>
      <c r="CH327" s="3" t="s">
        <v>391</v>
      </c>
    </row>
    <row r="328" spans="1:86" ht="14.25">
      <c r="A328">
        <f t="shared" ref="A328:A399" si="272">AW328*1000000+D328*10000+F328*1000+E328*100+AV328</f>
        <v>5092402</v>
      </c>
      <c r="B328" s="2" t="s">
        <v>526</v>
      </c>
      <c r="C328" s="48" t="s">
        <v>527</v>
      </c>
      <c r="D328">
        <v>9</v>
      </c>
      <c r="E328">
        <v>4</v>
      </c>
      <c r="F328">
        <v>2</v>
      </c>
      <c r="G328" s="3" t="s">
        <v>528</v>
      </c>
      <c r="H328" s="3" t="s">
        <v>528</v>
      </c>
      <c r="I328">
        <v>0</v>
      </c>
      <c r="J328" s="2" t="s">
        <v>250</v>
      </c>
      <c r="K328" s="2">
        <f t="shared" ref="K328:K399" si="273">AT328</f>
        <v>6</v>
      </c>
      <c r="L328" s="2">
        <f t="shared" si="260"/>
        <v>1.5</v>
      </c>
      <c r="M328" s="2">
        <f t="shared" si="260"/>
        <v>1.5</v>
      </c>
      <c r="N328" s="2">
        <v>10</v>
      </c>
      <c r="O328" s="2">
        <f t="shared" si="262"/>
        <v>492.66</v>
      </c>
      <c r="P328" s="2">
        <f t="shared" si="262"/>
        <v>25.13</v>
      </c>
      <c r="Q328" s="2">
        <f t="shared" si="262"/>
        <v>3016.29</v>
      </c>
      <c r="R328" s="2">
        <f t="shared" si="261"/>
        <v>153.83000000000001</v>
      </c>
      <c r="S328" s="2">
        <f t="shared" si="261"/>
        <v>70.38</v>
      </c>
      <c r="T328" s="2">
        <f t="shared" si="261"/>
        <v>5.28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17">
        <v>524022</v>
      </c>
      <c r="AA328" s="14" t="s">
        <v>715</v>
      </c>
      <c r="AB328" s="15" t="s">
        <v>469</v>
      </c>
      <c r="AC328" s="2">
        <v>5102402</v>
      </c>
      <c r="AD328" s="2">
        <v>0</v>
      </c>
      <c r="AE328" s="2">
        <v>2</v>
      </c>
      <c r="AF328" s="2">
        <v>8</v>
      </c>
      <c r="AG328" s="2">
        <v>1</v>
      </c>
      <c r="AH328" s="2"/>
      <c r="AI328">
        <v>1</v>
      </c>
      <c r="AJ328" s="1">
        <f t="shared" si="263"/>
        <v>264.1199467338439</v>
      </c>
      <c r="AK328">
        <v>9</v>
      </c>
      <c r="AL328">
        <f t="shared" si="264"/>
        <v>428.39999999999992</v>
      </c>
      <c r="AM328">
        <f t="shared" si="265"/>
        <v>21.848399999999994</v>
      </c>
      <c r="AN328">
        <f t="shared" si="266"/>
        <v>2622.8571428571431</v>
      </c>
      <c r="AO328">
        <f t="shared" si="267"/>
        <v>133.7657142857143</v>
      </c>
      <c r="AP328">
        <f t="shared" si="268"/>
        <v>61.199999999999989</v>
      </c>
      <c r="AQ328">
        <f t="shared" si="269"/>
        <v>4.589999999999999</v>
      </c>
      <c r="AR328">
        <f t="shared" si="270"/>
        <v>1.5</v>
      </c>
      <c r="AS328">
        <f t="shared" si="257"/>
        <v>1.5</v>
      </c>
      <c r="AT328">
        <f t="shared" si="258"/>
        <v>6</v>
      </c>
      <c r="AU328">
        <f t="shared" si="255"/>
        <v>4022</v>
      </c>
      <c r="AV328" s="1">
        <v>2</v>
      </c>
      <c r="AW328">
        <v>5</v>
      </c>
      <c r="AX328">
        <v>0.15</v>
      </c>
      <c r="AZ328">
        <v>4</v>
      </c>
      <c r="BA328">
        <v>2</v>
      </c>
      <c r="CG328" t="str">
        <f t="shared" si="271"/>
        <v>DATA_Class_Base34</v>
      </c>
      <c r="CH328" s="3" t="s">
        <v>184</v>
      </c>
    </row>
    <row r="329" spans="1:86" ht="14.25">
      <c r="A329">
        <f t="shared" si="272"/>
        <v>5092500</v>
      </c>
      <c r="B329" s="2" t="s">
        <v>530</v>
      </c>
      <c r="C329" s="48" t="s">
        <v>531</v>
      </c>
      <c r="D329">
        <v>9</v>
      </c>
      <c r="E329">
        <v>5</v>
      </c>
      <c r="F329">
        <v>2</v>
      </c>
      <c r="G329" s="3" t="s">
        <v>532</v>
      </c>
      <c r="H329" s="3" t="s">
        <v>532</v>
      </c>
      <c r="I329" s="2">
        <v>0</v>
      </c>
      <c r="J329" s="2" t="s">
        <v>533</v>
      </c>
      <c r="K329" s="2">
        <f t="shared" si="273"/>
        <v>6</v>
      </c>
      <c r="L329" s="2">
        <f t="shared" si="260"/>
        <v>1.4000000000000001</v>
      </c>
      <c r="M329" s="2">
        <f t="shared" si="260"/>
        <v>2</v>
      </c>
      <c r="N329" s="2">
        <v>10</v>
      </c>
      <c r="O329" s="2">
        <f t="shared" si="262"/>
        <v>471.24</v>
      </c>
      <c r="P329" s="2">
        <f t="shared" si="262"/>
        <v>24.03</v>
      </c>
      <c r="Q329" s="2">
        <f t="shared" si="262"/>
        <v>2692.8</v>
      </c>
      <c r="R329" s="2">
        <f t="shared" si="261"/>
        <v>137.33000000000001</v>
      </c>
      <c r="S329" s="2">
        <f t="shared" si="261"/>
        <v>62.83</v>
      </c>
      <c r="T329" s="2">
        <f t="shared" si="261"/>
        <v>4.71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17">
        <v>525002</v>
      </c>
      <c r="AA329" s="14" t="s">
        <v>716</v>
      </c>
      <c r="AB329" s="15" t="s">
        <v>469</v>
      </c>
      <c r="AC329" s="2">
        <v>5102500</v>
      </c>
      <c r="AD329" s="2">
        <v>0</v>
      </c>
      <c r="AE329" s="2">
        <v>2</v>
      </c>
      <c r="AF329" s="2">
        <v>8</v>
      </c>
      <c r="AG329" s="2">
        <v>1</v>
      </c>
      <c r="AH329" s="2"/>
      <c r="AI329">
        <v>1</v>
      </c>
      <c r="AJ329" s="1">
        <f t="shared" si="263"/>
        <v>263.88538005003846</v>
      </c>
      <c r="AK329">
        <v>9</v>
      </c>
      <c r="AL329">
        <f t="shared" si="264"/>
        <v>428.39999999999992</v>
      </c>
      <c r="AM329">
        <f t="shared" si="265"/>
        <v>21.848399999999994</v>
      </c>
      <c r="AN329">
        <f t="shared" si="266"/>
        <v>2448</v>
      </c>
      <c r="AO329">
        <f t="shared" si="267"/>
        <v>124.848</v>
      </c>
      <c r="AP329">
        <f t="shared" si="268"/>
        <v>57.11999999999999</v>
      </c>
      <c r="AQ329">
        <f t="shared" si="269"/>
        <v>4.2839999999999989</v>
      </c>
      <c r="AR329">
        <f t="shared" si="270"/>
        <v>1.4</v>
      </c>
      <c r="AS329">
        <f t="shared" si="257"/>
        <v>2</v>
      </c>
      <c r="AT329">
        <f t="shared" si="258"/>
        <v>6</v>
      </c>
      <c r="AU329">
        <f t="shared" si="255"/>
        <v>5002</v>
      </c>
      <c r="AV329" s="1">
        <v>0</v>
      </c>
      <c r="AW329">
        <v>5</v>
      </c>
      <c r="AX329">
        <v>0.1</v>
      </c>
      <c r="AZ329">
        <v>5</v>
      </c>
      <c r="BA329">
        <v>2</v>
      </c>
      <c r="CG329" t="str">
        <f t="shared" si="271"/>
        <v>DATA_Class_Base35</v>
      </c>
      <c r="CH329" s="3" t="s">
        <v>195</v>
      </c>
    </row>
    <row r="330" spans="1:86" ht="14.25">
      <c r="A330" s="49">
        <f t="shared" si="272"/>
        <v>5092502</v>
      </c>
      <c r="B330" s="2" t="s">
        <v>535</v>
      </c>
      <c r="C330" s="48" t="s">
        <v>536</v>
      </c>
      <c r="D330">
        <v>9</v>
      </c>
      <c r="E330">
        <v>5</v>
      </c>
      <c r="F330">
        <v>2</v>
      </c>
      <c r="G330" s="3" t="s">
        <v>537</v>
      </c>
      <c r="H330" s="3" t="s">
        <v>537</v>
      </c>
      <c r="I330" s="2">
        <v>0</v>
      </c>
      <c r="J330" s="2" t="s">
        <v>291</v>
      </c>
      <c r="K330" s="2">
        <f t="shared" si="273"/>
        <v>6</v>
      </c>
      <c r="L330" s="2">
        <f t="shared" si="260"/>
        <v>1.4000000000000001</v>
      </c>
      <c r="M330" s="2">
        <f t="shared" si="260"/>
        <v>2</v>
      </c>
      <c r="N330" s="2">
        <v>10</v>
      </c>
      <c r="O330" s="2">
        <f t="shared" si="262"/>
        <v>531.22</v>
      </c>
      <c r="P330" s="2">
        <f t="shared" si="262"/>
        <v>27.09</v>
      </c>
      <c r="Q330" s="2">
        <f t="shared" si="262"/>
        <v>2842.84</v>
      </c>
      <c r="R330" s="2">
        <f t="shared" si="261"/>
        <v>144.97999999999999</v>
      </c>
      <c r="S330" s="2">
        <f t="shared" si="261"/>
        <v>75.89</v>
      </c>
      <c r="T330" s="2">
        <f t="shared" si="261"/>
        <v>5.69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17">
        <v>525022</v>
      </c>
      <c r="AA330" s="14" t="s">
        <v>717</v>
      </c>
      <c r="AB330" s="15" t="s">
        <v>469</v>
      </c>
      <c r="AC330" s="2">
        <v>5102502</v>
      </c>
      <c r="AD330" s="2">
        <v>0</v>
      </c>
      <c r="AE330" s="2">
        <v>2</v>
      </c>
      <c r="AF330" s="2">
        <v>8</v>
      </c>
      <c r="AG330" s="2">
        <v>1</v>
      </c>
      <c r="AH330" s="2"/>
      <c r="AI330">
        <v>1</v>
      </c>
      <c r="AJ330" s="1">
        <f t="shared" si="263"/>
        <v>264.23738652433678</v>
      </c>
      <c r="AK330">
        <v>9</v>
      </c>
      <c r="AL330">
        <f t="shared" si="264"/>
        <v>442.67999999999995</v>
      </c>
      <c r="AM330">
        <f t="shared" si="265"/>
        <v>22.576679999999996</v>
      </c>
      <c r="AN330">
        <f t="shared" si="266"/>
        <v>2369.0322580645161</v>
      </c>
      <c r="AO330">
        <f t="shared" si="267"/>
        <v>120.82064516129032</v>
      </c>
      <c r="AP330">
        <f t="shared" si="268"/>
        <v>63.239999999999995</v>
      </c>
      <c r="AQ330">
        <f t="shared" si="269"/>
        <v>4.7429999999999994</v>
      </c>
      <c r="AR330">
        <f t="shared" si="270"/>
        <v>1.4</v>
      </c>
      <c r="AS330">
        <f t="shared" si="257"/>
        <v>2</v>
      </c>
      <c r="AT330">
        <f t="shared" si="258"/>
        <v>6</v>
      </c>
      <c r="AU330">
        <f t="shared" si="255"/>
        <v>5022</v>
      </c>
      <c r="AV330" s="1">
        <v>2</v>
      </c>
      <c r="AW330">
        <v>5</v>
      </c>
      <c r="AX330">
        <v>0.2</v>
      </c>
      <c r="AZ330">
        <v>5</v>
      </c>
      <c r="BA330">
        <v>2</v>
      </c>
      <c r="CG330" t="str">
        <f t="shared" si="271"/>
        <v>DATA_Class_Base36</v>
      </c>
      <c r="CH330" s="3" t="s">
        <v>201</v>
      </c>
    </row>
    <row r="331" spans="1:86" ht="14.25">
      <c r="A331" s="49">
        <f t="shared" si="272"/>
        <v>5092601</v>
      </c>
      <c r="B331" s="2" t="s">
        <v>539</v>
      </c>
      <c r="C331" s="48" t="s">
        <v>540</v>
      </c>
      <c r="D331">
        <v>9</v>
      </c>
      <c r="E331">
        <v>6</v>
      </c>
      <c r="F331">
        <v>2</v>
      </c>
      <c r="G331" s="3" t="s">
        <v>541</v>
      </c>
      <c r="H331" s="3" t="s">
        <v>541</v>
      </c>
      <c r="I331" s="2">
        <v>0</v>
      </c>
      <c r="J331" s="8" t="s">
        <v>542</v>
      </c>
      <c r="K331" s="2">
        <f t="shared" si="273"/>
        <v>6</v>
      </c>
      <c r="L331" s="2">
        <f t="shared" si="260"/>
        <v>1.5</v>
      </c>
      <c r="M331" s="2">
        <f t="shared" si="260"/>
        <v>2</v>
      </c>
      <c r="N331" s="2">
        <v>10</v>
      </c>
      <c r="O331" s="2">
        <f t="shared" si="262"/>
        <v>403.92</v>
      </c>
      <c r="P331" s="2">
        <f t="shared" si="262"/>
        <v>20.6</v>
      </c>
      <c r="Q331" s="2">
        <f t="shared" si="262"/>
        <v>4005.82</v>
      </c>
      <c r="R331" s="2">
        <f t="shared" si="261"/>
        <v>204.3</v>
      </c>
      <c r="S331" s="2">
        <f t="shared" si="261"/>
        <v>89.76</v>
      </c>
      <c r="T331" s="2">
        <f t="shared" si="261"/>
        <v>6.73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17">
        <v>526012</v>
      </c>
      <c r="AA331" s="14" t="s">
        <v>718</v>
      </c>
      <c r="AB331" s="15" t="s">
        <v>469</v>
      </c>
      <c r="AC331" s="2">
        <v>5102601</v>
      </c>
      <c r="AD331" s="2">
        <v>0</v>
      </c>
      <c r="AE331" s="2">
        <v>2</v>
      </c>
      <c r="AF331" s="2">
        <v>8</v>
      </c>
      <c r="AG331" s="2">
        <v>1</v>
      </c>
      <c r="AH331" s="2"/>
      <c r="AI331">
        <v>1</v>
      </c>
      <c r="AJ331" s="1">
        <f t="shared" si="263"/>
        <v>264.90485637494174</v>
      </c>
      <c r="AK331">
        <v>9</v>
      </c>
      <c r="AL331">
        <f t="shared" si="264"/>
        <v>336.59999999999997</v>
      </c>
      <c r="AM331">
        <f t="shared" si="265"/>
        <v>17.166599999999995</v>
      </c>
      <c r="AN331">
        <f t="shared" si="266"/>
        <v>3338.1818181818176</v>
      </c>
      <c r="AO331">
        <f t="shared" si="267"/>
        <v>170.24727272727267</v>
      </c>
      <c r="AP331">
        <f t="shared" si="268"/>
        <v>74.8</v>
      </c>
      <c r="AQ331">
        <f t="shared" si="269"/>
        <v>5.6099999999999994</v>
      </c>
      <c r="AR331">
        <f t="shared" si="270"/>
        <v>1.5</v>
      </c>
      <c r="AS331">
        <f t="shared" si="257"/>
        <v>2</v>
      </c>
      <c r="AT331">
        <f t="shared" si="258"/>
        <v>6</v>
      </c>
      <c r="AU331">
        <f t="shared" si="255"/>
        <v>6012</v>
      </c>
      <c r="AV331" s="1">
        <v>1</v>
      </c>
      <c r="AW331">
        <v>5</v>
      </c>
      <c r="AX331">
        <v>0.2</v>
      </c>
      <c r="AZ331">
        <v>6</v>
      </c>
      <c r="BA331">
        <v>2</v>
      </c>
      <c r="CG331" t="str">
        <f t="shared" si="271"/>
        <v>DATA_Class_Base28</v>
      </c>
      <c r="CH331" s="3" t="s">
        <v>374</v>
      </c>
    </row>
    <row r="332" spans="1:86" ht="14.25">
      <c r="A332" s="49">
        <f t="shared" si="272"/>
        <v>5093200</v>
      </c>
      <c r="B332" s="2" t="s">
        <v>544</v>
      </c>
      <c r="C332" s="48" t="s">
        <v>545</v>
      </c>
      <c r="D332">
        <v>9</v>
      </c>
      <c r="E332">
        <v>2</v>
      </c>
      <c r="F332">
        <v>3</v>
      </c>
      <c r="G332" s="3" t="s">
        <v>546</v>
      </c>
      <c r="H332" s="3" t="s">
        <v>546</v>
      </c>
      <c r="I332">
        <v>0</v>
      </c>
      <c r="J332" s="2" t="s">
        <v>314</v>
      </c>
      <c r="K332" s="2">
        <f t="shared" si="273"/>
        <v>3</v>
      </c>
      <c r="L332" s="2">
        <f t="shared" si="260"/>
        <v>1.5</v>
      </c>
      <c r="M332" s="2">
        <f t="shared" si="260"/>
        <v>1.2</v>
      </c>
      <c r="N332" s="2">
        <v>10</v>
      </c>
      <c r="O332" s="2">
        <f t="shared" si="262"/>
        <v>246.33</v>
      </c>
      <c r="P332" s="2">
        <f t="shared" si="262"/>
        <v>12.56</v>
      </c>
      <c r="Q332" s="2">
        <f t="shared" si="262"/>
        <v>6032.57</v>
      </c>
      <c r="R332" s="2">
        <f t="shared" si="261"/>
        <v>307.66000000000003</v>
      </c>
      <c r="S332" s="2">
        <f t="shared" si="261"/>
        <v>123.17</v>
      </c>
      <c r="T332" s="2">
        <f t="shared" si="261"/>
        <v>9.24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17">
        <v>532002</v>
      </c>
      <c r="AA332" s="14" t="s">
        <v>719</v>
      </c>
      <c r="AB332" s="15" t="s">
        <v>469</v>
      </c>
      <c r="AC332" s="2">
        <v>5103200</v>
      </c>
      <c r="AD332" s="2">
        <v>0</v>
      </c>
      <c r="AE332" s="2">
        <v>2</v>
      </c>
      <c r="AF332" s="2">
        <v>8</v>
      </c>
      <c r="AG332" s="2">
        <v>1</v>
      </c>
      <c r="AH332" s="2"/>
      <c r="AI332">
        <v>1</v>
      </c>
      <c r="AJ332" s="1">
        <f t="shared" si="263"/>
        <v>266.78784682974509</v>
      </c>
      <c r="AK332">
        <v>9</v>
      </c>
      <c r="AL332">
        <f t="shared" si="264"/>
        <v>214.19999999999996</v>
      </c>
      <c r="AM332">
        <f t="shared" si="265"/>
        <v>10.924199999999997</v>
      </c>
      <c r="AN332">
        <f t="shared" si="266"/>
        <v>5245.7142857142862</v>
      </c>
      <c r="AO332">
        <f t="shared" si="267"/>
        <v>267.53142857142859</v>
      </c>
      <c r="AP332">
        <f t="shared" si="268"/>
        <v>107.09999999999998</v>
      </c>
      <c r="AQ332">
        <f t="shared" si="269"/>
        <v>8.0324999999999989</v>
      </c>
      <c r="AR332">
        <f t="shared" si="270"/>
        <v>1.5</v>
      </c>
      <c r="AS332">
        <f t="shared" si="257"/>
        <v>1.2</v>
      </c>
      <c r="AT332">
        <f t="shared" si="258"/>
        <v>3</v>
      </c>
      <c r="AU332">
        <f t="shared" ref="AU332:AU395" si="274">AZ332*1000+AV332*10+BA332</f>
        <v>2003</v>
      </c>
      <c r="AV332" s="1">
        <v>0</v>
      </c>
      <c r="AW332">
        <v>5</v>
      </c>
      <c r="AX332">
        <v>0.15</v>
      </c>
      <c r="AZ332">
        <v>2</v>
      </c>
      <c r="BA332">
        <v>3</v>
      </c>
      <c r="CG332" t="str">
        <f t="shared" si="271"/>
        <v>DATA_Class_Base29</v>
      </c>
      <c r="CH332" s="3" t="s">
        <v>378</v>
      </c>
    </row>
    <row r="333" spans="1:86" ht="14.25">
      <c r="A333">
        <f t="shared" si="272"/>
        <v>5093201</v>
      </c>
      <c r="B333" s="2" t="s">
        <v>548</v>
      </c>
      <c r="C333" s="48" t="s">
        <v>549</v>
      </c>
      <c r="D333">
        <v>9</v>
      </c>
      <c r="E333">
        <v>2</v>
      </c>
      <c r="F333">
        <v>3</v>
      </c>
      <c r="G333" s="3" t="s">
        <v>550</v>
      </c>
      <c r="H333" s="3" t="s">
        <v>550</v>
      </c>
      <c r="I333" s="2">
        <v>0</v>
      </c>
      <c r="J333" s="50" t="s">
        <v>1720</v>
      </c>
      <c r="K333" s="2">
        <f t="shared" si="273"/>
        <v>3</v>
      </c>
      <c r="L333" s="2">
        <f t="shared" si="260"/>
        <v>1.7</v>
      </c>
      <c r="M333" s="2">
        <f t="shared" si="260"/>
        <v>1.8</v>
      </c>
      <c r="N333" s="2">
        <v>10</v>
      </c>
      <c r="O333" s="2">
        <f t="shared" si="262"/>
        <v>228.89</v>
      </c>
      <c r="P333" s="2">
        <f t="shared" si="262"/>
        <v>11.67</v>
      </c>
      <c r="Q333" s="2">
        <f t="shared" si="262"/>
        <v>6732</v>
      </c>
      <c r="R333" s="2">
        <f t="shared" si="261"/>
        <v>343.33</v>
      </c>
      <c r="S333" s="2">
        <f t="shared" si="261"/>
        <v>114.44</v>
      </c>
      <c r="T333" s="2">
        <f t="shared" si="261"/>
        <v>8.58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17">
        <v>532012</v>
      </c>
      <c r="AA333" s="14" t="s">
        <v>720</v>
      </c>
      <c r="AB333" s="15" t="s">
        <v>469</v>
      </c>
      <c r="AC333" s="2">
        <v>5103201</v>
      </c>
      <c r="AD333" s="2">
        <v>0</v>
      </c>
      <c r="AE333" s="2">
        <v>2</v>
      </c>
      <c r="AF333" s="2">
        <v>8</v>
      </c>
      <c r="AG333" s="2">
        <v>1</v>
      </c>
      <c r="AH333" s="2"/>
      <c r="AI333">
        <v>1</v>
      </c>
      <c r="AJ333" s="1">
        <f t="shared" si="263"/>
        <v>266.60831114336145</v>
      </c>
      <c r="AK333">
        <v>9</v>
      </c>
      <c r="AL333">
        <f t="shared" si="264"/>
        <v>208.08</v>
      </c>
      <c r="AM333">
        <f t="shared" si="265"/>
        <v>10.612080000000001</v>
      </c>
      <c r="AN333">
        <f t="shared" si="266"/>
        <v>6120</v>
      </c>
      <c r="AO333">
        <f t="shared" si="267"/>
        <v>312.12</v>
      </c>
      <c r="AP333">
        <f t="shared" si="268"/>
        <v>104.04</v>
      </c>
      <c r="AQ333">
        <f t="shared" si="269"/>
        <v>7.8029999999999999</v>
      </c>
      <c r="AR333">
        <f t="shared" si="270"/>
        <v>1.7</v>
      </c>
      <c r="AS333">
        <f t="shared" si="257"/>
        <v>1.8</v>
      </c>
      <c r="AT333">
        <f t="shared" si="258"/>
        <v>3</v>
      </c>
      <c r="AU333">
        <f t="shared" si="274"/>
        <v>2013</v>
      </c>
      <c r="AV333" s="1">
        <v>1</v>
      </c>
      <c r="AW333">
        <v>5</v>
      </c>
      <c r="AX333">
        <v>0.1</v>
      </c>
      <c r="AZ333">
        <v>2</v>
      </c>
      <c r="BA333">
        <v>3</v>
      </c>
      <c r="CG333" t="str">
        <f t="shared" si="271"/>
        <v>DATA_Class_Base30</v>
      </c>
      <c r="CH333" s="3" t="s">
        <v>381</v>
      </c>
    </row>
    <row r="334" spans="1:86" ht="14.25">
      <c r="A334">
        <f t="shared" si="272"/>
        <v>5093202</v>
      </c>
      <c r="B334" s="2" t="s">
        <v>552</v>
      </c>
      <c r="C334" s="48" t="s">
        <v>553</v>
      </c>
      <c r="D334">
        <v>9</v>
      </c>
      <c r="E334">
        <v>2</v>
      </c>
      <c r="F334">
        <v>3</v>
      </c>
      <c r="G334" s="3" t="s">
        <v>554</v>
      </c>
      <c r="H334" s="3" t="s">
        <v>554</v>
      </c>
      <c r="I334">
        <v>0</v>
      </c>
      <c r="J334" s="8" t="s">
        <v>555</v>
      </c>
      <c r="K334" s="2">
        <f t="shared" si="273"/>
        <v>3</v>
      </c>
      <c r="L334" s="2">
        <f t="shared" si="260"/>
        <v>1.7</v>
      </c>
      <c r="M334" s="2">
        <f t="shared" si="260"/>
        <v>2</v>
      </c>
      <c r="N334" s="2">
        <v>10</v>
      </c>
      <c r="O334" s="2">
        <f t="shared" si="262"/>
        <v>358.94</v>
      </c>
      <c r="P334" s="2">
        <f t="shared" si="262"/>
        <v>18.309999999999999</v>
      </c>
      <c r="Q334" s="2">
        <f t="shared" si="262"/>
        <v>4692</v>
      </c>
      <c r="R334" s="2">
        <f t="shared" si="261"/>
        <v>239.29</v>
      </c>
      <c r="S334" s="2">
        <f t="shared" si="261"/>
        <v>119.65</v>
      </c>
      <c r="T334" s="2">
        <f t="shared" si="261"/>
        <v>8.9700000000000006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17">
        <v>532022</v>
      </c>
      <c r="AA334" s="14" t="s">
        <v>721</v>
      </c>
      <c r="AB334" s="15" t="s">
        <v>469</v>
      </c>
      <c r="AC334" s="2">
        <v>5103202</v>
      </c>
      <c r="AD334" s="2">
        <v>0</v>
      </c>
      <c r="AE334" s="2">
        <v>2</v>
      </c>
      <c r="AF334" s="2">
        <v>8</v>
      </c>
      <c r="AG334" s="2">
        <v>1</v>
      </c>
      <c r="AH334" s="2"/>
      <c r="AI334">
        <v>1</v>
      </c>
      <c r="AJ334" s="1">
        <f t="shared" si="263"/>
        <v>266.60831114336139</v>
      </c>
      <c r="AK334">
        <v>9</v>
      </c>
      <c r="AL334">
        <f t="shared" si="264"/>
        <v>312.12</v>
      </c>
      <c r="AM334">
        <f t="shared" si="265"/>
        <v>15.91812</v>
      </c>
      <c r="AN334">
        <f t="shared" si="266"/>
        <v>4079.9999999999995</v>
      </c>
      <c r="AO334">
        <f t="shared" si="267"/>
        <v>208.07999999999996</v>
      </c>
      <c r="AP334">
        <f t="shared" si="268"/>
        <v>104.04</v>
      </c>
      <c r="AQ334">
        <f t="shared" si="269"/>
        <v>7.8029999999999999</v>
      </c>
      <c r="AR334">
        <f t="shared" si="270"/>
        <v>1.7</v>
      </c>
      <c r="AS334">
        <f t="shared" si="257"/>
        <v>2</v>
      </c>
      <c r="AT334">
        <f t="shared" si="258"/>
        <v>3</v>
      </c>
      <c r="AU334">
        <f t="shared" si="274"/>
        <v>2023</v>
      </c>
      <c r="AV334" s="1">
        <v>2</v>
      </c>
      <c r="AW334">
        <v>5</v>
      </c>
      <c r="AX334">
        <v>0.15</v>
      </c>
      <c r="AZ334">
        <v>2</v>
      </c>
      <c r="BA334">
        <v>3</v>
      </c>
      <c r="CG334" t="str">
        <f t="shared" si="271"/>
        <v>DATA_Class_Base31</v>
      </c>
      <c r="CH334" s="3" t="s">
        <v>384</v>
      </c>
    </row>
    <row r="335" spans="1:86" ht="14.25">
      <c r="A335" s="49">
        <f t="shared" si="272"/>
        <v>5093301</v>
      </c>
      <c r="B335" s="2" t="s">
        <v>557</v>
      </c>
      <c r="C335" s="48" t="s">
        <v>558</v>
      </c>
      <c r="D335">
        <v>9</v>
      </c>
      <c r="E335">
        <v>3</v>
      </c>
      <c r="F335">
        <v>3</v>
      </c>
      <c r="G335" s="3" t="s">
        <v>559</v>
      </c>
      <c r="H335" s="3" t="s">
        <v>559</v>
      </c>
      <c r="I335" s="2">
        <v>0</v>
      </c>
      <c r="J335" s="8" t="s">
        <v>555</v>
      </c>
      <c r="K335" s="2">
        <f t="shared" si="273"/>
        <v>3</v>
      </c>
      <c r="L335" s="2">
        <f t="shared" si="260"/>
        <v>1.2</v>
      </c>
      <c r="M335" s="2">
        <f t="shared" si="260"/>
        <v>1.4000000000000001</v>
      </c>
      <c r="N335" s="2">
        <v>10</v>
      </c>
      <c r="O335" s="2">
        <f t="shared" si="262"/>
        <v>352.51</v>
      </c>
      <c r="P335" s="2">
        <f t="shared" si="262"/>
        <v>17.98</v>
      </c>
      <c r="Q335" s="2">
        <f t="shared" si="262"/>
        <v>3672</v>
      </c>
      <c r="R335" s="2">
        <f t="shared" si="261"/>
        <v>187.27</v>
      </c>
      <c r="S335" s="2">
        <f t="shared" si="261"/>
        <v>100.72</v>
      </c>
      <c r="T335" s="2">
        <f t="shared" si="261"/>
        <v>7.55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17">
        <v>533012</v>
      </c>
      <c r="AA335" s="14" t="s">
        <v>722</v>
      </c>
      <c r="AB335" s="15" t="s">
        <v>469</v>
      </c>
      <c r="AC335" s="2">
        <v>5103301</v>
      </c>
      <c r="AD335" s="2">
        <v>0</v>
      </c>
      <c r="AE335" s="2">
        <v>2</v>
      </c>
      <c r="AF335" s="2">
        <v>8</v>
      </c>
      <c r="AG335" s="2">
        <v>1</v>
      </c>
      <c r="AH335" s="2"/>
      <c r="AI335">
        <v>1</v>
      </c>
      <c r="AJ335" s="1">
        <f t="shared" si="263"/>
        <v>265.43449010321569</v>
      </c>
      <c r="AK335">
        <v>9</v>
      </c>
      <c r="AL335">
        <f t="shared" si="264"/>
        <v>293.75999999999993</v>
      </c>
      <c r="AM335">
        <f t="shared" si="265"/>
        <v>14.981759999999996</v>
      </c>
      <c r="AN335">
        <f t="shared" si="266"/>
        <v>3060</v>
      </c>
      <c r="AO335">
        <f t="shared" si="267"/>
        <v>156.06</v>
      </c>
      <c r="AP335">
        <f t="shared" si="268"/>
        <v>83.931428571428555</v>
      </c>
      <c r="AQ335">
        <f t="shared" si="269"/>
        <v>6.2948571428571416</v>
      </c>
      <c r="AR335">
        <f t="shared" si="270"/>
        <v>1.2</v>
      </c>
      <c r="AS335">
        <f t="shared" si="257"/>
        <v>1.4</v>
      </c>
      <c r="AT335">
        <f t="shared" si="258"/>
        <v>3</v>
      </c>
      <c r="AU335">
        <f t="shared" si="274"/>
        <v>3013</v>
      </c>
      <c r="AV335" s="1">
        <v>1</v>
      </c>
      <c r="AW335">
        <v>5</v>
      </c>
      <c r="AX335">
        <v>0.2</v>
      </c>
      <c r="AZ335">
        <v>3</v>
      </c>
      <c r="BA335">
        <v>3</v>
      </c>
      <c r="CG335" t="str">
        <f t="shared" si="271"/>
        <v>DATA_Class_Base32</v>
      </c>
      <c r="CH335" s="3" t="s">
        <v>388</v>
      </c>
    </row>
    <row r="336" spans="1:86" ht="14.25">
      <c r="A336">
        <f t="shared" si="272"/>
        <v>5093401</v>
      </c>
      <c r="B336" s="2" t="s">
        <v>561</v>
      </c>
      <c r="C336" s="48" t="s">
        <v>562</v>
      </c>
      <c r="D336">
        <v>9</v>
      </c>
      <c r="E336">
        <v>4</v>
      </c>
      <c r="F336">
        <v>3</v>
      </c>
      <c r="G336" s="3" t="s">
        <v>563</v>
      </c>
      <c r="H336" s="3" t="s">
        <v>563</v>
      </c>
      <c r="I336">
        <v>0</v>
      </c>
      <c r="J336" s="2" t="s">
        <v>161</v>
      </c>
      <c r="K336" s="2">
        <f t="shared" si="273"/>
        <v>6</v>
      </c>
      <c r="L336" s="2">
        <f t="shared" si="260"/>
        <v>1.6</v>
      </c>
      <c r="M336" s="2">
        <f t="shared" si="260"/>
        <v>1.5</v>
      </c>
      <c r="N336" s="2">
        <v>10</v>
      </c>
      <c r="O336" s="2">
        <f t="shared" si="262"/>
        <v>470.02</v>
      </c>
      <c r="P336" s="2">
        <f t="shared" si="262"/>
        <v>23.97</v>
      </c>
      <c r="Q336" s="2">
        <f t="shared" si="262"/>
        <v>3672</v>
      </c>
      <c r="R336" s="2">
        <f t="shared" si="261"/>
        <v>187.27</v>
      </c>
      <c r="S336" s="2">
        <f t="shared" si="261"/>
        <v>78.34</v>
      </c>
      <c r="T336" s="2">
        <f t="shared" si="261"/>
        <v>5.88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17">
        <v>534012</v>
      </c>
      <c r="AA336" s="14" t="s">
        <v>723</v>
      </c>
      <c r="AB336" s="15" t="s">
        <v>469</v>
      </c>
      <c r="AC336" s="2">
        <v>5103401</v>
      </c>
      <c r="AD336" s="2">
        <v>0</v>
      </c>
      <c r="AE336" s="2">
        <v>2</v>
      </c>
      <c r="AF336" s="2">
        <v>8</v>
      </c>
      <c r="AG336" s="2">
        <v>1</v>
      </c>
      <c r="AH336" s="2"/>
      <c r="AI336">
        <v>1</v>
      </c>
      <c r="AJ336" s="1">
        <f t="shared" si="263"/>
        <v>264.35493079947673</v>
      </c>
      <c r="AK336">
        <v>9</v>
      </c>
      <c r="AL336">
        <f t="shared" si="264"/>
        <v>391.67999999999995</v>
      </c>
      <c r="AM336">
        <f t="shared" si="265"/>
        <v>19.975679999999997</v>
      </c>
      <c r="AN336">
        <f t="shared" si="266"/>
        <v>3060</v>
      </c>
      <c r="AO336">
        <f t="shared" si="267"/>
        <v>156.06</v>
      </c>
      <c r="AP336">
        <f t="shared" si="268"/>
        <v>65.279999999999987</v>
      </c>
      <c r="AQ336">
        <f t="shared" si="269"/>
        <v>4.895999999999999</v>
      </c>
      <c r="AR336">
        <f t="shared" si="270"/>
        <v>1.6</v>
      </c>
      <c r="AS336">
        <f t="shared" si="257"/>
        <v>1.5</v>
      </c>
      <c r="AT336">
        <f t="shared" si="258"/>
        <v>6</v>
      </c>
      <c r="AU336">
        <f t="shared" si="274"/>
        <v>4013</v>
      </c>
      <c r="AV336" s="1">
        <v>1</v>
      </c>
      <c r="AW336">
        <v>5</v>
      </c>
      <c r="AX336">
        <v>0.2</v>
      </c>
      <c r="AZ336">
        <v>4</v>
      </c>
      <c r="BA336">
        <v>3</v>
      </c>
      <c r="CG336" t="str">
        <f t="shared" si="271"/>
        <v>DATA_Class_Base33</v>
      </c>
      <c r="CH336" s="3" t="s">
        <v>391</v>
      </c>
    </row>
    <row r="337" spans="1:86" ht="14.25">
      <c r="A337">
        <f t="shared" si="272"/>
        <v>5093402</v>
      </c>
      <c r="B337" s="2" t="s">
        <v>565</v>
      </c>
      <c r="C337" s="48" t="s">
        <v>566</v>
      </c>
      <c r="D337">
        <v>9</v>
      </c>
      <c r="E337">
        <v>4</v>
      </c>
      <c r="F337">
        <v>3</v>
      </c>
      <c r="G337" s="3" t="s">
        <v>567</v>
      </c>
      <c r="H337" s="3" t="s">
        <v>567</v>
      </c>
      <c r="I337" s="2">
        <v>0</v>
      </c>
      <c r="J337" s="8" t="s">
        <v>568</v>
      </c>
      <c r="K337" s="2">
        <f t="shared" si="273"/>
        <v>6</v>
      </c>
      <c r="L337" s="2">
        <f t="shared" si="260"/>
        <v>1.5</v>
      </c>
      <c r="M337" s="2">
        <f t="shared" si="260"/>
        <v>1.5</v>
      </c>
      <c r="N337" s="2">
        <v>10</v>
      </c>
      <c r="O337" s="2">
        <f t="shared" si="262"/>
        <v>457.47</v>
      </c>
      <c r="P337" s="2">
        <f t="shared" si="262"/>
        <v>23.33</v>
      </c>
      <c r="Q337" s="2">
        <f t="shared" si="262"/>
        <v>3248.31</v>
      </c>
      <c r="R337" s="2">
        <f t="shared" si="261"/>
        <v>165.66</v>
      </c>
      <c r="S337" s="2">
        <f t="shared" si="261"/>
        <v>65.349999999999994</v>
      </c>
      <c r="T337" s="2">
        <f t="shared" si="261"/>
        <v>4.9000000000000004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17">
        <v>534022</v>
      </c>
      <c r="AA337" s="14" t="s">
        <v>724</v>
      </c>
      <c r="AB337" s="15" t="s">
        <v>469</v>
      </c>
      <c r="AC337" s="2">
        <v>5103402</v>
      </c>
      <c r="AD337" s="2">
        <v>0</v>
      </c>
      <c r="AE337" s="2">
        <v>2</v>
      </c>
      <c r="AF337" s="2">
        <v>8</v>
      </c>
      <c r="AG337" s="2">
        <v>1</v>
      </c>
      <c r="AH337" s="2"/>
      <c r="AI337">
        <v>1</v>
      </c>
      <c r="AJ337" s="1">
        <f t="shared" si="263"/>
        <v>263.8686412287733</v>
      </c>
      <c r="AK337">
        <v>9</v>
      </c>
      <c r="AL337">
        <f t="shared" si="264"/>
        <v>397.79999999999995</v>
      </c>
      <c r="AM337">
        <f t="shared" si="265"/>
        <v>20.287799999999997</v>
      </c>
      <c r="AN337">
        <f t="shared" si="266"/>
        <v>2824.6153846153843</v>
      </c>
      <c r="AO337">
        <f t="shared" si="267"/>
        <v>144.05538461538458</v>
      </c>
      <c r="AP337">
        <f t="shared" si="268"/>
        <v>56.828571428571422</v>
      </c>
      <c r="AQ337">
        <f t="shared" si="269"/>
        <v>4.2621428571428561</v>
      </c>
      <c r="AR337">
        <f t="shared" si="270"/>
        <v>1.5</v>
      </c>
      <c r="AS337">
        <f t="shared" ref="AS337:AS400" si="275">ROUND(IF(INDEX($BO$5:$BO$60,MATCH($AU337,$BB$5:$BB$60,0))&lt;2,INDEX($BO$5:$BO$60,MATCH($AU337,$BB$5:$BB$60,0))+0.2,2),1)</f>
        <v>1.5</v>
      </c>
      <c r="AT337">
        <f t="shared" ref="AT337:AT400" si="276">INDEX($BK$5:$BK$60,MATCH($AU337,$BB$5:$BB$60,0))</f>
        <v>6</v>
      </c>
      <c r="AU337">
        <f t="shared" si="274"/>
        <v>4023</v>
      </c>
      <c r="AV337" s="1">
        <v>2</v>
      </c>
      <c r="AW337">
        <v>5</v>
      </c>
      <c r="AX337">
        <v>0.15</v>
      </c>
      <c r="AZ337">
        <v>4</v>
      </c>
      <c r="BA337">
        <v>3</v>
      </c>
      <c r="CG337" t="str">
        <f t="shared" si="271"/>
        <v>DATA_Class_Base34</v>
      </c>
      <c r="CH337" s="3" t="s">
        <v>184</v>
      </c>
    </row>
    <row r="338" spans="1:86" ht="14.25">
      <c r="A338">
        <f t="shared" si="272"/>
        <v>5093500</v>
      </c>
      <c r="B338" s="2" t="s">
        <v>570</v>
      </c>
      <c r="C338" s="48" t="s">
        <v>571</v>
      </c>
      <c r="D338">
        <v>9</v>
      </c>
      <c r="E338">
        <v>5</v>
      </c>
      <c r="F338">
        <v>3</v>
      </c>
      <c r="G338" s="3" t="s">
        <v>572</v>
      </c>
      <c r="H338" s="3" t="s">
        <v>572</v>
      </c>
      <c r="I338" s="2">
        <v>0</v>
      </c>
      <c r="J338" s="2" t="s">
        <v>303</v>
      </c>
      <c r="K338" s="2">
        <f t="shared" si="273"/>
        <v>6</v>
      </c>
      <c r="L338" s="2">
        <f t="shared" si="260"/>
        <v>1.5</v>
      </c>
      <c r="M338" s="2">
        <f t="shared" si="260"/>
        <v>2</v>
      </c>
      <c r="N338" s="2">
        <v>10</v>
      </c>
      <c r="O338" s="2">
        <f t="shared" si="262"/>
        <v>437.58</v>
      </c>
      <c r="P338" s="2">
        <f t="shared" si="262"/>
        <v>22.32</v>
      </c>
      <c r="Q338" s="2">
        <f t="shared" si="262"/>
        <v>3107.08</v>
      </c>
      <c r="R338" s="2">
        <f t="shared" si="261"/>
        <v>158.46</v>
      </c>
      <c r="S338" s="2">
        <f t="shared" si="261"/>
        <v>72.930000000000007</v>
      </c>
      <c r="T338" s="2">
        <f t="shared" si="261"/>
        <v>5.47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17">
        <v>535002</v>
      </c>
      <c r="AA338" s="14" t="s">
        <v>725</v>
      </c>
      <c r="AB338" s="15" t="s">
        <v>469</v>
      </c>
      <c r="AC338" s="2">
        <v>5103500</v>
      </c>
      <c r="AD338" s="2">
        <v>0</v>
      </c>
      <c r="AE338" s="2">
        <v>2</v>
      </c>
      <c r="AF338" s="2">
        <v>8</v>
      </c>
      <c r="AG338" s="2">
        <v>1</v>
      </c>
      <c r="AH338" s="2"/>
      <c r="AI338">
        <v>1</v>
      </c>
      <c r="AJ338" s="1">
        <f t="shared" si="263"/>
        <v>264.41374216237352</v>
      </c>
      <c r="AK338">
        <v>9</v>
      </c>
      <c r="AL338">
        <f t="shared" si="264"/>
        <v>397.79999999999995</v>
      </c>
      <c r="AM338">
        <f t="shared" si="265"/>
        <v>20.287799999999997</v>
      </c>
      <c r="AN338">
        <f t="shared" si="266"/>
        <v>2824.6153846153843</v>
      </c>
      <c r="AO338">
        <f t="shared" si="267"/>
        <v>144.05538461538458</v>
      </c>
      <c r="AP338">
        <f t="shared" si="268"/>
        <v>66.3</v>
      </c>
      <c r="AQ338">
        <f t="shared" si="269"/>
        <v>4.9724999999999993</v>
      </c>
      <c r="AR338">
        <f t="shared" si="270"/>
        <v>1.5</v>
      </c>
      <c r="AS338">
        <f t="shared" si="275"/>
        <v>2</v>
      </c>
      <c r="AT338">
        <f t="shared" si="276"/>
        <v>6</v>
      </c>
      <c r="AU338">
        <f t="shared" si="274"/>
        <v>5003</v>
      </c>
      <c r="AV338" s="1">
        <v>0</v>
      </c>
      <c r="AW338">
        <v>5</v>
      </c>
      <c r="AX338">
        <v>0.1</v>
      </c>
      <c r="AZ338">
        <v>5</v>
      </c>
      <c r="BA338">
        <v>3</v>
      </c>
      <c r="CG338" t="str">
        <f t="shared" si="271"/>
        <v>DATA_Class_Base35</v>
      </c>
      <c r="CH338" s="3" t="s">
        <v>195</v>
      </c>
    </row>
    <row r="339" spans="1:86" ht="14.25">
      <c r="A339">
        <f t="shared" si="272"/>
        <v>5093502</v>
      </c>
      <c r="B339" s="2" t="s">
        <v>574</v>
      </c>
      <c r="C339" s="48" t="s">
        <v>575</v>
      </c>
      <c r="D339">
        <v>9</v>
      </c>
      <c r="E339">
        <v>5</v>
      </c>
      <c r="F339">
        <v>3</v>
      </c>
      <c r="G339" s="3" t="s">
        <v>576</v>
      </c>
      <c r="H339" s="3" t="s">
        <v>576</v>
      </c>
      <c r="I339" s="2">
        <v>0</v>
      </c>
      <c r="J339" s="8" t="s">
        <v>577</v>
      </c>
      <c r="K339" s="2">
        <f t="shared" si="273"/>
        <v>6</v>
      </c>
      <c r="L339" s="2">
        <f t="shared" si="260"/>
        <v>1.4000000000000001</v>
      </c>
      <c r="M339" s="2">
        <f t="shared" si="260"/>
        <v>2</v>
      </c>
      <c r="N339" s="2">
        <v>10</v>
      </c>
      <c r="O339" s="2">
        <f t="shared" si="262"/>
        <v>424.12</v>
      </c>
      <c r="P339" s="2">
        <f t="shared" si="262"/>
        <v>21.63</v>
      </c>
      <c r="Q339" s="2">
        <f t="shared" si="262"/>
        <v>2992</v>
      </c>
      <c r="R339" s="2">
        <f t="shared" si="261"/>
        <v>152.59</v>
      </c>
      <c r="S339" s="2">
        <f t="shared" si="261"/>
        <v>70.69</v>
      </c>
      <c r="T339" s="2">
        <f t="shared" si="261"/>
        <v>5.3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17">
        <v>535022</v>
      </c>
      <c r="AA339" s="14" t="s">
        <v>726</v>
      </c>
      <c r="AB339" s="15" t="s">
        <v>469</v>
      </c>
      <c r="AC339" s="2">
        <v>5103502</v>
      </c>
      <c r="AD339" s="2">
        <v>0</v>
      </c>
      <c r="AE339" s="2">
        <v>2</v>
      </c>
      <c r="AF339" s="2">
        <v>8</v>
      </c>
      <c r="AG339" s="2">
        <v>1</v>
      </c>
      <c r="AI339">
        <v>1</v>
      </c>
      <c r="AJ339" s="1">
        <f t="shared" si="263"/>
        <v>264.29614559261296</v>
      </c>
      <c r="AK339">
        <v>9</v>
      </c>
      <c r="AL339">
        <f t="shared" si="264"/>
        <v>385.55999999999995</v>
      </c>
      <c r="AM339">
        <f t="shared" si="265"/>
        <v>19.663559999999997</v>
      </c>
      <c r="AN339">
        <f t="shared" si="266"/>
        <v>2719.9999999999995</v>
      </c>
      <c r="AO339">
        <f t="shared" si="267"/>
        <v>138.71999999999997</v>
      </c>
      <c r="AP339">
        <f t="shared" si="268"/>
        <v>64.259999999999991</v>
      </c>
      <c r="AQ339">
        <f t="shared" si="269"/>
        <v>4.8194999999999988</v>
      </c>
      <c r="AR339">
        <f t="shared" si="270"/>
        <v>1.4</v>
      </c>
      <c r="AS339">
        <f t="shared" si="275"/>
        <v>2</v>
      </c>
      <c r="AT339">
        <f t="shared" si="276"/>
        <v>6</v>
      </c>
      <c r="AU339">
        <f t="shared" si="274"/>
        <v>5023</v>
      </c>
      <c r="AV339" s="1">
        <v>2</v>
      </c>
      <c r="AW339">
        <v>5</v>
      </c>
      <c r="AX339">
        <v>0.1</v>
      </c>
      <c r="AZ339">
        <v>5</v>
      </c>
      <c r="BA339">
        <v>3</v>
      </c>
      <c r="CG339" t="str">
        <f t="shared" si="271"/>
        <v>DATA_Class_Base36</v>
      </c>
      <c r="CH339" s="3" t="s">
        <v>201</v>
      </c>
    </row>
    <row r="340" spans="1:86" ht="14.25">
      <c r="A340">
        <f t="shared" si="272"/>
        <v>5093601</v>
      </c>
      <c r="B340" s="2" t="s">
        <v>579</v>
      </c>
      <c r="C340" s="48" t="s">
        <v>580</v>
      </c>
      <c r="D340">
        <v>9</v>
      </c>
      <c r="E340">
        <v>6</v>
      </c>
      <c r="F340">
        <v>3</v>
      </c>
      <c r="G340" s="3" t="s">
        <v>581</v>
      </c>
      <c r="H340" s="3" t="s">
        <v>581</v>
      </c>
      <c r="I340">
        <v>0</v>
      </c>
      <c r="J340" s="2" t="s">
        <v>309</v>
      </c>
      <c r="K340" s="2">
        <f t="shared" si="273"/>
        <v>6</v>
      </c>
      <c r="L340" s="2">
        <f t="shared" si="260"/>
        <v>1.5</v>
      </c>
      <c r="M340" s="2">
        <f t="shared" si="260"/>
        <v>2</v>
      </c>
      <c r="N340" s="2">
        <v>10</v>
      </c>
      <c r="O340" s="2">
        <f t="shared" si="262"/>
        <v>302.94</v>
      </c>
      <c r="P340" s="2">
        <f t="shared" si="262"/>
        <v>15.45</v>
      </c>
      <c r="Q340" s="2">
        <f t="shared" si="262"/>
        <v>4488</v>
      </c>
      <c r="R340" s="2">
        <f t="shared" si="261"/>
        <v>228.89</v>
      </c>
      <c r="S340" s="2">
        <f t="shared" si="261"/>
        <v>75.739999999999995</v>
      </c>
      <c r="T340" s="2">
        <f t="shared" si="261"/>
        <v>5.68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17">
        <v>536012</v>
      </c>
      <c r="AA340" s="14" t="s">
        <v>727</v>
      </c>
      <c r="AB340" s="15" t="s">
        <v>469</v>
      </c>
      <c r="AC340" s="2">
        <v>5103601</v>
      </c>
      <c r="AD340" s="2">
        <v>0</v>
      </c>
      <c r="AE340" s="2">
        <v>2</v>
      </c>
      <c r="AF340" s="2">
        <v>8</v>
      </c>
      <c r="AG340" s="2">
        <v>1</v>
      </c>
      <c r="AI340">
        <v>1</v>
      </c>
      <c r="AJ340" s="1">
        <f t="shared" si="263"/>
        <v>264.56088511688392</v>
      </c>
      <c r="AK340">
        <v>9</v>
      </c>
      <c r="AL340">
        <f t="shared" si="264"/>
        <v>275.39999999999998</v>
      </c>
      <c r="AM340">
        <f t="shared" si="265"/>
        <v>14.045399999999997</v>
      </c>
      <c r="AN340">
        <f t="shared" si="266"/>
        <v>4079.9999999999995</v>
      </c>
      <c r="AO340">
        <f t="shared" si="267"/>
        <v>208.07999999999996</v>
      </c>
      <c r="AP340">
        <f t="shared" si="268"/>
        <v>68.849999999999994</v>
      </c>
      <c r="AQ340">
        <f t="shared" si="269"/>
        <v>5.1637499999999994</v>
      </c>
      <c r="AR340">
        <f t="shared" si="270"/>
        <v>1.5</v>
      </c>
      <c r="AS340">
        <f t="shared" si="275"/>
        <v>2</v>
      </c>
      <c r="AT340">
        <f t="shared" si="276"/>
        <v>6</v>
      </c>
      <c r="AU340">
        <f t="shared" si="274"/>
        <v>6013</v>
      </c>
      <c r="AV340" s="1">
        <v>1</v>
      </c>
      <c r="AW340">
        <v>5</v>
      </c>
      <c r="AX340">
        <v>0.1</v>
      </c>
      <c r="AZ340">
        <v>6</v>
      </c>
      <c r="BA340">
        <v>3</v>
      </c>
      <c r="CA340" s="13"/>
      <c r="CB340" s="13"/>
      <c r="CC340" s="13"/>
      <c r="CG340" t="str">
        <f t="shared" si="271"/>
        <v>DATA_Class_Base29</v>
      </c>
      <c r="CH340" s="3" t="s">
        <v>378</v>
      </c>
    </row>
    <row r="341" spans="1:86" ht="14.25">
      <c r="A341">
        <f t="shared" si="272"/>
        <v>5094201</v>
      </c>
      <c r="B341" s="2" t="s">
        <v>583</v>
      </c>
      <c r="C341" s="48" t="s">
        <v>584</v>
      </c>
      <c r="D341">
        <v>9</v>
      </c>
      <c r="E341">
        <v>2</v>
      </c>
      <c r="F341">
        <v>4</v>
      </c>
      <c r="G341" s="3" t="s">
        <v>585</v>
      </c>
      <c r="H341" s="3" t="s">
        <v>585</v>
      </c>
      <c r="I341" s="30">
        <v>0</v>
      </c>
      <c r="J341" s="8" t="s">
        <v>298</v>
      </c>
      <c r="K341" s="2">
        <f t="shared" si="273"/>
        <v>3</v>
      </c>
      <c r="L341" s="2">
        <f t="shared" si="260"/>
        <v>1.8</v>
      </c>
      <c r="M341" s="2">
        <f t="shared" si="260"/>
        <v>1.8</v>
      </c>
      <c r="N341" s="2">
        <v>10</v>
      </c>
      <c r="O341" s="2">
        <f t="shared" si="262"/>
        <v>352.51</v>
      </c>
      <c r="P341" s="2">
        <f t="shared" si="262"/>
        <v>17.98</v>
      </c>
      <c r="Q341" s="2">
        <f t="shared" si="262"/>
        <v>5508</v>
      </c>
      <c r="R341" s="2">
        <f t="shared" si="261"/>
        <v>280.91000000000003</v>
      </c>
      <c r="S341" s="2">
        <f t="shared" si="261"/>
        <v>130.56</v>
      </c>
      <c r="T341" s="2">
        <f t="shared" si="261"/>
        <v>9.7899999999999991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17">
        <v>542012</v>
      </c>
      <c r="AA341" s="15" t="s">
        <v>728</v>
      </c>
      <c r="AB341" s="15" t="s">
        <v>469</v>
      </c>
      <c r="AC341" s="2">
        <v>5104201</v>
      </c>
      <c r="AD341" s="2">
        <v>0</v>
      </c>
      <c r="AE341" s="2">
        <v>1</v>
      </c>
      <c r="AF341" s="2">
        <v>5064201</v>
      </c>
      <c r="AG341" s="2">
        <v>1</v>
      </c>
      <c r="AH341" s="2"/>
      <c r="AI341">
        <v>1</v>
      </c>
      <c r="AJ341" s="1">
        <f t="shared" si="263"/>
        <v>266.88769339870248</v>
      </c>
      <c r="AK341">
        <v>9</v>
      </c>
      <c r="AL341">
        <f t="shared" si="264"/>
        <v>293.76</v>
      </c>
      <c r="AM341">
        <f t="shared" si="265"/>
        <v>14.981759999999998</v>
      </c>
      <c r="AN341">
        <f t="shared" si="266"/>
        <v>4590</v>
      </c>
      <c r="AO341">
        <f t="shared" si="267"/>
        <v>234.08999999999997</v>
      </c>
      <c r="AP341">
        <f t="shared" si="268"/>
        <v>108.79999999999998</v>
      </c>
      <c r="AQ341">
        <f t="shared" si="269"/>
        <v>8.1599999999999984</v>
      </c>
      <c r="AR341">
        <f t="shared" si="270"/>
        <v>1.8</v>
      </c>
      <c r="AS341">
        <f t="shared" si="275"/>
        <v>1.8</v>
      </c>
      <c r="AT341">
        <f t="shared" si="276"/>
        <v>3</v>
      </c>
      <c r="AU341">
        <f t="shared" si="274"/>
        <v>2014</v>
      </c>
      <c r="AV341" s="1">
        <v>1</v>
      </c>
      <c r="AW341">
        <v>5</v>
      </c>
      <c r="AX341">
        <v>0.2</v>
      </c>
      <c r="AZ341">
        <v>2</v>
      </c>
      <c r="BA341">
        <v>4</v>
      </c>
      <c r="CA341" s="13"/>
      <c r="CB341" s="13"/>
      <c r="CC341" s="13"/>
      <c r="CG341" t="str">
        <f t="shared" si="271"/>
        <v>DATA_Class_Base41</v>
      </c>
      <c r="CH341" s="3" t="s">
        <v>413</v>
      </c>
    </row>
    <row r="342" spans="1:86" ht="14.25">
      <c r="A342">
        <f t="shared" si="272"/>
        <v>5094302</v>
      </c>
      <c r="B342" s="2" t="s">
        <v>587</v>
      </c>
      <c r="C342" s="48" t="s">
        <v>588</v>
      </c>
      <c r="D342">
        <v>9</v>
      </c>
      <c r="E342">
        <v>3</v>
      </c>
      <c r="F342">
        <v>4</v>
      </c>
      <c r="G342" s="3" t="s">
        <v>589</v>
      </c>
      <c r="H342" s="3" t="s">
        <v>589</v>
      </c>
      <c r="I342" s="30">
        <v>0</v>
      </c>
      <c r="J342" s="8" t="s">
        <v>590</v>
      </c>
      <c r="K342" s="2">
        <f t="shared" si="273"/>
        <v>3</v>
      </c>
      <c r="L342" s="2">
        <f t="shared" si="260"/>
        <v>1.4000000000000001</v>
      </c>
      <c r="M342" s="2">
        <f t="shared" si="260"/>
        <v>2</v>
      </c>
      <c r="N342" s="2">
        <v>10</v>
      </c>
      <c r="O342" s="2">
        <f t="shared" si="262"/>
        <v>361.28</v>
      </c>
      <c r="P342" s="2">
        <f t="shared" si="262"/>
        <v>18.43</v>
      </c>
      <c r="Q342" s="2">
        <f t="shared" si="262"/>
        <v>3838.91</v>
      </c>
      <c r="R342" s="2">
        <f t="shared" si="261"/>
        <v>195.78</v>
      </c>
      <c r="S342" s="2">
        <f t="shared" si="261"/>
        <v>90.32</v>
      </c>
      <c r="T342" s="2">
        <f t="shared" si="261"/>
        <v>6.77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17">
        <v>543022</v>
      </c>
      <c r="AA342" s="15" t="s">
        <v>729</v>
      </c>
      <c r="AB342" s="15" t="s">
        <v>469</v>
      </c>
      <c r="AC342" s="2">
        <v>5104302</v>
      </c>
      <c r="AD342" s="2">
        <v>0</v>
      </c>
      <c r="AE342" s="2">
        <v>1</v>
      </c>
      <c r="AF342" s="2">
        <v>5064302</v>
      </c>
      <c r="AG342" s="2">
        <v>1</v>
      </c>
      <c r="AH342" s="2"/>
      <c r="AI342">
        <v>1</v>
      </c>
      <c r="AJ342" s="1">
        <f t="shared" si="263"/>
        <v>265.12152505901901</v>
      </c>
      <c r="AK342">
        <v>9</v>
      </c>
      <c r="AL342">
        <f t="shared" si="264"/>
        <v>314.15999999999997</v>
      </c>
      <c r="AM342">
        <f t="shared" si="265"/>
        <v>16.022159999999996</v>
      </c>
      <c r="AN342">
        <f t="shared" si="266"/>
        <v>3338.1818181818176</v>
      </c>
      <c r="AO342">
        <f t="shared" si="267"/>
        <v>170.24727272727267</v>
      </c>
      <c r="AP342">
        <f t="shared" si="268"/>
        <v>78.539999999999992</v>
      </c>
      <c r="AQ342">
        <f t="shared" si="269"/>
        <v>5.8904999999999994</v>
      </c>
      <c r="AR342">
        <f t="shared" si="270"/>
        <v>1.4</v>
      </c>
      <c r="AS342">
        <f t="shared" si="275"/>
        <v>2</v>
      </c>
      <c r="AT342">
        <f t="shared" si="276"/>
        <v>3</v>
      </c>
      <c r="AU342">
        <f t="shared" si="274"/>
        <v>3024</v>
      </c>
      <c r="AV342" s="1">
        <v>2</v>
      </c>
      <c r="AW342">
        <v>5</v>
      </c>
      <c r="AX342">
        <v>0.15</v>
      </c>
      <c r="AZ342">
        <v>3</v>
      </c>
      <c r="BA342">
        <v>4</v>
      </c>
      <c r="BZ342" t="str">
        <f t="shared" ref="BZ342:BZ344" si="277">CA342&amp;","&amp;CB342&amp;","&amp;CC342</f>
        <v>1545011,2545011,3545011</v>
      </c>
      <c r="CA342" s="13">
        <v>1545011</v>
      </c>
      <c r="CB342" s="13">
        <v>2545011</v>
      </c>
      <c r="CC342" s="13">
        <v>3545011</v>
      </c>
      <c r="CG342" t="str">
        <f t="shared" si="271"/>
        <v>DATA_Class_Base37</v>
      </c>
      <c r="CH342" s="3" t="s">
        <v>402</v>
      </c>
    </row>
    <row r="343" spans="1:86" ht="14.25">
      <c r="A343" s="49">
        <f t="shared" si="272"/>
        <v>5094501</v>
      </c>
      <c r="B343" s="2" t="s">
        <v>592</v>
      </c>
      <c r="C343" s="48" t="s">
        <v>593</v>
      </c>
      <c r="D343">
        <v>9</v>
      </c>
      <c r="E343">
        <v>5</v>
      </c>
      <c r="F343">
        <v>4</v>
      </c>
      <c r="G343" s="3" t="s">
        <v>594</v>
      </c>
      <c r="H343" s="3" t="s">
        <v>594</v>
      </c>
      <c r="I343">
        <v>0</v>
      </c>
      <c r="J343" s="2" t="s">
        <v>334</v>
      </c>
      <c r="K343" s="2">
        <f t="shared" si="273"/>
        <v>6</v>
      </c>
      <c r="L343" s="2">
        <f t="shared" si="260"/>
        <v>1.6</v>
      </c>
      <c r="M343" s="2">
        <f t="shared" si="260"/>
        <v>2</v>
      </c>
      <c r="N343" s="2">
        <v>10</v>
      </c>
      <c r="O343" s="2">
        <f t="shared" si="262"/>
        <v>487.97</v>
      </c>
      <c r="P343" s="2">
        <f t="shared" si="262"/>
        <v>24.89</v>
      </c>
      <c r="Q343" s="2">
        <f t="shared" si="262"/>
        <v>3248.31</v>
      </c>
      <c r="R343" s="2">
        <f t="shared" si="261"/>
        <v>165.66</v>
      </c>
      <c r="S343" s="2">
        <f t="shared" si="261"/>
        <v>69.709999999999994</v>
      </c>
      <c r="T343" s="2">
        <f t="shared" si="261"/>
        <v>5.23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17">
        <v>545012</v>
      </c>
      <c r="AA343" s="14" t="s">
        <v>730</v>
      </c>
      <c r="AB343" s="15" t="s">
        <v>469</v>
      </c>
      <c r="AC343" s="2">
        <v>5104501</v>
      </c>
      <c r="AD343" s="2">
        <v>0</v>
      </c>
      <c r="AE343" s="2">
        <v>1</v>
      </c>
      <c r="AF343" s="2">
        <v>5064501</v>
      </c>
      <c r="AG343" s="2">
        <v>1</v>
      </c>
      <c r="AH343" s="2"/>
      <c r="AI343">
        <v>1</v>
      </c>
      <c r="AJ343" s="1">
        <f t="shared" si="263"/>
        <v>264.08641167955301</v>
      </c>
      <c r="AK343">
        <v>9</v>
      </c>
      <c r="AL343">
        <f t="shared" si="264"/>
        <v>424.32</v>
      </c>
      <c r="AM343">
        <f t="shared" si="265"/>
        <v>21.640319999999999</v>
      </c>
      <c r="AN343">
        <f t="shared" si="266"/>
        <v>2824.6153846153843</v>
      </c>
      <c r="AO343">
        <f t="shared" si="267"/>
        <v>144.05538461538458</v>
      </c>
      <c r="AP343">
        <f t="shared" si="268"/>
        <v>60.617142857142859</v>
      </c>
      <c r="AQ343">
        <f t="shared" si="269"/>
        <v>4.5462857142857143</v>
      </c>
      <c r="AR343">
        <f t="shared" si="270"/>
        <v>1.6</v>
      </c>
      <c r="AS343">
        <f t="shared" si="275"/>
        <v>2</v>
      </c>
      <c r="AT343">
        <f t="shared" si="276"/>
        <v>6</v>
      </c>
      <c r="AU343">
        <f t="shared" si="274"/>
        <v>5014</v>
      </c>
      <c r="AV343" s="1">
        <v>1</v>
      </c>
      <c r="AW343">
        <v>5</v>
      </c>
      <c r="AX343">
        <v>0.15</v>
      </c>
      <c r="AZ343">
        <v>5</v>
      </c>
      <c r="BA343">
        <v>4</v>
      </c>
      <c r="BZ343" t="str">
        <f t="shared" si="277"/>
        <v>1546001,2546001,3546001</v>
      </c>
      <c r="CA343" s="13">
        <v>1546001</v>
      </c>
      <c r="CB343" s="13">
        <v>2546001</v>
      </c>
      <c r="CC343" s="13">
        <v>3546001</v>
      </c>
      <c r="CG343" t="str">
        <f t="shared" si="271"/>
        <v>DATA_Class_Base38</v>
      </c>
      <c r="CH343" s="3" t="s">
        <v>198</v>
      </c>
    </row>
    <row r="344" spans="1:86" ht="14.25">
      <c r="A344" s="49">
        <f t="shared" si="272"/>
        <v>5094600</v>
      </c>
      <c r="B344" s="2" t="s">
        <v>596</v>
      </c>
      <c r="C344" s="48" t="s">
        <v>597</v>
      </c>
      <c r="D344">
        <v>9</v>
      </c>
      <c r="E344">
        <v>6</v>
      </c>
      <c r="F344">
        <v>4</v>
      </c>
      <c r="G344" s="3" t="s">
        <v>598</v>
      </c>
      <c r="H344" s="3" t="s">
        <v>598</v>
      </c>
      <c r="I344" s="2">
        <v>0</v>
      </c>
      <c r="J344" s="2" t="s">
        <v>339</v>
      </c>
      <c r="K344" s="2">
        <f t="shared" si="273"/>
        <v>3</v>
      </c>
      <c r="L344" s="2">
        <f t="shared" si="260"/>
        <v>1.4000000000000001</v>
      </c>
      <c r="M344" s="2">
        <f t="shared" si="260"/>
        <v>1.9000000000000001</v>
      </c>
      <c r="N344" s="2">
        <v>10</v>
      </c>
      <c r="O344" s="2">
        <f t="shared" si="262"/>
        <v>361.28</v>
      </c>
      <c r="P344" s="2">
        <f t="shared" si="262"/>
        <v>18.43</v>
      </c>
      <c r="Q344" s="2">
        <f t="shared" si="262"/>
        <v>3838.91</v>
      </c>
      <c r="R344" s="2">
        <f t="shared" si="261"/>
        <v>195.78</v>
      </c>
      <c r="S344" s="2">
        <f t="shared" si="261"/>
        <v>90.32</v>
      </c>
      <c r="T344" s="2">
        <f t="shared" si="261"/>
        <v>6.77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17">
        <v>546002</v>
      </c>
      <c r="AA344" s="14" t="s">
        <v>731</v>
      </c>
      <c r="AB344" s="15" t="s">
        <v>469</v>
      </c>
      <c r="AC344" s="2">
        <v>5104600</v>
      </c>
      <c r="AD344" s="2">
        <v>0</v>
      </c>
      <c r="AE344" s="2">
        <v>1</v>
      </c>
      <c r="AF344" s="2">
        <v>5064600</v>
      </c>
      <c r="AG344" s="2">
        <v>1</v>
      </c>
      <c r="AH344" s="2"/>
      <c r="AI344">
        <v>1</v>
      </c>
      <c r="AJ344" s="1">
        <f t="shared" si="263"/>
        <v>265.12152505901901</v>
      </c>
      <c r="AK344">
        <v>9</v>
      </c>
      <c r="AL344">
        <f t="shared" si="264"/>
        <v>314.15999999999997</v>
      </c>
      <c r="AM344">
        <f t="shared" si="265"/>
        <v>16.022159999999996</v>
      </c>
      <c r="AN344">
        <f t="shared" si="266"/>
        <v>3338.1818181818176</v>
      </c>
      <c r="AO344">
        <f t="shared" si="267"/>
        <v>170.24727272727267</v>
      </c>
      <c r="AP344">
        <f t="shared" si="268"/>
        <v>78.539999999999992</v>
      </c>
      <c r="AQ344">
        <f t="shared" si="269"/>
        <v>5.8904999999999994</v>
      </c>
      <c r="AR344">
        <f t="shared" si="270"/>
        <v>1.4</v>
      </c>
      <c r="AS344">
        <f t="shared" si="275"/>
        <v>1.9</v>
      </c>
      <c r="AT344">
        <f t="shared" si="276"/>
        <v>3</v>
      </c>
      <c r="AU344">
        <f t="shared" si="274"/>
        <v>6004</v>
      </c>
      <c r="AV344" s="1">
        <v>0</v>
      </c>
      <c r="AW344">
        <v>5</v>
      </c>
      <c r="AX344">
        <v>0.15</v>
      </c>
      <c r="AZ344">
        <v>6</v>
      </c>
      <c r="BA344">
        <v>4</v>
      </c>
      <c r="BZ344" t="str">
        <f t="shared" si="277"/>
        <v>1546021,2546021,3546021</v>
      </c>
      <c r="CA344" s="13">
        <v>1546021</v>
      </c>
      <c r="CB344" s="13">
        <v>2546021</v>
      </c>
      <c r="CC344" s="13">
        <v>3546021</v>
      </c>
      <c r="CG344" t="str">
        <f t="shared" si="271"/>
        <v>DATA_Class_Base39</v>
      </c>
      <c r="CH344" s="3" t="s">
        <v>407</v>
      </c>
    </row>
    <row r="345" spans="1:86" ht="14.25">
      <c r="A345">
        <f t="shared" si="272"/>
        <v>5094602</v>
      </c>
      <c r="B345" s="2" t="s">
        <v>600</v>
      </c>
      <c r="C345" s="48" t="s">
        <v>601</v>
      </c>
      <c r="D345">
        <v>9</v>
      </c>
      <c r="E345">
        <v>6</v>
      </c>
      <c r="F345">
        <v>4</v>
      </c>
      <c r="G345" s="3" t="s">
        <v>602</v>
      </c>
      <c r="H345" s="3" t="s">
        <v>602</v>
      </c>
      <c r="I345" t="s">
        <v>345</v>
      </c>
      <c r="J345" s="2" t="s">
        <v>346</v>
      </c>
      <c r="K345" s="2">
        <f t="shared" si="273"/>
        <v>6</v>
      </c>
      <c r="L345" s="2">
        <f t="shared" si="260"/>
        <v>1.8</v>
      </c>
      <c r="M345" s="2">
        <f t="shared" si="260"/>
        <v>2</v>
      </c>
      <c r="N345" s="2">
        <v>10</v>
      </c>
      <c r="O345" s="2">
        <f t="shared" si="262"/>
        <v>440.64</v>
      </c>
      <c r="P345" s="2">
        <f t="shared" si="262"/>
        <v>22.47</v>
      </c>
      <c r="Q345" s="2">
        <f t="shared" si="262"/>
        <v>4406.3999999999996</v>
      </c>
      <c r="R345" s="2">
        <f t="shared" si="261"/>
        <v>224.73</v>
      </c>
      <c r="S345" s="2">
        <f t="shared" si="261"/>
        <v>88.13</v>
      </c>
      <c r="T345" s="2">
        <f t="shared" si="261"/>
        <v>6.61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17">
        <v>546022</v>
      </c>
      <c r="AA345" s="55" t="s">
        <v>1724</v>
      </c>
      <c r="AB345" s="15" t="s">
        <v>469</v>
      </c>
      <c r="AC345" s="2">
        <v>5104602</v>
      </c>
      <c r="AD345" s="2">
        <v>0</v>
      </c>
      <c r="AE345" s="2">
        <v>1</v>
      </c>
      <c r="AF345" s="2">
        <v>5064602</v>
      </c>
      <c r="AG345" s="2">
        <v>1</v>
      </c>
      <c r="AH345" s="2"/>
      <c r="AI345">
        <v>1</v>
      </c>
      <c r="AJ345" s="1">
        <f t="shared" si="263"/>
        <v>264.82615554023812</v>
      </c>
      <c r="AK345">
        <v>9</v>
      </c>
      <c r="AL345">
        <f t="shared" si="264"/>
        <v>367.2</v>
      </c>
      <c r="AM345">
        <f t="shared" si="265"/>
        <v>18.7272</v>
      </c>
      <c r="AN345">
        <f t="shared" si="266"/>
        <v>3671.9999999999995</v>
      </c>
      <c r="AO345">
        <f t="shared" si="267"/>
        <v>187.27199999999996</v>
      </c>
      <c r="AP345">
        <f t="shared" si="268"/>
        <v>73.44</v>
      </c>
      <c r="AQ345">
        <f t="shared" si="269"/>
        <v>5.508</v>
      </c>
      <c r="AR345">
        <f t="shared" si="270"/>
        <v>1.8</v>
      </c>
      <c r="AS345">
        <f t="shared" si="275"/>
        <v>2</v>
      </c>
      <c r="AT345">
        <f t="shared" si="276"/>
        <v>6</v>
      </c>
      <c r="AU345">
        <f t="shared" si="274"/>
        <v>6024</v>
      </c>
      <c r="AV345" s="1">
        <v>2</v>
      </c>
      <c r="AW345">
        <v>5</v>
      </c>
      <c r="AX345">
        <v>0.2</v>
      </c>
      <c r="AZ345">
        <v>6</v>
      </c>
      <c r="BA345">
        <v>4</v>
      </c>
      <c r="CA345" s="13"/>
      <c r="CB345" s="13"/>
      <c r="CC345" s="13"/>
      <c r="CG345" t="str">
        <f t="shared" si="271"/>
        <v>DATA_Class_Base30</v>
      </c>
      <c r="CH345" s="3" t="s">
        <v>381</v>
      </c>
    </row>
    <row r="346" spans="1:86" ht="14.25">
      <c r="A346">
        <f t="shared" si="272"/>
        <v>5095202</v>
      </c>
      <c r="B346" s="2" t="s">
        <v>604</v>
      </c>
      <c r="C346" s="48" t="s">
        <v>605</v>
      </c>
      <c r="D346">
        <v>9</v>
      </c>
      <c r="E346">
        <v>2</v>
      </c>
      <c r="F346">
        <v>5</v>
      </c>
      <c r="G346" s="3" t="s">
        <v>606</v>
      </c>
      <c r="H346" s="3" t="s">
        <v>606</v>
      </c>
      <c r="I346" s="3">
        <v>0</v>
      </c>
      <c r="J346" s="8" t="s">
        <v>607</v>
      </c>
      <c r="K346" s="2">
        <f t="shared" si="273"/>
        <v>3</v>
      </c>
      <c r="L346" s="2">
        <f t="shared" si="260"/>
        <v>1.6</v>
      </c>
      <c r="M346" s="2">
        <f t="shared" si="260"/>
        <v>2</v>
      </c>
      <c r="N346" s="2">
        <v>10</v>
      </c>
      <c r="O346" s="2">
        <f t="shared" si="262"/>
        <v>375.36</v>
      </c>
      <c r="P346" s="2">
        <f t="shared" si="262"/>
        <v>19.14</v>
      </c>
      <c r="Q346" s="2">
        <f t="shared" si="262"/>
        <v>4222.8</v>
      </c>
      <c r="R346" s="2">
        <f t="shared" si="261"/>
        <v>215.36</v>
      </c>
      <c r="S346" s="2">
        <f t="shared" si="261"/>
        <v>125.12</v>
      </c>
      <c r="T346" s="2">
        <f t="shared" si="261"/>
        <v>9.3800000000000008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17">
        <v>552022</v>
      </c>
      <c r="AA346" s="15" t="s">
        <v>733</v>
      </c>
      <c r="AB346" s="15" t="s">
        <v>469</v>
      </c>
      <c r="AC346" s="2">
        <v>5105202</v>
      </c>
      <c r="AD346" s="2">
        <v>0</v>
      </c>
      <c r="AE346" s="2">
        <v>1</v>
      </c>
      <c r="AF346" s="2">
        <v>5065202</v>
      </c>
      <c r="AG346" s="2">
        <v>1</v>
      </c>
      <c r="AH346" s="2"/>
      <c r="AI346">
        <v>1</v>
      </c>
      <c r="AJ346" s="1">
        <f t="shared" si="263"/>
        <v>266.88769339870237</v>
      </c>
      <c r="AK346">
        <v>9</v>
      </c>
      <c r="AL346">
        <f t="shared" si="264"/>
        <v>326.39999999999998</v>
      </c>
      <c r="AM346">
        <f t="shared" si="265"/>
        <v>16.646399999999996</v>
      </c>
      <c r="AN346">
        <f t="shared" si="266"/>
        <v>3671.9999999999995</v>
      </c>
      <c r="AO346">
        <f t="shared" si="267"/>
        <v>187.27199999999996</v>
      </c>
      <c r="AP346">
        <f t="shared" si="268"/>
        <v>108.8</v>
      </c>
      <c r="AQ346">
        <f t="shared" si="269"/>
        <v>8.16</v>
      </c>
      <c r="AR346">
        <f t="shared" si="270"/>
        <v>1.6</v>
      </c>
      <c r="AS346">
        <f t="shared" si="275"/>
        <v>2</v>
      </c>
      <c r="AT346">
        <f t="shared" si="276"/>
        <v>3</v>
      </c>
      <c r="AU346">
        <f t="shared" si="274"/>
        <v>2025</v>
      </c>
      <c r="AV346" s="1">
        <v>2</v>
      </c>
      <c r="AW346">
        <v>5</v>
      </c>
      <c r="AX346">
        <v>0.15</v>
      </c>
      <c r="AZ346">
        <v>2</v>
      </c>
      <c r="BA346">
        <v>5</v>
      </c>
      <c r="BZ346" t="str">
        <f t="shared" ref="BZ346:BZ348" si="278">CA346&amp;","&amp;CB346&amp;","&amp;CC346</f>
        <v>1553001,2553001,3553001</v>
      </c>
      <c r="CA346" s="13">
        <v>1553001</v>
      </c>
      <c r="CB346" s="13">
        <v>2553001</v>
      </c>
      <c r="CC346" s="13">
        <v>3553001</v>
      </c>
      <c r="CG346" t="str">
        <f t="shared" si="271"/>
        <v>DATA_Class_Base40</v>
      </c>
      <c r="CH346" s="3" t="s">
        <v>411</v>
      </c>
    </row>
    <row r="347" spans="1:86" ht="14.25">
      <c r="A347" s="49">
        <f t="shared" si="272"/>
        <v>5095300</v>
      </c>
      <c r="B347" s="2" t="s">
        <v>609</v>
      </c>
      <c r="C347" s="48" t="s">
        <v>610</v>
      </c>
      <c r="D347">
        <v>9</v>
      </c>
      <c r="E347">
        <v>3</v>
      </c>
      <c r="F347">
        <v>5</v>
      </c>
      <c r="G347" s="3" t="s">
        <v>611</v>
      </c>
      <c r="H347" s="3" t="s">
        <v>611</v>
      </c>
      <c r="I347" s="2">
        <v>0</v>
      </c>
      <c r="J347" s="8" t="s">
        <v>612</v>
      </c>
      <c r="K347" s="2">
        <f t="shared" si="273"/>
        <v>3</v>
      </c>
      <c r="L347" s="2">
        <f t="shared" si="260"/>
        <v>1.3</v>
      </c>
      <c r="M347" s="2">
        <f t="shared" si="260"/>
        <v>2</v>
      </c>
      <c r="N347" s="2">
        <v>10</v>
      </c>
      <c r="O347" s="2">
        <f t="shared" si="262"/>
        <v>365.98</v>
      </c>
      <c r="P347" s="2">
        <f t="shared" si="262"/>
        <v>18.66</v>
      </c>
      <c r="Q347" s="2">
        <f t="shared" si="262"/>
        <v>3831.65</v>
      </c>
      <c r="R347" s="2">
        <f t="shared" si="261"/>
        <v>195.41</v>
      </c>
      <c r="S347" s="2">
        <f t="shared" si="261"/>
        <v>91.49</v>
      </c>
      <c r="T347" s="2">
        <f t="shared" si="261"/>
        <v>6.86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17">
        <v>553002</v>
      </c>
      <c r="AA347" s="14" t="s">
        <v>734</v>
      </c>
      <c r="AB347" s="15" t="s">
        <v>469</v>
      </c>
      <c r="AC347" s="2">
        <v>5105300</v>
      </c>
      <c r="AD347" s="2">
        <v>0</v>
      </c>
      <c r="AE347" s="2">
        <v>1</v>
      </c>
      <c r="AF347" s="2">
        <v>5065300</v>
      </c>
      <c r="AG347" s="2">
        <v>1</v>
      </c>
      <c r="AH347" s="2"/>
      <c r="AI347">
        <v>1</v>
      </c>
      <c r="AJ347" s="1">
        <f t="shared" si="263"/>
        <v>264.98852728116884</v>
      </c>
      <c r="AK347">
        <v>9</v>
      </c>
      <c r="AL347">
        <f t="shared" si="264"/>
        <v>304.97999999999996</v>
      </c>
      <c r="AM347">
        <f t="shared" si="265"/>
        <v>15.553979999999997</v>
      </c>
      <c r="AN347">
        <f t="shared" si="266"/>
        <v>3193.04347826087</v>
      </c>
      <c r="AO347">
        <f t="shared" si="267"/>
        <v>162.84521739130435</v>
      </c>
      <c r="AP347">
        <f t="shared" si="268"/>
        <v>76.24499999999999</v>
      </c>
      <c r="AQ347">
        <f t="shared" si="269"/>
        <v>5.7183749999999991</v>
      </c>
      <c r="AR347">
        <f t="shared" si="270"/>
        <v>1.3</v>
      </c>
      <c r="AS347">
        <f t="shared" si="275"/>
        <v>2</v>
      </c>
      <c r="AT347">
        <f t="shared" si="276"/>
        <v>3</v>
      </c>
      <c r="AU347">
        <f t="shared" si="274"/>
        <v>3005</v>
      </c>
      <c r="AV347" s="1">
        <v>0</v>
      </c>
      <c r="AW347">
        <v>5</v>
      </c>
      <c r="AX347">
        <v>0.2</v>
      </c>
      <c r="AZ347">
        <v>3</v>
      </c>
      <c r="BA347">
        <v>5</v>
      </c>
      <c r="BZ347" t="str">
        <f t="shared" si="278"/>
        <v>1553021,2553021,3553021</v>
      </c>
      <c r="CA347" s="13">
        <v>1553021</v>
      </c>
      <c r="CB347" s="13">
        <v>2553021</v>
      </c>
      <c r="CC347" s="13">
        <v>3553021</v>
      </c>
      <c r="CG347" t="str">
        <f t="shared" si="271"/>
        <v>DATA_Class_Base41</v>
      </c>
      <c r="CH347" s="3" t="s">
        <v>413</v>
      </c>
    </row>
    <row r="348" spans="1:86" ht="14.25">
      <c r="A348">
        <f t="shared" si="272"/>
        <v>5095302</v>
      </c>
      <c r="B348" s="2" t="s">
        <v>614</v>
      </c>
      <c r="C348" s="48" t="s">
        <v>615</v>
      </c>
      <c r="D348">
        <v>9</v>
      </c>
      <c r="E348">
        <v>3</v>
      </c>
      <c r="F348">
        <v>5</v>
      </c>
      <c r="G348" s="3" t="s">
        <v>616</v>
      </c>
      <c r="H348" s="3" t="s">
        <v>616</v>
      </c>
      <c r="I348" s="2">
        <v>0</v>
      </c>
      <c r="J348" s="2" t="s">
        <v>358</v>
      </c>
      <c r="K348" s="2">
        <f t="shared" si="273"/>
        <v>3</v>
      </c>
      <c r="L348" s="2">
        <f t="shared" si="260"/>
        <v>1.4000000000000001</v>
      </c>
      <c r="M348" s="2">
        <f t="shared" si="260"/>
        <v>2</v>
      </c>
      <c r="N348" s="2">
        <v>10</v>
      </c>
      <c r="O348" s="2">
        <f t="shared" si="262"/>
        <v>394.13</v>
      </c>
      <c r="P348" s="2">
        <f t="shared" si="262"/>
        <v>20.100000000000001</v>
      </c>
      <c r="Q348" s="2">
        <f t="shared" si="262"/>
        <v>3519</v>
      </c>
      <c r="R348" s="2">
        <f t="shared" si="261"/>
        <v>179.47</v>
      </c>
      <c r="S348" s="2">
        <f t="shared" si="261"/>
        <v>98.53</v>
      </c>
      <c r="T348" s="2">
        <f t="shared" si="261"/>
        <v>7.39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17">
        <v>553022</v>
      </c>
      <c r="AA348" s="14" t="s">
        <v>735</v>
      </c>
      <c r="AB348" s="15" t="s">
        <v>469</v>
      </c>
      <c r="AC348" s="2">
        <v>5105302</v>
      </c>
      <c r="AD348" s="2">
        <v>0</v>
      </c>
      <c r="AE348" s="2">
        <v>1</v>
      </c>
      <c r="AF348" s="2">
        <v>5065302</v>
      </c>
      <c r="AG348" s="2">
        <v>1</v>
      </c>
      <c r="AH348" s="2"/>
      <c r="AI348">
        <v>1</v>
      </c>
      <c r="AJ348" s="1">
        <f t="shared" si="263"/>
        <v>265.53615101988754</v>
      </c>
      <c r="AK348">
        <v>9</v>
      </c>
      <c r="AL348">
        <f t="shared" si="264"/>
        <v>342.71999999999991</v>
      </c>
      <c r="AM348">
        <f t="shared" si="265"/>
        <v>17.478719999999996</v>
      </c>
      <c r="AN348">
        <f t="shared" si="266"/>
        <v>3060</v>
      </c>
      <c r="AO348">
        <f t="shared" si="267"/>
        <v>156.06</v>
      </c>
      <c r="AP348">
        <f t="shared" si="268"/>
        <v>85.679999999999978</v>
      </c>
      <c r="AQ348">
        <f t="shared" si="269"/>
        <v>6.4259999999999984</v>
      </c>
      <c r="AR348">
        <f t="shared" si="270"/>
        <v>1.4</v>
      </c>
      <c r="AS348">
        <f t="shared" si="275"/>
        <v>2</v>
      </c>
      <c r="AT348">
        <f t="shared" si="276"/>
        <v>3</v>
      </c>
      <c r="AU348">
        <f t="shared" si="274"/>
        <v>3025</v>
      </c>
      <c r="AV348" s="1">
        <v>2</v>
      </c>
      <c r="AW348">
        <v>5</v>
      </c>
      <c r="AX348">
        <v>0.15</v>
      </c>
      <c r="AZ348">
        <v>3</v>
      </c>
      <c r="BA348">
        <v>5</v>
      </c>
      <c r="BZ348" t="str">
        <f t="shared" si="278"/>
        <v>1554001,2554001,3554001</v>
      </c>
      <c r="CA348" s="13">
        <v>1554001</v>
      </c>
      <c r="CB348" s="13">
        <v>2554001</v>
      </c>
      <c r="CC348" s="13">
        <v>3554001</v>
      </c>
      <c r="CG348" t="str">
        <f t="shared" si="271"/>
        <v>DATA_Class_Base42</v>
      </c>
      <c r="CH348" s="3" t="s">
        <v>174</v>
      </c>
    </row>
    <row r="349" spans="1:86" ht="14.25">
      <c r="A349" s="49">
        <f t="shared" si="272"/>
        <v>5095400</v>
      </c>
      <c r="B349" s="2" t="s">
        <v>618</v>
      </c>
      <c r="C349" s="48" t="s">
        <v>619</v>
      </c>
      <c r="D349">
        <v>9</v>
      </c>
      <c r="E349">
        <v>4</v>
      </c>
      <c r="F349">
        <v>5</v>
      </c>
      <c r="G349" s="3" t="s">
        <v>620</v>
      </c>
      <c r="H349" s="3" t="s">
        <v>620</v>
      </c>
      <c r="I349">
        <v>0</v>
      </c>
      <c r="J349" s="2" t="s">
        <v>364</v>
      </c>
      <c r="K349" s="2">
        <f t="shared" si="273"/>
        <v>6</v>
      </c>
      <c r="L349" s="2">
        <f t="shared" ref="L349:M364" si="279">FLOOR(AR349/1,0.01)</f>
        <v>1.4000000000000001</v>
      </c>
      <c r="M349" s="2">
        <f t="shared" si="279"/>
        <v>2</v>
      </c>
      <c r="N349" s="2">
        <v>10</v>
      </c>
      <c r="O349" s="2">
        <f t="shared" si="262"/>
        <v>428.4</v>
      </c>
      <c r="P349" s="2">
        <f t="shared" si="262"/>
        <v>21.85</v>
      </c>
      <c r="Q349" s="2">
        <f t="shared" si="262"/>
        <v>3525.12</v>
      </c>
      <c r="R349" s="2">
        <f t="shared" si="261"/>
        <v>179.78</v>
      </c>
      <c r="S349" s="2">
        <f t="shared" si="261"/>
        <v>77.89</v>
      </c>
      <c r="T349" s="2">
        <f t="shared" si="261"/>
        <v>5.84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17">
        <v>554002</v>
      </c>
      <c r="AA349" s="14" t="s">
        <v>736</v>
      </c>
      <c r="AB349" s="15" t="s">
        <v>469</v>
      </c>
      <c r="AC349" s="2">
        <v>5105400</v>
      </c>
      <c r="AD349" s="2">
        <v>0</v>
      </c>
      <c r="AE349" s="2">
        <v>1</v>
      </c>
      <c r="AF349" s="2">
        <v>5065400</v>
      </c>
      <c r="AG349" s="2">
        <v>1</v>
      </c>
      <c r="AH349" s="2"/>
      <c r="AI349">
        <v>1</v>
      </c>
      <c r="AJ349" s="1">
        <f t="shared" si="263"/>
        <v>264.33355133521724</v>
      </c>
      <c r="AK349">
        <v>9</v>
      </c>
      <c r="AL349">
        <f t="shared" si="264"/>
        <v>357</v>
      </c>
      <c r="AM349">
        <f t="shared" si="265"/>
        <v>18.206999999999997</v>
      </c>
      <c r="AN349">
        <f t="shared" si="266"/>
        <v>2937.6</v>
      </c>
      <c r="AO349">
        <f t="shared" si="267"/>
        <v>149.8176</v>
      </c>
      <c r="AP349">
        <f t="shared" si="268"/>
        <v>64.909090909090907</v>
      </c>
      <c r="AQ349">
        <f t="shared" si="269"/>
        <v>4.8681818181818182</v>
      </c>
      <c r="AR349">
        <f t="shared" si="270"/>
        <v>1.4</v>
      </c>
      <c r="AS349">
        <f t="shared" si="275"/>
        <v>2</v>
      </c>
      <c r="AT349">
        <f t="shared" si="276"/>
        <v>6</v>
      </c>
      <c r="AU349">
        <f t="shared" si="274"/>
        <v>4005</v>
      </c>
      <c r="AV349" s="1">
        <v>0</v>
      </c>
      <c r="AW349">
        <v>5</v>
      </c>
      <c r="AX349">
        <v>0.2</v>
      </c>
      <c r="AZ349">
        <v>4</v>
      </c>
      <c r="BA349">
        <v>5</v>
      </c>
      <c r="CA349" s="13"/>
      <c r="CB349" s="13"/>
      <c r="CC349" s="13"/>
      <c r="CG349" t="str">
        <f t="shared" si="271"/>
        <v>DATA_Class_Base37</v>
      </c>
      <c r="CH349" s="3" t="s">
        <v>402</v>
      </c>
    </row>
    <row r="350" spans="1:86" ht="14.25">
      <c r="A350">
        <f t="shared" si="272"/>
        <v>5095501</v>
      </c>
      <c r="B350" s="2" t="s">
        <v>622</v>
      </c>
      <c r="C350" s="48" t="s">
        <v>623</v>
      </c>
      <c r="D350">
        <v>9</v>
      </c>
      <c r="E350">
        <v>5</v>
      </c>
      <c r="F350">
        <v>5</v>
      </c>
      <c r="G350" s="3" t="s">
        <v>624</v>
      </c>
      <c r="H350" s="3" t="s">
        <v>624</v>
      </c>
      <c r="I350" s="3">
        <v>0</v>
      </c>
      <c r="J350" s="8" t="s">
        <v>625</v>
      </c>
      <c r="K350" s="2">
        <f t="shared" si="273"/>
        <v>6</v>
      </c>
      <c r="L350" s="2">
        <f t="shared" si="279"/>
        <v>1.5</v>
      </c>
      <c r="M350" s="2">
        <f t="shared" si="279"/>
        <v>2</v>
      </c>
      <c r="N350" s="2">
        <v>10</v>
      </c>
      <c r="O350" s="2">
        <f t="shared" si="262"/>
        <v>510.26</v>
      </c>
      <c r="P350" s="2">
        <f t="shared" si="262"/>
        <v>26.02</v>
      </c>
      <c r="Q350" s="2">
        <f t="shared" si="262"/>
        <v>2912.28</v>
      </c>
      <c r="R350" s="2">
        <f t="shared" si="261"/>
        <v>148.53</v>
      </c>
      <c r="S350" s="2">
        <f t="shared" si="261"/>
        <v>63.78</v>
      </c>
      <c r="T350" s="2">
        <f t="shared" si="261"/>
        <v>4.78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17">
        <v>555012</v>
      </c>
      <c r="AA350" s="15" t="s">
        <v>737</v>
      </c>
      <c r="AB350" s="15" t="s">
        <v>469</v>
      </c>
      <c r="AC350" s="2">
        <v>5105501</v>
      </c>
      <c r="AD350" s="2">
        <v>0</v>
      </c>
      <c r="AE350" s="2">
        <v>1</v>
      </c>
      <c r="AF350" s="2">
        <v>5065501</v>
      </c>
      <c r="AG350" s="2">
        <v>1</v>
      </c>
      <c r="AH350" s="2"/>
      <c r="AI350">
        <v>1</v>
      </c>
      <c r="AJ350" s="1">
        <f t="shared" si="263"/>
        <v>263.79020630289097</v>
      </c>
      <c r="AK350">
        <v>9</v>
      </c>
      <c r="AL350">
        <f t="shared" si="264"/>
        <v>443.7</v>
      </c>
      <c r="AM350">
        <f t="shared" si="265"/>
        <v>22.628699999999998</v>
      </c>
      <c r="AN350">
        <f t="shared" si="266"/>
        <v>2532.4137931034484</v>
      </c>
      <c r="AO350">
        <f t="shared" si="267"/>
        <v>129.15310344827586</v>
      </c>
      <c r="AP350">
        <f t="shared" si="268"/>
        <v>55.462499999999999</v>
      </c>
      <c r="AQ350">
        <f t="shared" si="269"/>
        <v>4.1596874999999995</v>
      </c>
      <c r="AR350">
        <f t="shared" si="270"/>
        <v>1.5</v>
      </c>
      <c r="AS350">
        <f t="shared" si="275"/>
        <v>2</v>
      </c>
      <c r="AT350">
        <f t="shared" si="276"/>
        <v>6</v>
      </c>
      <c r="AU350">
        <f t="shared" si="274"/>
        <v>5015</v>
      </c>
      <c r="AV350" s="1">
        <v>1</v>
      </c>
      <c r="AW350">
        <v>5</v>
      </c>
      <c r="AX350">
        <v>0.15</v>
      </c>
      <c r="AZ350">
        <v>5</v>
      </c>
      <c r="BA350">
        <v>5</v>
      </c>
      <c r="CG350" t="str">
        <f t="shared" si="271"/>
        <v>DATA_Class_Base28</v>
      </c>
      <c r="CH350" s="3" t="s">
        <v>374</v>
      </c>
    </row>
    <row r="351" spans="1:86" ht="14.25">
      <c r="A351">
        <f t="shared" si="272"/>
        <v>5101200</v>
      </c>
      <c r="B351" s="2" t="s">
        <v>464</v>
      </c>
      <c r="C351" s="48" t="s">
        <v>465</v>
      </c>
      <c r="D351">
        <v>10</v>
      </c>
      <c r="E351">
        <v>2</v>
      </c>
      <c r="F351">
        <v>1</v>
      </c>
      <c r="G351" s="3" t="s">
        <v>466</v>
      </c>
      <c r="H351" s="3" t="s">
        <v>466</v>
      </c>
      <c r="I351" s="2">
        <v>0</v>
      </c>
      <c r="J351" s="8" t="s">
        <v>467</v>
      </c>
      <c r="K351" s="2">
        <f t="shared" si="273"/>
        <v>3</v>
      </c>
      <c r="L351" s="2">
        <f t="shared" si="279"/>
        <v>1.5</v>
      </c>
      <c r="M351" s="2">
        <f t="shared" si="279"/>
        <v>1.2</v>
      </c>
      <c r="N351" s="2">
        <v>10</v>
      </c>
      <c r="O351" s="2">
        <f t="shared" si="262"/>
        <v>295.68</v>
      </c>
      <c r="P351" s="2">
        <f t="shared" si="262"/>
        <v>15.08</v>
      </c>
      <c r="Q351" s="2">
        <f t="shared" si="262"/>
        <v>5544</v>
      </c>
      <c r="R351" s="2">
        <f t="shared" si="261"/>
        <v>282.74</v>
      </c>
      <c r="S351" s="2">
        <f t="shared" si="261"/>
        <v>118.27</v>
      </c>
      <c r="T351" s="2">
        <f t="shared" si="261"/>
        <v>8.8699999999999992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17">
        <v>512003</v>
      </c>
      <c r="AA351" s="14" t="s">
        <v>701</v>
      </c>
      <c r="AB351" s="15" t="s">
        <v>469</v>
      </c>
      <c r="AC351" s="2">
        <v>5111200</v>
      </c>
      <c r="AD351" s="2">
        <v>0</v>
      </c>
      <c r="AE351" s="2">
        <v>1</v>
      </c>
      <c r="AF351" s="2">
        <f t="shared" ref="AF351:AF387" si="280">A203</f>
        <v>5061200</v>
      </c>
      <c r="AG351" s="2">
        <v>2</v>
      </c>
      <c r="AI351">
        <v>1</v>
      </c>
      <c r="AJ351" s="1">
        <f t="shared" si="263"/>
        <v>321.69320439733229</v>
      </c>
      <c r="AK351">
        <v>10</v>
      </c>
      <c r="AL351">
        <f t="shared" si="264"/>
        <v>268.8</v>
      </c>
      <c r="AM351">
        <f t="shared" si="265"/>
        <v>13.7088</v>
      </c>
      <c r="AN351">
        <f t="shared" si="266"/>
        <v>5040</v>
      </c>
      <c r="AO351">
        <f t="shared" si="267"/>
        <v>257.03999999999996</v>
      </c>
      <c r="AP351">
        <f t="shared" si="268"/>
        <v>107.52000000000001</v>
      </c>
      <c r="AQ351">
        <f t="shared" si="269"/>
        <v>8.0640000000000001</v>
      </c>
      <c r="AR351">
        <f t="shared" si="270"/>
        <v>1.5</v>
      </c>
      <c r="AS351">
        <f t="shared" si="275"/>
        <v>1.2</v>
      </c>
      <c r="AT351">
        <f t="shared" si="276"/>
        <v>3</v>
      </c>
      <c r="AU351">
        <f t="shared" si="274"/>
        <v>2001</v>
      </c>
      <c r="AV351" s="1">
        <v>0</v>
      </c>
      <c r="AW351">
        <v>5</v>
      </c>
      <c r="AX351">
        <v>0.1</v>
      </c>
      <c r="AZ351">
        <v>2</v>
      </c>
      <c r="BA351">
        <v>1</v>
      </c>
      <c r="CG351" t="str">
        <f t="shared" si="271"/>
        <v>DATA_Class_Base29</v>
      </c>
      <c r="CH351" s="3" t="s">
        <v>378</v>
      </c>
    </row>
    <row r="352" spans="1:86" ht="14.25">
      <c r="A352" s="49">
        <f t="shared" si="272"/>
        <v>5101201</v>
      </c>
      <c r="B352" s="2" t="s">
        <v>470</v>
      </c>
      <c r="C352" s="48" t="s">
        <v>471</v>
      </c>
      <c r="D352">
        <v>10</v>
      </c>
      <c r="E352">
        <v>2</v>
      </c>
      <c r="F352">
        <v>1</v>
      </c>
      <c r="G352" s="3" t="s">
        <v>472</v>
      </c>
      <c r="H352" s="3" t="s">
        <v>472</v>
      </c>
      <c r="I352" s="2">
        <v>0</v>
      </c>
      <c r="J352" s="8" t="s">
        <v>298</v>
      </c>
      <c r="K352" s="2">
        <f t="shared" si="273"/>
        <v>3</v>
      </c>
      <c r="L352" s="2">
        <f t="shared" si="279"/>
        <v>1.6</v>
      </c>
      <c r="M352" s="2">
        <f t="shared" si="279"/>
        <v>1.8</v>
      </c>
      <c r="N352" s="2">
        <v>10</v>
      </c>
      <c r="O352" s="2">
        <f t="shared" si="262"/>
        <v>258.05</v>
      </c>
      <c r="P352" s="2">
        <f t="shared" si="262"/>
        <v>13.16</v>
      </c>
      <c r="Q352" s="2">
        <f t="shared" si="262"/>
        <v>8064</v>
      </c>
      <c r="R352" s="2">
        <f t="shared" si="261"/>
        <v>411.26</v>
      </c>
      <c r="S352" s="2">
        <f t="shared" si="261"/>
        <v>151.79</v>
      </c>
      <c r="T352" s="2">
        <f t="shared" si="261"/>
        <v>11.38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17">
        <v>512013</v>
      </c>
      <c r="AA352" s="14" t="s">
        <v>702</v>
      </c>
      <c r="AB352" s="15" t="s">
        <v>469</v>
      </c>
      <c r="AC352" s="2">
        <v>5111201</v>
      </c>
      <c r="AD352" s="2">
        <v>0</v>
      </c>
      <c r="AE352" s="2">
        <v>1</v>
      </c>
      <c r="AF352" s="2">
        <f t="shared" si="280"/>
        <v>5061201</v>
      </c>
      <c r="AG352" s="2">
        <v>2</v>
      </c>
      <c r="AI352">
        <v>1</v>
      </c>
      <c r="AJ352" s="1">
        <f t="shared" si="263"/>
        <v>323.04221913135012</v>
      </c>
      <c r="AK352">
        <v>10</v>
      </c>
      <c r="AL352">
        <f t="shared" si="264"/>
        <v>215.04</v>
      </c>
      <c r="AM352">
        <f t="shared" si="265"/>
        <v>10.967039999999999</v>
      </c>
      <c r="AN352">
        <f t="shared" si="266"/>
        <v>6720</v>
      </c>
      <c r="AO352">
        <f t="shared" si="267"/>
        <v>342.71999999999997</v>
      </c>
      <c r="AP352">
        <f t="shared" si="268"/>
        <v>126.49411764705883</v>
      </c>
      <c r="AQ352">
        <f t="shared" si="269"/>
        <v>9.4870588235294111</v>
      </c>
      <c r="AR352">
        <f t="shared" si="270"/>
        <v>1.6</v>
      </c>
      <c r="AS352">
        <f t="shared" si="275"/>
        <v>1.8</v>
      </c>
      <c r="AT352">
        <f t="shared" si="276"/>
        <v>3</v>
      </c>
      <c r="AU352">
        <f t="shared" si="274"/>
        <v>2011</v>
      </c>
      <c r="AV352" s="1">
        <v>1</v>
      </c>
      <c r="AW352">
        <v>5</v>
      </c>
      <c r="AX352">
        <v>0.2</v>
      </c>
      <c r="AZ352">
        <v>2</v>
      </c>
      <c r="BA352">
        <v>1</v>
      </c>
      <c r="CG352" t="str">
        <f t="shared" si="271"/>
        <v>DATA_Class_Base30</v>
      </c>
      <c r="CH352" s="3" t="s">
        <v>381</v>
      </c>
    </row>
    <row r="353" spans="1:86" ht="14.25">
      <c r="A353">
        <f t="shared" si="272"/>
        <v>5101202</v>
      </c>
      <c r="B353" s="2" t="s">
        <v>474</v>
      </c>
      <c r="C353" s="48" t="s">
        <v>475</v>
      </c>
      <c r="D353">
        <v>10</v>
      </c>
      <c r="E353">
        <v>2</v>
      </c>
      <c r="F353">
        <v>1</v>
      </c>
      <c r="G353" s="3" t="s">
        <v>476</v>
      </c>
      <c r="H353" s="3" t="s">
        <v>476</v>
      </c>
      <c r="I353">
        <v>0</v>
      </c>
      <c r="J353" s="8" t="s">
        <v>477</v>
      </c>
      <c r="K353" s="2">
        <f t="shared" si="273"/>
        <v>3</v>
      </c>
      <c r="L353" s="2">
        <f t="shared" si="279"/>
        <v>1.6</v>
      </c>
      <c r="M353" s="2">
        <f t="shared" si="279"/>
        <v>2</v>
      </c>
      <c r="N353" s="2">
        <v>10</v>
      </c>
      <c r="O353" s="2">
        <f t="shared" si="262"/>
        <v>315.39</v>
      </c>
      <c r="P353" s="2">
        <f t="shared" si="262"/>
        <v>16.079999999999998</v>
      </c>
      <c r="Q353" s="2">
        <f t="shared" si="262"/>
        <v>5544</v>
      </c>
      <c r="R353" s="2">
        <f t="shared" si="261"/>
        <v>282.74</v>
      </c>
      <c r="S353" s="2">
        <f t="shared" si="261"/>
        <v>116.81</v>
      </c>
      <c r="T353" s="2">
        <f t="shared" si="261"/>
        <v>8.76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17">
        <v>512023</v>
      </c>
      <c r="AA353" s="14" t="s">
        <v>703</v>
      </c>
      <c r="AB353" s="15" t="s">
        <v>469</v>
      </c>
      <c r="AC353" s="2">
        <v>5111202</v>
      </c>
      <c r="AD353" s="2">
        <v>0</v>
      </c>
      <c r="AE353" s="2">
        <v>1</v>
      </c>
      <c r="AF353" s="2">
        <f t="shared" si="280"/>
        <v>5061202</v>
      </c>
      <c r="AG353" s="2">
        <v>2</v>
      </c>
      <c r="AI353">
        <v>1</v>
      </c>
      <c r="AJ353" s="1">
        <f t="shared" si="263"/>
        <v>321.59925043860062</v>
      </c>
      <c r="AK353">
        <v>10</v>
      </c>
      <c r="AL353">
        <f t="shared" si="264"/>
        <v>286.72000000000003</v>
      </c>
      <c r="AM353">
        <f t="shared" si="265"/>
        <v>14.622720000000001</v>
      </c>
      <c r="AN353">
        <f t="shared" si="266"/>
        <v>5040</v>
      </c>
      <c r="AO353">
        <f t="shared" si="267"/>
        <v>257.03999999999996</v>
      </c>
      <c r="AP353">
        <f t="shared" si="268"/>
        <v>106.19259259259259</v>
      </c>
      <c r="AQ353">
        <f t="shared" si="269"/>
        <v>7.9644444444444442</v>
      </c>
      <c r="AR353">
        <f t="shared" si="270"/>
        <v>1.6</v>
      </c>
      <c r="AS353">
        <f t="shared" si="275"/>
        <v>2</v>
      </c>
      <c r="AT353">
        <f t="shared" si="276"/>
        <v>3</v>
      </c>
      <c r="AU353">
        <f t="shared" si="274"/>
        <v>2021</v>
      </c>
      <c r="AV353" s="1">
        <v>2</v>
      </c>
      <c r="AW353">
        <v>5</v>
      </c>
      <c r="AX353">
        <v>0.1</v>
      </c>
      <c r="AZ353">
        <v>2</v>
      </c>
      <c r="BA353">
        <v>1</v>
      </c>
      <c r="CG353" t="str">
        <f t="shared" si="271"/>
        <v>DATA_Class_Base31</v>
      </c>
      <c r="CH353" s="3" t="s">
        <v>384</v>
      </c>
    </row>
    <row r="354" spans="1:86" ht="14.25">
      <c r="A354">
        <f t="shared" si="272"/>
        <v>5101301</v>
      </c>
      <c r="B354" s="2" t="s">
        <v>479</v>
      </c>
      <c r="C354" s="48" t="s">
        <v>480</v>
      </c>
      <c r="D354">
        <v>10</v>
      </c>
      <c r="E354">
        <v>3</v>
      </c>
      <c r="F354">
        <v>1</v>
      </c>
      <c r="G354" s="3" t="s">
        <v>481</v>
      </c>
      <c r="H354" s="3" t="s">
        <v>481</v>
      </c>
      <c r="I354" s="2">
        <v>0</v>
      </c>
      <c r="J354" s="8" t="s">
        <v>482</v>
      </c>
      <c r="K354" s="2">
        <f t="shared" si="273"/>
        <v>3</v>
      </c>
      <c r="L354" s="2">
        <f t="shared" si="279"/>
        <v>1.3</v>
      </c>
      <c r="M354" s="2">
        <f t="shared" si="279"/>
        <v>2</v>
      </c>
      <c r="N354" s="2">
        <v>10</v>
      </c>
      <c r="O354" s="2">
        <f t="shared" si="262"/>
        <v>352.35</v>
      </c>
      <c r="P354" s="2">
        <f t="shared" si="262"/>
        <v>17.97</v>
      </c>
      <c r="Q354" s="2">
        <f t="shared" si="262"/>
        <v>4032</v>
      </c>
      <c r="R354" s="2">
        <f t="shared" si="261"/>
        <v>205.63</v>
      </c>
      <c r="S354" s="2">
        <f t="shared" si="261"/>
        <v>100.67</v>
      </c>
      <c r="T354" s="2">
        <f t="shared" si="261"/>
        <v>7.55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17">
        <v>513013</v>
      </c>
      <c r="AA354" s="14" t="s">
        <v>704</v>
      </c>
      <c r="AB354" s="15" t="s">
        <v>469</v>
      </c>
      <c r="AC354" s="2">
        <v>5111301</v>
      </c>
      <c r="AD354" s="2">
        <v>0</v>
      </c>
      <c r="AE354" s="2">
        <v>1</v>
      </c>
      <c r="AF354" s="2">
        <f t="shared" si="280"/>
        <v>5061301</v>
      </c>
      <c r="AG354" s="2">
        <v>2</v>
      </c>
      <c r="AI354">
        <v>1</v>
      </c>
      <c r="AJ354" s="1">
        <f t="shared" si="263"/>
        <v>320.56436788389789</v>
      </c>
      <c r="AK354">
        <v>10</v>
      </c>
      <c r="AL354">
        <f t="shared" si="264"/>
        <v>320.32000000000005</v>
      </c>
      <c r="AM354">
        <f t="shared" si="265"/>
        <v>16.336320000000001</v>
      </c>
      <c r="AN354">
        <f t="shared" si="266"/>
        <v>3665.454545454545</v>
      </c>
      <c r="AO354">
        <f t="shared" si="267"/>
        <v>186.93818181818179</v>
      </c>
      <c r="AP354">
        <f t="shared" si="268"/>
        <v>91.52000000000001</v>
      </c>
      <c r="AQ354">
        <f t="shared" si="269"/>
        <v>6.8640000000000008</v>
      </c>
      <c r="AR354">
        <f t="shared" si="270"/>
        <v>1.3</v>
      </c>
      <c r="AS354">
        <f t="shared" si="275"/>
        <v>2</v>
      </c>
      <c r="AT354">
        <f t="shared" si="276"/>
        <v>3</v>
      </c>
      <c r="AU354">
        <f t="shared" si="274"/>
        <v>3011</v>
      </c>
      <c r="AV354" s="1">
        <v>1</v>
      </c>
      <c r="AW354">
        <v>5</v>
      </c>
      <c r="AX354">
        <v>0.1</v>
      </c>
      <c r="AZ354">
        <v>3</v>
      </c>
      <c r="BA354">
        <v>1</v>
      </c>
      <c r="CG354" t="str">
        <f t="shared" si="271"/>
        <v>DATA_Class_Base32</v>
      </c>
      <c r="CH354" s="3" t="s">
        <v>388</v>
      </c>
    </row>
    <row r="355" spans="1:86" ht="14.25">
      <c r="A355">
        <f t="shared" si="272"/>
        <v>5101401</v>
      </c>
      <c r="B355" s="2" t="s">
        <v>484</v>
      </c>
      <c r="C355" s="48" t="s">
        <v>485</v>
      </c>
      <c r="D355">
        <v>10</v>
      </c>
      <c r="E355">
        <v>4</v>
      </c>
      <c r="F355">
        <v>1</v>
      </c>
      <c r="G355" s="3" t="s">
        <v>486</v>
      </c>
      <c r="H355" s="3" t="s">
        <v>486</v>
      </c>
      <c r="I355" s="2">
        <v>0</v>
      </c>
      <c r="J355" s="2" t="s">
        <v>161</v>
      </c>
      <c r="K355" s="2">
        <f t="shared" si="273"/>
        <v>6</v>
      </c>
      <c r="L355" s="2">
        <f t="shared" si="279"/>
        <v>1.6</v>
      </c>
      <c r="M355" s="2">
        <f t="shared" si="279"/>
        <v>2</v>
      </c>
      <c r="N355" s="2">
        <v>10</v>
      </c>
      <c r="O355" s="2">
        <f t="shared" si="262"/>
        <v>433.66</v>
      </c>
      <c r="P355" s="2">
        <f t="shared" si="262"/>
        <v>22.12</v>
      </c>
      <c r="Q355" s="2">
        <f t="shared" si="262"/>
        <v>4032</v>
      </c>
      <c r="R355" s="2">
        <f t="shared" si="261"/>
        <v>205.63</v>
      </c>
      <c r="S355" s="2">
        <f t="shared" si="261"/>
        <v>86.73</v>
      </c>
      <c r="T355" s="2">
        <f t="shared" si="261"/>
        <v>6.5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17">
        <v>514013</v>
      </c>
      <c r="AA355" s="14" t="s">
        <v>705</v>
      </c>
      <c r="AB355" s="15" t="s">
        <v>469</v>
      </c>
      <c r="AC355" s="2">
        <v>5111401</v>
      </c>
      <c r="AD355" s="2">
        <v>0</v>
      </c>
      <c r="AE355" s="2">
        <v>1</v>
      </c>
      <c r="AF355" s="2">
        <f t="shared" si="280"/>
        <v>5061401</v>
      </c>
      <c r="AG355" s="2">
        <v>2</v>
      </c>
      <c r="AI355">
        <v>1</v>
      </c>
      <c r="AJ355" s="1">
        <f t="shared" si="263"/>
        <v>319.67593568800248</v>
      </c>
      <c r="AK355">
        <v>10</v>
      </c>
      <c r="AL355">
        <f t="shared" si="264"/>
        <v>394.24000000000007</v>
      </c>
      <c r="AM355">
        <f t="shared" si="265"/>
        <v>20.106240000000003</v>
      </c>
      <c r="AN355">
        <f t="shared" si="266"/>
        <v>3665.454545454545</v>
      </c>
      <c r="AO355">
        <f t="shared" si="267"/>
        <v>186.93818181818179</v>
      </c>
      <c r="AP355">
        <f t="shared" si="268"/>
        <v>78.848000000000013</v>
      </c>
      <c r="AQ355">
        <f t="shared" si="269"/>
        <v>5.9136000000000006</v>
      </c>
      <c r="AR355">
        <f t="shared" si="270"/>
        <v>1.6</v>
      </c>
      <c r="AS355">
        <f t="shared" si="275"/>
        <v>2</v>
      </c>
      <c r="AT355">
        <f t="shared" si="276"/>
        <v>6</v>
      </c>
      <c r="AU355">
        <f t="shared" si="274"/>
        <v>4011</v>
      </c>
      <c r="AV355" s="1">
        <v>1</v>
      </c>
      <c r="AW355">
        <v>5</v>
      </c>
      <c r="AX355">
        <v>0.1</v>
      </c>
      <c r="AZ355">
        <v>4</v>
      </c>
      <c r="BA355">
        <v>1</v>
      </c>
      <c r="CG355" t="str">
        <f t="shared" si="271"/>
        <v>DATA_Class_Base33</v>
      </c>
      <c r="CH355" s="3" t="s">
        <v>391</v>
      </c>
    </row>
    <row r="356" spans="1:86" ht="14.25">
      <c r="A356" s="49">
        <f t="shared" si="272"/>
        <v>5101402</v>
      </c>
      <c r="B356" s="2" t="s">
        <v>488</v>
      </c>
      <c r="C356" s="48" t="s">
        <v>489</v>
      </c>
      <c r="D356">
        <v>10</v>
      </c>
      <c r="E356">
        <v>4</v>
      </c>
      <c r="F356">
        <v>1</v>
      </c>
      <c r="G356" s="3" t="s">
        <v>490</v>
      </c>
      <c r="H356" s="3" t="s">
        <v>490</v>
      </c>
      <c r="I356">
        <v>0</v>
      </c>
      <c r="J356" s="8" t="s">
        <v>161</v>
      </c>
      <c r="K356" s="2">
        <f t="shared" si="273"/>
        <v>6</v>
      </c>
      <c r="L356" s="2">
        <f t="shared" si="279"/>
        <v>1.5</v>
      </c>
      <c r="M356" s="2">
        <f t="shared" si="279"/>
        <v>1.5</v>
      </c>
      <c r="N356" s="2">
        <v>10</v>
      </c>
      <c r="O356" s="2">
        <f t="shared" si="262"/>
        <v>463.68</v>
      </c>
      <c r="P356" s="2">
        <f t="shared" si="262"/>
        <v>23.65</v>
      </c>
      <c r="Q356" s="2">
        <f t="shared" si="262"/>
        <v>3864</v>
      </c>
      <c r="R356" s="2">
        <f t="shared" si="262"/>
        <v>197.06</v>
      </c>
      <c r="S356" s="2">
        <f t="shared" si="262"/>
        <v>77.28</v>
      </c>
      <c r="T356" s="2">
        <f t="shared" si="262"/>
        <v>5.8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17">
        <v>514023</v>
      </c>
      <c r="AA356" s="14" t="s">
        <v>706</v>
      </c>
      <c r="AB356" s="15" t="s">
        <v>469</v>
      </c>
      <c r="AC356" s="2">
        <v>5111402</v>
      </c>
      <c r="AD356" s="2">
        <v>0</v>
      </c>
      <c r="AE356" s="2">
        <v>1</v>
      </c>
      <c r="AF356" s="2">
        <f t="shared" si="280"/>
        <v>5061402</v>
      </c>
      <c r="AG356" s="2">
        <v>2</v>
      </c>
      <c r="AI356">
        <v>1</v>
      </c>
      <c r="AJ356" s="1">
        <f t="shared" si="263"/>
        <v>318.86362863645957</v>
      </c>
      <c r="AK356">
        <v>10</v>
      </c>
      <c r="AL356">
        <f t="shared" si="264"/>
        <v>403.2</v>
      </c>
      <c r="AM356">
        <f t="shared" si="265"/>
        <v>20.563199999999998</v>
      </c>
      <c r="AN356">
        <f t="shared" si="266"/>
        <v>3360</v>
      </c>
      <c r="AO356">
        <f t="shared" si="267"/>
        <v>171.35999999999999</v>
      </c>
      <c r="AP356">
        <f t="shared" si="268"/>
        <v>67.2</v>
      </c>
      <c r="AQ356">
        <f t="shared" si="269"/>
        <v>5.04</v>
      </c>
      <c r="AR356">
        <f t="shared" si="270"/>
        <v>1.5</v>
      </c>
      <c r="AS356">
        <f t="shared" si="275"/>
        <v>1.5</v>
      </c>
      <c r="AT356">
        <f t="shared" si="276"/>
        <v>6</v>
      </c>
      <c r="AU356">
        <f t="shared" si="274"/>
        <v>4021</v>
      </c>
      <c r="AV356" s="1">
        <v>2</v>
      </c>
      <c r="AW356">
        <v>5</v>
      </c>
      <c r="AX356">
        <v>0.15</v>
      </c>
      <c r="AZ356">
        <v>4</v>
      </c>
      <c r="BA356">
        <v>1</v>
      </c>
      <c r="CG356" t="str">
        <f t="shared" si="271"/>
        <v>DATA_Class_Base34</v>
      </c>
      <c r="CH356" s="3" t="s">
        <v>184</v>
      </c>
    </row>
    <row r="357" spans="1:86" ht="14.25">
      <c r="A357">
        <f t="shared" si="272"/>
        <v>5101500</v>
      </c>
      <c r="B357" s="2" t="s">
        <v>492</v>
      </c>
      <c r="C357" s="48" t="s">
        <v>493</v>
      </c>
      <c r="D357">
        <v>10</v>
      </c>
      <c r="E357">
        <v>5</v>
      </c>
      <c r="F357">
        <v>1</v>
      </c>
      <c r="G357" s="3" t="s">
        <v>494</v>
      </c>
      <c r="H357" s="3" t="s">
        <v>494</v>
      </c>
      <c r="I357">
        <v>0</v>
      </c>
      <c r="J357" s="2" t="s">
        <v>303</v>
      </c>
      <c r="K357" s="2">
        <f t="shared" si="273"/>
        <v>6</v>
      </c>
      <c r="L357" s="2">
        <f t="shared" si="279"/>
        <v>1.5</v>
      </c>
      <c r="M357" s="2">
        <f t="shared" si="279"/>
        <v>1.5</v>
      </c>
      <c r="N357" s="2">
        <v>10</v>
      </c>
      <c r="O357" s="2">
        <f t="shared" ref="O357:T399" si="281">ROUND(AL357*(1+$AX357),2)</f>
        <v>564.48</v>
      </c>
      <c r="P357" s="2">
        <f t="shared" si="281"/>
        <v>28.79</v>
      </c>
      <c r="Q357" s="2">
        <f t="shared" si="281"/>
        <v>3456</v>
      </c>
      <c r="R357" s="2">
        <f t="shared" si="281"/>
        <v>176.26</v>
      </c>
      <c r="S357" s="2">
        <f t="shared" si="281"/>
        <v>80.64</v>
      </c>
      <c r="T357" s="2">
        <f t="shared" si="281"/>
        <v>6.05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17">
        <v>515003</v>
      </c>
      <c r="AA357" s="14" t="s">
        <v>707</v>
      </c>
      <c r="AB357" s="15" t="s">
        <v>469</v>
      </c>
      <c r="AC357" s="2">
        <v>5111500</v>
      </c>
      <c r="AD357" s="2">
        <v>0</v>
      </c>
      <c r="AE357" s="2">
        <v>1</v>
      </c>
      <c r="AF357" s="2">
        <f t="shared" si="280"/>
        <v>5061500</v>
      </c>
      <c r="AG357" s="2">
        <v>2</v>
      </c>
      <c r="AI357">
        <v>1</v>
      </c>
      <c r="AJ357" s="1">
        <f t="shared" si="263"/>
        <v>318.86362863645945</v>
      </c>
      <c r="AK357">
        <v>10</v>
      </c>
      <c r="AL357">
        <f t="shared" si="264"/>
        <v>470.39999999999986</v>
      </c>
      <c r="AM357">
        <f t="shared" si="265"/>
        <v>23.99039999999999</v>
      </c>
      <c r="AN357">
        <f t="shared" si="266"/>
        <v>2880</v>
      </c>
      <c r="AO357">
        <f t="shared" si="267"/>
        <v>146.88</v>
      </c>
      <c r="AP357">
        <f t="shared" si="268"/>
        <v>67.199999999999974</v>
      </c>
      <c r="AQ357">
        <f t="shared" si="269"/>
        <v>5.0399999999999983</v>
      </c>
      <c r="AR357">
        <f t="shared" si="270"/>
        <v>1.5</v>
      </c>
      <c r="AS357">
        <f t="shared" si="275"/>
        <v>1.5</v>
      </c>
      <c r="AT357">
        <f t="shared" si="276"/>
        <v>6</v>
      </c>
      <c r="AU357">
        <f t="shared" si="274"/>
        <v>5001</v>
      </c>
      <c r="AV357" s="1">
        <v>0</v>
      </c>
      <c r="AW357">
        <v>5</v>
      </c>
      <c r="AX357">
        <v>0.2</v>
      </c>
      <c r="AZ357">
        <v>5</v>
      </c>
      <c r="BA357">
        <v>1</v>
      </c>
      <c r="CG357" t="str">
        <f t="shared" si="271"/>
        <v>DATA_Class_Base35</v>
      </c>
      <c r="CH357" s="3" t="s">
        <v>195</v>
      </c>
    </row>
    <row r="358" spans="1:86" ht="14.25">
      <c r="A358">
        <f t="shared" si="272"/>
        <v>5101502</v>
      </c>
      <c r="B358" s="2" t="s">
        <v>496</v>
      </c>
      <c r="C358" s="48" t="s">
        <v>497</v>
      </c>
      <c r="D358">
        <v>10</v>
      </c>
      <c r="E358">
        <v>5</v>
      </c>
      <c r="F358">
        <v>1</v>
      </c>
      <c r="G358" s="3" t="s">
        <v>498</v>
      </c>
      <c r="H358" s="3" t="s">
        <v>498</v>
      </c>
      <c r="I358" s="2">
        <v>0</v>
      </c>
      <c r="J358" s="8" t="s">
        <v>352</v>
      </c>
      <c r="K358" s="2">
        <f t="shared" si="273"/>
        <v>6</v>
      </c>
      <c r="L358" s="2">
        <f t="shared" si="279"/>
        <v>1.4000000000000001</v>
      </c>
      <c r="M358" s="2">
        <f t="shared" si="279"/>
        <v>2</v>
      </c>
      <c r="N358" s="2">
        <v>10</v>
      </c>
      <c r="O358" s="2">
        <f t="shared" si="281"/>
        <v>468.83</v>
      </c>
      <c r="P358" s="2">
        <f t="shared" si="281"/>
        <v>23.91</v>
      </c>
      <c r="Q358" s="2">
        <f t="shared" si="281"/>
        <v>3566.77</v>
      </c>
      <c r="R358" s="2">
        <f t="shared" si="281"/>
        <v>181.91</v>
      </c>
      <c r="S358" s="2">
        <f t="shared" si="281"/>
        <v>72.13</v>
      </c>
      <c r="T358" s="2">
        <f t="shared" si="281"/>
        <v>5.41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17">
        <v>515023</v>
      </c>
      <c r="AA358" s="14" t="s">
        <v>708</v>
      </c>
      <c r="AB358" s="15" t="s">
        <v>469</v>
      </c>
      <c r="AC358" s="2">
        <v>5111502</v>
      </c>
      <c r="AD358" s="2">
        <v>0</v>
      </c>
      <c r="AE358" s="2">
        <v>1</v>
      </c>
      <c r="AF358" s="2">
        <f t="shared" si="280"/>
        <v>5061502</v>
      </c>
      <c r="AG358" s="2">
        <v>2</v>
      </c>
      <c r="AI358">
        <v>1</v>
      </c>
      <c r="AJ358" s="1">
        <f t="shared" si="263"/>
        <v>318.55230099842339</v>
      </c>
      <c r="AK358">
        <v>10</v>
      </c>
      <c r="AL358">
        <f t="shared" si="264"/>
        <v>407.67999999999989</v>
      </c>
      <c r="AM358">
        <f t="shared" si="265"/>
        <v>20.791679999999992</v>
      </c>
      <c r="AN358">
        <f t="shared" si="266"/>
        <v>3101.538461538461</v>
      </c>
      <c r="AO358">
        <f t="shared" si="267"/>
        <v>158.17846153846151</v>
      </c>
      <c r="AP358">
        <f t="shared" si="268"/>
        <v>62.719999999999985</v>
      </c>
      <c r="AQ358">
        <f t="shared" si="269"/>
        <v>4.7039999999999988</v>
      </c>
      <c r="AR358">
        <f t="shared" si="270"/>
        <v>1.4</v>
      </c>
      <c r="AS358">
        <f t="shared" si="275"/>
        <v>2</v>
      </c>
      <c r="AT358">
        <f t="shared" si="276"/>
        <v>6</v>
      </c>
      <c r="AU358">
        <f t="shared" si="274"/>
        <v>5021</v>
      </c>
      <c r="AV358" s="1">
        <v>2</v>
      </c>
      <c r="AW358">
        <v>5</v>
      </c>
      <c r="AX358">
        <v>0.15</v>
      </c>
      <c r="AZ358">
        <v>5</v>
      </c>
      <c r="BA358">
        <v>1</v>
      </c>
      <c r="CG358" t="str">
        <f t="shared" si="271"/>
        <v>DATA_Class_Base36</v>
      </c>
      <c r="CH358" s="3" t="s">
        <v>201</v>
      </c>
    </row>
    <row r="359" spans="1:86" ht="14.25">
      <c r="A359">
        <f t="shared" si="272"/>
        <v>5101601</v>
      </c>
      <c r="B359" s="2" t="s">
        <v>500</v>
      </c>
      <c r="C359" s="48" t="s">
        <v>501</v>
      </c>
      <c r="D359">
        <v>10</v>
      </c>
      <c r="E359">
        <v>6</v>
      </c>
      <c r="F359">
        <v>1</v>
      </c>
      <c r="G359" s="3" t="s">
        <v>502</v>
      </c>
      <c r="H359" s="3" t="s">
        <v>502</v>
      </c>
      <c r="I359">
        <v>0</v>
      </c>
      <c r="J359" s="2" t="s">
        <v>309</v>
      </c>
      <c r="K359" s="2">
        <f t="shared" si="273"/>
        <v>6</v>
      </c>
      <c r="L359" s="2">
        <f t="shared" si="279"/>
        <v>1.5</v>
      </c>
      <c r="M359" s="2">
        <f t="shared" si="279"/>
        <v>2</v>
      </c>
      <c r="N359" s="2">
        <v>10</v>
      </c>
      <c r="O359" s="2">
        <f t="shared" si="281"/>
        <v>386.4</v>
      </c>
      <c r="P359" s="2">
        <f t="shared" si="281"/>
        <v>19.71</v>
      </c>
      <c r="Q359" s="2">
        <f t="shared" si="281"/>
        <v>4636.8</v>
      </c>
      <c r="R359" s="2">
        <f t="shared" si="281"/>
        <v>236.48</v>
      </c>
      <c r="S359" s="2">
        <f t="shared" si="281"/>
        <v>85.87</v>
      </c>
      <c r="T359" s="2">
        <f t="shared" si="281"/>
        <v>6.44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17">
        <v>516013</v>
      </c>
      <c r="AA359" s="14" t="s">
        <v>709</v>
      </c>
      <c r="AB359" s="15" t="s">
        <v>469</v>
      </c>
      <c r="AC359" s="2">
        <v>5111601</v>
      </c>
      <c r="AD359" s="2">
        <v>0</v>
      </c>
      <c r="AE359" s="2">
        <v>1</v>
      </c>
      <c r="AF359" s="2">
        <f t="shared" si="280"/>
        <v>5061601</v>
      </c>
      <c r="AG359" s="2">
        <v>2</v>
      </c>
      <c r="AI359">
        <v>1</v>
      </c>
      <c r="AJ359" s="1">
        <f t="shared" si="263"/>
        <v>319.383862536506</v>
      </c>
      <c r="AK359">
        <v>10</v>
      </c>
      <c r="AL359">
        <f t="shared" si="264"/>
        <v>336</v>
      </c>
      <c r="AM359">
        <f t="shared" si="265"/>
        <v>17.135999999999999</v>
      </c>
      <c r="AN359">
        <f t="shared" si="266"/>
        <v>4031.9999999999995</v>
      </c>
      <c r="AO359">
        <f t="shared" si="267"/>
        <v>205.63199999999998</v>
      </c>
      <c r="AP359">
        <f t="shared" si="268"/>
        <v>74.666666666666671</v>
      </c>
      <c r="AQ359">
        <f t="shared" si="269"/>
        <v>5.6000000000000005</v>
      </c>
      <c r="AR359">
        <f t="shared" si="270"/>
        <v>1.5</v>
      </c>
      <c r="AS359">
        <f t="shared" si="275"/>
        <v>2</v>
      </c>
      <c r="AT359">
        <f t="shared" si="276"/>
        <v>6</v>
      </c>
      <c r="AU359">
        <f t="shared" si="274"/>
        <v>6011</v>
      </c>
      <c r="AV359" s="1">
        <v>1</v>
      </c>
      <c r="AW359">
        <v>5</v>
      </c>
      <c r="AX359">
        <v>0.15</v>
      </c>
      <c r="AZ359">
        <v>6</v>
      </c>
      <c r="BA359">
        <v>1</v>
      </c>
      <c r="CG359" t="str">
        <f t="shared" si="271"/>
        <v>DATA_Class_Base28</v>
      </c>
      <c r="CH359" s="3" t="s">
        <v>374</v>
      </c>
    </row>
    <row r="360" spans="1:86" ht="14.25">
      <c r="A360">
        <f t="shared" si="272"/>
        <v>5102200</v>
      </c>
      <c r="B360" s="2" t="s">
        <v>504</v>
      </c>
      <c r="C360" s="48" t="s">
        <v>505</v>
      </c>
      <c r="D360">
        <v>10</v>
      </c>
      <c r="E360">
        <v>2</v>
      </c>
      <c r="F360">
        <v>2</v>
      </c>
      <c r="G360" s="3" t="s">
        <v>506</v>
      </c>
      <c r="H360" s="3" t="s">
        <v>506</v>
      </c>
      <c r="I360">
        <v>0</v>
      </c>
      <c r="J360" s="8" t="s">
        <v>507</v>
      </c>
      <c r="K360" s="2">
        <f t="shared" si="273"/>
        <v>3</v>
      </c>
      <c r="L360" s="2">
        <f t="shared" si="279"/>
        <v>1.5</v>
      </c>
      <c r="M360" s="2">
        <f t="shared" si="279"/>
        <v>1.2</v>
      </c>
      <c r="N360" s="2">
        <v>10</v>
      </c>
      <c r="O360" s="2">
        <f t="shared" si="281"/>
        <v>386.4</v>
      </c>
      <c r="P360" s="2">
        <f t="shared" si="281"/>
        <v>19.71</v>
      </c>
      <c r="Q360" s="2">
        <f t="shared" si="281"/>
        <v>4636.8</v>
      </c>
      <c r="R360" s="2">
        <f t="shared" si="281"/>
        <v>236.48</v>
      </c>
      <c r="S360" s="2">
        <f t="shared" si="281"/>
        <v>128.80000000000001</v>
      </c>
      <c r="T360" s="2">
        <f t="shared" si="281"/>
        <v>9.66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17">
        <v>522003</v>
      </c>
      <c r="AA360" s="14" t="s">
        <v>710</v>
      </c>
      <c r="AB360" s="15" t="s">
        <v>469</v>
      </c>
      <c r="AC360" s="2">
        <v>5112200</v>
      </c>
      <c r="AD360" s="2">
        <v>0</v>
      </c>
      <c r="AE360" s="2">
        <v>1</v>
      </c>
      <c r="AF360" s="2">
        <f t="shared" si="280"/>
        <v>5062200</v>
      </c>
      <c r="AG360" s="2">
        <v>2</v>
      </c>
      <c r="AI360">
        <v>1</v>
      </c>
      <c r="AJ360" s="1">
        <f t="shared" si="263"/>
        <v>322.0107046990737</v>
      </c>
      <c r="AK360">
        <v>10</v>
      </c>
      <c r="AL360">
        <f t="shared" si="264"/>
        <v>336</v>
      </c>
      <c r="AM360">
        <f t="shared" si="265"/>
        <v>17.135999999999999</v>
      </c>
      <c r="AN360">
        <f t="shared" si="266"/>
        <v>4031.9999999999995</v>
      </c>
      <c r="AO360">
        <f t="shared" si="267"/>
        <v>205.63199999999998</v>
      </c>
      <c r="AP360">
        <f t="shared" si="268"/>
        <v>112</v>
      </c>
      <c r="AQ360">
        <f t="shared" si="269"/>
        <v>8.4</v>
      </c>
      <c r="AR360">
        <f t="shared" si="270"/>
        <v>1.5</v>
      </c>
      <c r="AS360">
        <f t="shared" si="275"/>
        <v>1.2</v>
      </c>
      <c r="AT360">
        <f t="shared" si="276"/>
        <v>3</v>
      </c>
      <c r="AU360">
        <f t="shared" si="274"/>
        <v>2002</v>
      </c>
      <c r="AV360" s="1">
        <v>0</v>
      </c>
      <c r="AW360">
        <v>5</v>
      </c>
      <c r="AX360">
        <v>0.15</v>
      </c>
      <c r="AZ360">
        <v>2</v>
      </c>
      <c r="BA360">
        <v>2</v>
      </c>
      <c r="CG360" t="str">
        <f t="shared" si="271"/>
        <v>DATA_Class_Base29</v>
      </c>
      <c r="CH360" s="3" t="s">
        <v>378</v>
      </c>
    </row>
    <row r="361" spans="1:86" ht="14.25">
      <c r="A361" s="49">
        <f t="shared" si="272"/>
        <v>5102201</v>
      </c>
      <c r="B361" s="2" t="s">
        <v>509</v>
      </c>
      <c r="C361" s="48" t="s">
        <v>510</v>
      </c>
      <c r="D361">
        <v>10</v>
      </c>
      <c r="E361">
        <v>2</v>
      </c>
      <c r="F361">
        <v>2</v>
      </c>
      <c r="G361" s="3" t="s">
        <v>511</v>
      </c>
      <c r="H361" s="3" t="s">
        <v>511</v>
      </c>
      <c r="I361">
        <v>0</v>
      </c>
      <c r="J361" s="8" t="s">
        <v>512</v>
      </c>
      <c r="K361" s="2">
        <f t="shared" si="273"/>
        <v>3</v>
      </c>
      <c r="L361" s="2">
        <f t="shared" si="279"/>
        <v>1.5</v>
      </c>
      <c r="M361" s="2">
        <f t="shared" si="279"/>
        <v>1.8</v>
      </c>
      <c r="N361" s="2">
        <v>10</v>
      </c>
      <c r="O361" s="2">
        <f t="shared" si="281"/>
        <v>309.12</v>
      </c>
      <c r="P361" s="2">
        <f t="shared" si="281"/>
        <v>15.77</v>
      </c>
      <c r="Q361" s="2">
        <f t="shared" si="281"/>
        <v>5796</v>
      </c>
      <c r="R361" s="2">
        <f t="shared" si="281"/>
        <v>295.60000000000002</v>
      </c>
      <c r="S361" s="2">
        <f t="shared" si="281"/>
        <v>134.4</v>
      </c>
      <c r="T361" s="2">
        <f t="shared" si="281"/>
        <v>10.08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17">
        <v>522013</v>
      </c>
      <c r="AA361" s="14" t="s">
        <v>711</v>
      </c>
      <c r="AB361" s="15" t="s">
        <v>469</v>
      </c>
      <c r="AC361" s="2">
        <v>5112201</v>
      </c>
      <c r="AD361" s="2">
        <v>0</v>
      </c>
      <c r="AE361" s="2">
        <v>1</v>
      </c>
      <c r="AF361" s="2">
        <f t="shared" si="280"/>
        <v>5062201</v>
      </c>
      <c r="AG361" s="2">
        <v>2</v>
      </c>
      <c r="AI361">
        <v>1</v>
      </c>
      <c r="AJ361" s="1">
        <f t="shared" si="263"/>
        <v>322.35652532629263</v>
      </c>
      <c r="AK361">
        <v>10</v>
      </c>
      <c r="AL361">
        <f t="shared" si="264"/>
        <v>268.8</v>
      </c>
      <c r="AM361">
        <f t="shared" si="265"/>
        <v>13.7088</v>
      </c>
      <c r="AN361">
        <f t="shared" si="266"/>
        <v>5040</v>
      </c>
      <c r="AO361">
        <f t="shared" si="267"/>
        <v>257.03999999999996</v>
      </c>
      <c r="AP361">
        <f t="shared" si="268"/>
        <v>116.86956521739131</v>
      </c>
      <c r="AQ361">
        <f t="shared" si="269"/>
        <v>8.7652173913043487</v>
      </c>
      <c r="AR361">
        <f t="shared" si="270"/>
        <v>1.5</v>
      </c>
      <c r="AS361">
        <f t="shared" si="275"/>
        <v>1.8</v>
      </c>
      <c r="AT361">
        <f t="shared" si="276"/>
        <v>3</v>
      </c>
      <c r="AU361">
        <f t="shared" si="274"/>
        <v>2012</v>
      </c>
      <c r="AV361" s="1">
        <v>1</v>
      </c>
      <c r="AW361">
        <v>5</v>
      </c>
      <c r="AX361">
        <v>0.15</v>
      </c>
      <c r="AZ361">
        <v>2</v>
      </c>
      <c r="BA361">
        <v>2</v>
      </c>
      <c r="CG361" t="str">
        <f t="shared" si="271"/>
        <v>DATA_Class_Base30</v>
      </c>
      <c r="CH361" s="3" t="s">
        <v>381</v>
      </c>
    </row>
    <row r="362" spans="1:86" ht="14.25">
      <c r="A362">
        <f t="shared" si="272"/>
        <v>5102202</v>
      </c>
      <c r="B362" s="2" t="s">
        <v>514</v>
      </c>
      <c r="C362" s="48" t="s">
        <v>515</v>
      </c>
      <c r="D362">
        <v>10</v>
      </c>
      <c r="E362">
        <v>2</v>
      </c>
      <c r="F362">
        <v>2</v>
      </c>
      <c r="G362" s="3" t="s">
        <v>516</v>
      </c>
      <c r="H362" s="3" t="s">
        <v>516</v>
      </c>
      <c r="I362" s="2">
        <v>0</v>
      </c>
      <c r="J362" s="2" t="s">
        <v>280</v>
      </c>
      <c r="K362" s="2">
        <f t="shared" si="273"/>
        <v>3</v>
      </c>
      <c r="L362" s="2">
        <f t="shared" si="279"/>
        <v>1.6</v>
      </c>
      <c r="M362" s="2">
        <f t="shared" si="279"/>
        <v>2</v>
      </c>
      <c r="N362" s="2">
        <v>10</v>
      </c>
      <c r="O362" s="2">
        <f t="shared" si="281"/>
        <v>453.38</v>
      </c>
      <c r="P362" s="2">
        <f t="shared" si="281"/>
        <v>23.12</v>
      </c>
      <c r="Q362" s="2">
        <f t="shared" si="281"/>
        <v>3856.7</v>
      </c>
      <c r="R362" s="2">
        <f t="shared" si="281"/>
        <v>196.69</v>
      </c>
      <c r="S362" s="2">
        <f t="shared" si="281"/>
        <v>113.34</v>
      </c>
      <c r="T362" s="2">
        <f t="shared" si="281"/>
        <v>8.5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17">
        <v>522023</v>
      </c>
      <c r="AA362" s="14" t="s">
        <v>712</v>
      </c>
      <c r="AB362" s="15" t="s">
        <v>469</v>
      </c>
      <c r="AC362" s="2">
        <v>5112202</v>
      </c>
      <c r="AD362" s="2">
        <v>0</v>
      </c>
      <c r="AE362" s="2">
        <v>1</v>
      </c>
      <c r="AF362" s="2">
        <f t="shared" si="280"/>
        <v>5062202</v>
      </c>
      <c r="AG362" s="2">
        <v>2</v>
      </c>
      <c r="AI362">
        <v>1</v>
      </c>
      <c r="AJ362" s="1">
        <f t="shared" si="263"/>
        <v>321.37632958501462</v>
      </c>
      <c r="AK362">
        <v>10</v>
      </c>
      <c r="AL362">
        <f t="shared" si="264"/>
        <v>412.15999999999997</v>
      </c>
      <c r="AM362">
        <f t="shared" si="265"/>
        <v>21.020159999999997</v>
      </c>
      <c r="AN362">
        <f t="shared" si="266"/>
        <v>3506.0869565217395</v>
      </c>
      <c r="AO362">
        <f t="shared" si="267"/>
        <v>178.8104347826087</v>
      </c>
      <c r="AP362">
        <f t="shared" si="268"/>
        <v>103.03999999999999</v>
      </c>
      <c r="AQ362">
        <f t="shared" si="269"/>
        <v>7.7279999999999989</v>
      </c>
      <c r="AR362">
        <f t="shared" si="270"/>
        <v>1.6</v>
      </c>
      <c r="AS362">
        <f t="shared" si="275"/>
        <v>2</v>
      </c>
      <c r="AT362">
        <f t="shared" si="276"/>
        <v>3</v>
      </c>
      <c r="AU362">
        <f t="shared" si="274"/>
        <v>2022</v>
      </c>
      <c r="AV362" s="1">
        <v>2</v>
      </c>
      <c r="AW362">
        <v>5</v>
      </c>
      <c r="AX362">
        <v>0.1</v>
      </c>
      <c r="AZ362">
        <v>2</v>
      </c>
      <c r="BA362">
        <v>2</v>
      </c>
      <c r="CG362" t="str">
        <f t="shared" si="271"/>
        <v>DATA_Class_Base31</v>
      </c>
      <c r="CH362" s="3" t="s">
        <v>384</v>
      </c>
    </row>
    <row r="363" spans="1:86" ht="14.25">
      <c r="A363">
        <f t="shared" si="272"/>
        <v>5102301</v>
      </c>
      <c r="B363" s="2" t="s">
        <v>518</v>
      </c>
      <c r="C363" s="48" t="s">
        <v>519</v>
      </c>
      <c r="D363">
        <v>10</v>
      </c>
      <c r="E363">
        <v>3</v>
      </c>
      <c r="F363">
        <v>2</v>
      </c>
      <c r="G363" s="3" t="s">
        <v>520</v>
      </c>
      <c r="H363" s="3" t="s">
        <v>520</v>
      </c>
      <c r="I363">
        <v>0</v>
      </c>
      <c r="J363" s="2" t="s">
        <v>285</v>
      </c>
      <c r="K363" s="2">
        <f t="shared" si="273"/>
        <v>3</v>
      </c>
      <c r="L363" s="2">
        <f t="shared" si="279"/>
        <v>1.2</v>
      </c>
      <c r="M363" s="2">
        <f t="shared" si="279"/>
        <v>1.7</v>
      </c>
      <c r="N363" s="2">
        <v>10</v>
      </c>
      <c r="O363" s="2">
        <f t="shared" si="281"/>
        <v>384.38</v>
      </c>
      <c r="P363" s="2">
        <f t="shared" si="281"/>
        <v>19.600000000000001</v>
      </c>
      <c r="Q363" s="2">
        <f t="shared" si="281"/>
        <v>3411.69</v>
      </c>
      <c r="R363" s="2">
        <f t="shared" si="281"/>
        <v>174</v>
      </c>
      <c r="S363" s="2">
        <f t="shared" si="281"/>
        <v>96.1</v>
      </c>
      <c r="T363" s="2">
        <f t="shared" si="281"/>
        <v>7.21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17">
        <v>523013</v>
      </c>
      <c r="AA363" s="14" t="s">
        <v>713</v>
      </c>
      <c r="AB363" s="15" t="s">
        <v>469</v>
      </c>
      <c r="AC363" s="2">
        <v>5112301</v>
      </c>
      <c r="AD363" s="2">
        <v>0</v>
      </c>
      <c r="AE363" s="2">
        <v>1</v>
      </c>
      <c r="AF363" s="2">
        <f t="shared" si="280"/>
        <v>5062301</v>
      </c>
      <c r="AG363" s="2">
        <v>2</v>
      </c>
      <c r="AI363">
        <v>1</v>
      </c>
      <c r="AJ363" s="1">
        <f t="shared" si="263"/>
        <v>320.27216687707181</v>
      </c>
      <c r="AK363">
        <v>10</v>
      </c>
      <c r="AL363">
        <f t="shared" si="264"/>
        <v>349.44</v>
      </c>
      <c r="AM363">
        <f t="shared" si="265"/>
        <v>17.821439999999999</v>
      </c>
      <c r="AN363">
        <f t="shared" si="266"/>
        <v>3101.538461538461</v>
      </c>
      <c r="AO363">
        <f t="shared" si="267"/>
        <v>158.17846153846151</v>
      </c>
      <c r="AP363">
        <f t="shared" si="268"/>
        <v>87.36</v>
      </c>
      <c r="AQ363">
        <f t="shared" si="269"/>
        <v>6.5519999999999996</v>
      </c>
      <c r="AR363">
        <f t="shared" si="270"/>
        <v>1.2</v>
      </c>
      <c r="AS363">
        <f t="shared" si="275"/>
        <v>1.7</v>
      </c>
      <c r="AT363">
        <f t="shared" si="276"/>
        <v>3</v>
      </c>
      <c r="AU363">
        <f t="shared" si="274"/>
        <v>3012</v>
      </c>
      <c r="AV363" s="1">
        <v>1</v>
      </c>
      <c r="AW363">
        <v>5</v>
      </c>
      <c r="AX363">
        <v>0.1</v>
      </c>
      <c r="AZ363">
        <v>3</v>
      </c>
      <c r="BA363">
        <v>2</v>
      </c>
      <c r="CG363" t="str">
        <f t="shared" si="271"/>
        <v>DATA_Class_Base32</v>
      </c>
      <c r="CH363" s="3" t="s">
        <v>388</v>
      </c>
    </row>
    <row r="364" spans="1:86" ht="14.25">
      <c r="A364">
        <f t="shared" si="272"/>
        <v>5102401</v>
      </c>
      <c r="B364" s="2" t="s">
        <v>522</v>
      </c>
      <c r="C364" s="48" t="s">
        <v>523</v>
      </c>
      <c r="D364">
        <v>10</v>
      </c>
      <c r="E364">
        <v>4</v>
      </c>
      <c r="F364">
        <v>2</v>
      </c>
      <c r="G364" s="3" t="s">
        <v>524</v>
      </c>
      <c r="H364" s="3" t="s">
        <v>524</v>
      </c>
      <c r="I364" s="2">
        <v>0</v>
      </c>
      <c r="J364" s="8" t="s">
        <v>250</v>
      </c>
      <c r="K364" s="2">
        <f t="shared" si="273"/>
        <v>6</v>
      </c>
      <c r="L364" s="2">
        <f t="shared" si="279"/>
        <v>1.6</v>
      </c>
      <c r="M364" s="2">
        <f t="shared" si="279"/>
        <v>1.5</v>
      </c>
      <c r="N364" s="2">
        <v>10</v>
      </c>
      <c r="O364" s="2">
        <f t="shared" si="281"/>
        <v>512.51</v>
      </c>
      <c r="P364" s="2">
        <f t="shared" si="281"/>
        <v>26.14</v>
      </c>
      <c r="Q364" s="2">
        <f t="shared" si="281"/>
        <v>3411.69</v>
      </c>
      <c r="R364" s="2">
        <f t="shared" si="281"/>
        <v>174</v>
      </c>
      <c r="S364" s="2">
        <f t="shared" si="281"/>
        <v>73.22</v>
      </c>
      <c r="T364" s="2">
        <f t="shared" si="281"/>
        <v>5.49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17">
        <v>524013</v>
      </c>
      <c r="AA364" s="14" t="s">
        <v>714</v>
      </c>
      <c r="AB364" s="15" t="s">
        <v>469</v>
      </c>
      <c r="AC364" s="2">
        <v>5112401</v>
      </c>
      <c r="AD364" s="2">
        <v>0</v>
      </c>
      <c r="AE364" s="2">
        <v>1</v>
      </c>
      <c r="AF364" s="2">
        <f t="shared" si="280"/>
        <v>5062401</v>
      </c>
      <c r="AG364" s="2">
        <v>2</v>
      </c>
      <c r="AI364">
        <v>1</v>
      </c>
      <c r="AJ364" s="1">
        <f t="shared" si="263"/>
        <v>318.81911600763556</v>
      </c>
      <c r="AK364">
        <v>10</v>
      </c>
      <c r="AL364">
        <f t="shared" si="264"/>
        <v>465.91999999999996</v>
      </c>
      <c r="AM364">
        <f t="shared" si="265"/>
        <v>23.761919999999996</v>
      </c>
      <c r="AN364">
        <f t="shared" si="266"/>
        <v>3101.538461538461</v>
      </c>
      <c r="AO364">
        <f t="shared" si="267"/>
        <v>158.17846153846151</v>
      </c>
      <c r="AP364">
        <f t="shared" si="268"/>
        <v>66.559999999999988</v>
      </c>
      <c r="AQ364">
        <f t="shared" si="269"/>
        <v>4.9919999999999991</v>
      </c>
      <c r="AR364">
        <f t="shared" si="270"/>
        <v>1.6</v>
      </c>
      <c r="AS364">
        <f t="shared" si="275"/>
        <v>1.5</v>
      </c>
      <c r="AT364">
        <f t="shared" si="276"/>
        <v>6</v>
      </c>
      <c r="AU364">
        <f t="shared" si="274"/>
        <v>4012</v>
      </c>
      <c r="AV364" s="1">
        <v>1</v>
      </c>
      <c r="AW364">
        <v>5</v>
      </c>
      <c r="AX364">
        <v>0.1</v>
      </c>
      <c r="AZ364">
        <v>4</v>
      </c>
      <c r="BA364">
        <v>2</v>
      </c>
      <c r="CG364" t="str">
        <f t="shared" si="271"/>
        <v>DATA_Class_Base33</v>
      </c>
      <c r="CH364" s="3" t="s">
        <v>391</v>
      </c>
    </row>
    <row r="365" spans="1:86" ht="14.25">
      <c r="A365">
        <f t="shared" si="272"/>
        <v>5102402</v>
      </c>
      <c r="B365" s="2" t="s">
        <v>526</v>
      </c>
      <c r="C365" s="48" t="s">
        <v>527</v>
      </c>
      <c r="D365">
        <v>10</v>
      </c>
      <c r="E365">
        <v>4</v>
      </c>
      <c r="F365">
        <v>2</v>
      </c>
      <c r="G365" s="3" t="s">
        <v>528</v>
      </c>
      <c r="H365" s="3" t="s">
        <v>528</v>
      </c>
      <c r="I365">
        <v>0</v>
      </c>
      <c r="J365" s="2" t="s">
        <v>250</v>
      </c>
      <c r="K365" s="2">
        <f t="shared" si="273"/>
        <v>6</v>
      </c>
      <c r="L365" s="2">
        <f t="shared" ref="L365:M428" si="282">FLOOR(AR365/1,0.01)</f>
        <v>1.5</v>
      </c>
      <c r="M365" s="2">
        <f t="shared" si="282"/>
        <v>1.5</v>
      </c>
      <c r="N365" s="2">
        <v>10</v>
      </c>
      <c r="O365" s="2">
        <f t="shared" si="281"/>
        <v>540.96</v>
      </c>
      <c r="P365" s="2">
        <f t="shared" si="281"/>
        <v>27.59</v>
      </c>
      <c r="Q365" s="2">
        <f t="shared" si="281"/>
        <v>3312</v>
      </c>
      <c r="R365" s="2">
        <f t="shared" si="281"/>
        <v>168.91</v>
      </c>
      <c r="S365" s="2">
        <f t="shared" si="281"/>
        <v>77.28</v>
      </c>
      <c r="T365" s="2">
        <f t="shared" si="281"/>
        <v>5.8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17">
        <v>524023</v>
      </c>
      <c r="AA365" s="14" t="s">
        <v>715</v>
      </c>
      <c r="AB365" s="15" t="s">
        <v>469</v>
      </c>
      <c r="AC365" s="2">
        <v>5112402</v>
      </c>
      <c r="AD365" s="2">
        <v>0</v>
      </c>
      <c r="AE365" s="2">
        <v>1</v>
      </c>
      <c r="AF365" s="2">
        <f t="shared" si="280"/>
        <v>5062402</v>
      </c>
      <c r="AG365" s="2">
        <v>2</v>
      </c>
      <c r="AI365">
        <v>1</v>
      </c>
      <c r="AJ365" s="1">
        <f t="shared" si="263"/>
        <v>318.86362863645945</v>
      </c>
      <c r="AK365">
        <v>10</v>
      </c>
      <c r="AL365">
        <f t="shared" si="264"/>
        <v>470.39999999999986</v>
      </c>
      <c r="AM365">
        <f t="shared" si="265"/>
        <v>23.99039999999999</v>
      </c>
      <c r="AN365">
        <f t="shared" si="266"/>
        <v>2880</v>
      </c>
      <c r="AO365">
        <f t="shared" si="267"/>
        <v>146.88</v>
      </c>
      <c r="AP365">
        <f t="shared" si="268"/>
        <v>67.199999999999974</v>
      </c>
      <c r="AQ365">
        <f t="shared" si="269"/>
        <v>5.0399999999999983</v>
      </c>
      <c r="AR365">
        <f t="shared" si="270"/>
        <v>1.5</v>
      </c>
      <c r="AS365">
        <f t="shared" si="275"/>
        <v>1.5</v>
      </c>
      <c r="AT365">
        <f t="shared" si="276"/>
        <v>6</v>
      </c>
      <c r="AU365">
        <f t="shared" si="274"/>
        <v>4022</v>
      </c>
      <c r="AV365" s="1">
        <v>2</v>
      </c>
      <c r="AW365">
        <v>5</v>
      </c>
      <c r="AX365">
        <v>0.15</v>
      </c>
      <c r="AZ365">
        <v>4</v>
      </c>
      <c r="BA365">
        <v>2</v>
      </c>
      <c r="CG365" t="str">
        <f t="shared" si="271"/>
        <v>DATA_Class_Base34</v>
      </c>
      <c r="CH365" s="3" t="s">
        <v>184</v>
      </c>
    </row>
    <row r="366" spans="1:86" ht="14.25">
      <c r="A366">
        <f t="shared" si="272"/>
        <v>5102500</v>
      </c>
      <c r="B366" s="2" t="s">
        <v>530</v>
      </c>
      <c r="C366" s="48" t="s">
        <v>531</v>
      </c>
      <c r="D366">
        <v>10</v>
      </c>
      <c r="E366">
        <v>5</v>
      </c>
      <c r="F366">
        <v>2</v>
      </c>
      <c r="G366" s="3" t="s">
        <v>532</v>
      </c>
      <c r="H366" s="3" t="s">
        <v>532</v>
      </c>
      <c r="I366" s="2">
        <v>0</v>
      </c>
      <c r="J366" s="2" t="s">
        <v>533</v>
      </c>
      <c r="K366" s="2">
        <f t="shared" si="273"/>
        <v>6</v>
      </c>
      <c r="L366" s="2">
        <f t="shared" si="282"/>
        <v>1.4000000000000001</v>
      </c>
      <c r="M366" s="2">
        <f t="shared" si="282"/>
        <v>2</v>
      </c>
      <c r="N366" s="2">
        <v>10</v>
      </c>
      <c r="O366" s="2">
        <f t="shared" si="281"/>
        <v>517.44000000000005</v>
      </c>
      <c r="P366" s="2">
        <f t="shared" si="281"/>
        <v>26.39</v>
      </c>
      <c r="Q366" s="2">
        <f t="shared" si="281"/>
        <v>2956.8</v>
      </c>
      <c r="R366" s="2">
        <f t="shared" si="281"/>
        <v>150.80000000000001</v>
      </c>
      <c r="S366" s="2">
        <f t="shared" si="281"/>
        <v>68.989999999999995</v>
      </c>
      <c r="T366" s="2">
        <f t="shared" si="281"/>
        <v>5.17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17">
        <v>525003</v>
      </c>
      <c r="AA366" s="14" t="s">
        <v>716</v>
      </c>
      <c r="AB366" s="15" t="s">
        <v>469</v>
      </c>
      <c r="AC366" s="2">
        <v>5112500</v>
      </c>
      <c r="AD366" s="2">
        <v>0</v>
      </c>
      <c r="AE366" s="2">
        <v>1</v>
      </c>
      <c r="AF366" s="2">
        <f t="shared" si="280"/>
        <v>5062500</v>
      </c>
      <c r="AG366" s="2">
        <v>2</v>
      </c>
      <c r="AI366">
        <v>1</v>
      </c>
      <c r="AJ366" s="1">
        <f t="shared" si="263"/>
        <v>318.5523009984235</v>
      </c>
      <c r="AK366">
        <v>10</v>
      </c>
      <c r="AL366">
        <f t="shared" si="264"/>
        <v>470.39999999999986</v>
      </c>
      <c r="AM366">
        <f t="shared" si="265"/>
        <v>23.99039999999999</v>
      </c>
      <c r="AN366">
        <f t="shared" si="266"/>
        <v>2688</v>
      </c>
      <c r="AO366">
        <f t="shared" si="267"/>
        <v>137.08799999999999</v>
      </c>
      <c r="AP366">
        <f t="shared" si="268"/>
        <v>62.719999999999985</v>
      </c>
      <c r="AQ366">
        <f t="shared" si="269"/>
        <v>4.7039999999999988</v>
      </c>
      <c r="AR366">
        <f t="shared" si="270"/>
        <v>1.4</v>
      </c>
      <c r="AS366">
        <f t="shared" si="275"/>
        <v>2</v>
      </c>
      <c r="AT366">
        <f t="shared" si="276"/>
        <v>6</v>
      </c>
      <c r="AU366">
        <f t="shared" si="274"/>
        <v>5002</v>
      </c>
      <c r="AV366" s="1">
        <v>0</v>
      </c>
      <c r="AW366">
        <v>5</v>
      </c>
      <c r="AX366">
        <v>0.1</v>
      </c>
      <c r="AZ366">
        <v>5</v>
      </c>
      <c r="BA366">
        <v>2</v>
      </c>
      <c r="CG366" t="str">
        <f t="shared" si="271"/>
        <v>DATA_Class_Base35</v>
      </c>
      <c r="CH366" s="3" t="s">
        <v>195</v>
      </c>
    </row>
    <row r="367" spans="1:86" ht="14.25">
      <c r="A367" s="49">
        <f t="shared" si="272"/>
        <v>5102502</v>
      </c>
      <c r="B367" s="2" t="s">
        <v>535</v>
      </c>
      <c r="C367" s="48" t="s">
        <v>536</v>
      </c>
      <c r="D367">
        <v>10</v>
      </c>
      <c r="E367">
        <v>5</v>
      </c>
      <c r="F367">
        <v>2</v>
      </c>
      <c r="G367" s="3" t="s">
        <v>537</v>
      </c>
      <c r="H367" s="3" t="s">
        <v>537</v>
      </c>
      <c r="I367" s="2">
        <v>0</v>
      </c>
      <c r="J367" s="2" t="s">
        <v>291</v>
      </c>
      <c r="K367" s="2">
        <f t="shared" si="273"/>
        <v>6</v>
      </c>
      <c r="L367" s="2">
        <f t="shared" si="282"/>
        <v>1.4000000000000001</v>
      </c>
      <c r="M367" s="2">
        <f t="shared" si="282"/>
        <v>2</v>
      </c>
      <c r="N367" s="2">
        <v>10</v>
      </c>
      <c r="O367" s="2">
        <f t="shared" si="281"/>
        <v>583.29999999999995</v>
      </c>
      <c r="P367" s="2">
        <f t="shared" si="281"/>
        <v>29.75</v>
      </c>
      <c r="Q367" s="2">
        <f t="shared" si="281"/>
        <v>3121.55</v>
      </c>
      <c r="R367" s="2">
        <f t="shared" si="281"/>
        <v>159.19999999999999</v>
      </c>
      <c r="S367" s="2">
        <f t="shared" si="281"/>
        <v>83.33</v>
      </c>
      <c r="T367" s="2">
        <f t="shared" si="281"/>
        <v>6.25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17">
        <v>525023</v>
      </c>
      <c r="AA367" s="14" t="s">
        <v>717</v>
      </c>
      <c r="AB367" s="15" t="s">
        <v>469</v>
      </c>
      <c r="AC367" s="2">
        <v>5112502</v>
      </c>
      <c r="AD367" s="2">
        <v>0</v>
      </c>
      <c r="AE367" s="2">
        <v>1</v>
      </c>
      <c r="AF367" s="2">
        <f t="shared" si="280"/>
        <v>5062502</v>
      </c>
      <c r="AG367" s="2">
        <v>2</v>
      </c>
      <c r="AI367">
        <v>1</v>
      </c>
      <c r="AJ367" s="1">
        <f t="shared" si="263"/>
        <v>319.01952076716543</v>
      </c>
      <c r="AK367">
        <v>10</v>
      </c>
      <c r="AL367">
        <f t="shared" si="264"/>
        <v>486.07999999999993</v>
      </c>
      <c r="AM367">
        <f t="shared" si="265"/>
        <v>24.790079999999996</v>
      </c>
      <c r="AN367">
        <f t="shared" si="266"/>
        <v>2601.2903225806449</v>
      </c>
      <c r="AO367">
        <f t="shared" si="267"/>
        <v>132.66580645161289</v>
      </c>
      <c r="AP367">
        <f t="shared" si="268"/>
        <v>69.439999999999984</v>
      </c>
      <c r="AQ367">
        <f t="shared" si="269"/>
        <v>5.2079999999999984</v>
      </c>
      <c r="AR367">
        <f t="shared" si="270"/>
        <v>1.4</v>
      </c>
      <c r="AS367">
        <f t="shared" si="275"/>
        <v>2</v>
      </c>
      <c r="AT367">
        <f t="shared" si="276"/>
        <v>6</v>
      </c>
      <c r="AU367">
        <f t="shared" si="274"/>
        <v>5022</v>
      </c>
      <c r="AV367" s="1">
        <v>2</v>
      </c>
      <c r="AW367">
        <v>5</v>
      </c>
      <c r="AX367">
        <v>0.2</v>
      </c>
      <c r="AZ367">
        <v>5</v>
      </c>
      <c r="BA367">
        <v>2</v>
      </c>
      <c r="CG367" t="str">
        <f t="shared" si="271"/>
        <v>DATA_Class_Base36</v>
      </c>
      <c r="CH367" s="3" t="s">
        <v>201</v>
      </c>
    </row>
    <row r="368" spans="1:86" ht="14.25">
      <c r="A368" s="49">
        <f t="shared" si="272"/>
        <v>5102601</v>
      </c>
      <c r="B368" s="2" t="s">
        <v>539</v>
      </c>
      <c r="C368" s="48" t="s">
        <v>540</v>
      </c>
      <c r="D368">
        <v>10</v>
      </c>
      <c r="E368">
        <v>6</v>
      </c>
      <c r="F368">
        <v>2</v>
      </c>
      <c r="G368" s="3" t="s">
        <v>541</v>
      </c>
      <c r="H368" s="3" t="s">
        <v>541</v>
      </c>
      <c r="I368" s="2">
        <v>0</v>
      </c>
      <c r="J368" s="8" t="s">
        <v>542</v>
      </c>
      <c r="K368" s="2">
        <f t="shared" si="273"/>
        <v>6</v>
      </c>
      <c r="L368" s="2">
        <f t="shared" si="282"/>
        <v>1.5</v>
      </c>
      <c r="M368" s="2">
        <f t="shared" si="282"/>
        <v>2</v>
      </c>
      <c r="N368" s="2">
        <v>10</v>
      </c>
      <c r="O368" s="2">
        <f t="shared" si="281"/>
        <v>443.52</v>
      </c>
      <c r="P368" s="2">
        <f t="shared" si="281"/>
        <v>22.62</v>
      </c>
      <c r="Q368" s="2">
        <f t="shared" si="281"/>
        <v>4398.55</v>
      </c>
      <c r="R368" s="2">
        <f t="shared" si="281"/>
        <v>224.33</v>
      </c>
      <c r="S368" s="2">
        <f t="shared" si="281"/>
        <v>98.56</v>
      </c>
      <c r="T368" s="2">
        <f t="shared" si="281"/>
        <v>7.39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17">
        <v>526013</v>
      </c>
      <c r="AA368" s="14" t="s">
        <v>718</v>
      </c>
      <c r="AB368" s="15" t="s">
        <v>469</v>
      </c>
      <c r="AC368" s="2">
        <v>5112601</v>
      </c>
      <c r="AD368" s="2">
        <v>0</v>
      </c>
      <c r="AE368" s="2">
        <v>1</v>
      </c>
      <c r="AF368" s="2">
        <f t="shared" si="280"/>
        <v>5062601</v>
      </c>
      <c r="AG368" s="2">
        <v>2</v>
      </c>
      <c r="AI368">
        <v>1</v>
      </c>
      <c r="AJ368" s="1">
        <f t="shared" si="263"/>
        <v>319.90579675963272</v>
      </c>
      <c r="AK368">
        <v>10</v>
      </c>
      <c r="AL368">
        <f t="shared" si="264"/>
        <v>369.59999999999997</v>
      </c>
      <c r="AM368">
        <f t="shared" si="265"/>
        <v>18.849599999999999</v>
      </c>
      <c r="AN368">
        <f t="shared" si="266"/>
        <v>3665.454545454545</v>
      </c>
      <c r="AO368">
        <f t="shared" si="267"/>
        <v>186.93818181818179</v>
      </c>
      <c r="AP368">
        <f t="shared" si="268"/>
        <v>82.133333333333326</v>
      </c>
      <c r="AQ368">
        <f t="shared" si="269"/>
        <v>6.1599999999999993</v>
      </c>
      <c r="AR368">
        <f t="shared" si="270"/>
        <v>1.5</v>
      </c>
      <c r="AS368">
        <f t="shared" si="275"/>
        <v>2</v>
      </c>
      <c r="AT368">
        <f t="shared" si="276"/>
        <v>6</v>
      </c>
      <c r="AU368">
        <f t="shared" si="274"/>
        <v>6012</v>
      </c>
      <c r="AV368" s="1">
        <v>1</v>
      </c>
      <c r="AW368">
        <v>5</v>
      </c>
      <c r="AX368">
        <v>0.2</v>
      </c>
      <c r="AZ368">
        <v>6</v>
      </c>
      <c r="BA368">
        <v>2</v>
      </c>
      <c r="CG368" t="str">
        <f t="shared" si="271"/>
        <v>DATA_Class_Base28</v>
      </c>
      <c r="CH368" s="3" t="s">
        <v>374</v>
      </c>
    </row>
    <row r="369" spans="1:86" ht="14.25">
      <c r="A369" s="49">
        <f t="shared" si="272"/>
        <v>5103200</v>
      </c>
      <c r="B369" s="2" t="s">
        <v>544</v>
      </c>
      <c r="C369" s="48" t="s">
        <v>545</v>
      </c>
      <c r="D369">
        <v>10</v>
      </c>
      <c r="E369">
        <v>2</v>
      </c>
      <c r="F369">
        <v>3</v>
      </c>
      <c r="G369" s="3" t="s">
        <v>546</v>
      </c>
      <c r="H369" s="3" t="s">
        <v>546</v>
      </c>
      <c r="I369">
        <v>0</v>
      </c>
      <c r="J369" s="2" t="s">
        <v>314</v>
      </c>
      <c r="K369" s="2">
        <f t="shared" si="273"/>
        <v>3</v>
      </c>
      <c r="L369" s="2">
        <f t="shared" si="282"/>
        <v>1.5</v>
      </c>
      <c r="M369" s="2">
        <f t="shared" si="282"/>
        <v>1.2</v>
      </c>
      <c r="N369" s="2">
        <v>10</v>
      </c>
      <c r="O369" s="2">
        <f t="shared" si="281"/>
        <v>270.48</v>
      </c>
      <c r="P369" s="2">
        <f t="shared" si="281"/>
        <v>13.79</v>
      </c>
      <c r="Q369" s="2">
        <f t="shared" si="281"/>
        <v>6624</v>
      </c>
      <c r="R369" s="2">
        <f t="shared" si="281"/>
        <v>337.82</v>
      </c>
      <c r="S369" s="2">
        <f t="shared" si="281"/>
        <v>135.24</v>
      </c>
      <c r="T369" s="2">
        <f t="shared" si="281"/>
        <v>10.14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17">
        <v>532003</v>
      </c>
      <c r="AA369" s="14" t="s">
        <v>719</v>
      </c>
      <c r="AB369" s="15" t="s">
        <v>469</v>
      </c>
      <c r="AC369" s="2">
        <v>5113200</v>
      </c>
      <c r="AD369" s="2">
        <v>0</v>
      </c>
      <c r="AE369" s="2">
        <v>1</v>
      </c>
      <c r="AF369" s="2">
        <f t="shared" si="280"/>
        <v>5063200</v>
      </c>
      <c r="AG369" s="2">
        <v>2</v>
      </c>
      <c r="AI369">
        <v>1</v>
      </c>
      <c r="AJ369" s="1">
        <f t="shared" si="263"/>
        <v>322.40846249566016</v>
      </c>
      <c r="AK369">
        <v>10</v>
      </c>
      <c r="AL369">
        <f t="shared" si="264"/>
        <v>235.19999999999993</v>
      </c>
      <c r="AM369">
        <f t="shared" si="265"/>
        <v>11.995199999999995</v>
      </c>
      <c r="AN369">
        <f t="shared" si="266"/>
        <v>5760</v>
      </c>
      <c r="AO369">
        <f t="shared" si="267"/>
        <v>293.76</v>
      </c>
      <c r="AP369">
        <f t="shared" si="268"/>
        <v>117.59999999999997</v>
      </c>
      <c r="AQ369">
        <f t="shared" si="269"/>
        <v>8.8199999999999967</v>
      </c>
      <c r="AR369">
        <f t="shared" si="270"/>
        <v>1.5</v>
      </c>
      <c r="AS369">
        <f t="shared" si="275"/>
        <v>1.2</v>
      </c>
      <c r="AT369">
        <f t="shared" si="276"/>
        <v>3</v>
      </c>
      <c r="AU369">
        <f t="shared" si="274"/>
        <v>2003</v>
      </c>
      <c r="AV369" s="1">
        <v>0</v>
      </c>
      <c r="AW369">
        <v>5</v>
      </c>
      <c r="AX369">
        <v>0.15</v>
      </c>
      <c r="AZ369">
        <v>2</v>
      </c>
      <c r="BA369">
        <v>3</v>
      </c>
      <c r="CG369" t="str">
        <f t="shared" si="271"/>
        <v>DATA_Class_Base29</v>
      </c>
      <c r="CH369" s="3" t="s">
        <v>378</v>
      </c>
    </row>
    <row r="370" spans="1:86" ht="14.25">
      <c r="A370">
        <f t="shared" si="272"/>
        <v>5103201</v>
      </c>
      <c r="B370" s="2" t="s">
        <v>548</v>
      </c>
      <c r="C370" s="48" t="s">
        <v>549</v>
      </c>
      <c r="D370">
        <v>10</v>
      </c>
      <c r="E370">
        <v>2</v>
      </c>
      <c r="F370">
        <v>3</v>
      </c>
      <c r="G370" s="3" t="s">
        <v>550</v>
      </c>
      <c r="H370" s="3" t="s">
        <v>550</v>
      </c>
      <c r="I370" s="2">
        <v>0</v>
      </c>
      <c r="J370" s="50" t="s">
        <v>1720</v>
      </c>
      <c r="K370" s="2">
        <f t="shared" si="273"/>
        <v>3</v>
      </c>
      <c r="L370" s="2">
        <f t="shared" si="282"/>
        <v>1.7</v>
      </c>
      <c r="M370" s="2">
        <f t="shared" si="282"/>
        <v>1.8</v>
      </c>
      <c r="N370" s="2">
        <v>10</v>
      </c>
      <c r="O370" s="2">
        <f t="shared" si="281"/>
        <v>251.33</v>
      </c>
      <c r="P370" s="2">
        <f t="shared" si="281"/>
        <v>12.82</v>
      </c>
      <c r="Q370" s="2">
        <f t="shared" si="281"/>
        <v>7392</v>
      </c>
      <c r="R370" s="2">
        <f t="shared" si="281"/>
        <v>376.99</v>
      </c>
      <c r="S370" s="2">
        <f t="shared" si="281"/>
        <v>125.66</v>
      </c>
      <c r="T370" s="2">
        <f t="shared" si="281"/>
        <v>9.42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17">
        <v>532013</v>
      </c>
      <c r="AA370" s="14" t="s">
        <v>720</v>
      </c>
      <c r="AB370" s="15" t="s">
        <v>469</v>
      </c>
      <c r="AC370" s="2">
        <v>5113201</v>
      </c>
      <c r="AD370" s="2">
        <v>0</v>
      </c>
      <c r="AE370" s="2">
        <v>1</v>
      </c>
      <c r="AF370" s="2">
        <f t="shared" si="280"/>
        <v>5063201</v>
      </c>
      <c r="AG370" s="2">
        <v>2</v>
      </c>
      <c r="AI370">
        <v>1</v>
      </c>
      <c r="AJ370" s="1">
        <f t="shared" ref="AJ370:AJ433" si="283">(AN370+AO370*AI370)*(AL370+AM370*AI370)/AR370*(0.9)*(1+0.5*0.1)*1/1/(1-(AP370+AQ370*AI370)*0.0002)/3000</f>
        <v>322.16968998751747</v>
      </c>
      <c r="AK370">
        <v>10</v>
      </c>
      <c r="AL370">
        <f t="shared" si="264"/>
        <v>228.48000000000002</v>
      </c>
      <c r="AM370">
        <f t="shared" si="265"/>
        <v>11.652480000000001</v>
      </c>
      <c r="AN370">
        <f t="shared" si="266"/>
        <v>6720</v>
      </c>
      <c r="AO370">
        <f t="shared" si="267"/>
        <v>342.71999999999997</v>
      </c>
      <c r="AP370">
        <f t="shared" si="268"/>
        <v>114.24000000000001</v>
      </c>
      <c r="AQ370">
        <f t="shared" si="269"/>
        <v>8.5679999999999996</v>
      </c>
      <c r="AR370">
        <f t="shared" si="270"/>
        <v>1.7</v>
      </c>
      <c r="AS370">
        <f t="shared" si="275"/>
        <v>1.8</v>
      </c>
      <c r="AT370">
        <f t="shared" si="276"/>
        <v>3</v>
      </c>
      <c r="AU370">
        <f t="shared" si="274"/>
        <v>2013</v>
      </c>
      <c r="AV370" s="1">
        <v>1</v>
      </c>
      <c r="AW370">
        <v>5</v>
      </c>
      <c r="AX370">
        <v>0.1</v>
      </c>
      <c r="AZ370">
        <v>2</v>
      </c>
      <c r="BA370">
        <v>3</v>
      </c>
      <c r="CG370" t="str">
        <f t="shared" si="271"/>
        <v>DATA_Class_Base30</v>
      </c>
      <c r="CH370" s="3" t="s">
        <v>381</v>
      </c>
    </row>
    <row r="371" spans="1:86" ht="14.25">
      <c r="A371">
        <f t="shared" si="272"/>
        <v>5103202</v>
      </c>
      <c r="B371" s="2" t="s">
        <v>552</v>
      </c>
      <c r="C371" s="48" t="s">
        <v>553</v>
      </c>
      <c r="D371">
        <v>10</v>
      </c>
      <c r="E371">
        <v>2</v>
      </c>
      <c r="F371">
        <v>3</v>
      </c>
      <c r="G371" s="3" t="s">
        <v>554</v>
      </c>
      <c r="H371" s="3" t="s">
        <v>554</v>
      </c>
      <c r="I371">
        <v>0</v>
      </c>
      <c r="J371" s="8" t="s">
        <v>555</v>
      </c>
      <c r="K371" s="2">
        <f t="shared" si="273"/>
        <v>3</v>
      </c>
      <c r="L371" s="2">
        <f t="shared" si="282"/>
        <v>1.7</v>
      </c>
      <c r="M371" s="2">
        <f t="shared" si="282"/>
        <v>2</v>
      </c>
      <c r="N371" s="2">
        <v>10</v>
      </c>
      <c r="O371" s="2">
        <f t="shared" si="281"/>
        <v>394.13</v>
      </c>
      <c r="P371" s="2">
        <f t="shared" si="281"/>
        <v>20.100000000000001</v>
      </c>
      <c r="Q371" s="2">
        <f t="shared" si="281"/>
        <v>5152</v>
      </c>
      <c r="R371" s="2">
        <f t="shared" si="281"/>
        <v>262.75</v>
      </c>
      <c r="S371" s="2">
        <f t="shared" si="281"/>
        <v>131.38</v>
      </c>
      <c r="T371" s="2">
        <f t="shared" si="281"/>
        <v>9.85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17">
        <v>532023</v>
      </c>
      <c r="AA371" s="14" t="s">
        <v>721</v>
      </c>
      <c r="AB371" s="15" t="s">
        <v>469</v>
      </c>
      <c r="AC371" s="2">
        <v>5113202</v>
      </c>
      <c r="AD371" s="2">
        <v>0</v>
      </c>
      <c r="AE371" s="2">
        <v>1</v>
      </c>
      <c r="AF371" s="2">
        <f t="shared" si="280"/>
        <v>5063202</v>
      </c>
      <c r="AG371" s="2">
        <v>2</v>
      </c>
      <c r="AI371">
        <v>1</v>
      </c>
      <c r="AJ371" s="1">
        <f t="shared" si="283"/>
        <v>322.16968998751736</v>
      </c>
      <c r="AK371">
        <v>10</v>
      </c>
      <c r="AL371">
        <f t="shared" si="264"/>
        <v>342.71999999999997</v>
      </c>
      <c r="AM371">
        <f t="shared" si="265"/>
        <v>17.478719999999996</v>
      </c>
      <c r="AN371">
        <f t="shared" si="266"/>
        <v>4480</v>
      </c>
      <c r="AO371">
        <f t="shared" si="267"/>
        <v>228.48</v>
      </c>
      <c r="AP371">
        <f t="shared" si="268"/>
        <v>114.24</v>
      </c>
      <c r="AQ371">
        <f t="shared" si="269"/>
        <v>8.5679999999999996</v>
      </c>
      <c r="AR371">
        <f t="shared" si="270"/>
        <v>1.7</v>
      </c>
      <c r="AS371">
        <f t="shared" si="275"/>
        <v>2</v>
      </c>
      <c r="AT371">
        <f t="shared" si="276"/>
        <v>3</v>
      </c>
      <c r="AU371">
        <f t="shared" si="274"/>
        <v>2023</v>
      </c>
      <c r="AV371" s="1">
        <v>2</v>
      </c>
      <c r="AW371">
        <v>5</v>
      </c>
      <c r="AX371">
        <v>0.15</v>
      </c>
      <c r="AZ371">
        <v>2</v>
      </c>
      <c r="BA371">
        <v>3</v>
      </c>
      <c r="CG371" t="str">
        <f t="shared" si="271"/>
        <v>DATA_Class_Base31</v>
      </c>
      <c r="CH371" s="3" t="s">
        <v>384</v>
      </c>
    </row>
    <row r="372" spans="1:86" ht="14.25">
      <c r="A372" s="49">
        <f t="shared" si="272"/>
        <v>5103301</v>
      </c>
      <c r="B372" s="2" t="s">
        <v>557</v>
      </c>
      <c r="C372" s="48" t="s">
        <v>558</v>
      </c>
      <c r="D372">
        <v>10</v>
      </c>
      <c r="E372">
        <v>3</v>
      </c>
      <c r="F372">
        <v>3</v>
      </c>
      <c r="G372" s="3" t="s">
        <v>559</v>
      </c>
      <c r="H372" s="3" t="s">
        <v>559</v>
      </c>
      <c r="I372" s="2">
        <v>0</v>
      </c>
      <c r="J372" s="8" t="s">
        <v>555</v>
      </c>
      <c r="K372" s="2">
        <f t="shared" si="273"/>
        <v>3</v>
      </c>
      <c r="L372" s="2">
        <f t="shared" si="282"/>
        <v>1.2</v>
      </c>
      <c r="M372" s="2">
        <f t="shared" si="282"/>
        <v>1.4000000000000001</v>
      </c>
      <c r="N372" s="2">
        <v>10</v>
      </c>
      <c r="O372" s="2">
        <f t="shared" si="281"/>
        <v>387.07</v>
      </c>
      <c r="P372" s="2">
        <f t="shared" si="281"/>
        <v>19.739999999999998</v>
      </c>
      <c r="Q372" s="2">
        <f t="shared" si="281"/>
        <v>4032</v>
      </c>
      <c r="R372" s="2">
        <f t="shared" si="281"/>
        <v>205.63</v>
      </c>
      <c r="S372" s="2">
        <f t="shared" si="281"/>
        <v>110.59</v>
      </c>
      <c r="T372" s="2">
        <f t="shared" si="281"/>
        <v>8.2899999999999991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17">
        <v>533013</v>
      </c>
      <c r="AA372" s="14" t="s">
        <v>722</v>
      </c>
      <c r="AB372" s="15" t="s">
        <v>469</v>
      </c>
      <c r="AC372" s="2">
        <v>5113301</v>
      </c>
      <c r="AD372" s="2">
        <v>0</v>
      </c>
      <c r="AE372" s="2">
        <v>1</v>
      </c>
      <c r="AF372" s="2">
        <f t="shared" si="280"/>
        <v>5063301</v>
      </c>
      <c r="AG372" s="2">
        <v>2</v>
      </c>
      <c r="AI372">
        <v>1</v>
      </c>
      <c r="AJ372" s="1">
        <f t="shared" si="283"/>
        <v>320.60936921529958</v>
      </c>
      <c r="AK372">
        <v>10</v>
      </c>
      <c r="AL372">
        <f t="shared" si="264"/>
        <v>322.55999999999995</v>
      </c>
      <c r="AM372">
        <f t="shared" si="265"/>
        <v>16.450559999999996</v>
      </c>
      <c r="AN372">
        <f t="shared" si="266"/>
        <v>3360</v>
      </c>
      <c r="AO372">
        <f t="shared" si="267"/>
        <v>171.35999999999999</v>
      </c>
      <c r="AP372">
        <f t="shared" si="268"/>
        <v>92.159999999999982</v>
      </c>
      <c r="AQ372">
        <f t="shared" si="269"/>
        <v>6.9119999999999981</v>
      </c>
      <c r="AR372">
        <f t="shared" si="270"/>
        <v>1.2</v>
      </c>
      <c r="AS372">
        <f t="shared" si="275"/>
        <v>1.4</v>
      </c>
      <c r="AT372">
        <f t="shared" si="276"/>
        <v>3</v>
      </c>
      <c r="AU372">
        <f t="shared" si="274"/>
        <v>3013</v>
      </c>
      <c r="AV372" s="1">
        <v>1</v>
      </c>
      <c r="AW372">
        <v>5</v>
      </c>
      <c r="AX372">
        <v>0.2</v>
      </c>
      <c r="AZ372">
        <v>3</v>
      </c>
      <c r="BA372">
        <v>3</v>
      </c>
      <c r="CG372" t="str">
        <f t="shared" si="271"/>
        <v>DATA_Class_Base32</v>
      </c>
      <c r="CH372" s="3" t="s">
        <v>388</v>
      </c>
    </row>
    <row r="373" spans="1:86" ht="14.25">
      <c r="A373">
        <f t="shared" si="272"/>
        <v>5103401</v>
      </c>
      <c r="B373" s="2" t="s">
        <v>561</v>
      </c>
      <c r="C373" s="48" t="s">
        <v>562</v>
      </c>
      <c r="D373">
        <v>10</v>
      </c>
      <c r="E373">
        <v>4</v>
      </c>
      <c r="F373">
        <v>3</v>
      </c>
      <c r="G373" s="3" t="s">
        <v>563</v>
      </c>
      <c r="H373" s="3" t="s">
        <v>563</v>
      </c>
      <c r="I373">
        <v>0</v>
      </c>
      <c r="J373" s="2" t="s">
        <v>161</v>
      </c>
      <c r="K373" s="2">
        <f t="shared" si="273"/>
        <v>6</v>
      </c>
      <c r="L373" s="2">
        <f t="shared" si="282"/>
        <v>1.6</v>
      </c>
      <c r="M373" s="2">
        <f t="shared" si="282"/>
        <v>1.5</v>
      </c>
      <c r="N373" s="2">
        <v>10</v>
      </c>
      <c r="O373" s="2">
        <f t="shared" si="281"/>
        <v>516.1</v>
      </c>
      <c r="P373" s="2">
        <f t="shared" si="281"/>
        <v>26.32</v>
      </c>
      <c r="Q373" s="2">
        <f t="shared" si="281"/>
        <v>4032</v>
      </c>
      <c r="R373" s="2">
        <f t="shared" si="281"/>
        <v>205.63</v>
      </c>
      <c r="S373" s="2">
        <f t="shared" si="281"/>
        <v>86.02</v>
      </c>
      <c r="T373" s="2">
        <f t="shared" si="281"/>
        <v>6.45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17">
        <v>534013</v>
      </c>
      <c r="AA373" s="14" t="s">
        <v>723</v>
      </c>
      <c r="AB373" s="15" t="s">
        <v>469</v>
      </c>
      <c r="AC373" s="2">
        <v>5113401</v>
      </c>
      <c r="AD373" s="2">
        <v>0</v>
      </c>
      <c r="AE373" s="2">
        <v>1</v>
      </c>
      <c r="AF373" s="2">
        <f t="shared" si="280"/>
        <v>5063401</v>
      </c>
      <c r="AG373" s="2">
        <v>2</v>
      </c>
      <c r="AI373">
        <v>1</v>
      </c>
      <c r="AJ373" s="1">
        <f t="shared" si="283"/>
        <v>319.1755654034659</v>
      </c>
      <c r="AK373">
        <v>10</v>
      </c>
      <c r="AL373">
        <f t="shared" si="264"/>
        <v>430.08</v>
      </c>
      <c r="AM373">
        <f t="shared" si="265"/>
        <v>21.934079999999998</v>
      </c>
      <c r="AN373">
        <f t="shared" si="266"/>
        <v>3360</v>
      </c>
      <c r="AO373">
        <f t="shared" si="267"/>
        <v>171.35999999999999</v>
      </c>
      <c r="AP373">
        <f t="shared" si="268"/>
        <v>71.679999999999993</v>
      </c>
      <c r="AQ373">
        <f t="shared" si="269"/>
        <v>5.3759999999999994</v>
      </c>
      <c r="AR373">
        <f t="shared" si="270"/>
        <v>1.6</v>
      </c>
      <c r="AS373">
        <f t="shared" si="275"/>
        <v>1.5</v>
      </c>
      <c r="AT373">
        <f t="shared" si="276"/>
        <v>6</v>
      </c>
      <c r="AU373">
        <f t="shared" si="274"/>
        <v>4013</v>
      </c>
      <c r="AV373" s="1">
        <v>1</v>
      </c>
      <c r="AW373">
        <v>5</v>
      </c>
      <c r="AX373">
        <v>0.2</v>
      </c>
      <c r="AZ373">
        <v>4</v>
      </c>
      <c r="BA373">
        <v>3</v>
      </c>
      <c r="CG373" t="str">
        <f t="shared" si="271"/>
        <v>DATA_Class_Base33</v>
      </c>
      <c r="CH373" s="3" t="s">
        <v>391</v>
      </c>
    </row>
    <row r="374" spans="1:86" ht="14.25">
      <c r="A374">
        <f t="shared" si="272"/>
        <v>5103402</v>
      </c>
      <c r="B374" s="2" t="s">
        <v>565</v>
      </c>
      <c r="C374" s="48" t="s">
        <v>566</v>
      </c>
      <c r="D374">
        <v>10</v>
      </c>
      <c r="E374">
        <v>4</v>
      </c>
      <c r="F374">
        <v>3</v>
      </c>
      <c r="G374" s="3" t="s">
        <v>567</v>
      </c>
      <c r="H374" s="3" t="s">
        <v>567</v>
      </c>
      <c r="I374" s="2">
        <v>0</v>
      </c>
      <c r="J374" s="8" t="s">
        <v>568</v>
      </c>
      <c r="K374" s="2">
        <f t="shared" si="273"/>
        <v>6</v>
      </c>
      <c r="L374" s="2">
        <f t="shared" si="282"/>
        <v>1.5</v>
      </c>
      <c r="M374" s="2">
        <f t="shared" si="282"/>
        <v>1.5</v>
      </c>
      <c r="N374" s="2">
        <v>10</v>
      </c>
      <c r="O374" s="2">
        <f t="shared" si="281"/>
        <v>502.32</v>
      </c>
      <c r="P374" s="2">
        <f t="shared" si="281"/>
        <v>25.62</v>
      </c>
      <c r="Q374" s="2">
        <f t="shared" si="281"/>
        <v>3566.77</v>
      </c>
      <c r="R374" s="2">
        <f t="shared" si="281"/>
        <v>181.91</v>
      </c>
      <c r="S374" s="2">
        <f t="shared" si="281"/>
        <v>71.760000000000005</v>
      </c>
      <c r="T374" s="2">
        <f t="shared" si="281"/>
        <v>5.38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17">
        <v>534023</v>
      </c>
      <c r="AA374" s="14" t="s">
        <v>724</v>
      </c>
      <c r="AB374" s="15" t="s">
        <v>469</v>
      </c>
      <c r="AC374" s="2">
        <v>5113402</v>
      </c>
      <c r="AD374" s="2">
        <v>0</v>
      </c>
      <c r="AE374" s="2">
        <v>1</v>
      </c>
      <c r="AF374" s="2">
        <f t="shared" si="280"/>
        <v>5063402</v>
      </c>
      <c r="AG374" s="2">
        <v>2</v>
      </c>
      <c r="AI374">
        <v>1</v>
      </c>
      <c r="AJ374" s="1">
        <f t="shared" si="283"/>
        <v>318.53008657136127</v>
      </c>
      <c r="AK374">
        <v>10</v>
      </c>
      <c r="AL374">
        <f t="shared" si="264"/>
        <v>436.79999999999995</v>
      </c>
      <c r="AM374">
        <f t="shared" si="265"/>
        <v>22.276799999999998</v>
      </c>
      <c r="AN374">
        <f t="shared" si="266"/>
        <v>3101.538461538461</v>
      </c>
      <c r="AO374">
        <f t="shared" si="267"/>
        <v>158.17846153846151</v>
      </c>
      <c r="AP374">
        <f t="shared" si="268"/>
        <v>62.399999999999991</v>
      </c>
      <c r="AQ374">
        <f t="shared" si="269"/>
        <v>4.6799999999999988</v>
      </c>
      <c r="AR374">
        <f t="shared" si="270"/>
        <v>1.5</v>
      </c>
      <c r="AS374">
        <f t="shared" si="275"/>
        <v>1.5</v>
      </c>
      <c r="AT374">
        <f t="shared" si="276"/>
        <v>6</v>
      </c>
      <c r="AU374">
        <f t="shared" si="274"/>
        <v>4023</v>
      </c>
      <c r="AV374" s="1">
        <v>2</v>
      </c>
      <c r="AW374">
        <v>5</v>
      </c>
      <c r="AX374">
        <v>0.15</v>
      </c>
      <c r="AZ374">
        <v>4</v>
      </c>
      <c r="BA374">
        <v>3</v>
      </c>
      <c r="CG374" t="str">
        <f t="shared" si="271"/>
        <v>DATA_Class_Base34</v>
      </c>
      <c r="CH374" s="3" t="s">
        <v>184</v>
      </c>
    </row>
    <row r="375" spans="1:86" ht="14.25" customHeight="1">
      <c r="A375">
        <f t="shared" si="272"/>
        <v>5103500</v>
      </c>
      <c r="B375" s="2" t="s">
        <v>570</v>
      </c>
      <c r="C375" s="48" t="s">
        <v>571</v>
      </c>
      <c r="D375">
        <v>10</v>
      </c>
      <c r="E375">
        <v>5</v>
      </c>
      <c r="F375">
        <v>3</v>
      </c>
      <c r="G375" s="3" t="s">
        <v>572</v>
      </c>
      <c r="H375" s="3" t="s">
        <v>572</v>
      </c>
      <c r="I375" s="2">
        <v>0</v>
      </c>
      <c r="J375" s="2" t="s">
        <v>303</v>
      </c>
      <c r="K375" s="2">
        <f t="shared" si="273"/>
        <v>6</v>
      </c>
      <c r="L375" s="2">
        <f t="shared" si="282"/>
        <v>1.5</v>
      </c>
      <c r="M375" s="2">
        <f t="shared" si="282"/>
        <v>2</v>
      </c>
      <c r="N375" s="2">
        <v>10</v>
      </c>
      <c r="O375" s="2">
        <f t="shared" si="281"/>
        <v>480.48</v>
      </c>
      <c r="P375" s="2">
        <f t="shared" si="281"/>
        <v>24.5</v>
      </c>
      <c r="Q375" s="2">
        <f t="shared" si="281"/>
        <v>3411.69</v>
      </c>
      <c r="R375" s="2">
        <f t="shared" si="281"/>
        <v>174</v>
      </c>
      <c r="S375" s="2">
        <f t="shared" si="281"/>
        <v>80.08</v>
      </c>
      <c r="T375" s="2">
        <f t="shared" si="281"/>
        <v>6.01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17">
        <v>535003</v>
      </c>
      <c r="AA375" s="14" t="s">
        <v>725</v>
      </c>
      <c r="AB375" s="15" t="s">
        <v>469</v>
      </c>
      <c r="AC375" s="2">
        <v>5113500</v>
      </c>
      <c r="AD375" s="2">
        <v>0</v>
      </c>
      <c r="AE375" s="2">
        <v>1</v>
      </c>
      <c r="AF375" s="2">
        <f t="shared" si="280"/>
        <v>5063500</v>
      </c>
      <c r="AG375" s="2">
        <v>2</v>
      </c>
      <c r="AI375">
        <v>1</v>
      </c>
      <c r="AJ375" s="1">
        <f t="shared" si="283"/>
        <v>319.25364498116511</v>
      </c>
      <c r="AK375">
        <v>10</v>
      </c>
      <c r="AL375">
        <f t="shared" si="264"/>
        <v>436.79999999999995</v>
      </c>
      <c r="AM375">
        <f t="shared" si="265"/>
        <v>22.276799999999998</v>
      </c>
      <c r="AN375">
        <f t="shared" si="266"/>
        <v>3101.538461538461</v>
      </c>
      <c r="AO375">
        <f t="shared" si="267"/>
        <v>158.17846153846151</v>
      </c>
      <c r="AP375">
        <f t="shared" si="268"/>
        <v>72.8</v>
      </c>
      <c r="AQ375">
        <f t="shared" si="269"/>
        <v>5.46</v>
      </c>
      <c r="AR375">
        <f t="shared" si="270"/>
        <v>1.5</v>
      </c>
      <c r="AS375">
        <f t="shared" si="275"/>
        <v>2</v>
      </c>
      <c r="AT375">
        <f t="shared" si="276"/>
        <v>6</v>
      </c>
      <c r="AU375">
        <f t="shared" si="274"/>
        <v>5003</v>
      </c>
      <c r="AV375" s="1">
        <v>0</v>
      </c>
      <c r="AW375">
        <v>5</v>
      </c>
      <c r="AX375">
        <v>0.1</v>
      </c>
      <c r="AZ375">
        <v>5</v>
      </c>
      <c r="BA375">
        <v>3</v>
      </c>
      <c r="CG375" t="str">
        <f t="shared" si="271"/>
        <v>DATA_Class_Base35</v>
      </c>
      <c r="CH375" s="3" t="s">
        <v>195</v>
      </c>
    </row>
    <row r="376" spans="1:86" ht="14.25">
      <c r="A376">
        <f t="shared" si="272"/>
        <v>5103502</v>
      </c>
      <c r="B376" s="2" t="s">
        <v>574</v>
      </c>
      <c r="C376" s="48" t="s">
        <v>575</v>
      </c>
      <c r="D376">
        <v>10</v>
      </c>
      <c r="E376">
        <v>5</v>
      </c>
      <c r="F376">
        <v>3</v>
      </c>
      <c r="G376" s="3" t="s">
        <v>576</v>
      </c>
      <c r="H376" s="3" t="s">
        <v>576</v>
      </c>
      <c r="I376" s="2">
        <v>0</v>
      </c>
      <c r="J376" s="8" t="s">
        <v>577</v>
      </c>
      <c r="K376" s="2">
        <f t="shared" si="273"/>
        <v>6</v>
      </c>
      <c r="L376" s="2">
        <f t="shared" si="282"/>
        <v>1.4000000000000001</v>
      </c>
      <c r="M376" s="2">
        <f t="shared" si="282"/>
        <v>2</v>
      </c>
      <c r="N376" s="2">
        <v>10</v>
      </c>
      <c r="O376" s="2">
        <f t="shared" si="281"/>
        <v>465.7</v>
      </c>
      <c r="P376" s="2">
        <f t="shared" si="281"/>
        <v>23.75</v>
      </c>
      <c r="Q376" s="2">
        <f t="shared" si="281"/>
        <v>3285.33</v>
      </c>
      <c r="R376" s="2">
        <f t="shared" si="281"/>
        <v>167.55</v>
      </c>
      <c r="S376" s="2">
        <f t="shared" si="281"/>
        <v>77.62</v>
      </c>
      <c r="T376" s="2">
        <f t="shared" si="281"/>
        <v>5.82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17">
        <v>535023</v>
      </c>
      <c r="AA376" s="14" t="s">
        <v>726</v>
      </c>
      <c r="AB376" s="15" t="s">
        <v>469</v>
      </c>
      <c r="AC376" s="2">
        <v>5113502</v>
      </c>
      <c r="AD376" s="2">
        <v>0</v>
      </c>
      <c r="AE376" s="2">
        <v>1</v>
      </c>
      <c r="AF376" s="2">
        <f t="shared" si="280"/>
        <v>5063502</v>
      </c>
      <c r="AG376" s="2">
        <v>2</v>
      </c>
      <c r="AI376">
        <v>1</v>
      </c>
      <c r="AJ376" s="1">
        <f t="shared" si="283"/>
        <v>319.09752400813295</v>
      </c>
      <c r="AK376">
        <v>10</v>
      </c>
      <c r="AL376">
        <f t="shared" si="264"/>
        <v>423.35999999999996</v>
      </c>
      <c r="AM376">
        <f t="shared" si="265"/>
        <v>21.591359999999998</v>
      </c>
      <c r="AN376">
        <f t="shared" si="266"/>
        <v>2986.6666666666661</v>
      </c>
      <c r="AO376">
        <f t="shared" si="267"/>
        <v>152.31999999999996</v>
      </c>
      <c r="AP376">
        <f t="shared" si="268"/>
        <v>70.559999999999988</v>
      </c>
      <c r="AQ376">
        <f t="shared" si="269"/>
        <v>5.2919999999999989</v>
      </c>
      <c r="AR376">
        <f t="shared" si="270"/>
        <v>1.4</v>
      </c>
      <c r="AS376">
        <f t="shared" si="275"/>
        <v>2</v>
      </c>
      <c r="AT376">
        <f t="shared" si="276"/>
        <v>6</v>
      </c>
      <c r="AU376">
        <f t="shared" si="274"/>
        <v>5023</v>
      </c>
      <c r="AV376" s="1">
        <v>2</v>
      </c>
      <c r="AW376">
        <v>5</v>
      </c>
      <c r="AX376">
        <v>0.1</v>
      </c>
      <c r="AZ376">
        <v>5</v>
      </c>
      <c r="BA376">
        <v>3</v>
      </c>
      <c r="CG376" t="str">
        <f t="shared" si="271"/>
        <v>DATA_Class_Base36</v>
      </c>
      <c r="CH376" s="3" t="s">
        <v>201</v>
      </c>
    </row>
    <row r="377" spans="1:86" ht="14.25">
      <c r="A377">
        <f t="shared" si="272"/>
        <v>5103601</v>
      </c>
      <c r="B377" s="2" t="s">
        <v>579</v>
      </c>
      <c r="C377" s="48" t="s">
        <v>580</v>
      </c>
      <c r="D377">
        <v>10</v>
      </c>
      <c r="E377">
        <v>6</v>
      </c>
      <c r="F377">
        <v>3</v>
      </c>
      <c r="G377" s="3" t="s">
        <v>581</v>
      </c>
      <c r="H377" s="3" t="s">
        <v>581</v>
      </c>
      <c r="I377">
        <v>0</v>
      </c>
      <c r="J377" s="2" t="s">
        <v>309</v>
      </c>
      <c r="K377" s="2">
        <f t="shared" si="273"/>
        <v>6</v>
      </c>
      <c r="L377" s="2">
        <f t="shared" si="282"/>
        <v>1.5</v>
      </c>
      <c r="M377" s="2">
        <f t="shared" si="282"/>
        <v>2</v>
      </c>
      <c r="N377" s="2">
        <v>10</v>
      </c>
      <c r="O377" s="2">
        <f t="shared" si="281"/>
        <v>332.64</v>
      </c>
      <c r="P377" s="2">
        <f t="shared" si="281"/>
        <v>16.96</v>
      </c>
      <c r="Q377" s="2">
        <f t="shared" si="281"/>
        <v>4928</v>
      </c>
      <c r="R377" s="2">
        <f t="shared" si="281"/>
        <v>251.33</v>
      </c>
      <c r="S377" s="2">
        <f t="shared" si="281"/>
        <v>83.16</v>
      </c>
      <c r="T377" s="2">
        <f t="shared" si="281"/>
        <v>6.24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17">
        <v>536013</v>
      </c>
      <c r="AA377" s="14" t="s">
        <v>727</v>
      </c>
      <c r="AB377" s="15" t="s">
        <v>469</v>
      </c>
      <c r="AC377" s="2">
        <v>5113601</v>
      </c>
      <c r="AD377" s="2">
        <v>0</v>
      </c>
      <c r="AE377" s="2">
        <v>1</v>
      </c>
      <c r="AF377" s="2">
        <f t="shared" si="280"/>
        <v>5063601</v>
      </c>
      <c r="AG377" s="2">
        <v>2</v>
      </c>
      <c r="AI377">
        <v>1</v>
      </c>
      <c r="AJ377" s="1">
        <f t="shared" si="283"/>
        <v>319.44901115727021</v>
      </c>
      <c r="AK377">
        <v>10</v>
      </c>
      <c r="AL377">
        <f t="shared" si="264"/>
        <v>302.39999999999998</v>
      </c>
      <c r="AM377">
        <f t="shared" si="265"/>
        <v>15.422399999999998</v>
      </c>
      <c r="AN377">
        <f t="shared" si="266"/>
        <v>4480</v>
      </c>
      <c r="AO377">
        <f t="shared" si="267"/>
        <v>228.48</v>
      </c>
      <c r="AP377">
        <f t="shared" si="268"/>
        <v>75.599999999999994</v>
      </c>
      <c r="AQ377">
        <f t="shared" si="269"/>
        <v>5.669999999999999</v>
      </c>
      <c r="AR377">
        <f t="shared" si="270"/>
        <v>1.5</v>
      </c>
      <c r="AS377">
        <f t="shared" si="275"/>
        <v>2</v>
      </c>
      <c r="AT377">
        <f t="shared" si="276"/>
        <v>6</v>
      </c>
      <c r="AU377">
        <f t="shared" si="274"/>
        <v>6013</v>
      </c>
      <c r="AV377" s="1">
        <v>1</v>
      </c>
      <c r="AW377">
        <v>5</v>
      </c>
      <c r="AX377">
        <v>0.1</v>
      </c>
      <c r="AZ377">
        <v>6</v>
      </c>
      <c r="BA377">
        <v>3</v>
      </c>
      <c r="CA377" s="13"/>
      <c r="CB377" s="13"/>
      <c r="CC377" s="13"/>
      <c r="CG377" t="str">
        <f t="shared" si="271"/>
        <v>DATA_Class_Base29</v>
      </c>
      <c r="CH377" s="3" t="s">
        <v>378</v>
      </c>
    </row>
    <row r="378" spans="1:86" ht="14.25">
      <c r="A378">
        <f t="shared" si="272"/>
        <v>5104201</v>
      </c>
      <c r="B378" s="2" t="s">
        <v>583</v>
      </c>
      <c r="C378" s="48" t="s">
        <v>584</v>
      </c>
      <c r="D378">
        <v>10</v>
      </c>
      <c r="E378">
        <v>2</v>
      </c>
      <c r="F378">
        <v>4</v>
      </c>
      <c r="G378" s="3" t="s">
        <v>585</v>
      </c>
      <c r="H378" s="3" t="s">
        <v>585</v>
      </c>
      <c r="I378" s="30">
        <v>0</v>
      </c>
      <c r="J378" s="8" t="s">
        <v>298</v>
      </c>
      <c r="K378" s="2">
        <f t="shared" si="273"/>
        <v>3</v>
      </c>
      <c r="L378" s="2">
        <f t="shared" si="282"/>
        <v>1.8</v>
      </c>
      <c r="M378" s="2">
        <f t="shared" si="282"/>
        <v>1.8</v>
      </c>
      <c r="N378" s="2">
        <v>10</v>
      </c>
      <c r="O378" s="2">
        <f t="shared" si="281"/>
        <v>387.07</v>
      </c>
      <c r="P378" s="2">
        <f t="shared" si="281"/>
        <v>19.739999999999998</v>
      </c>
      <c r="Q378" s="2">
        <f t="shared" si="281"/>
        <v>6048</v>
      </c>
      <c r="R378" s="2">
        <f t="shared" si="281"/>
        <v>308.45</v>
      </c>
      <c r="S378" s="2">
        <f t="shared" si="281"/>
        <v>143.36000000000001</v>
      </c>
      <c r="T378" s="2">
        <f t="shared" si="281"/>
        <v>10.75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17">
        <v>542013</v>
      </c>
      <c r="AA378" s="15" t="s">
        <v>728</v>
      </c>
      <c r="AB378" s="15" t="s">
        <v>469</v>
      </c>
      <c r="AC378" s="2">
        <v>5114201</v>
      </c>
      <c r="AD378" s="2">
        <v>0</v>
      </c>
      <c r="AE378" s="2">
        <v>1</v>
      </c>
      <c r="AF378" s="2">
        <f t="shared" si="280"/>
        <v>5064201</v>
      </c>
      <c r="AG378" s="2">
        <v>2</v>
      </c>
      <c r="AH378" s="2"/>
      <c r="AI378">
        <v>1</v>
      </c>
      <c r="AJ378" s="1">
        <f t="shared" si="283"/>
        <v>322.54126688358036</v>
      </c>
      <c r="AK378">
        <v>10</v>
      </c>
      <c r="AL378">
        <f t="shared" si="264"/>
        <v>322.56</v>
      </c>
      <c r="AM378">
        <f t="shared" si="265"/>
        <v>16.450559999999999</v>
      </c>
      <c r="AN378">
        <f t="shared" si="266"/>
        <v>5040</v>
      </c>
      <c r="AO378">
        <f t="shared" si="267"/>
        <v>257.03999999999996</v>
      </c>
      <c r="AP378">
        <f t="shared" si="268"/>
        <v>119.46666666666665</v>
      </c>
      <c r="AQ378">
        <f t="shared" si="269"/>
        <v>8.9599999999999991</v>
      </c>
      <c r="AR378">
        <f t="shared" si="270"/>
        <v>1.8</v>
      </c>
      <c r="AS378">
        <f t="shared" si="275"/>
        <v>1.8</v>
      </c>
      <c r="AT378">
        <f t="shared" si="276"/>
        <v>3</v>
      </c>
      <c r="AU378">
        <f t="shared" si="274"/>
        <v>2014</v>
      </c>
      <c r="AV378" s="1">
        <v>1</v>
      </c>
      <c r="AW378">
        <v>5</v>
      </c>
      <c r="AX378">
        <v>0.2</v>
      </c>
      <c r="AZ378">
        <v>2</v>
      </c>
      <c r="BA378">
        <v>4</v>
      </c>
      <c r="CA378" s="13"/>
      <c r="CB378" s="13"/>
      <c r="CC378" s="13"/>
      <c r="CG378" t="str">
        <f t="shared" si="271"/>
        <v>DATA_Class_Base41</v>
      </c>
      <c r="CH378" s="3" t="s">
        <v>413</v>
      </c>
    </row>
    <row r="379" spans="1:86" ht="14.25">
      <c r="A379">
        <f t="shared" si="272"/>
        <v>5104302</v>
      </c>
      <c r="B379" s="2" t="s">
        <v>587</v>
      </c>
      <c r="C379" s="48" t="s">
        <v>588</v>
      </c>
      <c r="D379">
        <v>10</v>
      </c>
      <c r="E379">
        <v>3</v>
      </c>
      <c r="F379">
        <v>4</v>
      </c>
      <c r="G379" s="3" t="s">
        <v>589</v>
      </c>
      <c r="H379" s="3" t="s">
        <v>589</v>
      </c>
      <c r="I379" s="30">
        <v>0</v>
      </c>
      <c r="J379" s="8" t="s">
        <v>590</v>
      </c>
      <c r="K379" s="2">
        <f t="shared" si="273"/>
        <v>3</v>
      </c>
      <c r="L379" s="2">
        <f t="shared" si="282"/>
        <v>1.4000000000000001</v>
      </c>
      <c r="M379" s="2">
        <f t="shared" si="282"/>
        <v>2</v>
      </c>
      <c r="N379" s="2">
        <v>10</v>
      </c>
      <c r="O379" s="2">
        <f t="shared" si="281"/>
        <v>396.7</v>
      </c>
      <c r="P379" s="2">
        <f t="shared" si="281"/>
        <v>20.23</v>
      </c>
      <c r="Q379" s="2">
        <f t="shared" si="281"/>
        <v>4215.2700000000004</v>
      </c>
      <c r="R379" s="2">
        <f t="shared" si="281"/>
        <v>214.98</v>
      </c>
      <c r="S379" s="2">
        <f t="shared" si="281"/>
        <v>99.18</v>
      </c>
      <c r="T379" s="2">
        <f t="shared" si="281"/>
        <v>7.44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17">
        <v>543023</v>
      </c>
      <c r="AA379" s="15" t="s">
        <v>729</v>
      </c>
      <c r="AB379" s="15" t="s">
        <v>469</v>
      </c>
      <c r="AC379" s="2">
        <v>5114302</v>
      </c>
      <c r="AD379" s="2">
        <v>0</v>
      </c>
      <c r="AE379" s="2">
        <v>1</v>
      </c>
      <c r="AF379" s="2">
        <f t="shared" si="280"/>
        <v>5064302</v>
      </c>
      <c r="AG379" s="2">
        <v>2</v>
      </c>
      <c r="AH379" s="2"/>
      <c r="AI379">
        <v>1</v>
      </c>
      <c r="AJ379" s="1">
        <f t="shared" si="283"/>
        <v>320.19358836800416</v>
      </c>
      <c r="AK379">
        <v>10</v>
      </c>
      <c r="AL379">
        <f t="shared" si="264"/>
        <v>344.95999999999992</v>
      </c>
      <c r="AM379">
        <f t="shared" si="265"/>
        <v>17.592959999999994</v>
      </c>
      <c r="AN379">
        <f t="shared" si="266"/>
        <v>3665.454545454545</v>
      </c>
      <c r="AO379">
        <f t="shared" si="267"/>
        <v>186.93818181818179</v>
      </c>
      <c r="AP379">
        <f t="shared" si="268"/>
        <v>86.239999999999981</v>
      </c>
      <c r="AQ379">
        <f t="shared" si="269"/>
        <v>6.4679999999999982</v>
      </c>
      <c r="AR379">
        <f t="shared" si="270"/>
        <v>1.4</v>
      </c>
      <c r="AS379">
        <f t="shared" si="275"/>
        <v>2</v>
      </c>
      <c r="AT379">
        <f t="shared" si="276"/>
        <v>3</v>
      </c>
      <c r="AU379">
        <f t="shared" si="274"/>
        <v>3024</v>
      </c>
      <c r="AV379" s="1">
        <v>2</v>
      </c>
      <c r="AW379">
        <v>5</v>
      </c>
      <c r="AX379">
        <v>0.15</v>
      </c>
      <c r="AZ379">
        <v>3</v>
      </c>
      <c r="BA379">
        <v>4</v>
      </c>
      <c r="CA379" s="13"/>
      <c r="CB379" s="13"/>
      <c r="CC379" s="13"/>
      <c r="CG379" t="str">
        <f t="shared" si="271"/>
        <v>DATA_Class_Base37</v>
      </c>
      <c r="CH379" s="3" t="s">
        <v>402</v>
      </c>
    </row>
    <row r="380" spans="1:86" ht="14.25">
      <c r="A380" s="49">
        <f t="shared" si="272"/>
        <v>5104501</v>
      </c>
      <c r="B380" s="2" t="s">
        <v>592</v>
      </c>
      <c r="C380" s="48" t="s">
        <v>593</v>
      </c>
      <c r="D380">
        <v>10</v>
      </c>
      <c r="E380">
        <v>5</v>
      </c>
      <c r="F380">
        <v>4</v>
      </c>
      <c r="G380" s="3" t="s">
        <v>594</v>
      </c>
      <c r="H380" s="3" t="s">
        <v>594</v>
      </c>
      <c r="I380">
        <v>0</v>
      </c>
      <c r="J380" s="2" t="s">
        <v>334</v>
      </c>
      <c r="K380" s="2">
        <f t="shared" si="273"/>
        <v>6</v>
      </c>
      <c r="L380" s="2">
        <f t="shared" si="282"/>
        <v>1.6</v>
      </c>
      <c r="M380" s="2">
        <f t="shared" si="282"/>
        <v>2</v>
      </c>
      <c r="N380" s="2">
        <v>10</v>
      </c>
      <c r="O380" s="2">
        <f t="shared" si="281"/>
        <v>535.80999999999995</v>
      </c>
      <c r="P380" s="2">
        <f t="shared" si="281"/>
        <v>27.33</v>
      </c>
      <c r="Q380" s="2">
        <f t="shared" si="281"/>
        <v>3566.77</v>
      </c>
      <c r="R380" s="2">
        <f t="shared" si="281"/>
        <v>181.91</v>
      </c>
      <c r="S380" s="2">
        <f t="shared" si="281"/>
        <v>76.540000000000006</v>
      </c>
      <c r="T380" s="2">
        <f t="shared" si="281"/>
        <v>5.74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17">
        <v>545013</v>
      </c>
      <c r="AA380" s="14" t="s">
        <v>730</v>
      </c>
      <c r="AB380" s="15" t="s">
        <v>469</v>
      </c>
      <c r="AC380" s="2">
        <v>5114501</v>
      </c>
      <c r="AD380" s="2">
        <v>0</v>
      </c>
      <c r="AE380" s="2">
        <v>1</v>
      </c>
      <c r="AF380" s="2">
        <f t="shared" si="280"/>
        <v>5064501</v>
      </c>
      <c r="AG380" s="2">
        <v>2</v>
      </c>
      <c r="AH380" s="2"/>
      <c r="AI380">
        <v>1</v>
      </c>
      <c r="AJ380" s="1">
        <f t="shared" si="283"/>
        <v>318.81911600763556</v>
      </c>
      <c r="AK380">
        <v>10</v>
      </c>
      <c r="AL380">
        <f t="shared" si="264"/>
        <v>465.91999999999996</v>
      </c>
      <c r="AM380">
        <f t="shared" si="265"/>
        <v>23.761919999999996</v>
      </c>
      <c r="AN380">
        <f t="shared" si="266"/>
        <v>3101.538461538461</v>
      </c>
      <c r="AO380">
        <f t="shared" si="267"/>
        <v>158.17846153846151</v>
      </c>
      <c r="AP380">
        <f t="shared" si="268"/>
        <v>66.559999999999988</v>
      </c>
      <c r="AQ380">
        <f t="shared" si="269"/>
        <v>4.9919999999999991</v>
      </c>
      <c r="AR380">
        <f t="shared" si="270"/>
        <v>1.6</v>
      </c>
      <c r="AS380">
        <f t="shared" si="275"/>
        <v>2</v>
      </c>
      <c r="AT380">
        <f t="shared" si="276"/>
        <v>6</v>
      </c>
      <c r="AU380">
        <f t="shared" si="274"/>
        <v>5014</v>
      </c>
      <c r="AV380" s="1">
        <v>1</v>
      </c>
      <c r="AW380">
        <v>5</v>
      </c>
      <c r="AX380">
        <v>0.15</v>
      </c>
      <c r="AZ380">
        <v>5</v>
      </c>
      <c r="BA380">
        <v>4</v>
      </c>
      <c r="CA380" s="13"/>
      <c r="CB380" s="13"/>
      <c r="CC380" s="13"/>
      <c r="CG380" t="str">
        <f t="shared" si="271"/>
        <v>DATA_Class_Base38</v>
      </c>
      <c r="CH380" s="3" t="s">
        <v>198</v>
      </c>
    </row>
    <row r="381" spans="1:86" ht="14.25">
      <c r="A381" s="49">
        <f t="shared" si="272"/>
        <v>5104600</v>
      </c>
      <c r="B381" s="2" t="s">
        <v>596</v>
      </c>
      <c r="C381" s="48" t="s">
        <v>597</v>
      </c>
      <c r="D381">
        <v>10</v>
      </c>
      <c r="E381">
        <v>6</v>
      </c>
      <c r="F381">
        <v>4</v>
      </c>
      <c r="G381" s="3" t="s">
        <v>598</v>
      </c>
      <c r="H381" s="3" t="s">
        <v>598</v>
      </c>
      <c r="I381" s="2">
        <v>0</v>
      </c>
      <c r="J381" s="2" t="s">
        <v>339</v>
      </c>
      <c r="K381" s="2">
        <f t="shared" si="273"/>
        <v>3</v>
      </c>
      <c r="L381" s="2">
        <f t="shared" si="282"/>
        <v>1.4000000000000001</v>
      </c>
      <c r="M381" s="2">
        <f t="shared" si="282"/>
        <v>1.9000000000000001</v>
      </c>
      <c r="N381" s="2">
        <v>10</v>
      </c>
      <c r="O381" s="2">
        <f t="shared" si="281"/>
        <v>396.7</v>
      </c>
      <c r="P381" s="2">
        <f t="shared" si="281"/>
        <v>20.23</v>
      </c>
      <c r="Q381" s="2">
        <f t="shared" si="281"/>
        <v>4215.2700000000004</v>
      </c>
      <c r="R381" s="2">
        <f t="shared" si="281"/>
        <v>214.98</v>
      </c>
      <c r="S381" s="2">
        <f t="shared" si="281"/>
        <v>99.18</v>
      </c>
      <c r="T381" s="2">
        <f t="shared" si="281"/>
        <v>7.44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17">
        <v>546003</v>
      </c>
      <c r="AA381" s="14" t="s">
        <v>731</v>
      </c>
      <c r="AB381" s="15" t="s">
        <v>469</v>
      </c>
      <c r="AC381" s="2">
        <v>5114600</v>
      </c>
      <c r="AD381" s="2">
        <v>0</v>
      </c>
      <c r="AE381" s="2">
        <v>1</v>
      </c>
      <c r="AF381" s="2">
        <f t="shared" si="280"/>
        <v>5064600</v>
      </c>
      <c r="AG381" s="2">
        <v>2</v>
      </c>
      <c r="AH381" s="2"/>
      <c r="AI381">
        <v>1</v>
      </c>
      <c r="AJ381" s="1">
        <f t="shared" si="283"/>
        <v>320.19358836800416</v>
      </c>
      <c r="AK381">
        <v>10</v>
      </c>
      <c r="AL381">
        <f t="shared" si="264"/>
        <v>344.95999999999992</v>
      </c>
      <c r="AM381">
        <f t="shared" si="265"/>
        <v>17.592959999999994</v>
      </c>
      <c r="AN381">
        <f t="shared" si="266"/>
        <v>3665.454545454545</v>
      </c>
      <c r="AO381">
        <f t="shared" si="267"/>
        <v>186.93818181818179</v>
      </c>
      <c r="AP381">
        <f t="shared" si="268"/>
        <v>86.239999999999981</v>
      </c>
      <c r="AQ381">
        <f t="shared" si="269"/>
        <v>6.4679999999999982</v>
      </c>
      <c r="AR381">
        <f t="shared" si="270"/>
        <v>1.4</v>
      </c>
      <c r="AS381">
        <f t="shared" si="275"/>
        <v>1.9</v>
      </c>
      <c r="AT381">
        <f t="shared" si="276"/>
        <v>3</v>
      </c>
      <c r="AU381">
        <f t="shared" si="274"/>
        <v>6004</v>
      </c>
      <c r="AV381" s="1">
        <v>0</v>
      </c>
      <c r="AW381">
        <v>5</v>
      </c>
      <c r="AX381">
        <v>0.15</v>
      </c>
      <c r="AZ381">
        <v>6</v>
      </c>
      <c r="BA381">
        <v>4</v>
      </c>
      <c r="CA381" s="13"/>
      <c r="CB381" s="13"/>
      <c r="CC381" s="13"/>
      <c r="CG381" t="str">
        <f t="shared" si="271"/>
        <v>DATA_Class_Base39</v>
      </c>
      <c r="CH381" s="3" t="s">
        <v>407</v>
      </c>
    </row>
    <row r="382" spans="1:86" ht="14.25">
      <c r="A382">
        <f t="shared" si="272"/>
        <v>5104602</v>
      </c>
      <c r="B382" s="2" t="s">
        <v>600</v>
      </c>
      <c r="C382" s="48" t="s">
        <v>601</v>
      </c>
      <c r="D382">
        <v>10</v>
      </c>
      <c r="E382">
        <v>6</v>
      </c>
      <c r="F382">
        <v>4</v>
      </c>
      <c r="G382" s="3" t="s">
        <v>602</v>
      </c>
      <c r="H382" s="3" t="s">
        <v>602</v>
      </c>
      <c r="I382" t="s">
        <v>345</v>
      </c>
      <c r="J382" s="2" t="s">
        <v>346</v>
      </c>
      <c r="K382" s="2">
        <f t="shared" si="273"/>
        <v>6</v>
      </c>
      <c r="L382" s="2">
        <f t="shared" si="282"/>
        <v>1.8</v>
      </c>
      <c r="M382" s="2">
        <f t="shared" si="282"/>
        <v>2</v>
      </c>
      <c r="N382" s="2">
        <v>10</v>
      </c>
      <c r="O382" s="2">
        <f t="shared" si="281"/>
        <v>483.84</v>
      </c>
      <c r="P382" s="2">
        <f t="shared" si="281"/>
        <v>24.68</v>
      </c>
      <c r="Q382" s="2">
        <f t="shared" si="281"/>
        <v>4838.3999999999996</v>
      </c>
      <c r="R382" s="2">
        <f t="shared" si="281"/>
        <v>246.76</v>
      </c>
      <c r="S382" s="2">
        <f t="shared" si="281"/>
        <v>96.77</v>
      </c>
      <c r="T382" s="2">
        <f t="shared" si="281"/>
        <v>7.26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17">
        <v>546023</v>
      </c>
      <c r="AA382" s="55" t="s">
        <v>1724</v>
      </c>
      <c r="AB382" s="15" t="s">
        <v>469</v>
      </c>
      <c r="AC382" s="2">
        <v>5114602</v>
      </c>
      <c r="AD382" s="2">
        <v>0</v>
      </c>
      <c r="AE382" s="2">
        <v>1</v>
      </c>
      <c r="AF382" s="2">
        <f t="shared" si="280"/>
        <v>5064602</v>
      </c>
      <c r="AG382" s="2">
        <v>2</v>
      </c>
      <c r="AH382" s="2"/>
      <c r="AI382">
        <v>1</v>
      </c>
      <c r="AJ382" s="1">
        <f t="shared" si="283"/>
        <v>319.80127348916574</v>
      </c>
      <c r="AK382">
        <v>10</v>
      </c>
      <c r="AL382">
        <f t="shared" si="264"/>
        <v>403.2</v>
      </c>
      <c r="AM382">
        <f t="shared" si="265"/>
        <v>20.563199999999998</v>
      </c>
      <c r="AN382">
        <f t="shared" si="266"/>
        <v>4031.9999999999995</v>
      </c>
      <c r="AO382">
        <f t="shared" si="267"/>
        <v>205.63199999999998</v>
      </c>
      <c r="AP382">
        <f t="shared" si="268"/>
        <v>80.64</v>
      </c>
      <c r="AQ382">
        <f t="shared" si="269"/>
        <v>6.048</v>
      </c>
      <c r="AR382">
        <f t="shared" si="270"/>
        <v>1.8</v>
      </c>
      <c r="AS382">
        <f t="shared" si="275"/>
        <v>2</v>
      </c>
      <c r="AT382">
        <f t="shared" si="276"/>
        <v>6</v>
      </c>
      <c r="AU382">
        <f t="shared" si="274"/>
        <v>6024</v>
      </c>
      <c r="AV382" s="1">
        <v>2</v>
      </c>
      <c r="AW382">
        <v>5</v>
      </c>
      <c r="AX382">
        <v>0.2</v>
      </c>
      <c r="AZ382">
        <v>6</v>
      </c>
      <c r="BA382">
        <v>4</v>
      </c>
      <c r="CA382" s="13"/>
      <c r="CB382" s="13"/>
      <c r="CC382" s="13"/>
      <c r="CG382" t="str">
        <f t="shared" si="271"/>
        <v>DATA_Class_Base30</v>
      </c>
      <c r="CH382" s="3" t="s">
        <v>381</v>
      </c>
    </row>
    <row r="383" spans="1:86" ht="14.25">
      <c r="A383">
        <f t="shared" si="272"/>
        <v>5105202</v>
      </c>
      <c r="B383" s="2" t="s">
        <v>604</v>
      </c>
      <c r="C383" s="48" t="s">
        <v>605</v>
      </c>
      <c r="D383">
        <v>10</v>
      </c>
      <c r="E383">
        <v>2</v>
      </c>
      <c r="F383">
        <v>5</v>
      </c>
      <c r="G383" s="3" t="s">
        <v>606</v>
      </c>
      <c r="H383" s="3" t="s">
        <v>606</v>
      </c>
      <c r="I383" s="3">
        <v>0</v>
      </c>
      <c r="J383" s="8" t="s">
        <v>607</v>
      </c>
      <c r="K383" s="2">
        <f t="shared" si="273"/>
        <v>3</v>
      </c>
      <c r="L383" s="2">
        <f t="shared" si="282"/>
        <v>1.6</v>
      </c>
      <c r="M383" s="2">
        <f t="shared" si="282"/>
        <v>2</v>
      </c>
      <c r="N383" s="2">
        <v>10</v>
      </c>
      <c r="O383" s="2">
        <f t="shared" si="281"/>
        <v>412.16</v>
      </c>
      <c r="P383" s="2">
        <f t="shared" si="281"/>
        <v>21.02</v>
      </c>
      <c r="Q383" s="2">
        <f t="shared" si="281"/>
        <v>4636.8</v>
      </c>
      <c r="R383" s="2">
        <f t="shared" si="281"/>
        <v>236.48</v>
      </c>
      <c r="S383" s="2">
        <f t="shared" si="281"/>
        <v>137.38999999999999</v>
      </c>
      <c r="T383" s="2">
        <f t="shared" si="281"/>
        <v>10.3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17">
        <v>552023</v>
      </c>
      <c r="AA383" s="15" t="s">
        <v>733</v>
      </c>
      <c r="AB383" s="15" t="s">
        <v>469</v>
      </c>
      <c r="AC383" s="2">
        <v>5115202</v>
      </c>
      <c r="AD383" s="2">
        <v>0</v>
      </c>
      <c r="AE383" s="2">
        <v>1</v>
      </c>
      <c r="AF383" s="2">
        <f t="shared" si="280"/>
        <v>5065202</v>
      </c>
      <c r="AG383" s="2">
        <v>2</v>
      </c>
      <c r="AH383" s="2"/>
      <c r="AI383">
        <v>1</v>
      </c>
      <c r="AJ383" s="1">
        <f t="shared" si="283"/>
        <v>322.54126688358031</v>
      </c>
      <c r="AK383">
        <v>10</v>
      </c>
      <c r="AL383">
        <f t="shared" si="264"/>
        <v>358.4</v>
      </c>
      <c r="AM383">
        <f t="shared" si="265"/>
        <v>18.278399999999998</v>
      </c>
      <c r="AN383">
        <f t="shared" si="266"/>
        <v>4031.9999999999995</v>
      </c>
      <c r="AO383">
        <f t="shared" si="267"/>
        <v>205.63199999999998</v>
      </c>
      <c r="AP383">
        <f t="shared" si="268"/>
        <v>119.46666666666665</v>
      </c>
      <c r="AQ383">
        <f t="shared" si="269"/>
        <v>8.9599999999999991</v>
      </c>
      <c r="AR383">
        <f t="shared" si="270"/>
        <v>1.6</v>
      </c>
      <c r="AS383">
        <f t="shared" si="275"/>
        <v>2</v>
      </c>
      <c r="AT383">
        <f t="shared" si="276"/>
        <v>3</v>
      </c>
      <c r="AU383">
        <f t="shared" si="274"/>
        <v>2025</v>
      </c>
      <c r="AV383" s="1">
        <v>2</v>
      </c>
      <c r="AW383">
        <v>5</v>
      </c>
      <c r="AX383">
        <v>0.15</v>
      </c>
      <c r="AZ383">
        <v>2</v>
      </c>
      <c r="BA383">
        <v>5</v>
      </c>
      <c r="CA383" s="13"/>
      <c r="CB383" s="13"/>
      <c r="CC383" s="13"/>
      <c r="CG383" t="str">
        <f t="shared" si="271"/>
        <v>DATA_Class_Base40</v>
      </c>
      <c r="CH383" s="3" t="s">
        <v>411</v>
      </c>
    </row>
    <row r="384" spans="1:86" ht="14.25">
      <c r="A384" s="49">
        <f t="shared" si="272"/>
        <v>5105300</v>
      </c>
      <c r="B384" s="2" t="s">
        <v>609</v>
      </c>
      <c r="C384" s="48" t="s">
        <v>610</v>
      </c>
      <c r="D384">
        <v>10</v>
      </c>
      <c r="E384">
        <v>3</v>
      </c>
      <c r="F384">
        <v>5</v>
      </c>
      <c r="G384" s="3" t="s">
        <v>611</v>
      </c>
      <c r="H384" s="3" t="s">
        <v>611</v>
      </c>
      <c r="I384" s="2">
        <v>0</v>
      </c>
      <c r="J384" s="8" t="s">
        <v>612</v>
      </c>
      <c r="K384" s="2">
        <f t="shared" si="273"/>
        <v>3</v>
      </c>
      <c r="L384" s="2">
        <f t="shared" si="282"/>
        <v>1.3</v>
      </c>
      <c r="M384" s="2">
        <f t="shared" si="282"/>
        <v>2</v>
      </c>
      <c r="N384" s="2">
        <v>10</v>
      </c>
      <c r="O384" s="2">
        <f t="shared" si="281"/>
        <v>401.86</v>
      </c>
      <c r="P384" s="2">
        <f t="shared" si="281"/>
        <v>20.49</v>
      </c>
      <c r="Q384" s="2">
        <f t="shared" si="281"/>
        <v>4207.3</v>
      </c>
      <c r="R384" s="2">
        <f t="shared" si="281"/>
        <v>214.57</v>
      </c>
      <c r="S384" s="2">
        <f t="shared" si="281"/>
        <v>100.46</v>
      </c>
      <c r="T384" s="2">
        <f t="shared" si="281"/>
        <v>7.53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17">
        <v>553003</v>
      </c>
      <c r="AA384" s="14" t="s">
        <v>734</v>
      </c>
      <c r="AB384" s="15" t="s">
        <v>469</v>
      </c>
      <c r="AC384" s="2">
        <v>5115300</v>
      </c>
      <c r="AD384" s="2">
        <v>0</v>
      </c>
      <c r="AE384" s="2">
        <v>1</v>
      </c>
      <c r="AF384" s="2">
        <f t="shared" si="280"/>
        <v>5065300</v>
      </c>
      <c r="AG384" s="2">
        <v>2</v>
      </c>
      <c r="AH384" s="2"/>
      <c r="AI384">
        <v>1</v>
      </c>
      <c r="AJ384" s="1">
        <f t="shared" si="283"/>
        <v>320.01692762376211</v>
      </c>
      <c r="AK384">
        <v>10</v>
      </c>
      <c r="AL384">
        <f t="shared" si="264"/>
        <v>334.87999999999994</v>
      </c>
      <c r="AM384">
        <f t="shared" si="265"/>
        <v>17.078879999999995</v>
      </c>
      <c r="AN384">
        <f t="shared" si="266"/>
        <v>3506.0869565217395</v>
      </c>
      <c r="AO384">
        <f t="shared" si="267"/>
        <v>178.8104347826087</v>
      </c>
      <c r="AP384">
        <f t="shared" si="268"/>
        <v>83.719999999999985</v>
      </c>
      <c r="AQ384">
        <f t="shared" si="269"/>
        <v>6.278999999999999</v>
      </c>
      <c r="AR384">
        <f t="shared" si="270"/>
        <v>1.3</v>
      </c>
      <c r="AS384">
        <f t="shared" si="275"/>
        <v>2</v>
      </c>
      <c r="AT384">
        <f t="shared" si="276"/>
        <v>3</v>
      </c>
      <c r="AU384">
        <f t="shared" si="274"/>
        <v>3005</v>
      </c>
      <c r="AV384" s="1">
        <v>0</v>
      </c>
      <c r="AW384">
        <v>5</v>
      </c>
      <c r="AX384">
        <v>0.2</v>
      </c>
      <c r="AZ384">
        <v>3</v>
      </c>
      <c r="BA384">
        <v>5</v>
      </c>
      <c r="CA384" s="13"/>
      <c r="CB384" s="13"/>
      <c r="CC384" s="13"/>
      <c r="CG384" t="str">
        <f t="shared" si="271"/>
        <v>DATA_Class_Base41</v>
      </c>
      <c r="CH384" s="3" t="s">
        <v>413</v>
      </c>
    </row>
    <row r="385" spans="1:86" ht="14.25">
      <c r="A385">
        <f t="shared" si="272"/>
        <v>5105302</v>
      </c>
      <c r="B385" s="2" t="s">
        <v>614</v>
      </c>
      <c r="C385" s="48" t="s">
        <v>615</v>
      </c>
      <c r="D385">
        <v>10</v>
      </c>
      <c r="E385">
        <v>3</v>
      </c>
      <c r="F385">
        <v>5</v>
      </c>
      <c r="G385" s="3" t="s">
        <v>616</v>
      </c>
      <c r="H385" s="3" t="s">
        <v>616</v>
      </c>
      <c r="I385" s="2">
        <v>0</v>
      </c>
      <c r="J385" s="2" t="s">
        <v>358</v>
      </c>
      <c r="K385" s="2">
        <f t="shared" si="273"/>
        <v>3</v>
      </c>
      <c r="L385" s="2">
        <f t="shared" si="282"/>
        <v>1.4000000000000001</v>
      </c>
      <c r="M385" s="2">
        <f t="shared" si="282"/>
        <v>2</v>
      </c>
      <c r="N385" s="2">
        <v>10</v>
      </c>
      <c r="O385" s="2">
        <f t="shared" si="281"/>
        <v>432.77</v>
      </c>
      <c r="P385" s="2">
        <f t="shared" si="281"/>
        <v>22.07</v>
      </c>
      <c r="Q385" s="2">
        <f t="shared" si="281"/>
        <v>3864</v>
      </c>
      <c r="R385" s="2">
        <f t="shared" si="281"/>
        <v>197.06</v>
      </c>
      <c r="S385" s="2">
        <f t="shared" si="281"/>
        <v>108.19</v>
      </c>
      <c r="T385" s="2">
        <f t="shared" si="281"/>
        <v>8.11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17">
        <v>553023</v>
      </c>
      <c r="AA385" s="14" t="s">
        <v>735</v>
      </c>
      <c r="AB385" s="15" t="s">
        <v>469</v>
      </c>
      <c r="AC385" s="2">
        <v>5115302</v>
      </c>
      <c r="AD385" s="2">
        <v>0</v>
      </c>
      <c r="AE385" s="2">
        <v>1</v>
      </c>
      <c r="AF385" s="2">
        <f t="shared" si="280"/>
        <v>5065302</v>
      </c>
      <c r="AG385" s="2">
        <v>2</v>
      </c>
      <c r="AH385" s="2"/>
      <c r="AI385">
        <v>1</v>
      </c>
      <c r="AJ385" s="1">
        <f t="shared" si="283"/>
        <v>320.74444904973888</v>
      </c>
      <c r="AK385">
        <v>10</v>
      </c>
      <c r="AL385">
        <f t="shared" ref="AL385:AL448" si="284">INDEX($BD$5:$BD$60,MATCH($AU385,$BB$5:$BB$60,0))*$AR385/1.5*$BH$4*INDEX($BD$106:$BQ$106,MATCH($AK385,$BD$105:$BQ$105,0))</f>
        <v>376.31999999999994</v>
      </c>
      <c r="AM385">
        <f t="shared" ref="AM385:AM448" si="285">(INDEX($BD$5:$BD$56,MATCH($AU385,$BB$5:$BB$56,0))*$AR385/1.5*$BH$4*INDEX($BD$106:$BQ$106,MATCH($AK385,$BD$105:$BQ$105,0)))*0.051</f>
        <v>19.192319999999995</v>
      </c>
      <c r="AN385">
        <f t="shared" ref="AN385:AN448" si="286">INDEX($BE$5:$BE$60,MATCH($AU385,$BB$5:$BB$60,0))*$BI$4*INDEX($BD$106:$BQ$106,MATCH($AK385,$BD$105:$BQ$105,0))</f>
        <v>3360</v>
      </c>
      <c r="AO385">
        <f t="shared" ref="AO385:AO448" si="287">(INDEX($BE$5:$BE$60,MATCH($AU385,$BB$5:$BB$60,0))*$BI$4*INDEX($BD$106:$BQ$106,MATCH($AK385,$BD$105:$BQ$105,0)))*0.051</f>
        <v>171.35999999999999</v>
      </c>
      <c r="AP385">
        <f t="shared" ref="AP385:AP448" si="288">$AL385/INDEX($BF$5:$BF$60,MATCH($AU385,$BB$5:$BB$60,0))</f>
        <v>94.079999999999984</v>
      </c>
      <c r="AQ385">
        <f t="shared" ref="AQ385:AQ448" si="289">AP385*0.075</f>
        <v>7.0559999999999983</v>
      </c>
      <c r="AR385">
        <f t="shared" si="270"/>
        <v>1.4</v>
      </c>
      <c r="AS385">
        <f t="shared" si="275"/>
        <v>2</v>
      </c>
      <c r="AT385">
        <f t="shared" si="276"/>
        <v>3</v>
      </c>
      <c r="AU385">
        <f t="shared" si="274"/>
        <v>3025</v>
      </c>
      <c r="AV385" s="1">
        <v>2</v>
      </c>
      <c r="AW385">
        <v>5</v>
      </c>
      <c r="AX385">
        <v>0.15</v>
      </c>
      <c r="AZ385">
        <v>3</v>
      </c>
      <c r="BA385">
        <v>5</v>
      </c>
      <c r="CA385" s="13"/>
      <c r="CB385" s="13"/>
      <c r="CC385" s="13"/>
      <c r="CG385" t="str">
        <f t="shared" si="271"/>
        <v>DATA_Class_Base42</v>
      </c>
      <c r="CH385" s="3" t="s">
        <v>174</v>
      </c>
    </row>
    <row r="386" spans="1:86" ht="14.25">
      <c r="A386" s="49">
        <f t="shared" si="272"/>
        <v>5105400</v>
      </c>
      <c r="B386" s="2" t="s">
        <v>618</v>
      </c>
      <c r="C386" s="48" t="s">
        <v>619</v>
      </c>
      <c r="D386">
        <v>10</v>
      </c>
      <c r="E386">
        <v>4</v>
      </c>
      <c r="F386">
        <v>5</v>
      </c>
      <c r="G386" s="3" t="s">
        <v>620</v>
      </c>
      <c r="H386" s="3" t="s">
        <v>620</v>
      </c>
      <c r="I386">
        <v>0</v>
      </c>
      <c r="J386" s="2" t="s">
        <v>364</v>
      </c>
      <c r="K386" s="2">
        <f t="shared" si="273"/>
        <v>6</v>
      </c>
      <c r="L386" s="2">
        <f t="shared" si="282"/>
        <v>1.4000000000000001</v>
      </c>
      <c r="M386" s="2">
        <f t="shared" si="282"/>
        <v>2</v>
      </c>
      <c r="N386" s="2">
        <v>10</v>
      </c>
      <c r="O386" s="2">
        <f t="shared" si="281"/>
        <v>470.4</v>
      </c>
      <c r="P386" s="2">
        <f t="shared" si="281"/>
        <v>23.99</v>
      </c>
      <c r="Q386" s="2">
        <f t="shared" si="281"/>
        <v>3870.72</v>
      </c>
      <c r="R386" s="2">
        <f t="shared" si="281"/>
        <v>197.41</v>
      </c>
      <c r="S386" s="2">
        <f t="shared" si="281"/>
        <v>85.53</v>
      </c>
      <c r="T386" s="2">
        <f t="shared" si="281"/>
        <v>6.41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17">
        <v>554003</v>
      </c>
      <c r="AA386" s="14" t="s">
        <v>736</v>
      </c>
      <c r="AB386" s="15" t="s">
        <v>469</v>
      </c>
      <c r="AC386" s="2">
        <v>5115400</v>
      </c>
      <c r="AD386" s="2">
        <v>0</v>
      </c>
      <c r="AE386" s="2">
        <v>1</v>
      </c>
      <c r="AF386" s="2">
        <f t="shared" si="280"/>
        <v>5065400</v>
      </c>
      <c r="AG386" s="2">
        <v>2</v>
      </c>
      <c r="AH386" s="2"/>
      <c r="AI386">
        <v>1</v>
      </c>
      <c r="AJ386" s="1">
        <f t="shared" si="283"/>
        <v>319.14718229793272</v>
      </c>
      <c r="AK386">
        <v>10</v>
      </c>
      <c r="AL386">
        <f t="shared" si="284"/>
        <v>392</v>
      </c>
      <c r="AM386">
        <f t="shared" si="285"/>
        <v>19.991999999999997</v>
      </c>
      <c r="AN386">
        <f t="shared" si="286"/>
        <v>3225.6</v>
      </c>
      <c r="AO386">
        <f t="shared" si="287"/>
        <v>164.50559999999999</v>
      </c>
      <c r="AP386">
        <f t="shared" si="288"/>
        <v>71.272727272727266</v>
      </c>
      <c r="AQ386">
        <f t="shared" si="289"/>
        <v>5.3454545454545448</v>
      </c>
      <c r="AR386">
        <f t="shared" ref="AR386:AR449" si="290">INDEX($BG$5:$BG$60,MATCH($AU386,$BB$5:$BB$60,0))</f>
        <v>1.4</v>
      </c>
      <c r="AS386">
        <f t="shared" si="275"/>
        <v>2</v>
      </c>
      <c r="AT386">
        <f t="shared" si="276"/>
        <v>6</v>
      </c>
      <c r="AU386">
        <f t="shared" si="274"/>
        <v>4005</v>
      </c>
      <c r="AV386" s="1">
        <v>0</v>
      </c>
      <c r="AW386">
        <v>5</v>
      </c>
      <c r="AX386">
        <v>0.2</v>
      </c>
      <c r="AZ386">
        <v>4</v>
      </c>
      <c r="BA386">
        <v>5</v>
      </c>
      <c r="CA386" s="13"/>
      <c r="CB386" s="13"/>
      <c r="CC386" s="13"/>
      <c r="CG386" t="str">
        <f t="shared" si="271"/>
        <v>DATA_Class_Base37</v>
      </c>
      <c r="CH386" s="3" t="s">
        <v>402</v>
      </c>
    </row>
    <row r="387" spans="1:86" ht="14.25">
      <c r="A387">
        <f t="shared" si="272"/>
        <v>5105501</v>
      </c>
      <c r="B387" s="2" t="s">
        <v>622</v>
      </c>
      <c r="C387" s="48" t="s">
        <v>623</v>
      </c>
      <c r="D387">
        <v>10</v>
      </c>
      <c r="E387">
        <v>5</v>
      </c>
      <c r="F387">
        <v>5</v>
      </c>
      <c r="G387" s="3" t="s">
        <v>624</v>
      </c>
      <c r="H387" s="3" t="s">
        <v>624</v>
      </c>
      <c r="I387" s="3">
        <v>0</v>
      </c>
      <c r="J387" s="8" t="s">
        <v>625</v>
      </c>
      <c r="K387" s="2">
        <f t="shared" si="273"/>
        <v>6</v>
      </c>
      <c r="L387" s="2">
        <f t="shared" si="282"/>
        <v>1.5</v>
      </c>
      <c r="M387" s="2">
        <f t="shared" si="282"/>
        <v>2</v>
      </c>
      <c r="N387" s="2">
        <v>10</v>
      </c>
      <c r="O387" s="2">
        <f t="shared" si="281"/>
        <v>560.28</v>
      </c>
      <c r="P387" s="2">
        <f t="shared" si="281"/>
        <v>28.57</v>
      </c>
      <c r="Q387" s="2">
        <f t="shared" si="281"/>
        <v>3197.79</v>
      </c>
      <c r="R387" s="2">
        <f t="shared" si="281"/>
        <v>163.09</v>
      </c>
      <c r="S387" s="2">
        <f t="shared" si="281"/>
        <v>70.040000000000006</v>
      </c>
      <c r="T387" s="2">
        <f t="shared" si="281"/>
        <v>5.25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17">
        <v>555013</v>
      </c>
      <c r="AA387" s="15" t="s">
        <v>737</v>
      </c>
      <c r="AB387" s="15" t="s">
        <v>469</v>
      </c>
      <c r="AC387" s="2">
        <v>5115501</v>
      </c>
      <c r="AD387" s="2">
        <v>0</v>
      </c>
      <c r="AE387" s="2">
        <v>1</v>
      </c>
      <c r="AF387" s="2">
        <f t="shared" si="280"/>
        <v>5065501</v>
      </c>
      <c r="AG387" s="2">
        <v>2</v>
      </c>
      <c r="AH387" s="2"/>
      <c r="AI387">
        <v>1</v>
      </c>
      <c r="AJ387" s="1">
        <f t="shared" si="283"/>
        <v>318.42599773121356</v>
      </c>
      <c r="AK387">
        <v>10</v>
      </c>
      <c r="AL387">
        <f t="shared" si="284"/>
        <v>487.2</v>
      </c>
      <c r="AM387">
        <f t="shared" si="285"/>
        <v>24.847199999999997</v>
      </c>
      <c r="AN387">
        <f t="shared" si="286"/>
        <v>2780.6896551724135</v>
      </c>
      <c r="AO387">
        <f t="shared" si="287"/>
        <v>141.81517241379308</v>
      </c>
      <c r="AP387">
        <f t="shared" si="288"/>
        <v>60.9</v>
      </c>
      <c r="AQ387">
        <f t="shared" si="289"/>
        <v>4.5674999999999999</v>
      </c>
      <c r="AR387">
        <f t="shared" si="290"/>
        <v>1.5</v>
      </c>
      <c r="AS387">
        <f t="shared" si="275"/>
        <v>2</v>
      </c>
      <c r="AT387">
        <f t="shared" si="276"/>
        <v>6</v>
      </c>
      <c r="AU387">
        <f t="shared" si="274"/>
        <v>5015</v>
      </c>
      <c r="AV387" s="1">
        <v>1</v>
      </c>
      <c r="AW387">
        <v>5</v>
      </c>
      <c r="AX387">
        <v>0.15</v>
      </c>
      <c r="AZ387">
        <v>5</v>
      </c>
      <c r="BA387">
        <v>5</v>
      </c>
      <c r="CG387" t="str">
        <f t="shared" si="271"/>
        <v>DATA_Class_Base28</v>
      </c>
      <c r="CH387" s="3" t="s">
        <v>374</v>
      </c>
    </row>
    <row r="388" spans="1:86" ht="14.25">
      <c r="A388">
        <f t="shared" si="272"/>
        <v>5111200</v>
      </c>
      <c r="B388" s="2" t="s">
        <v>464</v>
      </c>
      <c r="C388" s="48" t="s">
        <v>465</v>
      </c>
      <c r="D388">
        <v>11</v>
      </c>
      <c r="E388">
        <v>2</v>
      </c>
      <c r="F388">
        <v>1</v>
      </c>
      <c r="G388" s="3" t="s">
        <v>466</v>
      </c>
      <c r="H388" s="3" t="s">
        <v>466</v>
      </c>
      <c r="I388" s="2">
        <v>0</v>
      </c>
      <c r="J388" s="8" t="s">
        <v>467</v>
      </c>
      <c r="K388" s="2">
        <f t="shared" si="273"/>
        <v>3</v>
      </c>
      <c r="L388" s="2">
        <f t="shared" si="282"/>
        <v>1.5</v>
      </c>
      <c r="M388" s="2">
        <f t="shared" si="282"/>
        <v>1.2</v>
      </c>
      <c r="N388" s="2">
        <v>10</v>
      </c>
      <c r="O388" s="2">
        <f t="shared" si="281"/>
        <v>327.36</v>
      </c>
      <c r="P388" s="2">
        <f t="shared" si="281"/>
        <v>16.7</v>
      </c>
      <c r="Q388" s="2">
        <f t="shared" si="281"/>
        <v>6138</v>
      </c>
      <c r="R388" s="2">
        <f t="shared" si="281"/>
        <v>313.04000000000002</v>
      </c>
      <c r="S388" s="2">
        <f t="shared" si="281"/>
        <v>130.94</v>
      </c>
      <c r="T388" s="2">
        <f t="shared" si="281"/>
        <v>9.82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17">
        <v>512003</v>
      </c>
      <c r="AA388" s="14" t="s">
        <v>738</v>
      </c>
      <c r="AB388" s="15" t="s">
        <v>469</v>
      </c>
      <c r="AC388" s="2">
        <v>5121200</v>
      </c>
      <c r="AD388" s="2">
        <v>0</v>
      </c>
      <c r="AE388" s="2">
        <v>1</v>
      </c>
      <c r="AF388" s="2">
        <f t="shared" ref="AF388:AF424" si="291">A203</f>
        <v>5061200</v>
      </c>
      <c r="AG388" s="2">
        <v>2</v>
      </c>
      <c r="AI388">
        <v>1</v>
      </c>
      <c r="AJ388" s="1">
        <f t="shared" si="283"/>
        <v>395.32267445665383</v>
      </c>
      <c r="AK388">
        <v>11</v>
      </c>
      <c r="AL388">
        <f t="shared" si="284"/>
        <v>297.60000000000008</v>
      </c>
      <c r="AM388">
        <f t="shared" si="285"/>
        <v>15.177600000000004</v>
      </c>
      <c r="AN388">
        <f t="shared" si="286"/>
        <v>5580</v>
      </c>
      <c r="AO388">
        <f t="shared" si="287"/>
        <v>284.58</v>
      </c>
      <c r="AP388">
        <f t="shared" si="288"/>
        <v>119.04000000000003</v>
      </c>
      <c r="AQ388">
        <f t="shared" si="289"/>
        <v>8.9280000000000026</v>
      </c>
      <c r="AR388">
        <f t="shared" si="290"/>
        <v>1.5</v>
      </c>
      <c r="AS388">
        <f t="shared" si="275"/>
        <v>1.2</v>
      </c>
      <c r="AT388">
        <f t="shared" si="276"/>
        <v>3</v>
      </c>
      <c r="AU388">
        <f t="shared" si="274"/>
        <v>2001</v>
      </c>
      <c r="AV388" s="1">
        <v>0</v>
      </c>
      <c r="AW388">
        <v>5</v>
      </c>
      <c r="AX388">
        <v>0.1</v>
      </c>
      <c r="AZ388">
        <v>2</v>
      </c>
      <c r="BA388">
        <v>1</v>
      </c>
      <c r="CG388" t="str">
        <f t="shared" si="271"/>
        <v>DATA_Class_Base29</v>
      </c>
      <c r="CH388" s="3" t="s">
        <v>378</v>
      </c>
    </row>
    <row r="389" spans="1:86" ht="14.25">
      <c r="A389" s="49">
        <f t="shared" si="272"/>
        <v>5111201</v>
      </c>
      <c r="B389" s="2" t="s">
        <v>470</v>
      </c>
      <c r="C389" s="48" t="s">
        <v>471</v>
      </c>
      <c r="D389">
        <v>11</v>
      </c>
      <c r="E389">
        <v>2</v>
      </c>
      <c r="F389">
        <v>1</v>
      </c>
      <c r="G389" s="3" t="s">
        <v>472</v>
      </c>
      <c r="H389" s="3" t="s">
        <v>472</v>
      </c>
      <c r="I389" s="2">
        <v>0</v>
      </c>
      <c r="J389" s="8" t="s">
        <v>298</v>
      </c>
      <c r="K389" s="2">
        <f t="shared" si="273"/>
        <v>3</v>
      </c>
      <c r="L389" s="2">
        <f t="shared" si="282"/>
        <v>1.6</v>
      </c>
      <c r="M389" s="2">
        <f t="shared" si="282"/>
        <v>1.8</v>
      </c>
      <c r="N389" s="2">
        <v>10</v>
      </c>
      <c r="O389" s="2">
        <f t="shared" si="281"/>
        <v>285.7</v>
      </c>
      <c r="P389" s="2">
        <f t="shared" si="281"/>
        <v>14.57</v>
      </c>
      <c r="Q389" s="2">
        <f t="shared" si="281"/>
        <v>8928</v>
      </c>
      <c r="R389" s="2">
        <f t="shared" si="281"/>
        <v>455.33</v>
      </c>
      <c r="S389" s="2">
        <f t="shared" si="281"/>
        <v>168.06</v>
      </c>
      <c r="T389" s="2">
        <f t="shared" si="281"/>
        <v>12.6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17">
        <v>512013</v>
      </c>
      <c r="AA389" s="14" t="s">
        <v>739</v>
      </c>
      <c r="AB389" s="15" t="s">
        <v>469</v>
      </c>
      <c r="AC389" s="2">
        <v>5121201</v>
      </c>
      <c r="AD389" s="2">
        <v>0</v>
      </c>
      <c r="AE389" s="2">
        <v>1</v>
      </c>
      <c r="AF389" s="2">
        <f t="shared" si="291"/>
        <v>5061201</v>
      </c>
      <c r="AG389" s="2">
        <v>2</v>
      </c>
      <c r="AI389">
        <v>1</v>
      </c>
      <c r="AJ389" s="1">
        <f t="shared" si="283"/>
        <v>397.16358636629695</v>
      </c>
      <c r="AK389">
        <v>11</v>
      </c>
      <c r="AL389">
        <f t="shared" si="284"/>
        <v>238.07999999999998</v>
      </c>
      <c r="AM389">
        <f t="shared" si="285"/>
        <v>12.142079999999998</v>
      </c>
      <c r="AN389">
        <f t="shared" si="286"/>
        <v>7440</v>
      </c>
      <c r="AO389">
        <f t="shared" si="287"/>
        <v>379.44</v>
      </c>
      <c r="AP389">
        <f t="shared" si="288"/>
        <v>140.0470588235294</v>
      </c>
      <c r="AQ389">
        <f t="shared" si="289"/>
        <v>10.503529411764704</v>
      </c>
      <c r="AR389">
        <f t="shared" si="290"/>
        <v>1.6</v>
      </c>
      <c r="AS389">
        <f t="shared" si="275"/>
        <v>1.8</v>
      </c>
      <c r="AT389">
        <f t="shared" si="276"/>
        <v>3</v>
      </c>
      <c r="AU389">
        <f t="shared" si="274"/>
        <v>2011</v>
      </c>
      <c r="AV389" s="1">
        <v>1</v>
      </c>
      <c r="AW389">
        <v>5</v>
      </c>
      <c r="AX389">
        <v>0.2</v>
      </c>
      <c r="AZ389">
        <v>2</v>
      </c>
      <c r="BA389">
        <v>1</v>
      </c>
      <c r="CG389" t="str">
        <f t="shared" si="271"/>
        <v>DATA_Class_Base30</v>
      </c>
      <c r="CH389" s="3" t="s">
        <v>381</v>
      </c>
    </row>
    <row r="390" spans="1:86" ht="14.25">
      <c r="A390">
        <f t="shared" si="272"/>
        <v>5111202</v>
      </c>
      <c r="B390" s="2" t="s">
        <v>474</v>
      </c>
      <c r="C390" s="48" t="s">
        <v>475</v>
      </c>
      <c r="D390">
        <v>11</v>
      </c>
      <c r="E390">
        <v>2</v>
      </c>
      <c r="F390">
        <v>1</v>
      </c>
      <c r="G390" s="3" t="s">
        <v>476</v>
      </c>
      <c r="H390" s="3" t="s">
        <v>476</v>
      </c>
      <c r="I390">
        <v>0</v>
      </c>
      <c r="J390" s="8" t="s">
        <v>477</v>
      </c>
      <c r="K390" s="2">
        <f t="shared" si="273"/>
        <v>3</v>
      </c>
      <c r="L390" s="2">
        <f t="shared" si="282"/>
        <v>1.6</v>
      </c>
      <c r="M390" s="2">
        <f t="shared" si="282"/>
        <v>2</v>
      </c>
      <c r="N390" s="2">
        <v>10</v>
      </c>
      <c r="O390" s="2">
        <f t="shared" si="281"/>
        <v>349.18</v>
      </c>
      <c r="P390" s="2">
        <f t="shared" si="281"/>
        <v>17.809999999999999</v>
      </c>
      <c r="Q390" s="2">
        <f t="shared" si="281"/>
        <v>6138</v>
      </c>
      <c r="R390" s="2">
        <f t="shared" si="281"/>
        <v>313.04000000000002</v>
      </c>
      <c r="S390" s="2">
        <f t="shared" si="281"/>
        <v>129.33000000000001</v>
      </c>
      <c r="T390" s="2">
        <f t="shared" si="281"/>
        <v>9.6999999999999993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17">
        <v>512023</v>
      </c>
      <c r="AA390" s="14" t="s">
        <v>740</v>
      </c>
      <c r="AB390" s="15" t="s">
        <v>469</v>
      </c>
      <c r="AC390" s="2">
        <v>5121202</v>
      </c>
      <c r="AD390" s="2">
        <v>0</v>
      </c>
      <c r="AE390" s="2">
        <v>1</v>
      </c>
      <c r="AF390" s="2">
        <f t="shared" si="291"/>
        <v>5061202</v>
      </c>
      <c r="AG390" s="2">
        <v>2</v>
      </c>
      <c r="AI390">
        <v>1</v>
      </c>
      <c r="AJ390" s="1">
        <f t="shared" si="283"/>
        <v>395.19452488744218</v>
      </c>
      <c r="AK390">
        <v>11</v>
      </c>
      <c r="AL390">
        <f t="shared" si="284"/>
        <v>317.44000000000005</v>
      </c>
      <c r="AM390">
        <f t="shared" si="285"/>
        <v>16.189440000000001</v>
      </c>
      <c r="AN390">
        <f t="shared" si="286"/>
        <v>5580</v>
      </c>
      <c r="AO390">
        <f t="shared" si="287"/>
        <v>284.58</v>
      </c>
      <c r="AP390">
        <f t="shared" si="288"/>
        <v>117.57037037037038</v>
      </c>
      <c r="AQ390">
        <f t="shared" si="289"/>
        <v>8.8177777777777777</v>
      </c>
      <c r="AR390">
        <f t="shared" si="290"/>
        <v>1.6</v>
      </c>
      <c r="AS390">
        <f t="shared" si="275"/>
        <v>2</v>
      </c>
      <c r="AT390">
        <f t="shared" si="276"/>
        <v>3</v>
      </c>
      <c r="AU390">
        <f t="shared" si="274"/>
        <v>2021</v>
      </c>
      <c r="AV390" s="1">
        <v>2</v>
      </c>
      <c r="AW390">
        <v>5</v>
      </c>
      <c r="AX390">
        <v>0.1</v>
      </c>
      <c r="AZ390">
        <v>2</v>
      </c>
      <c r="BA390">
        <v>1</v>
      </c>
      <c r="CG390" t="str">
        <f t="shared" si="271"/>
        <v>DATA_Class_Base31</v>
      </c>
      <c r="CH390" s="3" t="s">
        <v>384</v>
      </c>
    </row>
    <row r="391" spans="1:86" ht="14.25">
      <c r="A391">
        <f t="shared" si="272"/>
        <v>5111301</v>
      </c>
      <c r="B391" s="2" t="s">
        <v>479</v>
      </c>
      <c r="C391" s="48" t="s">
        <v>480</v>
      </c>
      <c r="D391">
        <v>11</v>
      </c>
      <c r="E391">
        <v>3</v>
      </c>
      <c r="F391">
        <v>1</v>
      </c>
      <c r="G391" s="3" t="s">
        <v>481</v>
      </c>
      <c r="H391" s="3" t="s">
        <v>481</v>
      </c>
      <c r="I391" s="2">
        <v>0</v>
      </c>
      <c r="J391" s="8" t="s">
        <v>482</v>
      </c>
      <c r="K391" s="2">
        <f t="shared" si="273"/>
        <v>3</v>
      </c>
      <c r="L391" s="2">
        <f t="shared" si="282"/>
        <v>1.3</v>
      </c>
      <c r="M391" s="2">
        <f t="shared" si="282"/>
        <v>2</v>
      </c>
      <c r="N391" s="2">
        <v>10</v>
      </c>
      <c r="O391" s="2">
        <f t="shared" si="281"/>
        <v>390.1</v>
      </c>
      <c r="P391" s="2">
        <f t="shared" si="281"/>
        <v>19.899999999999999</v>
      </c>
      <c r="Q391" s="2">
        <f t="shared" si="281"/>
        <v>4464</v>
      </c>
      <c r="R391" s="2">
        <f t="shared" si="281"/>
        <v>227.66</v>
      </c>
      <c r="S391" s="2">
        <f t="shared" si="281"/>
        <v>111.46</v>
      </c>
      <c r="T391" s="2">
        <f t="shared" si="281"/>
        <v>8.36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17">
        <v>513013</v>
      </c>
      <c r="AA391" s="14" t="s">
        <v>741</v>
      </c>
      <c r="AB391" s="15" t="s">
        <v>469</v>
      </c>
      <c r="AC391" s="2">
        <v>5121301</v>
      </c>
      <c r="AD391" s="2">
        <v>0</v>
      </c>
      <c r="AE391" s="2">
        <v>1</v>
      </c>
      <c r="AF391" s="2">
        <f t="shared" si="291"/>
        <v>5061301</v>
      </c>
      <c r="AG391" s="2">
        <v>2</v>
      </c>
      <c r="AI391">
        <v>1</v>
      </c>
      <c r="AJ391" s="1">
        <f t="shared" si="283"/>
        <v>393.78352949672416</v>
      </c>
      <c r="AK391">
        <v>11</v>
      </c>
      <c r="AL391">
        <f t="shared" si="284"/>
        <v>354.6400000000001</v>
      </c>
      <c r="AM391">
        <f t="shared" si="285"/>
        <v>18.086640000000003</v>
      </c>
      <c r="AN391">
        <f t="shared" si="286"/>
        <v>4058.181818181818</v>
      </c>
      <c r="AO391">
        <f t="shared" si="287"/>
        <v>206.9672727272727</v>
      </c>
      <c r="AP391">
        <f t="shared" si="288"/>
        <v>101.32571428571431</v>
      </c>
      <c r="AQ391">
        <f t="shared" si="289"/>
        <v>7.5994285714285734</v>
      </c>
      <c r="AR391">
        <f t="shared" si="290"/>
        <v>1.3</v>
      </c>
      <c r="AS391">
        <f t="shared" si="275"/>
        <v>2</v>
      </c>
      <c r="AT391">
        <f t="shared" si="276"/>
        <v>3</v>
      </c>
      <c r="AU391">
        <f t="shared" si="274"/>
        <v>3011</v>
      </c>
      <c r="AV391" s="1">
        <v>1</v>
      </c>
      <c r="AW391">
        <v>5</v>
      </c>
      <c r="AX391">
        <v>0.1</v>
      </c>
      <c r="AZ391">
        <v>3</v>
      </c>
      <c r="BA391">
        <v>1</v>
      </c>
      <c r="CG391" t="str">
        <f t="shared" si="271"/>
        <v>DATA_Class_Base32</v>
      </c>
      <c r="CH391" s="3" t="s">
        <v>388</v>
      </c>
    </row>
    <row r="392" spans="1:86" ht="14.25">
      <c r="A392">
        <f t="shared" si="272"/>
        <v>5111401</v>
      </c>
      <c r="B392" s="2" t="s">
        <v>484</v>
      </c>
      <c r="C392" s="48" t="s">
        <v>485</v>
      </c>
      <c r="D392">
        <v>11</v>
      </c>
      <c r="E392">
        <v>4</v>
      </c>
      <c r="F392">
        <v>1</v>
      </c>
      <c r="G392" s="3" t="s">
        <v>486</v>
      </c>
      <c r="H392" s="3" t="s">
        <v>486</v>
      </c>
      <c r="I392" s="2">
        <v>0</v>
      </c>
      <c r="J392" s="2" t="s">
        <v>161</v>
      </c>
      <c r="K392" s="2">
        <f t="shared" si="273"/>
        <v>6</v>
      </c>
      <c r="L392" s="2">
        <f t="shared" si="282"/>
        <v>1.6</v>
      </c>
      <c r="M392" s="2">
        <f t="shared" si="282"/>
        <v>2</v>
      </c>
      <c r="N392" s="2">
        <v>10</v>
      </c>
      <c r="O392" s="2">
        <f t="shared" si="281"/>
        <v>480.13</v>
      </c>
      <c r="P392" s="2">
        <f t="shared" si="281"/>
        <v>24.49</v>
      </c>
      <c r="Q392" s="2">
        <f t="shared" si="281"/>
        <v>4464</v>
      </c>
      <c r="R392" s="2">
        <f t="shared" si="281"/>
        <v>227.66</v>
      </c>
      <c r="S392" s="2">
        <f t="shared" si="281"/>
        <v>96.03</v>
      </c>
      <c r="T392" s="2">
        <f t="shared" si="281"/>
        <v>7.2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17">
        <v>514013</v>
      </c>
      <c r="AA392" s="14" t="s">
        <v>742</v>
      </c>
      <c r="AB392" s="15" t="s">
        <v>469</v>
      </c>
      <c r="AC392" s="2">
        <v>5121401</v>
      </c>
      <c r="AD392" s="2">
        <v>0</v>
      </c>
      <c r="AE392" s="2">
        <v>1</v>
      </c>
      <c r="AF392" s="2">
        <f t="shared" si="291"/>
        <v>5061401</v>
      </c>
      <c r="AG392" s="2">
        <v>2</v>
      </c>
      <c r="AI392">
        <v>1</v>
      </c>
      <c r="AJ392" s="1">
        <f t="shared" si="283"/>
        <v>392.57300546904662</v>
      </c>
      <c r="AK392">
        <v>11</v>
      </c>
      <c r="AL392">
        <f t="shared" si="284"/>
        <v>436.48000000000013</v>
      </c>
      <c r="AM392">
        <f t="shared" si="285"/>
        <v>22.260480000000005</v>
      </c>
      <c r="AN392">
        <f t="shared" si="286"/>
        <v>4058.181818181818</v>
      </c>
      <c r="AO392">
        <f t="shared" si="287"/>
        <v>206.9672727272727</v>
      </c>
      <c r="AP392">
        <f t="shared" si="288"/>
        <v>87.296000000000021</v>
      </c>
      <c r="AQ392">
        <f t="shared" si="289"/>
        <v>6.547200000000001</v>
      </c>
      <c r="AR392">
        <f t="shared" si="290"/>
        <v>1.6</v>
      </c>
      <c r="AS392">
        <f t="shared" si="275"/>
        <v>2</v>
      </c>
      <c r="AT392">
        <f t="shared" si="276"/>
        <v>6</v>
      </c>
      <c r="AU392">
        <f t="shared" si="274"/>
        <v>4011</v>
      </c>
      <c r="AV392" s="1">
        <v>1</v>
      </c>
      <c r="AW392">
        <v>5</v>
      </c>
      <c r="AX392">
        <v>0.1</v>
      </c>
      <c r="AZ392">
        <v>4</v>
      </c>
      <c r="BA392">
        <v>1</v>
      </c>
      <c r="CG392" t="str">
        <f t="shared" si="271"/>
        <v>DATA_Class_Base33</v>
      </c>
      <c r="CH392" s="3" t="s">
        <v>391</v>
      </c>
    </row>
    <row r="393" spans="1:86" ht="14.25">
      <c r="A393" s="49">
        <f t="shared" si="272"/>
        <v>5111402</v>
      </c>
      <c r="B393" s="2" t="s">
        <v>488</v>
      </c>
      <c r="C393" s="48" t="s">
        <v>489</v>
      </c>
      <c r="D393">
        <v>11</v>
      </c>
      <c r="E393">
        <v>4</v>
      </c>
      <c r="F393">
        <v>1</v>
      </c>
      <c r="G393" s="3" t="s">
        <v>490</v>
      </c>
      <c r="H393" s="3" t="s">
        <v>490</v>
      </c>
      <c r="I393">
        <v>0</v>
      </c>
      <c r="J393" s="8" t="s">
        <v>161</v>
      </c>
      <c r="K393" s="2">
        <f t="shared" si="273"/>
        <v>6</v>
      </c>
      <c r="L393" s="2">
        <f t="shared" si="282"/>
        <v>1.5</v>
      </c>
      <c r="M393" s="2">
        <f t="shared" si="282"/>
        <v>1.5</v>
      </c>
      <c r="N393" s="2">
        <v>10</v>
      </c>
      <c r="O393" s="2">
        <f t="shared" si="281"/>
        <v>513.36</v>
      </c>
      <c r="P393" s="2">
        <f t="shared" si="281"/>
        <v>26.18</v>
      </c>
      <c r="Q393" s="2">
        <f t="shared" si="281"/>
        <v>4278</v>
      </c>
      <c r="R393" s="2">
        <f t="shared" si="281"/>
        <v>218.18</v>
      </c>
      <c r="S393" s="2">
        <f t="shared" si="281"/>
        <v>85.56</v>
      </c>
      <c r="T393" s="2">
        <f t="shared" si="281"/>
        <v>6.42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17">
        <v>514023</v>
      </c>
      <c r="AA393" s="14" t="s">
        <v>743</v>
      </c>
      <c r="AB393" s="15" t="s">
        <v>469</v>
      </c>
      <c r="AC393" s="2">
        <v>5121402</v>
      </c>
      <c r="AD393" s="2">
        <v>0</v>
      </c>
      <c r="AE393" s="2">
        <v>1</v>
      </c>
      <c r="AF393" s="2">
        <f t="shared" si="291"/>
        <v>5061402</v>
      </c>
      <c r="AG393" s="2">
        <v>2</v>
      </c>
      <c r="AI393">
        <v>1</v>
      </c>
      <c r="AJ393" s="1">
        <f t="shared" si="283"/>
        <v>391.46684775232615</v>
      </c>
      <c r="AK393">
        <v>11</v>
      </c>
      <c r="AL393">
        <f t="shared" si="284"/>
        <v>446.40000000000003</v>
      </c>
      <c r="AM393">
        <f t="shared" si="285"/>
        <v>22.766400000000001</v>
      </c>
      <c r="AN393">
        <f t="shared" si="286"/>
        <v>3720</v>
      </c>
      <c r="AO393">
        <f t="shared" si="287"/>
        <v>189.72</v>
      </c>
      <c r="AP393">
        <f t="shared" si="288"/>
        <v>74.400000000000006</v>
      </c>
      <c r="AQ393">
        <f t="shared" si="289"/>
        <v>5.58</v>
      </c>
      <c r="AR393">
        <f t="shared" si="290"/>
        <v>1.5</v>
      </c>
      <c r="AS393">
        <f t="shared" si="275"/>
        <v>1.5</v>
      </c>
      <c r="AT393">
        <f t="shared" si="276"/>
        <v>6</v>
      </c>
      <c r="AU393">
        <f t="shared" si="274"/>
        <v>4021</v>
      </c>
      <c r="AV393" s="1">
        <v>2</v>
      </c>
      <c r="AW393">
        <v>5</v>
      </c>
      <c r="AX393">
        <v>0.15</v>
      </c>
      <c r="AZ393">
        <v>4</v>
      </c>
      <c r="BA393">
        <v>1</v>
      </c>
      <c r="CG393" t="str">
        <f t="shared" si="271"/>
        <v>DATA_Class_Base34</v>
      </c>
      <c r="CH393" s="3" t="s">
        <v>184</v>
      </c>
    </row>
    <row r="394" spans="1:86" ht="14.25">
      <c r="A394">
        <f t="shared" si="272"/>
        <v>5111500</v>
      </c>
      <c r="B394" s="2" t="s">
        <v>492</v>
      </c>
      <c r="C394" s="48" t="s">
        <v>493</v>
      </c>
      <c r="D394">
        <v>11</v>
      </c>
      <c r="E394">
        <v>5</v>
      </c>
      <c r="F394">
        <v>1</v>
      </c>
      <c r="G394" s="3" t="s">
        <v>494</v>
      </c>
      <c r="H394" s="3" t="s">
        <v>494</v>
      </c>
      <c r="I394">
        <v>0</v>
      </c>
      <c r="J394" s="2" t="s">
        <v>303</v>
      </c>
      <c r="K394" s="2">
        <f t="shared" si="273"/>
        <v>6</v>
      </c>
      <c r="L394" s="2">
        <f t="shared" si="282"/>
        <v>1.5</v>
      </c>
      <c r="M394" s="2">
        <f t="shared" si="282"/>
        <v>1.5</v>
      </c>
      <c r="N394" s="2">
        <v>10</v>
      </c>
      <c r="O394" s="2">
        <f t="shared" si="281"/>
        <v>624.96</v>
      </c>
      <c r="P394" s="2">
        <f t="shared" si="281"/>
        <v>31.87</v>
      </c>
      <c r="Q394" s="2">
        <f t="shared" si="281"/>
        <v>3826.29</v>
      </c>
      <c r="R394" s="2">
        <f t="shared" si="281"/>
        <v>195.14</v>
      </c>
      <c r="S394" s="2">
        <f t="shared" si="281"/>
        <v>89.28</v>
      </c>
      <c r="T394" s="2">
        <f t="shared" si="281"/>
        <v>6.7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17">
        <v>515003</v>
      </c>
      <c r="AA394" s="14" t="s">
        <v>744</v>
      </c>
      <c r="AB394" s="15" t="s">
        <v>469</v>
      </c>
      <c r="AC394" s="2">
        <v>5121500</v>
      </c>
      <c r="AD394" s="2">
        <v>0</v>
      </c>
      <c r="AE394" s="2">
        <v>1</v>
      </c>
      <c r="AF394" s="2">
        <f t="shared" si="291"/>
        <v>5061500</v>
      </c>
      <c r="AG394" s="2">
        <v>2</v>
      </c>
      <c r="AI394">
        <v>1</v>
      </c>
      <c r="AJ394" s="1">
        <f t="shared" si="283"/>
        <v>391.46684775232615</v>
      </c>
      <c r="AK394">
        <v>11</v>
      </c>
      <c r="AL394">
        <f t="shared" si="284"/>
        <v>520.79999999999995</v>
      </c>
      <c r="AM394">
        <f t="shared" si="285"/>
        <v>26.560799999999997</v>
      </c>
      <c r="AN394">
        <f t="shared" si="286"/>
        <v>3188.5714285714289</v>
      </c>
      <c r="AO394">
        <f t="shared" si="287"/>
        <v>162.61714285714285</v>
      </c>
      <c r="AP394">
        <f t="shared" si="288"/>
        <v>74.399999999999991</v>
      </c>
      <c r="AQ394">
        <f t="shared" si="289"/>
        <v>5.5799999999999992</v>
      </c>
      <c r="AR394">
        <f t="shared" si="290"/>
        <v>1.5</v>
      </c>
      <c r="AS394">
        <f t="shared" si="275"/>
        <v>1.5</v>
      </c>
      <c r="AT394">
        <f t="shared" si="276"/>
        <v>6</v>
      </c>
      <c r="AU394">
        <f t="shared" si="274"/>
        <v>5001</v>
      </c>
      <c r="AV394" s="1">
        <v>0</v>
      </c>
      <c r="AW394">
        <v>5</v>
      </c>
      <c r="AX394">
        <v>0.2</v>
      </c>
      <c r="AZ394">
        <v>5</v>
      </c>
      <c r="BA394">
        <v>1</v>
      </c>
      <c r="CG394" t="str">
        <f t="shared" si="271"/>
        <v>DATA_Class_Base35</v>
      </c>
      <c r="CH394" s="3" t="s">
        <v>195</v>
      </c>
    </row>
    <row r="395" spans="1:86" ht="14.25">
      <c r="A395">
        <f t="shared" si="272"/>
        <v>5111502</v>
      </c>
      <c r="B395" s="2" t="s">
        <v>496</v>
      </c>
      <c r="C395" s="48" t="s">
        <v>497</v>
      </c>
      <c r="D395">
        <v>11</v>
      </c>
      <c r="E395">
        <v>5</v>
      </c>
      <c r="F395">
        <v>1</v>
      </c>
      <c r="G395" s="3" t="s">
        <v>498</v>
      </c>
      <c r="H395" s="3" t="s">
        <v>498</v>
      </c>
      <c r="I395" s="2">
        <v>0</v>
      </c>
      <c r="J395" s="8" t="s">
        <v>352</v>
      </c>
      <c r="K395" s="2">
        <f t="shared" si="273"/>
        <v>6</v>
      </c>
      <c r="L395" s="2">
        <f t="shared" si="282"/>
        <v>1.4000000000000001</v>
      </c>
      <c r="M395" s="2">
        <f t="shared" si="282"/>
        <v>2</v>
      </c>
      <c r="N395" s="2">
        <v>10</v>
      </c>
      <c r="O395" s="2">
        <f t="shared" si="281"/>
        <v>519.05999999999995</v>
      </c>
      <c r="P395" s="2">
        <f t="shared" si="281"/>
        <v>26.47</v>
      </c>
      <c r="Q395" s="2">
        <f t="shared" si="281"/>
        <v>3948.92</v>
      </c>
      <c r="R395" s="2">
        <f t="shared" si="281"/>
        <v>201.4</v>
      </c>
      <c r="S395" s="2">
        <f t="shared" si="281"/>
        <v>79.86</v>
      </c>
      <c r="T395" s="2">
        <f t="shared" si="281"/>
        <v>5.99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17">
        <v>515023</v>
      </c>
      <c r="AA395" s="14" t="s">
        <v>745</v>
      </c>
      <c r="AB395" s="15" t="s">
        <v>469</v>
      </c>
      <c r="AC395" s="2">
        <v>5121502</v>
      </c>
      <c r="AD395" s="2">
        <v>0</v>
      </c>
      <c r="AE395" s="2">
        <v>1</v>
      </c>
      <c r="AF395" s="2">
        <f t="shared" si="291"/>
        <v>5061502</v>
      </c>
      <c r="AG395" s="2">
        <v>2</v>
      </c>
      <c r="AI395">
        <v>1</v>
      </c>
      <c r="AJ395" s="1">
        <f t="shared" si="283"/>
        <v>391.04306053220148</v>
      </c>
      <c r="AK395">
        <v>11</v>
      </c>
      <c r="AL395">
        <f t="shared" si="284"/>
        <v>451.3599999999999</v>
      </c>
      <c r="AM395">
        <f t="shared" si="285"/>
        <v>23.019359999999992</v>
      </c>
      <c r="AN395">
        <f t="shared" si="286"/>
        <v>3433.8461538461538</v>
      </c>
      <c r="AO395">
        <f t="shared" si="287"/>
        <v>175.12615384615384</v>
      </c>
      <c r="AP395">
        <f t="shared" si="288"/>
        <v>69.439999999999984</v>
      </c>
      <c r="AQ395">
        <f t="shared" si="289"/>
        <v>5.2079999999999984</v>
      </c>
      <c r="AR395">
        <f t="shared" si="290"/>
        <v>1.4</v>
      </c>
      <c r="AS395">
        <f t="shared" si="275"/>
        <v>2</v>
      </c>
      <c r="AT395">
        <f t="shared" si="276"/>
        <v>6</v>
      </c>
      <c r="AU395">
        <f t="shared" si="274"/>
        <v>5021</v>
      </c>
      <c r="AV395" s="1">
        <v>2</v>
      </c>
      <c r="AW395">
        <v>5</v>
      </c>
      <c r="AX395">
        <v>0.15</v>
      </c>
      <c r="AZ395">
        <v>5</v>
      </c>
      <c r="BA395">
        <v>1</v>
      </c>
      <c r="CG395" t="str">
        <f t="shared" si="271"/>
        <v>DATA_Class_Base36</v>
      </c>
      <c r="CH395" s="3" t="s">
        <v>201</v>
      </c>
    </row>
    <row r="396" spans="1:86" ht="14.25">
      <c r="A396">
        <f t="shared" si="272"/>
        <v>5111601</v>
      </c>
      <c r="B396" s="2" t="s">
        <v>500</v>
      </c>
      <c r="C396" s="48" t="s">
        <v>501</v>
      </c>
      <c r="D396">
        <v>11</v>
      </c>
      <c r="E396">
        <v>6</v>
      </c>
      <c r="F396">
        <v>1</v>
      </c>
      <c r="G396" s="3" t="s">
        <v>502</v>
      </c>
      <c r="H396" s="3" t="s">
        <v>502</v>
      </c>
      <c r="I396">
        <v>0</v>
      </c>
      <c r="J396" s="2" t="s">
        <v>309</v>
      </c>
      <c r="K396" s="2">
        <f t="shared" si="273"/>
        <v>6</v>
      </c>
      <c r="L396" s="2">
        <f t="shared" si="282"/>
        <v>1.5</v>
      </c>
      <c r="M396" s="2">
        <f t="shared" si="282"/>
        <v>2</v>
      </c>
      <c r="N396" s="2">
        <v>10</v>
      </c>
      <c r="O396" s="2">
        <f t="shared" si="281"/>
        <v>427.8</v>
      </c>
      <c r="P396" s="2">
        <f t="shared" si="281"/>
        <v>21.82</v>
      </c>
      <c r="Q396" s="2">
        <f t="shared" si="281"/>
        <v>5133.6000000000004</v>
      </c>
      <c r="R396" s="2">
        <f t="shared" si="281"/>
        <v>261.81</v>
      </c>
      <c r="S396" s="2">
        <f t="shared" si="281"/>
        <v>95.07</v>
      </c>
      <c r="T396" s="2">
        <f t="shared" si="281"/>
        <v>7.13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17">
        <v>516013</v>
      </c>
      <c r="AA396" s="14" t="s">
        <v>746</v>
      </c>
      <c r="AB396" s="15" t="s">
        <v>469</v>
      </c>
      <c r="AC396" s="2">
        <v>5121601</v>
      </c>
      <c r="AD396" s="2">
        <v>0</v>
      </c>
      <c r="AE396" s="2">
        <v>1</v>
      </c>
      <c r="AF396" s="2">
        <f t="shared" si="291"/>
        <v>5061601</v>
      </c>
      <c r="AG396" s="2">
        <v>2</v>
      </c>
      <c r="AI396">
        <v>1</v>
      </c>
      <c r="AJ396" s="1">
        <f t="shared" si="283"/>
        <v>392.17520469377058</v>
      </c>
      <c r="AK396">
        <v>11</v>
      </c>
      <c r="AL396">
        <f t="shared" si="284"/>
        <v>372</v>
      </c>
      <c r="AM396">
        <f t="shared" si="285"/>
        <v>18.971999999999998</v>
      </c>
      <c r="AN396">
        <f t="shared" si="286"/>
        <v>4464</v>
      </c>
      <c r="AO396">
        <f t="shared" si="287"/>
        <v>227.66399999999999</v>
      </c>
      <c r="AP396">
        <f t="shared" si="288"/>
        <v>82.666666666666671</v>
      </c>
      <c r="AQ396">
        <f t="shared" si="289"/>
        <v>6.2</v>
      </c>
      <c r="AR396">
        <f t="shared" si="290"/>
        <v>1.5</v>
      </c>
      <c r="AS396">
        <f t="shared" si="275"/>
        <v>2</v>
      </c>
      <c r="AT396">
        <f t="shared" si="276"/>
        <v>6</v>
      </c>
      <c r="AU396">
        <f t="shared" ref="AU396:AU459" si="292">AZ396*1000+AV396*10+BA396</f>
        <v>6011</v>
      </c>
      <c r="AV396" s="1">
        <v>1</v>
      </c>
      <c r="AW396">
        <v>5</v>
      </c>
      <c r="AX396">
        <v>0.15</v>
      </c>
      <c r="AZ396">
        <v>6</v>
      </c>
      <c r="BA396">
        <v>1</v>
      </c>
      <c r="CG396" t="str">
        <f t="shared" si="271"/>
        <v>DATA_Class_Base28</v>
      </c>
      <c r="CH396" s="3" t="s">
        <v>374</v>
      </c>
    </row>
    <row r="397" spans="1:86" ht="14.25">
      <c r="A397">
        <f t="shared" si="272"/>
        <v>5112200</v>
      </c>
      <c r="B397" s="2" t="s">
        <v>504</v>
      </c>
      <c r="C397" s="48" t="s">
        <v>505</v>
      </c>
      <c r="D397">
        <v>11</v>
      </c>
      <c r="E397">
        <v>2</v>
      </c>
      <c r="F397">
        <v>2</v>
      </c>
      <c r="G397" s="3" t="s">
        <v>506</v>
      </c>
      <c r="H397" s="3" t="s">
        <v>506</v>
      </c>
      <c r="I397">
        <v>0</v>
      </c>
      <c r="J397" s="8" t="s">
        <v>507</v>
      </c>
      <c r="K397" s="2">
        <f t="shared" si="273"/>
        <v>3</v>
      </c>
      <c r="L397" s="2">
        <f t="shared" si="282"/>
        <v>1.5</v>
      </c>
      <c r="M397" s="2">
        <f t="shared" si="282"/>
        <v>1.2</v>
      </c>
      <c r="N397" s="2">
        <v>10</v>
      </c>
      <c r="O397" s="2">
        <f t="shared" si="281"/>
        <v>427.8</v>
      </c>
      <c r="P397" s="2">
        <f t="shared" si="281"/>
        <v>21.82</v>
      </c>
      <c r="Q397" s="2">
        <f t="shared" si="281"/>
        <v>5133.6000000000004</v>
      </c>
      <c r="R397" s="2">
        <f t="shared" si="281"/>
        <v>261.81</v>
      </c>
      <c r="S397" s="2">
        <f t="shared" si="281"/>
        <v>142.6</v>
      </c>
      <c r="T397" s="2">
        <f t="shared" si="281"/>
        <v>10.7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17">
        <v>522003</v>
      </c>
      <c r="AA397" s="14" t="s">
        <v>747</v>
      </c>
      <c r="AB397" s="15" t="s">
        <v>469</v>
      </c>
      <c r="AC397" s="2">
        <v>5122200</v>
      </c>
      <c r="AD397" s="2">
        <v>0</v>
      </c>
      <c r="AE397" s="2">
        <v>1</v>
      </c>
      <c r="AF397" s="2">
        <f t="shared" si="291"/>
        <v>5062200</v>
      </c>
      <c r="AG397" s="2">
        <v>2</v>
      </c>
      <c r="AI397">
        <v>1</v>
      </c>
      <c r="AJ397" s="1">
        <f t="shared" si="283"/>
        <v>395.75579351067455</v>
      </c>
      <c r="AK397">
        <v>11</v>
      </c>
      <c r="AL397">
        <f t="shared" si="284"/>
        <v>372</v>
      </c>
      <c r="AM397">
        <f t="shared" si="285"/>
        <v>18.971999999999998</v>
      </c>
      <c r="AN397">
        <f t="shared" si="286"/>
        <v>4464</v>
      </c>
      <c r="AO397">
        <f t="shared" si="287"/>
        <v>227.66399999999999</v>
      </c>
      <c r="AP397">
        <f t="shared" si="288"/>
        <v>124</v>
      </c>
      <c r="AQ397">
        <f t="shared" si="289"/>
        <v>9.2999999999999989</v>
      </c>
      <c r="AR397">
        <f t="shared" si="290"/>
        <v>1.5</v>
      </c>
      <c r="AS397">
        <f t="shared" si="275"/>
        <v>1.2</v>
      </c>
      <c r="AT397">
        <f t="shared" si="276"/>
        <v>3</v>
      </c>
      <c r="AU397">
        <f t="shared" si="292"/>
        <v>2002</v>
      </c>
      <c r="AV397" s="1">
        <v>0</v>
      </c>
      <c r="AW397">
        <v>5</v>
      </c>
      <c r="AX397">
        <v>0.15</v>
      </c>
      <c r="AZ397">
        <v>2</v>
      </c>
      <c r="BA397">
        <v>2</v>
      </c>
      <c r="CG397" t="str">
        <f t="shared" si="271"/>
        <v>DATA_Class_Base29</v>
      </c>
      <c r="CH397" s="3" t="s">
        <v>378</v>
      </c>
    </row>
    <row r="398" spans="1:86" ht="14.25">
      <c r="A398" s="49">
        <f t="shared" si="272"/>
        <v>5112201</v>
      </c>
      <c r="B398" s="2" t="s">
        <v>509</v>
      </c>
      <c r="C398" s="48" t="s">
        <v>510</v>
      </c>
      <c r="D398">
        <v>11</v>
      </c>
      <c r="E398">
        <v>2</v>
      </c>
      <c r="F398">
        <v>2</v>
      </c>
      <c r="G398" s="3" t="s">
        <v>511</v>
      </c>
      <c r="H398" s="3" t="s">
        <v>511</v>
      </c>
      <c r="I398">
        <v>0</v>
      </c>
      <c r="J398" s="8" t="s">
        <v>512</v>
      </c>
      <c r="K398" s="2">
        <f t="shared" si="273"/>
        <v>3</v>
      </c>
      <c r="L398" s="2">
        <f t="shared" si="282"/>
        <v>1.5</v>
      </c>
      <c r="M398" s="2">
        <f t="shared" si="282"/>
        <v>1.8</v>
      </c>
      <c r="N398" s="2">
        <v>10</v>
      </c>
      <c r="O398" s="2">
        <f t="shared" si="281"/>
        <v>342.24</v>
      </c>
      <c r="P398" s="2">
        <f t="shared" si="281"/>
        <v>17.45</v>
      </c>
      <c r="Q398" s="2">
        <f t="shared" si="281"/>
        <v>6417</v>
      </c>
      <c r="R398" s="2">
        <f t="shared" si="281"/>
        <v>327.27</v>
      </c>
      <c r="S398" s="2">
        <f t="shared" si="281"/>
        <v>148.80000000000001</v>
      </c>
      <c r="T398" s="2">
        <f t="shared" si="281"/>
        <v>11.16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17">
        <v>522013</v>
      </c>
      <c r="AA398" s="14" t="s">
        <v>748</v>
      </c>
      <c r="AB398" s="15" t="s">
        <v>469</v>
      </c>
      <c r="AC398" s="2">
        <v>5122201</v>
      </c>
      <c r="AD398" s="2">
        <v>0</v>
      </c>
      <c r="AE398" s="2">
        <v>1</v>
      </c>
      <c r="AF398" s="2">
        <f t="shared" si="291"/>
        <v>5062201</v>
      </c>
      <c r="AG398" s="2">
        <v>2</v>
      </c>
      <c r="AI398">
        <v>1</v>
      </c>
      <c r="AJ398" s="1">
        <f t="shared" si="283"/>
        <v>396.2276528110998</v>
      </c>
      <c r="AK398">
        <v>11</v>
      </c>
      <c r="AL398">
        <f t="shared" si="284"/>
        <v>297.60000000000008</v>
      </c>
      <c r="AM398">
        <f t="shared" si="285"/>
        <v>15.177600000000004</v>
      </c>
      <c r="AN398">
        <f t="shared" si="286"/>
        <v>5580</v>
      </c>
      <c r="AO398">
        <f t="shared" si="287"/>
        <v>284.58</v>
      </c>
      <c r="AP398">
        <f t="shared" si="288"/>
        <v>129.39130434782612</v>
      </c>
      <c r="AQ398">
        <f t="shared" si="289"/>
        <v>9.7043478260869591</v>
      </c>
      <c r="AR398">
        <f t="shared" si="290"/>
        <v>1.5</v>
      </c>
      <c r="AS398">
        <f t="shared" si="275"/>
        <v>1.8</v>
      </c>
      <c r="AT398">
        <f t="shared" si="276"/>
        <v>3</v>
      </c>
      <c r="AU398">
        <f t="shared" si="292"/>
        <v>2012</v>
      </c>
      <c r="AV398" s="1">
        <v>1</v>
      </c>
      <c r="AW398">
        <v>5</v>
      </c>
      <c r="AX398">
        <v>0.15</v>
      </c>
      <c r="AZ398">
        <v>2</v>
      </c>
      <c r="BA398">
        <v>2</v>
      </c>
      <c r="CG398" t="str">
        <f t="shared" si="271"/>
        <v>DATA_Class_Base30</v>
      </c>
      <c r="CH398" s="3" t="s">
        <v>381</v>
      </c>
    </row>
    <row r="399" spans="1:86" ht="14.25">
      <c r="A399">
        <f t="shared" si="272"/>
        <v>5112202</v>
      </c>
      <c r="B399" s="2" t="s">
        <v>514</v>
      </c>
      <c r="C399" s="48" t="s">
        <v>515</v>
      </c>
      <c r="D399">
        <v>11</v>
      </c>
      <c r="E399">
        <v>2</v>
      </c>
      <c r="F399">
        <v>2</v>
      </c>
      <c r="G399" s="3" t="s">
        <v>516</v>
      </c>
      <c r="H399" s="3" t="s">
        <v>516</v>
      </c>
      <c r="I399" s="2">
        <v>0</v>
      </c>
      <c r="J399" s="2" t="s">
        <v>280</v>
      </c>
      <c r="K399" s="2">
        <f t="shared" si="273"/>
        <v>3</v>
      </c>
      <c r="L399" s="2">
        <f t="shared" si="282"/>
        <v>1.6</v>
      </c>
      <c r="M399" s="2">
        <f t="shared" si="282"/>
        <v>2</v>
      </c>
      <c r="N399" s="2">
        <v>10</v>
      </c>
      <c r="O399" s="2">
        <f t="shared" si="281"/>
        <v>501.95</v>
      </c>
      <c r="P399" s="2">
        <f t="shared" si="281"/>
        <v>25.6</v>
      </c>
      <c r="Q399" s="2">
        <f t="shared" si="281"/>
        <v>4269.91</v>
      </c>
      <c r="R399" s="2">
        <f t="shared" ref="R399:T462" si="293">ROUND(AO399*(1+$AX399),2)</f>
        <v>217.77</v>
      </c>
      <c r="S399" s="2">
        <f t="shared" si="293"/>
        <v>125.49</v>
      </c>
      <c r="T399" s="2">
        <f t="shared" si="293"/>
        <v>9.41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17">
        <v>522023</v>
      </c>
      <c r="AA399" s="14" t="s">
        <v>749</v>
      </c>
      <c r="AB399" s="15" t="s">
        <v>469</v>
      </c>
      <c r="AC399" s="2">
        <v>5122202</v>
      </c>
      <c r="AD399" s="2">
        <v>0</v>
      </c>
      <c r="AE399" s="2">
        <v>1</v>
      </c>
      <c r="AF399" s="2">
        <f t="shared" si="291"/>
        <v>5062202</v>
      </c>
      <c r="AG399" s="2">
        <v>2</v>
      </c>
      <c r="AI399">
        <v>1</v>
      </c>
      <c r="AJ399" s="1">
        <f t="shared" si="283"/>
        <v>394.89050238579688</v>
      </c>
      <c r="AK399">
        <v>11</v>
      </c>
      <c r="AL399">
        <f t="shared" si="284"/>
        <v>456.32</v>
      </c>
      <c r="AM399">
        <f t="shared" si="285"/>
        <v>23.272319999999997</v>
      </c>
      <c r="AN399">
        <f t="shared" si="286"/>
        <v>3881.7391304347834</v>
      </c>
      <c r="AO399">
        <f t="shared" si="287"/>
        <v>197.96869565217395</v>
      </c>
      <c r="AP399">
        <f t="shared" si="288"/>
        <v>114.08</v>
      </c>
      <c r="AQ399">
        <f t="shared" si="289"/>
        <v>8.5559999999999992</v>
      </c>
      <c r="AR399">
        <f t="shared" si="290"/>
        <v>1.6</v>
      </c>
      <c r="AS399">
        <f t="shared" si="275"/>
        <v>2</v>
      </c>
      <c r="AT399">
        <f t="shared" si="276"/>
        <v>3</v>
      </c>
      <c r="AU399">
        <f t="shared" si="292"/>
        <v>2022</v>
      </c>
      <c r="AV399" s="1">
        <v>2</v>
      </c>
      <c r="AW399">
        <v>5</v>
      </c>
      <c r="AX399">
        <v>0.1</v>
      </c>
      <c r="AZ399">
        <v>2</v>
      </c>
      <c r="BA399">
        <v>2</v>
      </c>
      <c r="CG399" t="str">
        <f t="shared" ref="CG399:CG470" si="294">INDEX($CD$66:$CD$107,MATCH($CH399,$CE$66:$CE$107,0))</f>
        <v>DATA_Class_Base31</v>
      </c>
      <c r="CH399" s="3" t="s">
        <v>384</v>
      </c>
    </row>
    <row r="400" spans="1:86" ht="14.25">
      <c r="A400">
        <f t="shared" ref="A400:A471" si="295">AW400*1000000+D400*10000+F400*1000+E400*100+AV400</f>
        <v>5112301</v>
      </c>
      <c r="B400" s="2" t="s">
        <v>518</v>
      </c>
      <c r="C400" s="48" t="s">
        <v>519</v>
      </c>
      <c r="D400">
        <v>11</v>
      </c>
      <c r="E400">
        <v>3</v>
      </c>
      <c r="F400">
        <v>2</v>
      </c>
      <c r="G400" s="3" t="s">
        <v>520</v>
      </c>
      <c r="H400" s="3" t="s">
        <v>520</v>
      </c>
      <c r="I400">
        <v>0</v>
      </c>
      <c r="J400" s="2" t="s">
        <v>285</v>
      </c>
      <c r="K400" s="2">
        <f t="shared" ref="K400:K471" si="296">AT400</f>
        <v>3</v>
      </c>
      <c r="L400" s="2">
        <f t="shared" si="282"/>
        <v>1.2</v>
      </c>
      <c r="M400" s="2">
        <f t="shared" si="282"/>
        <v>1.7</v>
      </c>
      <c r="N400" s="2">
        <v>10</v>
      </c>
      <c r="O400" s="2">
        <f t="shared" ref="O400:T463" si="297">ROUND(AL400*(1+$AX400),2)</f>
        <v>425.57</v>
      </c>
      <c r="P400" s="2">
        <f t="shared" si="297"/>
        <v>21.7</v>
      </c>
      <c r="Q400" s="2">
        <f t="shared" si="297"/>
        <v>3777.23</v>
      </c>
      <c r="R400" s="2">
        <f t="shared" si="293"/>
        <v>192.64</v>
      </c>
      <c r="S400" s="2">
        <f t="shared" si="293"/>
        <v>106.39</v>
      </c>
      <c r="T400" s="2">
        <f t="shared" si="293"/>
        <v>7.98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17">
        <v>523013</v>
      </c>
      <c r="AA400" s="14" t="s">
        <v>750</v>
      </c>
      <c r="AB400" s="15" t="s">
        <v>469</v>
      </c>
      <c r="AC400" s="2">
        <v>5122301</v>
      </c>
      <c r="AD400" s="2">
        <v>0</v>
      </c>
      <c r="AE400" s="2">
        <v>1</v>
      </c>
      <c r="AF400" s="2">
        <f t="shared" si="291"/>
        <v>5062301</v>
      </c>
      <c r="AG400" s="2">
        <v>2</v>
      </c>
      <c r="AI400">
        <v>1</v>
      </c>
      <c r="AJ400" s="1">
        <f t="shared" si="283"/>
        <v>393.38531296165513</v>
      </c>
      <c r="AK400">
        <v>11</v>
      </c>
      <c r="AL400">
        <f t="shared" si="284"/>
        <v>386.88000000000005</v>
      </c>
      <c r="AM400">
        <f t="shared" si="285"/>
        <v>19.730880000000003</v>
      </c>
      <c r="AN400">
        <f t="shared" si="286"/>
        <v>3433.8461538461538</v>
      </c>
      <c r="AO400">
        <f t="shared" si="287"/>
        <v>175.12615384615384</v>
      </c>
      <c r="AP400">
        <f t="shared" si="288"/>
        <v>96.720000000000013</v>
      </c>
      <c r="AQ400">
        <f t="shared" si="289"/>
        <v>7.2540000000000004</v>
      </c>
      <c r="AR400">
        <f t="shared" si="290"/>
        <v>1.2</v>
      </c>
      <c r="AS400">
        <f t="shared" si="275"/>
        <v>1.7</v>
      </c>
      <c r="AT400">
        <f t="shared" si="276"/>
        <v>3</v>
      </c>
      <c r="AU400">
        <f t="shared" si="292"/>
        <v>3012</v>
      </c>
      <c r="AV400" s="1">
        <v>1</v>
      </c>
      <c r="AW400">
        <v>5</v>
      </c>
      <c r="AX400">
        <v>0.1</v>
      </c>
      <c r="AZ400">
        <v>3</v>
      </c>
      <c r="BA400">
        <v>2</v>
      </c>
      <c r="CG400" t="str">
        <f t="shared" si="294"/>
        <v>DATA_Class_Base32</v>
      </c>
      <c r="CH400" s="3" t="s">
        <v>388</v>
      </c>
    </row>
    <row r="401" spans="1:86" ht="14.25">
      <c r="A401">
        <f t="shared" si="295"/>
        <v>5112401</v>
      </c>
      <c r="B401" s="2" t="s">
        <v>522</v>
      </c>
      <c r="C401" s="48" t="s">
        <v>523</v>
      </c>
      <c r="D401">
        <v>11</v>
      </c>
      <c r="E401">
        <v>4</v>
      </c>
      <c r="F401">
        <v>2</v>
      </c>
      <c r="G401" s="3" t="s">
        <v>524</v>
      </c>
      <c r="H401" s="3" t="s">
        <v>524</v>
      </c>
      <c r="I401" s="2">
        <v>0</v>
      </c>
      <c r="J401" s="8" t="s">
        <v>250</v>
      </c>
      <c r="K401" s="2">
        <f t="shared" si="296"/>
        <v>6</v>
      </c>
      <c r="L401" s="2">
        <f t="shared" si="282"/>
        <v>1.6</v>
      </c>
      <c r="M401" s="2">
        <f t="shared" si="282"/>
        <v>1.5</v>
      </c>
      <c r="N401" s="2">
        <v>10</v>
      </c>
      <c r="O401" s="2">
        <f t="shared" si="297"/>
        <v>567.41999999999996</v>
      </c>
      <c r="P401" s="2">
        <f t="shared" si="297"/>
        <v>28.94</v>
      </c>
      <c r="Q401" s="2">
        <f t="shared" si="297"/>
        <v>3777.23</v>
      </c>
      <c r="R401" s="2">
        <f t="shared" si="293"/>
        <v>192.64</v>
      </c>
      <c r="S401" s="2">
        <f t="shared" si="293"/>
        <v>81.06</v>
      </c>
      <c r="T401" s="2">
        <f t="shared" si="293"/>
        <v>6.08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17">
        <v>524013</v>
      </c>
      <c r="AA401" s="14" t="s">
        <v>751</v>
      </c>
      <c r="AB401" s="15" t="s">
        <v>469</v>
      </c>
      <c r="AC401" s="2">
        <v>5122401</v>
      </c>
      <c r="AD401" s="2">
        <v>0</v>
      </c>
      <c r="AE401" s="2">
        <v>1</v>
      </c>
      <c r="AF401" s="2">
        <f t="shared" si="291"/>
        <v>5062401</v>
      </c>
      <c r="AG401" s="2">
        <v>2</v>
      </c>
      <c r="AI401">
        <v>1</v>
      </c>
      <c r="AJ401" s="1">
        <f t="shared" si="283"/>
        <v>391.40625049204726</v>
      </c>
      <c r="AK401">
        <v>11</v>
      </c>
      <c r="AL401">
        <f t="shared" si="284"/>
        <v>515.84</v>
      </c>
      <c r="AM401">
        <f t="shared" si="285"/>
        <v>26.307839999999999</v>
      </c>
      <c r="AN401">
        <f t="shared" si="286"/>
        <v>3433.8461538461538</v>
      </c>
      <c r="AO401">
        <f t="shared" si="287"/>
        <v>175.12615384615384</v>
      </c>
      <c r="AP401">
        <f t="shared" si="288"/>
        <v>73.691428571428574</v>
      </c>
      <c r="AQ401">
        <f t="shared" si="289"/>
        <v>5.5268571428571427</v>
      </c>
      <c r="AR401">
        <f t="shared" si="290"/>
        <v>1.6</v>
      </c>
      <c r="AS401">
        <f t="shared" ref="AS401:AS464" si="298">ROUND(IF(INDEX($BO$5:$BO$60,MATCH($AU401,$BB$5:$BB$60,0))&lt;2,INDEX($BO$5:$BO$60,MATCH($AU401,$BB$5:$BB$60,0))+0.2,2),1)</f>
        <v>1.5</v>
      </c>
      <c r="AT401">
        <f t="shared" ref="AT401:AT464" si="299">INDEX($BK$5:$BK$60,MATCH($AU401,$BB$5:$BB$60,0))</f>
        <v>6</v>
      </c>
      <c r="AU401">
        <f t="shared" si="292"/>
        <v>4012</v>
      </c>
      <c r="AV401" s="1">
        <v>1</v>
      </c>
      <c r="AW401">
        <v>5</v>
      </c>
      <c r="AX401">
        <v>0.1</v>
      </c>
      <c r="AZ401">
        <v>4</v>
      </c>
      <c r="BA401">
        <v>2</v>
      </c>
      <c r="CG401" t="str">
        <f t="shared" si="294"/>
        <v>DATA_Class_Base33</v>
      </c>
      <c r="CH401" s="3" t="s">
        <v>391</v>
      </c>
    </row>
    <row r="402" spans="1:86" ht="14.25">
      <c r="A402">
        <f t="shared" si="295"/>
        <v>5112402</v>
      </c>
      <c r="B402" s="2" t="s">
        <v>526</v>
      </c>
      <c r="C402" s="48" t="s">
        <v>527</v>
      </c>
      <c r="D402">
        <v>11</v>
      </c>
      <c r="E402">
        <v>4</v>
      </c>
      <c r="F402">
        <v>2</v>
      </c>
      <c r="G402" s="3" t="s">
        <v>528</v>
      </c>
      <c r="H402" s="3" t="s">
        <v>528</v>
      </c>
      <c r="I402">
        <v>0</v>
      </c>
      <c r="J402" s="2" t="s">
        <v>250</v>
      </c>
      <c r="K402" s="2">
        <f t="shared" si="296"/>
        <v>6</v>
      </c>
      <c r="L402" s="2">
        <f t="shared" si="282"/>
        <v>1.5</v>
      </c>
      <c r="M402" s="2">
        <f t="shared" si="282"/>
        <v>1.5</v>
      </c>
      <c r="N402" s="2">
        <v>10</v>
      </c>
      <c r="O402" s="2">
        <f t="shared" si="297"/>
        <v>598.91999999999996</v>
      </c>
      <c r="P402" s="2">
        <f t="shared" si="297"/>
        <v>30.54</v>
      </c>
      <c r="Q402" s="2">
        <f t="shared" si="297"/>
        <v>3666.86</v>
      </c>
      <c r="R402" s="2">
        <f t="shared" si="293"/>
        <v>187.01</v>
      </c>
      <c r="S402" s="2">
        <f t="shared" si="293"/>
        <v>85.56</v>
      </c>
      <c r="T402" s="2">
        <f t="shared" si="293"/>
        <v>6.42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17">
        <v>524023</v>
      </c>
      <c r="AA402" s="14" t="s">
        <v>752</v>
      </c>
      <c r="AB402" s="15" t="s">
        <v>469</v>
      </c>
      <c r="AC402" s="2">
        <v>5122402</v>
      </c>
      <c r="AD402" s="2">
        <v>0</v>
      </c>
      <c r="AE402" s="2">
        <v>1</v>
      </c>
      <c r="AF402" s="2">
        <f t="shared" si="291"/>
        <v>5062402</v>
      </c>
      <c r="AG402" s="2">
        <v>2</v>
      </c>
      <c r="AI402">
        <v>1</v>
      </c>
      <c r="AJ402" s="1">
        <f t="shared" si="283"/>
        <v>391.46684775232615</v>
      </c>
      <c r="AK402">
        <v>11</v>
      </c>
      <c r="AL402">
        <f t="shared" si="284"/>
        <v>520.79999999999995</v>
      </c>
      <c r="AM402">
        <f t="shared" si="285"/>
        <v>26.560799999999997</v>
      </c>
      <c r="AN402">
        <f t="shared" si="286"/>
        <v>3188.5714285714289</v>
      </c>
      <c r="AO402">
        <f t="shared" si="287"/>
        <v>162.61714285714285</v>
      </c>
      <c r="AP402">
        <f t="shared" si="288"/>
        <v>74.399999999999991</v>
      </c>
      <c r="AQ402">
        <f t="shared" si="289"/>
        <v>5.5799999999999992</v>
      </c>
      <c r="AR402">
        <f t="shared" si="290"/>
        <v>1.5</v>
      </c>
      <c r="AS402">
        <f t="shared" si="298"/>
        <v>1.5</v>
      </c>
      <c r="AT402">
        <f t="shared" si="299"/>
        <v>6</v>
      </c>
      <c r="AU402">
        <f t="shared" si="292"/>
        <v>4022</v>
      </c>
      <c r="AV402" s="1">
        <v>2</v>
      </c>
      <c r="AW402">
        <v>5</v>
      </c>
      <c r="AX402">
        <v>0.15</v>
      </c>
      <c r="AZ402">
        <v>4</v>
      </c>
      <c r="BA402">
        <v>2</v>
      </c>
      <c r="CG402" t="str">
        <f t="shared" si="294"/>
        <v>DATA_Class_Base34</v>
      </c>
      <c r="CH402" s="3" t="s">
        <v>184</v>
      </c>
    </row>
    <row r="403" spans="1:86" ht="14.25">
      <c r="A403">
        <f t="shared" si="295"/>
        <v>5112500</v>
      </c>
      <c r="B403" s="2" t="s">
        <v>530</v>
      </c>
      <c r="C403" s="48" t="s">
        <v>531</v>
      </c>
      <c r="D403">
        <v>11</v>
      </c>
      <c r="E403">
        <v>5</v>
      </c>
      <c r="F403">
        <v>2</v>
      </c>
      <c r="G403" s="3" t="s">
        <v>532</v>
      </c>
      <c r="H403" s="3" t="s">
        <v>532</v>
      </c>
      <c r="I403" s="2">
        <v>0</v>
      </c>
      <c r="J403" s="2" t="s">
        <v>533</v>
      </c>
      <c r="K403" s="2">
        <f t="shared" si="296"/>
        <v>6</v>
      </c>
      <c r="L403" s="2">
        <f t="shared" si="282"/>
        <v>1.4000000000000001</v>
      </c>
      <c r="M403" s="2">
        <f t="shared" si="282"/>
        <v>2</v>
      </c>
      <c r="N403" s="2">
        <v>10</v>
      </c>
      <c r="O403" s="2">
        <f t="shared" si="297"/>
        <v>572.88</v>
      </c>
      <c r="P403" s="2">
        <f t="shared" si="297"/>
        <v>29.22</v>
      </c>
      <c r="Q403" s="2">
        <f t="shared" si="297"/>
        <v>3273.6</v>
      </c>
      <c r="R403" s="2">
        <f t="shared" si="293"/>
        <v>166.95</v>
      </c>
      <c r="S403" s="2">
        <f t="shared" si="293"/>
        <v>76.38</v>
      </c>
      <c r="T403" s="2">
        <f t="shared" si="293"/>
        <v>5.73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17">
        <v>525003</v>
      </c>
      <c r="AA403" s="14" t="s">
        <v>753</v>
      </c>
      <c r="AB403" s="15" t="s">
        <v>469</v>
      </c>
      <c r="AC403" s="2">
        <v>5122500</v>
      </c>
      <c r="AD403" s="2">
        <v>0</v>
      </c>
      <c r="AE403" s="2">
        <v>1</v>
      </c>
      <c r="AF403" s="2">
        <f t="shared" si="291"/>
        <v>5062500</v>
      </c>
      <c r="AG403" s="2">
        <v>2</v>
      </c>
      <c r="AI403">
        <v>1</v>
      </c>
      <c r="AJ403" s="1">
        <f t="shared" si="283"/>
        <v>391.04306053220148</v>
      </c>
      <c r="AK403">
        <v>11</v>
      </c>
      <c r="AL403">
        <f t="shared" si="284"/>
        <v>520.79999999999995</v>
      </c>
      <c r="AM403">
        <f t="shared" si="285"/>
        <v>26.560799999999997</v>
      </c>
      <c r="AN403">
        <f t="shared" si="286"/>
        <v>2976</v>
      </c>
      <c r="AO403">
        <f t="shared" si="287"/>
        <v>151.77599999999998</v>
      </c>
      <c r="AP403">
        <f t="shared" si="288"/>
        <v>69.44</v>
      </c>
      <c r="AQ403">
        <f t="shared" si="289"/>
        <v>5.2079999999999993</v>
      </c>
      <c r="AR403">
        <f t="shared" si="290"/>
        <v>1.4</v>
      </c>
      <c r="AS403">
        <f t="shared" si="298"/>
        <v>2</v>
      </c>
      <c r="AT403">
        <f t="shared" si="299"/>
        <v>6</v>
      </c>
      <c r="AU403">
        <f t="shared" si="292"/>
        <v>5002</v>
      </c>
      <c r="AV403" s="1">
        <v>0</v>
      </c>
      <c r="AW403">
        <v>5</v>
      </c>
      <c r="AX403">
        <v>0.1</v>
      </c>
      <c r="AZ403">
        <v>5</v>
      </c>
      <c r="BA403">
        <v>2</v>
      </c>
      <c r="CG403" t="str">
        <f t="shared" si="294"/>
        <v>DATA_Class_Base35</v>
      </c>
      <c r="CH403" s="3" t="s">
        <v>195</v>
      </c>
    </row>
    <row r="404" spans="1:86" ht="14.25">
      <c r="A404" s="49">
        <f t="shared" si="295"/>
        <v>5112502</v>
      </c>
      <c r="B404" s="2" t="s">
        <v>535</v>
      </c>
      <c r="C404" s="48" t="s">
        <v>536</v>
      </c>
      <c r="D404">
        <v>11</v>
      </c>
      <c r="E404">
        <v>5</v>
      </c>
      <c r="F404">
        <v>2</v>
      </c>
      <c r="G404" s="3" t="s">
        <v>537</v>
      </c>
      <c r="H404" s="3" t="s">
        <v>537</v>
      </c>
      <c r="I404" s="2">
        <v>0</v>
      </c>
      <c r="J404" s="2" t="s">
        <v>291</v>
      </c>
      <c r="K404" s="2">
        <f t="shared" si="296"/>
        <v>6</v>
      </c>
      <c r="L404" s="2">
        <f t="shared" si="282"/>
        <v>1.4000000000000001</v>
      </c>
      <c r="M404" s="2">
        <f t="shared" si="282"/>
        <v>2</v>
      </c>
      <c r="N404" s="2">
        <v>10</v>
      </c>
      <c r="O404" s="2">
        <f t="shared" si="297"/>
        <v>645.79</v>
      </c>
      <c r="P404" s="2">
        <f t="shared" si="297"/>
        <v>32.94</v>
      </c>
      <c r="Q404" s="2">
        <f t="shared" si="297"/>
        <v>3456</v>
      </c>
      <c r="R404" s="2">
        <f t="shared" si="293"/>
        <v>176.26</v>
      </c>
      <c r="S404" s="2">
        <f t="shared" si="293"/>
        <v>92.26</v>
      </c>
      <c r="T404" s="2">
        <f t="shared" si="293"/>
        <v>6.92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17">
        <v>525023</v>
      </c>
      <c r="AA404" s="14" t="s">
        <v>754</v>
      </c>
      <c r="AB404" s="15" t="s">
        <v>469</v>
      </c>
      <c r="AC404" s="2">
        <v>5122502</v>
      </c>
      <c r="AD404" s="2">
        <v>0</v>
      </c>
      <c r="AE404" s="2">
        <v>1</v>
      </c>
      <c r="AF404" s="2">
        <f t="shared" si="291"/>
        <v>5062502</v>
      </c>
      <c r="AG404" s="2">
        <v>2</v>
      </c>
      <c r="AI404">
        <v>1</v>
      </c>
      <c r="AJ404" s="1">
        <f t="shared" si="283"/>
        <v>391.67908600405821</v>
      </c>
      <c r="AK404">
        <v>11</v>
      </c>
      <c r="AL404">
        <f t="shared" si="284"/>
        <v>538.16</v>
      </c>
      <c r="AM404">
        <f t="shared" si="285"/>
        <v>27.446159999999995</v>
      </c>
      <c r="AN404">
        <f t="shared" si="286"/>
        <v>2880</v>
      </c>
      <c r="AO404">
        <f t="shared" si="287"/>
        <v>146.88</v>
      </c>
      <c r="AP404">
        <f t="shared" si="288"/>
        <v>76.88</v>
      </c>
      <c r="AQ404">
        <f t="shared" si="289"/>
        <v>5.7659999999999991</v>
      </c>
      <c r="AR404">
        <f t="shared" si="290"/>
        <v>1.4</v>
      </c>
      <c r="AS404">
        <f t="shared" si="298"/>
        <v>2</v>
      </c>
      <c r="AT404">
        <f t="shared" si="299"/>
        <v>6</v>
      </c>
      <c r="AU404">
        <f t="shared" si="292"/>
        <v>5022</v>
      </c>
      <c r="AV404" s="1">
        <v>2</v>
      </c>
      <c r="AW404">
        <v>5</v>
      </c>
      <c r="AX404">
        <v>0.2</v>
      </c>
      <c r="AZ404">
        <v>5</v>
      </c>
      <c r="BA404">
        <v>2</v>
      </c>
      <c r="CG404" t="str">
        <f t="shared" si="294"/>
        <v>DATA_Class_Base36</v>
      </c>
      <c r="CH404" s="3" t="s">
        <v>201</v>
      </c>
    </row>
    <row r="405" spans="1:86" ht="14.25">
      <c r="A405" s="49">
        <f t="shared" si="295"/>
        <v>5112601</v>
      </c>
      <c r="B405" s="2" t="s">
        <v>539</v>
      </c>
      <c r="C405" s="48" t="s">
        <v>540</v>
      </c>
      <c r="D405">
        <v>11</v>
      </c>
      <c r="E405">
        <v>6</v>
      </c>
      <c r="F405">
        <v>2</v>
      </c>
      <c r="G405" s="3" t="s">
        <v>541</v>
      </c>
      <c r="H405" s="3" t="s">
        <v>541</v>
      </c>
      <c r="I405" s="2">
        <v>0</v>
      </c>
      <c r="J405" s="8" t="s">
        <v>542</v>
      </c>
      <c r="K405" s="2">
        <f t="shared" si="296"/>
        <v>6</v>
      </c>
      <c r="L405" s="2">
        <f t="shared" si="282"/>
        <v>1.5</v>
      </c>
      <c r="M405" s="2">
        <f t="shared" si="282"/>
        <v>2</v>
      </c>
      <c r="N405" s="2">
        <v>10</v>
      </c>
      <c r="O405" s="2">
        <f t="shared" si="297"/>
        <v>491.04</v>
      </c>
      <c r="P405" s="2">
        <f t="shared" si="297"/>
        <v>25.04</v>
      </c>
      <c r="Q405" s="2">
        <f t="shared" si="297"/>
        <v>4869.82</v>
      </c>
      <c r="R405" s="2">
        <f t="shared" si="293"/>
        <v>248.36</v>
      </c>
      <c r="S405" s="2">
        <f t="shared" si="293"/>
        <v>109.12</v>
      </c>
      <c r="T405" s="2">
        <f t="shared" si="293"/>
        <v>8.18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17">
        <v>526013</v>
      </c>
      <c r="AA405" s="14" t="s">
        <v>755</v>
      </c>
      <c r="AB405" s="15" t="s">
        <v>469</v>
      </c>
      <c r="AC405" s="2">
        <v>5122601</v>
      </c>
      <c r="AD405" s="2">
        <v>0</v>
      </c>
      <c r="AE405" s="2">
        <v>1</v>
      </c>
      <c r="AF405" s="2">
        <f t="shared" si="291"/>
        <v>5062601</v>
      </c>
      <c r="AG405" s="2">
        <v>2</v>
      </c>
      <c r="AI405">
        <v>1</v>
      </c>
      <c r="AJ405" s="1">
        <f t="shared" si="283"/>
        <v>392.88612981770257</v>
      </c>
      <c r="AK405">
        <v>11</v>
      </c>
      <c r="AL405">
        <f t="shared" si="284"/>
        <v>409.2</v>
      </c>
      <c r="AM405">
        <f t="shared" si="285"/>
        <v>20.869199999999999</v>
      </c>
      <c r="AN405">
        <f t="shared" si="286"/>
        <v>4058.181818181818</v>
      </c>
      <c r="AO405">
        <f t="shared" si="287"/>
        <v>206.9672727272727</v>
      </c>
      <c r="AP405">
        <f t="shared" si="288"/>
        <v>90.933333333333337</v>
      </c>
      <c r="AQ405">
        <f t="shared" si="289"/>
        <v>6.82</v>
      </c>
      <c r="AR405">
        <f t="shared" si="290"/>
        <v>1.5</v>
      </c>
      <c r="AS405">
        <f t="shared" si="298"/>
        <v>2</v>
      </c>
      <c r="AT405">
        <f t="shared" si="299"/>
        <v>6</v>
      </c>
      <c r="AU405">
        <f t="shared" si="292"/>
        <v>6012</v>
      </c>
      <c r="AV405" s="1">
        <v>1</v>
      </c>
      <c r="AW405">
        <v>5</v>
      </c>
      <c r="AX405">
        <v>0.2</v>
      </c>
      <c r="AZ405">
        <v>6</v>
      </c>
      <c r="BA405">
        <v>2</v>
      </c>
      <c r="CG405" t="str">
        <f t="shared" si="294"/>
        <v>DATA_Class_Base28</v>
      </c>
      <c r="CH405" s="3" t="s">
        <v>374</v>
      </c>
    </row>
    <row r="406" spans="1:86" ht="14.25">
      <c r="A406" s="49">
        <f t="shared" si="295"/>
        <v>5113200</v>
      </c>
      <c r="B406" s="2" t="s">
        <v>544</v>
      </c>
      <c r="C406" s="48" t="s">
        <v>545</v>
      </c>
      <c r="D406">
        <v>11</v>
      </c>
      <c r="E406">
        <v>2</v>
      </c>
      <c r="F406">
        <v>3</v>
      </c>
      <c r="G406" s="3" t="s">
        <v>546</v>
      </c>
      <c r="H406" s="3" t="s">
        <v>546</v>
      </c>
      <c r="I406">
        <v>0</v>
      </c>
      <c r="J406" s="2" t="s">
        <v>314</v>
      </c>
      <c r="K406" s="2">
        <f t="shared" si="296"/>
        <v>3</v>
      </c>
      <c r="L406" s="2">
        <f t="shared" si="282"/>
        <v>1.5</v>
      </c>
      <c r="M406" s="2">
        <f t="shared" si="282"/>
        <v>1.2</v>
      </c>
      <c r="N406" s="2">
        <v>10</v>
      </c>
      <c r="O406" s="2">
        <f t="shared" si="297"/>
        <v>299.45999999999998</v>
      </c>
      <c r="P406" s="2">
        <f t="shared" si="297"/>
        <v>15.27</v>
      </c>
      <c r="Q406" s="2">
        <f t="shared" si="297"/>
        <v>7333.71</v>
      </c>
      <c r="R406" s="2">
        <f t="shared" si="293"/>
        <v>374.02</v>
      </c>
      <c r="S406" s="2">
        <f t="shared" si="293"/>
        <v>149.72999999999999</v>
      </c>
      <c r="T406" s="2">
        <f t="shared" si="293"/>
        <v>11.23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17">
        <v>532003</v>
      </c>
      <c r="AA406" s="14" t="s">
        <v>756</v>
      </c>
      <c r="AB406" s="15" t="s">
        <v>469</v>
      </c>
      <c r="AC406" s="2">
        <v>5123200</v>
      </c>
      <c r="AD406" s="2">
        <v>0</v>
      </c>
      <c r="AE406" s="2">
        <v>1</v>
      </c>
      <c r="AF406" s="2">
        <f t="shared" si="291"/>
        <v>5063200</v>
      </c>
      <c r="AG406" s="2">
        <v>2</v>
      </c>
      <c r="AI406">
        <v>1</v>
      </c>
      <c r="AJ406" s="1">
        <f t="shared" si="283"/>
        <v>396.29852877158294</v>
      </c>
      <c r="AK406">
        <v>11</v>
      </c>
      <c r="AL406">
        <f t="shared" si="284"/>
        <v>260.39999999999998</v>
      </c>
      <c r="AM406">
        <f t="shared" si="285"/>
        <v>13.280399999999998</v>
      </c>
      <c r="AN406">
        <f t="shared" si="286"/>
        <v>6377.1428571428578</v>
      </c>
      <c r="AO406">
        <f t="shared" si="287"/>
        <v>325.2342857142857</v>
      </c>
      <c r="AP406">
        <f t="shared" si="288"/>
        <v>130.19999999999999</v>
      </c>
      <c r="AQ406">
        <f t="shared" si="289"/>
        <v>9.7649999999999988</v>
      </c>
      <c r="AR406">
        <f t="shared" si="290"/>
        <v>1.5</v>
      </c>
      <c r="AS406">
        <f t="shared" si="298"/>
        <v>1.2</v>
      </c>
      <c r="AT406">
        <f t="shared" si="299"/>
        <v>3</v>
      </c>
      <c r="AU406">
        <f t="shared" si="292"/>
        <v>2003</v>
      </c>
      <c r="AV406" s="1">
        <v>0</v>
      </c>
      <c r="AW406">
        <v>5</v>
      </c>
      <c r="AX406">
        <v>0.15</v>
      </c>
      <c r="AZ406">
        <v>2</v>
      </c>
      <c r="BA406">
        <v>3</v>
      </c>
      <c r="CG406" t="str">
        <f t="shared" si="294"/>
        <v>DATA_Class_Base29</v>
      </c>
      <c r="CH406" s="3" t="s">
        <v>378</v>
      </c>
    </row>
    <row r="407" spans="1:86" ht="14.25">
      <c r="A407">
        <f t="shared" si="295"/>
        <v>5113201</v>
      </c>
      <c r="B407" s="2" t="s">
        <v>548</v>
      </c>
      <c r="C407" s="48" t="s">
        <v>549</v>
      </c>
      <c r="D407">
        <v>11</v>
      </c>
      <c r="E407">
        <v>2</v>
      </c>
      <c r="F407">
        <v>3</v>
      </c>
      <c r="G407" s="3" t="s">
        <v>550</v>
      </c>
      <c r="H407" s="3" t="s">
        <v>550</v>
      </c>
      <c r="I407" s="2">
        <v>0</v>
      </c>
      <c r="J407" s="50" t="s">
        <v>1720</v>
      </c>
      <c r="K407" s="2">
        <f t="shared" si="296"/>
        <v>3</v>
      </c>
      <c r="L407" s="2">
        <f t="shared" si="282"/>
        <v>1.7</v>
      </c>
      <c r="M407" s="2">
        <f t="shared" si="282"/>
        <v>1.8</v>
      </c>
      <c r="N407" s="2">
        <v>10</v>
      </c>
      <c r="O407" s="2">
        <f t="shared" si="297"/>
        <v>278.26</v>
      </c>
      <c r="P407" s="2">
        <f t="shared" si="297"/>
        <v>14.19</v>
      </c>
      <c r="Q407" s="2">
        <f t="shared" si="297"/>
        <v>8184</v>
      </c>
      <c r="R407" s="2">
        <f t="shared" si="293"/>
        <v>417.38</v>
      </c>
      <c r="S407" s="2">
        <f t="shared" si="293"/>
        <v>139.13</v>
      </c>
      <c r="T407" s="2">
        <f t="shared" si="293"/>
        <v>10.43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17">
        <v>532013</v>
      </c>
      <c r="AA407" s="14" t="s">
        <v>757</v>
      </c>
      <c r="AB407" s="15" t="s">
        <v>469</v>
      </c>
      <c r="AC407" s="2">
        <v>5123201</v>
      </c>
      <c r="AD407" s="2">
        <v>0</v>
      </c>
      <c r="AE407" s="2">
        <v>1</v>
      </c>
      <c r="AF407" s="2">
        <f t="shared" si="291"/>
        <v>5063201</v>
      </c>
      <c r="AG407" s="2">
        <v>2</v>
      </c>
      <c r="AI407">
        <v>1</v>
      </c>
      <c r="AJ407" s="1">
        <f t="shared" si="283"/>
        <v>395.9727091295826</v>
      </c>
      <c r="AK407">
        <v>11</v>
      </c>
      <c r="AL407">
        <f t="shared" si="284"/>
        <v>252.96000000000004</v>
      </c>
      <c r="AM407">
        <f t="shared" si="285"/>
        <v>12.900960000000001</v>
      </c>
      <c r="AN407">
        <f t="shared" si="286"/>
        <v>7440</v>
      </c>
      <c r="AO407">
        <f t="shared" si="287"/>
        <v>379.44</v>
      </c>
      <c r="AP407">
        <f t="shared" si="288"/>
        <v>126.48000000000002</v>
      </c>
      <c r="AQ407">
        <f t="shared" si="289"/>
        <v>9.4860000000000007</v>
      </c>
      <c r="AR407">
        <f t="shared" si="290"/>
        <v>1.7</v>
      </c>
      <c r="AS407">
        <f t="shared" si="298"/>
        <v>1.8</v>
      </c>
      <c r="AT407">
        <f t="shared" si="299"/>
        <v>3</v>
      </c>
      <c r="AU407">
        <f t="shared" si="292"/>
        <v>2013</v>
      </c>
      <c r="AV407" s="1">
        <v>1</v>
      </c>
      <c r="AW407">
        <v>5</v>
      </c>
      <c r="AX407">
        <v>0.1</v>
      </c>
      <c r="AZ407">
        <v>2</v>
      </c>
      <c r="BA407">
        <v>3</v>
      </c>
      <c r="CG407" t="str">
        <f t="shared" si="294"/>
        <v>DATA_Class_Base30</v>
      </c>
      <c r="CH407" s="3" t="s">
        <v>381</v>
      </c>
    </row>
    <row r="408" spans="1:86" ht="14.25">
      <c r="A408">
        <f t="shared" si="295"/>
        <v>5113202</v>
      </c>
      <c r="B408" s="2" t="s">
        <v>552</v>
      </c>
      <c r="C408" s="48" t="s">
        <v>553</v>
      </c>
      <c r="D408">
        <v>11</v>
      </c>
      <c r="E408">
        <v>2</v>
      </c>
      <c r="F408">
        <v>3</v>
      </c>
      <c r="G408" s="3" t="s">
        <v>554</v>
      </c>
      <c r="H408" s="3" t="s">
        <v>554</v>
      </c>
      <c r="I408">
        <v>0</v>
      </c>
      <c r="J408" s="8" t="s">
        <v>555</v>
      </c>
      <c r="K408" s="2">
        <f t="shared" si="296"/>
        <v>3</v>
      </c>
      <c r="L408" s="2">
        <f t="shared" si="282"/>
        <v>1.7</v>
      </c>
      <c r="M408" s="2">
        <f t="shared" si="282"/>
        <v>2</v>
      </c>
      <c r="N408" s="2">
        <v>10</v>
      </c>
      <c r="O408" s="2">
        <f t="shared" si="297"/>
        <v>436.36</v>
      </c>
      <c r="P408" s="2">
        <f t="shared" si="297"/>
        <v>22.25</v>
      </c>
      <c r="Q408" s="2">
        <f t="shared" si="297"/>
        <v>5704</v>
      </c>
      <c r="R408" s="2">
        <f t="shared" si="293"/>
        <v>290.89999999999998</v>
      </c>
      <c r="S408" s="2">
        <f t="shared" si="293"/>
        <v>145.44999999999999</v>
      </c>
      <c r="T408" s="2">
        <f t="shared" si="293"/>
        <v>10.91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17">
        <v>532023</v>
      </c>
      <c r="AA408" s="14" t="s">
        <v>758</v>
      </c>
      <c r="AB408" s="15" t="s">
        <v>469</v>
      </c>
      <c r="AC408" s="2">
        <v>5123202</v>
      </c>
      <c r="AD408" s="2">
        <v>0</v>
      </c>
      <c r="AE408" s="2">
        <v>1</v>
      </c>
      <c r="AF408" s="2">
        <f t="shared" si="291"/>
        <v>5063202</v>
      </c>
      <c r="AG408" s="2">
        <v>2</v>
      </c>
      <c r="AI408">
        <v>1</v>
      </c>
      <c r="AJ408" s="1">
        <f t="shared" si="283"/>
        <v>395.9727091295826</v>
      </c>
      <c r="AK408">
        <v>11</v>
      </c>
      <c r="AL408">
        <f t="shared" si="284"/>
        <v>379.44000000000005</v>
      </c>
      <c r="AM408">
        <f t="shared" si="285"/>
        <v>19.35144</v>
      </c>
      <c r="AN408">
        <f t="shared" si="286"/>
        <v>4960</v>
      </c>
      <c r="AO408">
        <f t="shared" si="287"/>
        <v>252.95999999999998</v>
      </c>
      <c r="AP408">
        <f t="shared" si="288"/>
        <v>126.48000000000002</v>
      </c>
      <c r="AQ408">
        <f t="shared" si="289"/>
        <v>9.4860000000000007</v>
      </c>
      <c r="AR408">
        <f t="shared" si="290"/>
        <v>1.7</v>
      </c>
      <c r="AS408">
        <f t="shared" si="298"/>
        <v>2</v>
      </c>
      <c r="AT408">
        <f t="shared" si="299"/>
        <v>3</v>
      </c>
      <c r="AU408">
        <f t="shared" si="292"/>
        <v>2023</v>
      </c>
      <c r="AV408" s="1">
        <v>2</v>
      </c>
      <c r="AW408">
        <v>5</v>
      </c>
      <c r="AX408">
        <v>0.15</v>
      </c>
      <c r="AZ408">
        <v>2</v>
      </c>
      <c r="BA408">
        <v>3</v>
      </c>
      <c r="CG408" t="str">
        <f t="shared" si="294"/>
        <v>DATA_Class_Base31</v>
      </c>
      <c r="CH408" s="3" t="s">
        <v>384</v>
      </c>
    </row>
    <row r="409" spans="1:86" ht="14.25">
      <c r="A409" s="49">
        <f t="shared" si="295"/>
        <v>5113301</v>
      </c>
      <c r="B409" s="2" t="s">
        <v>557</v>
      </c>
      <c r="C409" s="48" t="s">
        <v>558</v>
      </c>
      <c r="D409">
        <v>11</v>
      </c>
      <c r="E409">
        <v>3</v>
      </c>
      <c r="F409">
        <v>3</v>
      </c>
      <c r="G409" s="3" t="s">
        <v>559</v>
      </c>
      <c r="H409" s="3" t="s">
        <v>559</v>
      </c>
      <c r="I409" s="2">
        <v>0</v>
      </c>
      <c r="J409" s="8" t="s">
        <v>555</v>
      </c>
      <c r="K409" s="2">
        <f t="shared" si="296"/>
        <v>3</v>
      </c>
      <c r="L409" s="2">
        <f t="shared" si="282"/>
        <v>1.2</v>
      </c>
      <c r="M409" s="2">
        <f t="shared" si="282"/>
        <v>1.4000000000000001</v>
      </c>
      <c r="N409" s="2">
        <v>10</v>
      </c>
      <c r="O409" s="2">
        <f t="shared" si="297"/>
        <v>428.54</v>
      </c>
      <c r="P409" s="2">
        <f t="shared" si="297"/>
        <v>21.86</v>
      </c>
      <c r="Q409" s="2">
        <f t="shared" si="297"/>
        <v>4464</v>
      </c>
      <c r="R409" s="2">
        <f t="shared" si="293"/>
        <v>227.66</v>
      </c>
      <c r="S409" s="2">
        <f t="shared" si="293"/>
        <v>122.44</v>
      </c>
      <c r="T409" s="2">
        <f t="shared" si="293"/>
        <v>9.18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17">
        <v>533013</v>
      </c>
      <c r="AA409" s="14" t="s">
        <v>759</v>
      </c>
      <c r="AB409" s="15" t="s">
        <v>469</v>
      </c>
      <c r="AC409" s="2">
        <v>5123301</v>
      </c>
      <c r="AD409" s="2">
        <v>0</v>
      </c>
      <c r="AE409" s="2">
        <v>1</v>
      </c>
      <c r="AF409" s="2">
        <f t="shared" si="291"/>
        <v>5063301</v>
      </c>
      <c r="AG409" s="2">
        <v>2</v>
      </c>
      <c r="AI409">
        <v>1</v>
      </c>
      <c r="AJ409" s="1">
        <f t="shared" si="283"/>
        <v>393.84486514765979</v>
      </c>
      <c r="AK409">
        <v>11</v>
      </c>
      <c r="AL409">
        <f t="shared" si="284"/>
        <v>357.11999999999995</v>
      </c>
      <c r="AM409">
        <f t="shared" si="285"/>
        <v>18.213119999999996</v>
      </c>
      <c r="AN409">
        <f t="shared" si="286"/>
        <v>3720</v>
      </c>
      <c r="AO409">
        <f t="shared" si="287"/>
        <v>189.72</v>
      </c>
      <c r="AP409">
        <f t="shared" si="288"/>
        <v>102.0342857142857</v>
      </c>
      <c r="AQ409">
        <f t="shared" si="289"/>
        <v>7.6525714285714272</v>
      </c>
      <c r="AR409">
        <f t="shared" si="290"/>
        <v>1.2</v>
      </c>
      <c r="AS409">
        <f t="shared" si="298"/>
        <v>1.4</v>
      </c>
      <c r="AT409">
        <f t="shared" si="299"/>
        <v>3</v>
      </c>
      <c r="AU409">
        <f t="shared" si="292"/>
        <v>3013</v>
      </c>
      <c r="AV409" s="1">
        <v>1</v>
      </c>
      <c r="AW409">
        <v>5</v>
      </c>
      <c r="AX409">
        <v>0.2</v>
      </c>
      <c r="AZ409">
        <v>3</v>
      </c>
      <c r="BA409">
        <v>3</v>
      </c>
      <c r="CG409" t="str">
        <f t="shared" si="294"/>
        <v>DATA_Class_Base32</v>
      </c>
      <c r="CH409" s="3" t="s">
        <v>388</v>
      </c>
    </row>
    <row r="410" spans="1:86" ht="14.25">
      <c r="A410">
        <f t="shared" si="295"/>
        <v>5113401</v>
      </c>
      <c r="B410" s="2" t="s">
        <v>561</v>
      </c>
      <c r="C410" s="48" t="s">
        <v>562</v>
      </c>
      <c r="D410">
        <v>11</v>
      </c>
      <c r="E410">
        <v>4</v>
      </c>
      <c r="F410">
        <v>3</v>
      </c>
      <c r="G410" s="3" t="s">
        <v>563</v>
      </c>
      <c r="H410" s="3" t="s">
        <v>563</v>
      </c>
      <c r="I410">
        <v>0</v>
      </c>
      <c r="J410" s="2" t="s">
        <v>161</v>
      </c>
      <c r="K410" s="2">
        <f t="shared" si="296"/>
        <v>6</v>
      </c>
      <c r="L410" s="2">
        <f t="shared" si="282"/>
        <v>1.6</v>
      </c>
      <c r="M410" s="2">
        <f t="shared" si="282"/>
        <v>1.5</v>
      </c>
      <c r="N410" s="2">
        <v>10</v>
      </c>
      <c r="O410" s="2">
        <f t="shared" si="297"/>
        <v>571.39</v>
      </c>
      <c r="P410" s="2">
        <f t="shared" si="297"/>
        <v>29.14</v>
      </c>
      <c r="Q410" s="2">
        <f t="shared" si="297"/>
        <v>4464</v>
      </c>
      <c r="R410" s="2">
        <f t="shared" si="293"/>
        <v>227.66</v>
      </c>
      <c r="S410" s="2">
        <f t="shared" si="293"/>
        <v>95.23</v>
      </c>
      <c r="T410" s="2">
        <f t="shared" si="293"/>
        <v>7.14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17">
        <v>534013</v>
      </c>
      <c r="AA410" s="14" t="s">
        <v>760</v>
      </c>
      <c r="AB410" s="15" t="s">
        <v>469</v>
      </c>
      <c r="AC410" s="2">
        <v>5123401</v>
      </c>
      <c r="AD410" s="2">
        <v>0</v>
      </c>
      <c r="AE410" s="2">
        <v>1</v>
      </c>
      <c r="AF410" s="2">
        <f t="shared" si="291"/>
        <v>5063401</v>
      </c>
      <c r="AG410" s="2">
        <v>2</v>
      </c>
      <c r="AI410">
        <v>1</v>
      </c>
      <c r="AJ410" s="1">
        <f t="shared" si="283"/>
        <v>391.89155451544428</v>
      </c>
      <c r="AK410">
        <v>11</v>
      </c>
      <c r="AL410">
        <f t="shared" si="284"/>
        <v>476.15999999999997</v>
      </c>
      <c r="AM410">
        <f t="shared" si="285"/>
        <v>24.284159999999996</v>
      </c>
      <c r="AN410">
        <f t="shared" si="286"/>
        <v>3720</v>
      </c>
      <c r="AO410">
        <f t="shared" si="287"/>
        <v>189.72</v>
      </c>
      <c r="AP410">
        <f t="shared" si="288"/>
        <v>79.36</v>
      </c>
      <c r="AQ410">
        <f t="shared" si="289"/>
        <v>5.952</v>
      </c>
      <c r="AR410">
        <f t="shared" si="290"/>
        <v>1.6</v>
      </c>
      <c r="AS410">
        <f t="shared" si="298"/>
        <v>1.5</v>
      </c>
      <c r="AT410">
        <f t="shared" si="299"/>
        <v>6</v>
      </c>
      <c r="AU410">
        <f t="shared" si="292"/>
        <v>4013</v>
      </c>
      <c r="AV410" s="1">
        <v>1</v>
      </c>
      <c r="AW410">
        <v>5</v>
      </c>
      <c r="AX410">
        <v>0.2</v>
      </c>
      <c r="AZ410">
        <v>4</v>
      </c>
      <c r="BA410">
        <v>3</v>
      </c>
      <c r="CG410" t="str">
        <f t="shared" si="294"/>
        <v>DATA_Class_Base33</v>
      </c>
      <c r="CH410" s="3" t="s">
        <v>391</v>
      </c>
    </row>
    <row r="411" spans="1:86" ht="14.25">
      <c r="A411">
        <f t="shared" si="295"/>
        <v>5113402</v>
      </c>
      <c r="B411" s="2" t="s">
        <v>565</v>
      </c>
      <c r="C411" s="48" t="s">
        <v>566</v>
      </c>
      <c r="D411">
        <v>11</v>
      </c>
      <c r="E411">
        <v>4</v>
      </c>
      <c r="F411">
        <v>3</v>
      </c>
      <c r="G411" s="3" t="s">
        <v>567</v>
      </c>
      <c r="H411" s="3" t="s">
        <v>567</v>
      </c>
      <c r="I411" s="2">
        <v>0</v>
      </c>
      <c r="J411" s="8" t="s">
        <v>568</v>
      </c>
      <c r="K411" s="2">
        <f t="shared" si="296"/>
        <v>6</v>
      </c>
      <c r="L411" s="2">
        <f t="shared" si="282"/>
        <v>1.5</v>
      </c>
      <c r="M411" s="2">
        <f t="shared" si="282"/>
        <v>1.5</v>
      </c>
      <c r="N411" s="2">
        <v>10</v>
      </c>
      <c r="O411" s="2">
        <f t="shared" si="297"/>
        <v>556.14</v>
      </c>
      <c r="P411" s="2">
        <f t="shared" si="297"/>
        <v>28.36</v>
      </c>
      <c r="Q411" s="2">
        <f t="shared" si="297"/>
        <v>3948.92</v>
      </c>
      <c r="R411" s="2">
        <f t="shared" si="293"/>
        <v>201.4</v>
      </c>
      <c r="S411" s="2">
        <f t="shared" si="293"/>
        <v>79.45</v>
      </c>
      <c r="T411" s="2">
        <f t="shared" si="293"/>
        <v>5.96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17">
        <v>534023</v>
      </c>
      <c r="AA411" s="14" t="s">
        <v>761</v>
      </c>
      <c r="AB411" s="15" t="s">
        <v>469</v>
      </c>
      <c r="AC411" s="2">
        <v>5123402</v>
      </c>
      <c r="AD411" s="2">
        <v>0</v>
      </c>
      <c r="AE411" s="2">
        <v>1</v>
      </c>
      <c r="AF411" s="2">
        <f t="shared" si="291"/>
        <v>5063402</v>
      </c>
      <c r="AG411" s="2">
        <v>2</v>
      </c>
      <c r="AI411">
        <v>1</v>
      </c>
      <c r="AJ411" s="1">
        <f t="shared" si="283"/>
        <v>391.01282512417436</v>
      </c>
      <c r="AK411">
        <v>11</v>
      </c>
      <c r="AL411">
        <f t="shared" si="284"/>
        <v>483.6</v>
      </c>
      <c r="AM411">
        <f t="shared" si="285"/>
        <v>24.663599999999999</v>
      </c>
      <c r="AN411">
        <f t="shared" si="286"/>
        <v>3433.8461538461538</v>
      </c>
      <c r="AO411">
        <f t="shared" si="287"/>
        <v>175.12615384615384</v>
      </c>
      <c r="AP411">
        <f t="shared" si="288"/>
        <v>69.085714285714289</v>
      </c>
      <c r="AQ411">
        <f t="shared" si="289"/>
        <v>5.1814285714285715</v>
      </c>
      <c r="AR411">
        <f t="shared" si="290"/>
        <v>1.5</v>
      </c>
      <c r="AS411">
        <f t="shared" si="298"/>
        <v>1.5</v>
      </c>
      <c r="AT411">
        <f t="shared" si="299"/>
        <v>6</v>
      </c>
      <c r="AU411">
        <f t="shared" si="292"/>
        <v>4023</v>
      </c>
      <c r="AV411" s="1">
        <v>2</v>
      </c>
      <c r="AW411">
        <v>5</v>
      </c>
      <c r="AX411">
        <v>0.15</v>
      </c>
      <c r="AZ411">
        <v>4</v>
      </c>
      <c r="BA411">
        <v>3</v>
      </c>
      <c r="CG411" t="str">
        <f t="shared" si="294"/>
        <v>DATA_Class_Base34</v>
      </c>
      <c r="CH411" s="3" t="s">
        <v>184</v>
      </c>
    </row>
    <row r="412" spans="1:86" ht="14.25">
      <c r="A412">
        <f t="shared" si="295"/>
        <v>5113500</v>
      </c>
      <c r="B412" s="2" t="s">
        <v>570</v>
      </c>
      <c r="C412" s="48" t="s">
        <v>571</v>
      </c>
      <c r="D412">
        <v>11</v>
      </c>
      <c r="E412">
        <v>5</v>
      </c>
      <c r="F412">
        <v>3</v>
      </c>
      <c r="G412" s="3" t="s">
        <v>572</v>
      </c>
      <c r="H412" s="3" t="s">
        <v>572</v>
      </c>
      <c r="I412" s="2">
        <v>0</v>
      </c>
      <c r="J412" s="2" t="s">
        <v>303</v>
      </c>
      <c r="K412" s="2">
        <f t="shared" si="296"/>
        <v>6</v>
      </c>
      <c r="L412" s="2">
        <f t="shared" si="282"/>
        <v>1.5</v>
      </c>
      <c r="M412" s="2">
        <f t="shared" si="282"/>
        <v>2</v>
      </c>
      <c r="N412" s="2">
        <v>10</v>
      </c>
      <c r="O412" s="2">
        <f t="shared" si="297"/>
        <v>531.96</v>
      </c>
      <c r="P412" s="2">
        <f t="shared" si="297"/>
        <v>27.13</v>
      </c>
      <c r="Q412" s="2">
        <f t="shared" si="297"/>
        <v>3777.23</v>
      </c>
      <c r="R412" s="2">
        <f t="shared" si="293"/>
        <v>192.64</v>
      </c>
      <c r="S412" s="2">
        <f t="shared" si="293"/>
        <v>88.66</v>
      </c>
      <c r="T412" s="2">
        <f t="shared" si="293"/>
        <v>6.65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17">
        <v>535003</v>
      </c>
      <c r="AA412" s="14" t="s">
        <v>762</v>
      </c>
      <c r="AB412" s="15" t="s">
        <v>469</v>
      </c>
      <c r="AC412" s="2">
        <v>5123500</v>
      </c>
      <c r="AD412" s="2">
        <v>0</v>
      </c>
      <c r="AE412" s="2">
        <v>1</v>
      </c>
      <c r="AF412" s="2">
        <f t="shared" si="291"/>
        <v>5063500</v>
      </c>
      <c r="AG412" s="2">
        <v>2</v>
      </c>
      <c r="AI412">
        <v>1</v>
      </c>
      <c r="AJ412" s="1">
        <f t="shared" si="283"/>
        <v>391.99787523563833</v>
      </c>
      <c r="AK412">
        <v>11</v>
      </c>
      <c r="AL412">
        <f t="shared" si="284"/>
        <v>483.6</v>
      </c>
      <c r="AM412">
        <f t="shared" si="285"/>
        <v>24.663599999999999</v>
      </c>
      <c r="AN412">
        <f t="shared" si="286"/>
        <v>3433.8461538461538</v>
      </c>
      <c r="AO412">
        <f t="shared" si="287"/>
        <v>175.12615384615384</v>
      </c>
      <c r="AP412">
        <f t="shared" si="288"/>
        <v>80.600000000000009</v>
      </c>
      <c r="AQ412">
        <f t="shared" si="289"/>
        <v>6.0450000000000008</v>
      </c>
      <c r="AR412">
        <f t="shared" si="290"/>
        <v>1.5</v>
      </c>
      <c r="AS412">
        <f t="shared" si="298"/>
        <v>2</v>
      </c>
      <c r="AT412">
        <f t="shared" si="299"/>
        <v>6</v>
      </c>
      <c r="AU412">
        <f t="shared" si="292"/>
        <v>5003</v>
      </c>
      <c r="AV412" s="1">
        <v>0</v>
      </c>
      <c r="AW412">
        <v>5</v>
      </c>
      <c r="AX412">
        <v>0.1</v>
      </c>
      <c r="AZ412">
        <v>5</v>
      </c>
      <c r="BA412">
        <v>3</v>
      </c>
      <c r="CG412" t="str">
        <f t="shared" si="294"/>
        <v>DATA_Class_Base35</v>
      </c>
      <c r="CH412" s="3" t="s">
        <v>195</v>
      </c>
    </row>
    <row r="413" spans="1:86" ht="14.25">
      <c r="A413">
        <f t="shared" si="295"/>
        <v>5113502</v>
      </c>
      <c r="B413" s="2" t="s">
        <v>574</v>
      </c>
      <c r="C413" s="48" t="s">
        <v>575</v>
      </c>
      <c r="D413">
        <v>11</v>
      </c>
      <c r="E413">
        <v>5</v>
      </c>
      <c r="F413">
        <v>3</v>
      </c>
      <c r="G413" s="3" t="s">
        <v>576</v>
      </c>
      <c r="H413" s="3" t="s">
        <v>576</v>
      </c>
      <c r="I413" s="2">
        <v>0</v>
      </c>
      <c r="J413" s="8" t="s">
        <v>577</v>
      </c>
      <c r="K413" s="2">
        <f t="shared" si="296"/>
        <v>6</v>
      </c>
      <c r="L413" s="2">
        <f t="shared" si="282"/>
        <v>1.4000000000000001</v>
      </c>
      <c r="M413" s="2">
        <f t="shared" si="282"/>
        <v>2</v>
      </c>
      <c r="N413" s="2">
        <v>10</v>
      </c>
      <c r="O413" s="2">
        <f t="shared" si="297"/>
        <v>515.59</v>
      </c>
      <c r="P413" s="2">
        <f t="shared" si="297"/>
        <v>26.3</v>
      </c>
      <c r="Q413" s="2">
        <f t="shared" si="297"/>
        <v>3637.33</v>
      </c>
      <c r="R413" s="2">
        <f t="shared" si="293"/>
        <v>185.5</v>
      </c>
      <c r="S413" s="2">
        <f t="shared" si="293"/>
        <v>85.93</v>
      </c>
      <c r="T413" s="2">
        <f t="shared" si="293"/>
        <v>6.44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17">
        <v>535023</v>
      </c>
      <c r="AA413" s="14" t="s">
        <v>763</v>
      </c>
      <c r="AB413" s="15" t="s">
        <v>469</v>
      </c>
      <c r="AC413" s="2">
        <v>5123502</v>
      </c>
      <c r="AD413" s="2">
        <v>0</v>
      </c>
      <c r="AE413" s="2">
        <v>1</v>
      </c>
      <c r="AF413" s="2">
        <f t="shared" si="291"/>
        <v>5063502</v>
      </c>
      <c r="AG413" s="2">
        <v>2</v>
      </c>
      <c r="AI413">
        <v>1</v>
      </c>
      <c r="AJ413" s="1">
        <f t="shared" si="283"/>
        <v>391.78529145388103</v>
      </c>
      <c r="AK413">
        <v>11</v>
      </c>
      <c r="AL413">
        <f t="shared" si="284"/>
        <v>468.71999999999997</v>
      </c>
      <c r="AM413">
        <f t="shared" si="285"/>
        <v>23.904719999999998</v>
      </c>
      <c r="AN413">
        <f t="shared" si="286"/>
        <v>3306.6666666666665</v>
      </c>
      <c r="AO413">
        <f t="shared" si="287"/>
        <v>168.64</v>
      </c>
      <c r="AP413">
        <f t="shared" si="288"/>
        <v>78.11999999999999</v>
      </c>
      <c r="AQ413">
        <f t="shared" si="289"/>
        <v>5.8589999999999991</v>
      </c>
      <c r="AR413">
        <f t="shared" si="290"/>
        <v>1.4</v>
      </c>
      <c r="AS413">
        <f t="shared" si="298"/>
        <v>2</v>
      </c>
      <c r="AT413">
        <f t="shared" si="299"/>
        <v>6</v>
      </c>
      <c r="AU413">
        <f t="shared" si="292"/>
        <v>5023</v>
      </c>
      <c r="AV413" s="1">
        <v>2</v>
      </c>
      <c r="AW413">
        <v>5</v>
      </c>
      <c r="AX413">
        <v>0.1</v>
      </c>
      <c r="AZ413">
        <v>5</v>
      </c>
      <c r="BA413">
        <v>3</v>
      </c>
      <c r="CG413" t="str">
        <f t="shared" si="294"/>
        <v>DATA_Class_Base36</v>
      </c>
      <c r="CH413" s="3" t="s">
        <v>201</v>
      </c>
    </row>
    <row r="414" spans="1:86" ht="14.25">
      <c r="A414">
        <f t="shared" si="295"/>
        <v>5113601</v>
      </c>
      <c r="B414" s="2" t="s">
        <v>579</v>
      </c>
      <c r="C414" s="48" t="s">
        <v>580</v>
      </c>
      <c r="D414">
        <v>11</v>
      </c>
      <c r="E414">
        <v>6</v>
      </c>
      <c r="F414">
        <v>3</v>
      </c>
      <c r="G414" s="3" t="s">
        <v>581</v>
      </c>
      <c r="H414" s="3" t="s">
        <v>581</v>
      </c>
      <c r="I414">
        <v>0</v>
      </c>
      <c r="J414" s="2" t="s">
        <v>309</v>
      </c>
      <c r="K414" s="2">
        <f t="shared" si="296"/>
        <v>6</v>
      </c>
      <c r="L414" s="2">
        <f t="shared" si="282"/>
        <v>1.5</v>
      </c>
      <c r="M414" s="2">
        <f t="shared" si="282"/>
        <v>2</v>
      </c>
      <c r="N414" s="2">
        <v>10</v>
      </c>
      <c r="O414" s="2">
        <f t="shared" si="297"/>
        <v>368.28</v>
      </c>
      <c r="P414" s="2">
        <f t="shared" si="297"/>
        <v>18.78</v>
      </c>
      <c r="Q414" s="2">
        <f t="shared" si="297"/>
        <v>5456</v>
      </c>
      <c r="R414" s="2">
        <f t="shared" si="293"/>
        <v>278.26</v>
      </c>
      <c r="S414" s="2">
        <f t="shared" si="293"/>
        <v>92.07</v>
      </c>
      <c r="T414" s="2">
        <f t="shared" si="293"/>
        <v>6.91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17">
        <v>536013</v>
      </c>
      <c r="AA414" s="14" t="s">
        <v>764</v>
      </c>
      <c r="AB414" s="15" t="s">
        <v>469</v>
      </c>
      <c r="AC414" s="2">
        <v>5123601</v>
      </c>
      <c r="AD414" s="2">
        <v>0</v>
      </c>
      <c r="AE414" s="2">
        <v>1</v>
      </c>
      <c r="AF414" s="2">
        <f t="shared" si="291"/>
        <v>5063601</v>
      </c>
      <c r="AG414" s="2">
        <v>2</v>
      </c>
      <c r="AI414">
        <v>1</v>
      </c>
      <c r="AJ414" s="1">
        <f t="shared" si="283"/>
        <v>392.26392960081142</v>
      </c>
      <c r="AK414">
        <v>11</v>
      </c>
      <c r="AL414">
        <f t="shared" si="284"/>
        <v>334.8</v>
      </c>
      <c r="AM414">
        <f t="shared" si="285"/>
        <v>17.0748</v>
      </c>
      <c r="AN414">
        <f t="shared" si="286"/>
        <v>4960</v>
      </c>
      <c r="AO414">
        <f t="shared" si="287"/>
        <v>252.95999999999998</v>
      </c>
      <c r="AP414">
        <f t="shared" si="288"/>
        <v>83.7</v>
      </c>
      <c r="AQ414">
        <f t="shared" si="289"/>
        <v>6.2774999999999999</v>
      </c>
      <c r="AR414">
        <f t="shared" si="290"/>
        <v>1.5</v>
      </c>
      <c r="AS414">
        <f t="shared" si="298"/>
        <v>2</v>
      </c>
      <c r="AT414">
        <f t="shared" si="299"/>
        <v>6</v>
      </c>
      <c r="AU414">
        <f t="shared" si="292"/>
        <v>6013</v>
      </c>
      <c r="AV414" s="1">
        <v>1</v>
      </c>
      <c r="AW414">
        <v>5</v>
      </c>
      <c r="AX414">
        <v>0.1</v>
      </c>
      <c r="AZ414">
        <v>6</v>
      </c>
      <c r="BA414">
        <v>3</v>
      </c>
      <c r="CA414" s="13"/>
      <c r="CB414" s="13"/>
      <c r="CC414" s="13"/>
      <c r="CG414" t="str">
        <f t="shared" si="294"/>
        <v>DATA_Class_Base29</v>
      </c>
      <c r="CH414" s="3" t="s">
        <v>378</v>
      </c>
    </row>
    <row r="415" spans="1:86" ht="14.25">
      <c r="A415">
        <f t="shared" si="295"/>
        <v>5114201</v>
      </c>
      <c r="B415" s="2" t="s">
        <v>583</v>
      </c>
      <c r="C415" s="48" t="s">
        <v>584</v>
      </c>
      <c r="D415">
        <v>11</v>
      </c>
      <c r="E415">
        <v>2</v>
      </c>
      <c r="F415">
        <v>4</v>
      </c>
      <c r="G415" s="3" t="s">
        <v>585</v>
      </c>
      <c r="H415" s="3" t="s">
        <v>585</v>
      </c>
      <c r="I415" s="30">
        <v>0</v>
      </c>
      <c r="J415" s="8" t="s">
        <v>298</v>
      </c>
      <c r="K415" s="2">
        <f t="shared" si="296"/>
        <v>3</v>
      </c>
      <c r="L415" s="2">
        <f t="shared" si="282"/>
        <v>1.8</v>
      </c>
      <c r="M415" s="2">
        <f t="shared" si="282"/>
        <v>1.8</v>
      </c>
      <c r="N415" s="2">
        <v>10</v>
      </c>
      <c r="O415" s="2">
        <f t="shared" si="297"/>
        <v>428.54</v>
      </c>
      <c r="P415" s="2">
        <f t="shared" si="297"/>
        <v>21.86</v>
      </c>
      <c r="Q415" s="2">
        <f t="shared" si="297"/>
        <v>6696</v>
      </c>
      <c r="R415" s="2">
        <f t="shared" si="293"/>
        <v>341.5</v>
      </c>
      <c r="S415" s="2">
        <f t="shared" si="293"/>
        <v>158.72</v>
      </c>
      <c r="T415" s="2">
        <f t="shared" si="293"/>
        <v>11.9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17">
        <v>542013</v>
      </c>
      <c r="AA415" s="15" t="s">
        <v>765</v>
      </c>
      <c r="AB415" s="15" t="s">
        <v>469</v>
      </c>
      <c r="AC415" s="2">
        <v>5124201</v>
      </c>
      <c r="AD415" s="2">
        <v>0</v>
      </c>
      <c r="AE415" s="2">
        <v>1</v>
      </c>
      <c r="AF415" s="2">
        <f t="shared" si="291"/>
        <v>5064201</v>
      </c>
      <c r="AG415" s="2">
        <v>2</v>
      </c>
      <c r="AH415" s="2"/>
      <c r="AI415">
        <v>1</v>
      </c>
      <c r="AJ415" s="1">
        <f t="shared" si="283"/>
        <v>396.47977147709804</v>
      </c>
      <c r="AK415">
        <v>11</v>
      </c>
      <c r="AL415">
        <f t="shared" si="284"/>
        <v>357.12</v>
      </c>
      <c r="AM415">
        <f t="shared" si="285"/>
        <v>18.21312</v>
      </c>
      <c r="AN415">
        <f t="shared" si="286"/>
        <v>5580</v>
      </c>
      <c r="AO415">
        <f t="shared" si="287"/>
        <v>284.58</v>
      </c>
      <c r="AP415">
        <f t="shared" si="288"/>
        <v>132.26666666666665</v>
      </c>
      <c r="AQ415">
        <f t="shared" si="289"/>
        <v>9.9199999999999982</v>
      </c>
      <c r="AR415">
        <f t="shared" si="290"/>
        <v>1.8</v>
      </c>
      <c r="AS415">
        <f t="shared" si="298"/>
        <v>1.8</v>
      </c>
      <c r="AT415">
        <f t="shared" si="299"/>
        <v>3</v>
      </c>
      <c r="AU415">
        <f t="shared" si="292"/>
        <v>2014</v>
      </c>
      <c r="AV415" s="1">
        <v>1</v>
      </c>
      <c r="AW415">
        <v>5</v>
      </c>
      <c r="AX415">
        <v>0.2</v>
      </c>
      <c r="AZ415">
        <v>2</v>
      </c>
      <c r="BA415">
        <v>4</v>
      </c>
      <c r="CA415" s="13"/>
      <c r="CB415" s="13"/>
      <c r="CC415" s="13"/>
      <c r="CG415" t="str">
        <f t="shared" si="294"/>
        <v>DATA_Class_Base41</v>
      </c>
      <c r="CH415" s="3" t="s">
        <v>413</v>
      </c>
    </row>
    <row r="416" spans="1:86" ht="14.25">
      <c r="A416">
        <f t="shared" si="295"/>
        <v>5114302</v>
      </c>
      <c r="B416" s="2" t="s">
        <v>587</v>
      </c>
      <c r="C416" s="48" t="s">
        <v>588</v>
      </c>
      <c r="D416">
        <v>11</v>
      </c>
      <c r="E416">
        <v>3</v>
      </c>
      <c r="F416">
        <v>4</v>
      </c>
      <c r="G416" s="3" t="s">
        <v>589</v>
      </c>
      <c r="H416" s="3" t="s">
        <v>589</v>
      </c>
      <c r="I416" s="30">
        <v>0</v>
      </c>
      <c r="J416" s="8" t="s">
        <v>590</v>
      </c>
      <c r="K416" s="2">
        <f t="shared" si="296"/>
        <v>3</v>
      </c>
      <c r="L416" s="2">
        <f t="shared" si="282"/>
        <v>1.4000000000000001</v>
      </c>
      <c r="M416" s="2">
        <f t="shared" si="282"/>
        <v>2</v>
      </c>
      <c r="N416" s="2">
        <v>10</v>
      </c>
      <c r="O416" s="2">
        <f t="shared" si="297"/>
        <v>439.21</v>
      </c>
      <c r="P416" s="2">
        <f t="shared" si="297"/>
        <v>22.4</v>
      </c>
      <c r="Q416" s="2">
        <f t="shared" si="297"/>
        <v>4666.91</v>
      </c>
      <c r="R416" s="2">
        <f t="shared" si="293"/>
        <v>238.01</v>
      </c>
      <c r="S416" s="2">
        <f t="shared" si="293"/>
        <v>109.8</v>
      </c>
      <c r="T416" s="2">
        <f t="shared" si="293"/>
        <v>8.24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17">
        <v>543023</v>
      </c>
      <c r="AA416" s="15" t="s">
        <v>766</v>
      </c>
      <c r="AB416" s="15" t="s">
        <v>469</v>
      </c>
      <c r="AC416" s="2">
        <v>5124302</v>
      </c>
      <c r="AD416" s="2">
        <v>0</v>
      </c>
      <c r="AE416" s="2">
        <v>1</v>
      </c>
      <c r="AF416" s="2">
        <f t="shared" si="291"/>
        <v>5064302</v>
      </c>
      <c r="AG416" s="2">
        <v>2</v>
      </c>
      <c r="AH416" s="2"/>
      <c r="AI416">
        <v>1</v>
      </c>
      <c r="AJ416" s="1">
        <f t="shared" si="283"/>
        <v>393.27823838897655</v>
      </c>
      <c r="AK416">
        <v>11</v>
      </c>
      <c r="AL416">
        <f t="shared" si="284"/>
        <v>381.91999999999996</v>
      </c>
      <c r="AM416">
        <f t="shared" si="285"/>
        <v>19.477919999999997</v>
      </c>
      <c r="AN416">
        <f t="shared" si="286"/>
        <v>4058.181818181818</v>
      </c>
      <c r="AO416">
        <f t="shared" si="287"/>
        <v>206.9672727272727</v>
      </c>
      <c r="AP416">
        <f t="shared" si="288"/>
        <v>95.47999999999999</v>
      </c>
      <c r="AQ416">
        <f t="shared" si="289"/>
        <v>7.1609999999999987</v>
      </c>
      <c r="AR416">
        <f t="shared" si="290"/>
        <v>1.4</v>
      </c>
      <c r="AS416">
        <f t="shared" si="298"/>
        <v>2</v>
      </c>
      <c r="AT416">
        <f t="shared" si="299"/>
        <v>3</v>
      </c>
      <c r="AU416">
        <f t="shared" si="292"/>
        <v>3024</v>
      </c>
      <c r="AV416" s="1">
        <v>2</v>
      </c>
      <c r="AW416">
        <v>5</v>
      </c>
      <c r="AX416">
        <v>0.15</v>
      </c>
      <c r="AZ416">
        <v>3</v>
      </c>
      <c r="BA416">
        <v>4</v>
      </c>
      <c r="BZ416" t="str">
        <f t="shared" ref="BZ416:BZ418" si="300">CA416&amp;","&amp;CB416&amp;","&amp;CC416</f>
        <v>1545011,2545011,3545011</v>
      </c>
      <c r="CA416" s="13">
        <v>1545011</v>
      </c>
      <c r="CB416" s="13">
        <v>2545011</v>
      </c>
      <c r="CC416" s="13">
        <v>3545011</v>
      </c>
      <c r="CG416" t="str">
        <f t="shared" si="294"/>
        <v>DATA_Class_Base37</v>
      </c>
      <c r="CH416" s="3" t="s">
        <v>402</v>
      </c>
    </row>
    <row r="417" spans="1:86" ht="14.25">
      <c r="A417" s="49">
        <f t="shared" si="295"/>
        <v>5114501</v>
      </c>
      <c r="B417" s="2" t="s">
        <v>592</v>
      </c>
      <c r="C417" s="48" t="s">
        <v>593</v>
      </c>
      <c r="D417">
        <v>11</v>
      </c>
      <c r="E417">
        <v>5</v>
      </c>
      <c r="F417">
        <v>4</v>
      </c>
      <c r="G417" s="3" t="s">
        <v>594</v>
      </c>
      <c r="H417" s="3" t="s">
        <v>594</v>
      </c>
      <c r="I417">
        <v>0</v>
      </c>
      <c r="J417" s="2" t="s">
        <v>334</v>
      </c>
      <c r="K417" s="2">
        <f t="shared" si="296"/>
        <v>6</v>
      </c>
      <c r="L417" s="2">
        <f t="shared" si="282"/>
        <v>1.6</v>
      </c>
      <c r="M417" s="2">
        <f t="shared" si="282"/>
        <v>2</v>
      </c>
      <c r="N417" s="2">
        <v>10</v>
      </c>
      <c r="O417" s="2">
        <f t="shared" si="297"/>
        <v>593.22</v>
      </c>
      <c r="P417" s="2">
        <f t="shared" si="297"/>
        <v>30.25</v>
      </c>
      <c r="Q417" s="2">
        <f t="shared" si="297"/>
        <v>3948.92</v>
      </c>
      <c r="R417" s="2">
        <f t="shared" si="293"/>
        <v>201.4</v>
      </c>
      <c r="S417" s="2">
        <f t="shared" si="293"/>
        <v>84.75</v>
      </c>
      <c r="T417" s="2">
        <f t="shared" si="293"/>
        <v>6.36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17">
        <v>545013</v>
      </c>
      <c r="AA417" s="14" t="s">
        <v>767</v>
      </c>
      <c r="AB417" s="15" t="s">
        <v>469</v>
      </c>
      <c r="AC417" s="2">
        <v>5124501</v>
      </c>
      <c r="AD417" s="2">
        <v>0</v>
      </c>
      <c r="AE417" s="2">
        <v>1</v>
      </c>
      <c r="AF417" s="2">
        <f t="shared" si="291"/>
        <v>5064501</v>
      </c>
      <c r="AG417" s="2">
        <v>2</v>
      </c>
      <c r="AH417" s="2"/>
      <c r="AI417">
        <v>1</v>
      </c>
      <c r="AJ417" s="1">
        <f t="shared" si="283"/>
        <v>391.40625049204726</v>
      </c>
      <c r="AK417">
        <v>11</v>
      </c>
      <c r="AL417">
        <f t="shared" si="284"/>
        <v>515.84</v>
      </c>
      <c r="AM417">
        <f t="shared" si="285"/>
        <v>26.307839999999999</v>
      </c>
      <c r="AN417">
        <f t="shared" si="286"/>
        <v>3433.8461538461538</v>
      </c>
      <c r="AO417">
        <f t="shared" si="287"/>
        <v>175.12615384615384</v>
      </c>
      <c r="AP417">
        <f t="shared" si="288"/>
        <v>73.691428571428574</v>
      </c>
      <c r="AQ417">
        <f t="shared" si="289"/>
        <v>5.5268571428571427</v>
      </c>
      <c r="AR417">
        <f t="shared" si="290"/>
        <v>1.6</v>
      </c>
      <c r="AS417">
        <f t="shared" si="298"/>
        <v>2</v>
      </c>
      <c r="AT417">
        <f t="shared" si="299"/>
        <v>6</v>
      </c>
      <c r="AU417">
        <f t="shared" si="292"/>
        <v>5014</v>
      </c>
      <c r="AV417" s="1">
        <v>1</v>
      </c>
      <c r="AW417">
        <v>5</v>
      </c>
      <c r="AX417">
        <v>0.15</v>
      </c>
      <c r="AZ417">
        <v>5</v>
      </c>
      <c r="BA417">
        <v>4</v>
      </c>
      <c r="BZ417" t="str">
        <f t="shared" si="300"/>
        <v>1546001,2546001,3546001</v>
      </c>
      <c r="CA417" s="13">
        <v>1546001</v>
      </c>
      <c r="CB417" s="13">
        <v>2546001</v>
      </c>
      <c r="CC417" s="13">
        <v>3546001</v>
      </c>
      <c r="CG417" t="str">
        <f t="shared" si="294"/>
        <v>DATA_Class_Base38</v>
      </c>
      <c r="CH417" s="3" t="s">
        <v>198</v>
      </c>
    </row>
    <row r="418" spans="1:86" ht="14.25">
      <c r="A418" s="49">
        <f t="shared" si="295"/>
        <v>5114600</v>
      </c>
      <c r="B418" s="2" t="s">
        <v>596</v>
      </c>
      <c r="C418" s="48" t="s">
        <v>597</v>
      </c>
      <c r="D418">
        <v>11</v>
      </c>
      <c r="E418">
        <v>6</v>
      </c>
      <c r="F418">
        <v>4</v>
      </c>
      <c r="G418" s="3" t="s">
        <v>598</v>
      </c>
      <c r="H418" s="3" t="s">
        <v>598</v>
      </c>
      <c r="I418" s="2">
        <v>0</v>
      </c>
      <c r="J418" s="2" t="s">
        <v>339</v>
      </c>
      <c r="K418" s="2">
        <f t="shared" si="296"/>
        <v>3</v>
      </c>
      <c r="L418" s="2">
        <f t="shared" si="282"/>
        <v>1.4000000000000001</v>
      </c>
      <c r="M418" s="2">
        <f t="shared" si="282"/>
        <v>1.9000000000000001</v>
      </c>
      <c r="N418" s="2">
        <v>10</v>
      </c>
      <c r="O418" s="2">
        <f t="shared" si="297"/>
        <v>439.21</v>
      </c>
      <c r="P418" s="2">
        <f t="shared" si="297"/>
        <v>22.4</v>
      </c>
      <c r="Q418" s="2">
        <f t="shared" si="297"/>
        <v>4666.91</v>
      </c>
      <c r="R418" s="2">
        <f t="shared" si="293"/>
        <v>238.01</v>
      </c>
      <c r="S418" s="2">
        <f t="shared" si="293"/>
        <v>109.8</v>
      </c>
      <c r="T418" s="2">
        <f t="shared" si="293"/>
        <v>8.24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17">
        <v>546003</v>
      </c>
      <c r="AA418" s="14" t="s">
        <v>768</v>
      </c>
      <c r="AB418" s="15" t="s">
        <v>469</v>
      </c>
      <c r="AC418" s="2">
        <v>5124600</v>
      </c>
      <c r="AD418" s="2">
        <v>0</v>
      </c>
      <c r="AE418" s="2">
        <v>1</v>
      </c>
      <c r="AF418" s="2">
        <f t="shared" si="291"/>
        <v>5064600</v>
      </c>
      <c r="AG418" s="2">
        <v>2</v>
      </c>
      <c r="AH418" s="2"/>
      <c r="AI418">
        <v>1</v>
      </c>
      <c r="AJ418" s="1">
        <f t="shared" si="283"/>
        <v>393.27823838897655</v>
      </c>
      <c r="AK418">
        <v>11</v>
      </c>
      <c r="AL418">
        <f t="shared" si="284"/>
        <v>381.91999999999996</v>
      </c>
      <c r="AM418">
        <f t="shared" si="285"/>
        <v>19.477919999999997</v>
      </c>
      <c r="AN418">
        <f t="shared" si="286"/>
        <v>4058.181818181818</v>
      </c>
      <c r="AO418">
        <f t="shared" si="287"/>
        <v>206.9672727272727</v>
      </c>
      <c r="AP418">
        <f t="shared" si="288"/>
        <v>95.47999999999999</v>
      </c>
      <c r="AQ418">
        <f t="shared" si="289"/>
        <v>7.1609999999999987</v>
      </c>
      <c r="AR418">
        <f t="shared" si="290"/>
        <v>1.4</v>
      </c>
      <c r="AS418">
        <f t="shared" si="298"/>
        <v>1.9</v>
      </c>
      <c r="AT418">
        <f t="shared" si="299"/>
        <v>3</v>
      </c>
      <c r="AU418">
        <f t="shared" si="292"/>
        <v>6004</v>
      </c>
      <c r="AV418" s="1">
        <v>0</v>
      </c>
      <c r="AW418">
        <v>5</v>
      </c>
      <c r="AX418">
        <v>0.15</v>
      </c>
      <c r="AZ418">
        <v>6</v>
      </c>
      <c r="BA418">
        <v>4</v>
      </c>
      <c r="BZ418" t="str">
        <f t="shared" si="300"/>
        <v>1546021,2546021,3546021</v>
      </c>
      <c r="CA418" s="13">
        <v>1546021</v>
      </c>
      <c r="CB418" s="13">
        <v>2546021</v>
      </c>
      <c r="CC418" s="13">
        <v>3546021</v>
      </c>
      <c r="CG418" t="str">
        <f t="shared" si="294"/>
        <v>DATA_Class_Base39</v>
      </c>
      <c r="CH418" s="3" t="s">
        <v>407</v>
      </c>
    </row>
    <row r="419" spans="1:86" ht="14.25">
      <c r="A419">
        <f t="shared" si="295"/>
        <v>5114602</v>
      </c>
      <c r="B419" s="2" t="s">
        <v>600</v>
      </c>
      <c r="C419" s="48" t="s">
        <v>601</v>
      </c>
      <c r="D419">
        <v>11</v>
      </c>
      <c r="E419">
        <v>6</v>
      </c>
      <c r="F419">
        <v>4</v>
      </c>
      <c r="G419" s="3" t="s">
        <v>602</v>
      </c>
      <c r="H419" s="3" t="s">
        <v>602</v>
      </c>
      <c r="I419" t="s">
        <v>345</v>
      </c>
      <c r="J419" s="2" t="s">
        <v>346</v>
      </c>
      <c r="K419" s="2">
        <f t="shared" si="296"/>
        <v>6</v>
      </c>
      <c r="L419" s="2">
        <f t="shared" si="282"/>
        <v>1.8</v>
      </c>
      <c r="M419" s="2">
        <f t="shared" si="282"/>
        <v>2</v>
      </c>
      <c r="N419" s="2">
        <v>10</v>
      </c>
      <c r="O419" s="2">
        <f t="shared" si="297"/>
        <v>535.67999999999995</v>
      </c>
      <c r="P419" s="2">
        <f t="shared" si="297"/>
        <v>27.32</v>
      </c>
      <c r="Q419" s="2">
        <f t="shared" si="297"/>
        <v>5356.8</v>
      </c>
      <c r="R419" s="2">
        <f t="shared" si="293"/>
        <v>273.2</v>
      </c>
      <c r="S419" s="2">
        <f t="shared" si="293"/>
        <v>107.14</v>
      </c>
      <c r="T419" s="2">
        <f t="shared" si="293"/>
        <v>8.0399999999999991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17">
        <v>546023</v>
      </c>
      <c r="AA419" s="55" t="s">
        <v>1725</v>
      </c>
      <c r="AB419" s="15" t="s">
        <v>469</v>
      </c>
      <c r="AC419" s="2">
        <v>5124602</v>
      </c>
      <c r="AD419" s="2">
        <v>0</v>
      </c>
      <c r="AE419" s="2">
        <v>1</v>
      </c>
      <c r="AF419" s="2">
        <f t="shared" si="291"/>
        <v>5064602</v>
      </c>
      <c r="AG419" s="2">
        <v>2</v>
      </c>
      <c r="AH419" s="2"/>
      <c r="AI419">
        <v>1</v>
      </c>
      <c r="AJ419" s="1">
        <f t="shared" si="283"/>
        <v>392.74373866816308</v>
      </c>
      <c r="AK419">
        <v>11</v>
      </c>
      <c r="AL419">
        <f t="shared" si="284"/>
        <v>446.40000000000003</v>
      </c>
      <c r="AM419">
        <f t="shared" si="285"/>
        <v>22.766400000000001</v>
      </c>
      <c r="AN419">
        <f t="shared" si="286"/>
        <v>4464</v>
      </c>
      <c r="AO419">
        <f t="shared" si="287"/>
        <v>227.66399999999999</v>
      </c>
      <c r="AP419">
        <f t="shared" si="288"/>
        <v>89.28</v>
      </c>
      <c r="AQ419">
        <f t="shared" si="289"/>
        <v>6.6959999999999997</v>
      </c>
      <c r="AR419">
        <f t="shared" si="290"/>
        <v>1.8</v>
      </c>
      <c r="AS419">
        <f t="shared" si="298"/>
        <v>2</v>
      </c>
      <c r="AT419">
        <f t="shared" si="299"/>
        <v>6</v>
      </c>
      <c r="AU419">
        <f t="shared" si="292"/>
        <v>6024</v>
      </c>
      <c r="AV419" s="1">
        <v>2</v>
      </c>
      <c r="AW419">
        <v>5</v>
      </c>
      <c r="AX419">
        <v>0.2</v>
      </c>
      <c r="AZ419">
        <v>6</v>
      </c>
      <c r="BA419">
        <v>4</v>
      </c>
      <c r="CA419" s="13"/>
      <c r="CB419" s="13"/>
      <c r="CC419" s="13"/>
      <c r="CG419" t="str">
        <f t="shared" si="294"/>
        <v>DATA_Class_Base30</v>
      </c>
      <c r="CH419" s="3" t="s">
        <v>381</v>
      </c>
    </row>
    <row r="420" spans="1:86" ht="14.25">
      <c r="A420">
        <f t="shared" si="295"/>
        <v>5115202</v>
      </c>
      <c r="B420" s="2" t="s">
        <v>604</v>
      </c>
      <c r="C420" s="48" t="s">
        <v>605</v>
      </c>
      <c r="D420">
        <v>11</v>
      </c>
      <c r="E420">
        <v>2</v>
      </c>
      <c r="F420">
        <v>5</v>
      </c>
      <c r="G420" s="3" t="s">
        <v>606</v>
      </c>
      <c r="H420" s="3" t="s">
        <v>606</v>
      </c>
      <c r="I420" s="3">
        <v>0</v>
      </c>
      <c r="J420" s="8" t="s">
        <v>607</v>
      </c>
      <c r="K420" s="2">
        <f t="shared" si="296"/>
        <v>3</v>
      </c>
      <c r="L420" s="2">
        <f t="shared" si="282"/>
        <v>1.6</v>
      </c>
      <c r="M420" s="2">
        <f t="shared" si="282"/>
        <v>2</v>
      </c>
      <c r="N420" s="2">
        <v>10</v>
      </c>
      <c r="O420" s="2">
        <f t="shared" si="297"/>
        <v>456.32</v>
      </c>
      <c r="P420" s="2">
        <f t="shared" si="297"/>
        <v>23.27</v>
      </c>
      <c r="Q420" s="2">
        <f t="shared" si="297"/>
        <v>5133.6000000000004</v>
      </c>
      <c r="R420" s="2">
        <f t="shared" si="293"/>
        <v>261.81</v>
      </c>
      <c r="S420" s="2">
        <f t="shared" si="293"/>
        <v>152.11000000000001</v>
      </c>
      <c r="T420" s="2">
        <f t="shared" si="293"/>
        <v>11.41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17">
        <v>552023</v>
      </c>
      <c r="AA420" s="15" t="s">
        <v>770</v>
      </c>
      <c r="AB420" s="15" t="s">
        <v>469</v>
      </c>
      <c r="AC420" s="2">
        <v>5125202</v>
      </c>
      <c r="AD420" s="2">
        <v>0</v>
      </c>
      <c r="AE420" s="2">
        <v>1</v>
      </c>
      <c r="AF420" s="2">
        <f t="shared" si="291"/>
        <v>5065202</v>
      </c>
      <c r="AG420" s="2">
        <v>2</v>
      </c>
      <c r="AH420" s="2"/>
      <c r="AI420">
        <v>1</v>
      </c>
      <c r="AJ420" s="1">
        <f t="shared" si="283"/>
        <v>396.47977147709804</v>
      </c>
      <c r="AK420">
        <v>11</v>
      </c>
      <c r="AL420">
        <f t="shared" si="284"/>
        <v>396.8</v>
      </c>
      <c r="AM420">
        <f t="shared" si="285"/>
        <v>20.236799999999999</v>
      </c>
      <c r="AN420">
        <f t="shared" si="286"/>
        <v>4464</v>
      </c>
      <c r="AO420">
        <f t="shared" si="287"/>
        <v>227.66399999999999</v>
      </c>
      <c r="AP420">
        <f t="shared" si="288"/>
        <v>132.26666666666668</v>
      </c>
      <c r="AQ420">
        <f t="shared" si="289"/>
        <v>9.92</v>
      </c>
      <c r="AR420">
        <f t="shared" si="290"/>
        <v>1.6</v>
      </c>
      <c r="AS420">
        <f t="shared" si="298"/>
        <v>2</v>
      </c>
      <c r="AT420">
        <f t="shared" si="299"/>
        <v>3</v>
      </c>
      <c r="AU420">
        <f t="shared" si="292"/>
        <v>2025</v>
      </c>
      <c r="AV420" s="1">
        <v>2</v>
      </c>
      <c r="AW420">
        <v>5</v>
      </c>
      <c r="AX420">
        <v>0.15</v>
      </c>
      <c r="AZ420">
        <v>2</v>
      </c>
      <c r="BA420">
        <v>5</v>
      </c>
      <c r="BZ420" t="str">
        <f t="shared" ref="BZ420:BZ422" si="301">CA420&amp;","&amp;CB420&amp;","&amp;CC420</f>
        <v>1553001,2553001,3553001</v>
      </c>
      <c r="CA420" s="13">
        <v>1553001</v>
      </c>
      <c r="CB420" s="13">
        <v>2553001</v>
      </c>
      <c r="CC420" s="13">
        <v>3553001</v>
      </c>
      <c r="CG420" t="str">
        <f t="shared" si="294"/>
        <v>DATA_Class_Base40</v>
      </c>
      <c r="CH420" s="3" t="s">
        <v>411</v>
      </c>
    </row>
    <row r="421" spans="1:86" ht="14.25">
      <c r="A421" s="49">
        <f t="shared" si="295"/>
        <v>5115300</v>
      </c>
      <c r="B421" s="2" t="s">
        <v>609</v>
      </c>
      <c r="C421" s="48" t="s">
        <v>610</v>
      </c>
      <c r="D421">
        <v>11</v>
      </c>
      <c r="E421">
        <v>3</v>
      </c>
      <c r="F421">
        <v>5</v>
      </c>
      <c r="G421" s="3" t="s">
        <v>611</v>
      </c>
      <c r="H421" s="3" t="s">
        <v>611</v>
      </c>
      <c r="I421" s="2">
        <v>0</v>
      </c>
      <c r="J421" s="8" t="s">
        <v>612</v>
      </c>
      <c r="K421" s="2">
        <f t="shared" si="296"/>
        <v>3</v>
      </c>
      <c r="L421" s="2">
        <f t="shared" si="282"/>
        <v>1.3</v>
      </c>
      <c r="M421" s="2">
        <f t="shared" si="282"/>
        <v>2</v>
      </c>
      <c r="N421" s="2">
        <v>10</v>
      </c>
      <c r="O421" s="2">
        <f t="shared" si="297"/>
        <v>444.91</v>
      </c>
      <c r="P421" s="2">
        <f t="shared" si="297"/>
        <v>22.69</v>
      </c>
      <c r="Q421" s="2">
        <f t="shared" si="297"/>
        <v>4658.09</v>
      </c>
      <c r="R421" s="2">
        <f t="shared" si="293"/>
        <v>237.56</v>
      </c>
      <c r="S421" s="2">
        <f t="shared" si="293"/>
        <v>111.23</v>
      </c>
      <c r="T421" s="2">
        <f t="shared" si="293"/>
        <v>8.34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17">
        <v>553003</v>
      </c>
      <c r="AA421" s="14" t="s">
        <v>771</v>
      </c>
      <c r="AB421" s="15" t="s">
        <v>469</v>
      </c>
      <c r="AC421" s="2">
        <v>5125300</v>
      </c>
      <c r="AD421" s="2">
        <v>0</v>
      </c>
      <c r="AE421" s="2">
        <v>1</v>
      </c>
      <c r="AF421" s="2">
        <f t="shared" si="291"/>
        <v>5065300</v>
      </c>
      <c r="AG421" s="2">
        <v>2</v>
      </c>
      <c r="AH421" s="2"/>
      <c r="AI421">
        <v>1</v>
      </c>
      <c r="AJ421" s="1">
        <f t="shared" si="283"/>
        <v>393.03753358816169</v>
      </c>
      <c r="AK421">
        <v>11</v>
      </c>
      <c r="AL421">
        <f t="shared" si="284"/>
        <v>370.76</v>
      </c>
      <c r="AM421">
        <f t="shared" si="285"/>
        <v>18.908759999999997</v>
      </c>
      <c r="AN421">
        <f t="shared" si="286"/>
        <v>3881.7391304347834</v>
      </c>
      <c r="AO421">
        <f t="shared" si="287"/>
        <v>197.96869565217395</v>
      </c>
      <c r="AP421">
        <f t="shared" si="288"/>
        <v>92.69</v>
      </c>
      <c r="AQ421">
        <f t="shared" si="289"/>
        <v>6.9517499999999997</v>
      </c>
      <c r="AR421">
        <f t="shared" si="290"/>
        <v>1.3</v>
      </c>
      <c r="AS421">
        <f t="shared" si="298"/>
        <v>2</v>
      </c>
      <c r="AT421">
        <f t="shared" si="299"/>
        <v>3</v>
      </c>
      <c r="AU421">
        <f t="shared" si="292"/>
        <v>3005</v>
      </c>
      <c r="AV421" s="1">
        <v>0</v>
      </c>
      <c r="AW421">
        <v>5</v>
      </c>
      <c r="AX421">
        <v>0.2</v>
      </c>
      <c r="AZ421">
        <v>3</v>
      </c>
      <c r="BA421">
        <v>5</v>
      </c>
      <c r="BZ421" t="str">
        <f t="shared" si="301"/>
        <v>1553021,2553021,3553021</v>
      </c>
      <c r="CA421" s="13">
        <v>1553021</v>
      </c>
      <c r="CB421" s="13">
        <v>2553021</v>
      </c>
      <c r="CC421" s="13">
        <v>3553021</v>
      </c>
      <c r="CG421" t="str">
        <f t="shared" si="294"/>
        <v>DATA_Class_Base41</v>
      </c>
      <c r="CH421" s="3" t="s">
        <v>413</v>
      </c>
    </row>
    <row r="422" spans="1:86" ht="14.25">
      <c r="A422">
        <f t="shared" si="295"/>
        <v>5115302</v>
      </c>
      <c r="B422" s="2" t="s">
        <v>614</v>
      </c>
      <c r="C422" s="48" t="s">
        <v>615</v>
      </c>
      <c r="D422">
        <v>11</v>
      </c>
      <c r="E422">
        <v>3</v>
      </c>
      <c r="F422">
        <v>5</v>
      </c>
      <c r="G422" s="3" t="s">
        <v>616</v>
      </c>
      <c r="H422" s="3" t="s">
        <v>616</v>
      </c>
      <c r="I422" s="2">
        <v>0</v>
      </c>
      <c r="J422" s="2" t="s">
        <v>358</v>
      </c>
      <c r="K422" s="2">
        <f t="shared" si="296"/>
        <v>3</v>
      </c>
      <c r="L422" s="2">
        <f t="shared" si="282"/>
        <v>1.4000000000000001</v>
      </c>
      <c r="M422" s="2">
        <f t="shared" si="282"/>
        <v>2</v>
      </c>
      <c r="N422" s="2">
        <v>10</v>
      </c>
      <c r="O422" s="2">
        <f t="shared" si="297"/>
        <v>479.14</v>
      </c>
      <c r="P422" s="2">
        <f t="shared" si="297"/>
        <v>24.44</v>
      </c>
      <c r="Q422" s="2">
        <f t="shared" si="297"/>
        <v>4278</v>
      </c>
      <c r="R422" s="2">
        <f t="shared" si="293"/>
        <v>218.18</v>
      </c>
      <c r="S422" s="2">
        <f t="shared" si="293"/>
        <v>119.78</v>
      </c>
      <c r="T422" s="2">
        <f t="shared" si="293"/>
        <v>8.98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17">
        <v>553023</v>
      </c>
      <c r="AA422" s="14" t="s">
        <v>772</v>
      </c>
      <c r="AB422" s="15" t="s">
        <v>469</v>
      </c>
      <c r="AC422" s="2">
        <v>5125302</v>
      </c>
      <c r="AD422" s="2">
        <v>0</v>
      </c>
      <c r="AE422" s="2">
        <v>1</v>
      </c>
      <c r="AF422" s="2">
        <f t="shared" si="291"/>
        <v>5065302</v>
      </c>
      <c r="AG422" s="2">
        <v>2</v>
      </c>
      <c r="AH422" s="2"/>
      <c r="AI422">
        <v>1</v>
      </c>
      <c r="AJ422" s="1">
        <f t="shared" si="283"/>
        <v>394.02898679762063</v>
      </c>
      <c r="AK422">
        <v>11</v>
      </c>
      <c r="AL422">
        <f t="shared" si="284"/>
        <v>416.63999999999993</v>
      </c>
      <c r="AM422">
        <f t="shared" si="285"/>
        <v>21.248639999999995</v>
      </c>
      <c r="AN422">
        <f t="shared" si="286"/>
        <v>3720</v>
      </c>
      <c r="AO422">
        <f t="shared" si="287"/>
        <v>189.72</v>
      </c>
      <c r="AP422">
        <f t="shared" si="288"/>
        <v>104.15999999999998</v>
      </c>
      <c r="AQ422">
        <f t="shared" si="289"/>
        <v>7.8119999999999985</v>
      </c>
      <c r="AR422">
        <f t="shared" si="290"/>
        <v>1.4</v>
      </c>
      <c r="AS422">
        <f t="shared" si="298"/>
        <v>2</v>
      </c>
      <c r="AT422">
        <f t="shared" si="299"/>
        <v>3</v>
      </c>
      <c r="AU422">
        <f t="shared" si="292"/>
        <v>3025</v>
      </c>
      <c r="AV422" s="1">
        <v>2</v>
      </c>
      <c r="AW422">
        <v>5</v>
      </c>
      <c r="AX422">
        <v>0.15</v>
      </c>
      <c r="AZ422">
        <v>3</v>
      </c>
      <c r="BA422">
        <v>5</v>
      </c>
      <c r="BZ422" t="str">
        <f t="shared" si="301"/>
        <v>1554001,2554001,3554001</v>
      </c>
      <c r="CA422" s="13">
        <v>1554001</v>
      </c>
      <c r="CB422" s="13">
        <v>2554001</v>
      </c>
      <c r="CC422" s="13">
        <v>3554001</v>
      </c>
      <c r="CG422" t="str">
        <f t="shared" si="294"/>
        <v>DATA_Class_Base42</v>
      </c>
      <c r="CH422" s="3" t="s">
        <v>174</v>
      </c>
    </row>
    <row r="423" spans="1:86" ht="14.25">
      <c r="A423" s="49">
        <f t="shared" si="295"/>
        <v>5115400</v>
      </c>
      <c r="B423" s="2" t="s">
        <v>618</v>
      </c>
      <c r="C423" s="48" t="s">
        <v>619</v>
      </c>
      <c r="D423">
        <v>11</v>
      </c>
      <c r="E423">
        <v>4</v>
      </c>
      <c r="F423">
        <v>5</v>
      </c>
      <c r="G423" s="3" t="s">
        <v>620</v>
      </c>
      <c r="H423" s="3" t="s">
        <v>620</v>
      </c>
      <c r="I423">
        <v>0</v>
      </c>
      <c r="J423" s="2" t="s">
        <v>364</v>
      </c>
      <c r="K423" s="2">
        <f t="shared" si="296"/>
        <v>6</v>
      </c>
      <c r="L423" s="2">
        <f t="shared" si="282"/>
        <v>1.4000000000000001</v>
      </c>
      <c r="M423" s="2">
        <f t="shared" si="282"/>
        <v>2</v>
      </c>
      <c r="N423" s="2">
        <v>10</v>
      </c>
      <c r="O423" s="2">
        <f t="shared" si="297"/>
        <v>520.79999999999995</v>
      </c>
      <c r="P423" s="2">
        <f t="shared" si="297"/>
        <v>26.56</v>
      </c>
      <c r="Q423" s="2">
        <f t="shared" si="297"/>
        <v>4285.4399999999996</v>
      </c>
      <c r="R423" s="2">
        <f t="shared" si="293"/>
        <v>218.56</v>
      </c>
      <c r="S423" s="2">
        <f t="shared" si="293"/>
        <v>94.69</v>
      </c>
      <c r="T423" s="2">
        <f t="shared" si="293"/>
        <v>7.1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17">
        <v>554003</v>
      </c>
      <c r="AA423" s="14" t="s">
        <v>773</v>
      </c>
      <c r="AB423" s="15" t="s">
        <v>469</v>
      </c>
      <c r="AC423" s="2">
        <v>5125400</v>
      </c>
      <c r="AD423" s="2">
        <v>0</v>
      </c>
      <c r="AE423" s="2">
        <v>1</v>
      </c>
      <c r="AF423" s="2">
        <f t="shared" si="291"/>
        <v>5065400</v>
      </c>
      <c r="AG423" s="2">
        <v>2</v>
      </c>
      <c r="AH423" s="2"/>
      <c r="AI423">
        <v>1</v>
      </c>
      <c r="AJ423" s="1">
        <f t="shared" si="283"/>
        <v>391.85290673336914</v>
      </c>
      <c r="AK423">
        <v>11</v>
      </c>
      <c r="AL423">
        <f t="shared" si="284"/>
        <v>434</v>
      </c>
      <c r="AM423">
        <f t="shared" si="285"/>
        <v>22.134</v>
      </c>
      <c r="AN423">
        <f t="shared" si="286"/>
        <v>3571.2000000000003</v>
      </c>
      <c r="AO423">
        <f t="shared" si="287"/>
        <v>182.13120000000001</v>
      </c>
      <c r="AP423">
        <f t="shared" si="288"/>
        <v>78.909090909090907</v>
      </c>
      <c r="AQ423">
        <f t="shared" si="289"/>
        <v>5.918181818181818</v>
      </c>
      <c r="AR423">
        <f t="shared" si="290"/>
        <v>1.4</v>
      </c>
      <c r="AS423">
        <f t="shared" si="298"/>
        <v>2</v>
      </c>
      <c r="AT423">
        <f t="shared" si="299"/>
        <v>6</v>
      </c>
      <c r="AU423">
        <f t="shared" si="292"/>
        <v>4005</v>
      </c>
      <c r="AV423" s="1">
        <v>0</v>
      </c>
      <c r="AW423">
        <v>5</v>
      </c>
      <c r="AX423">
        <v>0.2</v>
      </c>
      <c r="AZ423">
        <v>4</v>
      </c>
      <c r="BA423">
        <v>5</v>
      </c>
      <c r="CA423" s="13"/>
      <c r="CB423" s="13"/>
      <c r="CC423" s="13"/>
      <c r="CG423" t="str">
        <f t="shared" si="294"/>
        <v>DATA_Class_Base37</v>
      </c>
      <c r="CH423" s="3" t="s">
        <v>402</v>
      </c>
    </row>
    <row r="424" spans="1:86" ht="14.25">
      <c r="A424">
        <f t="shared" si="295"/>
        <v>5115501</v>
      </c>
      <c r="B424" s="2" t="s">
        <v>622</v>
      </c>
      <c r="C424" s="48" t="s">
        <v>623</v>
      </c>
      <c r="D424">
        <v>11</v>
      </c>
      <c r="E424">
        <v>5</v>
      </c>
      <c r="F424">
        <v>5</v>
      </c>
      <c r="G424" s="3" t="s">
        <v>624</v>
      </c>
      <c r="H424" s="3" t="s">
        <v>624</v>
      </c>
      <c r="I424" s="3">
        <v>0</v>
      </c>
      <c r="J424" s="8" t="s">
        <v>625</v>
      </c>
      <c r="K424" s="2">
        <f t="shared" si="296"/>
        <v>6</v>
      </c>
      <c r="L424" s="2">
        <f t="shared" si="282"/>
        <v>1.5</v>
      </c>
      <c r="M424" s="2">
        <f t="shared" si="282"/>
        <v>2</v>
      </c>
      <c r="N424" s="2">
        <v>10</v>
      </c>
      <c r="O424" s="2">
        <f t="shared" si="297"/>
        <v>620.30999999999995</v>
      </c>
      <c r="P424" s="2">
        <f t="shared" si="297"/>
        <v>31.64</v>
      </c>
      <c r="Q424" s="2">
        <f t="shared" si="297"/>
        <v>3540.41</v>
      </c>
      <c r="R424" s="2">
        <f t="shared" si="293"/>
        <v>180.56</v>
      </c>
      <c r="S424" s="2">
        <f t="shared" si="293"/>
        <v>77.540000000000006</v>
      </c>
      <c r="T424" s="2">
        <f t="shared" si="293"/>
        <v>5.82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17">
        <v>555013</v>
      </c>
      <c r="AA424" s="15" t="s">
        <v>774</v>
      </c>
      <c r="AB424" s="15" t="s">
        <v>469</v>
      </c>
      <c r="AC424" s="2">
        <v>5125501</v>
      </c>
      <c r="AD424" s="2">
        <v>0</v>
      </c>
      <c r="AE424" s="2">
        <v>1</v>
      </c>
      <c r="AF424" s="2">
        <f t="shared" si="291"/>
        <v>5065501</v>
      </c>
      <c r="AG424" s="2">
        <v>2</v>
      </c>
      <c r="AH424" s="2"/>
      <c r="AI424">
        <v>1</v>
      </c>
      <c r="AJ424" s="1">
        <f t="shared" si="283"/>
        <v>390.87115895254055</v>
      </c>
      <c r="AK424">
        <v>11</v>
      </c>
      <c r="AL424">
        <f t="shared" si="284"/>
        <v>539.4</v>
      </c>
      <c r="AM424">
        <f t="shared" si="285"/>
        <v>27.509399999999996</v>
      </c>
      <c r="AN424">
        <f t="shared" si="286"/>
        <v>3078.6206896551726</v>
      </c>
      <c r="AO424">
        <f t="shared" si="287"/>
        <v>157.0096551724138</v>
      </c>
      <c r="AP424">
        <f t="shared" si="288"/>
        <v>67.424999999999997</v>
      </c>
      <c r="AQ424">
        <f t="shared" si="289"/>
        <v>5.0568749999999998</v>
      </c>
      <c r="AR424">
        <f t="shared" si="290"/>
        <v>1.5</v>
      </c>
      <c r="AS424">
        <f t="shared" si="298"/>
        <v>2</v>
      </c>
      <c r="AT424">
        <f t="shared" si="299"/>
        <v>6</v>
      </c>
      <c r="AU424">
        <f t="shared" si="292"/>
        <v>5015</v>
      </c>
      <c r="AV424" s="1">
        <v>1</v>
      </c>
      <c r="AW424">
        <v>5</v>
      </c>
      <c r="AX424">
        <v>0.15</v>
      </c>
      <c r="AZ424">
        <v>5</v>
      </c>
      <c r="BA424">
        <v>5</v>
      </c>
      <c r="CG424" t="str">
        <f t="shared" si="294"/>
        <v>DATA_Class_Base28</v>
      </c>
      <c r="CH424" s="3" t="s">
        <v>374</v>
      </c>
    </row>
    <row r="425" spans="1:86" ht="14.25">
      <c r="A425">
        <f t="shared" si="295"/>
        <v>5121200</v>
      </c>
      <c r="B425" s="2" t="s">
        <v>464</v>
      </c>
      <c r="C425" s="48" t="s">
        <v>465</v>
      </c>
      <c r="D425">
        <v>12</v>
      </c>
      <c r="E425">
        <v>2</v>
      </c>
      <c r="F425">
        <v>1</v>
      </c>
      <c r="G425" s="3" t="s">
        <v>466</v>
      </c>
      <c r="H425" s="3" t="s">
        <v>466</v>
      </c>
      <c r="I425" s="2">
        <v>0</v>
      </c>
      <c r="J425" s="8" t="s">
        <v>467</v>
      </c>
      <c r="K425" s="2">
        <f t="shared" si="296"/>
        <v>3</v>
      </c>
      <c r="L425" s="2">
        <f t="shared" si="282"/>
        <v>1.5</v>
      </c>
      <c r="M425" s="2">
        <f t="shared" si="282"/>
        <v>1.2</v>
      </c>
      <c r="N425" s="2">
        <v>10</v>
      </c>
      <c r="O425" s="2">
        <f t="shared" si="297"/>
        <v>359.04</v>
      </c>
      <c r="P425" s="2">
        <f t="shared" si="297"/>
        <v>18.309999999999999</v>
      </c>
      <c r="Q425" s="2">
        <f t="shared" si="297"/>
        <v>6732</v>
      </c>
      <c r="R425" s="2">
        <f t="shared" si="293"/>
        <v>343.33</v>
      </c>
      <c r="S425" s="2">
        <f t="shared" si="293"/>
        <v>143.62</v>
      </c>
      <c r="T425" s="2">
        <f t="shared" si="293"/>
        <v>10.77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17">
        <v>512003</v>
      </c>
      <c r="AA425" s="14" t="s">
        <v>775</v>
      </c>
      <c r="AB425" s="15" t="s">
        <v>469</v>
      </c>
      <c r="AC425" s="2">
        <v>5131200</v>
      </c>
      <c r="AD425" s="2">
        <v>0</v>
      </c>
      <c r="AE425" s="2">
        <v>1</v>
      </c>
      <c r="AF425" s="2">
        <f t="shared" ref="AF425:AF461" si="302">A203</f>
        <v>5061200</v>
      </c>
      <c r="AG425" s="2">
        <v>2</v>
      </c>
      <c r="AI425">
        <v>1</v>
      </c>
      <c r="AJ425" s="1">
        <f t="shared" si="283"/>
        <v>476.75086567718495</v>
      </c>
      <c r="AK425">
        <v>12</v>
      </c>
      <c r="AL425">
        <f t="shared" si="284"/>
        <v>326.40000000000003</v>
      </c>
      <c r="AM425">
        <f t="shared" si="285"/>
        <v>16.6464</v>
      </c>
      <c r="AN425">
        <f t="shared" si="286"/>
        <v>6120</v>
      </c>
      <c r="AO425">
        <f t="shared" si="287"/>
        <v>312.12</v>
      </c>
      <c r="AP425">
        <f t="shared" si="288"/>
        <v>130.56</v>
      </c>
      <c r="AQ425">
        <f t="shared" si="289"/>
        <v>9.7919999999999998</v>
      </c>
      <c r="AR425">
        <f t="shared" si="290"/>
        <v>1.5</v>
      </c>
      <c r="AS425">
        <f t="shared" si="298"/>
        <v>1.2</v>
      </c>
      <c r="AT425">
        <f t="shared" si="299"/>
        <v>3</v>
      </c>
      <c r="AU425">
        <f t="shared" si="292"/>
        <v>2001</v>
      </c>
      <c r="AV425" s="1">
        <v>0</v>
      </c>
      <c r="AW425">
        <v>5</v>
      </c>
      <c r="AX425">
        <v>0.1</v>
      </c>
      <c r="AZ425">
        <v>2</v>
      </c>
      <c r="BA425">
        <v>1</v>
      </c>
      <c r="CG425" t="str">
        <f t="shared" si="294"/>
        <v>DATA_Class_Base29</v>
      </c>
      <c r="CH425" s="3" t="s">
        <v>378</v>
      </c>
    </row>
    <row r="426" spans="1:86" ht="14.25">
      <c r="A426" s="49">
        <f t="shared" si="295"/>
        <v>5121201</v>
      </c>
      <c r="B426" s="2" t="s">
        <v>470</v>
      </c>
      <c r="C426" s="48" t="s">
        <v>471</v>
      </c>
      <c r="D426">
        <v>12</v>
      </c>
      <c r="E426">
        <v>2</v>
      </c>
      <c r="F426">
        <v>1</v>
      </c>
      <c r="G426" s="3" t="s">
        <v>472</v>
      </c>
      <c r="H426" s="3" t="s">
        <v>472</v>
      </c>
      <c r="I426" s="2">
        <v>0</v>
      </c>
      <c r="J426" s="8" t="s">
        <v>298</v>
      </c>
      <c r="K426" s="2">
        <f t="shared" si="296"/>
        <v>3</v>
      </c>
      <c r="L426" s="2">
        <f t="shared" si="282"/>
        <v>1.6</v>
      </c>
      <c r="M426" s="2">
        <f t="shared" si="282"/>
        <v>1.8</v>
      </c>
      <c r="N426" s="2">
        <v>10</v>
      </c>
      <c r="O426" s="2">
        <f t="shared" si="297"/>
        <v>313.33999999999997</v>
      </c>
      <c r="P426" s="2">
        <f t="shared" si="297"/>
        <v>15.98</v>
      </c>
      <c r="Q426" s="2">
        <f t="shared" si="297"/>
        <v>9792</v>
      </c>
      <c r="R426" s="2">
        <f t="shared" si="293"/>
        <v>499.39</v>
      </c>
      <c r="S426" s="2">
        <f t="shared" si="293"/>
        <v>184.32</v>
      </c>
      <c r="T426" s="2">
        <f t="shared" si="293"/>
        <v>13.82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17">
        <v>512013</v>
      </c>
      <c r="AA426" s="14" t="s">
        <v>776</v>
      </c>
      <c r="AB426" s="15" t="s">
        <v>469</v>
      </c>
      <c r="AC426" s="2">
        <v>5131201</v>
      </c>
      <c r="AD426" s="2">
        <v>0</v>
      </c>
      <c r="AE426" s="2">
        <v>1</v>
      </c>
      <c r="AF426" s="2">
        <f t="shared" si="302"/>
        <v>5061201</v>
      </c>
      <c r="AG426" s="2">
        <v>2</v>
      </c>
      <c r="AI426">
        <v>1</v>
      </c>
      <c r="AJ426" s="1">
        <f t="shared" si="283"/>
        <v>479.19315285723741</v>
      </c>
      <c r="AK426">
        <v>12</v>
      </c>
      <c r="AL426">
        <f t="shared" si="284"/>
        <v>261.12</v>
      </c>
      <c r="AM426">
        <f t="shared" si="285"/>
        <v>13.317119999999999</v>
      </c>
      <c r="AN426">
        <f t="shared" si="286"/>
        <v>8160</v>
      </c>
      <c r="AO426">
        <f t="shared" si="287"/>
        <v>416.15999999999997</v>
      </c>
      <c r="AP426">
        <f t="shared" si="288"/>
        <v>153.6</v>
      </c>
      <c r="AQ426">
        <f t="shared" si="289"/>
        <v>11.52</v>
      </c>
      <c r="AR426">
        <f t="shared" si="290"/>
        <v>1.6</v>
      </c>
      <c r="AS426">
        <f t="shared" si="298"/>
        <v>1.8</v>
      </c>
      <c r="AT426">
        <f t="shared" si="299"/>
        <v>3</v>
      </c>
      <c r="AU426">
        <f t="shared" si="292"/>
        <v>2011</v>
      </c>
      <c r="AV426" s="1">
        <v>1</v>
      </c>
      <c r="AW426">
        <v>5</v>
      </c>
      <c r="AX426">
        <v>0.2</v>
      </c>
      <c r="AZ426">
        <v>2</v>
      </c>
      <c r="BA426">
        <v>1</v>
      </c>
      <c r="CG426" t="str">
        <f t="shared" si="294"/>
        <v>DATA_Class_Base30</v>
      </c>
      <c r="CH426" s="3" t="s">
        <v>381</v>
      </c>
    </row>
    <row r="427" spans="1:86" ht="14.25">
      <c r="A427">
        <f t="shared" si="295"/>
        <v>5121202</v>
      </c>
      <c r="B427" s="2" t="s">
        <v>474</v>
      </c>
      <c r="C427" s="48" t="s">
        <v>475</v>
      </c>
      <c r="D427">
        <v>12</v>
      </c>
      <c r="E427">
        <v>2</v>
      </c>
      <c r="F427">
        <v>1</v>
      </c>
      <c r="G427" s="3" t="s">
        <v>476</v>
      </c>
      <c r="H427" s="3" t="s">
        <v>476</v>
      </c>
      <c r="I427">
        <v>0</v>
      </c>
      <c r="J427" s="8" t="s">
        <v>477</v>
      </c>
      <c r="K427" s="2">
        <f t="shared" si="296"/>
        <v>3</v>
      </c>
      <c r="L427" s="2">
        <f t="shared" si="282"/>
        <v>1.6</v>
      </c>
      <c r="M427" s="2">
        <f t="shared" si="282"/>
        <v>2</v>
      </c>
      <c r="N427" s="2">
        <v>10</v>
      </c>
      <c r="O427" s="2">
        <f t="shared" si="297"/>
        <v>382.98</v>
      </c>
      <c r="P427" s="2">
        <f t="shared" si="297"/>
        <v>19.53</v>
      </c>
      <c r="Q427" s="2">
        <f t="shared" si="297"/>
        <v>6732</v>
      </c>
      <c r="R427" s="2">
        <f t="shared" si="293"/>
        <v>343.33</v>
      </c>
      <c r="S427" s="2">
        <f t="shared" si="293"/>
        <v>141.84</v>
      </c>
      <c r="T427" s="2">
        <f t="shared" si="293"/>
        <v>10.64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17">
        <v>512023</v>
      </c>
      <c r="AA427" s="14" t="s">
        <v>777</v>
      </c>
      <c r="AB427" s="15" t="s">
        <v>469</v>
      </c>
      <c r="AC427" s="2">
        <v>5131202</v>
      </c>
      <c r="AD427" s="2">
        <v>0</v>
      </c>
      <c r="AE427" s="2">
        <v>1</v>
      </c>
      <c r="AF427" s="2">
        <f t="shared" si="302"/>
        <v>5061202</v>
      </c>
      <c r="AG427" s="2">
        <v>2</v>
      </c>
      <c r="AI427">
        <v>1</v>
      </c>
      <c r="AJ427" s="1">
        <f t="shared" si="283"/>
        <v>476.58093748348898</v>
      </c>
      <c r="AK427">
        <v>12</v>
      </c>
      <c r="AL427">
        <f t="shared" si="284"/>
        <v>348.16000000000008</v>
      </c>
      <c r="AM427">
        <f t="shared" si="285"/>
        <v>17.756160000000001</v>
      </c>
      <c r="AN427">
        <f t="shared" si="286"/>
        <v>6120</v>
      </c>
      <c r="AO427">
        <f t="shared" si="287"/>
        <v>312.12</v>
      </c>
      <c r="AP427">
        <f t="shared" si="288"/>
        <v>128.94814814814816</v>
      </c>
      <c r="AQ427">
        <f t="shared" si="289"/>
        <v>9.6711111111111112</v>
      </c>
      <c r="AR427">
        <f t="shared" si="290"/>
        <v>1.6</v>
      </c>
      <c r="AS427">
        <f t="shared" si="298"/>
        <v>2</v>
      </c>
      <c r="AT427">
        <f t="shared" si="299"/>
        <v>3</v>
      </c>
      <c r="AU427">
        <f t="shared" si="292"/>
        <v>2021</v>
      </c>
      <c r="AV427" s="1">
        <v>2</v>
      </c>
      <c r="AW427">
        <v>5</v>
      </c>
      <c r="AX427">
        <v>0.1</v>
      </c>
      <c r="AZ427">
        <v>2</v>
      </c>
      <c r="BA427">
        <v>1</v>
      </c>
      <c r="CG427" t="str">
        <f t="shared" si="294"/>
        <v>DATA_Class_Base31</v>
      </c>
      <c r="CH427" s="3" t="s">
        <v>384</v>
      </c>
    </row>
    <row r="428" spans="1:86" ht="14.25">
      <c r="A428">
        <f t="shared" si="295"/>
        <v>5121301</v>
      </c>
      <c r="B428" s="2" t="s">
        <v>479</v>
      </c>
      <c r="C428" s="48" t="s">
        <v>480</v>
      </c>
      <c r="D428">
        <v>12</v>
      </c>
      <c r="E428">
        <v>3</v>
      </c>
      <c r="F428">
        <v>1</v>
      </c>
      <c r="G428" s="3" t="s">
        <v>481</v>
      </c>
      <c r="H428" s="3" t="s">
        <v>481</v>
      </c>
      <c r="I428" s="2">
        <v>0</v>
      </c>
      <c r="J428" s="8" t="s">
        <v>482</v>
      </c>
      <c r="K428" s="2">
        <f t="shared" si="296"/>
        <v>3</v>
      </c>
      <c r="L428" s="2">
        <f t="shared" si="282"/>
        <v>1.3</v>
      </c>
      <c r="M428" s="2">
        <f t="shared" si="282"/>
        <v>2</v>
      </c>
      <c r="N428" s="2">
        <v>10</v>
      </c>
      <c r="O428" s="2">
        <f t="shared" si="297"/>
        <v>427.86</v>
      </c>
      <c r="P428" s="2">
        <f t="shared" si="297"/>
        <v>21.82</v>
      </c>
      <c r="Q428" s="2">
        <f t="shared" si="297"/>
        <v>4896</v>
      </c>
      <c r="R428" s="2">
        <f t="shared" si="293"/>
        <v>249.7</v>
      </c>
      <c r="S428" s="2">
        <f t="shared" si="293"/>
        <v>122.24</v>
      </c>
      <c r="T428" s="2">
        <f t="shared" si="293"/>
        <v>9.17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17">
        <v>513013</v>
      </c>
      <c r="AA428" s="14" t="s">
        <v>778</v>
      </c>
      <c r="AB428" s="15" t="s">
        <v>469</v>
      </c>
      <c r="AC428" s="2">
        <v>5131301</v>
      </c>
      <c r="AD428" s="2">
        <v>0</v>
      </c>
      <c r="AE428" s="2">
        <v>1</v>
      </c>
      <c r="AF428" s="2">
        <f t="shared" si="302"/>
        <v>5061301</v>
      </c>
      <c r="AG428" s="2">
        <v>2</v>
      </c>
      <c r="AI428">
        <v>1</v>
      </c>
      <c r="AJ428" s="1">
        <f t="shared" si="283"/>
        <v>474.71066209517591</v>
      </c>
      <c r="AK428">
        <v>12</v>
      </c>
      <c r="AL428">
        <f t="shared" si="284"/>
        <v>388.96000000000004</v>
      </c>
      <c r="AM428">
        <f t="shared" si="285"/>
        <v>19.836960000000001</v>
      </c>
      <c r="AN428">
        <f t="shared" si="286"/>
        <v>4450.9090909090901</v>
      </c>
      <c r="AO428">
        <f t="shared" si="287"/>
        <v>226.99636363636358</v>
      </c>
      <c r="AP428">
        <f t="shared" si="288"/>
        <v>111.13142857142859</v>
      </c>
      <c r="AQ428">
        <f t="shared" si="289"/>
        <v>8.3348571428571443</v>
      </c>
      <c r="AR428">
        <f t="shared" si="290"/>
        <v>1.3</v>
      </c>
      <c r="AS428">
        <f t="shared" si="298"/>
        <v>2</v>
      </c>
      <c r="AT428">
        <f t="shared" si="299"/>
        <v>3</v>
      </c>
      <c r="AU428">
        <f t="shared" si="292"/>
        <v>3011</v>
      </c>
      <c r="AV428" s="1">
        <v>1</v>
      </c>
      <c r="AW428">
        <v>5</v>
      </c>
      <c r="AX428">
        <v>0.1</v>
      </c>
      <c r="AZ428">
        <v>3</v>
      </c>
      <c r="BA428">
        <v>1</v>
      </c>
      <c r="CG428" t="str">
        <f t="shared" si="294"/>
        <v>DATA_Class_Base32</v>
      </c>
      <c r="CH428" s="3" t="s">
        <v>388</v>
      </c>
    </row>
    <row r="429" spans="1:86" ht="14.25">
      <c r="A429">
        <f t="shared" si="295"/>
        <v>5121401</v>
      </c>
      <c r="B429" s="2" t="s">
        <v>484</v>
      </c>
      <c r="C429" s="48" t="s">
        <v>485</v>
      </c>
      <c r="D429">
        <v>12</v>
      </c>
      <c r="E429">
        <v>4</v>
      </c>
      <c r="F429">
        <v>1</v>
      </c>
      <c r="G429" s="3" t="s">
        <v>486</v>
      </c>
      <c r="H429" s="3" t="s">
        <v>486</v>
      </c>
      <c r="I429" s="2">
        <v>0</v>
      </c>
      <c r="J429" s="2" t="s">
        <v>161</v>
      </c>
      <c r="K429" s="2">
        <f t="shared" si="296"/>
        <v>6</v>
      </c>
      <c r="L429" s="2">
        <f t="shared" ref="L429:M492" si="303">FLOOR(AR429/1,0.01)</f>
        <v>1.6</v>
      </c>
      <c r="M429" s="2">
        <f t="shared" si="303"/>
        <v>2</v>
      </c>
      <c r="N429" s="2">
        <v>10</v>
      </c>
      <c r="O429" s="2">
        <f t="shared" si="297"/>
        <v>526.59</v>
      </c>
      <c r="P429" s="2">
        <f t="shared" si="297"/>
        <v>26.86</v>
      </c>
      <c r="Q429" s="2">
        <f t="shared" si="297"/>
        <v>4896</v>
      </c>
      <c r="R429" s="2">
        <f t="shared" si="293"/>
        <v>249.7</v>
      </c>
      <c r="S429" s="2">
        <f t="shared" si="293"/>
        <v>105.32</v>
      </c>
      <c r="T429" s="2">
        <f t="shared" si="293"/>
        <v>7.9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17">
        <v>514013</v>
      </c>
      <c r="AA429" s="14" t="s">
        <v>779</v>
      </c>
      <c r="AB429" s="15" t="s">
        <v>469</v>
      </c>
      <c r="AC429" s="2">
        <v>5131401</v>
      </c>
      <c r="AD429" s="2">
        <v>0</v>
      </c>
      <c r="AE429" s="2">
        <v>1</v>
      </c>
      <c r="AF429" s="2">
        <f t="shared" si="302"/>
        <v>5061401</v>
      </c>
      <c r="AG429" s="2">
        <v>2</v>
      </c>
      <c r="AI429">
        <v>1</v>
      </c>
      <c r="AJ429" s="1">
        <f t="shared" si="283"/>
        <v>473.10717035474556</v>
      </c>
      <c r="AK429">
        <v>12</v>
      </c>
      <c r="AL429">
        <f t="shared" si="284"/>
        <v>478.72000000000014</v>
      </c>
      <c r="AM429">
        <f t="shared" si="285"/>
        <v>24.414720000000006</v>
      </c>
      <c r="AN429">
        <f t="shared" si="286"/>
        <v>4450.9090909090901</v>
      </c>
      <c r="AO429">
        <f t="shared" si="287"/>
        <v>226.99636363636358</v>
      </c>
      <c r="AP429">
        <f t="shared" si="288"/>
        <v>95.744000000000028</v>
      </c>
      <c r="AQ429">
        <f t="shared" si="289"/>
        <v>7.1808000000000023</v>
      </c>
      <c r="AR429">
        <f t="shared" si="290"/>
        <v>1.6</v>
      </c>
      <c r="AS429">
        <f t="shared" si="298"/>
        <v>2</v>
      </c>
      <c r="AT429">
        <f t="shared" si="299"/>
        <v>6</v>
      </c>
      <c r="AU429">
        <f t="shared" si="292"/>
        <v>4011</v>
      </c>
      <c r="AV429" s="1">
        <v>1</v>
      </c>
      <c r="AW429">
        <v>5</v>
      </c>
      <c r="AX429">
        <v>0.1</v>
      </c>
      <c r="AZ429">
        <v>4</v>
      </c>
      <c r="BA429">
        <v>1</v>
      </c>
      <c r="CG429" t="str">
        <f t="shared" si="294"/>
        <v>DATA_Class_Base33</v>
      </c>
      <c r="CH429" s="3" t="s">
        <v>391</v>
      </c>
    </row>
    <row r="430" spans="1:86" ht="14.25">
      <c r="A430" s="49">
        <f t="shared" si="295"/>
        <v>5121402</v>
      </c>
      <c r="B430" s="2" t="s">
        <v>488</v>
      </c>
      <c r="C430" s="48" t="s">
        <v>489</v>
      </c>
      <c r="D430">
        <v>12</v>
      </c>
      <c r="E430">
        <v>4</v>
      </c>
      <c r="F430">
        <v>1</v>
      </c>
      <c r="G430" s="3" t="s">
        <v>490</v>
      </c>
      <c r="H430" s="3" t="s">
        <v>490</v>
      </c>
      <c r="I430">
        <v>0</v>
      </c>
      <c r="J430" s="8" t="s">
        <v>161</v>
      </c>
      <c r="K430" s="2">
        <f t="shared" si="296"/>
        <v>6</v>
      </c>
      <c r="L430" s="2">
        <f t="shared" si="303"/>
        <v>1.5</v>
      </c>
      <c r="M430" s="2">
        <f t="shared" si="303"/>
        <v>1.5</v>
      </c>
      <c r="N430" s="2">
        <v>10</v>
      </c>
      <c r="O430" s="2">
        <f t="shared" si="297"/>
        <v>563.04</v>
      </c>
      <c r="P430" s="2">
        <f t="shared" si="297"/>
        <v>28.72</v>
      </c>
      <c r="Q430" s="2">
        <f t="shared" si="297"/>
        <v>4692</v>
      </c>
      <c r="R430" s="2">
        <f t="shared" si="293"/>
        <v>239.29</v>
      </c>
      <c r="S430" s="2">
        <f t="shared" si="293"/>
        <v>93.84</v>
      </c>
      <c r="T430" s="2">
        <f t="shared" si="293"/>
        <v>7.04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17">
        <v>514023</v>
      </c>
      <c r="AA430" s="14" t="s">
        <v>780</v>
      </c>
      <c r="AB430" s="15" t="s">
        <v>469</v>
      </c>
      <c r="AC430" s="2">
        <v>5131402</v>
      </c>
      <c r="AD430" s="2">
        <v>0</v>
      </c>
      <c r="AE430" s="2">
        <v>1</v>
      </c>
      <c r="AF430" s="2">
        <f t="shared" si="302"/>
        <v>5061402</v>
      </c>
      <c r="AG430" s="2">
        <v>2</v>
      </c>
      <c r="AI430">
        <v>1</v>
      </c>
      <c r="AJ430" s="1">
        <f t="shared" si="283"/>
        <v>471.64277909369974</v>
      </c>
      <c r="AK430">
        <v>12</v>
      </c>
      <c r="AL430">
        <f t="shared" si="284"/>
        <v>489.59999999999997</v>
      </c>
      <c r="AM430">
        <f t="shared" si="285"/>
        <v>24.969599999999996</v>
      </c>
      <c r="AN430">
        <f t="shared" si="286"/>
        <v>4080</v>
      </c>
      <c r="AO430">
        <f t="shared" si="287"/>
        <v>208.07999999999998</v>
      </c>
      <c r="AP430">
        <f t="shared" si="288"/>
        <v>81.599999999999994</v>
      </c>
      <c r="AQ430">
        <f t="shared" si="289"/>
        <v>6.1199999999999992</v>
      </c>
      <c r="AR430">
        <f t="shared" si="290"/>
        <v>1.5</v>
      </c>
      <c r="AS430">
        <f t="shared" si="298"/>
        <v>1.5</v>
      </c>
      <c r="AT430">
        <f t="shared" si="299"/>
        <v>6</v>
      </c>
      <c r="AU430">
        <f t="shared" si="292"/>
        <v>4021</v>
      </c>
      <c r="AV430" s="1">
        <v>2</v>
      </c>
      <c r="AW430">
        <v>5</v>
      </c>
      <c r="AX430">
        <v>0.15</v>
      </c>
      <c r="AZ430">
        <v>4</v>
      </c>
      <c r="BA430">
        <v>1</v>
      </c>
      <c r="CG430" t="str">
        <f t="shared" si="294"/>
        <v>DATA_Class_Base34</v>
      </c>
      <c r="CH430" s="3" t="s">
        <v>184</v>
      </c>
    </row>
    <row r="431" spans="1:86" ht="14.25">
      <c r="A431">
        <f t="shared" si="295"/>
        <v>5121500</v>
      </c>
      <c r="B431" s="2" t="s">
        <v>492</v>
      </c>
      <c r="C431" s="48" t="s">
        <v>493</v>
      </c>
      <c r="D431">
        <v>12</v>
      </c>
      <c r="E431">
        <v>5</v>
      </c>
      <c r="F431">
        <v>1</v>
      </c>
      <c r="G431" s="3" t="s">
        <v>494</v>
      </c>
      <c r="H431" s="3" t="s">
        <v>494</v>
      </c>
      <c r="I431">
        <v>0</v>
      </c>
      <c r="J431" s="2" t="s">
        <v>303</v>
      </c>
      <c r="K431" s="2">
        <f t="shared" si="296"/>
        <v>6</v>
      </c>
      <c r="L431" s="2">
        <f t="shared" si="303"/>
        <v>1.5</v>
      </c>
      <c r="M431" s="2">
        <f t="shared" si="303"/>
        <v>1.5</v>
      </c>
      <c r="N431" s="2">
        <v>10</v>
      </c>
      <c r="O431" s="2">
        <f t="shared" si="297"/>
        <v>685.44</v>
      </c>
      <c r="P431" s="2">
        <f t="shared" si="297"/>
        <v>34.96</v>
      </c>
      <c r="Q431" s="2">
        <f t="shared" si="297"/>
        <v>4196.57</v>
      </c>
      <c r="R431" s="2">
        <f t="shared" si="293"/>
        <v>214.03</v>
      </c>
      <c r="S431" s="2">
        <f t="shared" si="293"/>
        <v>97.92</v>
      </c>
      <c r="T431" s="2">
        <f t="shared" si="293"/>
        <v>7.34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17">
        <v>515003</v>
      </c>
      <c r="AA431" s="14" t="s">
        <v>781</v>
      </c>
      <c r="AB431" s="15" t="s">
        <v>469</v>
      </c>
      <c r="AC431" s="2">
        <v>5131500</v>
      </c>
      <c r="AD431" s="2">
        <v>0</v>
      </c>
      <c r="AE431" s="2">
        <v>1</v>
      </c>
      <c r="AF431" s="2">
        <f t="shared" si="302"/>
        <v>5061500</v>
      </c>
      <c r="AG431" s="2">
        <v>2</v>
      </c>
      <c r="AI431">
        <v>1</v>
      </c>
      <c r="AJ431" s="1">
        <f t="shared" si="283"/>
        <v>471.64277909369986</v>
      </c>
      <c r="AK431">
        <v>12</v>
      </c>
      <c r="AL431">
        <f t="shared" si="284"/>
        <v>571.19999999999993</v>
      </c>
      <c r="AM431">
        <f t="shared" si="285"/>
        <v>29.131199999999996</v>
      </c>
      <c r="AN431">
        <f t="shared" si="286"/>
        <v>3497.1428571428573</v>
      </c>
      <c r="AO431">
        <f t="shared" si="287"/>
        <v>178.35428571428571</v>
      </c>
      <c r="AP431">
        <f t="shared" si="288"/>
        <v>81.599999999999994</v>
      </c>
      <c r="AQ431">
        <f t="shared" si="289"/>
        <v>6.1199999999999992</v>
      </c>
      <c r="AR431">
        <f t="shared" si="290"/>
        <v>1.5</v>
      </c>
      <c r="AS431">
        <f t="shared" si="298"/>
        <v>1.5</v>
      </c>
      <c r="AT431">
        <f t="shared" si="299"/>
        <v>6</v>
      </c>
      <c r="AU431">
        <f t="shared" si="292"/>
        <v>5001</v>
      </c>
      <c r="AV431" s="1">
        <v>0</v>
      </c>
      <c r="AW431">
        <v>5</v>
      </c>
      <c r="AX431">
        <v>0.2</v>
      </c>
      <c r="AZ431">
        <v>5</v>
      </c>
      <c r="BA431">
        <v>1</v>
      </c>
      <c r="CG431" t="str">
        <f t="shared" si="294"/>
        <v>DATA_Class_Base35</v>
      </c>
      <c r="CH431" s="3" t="s">
        <v>195</v>
      </c>
    </row>
    <row r="432" spans="1:86" ht="14.25">
      <c r="A432">
        <f t="shared" si="295"/>
        <v>5121502</v>
      </c>
      <c r="B432" s="2" t="s">
        <v>496</v>
      </c>
      <c r="C432" s="48" t="s">
        <v>497</v>
      </c>
      <c r="D432">
        <v>12</v>
      </c>
      <c r="E432">
        <v>5</v>
      </c>
      <c r="F432">
        <v>1</v>
      </c>
      <c r="G432" s="3" t="s">
        <v>498</v>
      </c>
      <c r="H432" s="3" t="s">
        <v>498</v>
      </c>
      <c r="I432" s="2">
        <v>0</v>
      </c>
      <c r="J432" s="8" t="s">
        <v>352</v>
      </c>
      <c r="K432" s="2">
        <f t="shared" si="296"/>
        <v>6</v>
      </c>
      <c r="L432" s="2">
        <f t="shared" si="303"/>
        <v>1.4000000000000001</v>
      </c>
      <c r="M432" s="2">
        <f t="shared" si="303"/>
        <v>2</v>
      </c>
      <c r="N432" s="2">
        <v>10</v>
      </c>
      <c r="O432" s="2">
        <f t="shared" si="297"/>
        <v>569.29999999999995</v>
      </c>
      <c r="P432" s="2">
        <f t="shared" si="297"/>
        <v>29.03</v>
      </c>
      <c r="Q432" s="2">
        <f t="shared" si="297"/>
        <v>4331.08</v>
      </c>
      <c r="R432" s="2">
        <f t="shared" si="293"/>
        <v>220.88</v>
      </c>
      <c r="S432" s="2">
        <f t="shared" si="293"/>
        <v>87.58</v>
      </c>
      <c r="T432" s="2">
        <f t="shared" si="293"/>
        <v>6.57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17">
        <v>515023</v>
      </c>
      <c r="AA432" s="14" t="s">
        <v>782</v>
      </c>
      <c r="AB432" s="15" t="s">
        <v>469</v>
      </c>
      <c r="AC432" s="2">
        <v>5131502</v>
      </c>
      <c r="AD432" s="2">
        <v>0</v>
      </c>
      <c r="AE432" s="2">
        <v>1</v>
      </c>
      <c r="AF432" s="2">
        <f t="shared" si="302"/>
        <v>5061502</v>
      </c>
      <c r="AG432" s="2">
        <v>2</v>
      </c>
      <c r="AI432">
        <v>1</v>
      </c>
      <c r="AJ432" s="1">
        <f t="shared" si="283"/>
        <v>471.08196266677061</v>
      </c>
      <c r="AK432">
        <v>12</v>
      </c>
      <c r="AL432">
        <f t="shared" si="284"/>
        <v>495.03999999999985</v>
      </c>
      <c r="AM432">
        <f t="shared" si="285"/>
        <v>25.247039999999991</v>
      </c>
      <c r="AN432">
        <f t="shared" si="286"/>
        <v>3766.1538461538457</v>
      </c>
      <c r="AO432">
        <f t="shared" si="287"/>
        <v>192.07384615384612</v>
      </c>
      <c r="AP432">
        <f t="shared" si="288"/>
        <v>76.159999999999982</v>
      </c>
      <c r="AQ432">
        <f t="shared" si="289"/>
        <v>5.7119999999999989</v>
      </c>
      <c r="AR432">
        <f t="shared" si="290"/>
        <v>1.4</v>
      </c>
      <c r="AS432">
        <f t="shared" si="298"/>
        <v>2</v>
      </c>
      <c r="AT432">
        <f t="shared" si="299"/>
        <v>6</v>
      </c>
      <c r="AU432">
        <f t="shared" si="292"/>
        <v>5021</v>
      </c>
      <c r="AV432" s="1">
        <v>2</v>
      </c>
      <c r="AW432">
        <v>5</v>
      </c>
      <c r="AX432">
        <v>0.15</v>
      </c>
      <c r="AZ432">
        <v>5</v>
      </c>
      <c r="BA432">
        <v>1</v>
      </c>
      <c r="CG432" t="str">
        <f t="shared" si="294"/>
        <v>DATA_Class_Base36</v>
      </c>
      <c r="CH432" s="3" t="s">
        <v>201</v>
      </c>
    </row>
    <row r="433" spans="1:86" ht="14.25" customHeight="1">
      <c r="A433">
        <f t="shared" si="295"/>
        <v>5121601</v>
      </c>
      <c r="B433" s="2" t="s">
        <v>500</v>
      </c>
      <c r="C433" s="48" t="s">
        <v>501</v>
      </c>
      <c r="D433">
        <v>12</v>
      </c>
      <c r="E433">
        <v>6</v>
      </c>
      <c r="F433">
        <v>1</v>
      </c>
      <c r="G433" s="3" t="s">
        <v>502</v>
      </c>
      <c r="H433" s="3" t="s">
        <v>502</v>
      </c>
      <c r="I433">
        <v>0</v>
      </c>
      <c r="J433" s="2" t="s">
        <v>309</v>
      </c>
      <c r="K433" s="2">
        <f t="shared" si="296"/>
        <v>6</v>
      </c>
      <c r="L433" s="2">
        <f t="shared" si="303"/>
        <v>1.5</v>
      </c>
      <c r="M433" s="2">
        <f t="shared" si="303"/>
        <v>2</v>
      </c>
      <c r="N433" s="2">
        <v>10</v>
      </c>
      <c r="O433" s="2">
        <f t="shared" si="297"/>
        <v>469.2</v>
      </c>
      <c r="P433" s="2">
        <f t="shared" si="297"/>
        <v>23.93</v>
      </c>
      <c r="Q433" s="2">
        <f t="shared" si="297"/>
        <v>5630.4</v>
      </c>
      <c r="R433" s="2">
        <f t="shared" si="293"/>
        <v>287.14999999999998</v>
      </c>
      <c r="S433" s="2">
        <f t="shared" si="293"/>
        <v>104.27</v>
      </c>
      <c r="T433" s="2">
        <f t="shared" si="293"/>
        <v>7.82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17">
        <v>516013</v>
      </c>
      <c r="AA433" s="14" t="s">
        <v>783</v>
      </c>
      <c r="AB433" s="15" t="s">
        <v>469</v>
      </c>
      <c r="AC433" s="2">
        <v>5131601</v>
      </c>
      <c r="AD433" s="2">
        <v>0</v>
      </c>
      <c r="AE433" s="2">
        <v>1</v>
      </c>
      <c r="AF433" s="2">
        <f t="shared" si="302"/>
        <v>5061601</v>
      </c>
      <c r="AG433" s="2">
        <v>2</v>
      </c>
      <c r="AI433">
        <v>1</v>
      </c>
      <c r="AJ433" s="1">
        <f t="shared" si="283"/>
        <v>472.58044634469258</v>
      </c>
      <c r="AK433">
        <v>12</v>
      </c>
      <c r="AL433">
        <f t="shared" si="284"/>
        <v>408</v>
      </c>
      <c r="AM433">
        <f t="shared" si="285"/>
        <v>20.808</v>
      </c>
      <c r="AN433">
        <f t="shared" si="286"/>
        <v>4896</v>
      </c>
      <c r="AO433">
        <f t="shared" si="287"/>
        <v>249.696</v>
      </c>
      <c r="AP433">
        <f t="shared" si="288"/>
        <v>90.666666666666671</v>
      </c>
      <c r="AQ433">
        <f t="shared" si="289"/>
        <v>6.8</v>
      </c>
      <c r="AR433">
        <f t="shared" si="290"/>
        <v>1.5</v>
      </c>
      <c r="AS433">
        <f t="shared" si="298"/>
        <v>2</v>
      </c>
      <c r="AT433">
        <f t="shared" si="299"/>
        <v>6</v>
      </c>
      <c r="AU433">
        <f t="shared" si="292"/>
        <v>6011</v>
      </c>
      <c r="AV433" s="1">
        <v>1</v>
      </c>
      <c r="AW433">
        <v>5</v>
      </c>
      <c r="AX433">
        <v>0.15</v>
      </c>
      <c r="AZ433">
        <v>6</v>
      </c>
      <c r="BA433">
        <v>1</v>
      </c>
      <c r="CG433" t="str">
        <f t="shared" si="294"/>
        <v>DATA_Class_Base28</v>
      </c>
      <c r="CH433" s="3" t="s">
        <v>374</v>
      </c>
    </row>
    <row r="434" spans="1:86" ht="14.25">
      <c r="A434">
        <f t="shared" si="295"/>
        <v>5122200</v>
      </c>
      <c r="B434" s="2" t="s">
        <v>504</v>
      </c>
      <c r="C434" s="48" t="s">
        <v>505</v>
      </c>
      <c r="D434">
        <v>12</v>
      </c>
      <c r="E434">
        <v>2</v>
      </c>
      <c r="F434">
        <v>2</v>
      </c>
      <c r="G434" s="3" t="s">
        <v>506</v>
      </c>
      <c r="H434" s="3" t="s">
        <v>506</v>
      </c>
      <c r="I434">
        <v>0</v>
      </c>
      <c r="J434" s="8" t="s">
        <v>507</v>
      </c>
      <c r="K434" s="2">
        <f t="shared" si="296"/>
        <v>3</v>
      </c>
      <c r="L434" s="2">
        <f t="shared" si="303"/>
        <v>1.5</v>
      </c>
      <c r="M434" s="2">
        <f t="shared" si="303"/>
        <v>1.2</v>
      </c>
      <c r="N434" s="2">
        <v>10</v>
      </c>
      <c r="O434" s="2">
        <f t="shared" si="297"/>
        <v>469.2</v>
      </c>
      <c r="P434" s="2">
        <f t="shared" si="297"/>
        <v>23.93</v>
      </c>
      <c r="Q434" s="2">
        <f t="shared" si="297"/>
        <v>5630.4</v>
      </c>
      <c r="R434" s="2">
        <f t="shared" si="293"/>
        <v>287.14999999999998</v>
      </c>
      <c r="S434" s="2">
        <f t="shared" si="293"/>
        <v>156.4</v>
      </c>
      <c r="T434" s="2">
        <f t="shared" si="293"/>
        <v>11.73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17">
        <v>522003</v>
      </c>
      <c r="AA434" s="14" t="s">
        <v>784</v>
      </c>
      <c r="AB434" s="15" t="s">
        <v>469</v>
      </c>
      <c r="AC434" s="2">
        <v>5132200</v>
      </c>
      <c r="AD434" s="2">
        <v>0</v>
      </c>
      <c r="AE434" s="2">
        <v>1</v>
      </c>
      <c r="AF434" s="2">
        <f t="shared" si="302"/>
        <v>5062200</v>
      </c>
      <c r="AG434" s="2">
        <v>2</v>
      </c>
      <c r="AI434">
        <v>1</v>
      </c>
      <c r="AJ434" s="1">
        <f t="shared" ref="AJ434:AJ497" si="304">(AN434+AO434*AI434)*(AL434+AM434*AI434)/AR434*(0.9)*(1+0.5*0.1)*1/1/(1-(AP434+AQ434*AI434)*0.0002)/3000</f>
        <v>477.32526904413032</v>
      </c>
      <c r="AK434">
        <v>12</v>
      </c>
      <c r="AL434">
        <f t="shared" si="284"/>
        <v>408</v>
      </c>
      <c r="AM434">
        <f t="shared" si="285"/>
        <v>20.808</v>
      </c>
      <c r="AN434">
        <f t="shared" si="286"/>
        <v>4896</v>
      </c>
      <c r="AO434">
        <f t="shared" si="287"/>
        <v>249.696</v>
      </c>
      <c r="AP434">
        <f t="shared" si="288"/>
        <v>136</v>
      </c>
      <c r="AQ434">
        <f t="shared" si="289"/>
        <v>10.199999999999999</v>
      </c>
      <c r="AR434">
        <f t="shared" si="290"/>
        <v>1.5</v>
      </c>
      <c r="AS434">
        <f t="shared" si="298"/>
        <v>1.2</v>
      </c>
      <c r="AT434">
        <f t="shared" si="299"/>
        <v>3</v>
      </c>
      <c r="AU434">
        <f t="shared" si="292"/>
        <v>2002</v>
      </c>
      <c r="AV434" s="1">
        <v>0</v>
      </c>
      <c r="AW434">
        <v>5</v>
      </c>
      <c r="AX434">
        <v>0.15</v>
      </c>
      <c r="AZ434">
        <v>2</v>
      </c>
      <c r="BA434">
        <v>2</v>
      </c>
      <c r="CG434" t="str">
        <f t="shared" si="294"/>
        <v>DATA_Class_Base29</v>
      </c>
      <c r="CH434" s="3" t="s">
        <v>378</v>
      </c>
    </row>
    <row r="435" spans="1:86" ht="14.25">
      <c r="A435" s="49">
        <f t="shared" si="295"/>
        <v>5122201</v>
      </c>
      <c r="B435" s="2" t="s">
        <v>509</v>
      </c>
      <c r="C435" s="48" t="s">
        <v>510</v>
      </c>
      <c r="D435">
        <v>12</v>
      </c>
      <c r="E435">
        <v>2</v>
      </c>
      <c r="F435">
        <v>2</v>
      </c>
      <c r="G435" s="3" t="s">
        <v>511</v>
      </c>
      <c r="H435" s="3" t="s">
        <v>511</v>
      </c>
      <c r="I435">
        <v>0</v>
      </c>
      <c r="J435" s="8" t="s">
        <v>512</v>
      </c>
      <c r="K435" s="2">
        <f t="shared" si="296"/>
        <v>3</v>
      </c>
      <c r="L435" s="2">
        <f t="shared" si="303"/>
        <v>1.5</v>
      </c>
      <c r="M435" s="2">
        <f t="shared" si="303"/>
        <v>1.8</v>
      </c>
      <c r="N435" s="2">
        <v>10</v>
      </c>
      <c r="O435" s="2">
        <f t="shared" si="297"/>
        <v>375.36</v>
      </c>
      <c r="P435" s="2">
        <f t="shared" si="297"/>
        <v>19.14</v>
      </c>
      <c r="Q435" s="2">
        <f t="shared" si="297"/>
        <v>7038</v>
      </c>
      <c r="R435" s="2">
        <f t="shared" si="293"/>
        <v>358.94</v>
      </c>
      <c r="S435" s="2">
        <f t="shared" si="293"/>
        <v>163.19999999999999</v>
      </c>
      <c r="T435" s="2">
        <f t="shared" si="293"/>
        <v>12.24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17">
        <v>522013</v>
      </c>
      <c r="AA435" s="14" t="s">
        <v>785</v>
      </c>
      <c r="AB435" s="15" t="s">
        <v>469</v>
      </c>
      <c r="AC435" s="2">
        <v>5132201</v>
      </c>
      <c r="AD435" s="2">
        <v>0</v>
      </c>
      <c r="AE435" s="2">
        <v>1</v>
      </c>
      <c r="AF435" s="2">
        <f t="shared" si="302"/>
        <v>5062201</v>
      </c>
      <c r="AG435" s="2">
        <v>2</v>
      </c>
      <c r="AI435">
        <v>1</v>
      </c>
      <c r="AJ435" s="1">
        <f t="shared" si="304"/>
        <v>477.95119247426891</v>
      </c>
      <c r="AK435">
        <v>12</v>
      </c>
      <c r="AL435">
        <f t="shared" si="284"/>
        <v>326.40000000000003</v>
      </c>
      <c r="AM435">
        <f t="shared" si="285"/>
        <v>16.6464</v>
      </c>
      <c r="AN435">
        <f t="shared" si="286"/>
        <v>6120</v>
      </c>
      <c r="AO435">
        <f t="shared" si="287"/>
        <v>312.12</v>
      </c>
      <c r="AP435">
        <f t="shared" si="288"/>
        <v>141.9130434782609</v>
      </c>
      <c r="AQ435">
        <f t="shared" si="289"/>
        <v>10.643478260869568</v>
      </c>
      <c r="AR435">
        <f t="shared" si="290"/>
        <v>1.5</v>
      </c>
      <c r="AS435">
        <f t="shared" si="298"/>
        <v>1.8</v>
      </c>
      <c r="AT435">
        <f t="shared" si="299"/>
        <v>3</v>
      </c>
      <c r="AU435">
        <f t="shared" si="292"/>
        <v>2012</v>
      </c>
      <c r="AV435" s="1">
        <v>1</v>
      </c>
      <c r="AW435">
        <v>5</v>
      </c>
      <c r="AX435">
        <v>0.15</v>
      </c>
      <c r="AZ435">
        <v>2</v>
      </c>
      <c r="BA435">
        <v>2</v>
      </c>
      <c r="CG435" t="str">
        <f t="shared" si="294"/>
        <v>DATA_Class_Base30</v>
      </c>
      <c r="CH435" s="3" t="s">
        <v>381</v>
      </c>
    </row>
    <row r="436" spans="1:86" ht="14.25">
      <c r="A436">
        <f t="shared" si="295"/>
        <v>5122202</v>
      </c>
      <c r="B436" s="2" t="s">
        <v>514</v>
      </c>
      <c r="C436" s="48" t="s">
        <v>515</v>
      </c>
      <c r="D436">
        <v>12</v>
      </c>
      <c r="E436">
        <v>2</v>
      </c>
      <c r="F436">
        <v>2</v>
      </c>
      <c r="G436" s="3" t="s">
        <v>516</v>
      </c>
      <c r="H436" s="3" t="s">
        <v>516</v>
      </c>
      <c r="I436" s="2">
        <v>0</v>
      </c>
      <c r="J436" s="2" t="s">
        <v>280</v>
      </c>
      <c r="K436" s="2">
        <f t="shared" si="296"/>
        <v>3</v>
      </c>
      <c r="L436" s="2">
        <f t="shared" si="303"/>
        <v>1.6</v>
      </c>
      <c r="M436" s="2">
        <f t="shared" si="303"/>
        <v>2</v>
      </c>
      <c r="N436" s="2">
        <v>10</v>
      </c>
      <c r="O436" s="2">
        <f t="shared" si="297"/>
        <v>550.53</v>
      </c>
      <c r="P436" s="2">
        <f t="shared" si="297"/>
        <v>28.08</v>
      </c>
      <c r="Q436" s="2">
        <f t="shared" si="297"/>
        <v>4683.13</v>
      </c>
      <c r="R436" s="2">
        <f t="shared" si="293"/>
        <v>238.84</v>
      </c>
      <c r="S436" s="2">
        <f t="shared" si="293"/>
        <v>137.63</v>
      </c>
      <c r="T436" s="2">
        <f t="shared" si="293"/>
        <v>10.32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17">
        <v>522023</v>
      </c>
      <c r="AA436" s="14" t="s">
        <v>786</v>
      </c>
      <c r="AB436" s="15" t="s">
        <v>469</v>
      </c>
      <c r="AC436" s="2">
        <v>5132202</v>
      </c>
      <c r="AD436" s="2">
        <v>0</v>
      </c>
      <c r="AE436" s="2">
        <v>1</v>
      </c>
      <c r="AF436" s="2">
        <f t="shared" si="302"/>
        <v>5062202</v>
      </c>
      <c r="AG436" s="2">
        <v>2</v>
      </c>
      <c r="AI436">
        <v>1</v>
      </c>
      <c r="AJ436" s="1">
        <f t="shared" si="304"/>
        <v>476.17784309891528</v>
      </c>
      <c r="AK436">
        <v>12</v>
      </c>
      <c r="AL436">
        <f t="shared" si="284"/>
        <v>500.47999999999996</v>
      </c>
      <c r="AM436">
        <f t="shared" si="285"/>
        <v>25.524479999999997</v>
      </c>
      <c r="AN436">
        <f t="shared" si="286"/>
        <v>4257.3913043478269</v>
      </c>
      <c r="AO436">
        <f t="shared" si="287"/>
        <v>217.12695652173915</v>
      </c>
      <c r="AP436">
        <f t="shared" si="288"/>
        <v>125.11999999999999</v>
      </c>
      <c r="AQ436">
        <f t="shared" si="289"/>
        <v>9.3839999999999986</v>
      </c>
      <c r="AR436">
        <f t="shared" si="290"/>
        <v>1.6</v>
      </c>
      <c r="AS436">
        <f t="shared" si="298"/>
        <v>2</v>
      </c>
      <c r="AT436">
        <f t="shared" si="299"/>
        <v>3</v>
      </c>
      <c r="AU436">
        <f t="shared" si="292"/>
        <v>2022</v>
      </c>
      <c r="AV436" s="1">
        <v>2</v>
      </c>
      <c r="AW436">
        <v>5</v>
      </c>
      <c r="AX436">
        <v>0.1</v>
      </c>
      <c r="AZ436">
        <v>2</v>
      </c>
      <c r="BA436">
        <v>2</v>
      </c>
      <c r="CG436" t="str">
        <f t="shared" si="294"/>
        <v>DATA_Class_Base31</v>
      </c>
      <c r="CH436" s="3" t="s">
        <v>384</v>
      </c>
    </row>
    <row r="437" spans="1:86" ht="14.25">
      <c r="A437">
        <f t="shared" si="295"/>
        <v>5122301</v>
      </c>
      <c r="B437" s="2" t="s">
        <v>518</v>
      </c>
      <c r="C437" s="48" t="s">
        <v>519</v>
      </c>
      <c r="D437">
        <v>12</v>
      </c>
      <c r="E437">
        <v>3</v>
      </c>
      <c r="F437">
        <v>2</v>
      </c>
      <c r="G437" s="3" t="s">
        <v>520</v>
      </c>
      <c r="H437" s="3" t="s">
        <v>520</v>
      </c>
      <c r="I437">
        <v>0</v>
      </c>
      <c r="J437" s="2" t="s">
        <v>285</v>
      </c>
      <c r="K437" s="2">
        <f t="shared" si="296"/>
        <v>3</v>
      </c>
      <c r="L437" s="2">
        <f t="shared" si="303"/>
        <v>1.2</v>
      </c>
      <c r="M437" s="2">
        <f t="shared" si="303"/>
        <v>1.7</v>
      </c>
      <c r="N437" s="2">
        <v>10</v>
      </c>
      <c r="O437" s="2">
        <f t="shared" si="297"/>
        <v>466.75</v>
      </c>
      <c r="P437" s="2">
        <f t="shared" si="297"/>
        <v>23.8</v>
      </c>
      <c r="Q437" s="2">
        <f t="shared" si="297"/>
        <v>4142.7700000000004</v>
      </c>
      <c r="R437" s="2">
        <f t="shared" si="293"/>
        <v>211.28</v>
      </c>
      <c r="S437" s="2">
        <f t="shared" si="293"/>
        <v>116.69</v>
      </c>
      <c r="T437" s="2">
        <f t="shared" si="293"/>
        <v>8.75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17">
        <v>523013</v>
      </c>
      <c r="AA437" s="14" t="s">
        <v>787</v>
      </c>
      <c r="AB437" s="15" t="s">
        <v>469</v>
      </c>
      <c r="AC437" s="2">
        <v>5132301</v>
      </c>
      <c r="AD437" s="2">
        <v>0</v>
      </c>
      <c r="AE437" s="2">
        <v>1</v>
      </c>
      <c r="AF437" s="2">
        <f t="shared" si="302"/>
        <v>5062301</v>
      </c>
      <c r="AG437" s="2">
        <v>2</v>
      </c>
      <c r="AI437">
        <v>1</v>
      </c>
      <c r="AJ437" s="1">
        <f t="shared" si="304"/>
        <v>474.18306620482679</v>
      </c>
      <c r="AK437">
        <v>12</v>
      </c>
      <c r="AL437">
        <f t="shared" si="284"/>
        <v>424.32000000000005</v>
      </c>
      <c r="AM437">
        <f t="shared" si="285"/>
        <v>21.640320000000003</v>
      </c>
      <c r="AN437">
        <f t="shared" si="286"/>
        <v>3766.1538461538457</v>
      </c>
      <c r="AO437">
        <f t="shared" si="287"/>
        <v>192.07384615384612</v>
      </c>
      <c r="AP437">
        <f t="shared" si="288"/>
        <v>106.08000000000001</v>
      </c>
      <c r="AQ437">
        <f t="shared" si="289"/>
        <v>7.9560000000000004</v>
      </c>
      <c r="AR437">
        <f t="shared" si="290"/>
        <v>1.2</v>
      </c>
      <c r="AS437">
        <f t="shared" si="298"/>
        <v>1.7</v>
      </c>
      <c r="AT437">
        <f t="shared" si="299"/>
        <v>3</v>
      </c>
      <c r="AU437">
        <f t="shared" si="292"/>
        <v>3012</v>
      </c>
      <c r="AV437" s="1">
        <v>1</v>
      </c>
      <c r="AW437">
        <v>5</v>
      </c>
      <c r="AX437">
        <v>0.1</v>
      </c>
      <c r="AZ437">
        <v>3</v>
      </c>
      <c r="BA437">
        <v>2</v>
      </c>
      <c r="CG437" t="str">
        <f t="shared" si="294"/>
        <v>DATA_Class_Base32</v>
      </c>
      <c r="CH437" s="3" t="s">
        <v>388</v>
      </c>
    </row>
    <row r="438" spans="1:86" ht="14.25">
      <c r="A438">
        <f t="shared" si="295"/>
        <v>5122401</v>
      </c>
      <c r="B438" s="2" t="s">
        <v>522</v>
      </c>
      <c r="C438" s="48" t="s">
        <v>523</v>
      </c>
      <c r="D438">
        <v>12</v>
      </c>
      <c r="E438">
        <v>4</v>
      </c>
      <c r="F438">
        <v>2</v>
      </c>
      <c r="G438" s="3" t="s">
        <v>524</v>
      </c>
      <c r="H438" s="3" t="s">
        <v>524</v>
      </c>
      <c r="I438" s="2">
        <v>0</v>
      </c>
      <c r="J438" s="8" t="s">
        <v>250</v>
      </c>
      <c r="K438" s="2">
        <f t="shared" si="296"/>
        <v>6</v>
      </c>
      <c r="L438" s="2">
        <f t="shared" si="303"/>
        <v>1.6</v>
      </c>
      <c r="M438" s="2">
        <f t="shared" si="303"/>
        <v>1.5</v>
      </c>
      <c r="N438" s="2">
        <v>10</v>
      </c>
      <c r="O438" s="2">
        <f t="shared" si="297"/>
        <v>622.34</v>
      </c>
      <c r="P438" s="2">
        <f t="shared" si="297"/>
        <v>31.74</v>
      </c>
      <c r="Q438" s="2">
        <f t="shared" si="297"/>
        <v>4142.7700000000004</v>
      </c>
      <c r="R438" s="2">
        <f t="shared" si="293"/>
        <v>211.28</v>
      </c>
      <c r="S438" s="2">
        <f t="shared" si="293"/>
        <v>88.91</v>
      </c>
      <c r="T438" s="2">
        <f t="shared" si="293"/>
        <v>6.67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17">
        <v>524013</v>
      </c>
      <c r="AA438" s="14" t="s">
        <v>788</v>
      </c>
      <c r="AB438" s="15" t="s">
        <v>469</v>
      </c>
      <c r="AC438" s="2">
        <v>5132401</v>
      </c>
      <c r="AD438" s="2">
        <v>0</v>
      </c>
      <c r="AE438" s="2">
        <v>1</v>
      </c>
      <c r="AF438" s="2">
        <f t="shared" si="302"/>
        <v>5062401</v>
      </c>
      <c r="AG438" s="2">
        <v>2</v>
      </c>
      <c r="AI438">
        <v>1</v>
      </c>
      <c r="AJ438" s="1">
        <f t="shared" si="304"/>
        <v>471.56258072285112</v>
      </c>
      <c r="AK438">
        <v>12</v>
      </c>
      <c r="AL438">
        <f t="shared" si="284"/>
        <v>565.76</v>
      </c>
      <c r="AM438">
        <f t="shared" si="285"/>
        <v>28.853759999999998</v>
      </c>
      <c r="AN438">
        <f t="shared" si="286"/>
        <v>3766.1538461538457</v>
      </c>
      <c r="AO438">
        <f t="shared" si="287"/>
        <v>192.07384615384612</v>
      </c>
      <c r="AP438">
        <f t="shared" si="288"/>
        <v>80.822857142857146</v>
      </c>
      <c r="AQ438">
        <f t="shared" si="289"/>
        <v>6.0617142857142854</v>
      </c>
      <c r="AR438">
        <f t="shared" si="290"/>
        <v>1.6</v>
      </c>
      <c r="AS438">
        <f t="shared" si="298"/>
        <v>1.5</v>
      </c>
      <c r="AT438">
        <f t="shared" si="299"/>
        <v>6</v>
      </c>
      <c r="AU438">
        <f t="shared" si="292"/>
        <v>4012</v>
      </c>
      <c r="AV438" s="1">
        <v>1</v>
      </c>
      <c r="AW438">
        <v>5</v>
      </c>
      <c r="AX438">
        <v>0.1</v>
      </c>
      <c r="AZ438">
        <v>4</v>
      </c>
      <c r="BA438">
        <v>2</v>
      </c>
      <c r="CG438" t="str">
        <f t="shared" si="294"/>
        <v>DATA_Class_Base33</v>
      </c>
      <c r="CH438" s="3" t="s">
        <v>391</v>
      </c>
    </row>
    <row r="439" spans="1:86" ht="14.25">
      <c r="A439">
        <f t="shared" si="295"/>
        <v>5122402</v>
      </c>
      <c r="B439" s="2" t="s">
        <v>526</v>
      </c>
      <c r="C439" s="48" t="s">
        <v>527</v>
      </c>
      <c r="D439">
        <v>12</v>
      </c>
      <c r="E439">
        <v>4</v>
      </c>
      <c r="F439">
        <v>2</v>
      </c>
      <c r="G439" s="3" t="s">
        <v>528</v>
      </c>
      <c r="H439" s="3" t="s">
        <v>528</v>
      </c>
      <c r="I439">
        <v>0</v>
      </c>
      <c r="J439" s="2" t="s">
        <v>250</v>
      </c>
      <c r="K439" s="2">
        <f t="shared" si="296"/>
        <v>6</v>
      </c>
      <c r="L439" s="2">
        <f t="shared" si="303"/>
        <v>1.5</v>
      </c>
      <c r="M439" s="2">
        <f t="shared" si="303"/>
        <v>1.5</v>
      </c>
      <c r="N439" s="2">
        <v>10</v>
      </c>
      <c r="O439" s="2">
        <f t="shared" si="297"/>
        <v>656.88</v>
      </c>
      <c r="P439" s="2">
        <f t="shared" si="297"/>
        <v>33.5</v>
      </c>
      <c r="Q439" s="2">
        <f t="shared" si="297"/>
        <v>4021.71</v>
      </c>
      <c r="R439" s="2">
        <f t="shared" si="293"/>
        <v>205.11</v>
      </c>
      <c r="S439" s="2">
        <f t="shared" si="293"/>
        <v>93.84</v>
      </c>
      <c r="T439" s="2">
        <f t="shared" si="293"/>
        <v>7.04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17">
        <v>524023</v>
      </c>
      <c r="AA439" s="14" t="s">
        <v>789</v>
      </c>
      <c r="AB439" s="15" t="s">
        <v>469</v>
      </c>
      <c r="AC439" s="2">
        <v>5132402</v>
      </c>
      <c r="AD439" s="2">
        <v>0</v>
      </c>
      <c r="AE439" s="2">
        <v>1</v>
      </c>
      <c r="AF439" s="2">
        <f t="shared" si="302"/>
        <v>5062402</v>
      </c>
      <c r="AG439" s="2">
        <v>2</v>
      </c>
      <c r="AI439">
        <v>1</v>
      </c>
      <c r="AJ439" s="1">
        <f t="shared" si="304"/>
        <v>471.64277909369986</v>
      </c>
      <c r="AK439">
        <v>12</v>
      </c>
      <c r="AL439">
        <f t="shared" si="284"/>
        <v>571.19999999999993</v>
      </c>
      <c r="AM439">
        <f t="shared" si="285"/>
        <v>29.131199999999996</v>
      </c>
      <c r="AN439">
        <f t="shared" si="286"/>
        <v>3497.1428571428573</v>
      </c>
      <c r="AO439">
        <f t="shared" si="287"/>
        <v>178.35428571428571</v>
      </c>
      <c r="AP439">
        <f t="shared" si="288"/>
        <v>81.599999999999994</v>
      </c>
      <c r="AQ439">
        <f t="shared" si="289"/>
        <v>6.1199999999999992</v>
      </c>
      <c r="AR439">
        <f t="shared" si="290"/>
        <v>1.5</v>
      </c>
      <c r="AS439">
        <f t="shared" si="298"/>
        <v>1.5</v>
      </c>
      <c r="AT439">
        <f t="shared" si="299"/>
        <v>6</v>
      </c>
      <c r="AU439">
        <f t="shared" si="292"/>
        <v>4022</v>
      </c>
      <c r="AV439" s="1">
        <v>2</v>
      </c>
      <c r="AW439">
        <v>5</v>
      </c>
      <c r="AX439">
        <v>0.15</v>
      </c>
      <c r="AZ439">
        <v>4</v>
      </c>
      <c r="BA439">
        <v>2</v>
      </c>
      <c r="CG439" t="str">
        <f t="shared" si="294"/>
        <v>DATA_Class_Base34</v>
      </c>
      <c r="CH439" s="3" t="s">
        <v>184</v>
      </c>
    </row>
    <row r="440" spans="1:86" ht="14.25">
      <c r="A440">
        <f t="shared" si="295"/>
        <v>5122500</v>
      </c>
      <c r="B440" s="2" t="s">
        <v>530</v>
      </c>
      <c r="C440" s="48" t="s">
        <v>531</v>
      </c>
      <c r="D440">
        <v>12</v>
      </c>
      <c r="E440">
        <v>5</v>
      </c>
      <c r="F440">
        <v>2</v>
      </c>
      <c r="G440" s="3" t="s">
        <v>532</v>
      </c>
      <c r="H440" s="3" t="s">
        <v>532</v>
      </c>
      <c r="I440" s="2">
        <v>0</v>
      </c>
      <c r="J440" s="2" t="s">
        <v>533</v>
      </c>
      <c r="K440" s="2">
        <f t="shared" si="296"/>
        <v>6</v>
      </c>
      <c r="L440" s="2">
        <f t="shared" si="303"/>
        <v>1.4000000000000001</v>
      </c>
      <c r="M440" s="2">
        <f t="shared" si="303"/>
        <v>2</v>
      </c>
      <c r="N440" s="2">
        <v>10</v>
      </c>
      <c r="O440" s="2">
        <f t="shared" si="297"/>
        <v>628.32000000000005</v>
      </c>
      <c r="P440" s="2">
        <f t="shared" si="297"/>
        <v>32.04</v>
      </c>
      <c r="Q440" s="2">
        <f t="shared" si="297"/>
        <v>3590.4</v>
      </c>
      <c r="R440" s="2">
        <f t="shared" si="293"/>
        <v>183.11</v>
      </c>
      <c r="S440" s="2">
        <f t="shared" si="293"/>
        <v>83.78</v>
      </c>
      <c r="T440" s="2">
        <f t="shared" si="293"/>
        <v>6.28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17">
        <v>525003</v>
      </c>
      <c r="AA440" s="14" t="s">
        <v>790</v>
      </c>
      <c r="AB440" s="15" t="s">
        <v>469</v>
      </c>
      <c r="AC440" s="2">
        <v>5132500</v>
      </c>
      <c r="AD440" s="2">
        <v>0</v>
      </c>
      <c r="AE440" s="2">
        <v>1</v>
      </c>
      <c r="AF440" s="2">
        <f t="shared" si="302"/>
        <v>5062500</v>
      </c>
      <c r="AG440" s="2">
        <v>2</v>
      </c>
      <c r="AI440">
        <v>1</v>
      </c>
      <c r="AJ440" s="1">
        <f t="shared" si="304"/>
        <v>471.08196266677083</v>
      </c>
      <c r="AK440">
        <v>12</v>
      </c>
      <c r="AL440">
        <f t="shared" si="284"/>
        <v>571.19999999999993</v>
      </c>
      <c r="AM440">
        <f t="shared" si="285"/>
        <v>29.131199999999996</v>
      </c>
      <c r="AN440">
        <f t="shared" si="286"/>
        <v>3264</v>
      </c>
      <c r="AO440">
        <f t="shared" si="287"/>
        <v>166.464</v>
      </c>
      <c r="AP440">
        <f t="shared" si="288"/>
        <v>76.16</v>
      </c>
      <c r="AQ440">
        <f t="shared" si="289"/>
        <v>5.7119999999999997</v>
      </c>
      <c r="AR440">
        <f t="shared" si="290"/>
        <v>1.4</v>
      </c>
      <c r="AS440">
        <f t="shared" si="298"/>
        <v>2</v>
      </c>
      <c r="AT440">
        <f t="shared" si="299"/>
        <v>6</v>
      </c>
      <c r="AU440">
        <f t="shared" si="292"/>
        <v>5002</v>
      </c>
      <c r="AV440" s="1">
        <v>0</v>
      </c>
      <c r="AW440">
        <v>5</v>
      </c>
      <c r="AX440">
        <v>0.1</v>
      </c>
      <c r="AZ440">
        <v>5</v>
      </c>
      <c r="BA440">
        <v>2</v>
      </c>
      <c r="CG440" t="str">
        <f t="shared" si="294"/>
        <v>DATA_Class_Base35</v>
      </c>
      <c r="CH440" s="3" t="s">
        <v>195</v>
      </c>
    </row>
    <row r="441" spans="1:86" ht="14.25">
      <c r="A441" s="49">
        <f t="shared" si="295"/>
        <v>5122502</v>
      </c>
      <c r="B441" s="2" t="s">
        <v>535</v>
      </c>
      <c r="C441" s="48" t="s">
        <v>536</v>
      </c>
      <c r="D441">
        <v>12</v>
      </c>
      <c r="E441">
        <v>5</v>
      </c>
      <c r="F441">
        <v>2</v>
      </c>
      <c r="G441" s="3" t="s">
        <v>537</v>
      </c>
      <c r="H441" s="3" t="s">
        <v>537</v>
      </c>
      <c r="I441" s="2">
        <v>0</v>
      </c>
      <c r="J441" s="2" t="s">
        <v>291</v>
      </c>
      <c r="K441" s="2">
        <f t="shared" si="296"/>
        <v>6</v>
      </c>
      <c r="L441" s="2">
        <f t="shared" si="303"/>
        <v>1.4000000000000001</v>
      </c>
      <c r="M441" s="2">
        <f t="shared" si="303"/>
        <v>2</v>
      </c>
      <c r="N441" s="2">
        <v>10</v>
      </c>
      <c r="O441" s="2">
        <f t="shared" si="297"/>
        <v>708.29</v>
      </c>
      <c r="P441" s="2">
        <f t="shared" si="297"/>
        <v>36.119999999999997</v>
      </c>
      <c r="Q441" s="2">
        <f t="shared" si="297"/>
        <v>3790.45</v>
      </c>
      <c r="R441" s="2">
        <f t="shared" si="293"/>
        <v>193.31</v>
      </c>
      <c r="S441" s="2">
        <f t="shared" si="293"/>
        <v>101.18</v>
      </c>
      <c r="T441" s="2">
        <f t="shared" si="293"/>
        <v>7.59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17">
        <v>525023</v>
      </c>
      <c r="AA441" s="14" t="s">
        <v>791</v>
      </c>
      <c r="AB441" s="15" t="s">
        <v>469</v>
      </c>
      <c r="AC441" s="2">
        <v>5132502</v>
      </c>
      <c r="AD441" s="2">
        <v>0</v>
      </c>
      <c r="AE441" s="2">
        <v>1</v>
      </c>
      <c r="AF441" s="2">
        <f t="shared" si="302"/>
        <v>5062502</v>
      </c>
      <c r="AG441" s="2">
        <v>2</v>
      </c>
      <c r="AI441">
        <v>1</v>
      </c>
      <c r="AJ441" s="1">
        <f t="shared" si="304"/>
        <v>471.92368833842977</v>
      </c>
      <c r="AK441">
        <v>12</v>
      </c>
      <c r="AL441">
        <f t="shared" si="284"/>
        <v>590.24</v>
      </c>
      <c r="AM441">
        <f t="shared" si="285"/>
        <v>30.102239999999998</v>
      </c>
      <c r="AN441">
        <f t="shared" si="286"/>
        <v>3158.7096774193546</v>
      </c>
      <c r="AO441">
        <f t="shared" si="287"/>
        <v>161.09419354838707</v>
      </c>
      <c r="AP441">
        <f t="shared" si="288"/>
        <v>84.320000000000007</v>
      </c>
      <c r="AQ441">
        <f t="shared" si="289"/>
        <v>6.3240000000000007</v>
      </c>
      <c r="AR441">
        <f t="shared" si="290"/>
        <v>1.4</v>
      </c>
      <c r="AS441">
        <f t="shared" si="298"/>
        <v>2</v>
      </c>
      <c r="AT441">
        <f t="shared" si="299"/>
        <v>6</v>
      </c>
      <c r="AU441">
        <f t="shared" si="292"/>
        <v>5022</v>
      </c>
      <c r="AV441" s="1">
        <v>2</v>
      </c>
      <c r="AW441">
        <v>5</v>
      </c>
      <c r="AX441">
        <v>0.2</v>
      </c>
      <c r="AZ441">
        <v>5</v>
      </c>
      <c r="BA441">
        <v>2</v>
      </c>
      <c r="CG441" t="str">
        <f t="shared" si="294"/>
        <v>DATA_Class_Base36</v>
      </c>
      <c r="CH441" s="3" t="s">
        <v>201</v>
      </c>
    </row>
    <row r="442" spans="1:86" ht="14.25">
      <c r="A442" s="49">
        <f t="shared" si="295"/>
        <v>5122601</v>
      </c>
      <c r="B442" s="2" t="s">
        <v>539</v>
      </c>
      <c r="C442" s="48" t="s">
        <v>540</v>
      </c>
      <c r="D442">
        <v>12</v>
      </c>
      <c r="E442">
        <v>6</v>
      </c>
      <c r="F442">
        <v>2</v>
      </c>
      <c r="G442" s="3" t="s">
        <v>541</v>
      </c>
      <c r="H442" s="3" t="s">
        <v>541</v>
      </c>
      <c r="I442" s="2">
        <v>0</v>
      </c>
      <c r="J442" s="8" t="s">
        <v>542</v>
      </c>
      <c r="K442" s="2">
        <f t="shared" si="296"/>
        <v>6</v>
      </c>
      <c r="L442" s="2">
        <f t="shared" si="303"/>
        <v>1.5</v>
      </c>
      <c r="M442" s="2">
        <f t="shared" si="303"/>
        <v>2</v>
      </c>
      <c r="N442" s="2">
        <v>10</v>
      </c>
      <c r="O442" s="2">
        <f t="shared" si="297"/>
        <v>538.55999999999995</v>
      </c>
      <c r="P442" s="2">
        <f t="shared" si="297"/>
        <v>27.47</v>
      </c>
      <c r="Q442" s="2">
        <f t="shared" si="297"/>
        <v>5341.09</v>
      </c>
      <c r="R442" s="2">
        <f t="shared" si="293"/>
        <v>272.39999999999998</v>
      </c>
      <c r="S442" s="2">
        <f t="shared" si="293"/>
        <v>119.68</v>
      </c>
      <c r="T442" s="2">
        <f t="shared" si="293"/>
        <v>8.98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17">
        <v>526013</v>
      </c>
      <c r="AA442" s="14" t="s">
        <v>792</v>
      </c>
      <c r="AB442" s="15" t="s">
        <v>469</v>
      </c>
      <c r="AC442" s="2">
        <v>5132601</v>
      </c>
      <c r="AD442" s="2">
        <v>0</v>
      </c>
      <c r="AE442" s="2">
        <v>1</v>
      </c>
      <c r="AF442" s="2">
        <f t="shared" si="302"/>
        <v>5062601</v>
      </c>
      <c r="AG442" s="2">
        <v>2</v>
      </c>
      <c r="AI442">
        <v>1</v>
      </c>
      <c r="AJ442" s="1">
        <f t="shared" si="304"/>
        <v>473.52184935232549</v>
      </c>
      <c r="AK442">
        <v>12</v>
      </c>
      <c r="AL442">
        <f t="shared" si="284"/>
        <v>448.8</v>
      </c>
      <c r="AM442">
        <f t="shared" si="285"/>
        <v>22.8888</v>
      </c>
      <c r="AN442">
        <f t="shared" si="286"/>
        <v>4450.9090909090901</v>
      </c>
      <c r="AO442">
        <f t="shared" si="287"/>
        <v>226.99636363636358</v>
      </c>
      <c r="AP442">
        <f t="shared" si="288"/>
        <v>99.733333333333334</v>
      </c>
      <c r="AQ442">
        <f t="shared" si="289"/>
        <v>7.4799999999999995</v>
      </c>
      <c r="AR442">
        <f t="shared" si="290"/>
        <v>1.5</v>
      </c>
      <c r="AS442">
        <f t="shared" si="298"/>
        <v>2</v>
      </c>
      <c r="AT442">
        <f t="shared" si="299"/>
        <v>6</v>
      </c>
      <c r="AU442">
        <f t="shared" si="292"/>
        <v>6012</v>
      </c>
      <c r="AV442" s="1">
        <v>1</v>
      </c>
      <c r="AW442">
        <v>5</v>
      </c>
      <c r="AX442">
        <v>0.2</v>
      </c>
      <c r="AZ442">
        <v>6</v>
      </c>
      <c r="BA442">
        <v>2</v>
      </c>
      <c r="CG442" t="str">
        <f t="shared" si="294"/>
        <v>DATA_Class_Base28</v>
      </c>
      <c r="CH442" s="3" t="s">
        <v>374</v>
      </c>
    </row>
    <row r="443" spans="1:86" ht="14.25">
      <c r="A443" s="49">
        <f t="shared" si="295"/>
        <v>5123200</v>
      </c>
      <c r="B443" s="2" t="s">
        <v>544</v>
      </c>
      <c r="C443" s="48" t="s">
        <v>545</v>
      </c>
      <c r="D443">
        <v>12</v>
      </c>
      <c r="E443">
        <v>2</v>
      </c>
      <c r="F443">
        <v>3</v>
      </c>
      <c r="G443" s="3" t="s">
        <v>546</v>
      </c>
      <c r="H443" s="3" t="s">
        <v>546</v>
      </c>
      <c r="I443">
        <v>0</v>
      </c>
      <c r="J443" s="2" t="s">
        <v>314</v>
      </c>
      <c r="K443" s="2">
        <f t="shared" si="296"/>
        <v>3</v>
      </c>
      <c r="L443" s="2">
        <f t="shared" si="303"/>
        <v>1.5</v>
      </c>
      <c r="M443" s="2">
        <f t="shared" si="303"/>
        <v>1.2</v>
      </c>
      <c r="N443" s="2">
        <v>10</v>
      </c>
      <c r="O443" s="2">
        <f t="shared" si="297"/>
        <v>328.44</v>
      </c>
      <c r="P443" s="2">
        <f t="shared" si="297"/>
        <v>16.75</v>
      </c>
      <c r="Q443" s="2">
        <f t="shared" si="297"/>
        <v>8043.43</v>
      </c>
      <c r="R443" s="2">
        <f t="shared" si="293"/>
        <v>410.21</v>
      </c>
      <c r="S443" s="2">
        <f t="shared" si="293"/>
        <v>164.22</v>
      </c>
      <c r="T443" s="2">
        <f t="shared" si="293"/>
        <v>12.32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17">
        <v>532003</v>
      </c>
      <c r="AA443" s="14" t="s">
        <v>793</v>
      </c>
      <c r="AB443" s="15" t="s">
        <v>469</v>
      </c>
      <c r="AC443" s="2">
        <v>5133200</v>
      </c>
      <c r="AD443" s="2">
        <v>0</v>
      </c>
      <c r="AE443" s="2">
        <v>1</v>
      </c>
      <c r="AF443" s="2">
        <f t="shared" si="302"/>
        <v>5063200</v>
      </c>
      <c r="AG443" s="2">
        <v>2</v>
      </c>
      <c r="AI443">
        <v>1</v>
      </c>
      <c r="AJ443" s="1">
        <f t="shared" si="304"/>
        <v>478.04522260159411</v>
      </c>
      <c r="AK443">
        <v>12</v>
      </c>
      <c r="AL443">
        <f t="shared" si="284"/>
        <v>285.59999999999997</v>
      </c>
      <c r="AM443">
        <f t="shared" si="285"/>
        <v>14.565599999999998</v>
      </c>
      <c r="AN443">
        <f t="shared" si="286"/>
        <v>6994.2857142857147</v>
      </c>
      <c r="AO443">
        <f t="shared" si="287"/>
        <v>356.70857142857142</v>
      </c>
      <c r="AP443">
        <f t="shared" si="288"/>
        <v>142.79999999999998</v>
      </c>
      <c r="AQ443">
        <f t="shared" si="289"/>
        <v>10.709999999999999</v>
      </c>
      <c r="AR443">
        <f t="shared" si="290"/>
        <v>1.5</v>
      </c>
      <c r="AS443">
        <f t="shared" si="298"/>
        <v>1.2</v>
      </c>
      <c r="AT443">
        <f t="shared" si="299"/>
        <v>3</v>
      </c>
      <c r="AU443">
        <f t="shared" si="292"/>
        <v>2003</v>
      </c>
      <c r="AV443" s="1">
        <v>0</v>
      </c>
      <c r="AW443">
        <v>5</v>
      </c>
      <c r="AX443">
        <v>0.15</v>
      </c>
      <c r="AZ443">
        <v>2</v>
      </c>
      <c r="BA443">
        <v>3</v>
      </c>
      <c r="CG443" t="str">
        <f t="shared" si="294"/>
        <v>DATA_Class_Base29</v>
      </c>
      <c r="CH443" s="3" t="s">
        <v>378</v>
      </c>
    </row>
    <row r="444" spans="1:86" ht="14.25">
      <c r="A444">
        <f t="shared" si="295"/>
        <v>5123201</v>
      </c>
      <c r="B444" s="2" t="s">
        <v>548</v>
      </c>
      <c r="C444" s="48" t="s">
        <v>549</v>
      </c>
      <c r="D444">
        <v>12</v>
      </c>
      <c r="E444">
        <v>2</v>
      </c>
      <c r="F444">
        <v>3</v>
      </c>
      <c r="G444" s="3" t="s">
        <v>550</v>
      </c>
      <c r="H444" s="3" t="s">
        <v>550</v>
      </c>
      <c r="I444" s="2">
        <v>0</v>
      </c>
      <c r="J444" s="50" t="s">
        <v>1720</v>
      </c>
      <c r="K444" s="2">
        <f t="shared" si="296"/>
        <v>3</v>
      </c>
      <c r="L444" s="2">
        <f t="shared" si="303"/>
        <v>1.7</v>
      </c>
      <c r="M444" s="2">
        <f t="shared" si="303"/>
        <v>1.8</v>
      </c>
      <c r="N444" s="2">
        <v>10</v>
      </c>
      <c r="O444" s="2">
        <f t="shared" si="297"/>
        <v>305.18</v>
      </c>
      <c r="P444" s="2">
        <f t="shared" si="297"/>
        <v>15.56</v>
      </c>
      <c r="Q444" s="2">
        <f t="shared" si="297"/>
        <v>8976</v>
      </c>
      <c r="R444" s="2">
        <f t="shared" si="293"/>
        <v>457.78</v>
      </c>
      <c r="S444" s="2">
        <f t="shared" si="293"/>
        <v>152.59</v>
      </c>
      <c r="T444" s="2">
        <f t="shared" si="293"/>
        <v>11.44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17">
        <v>532013</v>
      </c>
      <c r="AA444" s="14" t="s">
        <v>794</v>
      </c>
      <c r="AB444" s="15" t="s">
        <v>469</v>
      </c>
      <c r="AC444" s="2">
        <v>5133201</v>
      </c>
      <c r="AD444" s="2">
        <v>0</v>
      </c>
      <c r="AE444" s="2">
        <v>1</v>
      </c>
      <c r="AF444" s="2">
        <f t="shared" si="302"/>
        <v>5063201</v>
      </c>
      <c r="AG444" s="2">
        <v>2</v>
      </c>
      <c r="AI444">
        <v>1</v>
      </c>
      <c r="AJ444" s="1">
        <f t="shared" si="304"/>
        <v>477.61299008393536</v>
      </c>
      <c r="AK444">
        <v>12</v>
      </c>
      <c r="AL444">
        <f t="shared" si="284"/>
        <v>277.44</v>
      </c>
      <c r="AM444">
        <f t="shared" si="285"/>
        <v>14.149439999999998</v>
      </c>
      <c r="AN444">
        <f t="shared" si="286"/>
        <v>8160</v>
      </c>
      <c r="AO444">
        <f t="shared" si="287"/>
        <v>416.15999999999997</v>
      </c>
      <c r="AP444">
        <f t="shared" si="288"/>
        <v>138.72</v>
      </c>
      <c r="AQ444">
        <f t="shared" si="289"/>
        <v>10.404</v>
      </c>
      <c r="AR444">
        <f t="shared" si="290"/>
        <v>1.7</v>
      </c>
      <c r="AS444">
        <f t="shared" si="298"/>
        <v>1.8</v>
      </c>
      <c r="AT444">
        <f t="shared" si="299"/>
        <v>3</v>
      </c>
      <c r="AU444">
        <f t="shared" si="292"/>
        <v>2013</v>
      </c>
      <c r="AV444" s="1">
        <v>1</v>
      </c>
      <c r="AW444">
        <v>5</v>
      </c>
      <c r="AX444">
        <v>0.1</v>
      </c>
      <c r="AZ444">
        <v>2</v>
      </c>
      <c r="BA444">
        <v>3</v>
      </c>
      <c r="CG444" t="str">
        <f t="shared" si="294"/>
        <v>DATA_Class_Base30</v>
      </c>
      <c r="CH444" s="3" t="s">
        <v>381</v>
      </c>
    </row>
    <row r="445" spans="1:86" ht="14.25">
      <c r="A445">
        <f t="shared" si="295"/>
        <v>5123202</v>
      </c>
      <c r="B445" s="2" t="s">
        <v>552</v>
      </c>
      <c r="C445" s="48" t="s">
        <v>553</v>
      </c>
      <c r="D445">
        <v>12</v>
      </c>
      <c r="E445">
        <v>2</v>
      </c>
      <c r="F445">
        <v>3</v>
      </c>
      <c r="G445" s="3" t="s">
        <v>554</v>
      </c>
      <c r="H445" s="3" t="s">
        <v>554</v>
      </c>
      <c r="I445">
        <v>0</v>
      </c>
      <c r="J445" s="8" t="s">
        <v>555</v>
      </c>
      <c r="K445" s="2">
        <f t="shared" si="296"/>
        <v>3</v>
      </c>
      <c r="L445" s="2">
        <f t="shared" si="303"/>
        <v>1.7</v>
      </c>
      <c r="M445" s="2">
        <f t="shared" si="303"/>
        <v>2</v>
      </c>
      <c r="N445" s="2">
        <v>10</v>
      </c>
      <c r="O445" s="2">
        <f t="shared" si="297"/>
        <v>478.58</v>
      </c>
      <c r="P445" s="2">
        <f t="shared" si="297"/>
        <v>24.41</v>
      </c>
      <c r="Q445" s="2">
        <f t="shared" si="297"/>
        <v>6256</v>
      </c>
      <c r="R445" s="2">
        <f t="shared" si="293"/>
        <v>319.06</v>
      </c>
      <c r="S445" s="2">
        <f t="shared" si="293"/>
        <v>159.53</v>
      </c>
      <c r="T445" s="2">
        <f t="shared" si="293"/>
        <v>11.96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17">
        <v>532023</v>
      </c>
      <c r="AA445" s="14" t="s">
        <v>795</v>
      </c>
      <c r="AB445" s="15" t="s">
        <v>469</v>
      </c>
      <c r="AC445" s="2">
        <v>5133202</v>
      </c>
      <c r="AD445" s="2">
        <v>0</v>
      </c>
      <c r="AE445" s="2">
        <v>1</v>
      </c>
      <c r="AF445" s="2">
        <f t="shared" si="302"/>
        <v>5063202</v>
      </c>
      <c r="AG445" s="2">
        <v>2</v>
      </c>
      <c r="AI445">
        <v>1</v>
      </c>
      <c r="AJ445" s="1">
        <f t="shared" si="304"/>
        <v>477.61299008393536</v>
      </c>
      <c r="AK445">
        <v>12</v>
      </c>
      <c r="AL445">
        <f t="shared" si="284"/>
        <v>416.16</v>
      </c>
      <c r="AM445">
        <f t="shared" si="285"/>
        <v>21.224160000000001</v>
      </c>
      <c r="AN445">
        <f t="shared" si="286"/>
        <v>5440</v>
      </c>
      <c r="AO445">
        <f t="shared" si="287"/>
        <v>277.44</v>
      </c>
      <c r="AP445">
        <f t="shared" si="288"/>
        <v>138.72</v>
      </c>
      <c r="AQ445">
        <f t="shared" si="289"/>
        <v>10.404</v>
      </c>
      <c r="AR445">
        <f t="shared" si="290"/>
        <v>1.7</v>
      </c>
      <c r="AS445">
        <f t="shared" si="298"/>
        <v>2</v>
      </c>
      <c r="AT445">
        <f t="shared" si="299"/>
        <v>3</v>
      </c>
      <c r="AU445">
        <f t="shared" si="292"/>
        <v>2023</v>
      </c>
      <c r="AV445" s="1">
        <v>2</v>
      </c>
      <c r="AW445">
        <v>5</v>
      </c>
      <c r="AX445">
        <v>0.15</v>
      </c>
      <c r="AZ445">
        <v>2</v>
      </c>
      <c r="BA445">
        <v>3</v>
      </c>
      <c r="CG445" t="str">
        <f t="shared" si="294"/>
        <v>DATA_Class_Base31</v>
      </c>
      <c r="CH445" s="3" t="s">
        <v>384</v>
      </c>
    </row>
    <row r="446" spans="1:86" ht="14.25">
      <c r="A446" s="49">
        <f t="shared" si="295"/>
        <v>5123301</v>
      </c>
      <c r="B446" s="2" t="s">
        <v>557</v>
      </c>
      <c r="C446" s="48" t="s">
        <v>558</v>
      </c>
      <c r="D446">
        <v>12</v>
      </c>
      <c r="E446">
        <v>3</v>
      </c>
      <c r="F446">
        <v>3</v>
      </c>
      <c r="G446" s="3" t="s">
        <v>559</v>
      </c>
      <c r="H446" s="3" t="s">
        <v>559</v>
      </c>
      <c r="I446" s="2">
        <v>0</v>
      </c>
      <c r="J446" s="8" t="s">
        <v>555</v>
      </c>
      <c r="K446" s="2">
        <f t="shared" si="296"/>
        <v>3</v>
      </c>
      <c r="L446" s="2">
        <f t="shared" si="303"/>
        <v>1.2</v>
      </c>
      <c r="M446" s="2">
        <f t="shared" si="303"/>
        <v>1.4000000000000001</v>
      </c>
      <c r="N446" s="2">
        <v>10</v>
      </c>
      <c r="O446" s="2">
        <f t="shared" si="297"/>
        <v>470.02</v>
      </c>
      <c r="P446" s="2">
        <f t="shared" si="297"/>
        <v>23.97</v>
      </c>
      <c r="Q446" s="2">
        <f t="shared" si="297"/>
        <v>4896</v>
      </c>
      <c r="R446" s="2">
        <f t="shared" si="293"/>
        <v>249.7</v>
      </c>
      <c r="S446" s="2">
        <f t="shared" si="293"/>
        <v>134.29</v>
      </c>
      <c r="T446" s="2">
        <f t="shared" si="293"/>
        <v>10.07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17">
        <v>533013</v>
      </c>
      <c r="AA446" s="14" t="s">
        <v>796</v>
      </c>
      <c r="AB446" s="15" t="s">
        <v>469</v>
      </c>
      <c r="AC446" s="2">
        <v>5133301</v>
      </c>
      <c r="AD446" s="2">
        <v>0</v>
      </c>
      <c r="AE446" s="2">
        <v>1</v>
      </c>
      <c r="AF446" s="2">
        <f t="shared" si="302"/>
        <v>5063301</v>
      </c>
      <c r="AG446" s="2">
        <v>2</v>
      </c>
      <c r="AI446">
        <v>1</v>
      </c>
      <c r="AJ446" s="1">
        <f t="shared" si="304"/>
        <v>474.79193491719394</v>
      </c>
      <c r="AK446">
        <v>12</v>
      </c>
      <c r="AL446">
        <f t="shared" si="284"/>
        <v>391.67999999999995</v>
      </c>
      <c r="AM446">
        <f t="shared" si="285"/>
        <v>19.975679999999997</v>
      </c>
      <c r="AN446">
        <f t="shared" si="286"/>
        <v>4080</v>
      </c>
      <c r="AO446">
        <f t="shared" si="287"/>
        <v>208.07999999999998</v>
      </c>
      <c r="AP446">
        <f t="shared" si="288"/>
        <v>111.90857142857142</v>
      </c>
      <c r="AQ446">
        <f t="shared" si="289"/>
        <v>8.3931428571428555</v>
      </c>
      <c r="AR446">
        <f t="shared" si="290"/>
        <v>1.2</v>
      </c>
      <c r="AS446">
        <f t="shared" si="298"/>
        <v>1.4</v>
      </c>
      <c r="AT446">
        <f t="shared" si="299"/>
        <v>3</v>
      </c>
      <c r="AU446">
        <f t="shared" si="292"/>
        <v>3013</v>
      </c>
      <c r="AV446" s="1">
        <v>1</v>
      </c>
      <c r="AW446">
        <v>5</v>
      </c>
      <c r="AX446">
        <v>0.2</v>
      </c>
      <c r="AZ446">
        <v>3</v>
      </c>
      <c r="BA446">
        <v>3</v>
      </c>
      <c r="CG446" t="str">
        <f t="shared" si="294"/>
        <v>DATA_Class_Base32</v>
      </c>
      <c r="CH446" s="3" t="s">
        <v>388</v>
      </c>
    </row>
    <row r="447" spans="1:86" ht="14.25">
      <c r="A447">
        <f t="shared" si="295"/>
        <v>5123401</v>
      </c>
      <c r="B447" s="2" t="s">
        <v>561</v>
      </c>
      <c r="C447" s="48" t="s">
        <v>562</v>
      </c>
      <c r="D447">
        <v>12</v>
      </c>
      <c r="E447">
        <v>4</v>
      </c>
      <c r="F447">
        <v>3</v>
      </c>
      <c r="G447" s="3" t="s">
        <v>563</v>
      </c>
      <c r="H447" s="3" t="s">
        <v>563</v>
      </c>
      <c r="I447">
        <v>0</v>
      </c>
      <c r="J447" s="2" t="s">
        <v>161</v>
      </c>
      <c r="K447" s="2">
        <f t="shared" si="296"/>
        <v>6</v>
      </c>
      <c r="L447" s="2">
        <f t="shared" si="303"/>
        <v>1.6</v>
      </c>
      <c r="M447" s="2">
        <f t="shared" si="303"/>
        <v>1.5</v>
      </c>
      <c r="N447" s="2">
        <v>10</v>
      </c>
      <c r="O447" s="2">
        <f t="shared" si="297"/>
        <v>626.69000000000005</v>
      </c>
      <c r="P447" s="2">
        <f t="shared" si="297"/>
        <v>31.96</v>
      </c>
      <c r="Q447" s="2">
        <f t="shared" si="297"/>
        <v>4896</v>
      </c>
      <c r="R447" s="2">
        <f t="shared" si="293"/>
        <v>249.7</v>
      </c>
      <c r="S447" s="2">
        <f t="shared" si="293"/>
        <v>104.45</v>
      </c>
      <c r="T447" s="2">
        <f t="shared" si="293"/>
        <v>7.83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17">
        <v>534013</v>
      </c>
      <c r="AA447" s="14" t="s">
        <v>797</v>
      </c>
      <c r="AB447" s="15" t="s">
        <v>469</v>
      </c>
      <c r="AC447" s="2">
        <v>5133401</v>
      </c>
      <c r="AD447" s="2">
        <v>0</v>
      </c>
      <c r="AE447" s="2">
        <v>1</v>
      </c>
      <c r="AF447" s="2">
        <f t="shared" si="302"/>
        <v>5063401</v>
      </c>
      <c r="AG447" s="2">
        <v>2</v>
      </c>
      <c r="AI447">
        <v>1</v>
      </c>
      <c r="AJ447" s="1">
        <f t="shared" si="304"/>
        <v>472.20493240024524</v>
      </c>
      <c r="AK447">
        <v>12</v>
      </c>
      <c r="AL447">
        <f t="shared" si="284"/>
        <v>522.24</v>
      </c>
      <c r="AM447">
        <f t="shared" si="285"/>
        <v>26.634239999999998</v>
      </c>
      <c r="AN447">
        <f t="shared" si="286"/>
        <v>4080</v>
      </c>
      <c r="AO447">
        <f t="shared" si="287"/>
        <v>208.07999999999998</v>
      </c>
      <c r="AP447">
        <f t="shared" si="288"/>
        <v>87.04</v>
      </c>
      <c r="AQ447">
        <f t="shared" si="289"/>
        <v>6.5280000000000005</v>
      </c>
      <c r="AR447">
        <f t="shared" si="290"/>
        <v>1.6</v>
      </c>
      <c r="AS447">
        <f t="shared" si="298"/>
        <v>1.5</v>
      </c>
      <c r="AT447">
        <f t="shared" si="299"/>
        <v>6</v>
      </c>
      <c r="AU447">
        <f t="shared" si="292"/>
        <v>4013</v>
      </c>
      <c r="AV447" s="1">
        <v>1</v>
      </c>
      <c r="AW447">
        <v>5</v>
      </c>
      <c r="AX447">
        <v>0.2</v>
      </c>
      <c r="AZ447">
        <v>4</v>
      </c>
      <c r="BA447">
        <v>3</v>
      </c>
      <c r="CG447" t="str">
        <f t="shared" si="294"/>
        <v>DATA_Class_Base33</v>
      </c>
      <c r="CH447" s="3" t="s">
        <v>391</v>
      </c>
    </row>
    <row r="448" spans="1:86" ht="14.25">
      <c r="A448">
        <f t="shared" si="295"/>
        <v>5123402</v>
      </c>
      <c r="B448" s="2" t="s">
        <v>565</v>
      </c>
      <c r="C448" s="48" t="s">
        <v>566</v>
      </c>
      <c r="D448">
        <v>12</v>
      </c>
      <c r="E448">
        <v>4</v>
      </c>
      <c r="F448">
        <v>3</v>
      </c>
      <c r="G448" s="3" t="s">
        <v>567</v>
      </c>
      <c r="H448" s="3" t="s">
        <v>567</v>
      </c>
      <c r="I448" s="2">
        <v>0</v>
      </c>
      <c r="J448" s="8" t="s">
        <v>568</v>
      </c>
      <c r="K448" s="2">
        <f t="shared" si="296"/>
        <v>6</v>
      </c>
      <c r="L448" s="2">
        <f t="shared" si="303"/>
        <v>1.5</v>
      </c>
      <c r="M448" s="2">
        <f t="shared" si="303"/>
        <v>1.5</v>
      </c>
      <c r="N448" s="2">
        <v>10</v>
      </c>
      <c r="O448" s="2">
        <f t="shared" si="297"/>
        <v>609.96</v>
      </c>
      <c r="P448" s="2">
        <f t="shared" si="297"/>
        <v>31.11</v>
      </c>
      <c r="Q448" s="2">
        <f t="shared" si="297"/>
        <v>4331.08</v>
      </c>
      <c r="R448" s="2">
        <f t="shared" si="293"/>
        <v>220.88</v>
      </c>
      <c r="S448" s="2">
        <f t="shared" si="293"/>
        <v>87.14</v>
      </c>
      <c r="T448" s="2">
        <f t="shared" si="293"/>
        <v>6.54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17">
        <v>534023</v>
      </c>
      <c r="AA448" s="14" t="s">
        <v>798</v>
      </c>
      <c r="AB448" s="15" t="s">
        <v>469</v>
      </c>
      <c r="AC448" s="2">
        <v>5133402</v>
      </c>
      <c r="AD448" s="2">
        <v>0</v>
      </c>
      <c r="AE448" s="2">
        <v>1</v>
      </c>
      <c r="AF448" s="2">
        <f t="shared" si="302"/>
        <v>5063402</v>
      </c>
      <c r="AG448" s="2">
        <v>2</v>
      </c>
      <c r="AI448">
        <v>1</v>
      </c>
      <c r="AJ448" s="1">
        <f t="shared" si="304"/>
        <v>471.04195538067864</v>
      </c>
      <c r="AK448">
        <v>12</v>
      </c>
      <c r="AL448">
        <f t="shared" si="284"/>
        <v>530.4</v>
      </c>
      <c r="AM448">
        <f t="shared" si="285"/>
        <v>27.050399999999996</v>
      </c>
      <c r="AN448">
        <f t="shared" si="286"/>
        <v>3766.1538461538457</v>
      </c>
      <c r="AO448">
        <f t="shared" si="287"/>
        <v>192.07384615384612</v>
      </c>
      <c r="AP448">
        <f t="shared" si="288"/>
        <v>75.771428571428572</v>
      </c>
      <c r="AQ448">
        <f t="shared" si="289"/>
        <v>5.6828571428571424</v>
      </c>
      <c r="AR448">
        <f t="shared" si="290"/>
        <v>1.5</v>
      </c>
      <c r="AS448">
        <f t="shared" si="298"/>
        <v>1.5</v>
      </c>
      <c r="AT448">
        <f t="shared" si="299"/>
        <v>6</v>
      </c>
      <c r="AU448">
        <f t="shared" si="292"/>
        <v>4023</v>
      </c>
      <c r="AV448" s="1">
        <v>2</v>
      </c>
      <c r="AW448">
        <v>5</v>
      </c>
      <c r="AX448">
        <v>0.15</v>
      </c>
      <c r="AZ448">
        <v>4</v>
      </c>
      <c r="BA448">
        <v>3</v>
      </c>
      <c r="CG448" t="str">
        <f t="shared" si="294"/>
        <v>DATA_Class_Base34</v>
      </c>
      <c r="CH448" s="3" t="s">
        <v>184</v>
      </c>
    </row>
    <row r="449" spans="1:86" ht="14.25">
      <c r="A449">
        <f t="shared" si="295"/>
        <v>5123500</v>
      </c>
      <c r="B449" s="2" t="s">
        <v>570</v>
      </c>
      <c r="C449" s="48" t="s">
        <v>571</v>
      </c>
      <c r="D449">
        <v>12</v>
      </c>
      <c r="E449">
        <v>5</v>
      </c>
      <c r="F449">
        <v>3</v>
      </c>
      <c r="G449" s="3" t="s">
        <v>572</v>
      </c>
      <c r="H449" s="3" t="s">
        <v>572</v>
      </c>
      <c r="I449" s="2">
        <v>0</v>
      </c>
      <c r="J449" s="2" t="s">
        <v>303</v>
      </c>
      <c r="K449" s="2">
        <f t="shared" si="296"/>
        <v>6</v>
      </c>
      <c r="L449" s="2">
        <f t="shared" si="303"/>
        <v>1.5</v>
      </c>
      <c r="M449" s="2">
        <f t="shared" si="303"/>
        <v>2</v>
      </c>
      <c r="N449" s="2">
        <v>10</v>
      </c>
      <c r="O449" s="2">
        <f t="shared" si="297"/>
        <v>583.44000000000005</v>
      </c>
      <c r="P449" s="2">
        <f t="shared" si="297"/>
        <v>29.76</v>
      </c>
      <c r="Q449" s="2">
        <f t="shared" si="297"/>
        <v>4142.7700000000004</v>
      </c>
      <c r="R449" s="2">
        <f t="shared" si="293"/>
        <v>211.28</v>
      </c>
      <c r="S449" s="2">
        <f t="shared" si="293"/>
        <v>97.24</v>
      </c>
      <c r="T449" s="2">
        <f t="shared" si="293"/>
        <v>7.29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17">
        <v>535003</v>
      </c>
      <c r="AA449" s="14" t="s">
        <v>799</v>
      </c>
      <c r="AB449" s="15" t="s">
        <v>469</v>
      </c>
      <c r="AC449" s="2">
        <v>5133500</v>
      </c>
      <c r="AD449" s="2">
        <v>0</v>
      </c>
      <c r="AE449" s="2">
        <v>1</v>
      </c>
      <c r="AF449" s="2">
        <f t="shared" si="302"/>
        <v>5063500</v>
      </c>
      <c r="AG449" s="2">
        <v>2</v>
      </c>
      <c r="AI449">
        <v>1</v>
      </c>
      <c r="AJ449" s="1">
        <f t="shared" si="304"/>
        <v>472.3456801746799</v>
      </c>
      <c r="AK449">
        <v>12</v>
      </c>
      <c r="AL449">
        <f t="shared" ref="AL449:AL498" si="305">INDEX($BD$5:$BD$60,MATCH($AU449,$BB$5:$BB$60,0))*$AR449/1.5*$BH$4*INDEX($BD$106:$BQ$106,MATCH($AK449,$BD$105:$BQ$105,0))</f>
        <v>530.4</v>
      </c>
      <c r="AM449">
        <f t="shared" ref="AM449:AM498" si="306">(INDEX($BD$5:$BD$56,MATCH($AU449,$BB$5:$BB$56,0))*$AR449/1.5*$BH$4*INDEX($BD$106:$BQ$106,MATCH($AK449,$BD$105:$BQ$105,0)))*0.051</f>
        <v>27.050399999999996</v>
      </c>
      <c r="AN449">
        <f t="shared" ref="AN449:AN498" si="307">INDEX($BE$5:$BE$60,MATCH($AU449,$BB$5:$BB$60,0))*$BI$4*INDEX($BD$106:$BQ$106,MATCH($AK449,$BD$105:$BQ$105,0))</f>
        <v>3766.1538461538457</v>
      </c>
      <c r="AO449">
        <f t="shared" ref="AO449:AO498" si="308">(INDEX($BE$5:$BE$60,MATCH($AU449,$BB$5:$BB$60,0))*$BI$4*INDEX($BD$106:$BQ$106,MATCH($AK449,$BD$105:$BQ$105,0)))*0.051</f>
        <v>192.07384615384612</v>
      </c>
      <c r="AP449">
        <f t="shared" ref="AP449:AP498" si="309">$AL449/INDEX($BF$5:$BF$60,MATCH($AU449,$BB$5:$BB$60,0))</f>
        <v>88.399999999999991</v>
      </c>
      <c r="AQ449">
        <f t="shared" ref="AQ449:AQ498" si="310">AP449*0.075</f>
        <v>6.629999999999999</v>
      </c>
      <c r="AR449">
        <f t="shared" si="290"/>
        <v>1.5</v>
      </c>
      <c r="AS449">
        <f t="shared" si="298"/>
        <v>2</v>
      </c>
      <c r="AT449">
        <f t="shared" si="299"/>
        <v>6</v>
      </c>
      <c r="AU449">
        <f t="shared" si="292"/>
        <v>5003</v>
      </c>
      <c r="AV449" s="1">
        <v>0</v>
      </c>
      <c r="AW449">
        <v>5</v>
      </c>
      <c r="AX449">
        <v>0.1</v>
      </c>
      <c r="AZ449">
        <v>5</v>
      </c>
      <c r="BA449">
        <v>3</v>
      </c>
      <c r="CG449" t="str">
        <f t="shared" si="294"/>
        <v>DATA_Class_Base35</v>
      </c>
      <c r="CH449" s="3" t="s">
        <v>195</v>
      </c>
    </row>
    <row r="450" spans="1:86" ht="14.25">
      <c r="A450">
        <f t="shared" si="295"/>
        <v>5123502</v>
      </c>
      <c r="B450" s="2" t="s">
        <v>574</v>
      </c>
      <c r="C450" s="48" t="s">
        <v>575</v>
      </c>
      <c r="D450">
        <v>12</v>
      </c>
      <c r="E450">
        <v>5</v>
      </c>
      <c r="F450">
        <v>3</v>
      </c>
      <c r="G450" s="3" t="s">
        <v>576</v>
      </c>
      <c r="H450" s="3" t="s">
        <v>576</v>
      </c>
      <c r="I450" s="2">
        <v>0</v>
      </c>
      <c r="J450" s="8" t="s">
        <v>577</v>
      </c>
      <c r="K450" s="2">
        <f t="shared" si="296"/>
        <v>6</v>
      </c>
      <c r="L450" s="2">
        <f t="shared" si="303"/>
        <v>1.4000000000000001</v>
      </c>
      <c r="M450" s="2">
        <f t="shared" si="303"/>
        <v>2</v>
      </c>
      <c r="N450" s="2">
        <v>10</v>
      </c>
      <c r="O450" s="2">
        <f t="shared" si="297"/>
        <v>565.49</v>
      </c>
      <c r="P450" s="2">
        <f t="shared" si="297"/>
        <v>28.84</v>
      </c>
      <c r="Q450" s="2">
        <f t="shared" si="297"/>
        <v>3989.33</v>
      </c>
      <c r="R450" s="2">
        <f t="shared" si="293"/>
        <v>203.46</v>
      </c>
      <c r="S450" s="2">
        <f t="shared" si="293"/>
        <v>94.25</v>
      </c>
      <c r="T450" s="2">
        <f t="shared" si="293"/>
        <v>7.07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17">
        <v>535023</v>
      </c>
      <c r="AA450" s="14" t="s">
        <v>800</v>
      </c>
      <c r="AB450" s="15" t="s">
        <v>469</v>
      </c>
      <c r="AC450" s="2">
        <v>5133502</v>
      </c>
      <c r="AD450" s="2">
        <v>0</v>
      </c>
      <c r="AE450" s="2">
        <v>1</v>
      </c>
      <c r="AF450" s="2">
        <f t="shared" si="302"/>
        <v>5063502</v>
      </c>
      <c r="AG450" s="2">
        <v>2</v>
      </c>
      <c r="AI450">
        <v>1</v>
      </c>
      <c r="AJ450" s="1">
        <f t="shared" si="304"/>
        <v>472.06426847980003</v>
      </c>
      <c r="AK450">
        <v>12</v>
      </c>
      <c r="AL450">
        <f t="shared" si="305"/>
        <v>514.07999999999993</v>
      </c>
      <c r="AM450">
        <f t="shared" si="306"/>
        <v>26.218079999999993</v>
      </c>
      <c r="AN450">
        <f t="shared" si="307"/>
        <v>3626.6666666666661</v>
      </c>
      <c r="AO450">
        <f t="shared" si="308"/>
        <v>184.95999999999995</v>
      </c>
      <c r="AP450">
        <f t="shared" si="309"/>
        <v>85.679999999999993</v>
      </c>
      <c r="AQ450">
        <f t="shared" si="310"/>
        <v>6.4259999999999993</v>
      </c>
      <c r="AR450">
        <f t="shared" ref="AR450:AR498" si="311">INDEX($BG$5:$BG$60,MATCH($AU450,$BB$5:$BB$60,0))</f>
        <v>1.4</v>
      </c>
      <c r="AS450">
        <f t="shared" si="298"/>
        <v>2</v>
      </c>
      <c r="AT450">
        <f t="shared" si="299"/>
        <v>6</v>
      </c>
      <c r="AU450">
        <f t="shared" si="292"/>
        <v>5023</v>
      </c>
      <c r="AV450" s="1">
        <v>2</v>
      </c>
      <c r="AW450">
        <v>5</v>
      </c>
      <c r="AX450">
        <v>0.1</v>
      </c>
      <c r="AZ450">
        <v>5</v>
      </c>
      <c r="BA450">
        <v>3</v>
      </c>
      <c r="CG450" t="str">
        <f t="shared" si="294"/>
        <v>DATA_Class_Base36</v>
      </c>
      <c r="CH450" s="3" t="s">
        <v>201</v>
      </c>
    </row>
    <row r="451" spans="1:86" ht="14.25">
      <c r="A451">
        <f t="shared" si="295"/>
        <v>5123601</v>
      </c>
      <c r="B451" s="2" t="s">
        <v>579</v>
      </c>
      <c r="C451" s="48" t="s">
        <v>580</v>
      </c>
      <c r="D451">
        <v>12</v>
      </c>
      <c r="E451">
        <v>6</v>
      </c>
      <c r="F451">
        <v>3</v>
      </c>
      <c r="G451" s="3" t="s">
        <v>581</v>
      </c>
      <c r="H451" s="3" t="s">
        <v>581</v>
      </c>
      <c r="I451">
        <v>0</v>
      </c>
      <c r="J451" s="2" t="s">
        <v>309</v>
      </c>
      <c r="K451" s="2">
        <f t="shared" si="296"/>
        <v>6</v>
      </c>
      <c r="L451" s="2">
        <f t="shared" si="303"/>
        <v>1.5</v>
      </c>
      <c r="M451" s="2">
        <f t="shared" si="303"/>
        <v>2</v>
      </c>
      <c r="N451" s="2">
        <v>10</v>
      </c>
      <c r="O451" s="2">
        <f t="shared" si="297"/>
        <v>403.92</v>
      </c>
      <c r="P451" s="2">
        <f t="shared" si="297"/>
        <v>20.6</v>
      </c>
      <c r="Q451" s="2">
        <f t="shared" si="297"/>
        <v>5984</v>
      </c>
      <c r="R451" s="2">
        <f t="shared" si="293"/>
        <v>305.18</v>
      </c>
      <c r="S451" s="2">
        <f t="shared" si="293"/>
        <v>100.98</v>
      </c>
      <c r="T451" s="2">
        <f t="shared" si="293"/>
        <v>7.57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17">
        <v>536013</v>
      </c>
      <c r="AA451" s="14" t="s">
        <v>801</v>
      </c>
      <c r="AB451" s="15" t="s">
        <v>469</v>
      </c>
      <c r="AC451" s="2">
        <v>5133601</v>
      </c>
      <c r="AD451" s="2">
        <v>0</v>
      </c>
      <c r="AE451" s="2">
        <v>1</v>
      </c>
      <c r="AF451" s="2">
        <f t="shared" si="302"/>
        <v>5063601</v>
      </c>
      <c r="AG451" s="2">
        <v>2</v>
      </c>
      <c r="AI451">
        <v>1</v>
      </c>
      <c r="AJ451" s="1">
        <f t="shared" si="304"/>
        <v>472.69791696440643</v>
      </c>
      <c r="AK451">
        <v>12</v>
      </c>
      <c r="AL451">
        <f t="shared" si="305"/>
        <v>367.2</v>
      </c>
      <c r="AM451">
        <f t="shared" si="306"/>
        <v>18.7272</v>
      </c>
      <c r="AN451">
        <f t="shared" si="307"/>
        <v>5440</v>
      </c>
      <c r="AO451">
        <f t="shared" si="308"/>
        <v>277.44</v>
      </c>
      <c r="AP451">
        <f t="shared" si="309"/>
        <v>91.8</v>
      </c>
      <c r="AQ451">
        <f t="shared" si="310"/>
        <v>6.8849999999999998</v>
      </c>
      <c r="AR451">
        <f t="shared" si="311"/>
        <v>1.5</v>
      </c>
      <c r="AS451">
        <f t="shared" si="298"/>
        <v>2</v>
      </c>
      <c r="AT451">
        <f t="shared" si="299"/>
        <v>6</v>
      </c>
      <c r="AU451">
        <f t="shared" si="292"/>
        <v>6013</v>
      </c>
      <c r="AV451" s="1">
        <v>1</v>
      </c>
      <c r="AW451">
        <v>5</v>
      </c>
      <c r="AX451">
        <v>0.1</v>
      </c>
      <c r="AZ451">
        <v>6</v>
      </c>
      <c r="BA451">
        <v>3</v>
      </c>
      <c r="CA451" s="13"/>
      <c r="CB451" s="13"/>
      <c r="CC451" s="13"/>
      <c r="CG451" t="str">
        <f t="shared" si="294"/>
        <v>DATA_Class_Base29</v>
      </c>
      <c r="CH451" s="3" t="s">
        <v>378</v>
      </c>
    </row>
    <row r="452" spans="1:86" ht="14.25">
      <c r="A452">
        <f t="shared" si="295"/>
        <v>5124201</v>
      </c>
      <c r="B452" s="2" t="s">
        <v>583</v>
      </c>
      <c r="C452" s="48" t="s">
        <v>584</v>
      </c>
      <c r="D452">
        <v>12</v>
      </c>
      <c r="E452">
        <v>2</v>
      </c>
      <c r="F452">
        <v>4</v>
      </c>
      <c r="G452" s="3" t="s">
        <v>585</v>
      </c>
      <c r="H452" s="3" t="s">
        <v>585</v>
      </c>
      <c r="I452" s="30">
        <v>0</v>
      </c>
      <c r="J452" s="8" t="s">
        <v>298</v>
      </c>
      <c r="K452" s="2">
        <f t="shared" si="296"/>
        <v>3</v>
      </c>
      <c r="L452" s="2">
        <f t="shared" si="303"/>
        <v>1.8</v>
      </c>
      <c r="M452" s="2">
        <f t="shared" si="303"/>
        <v>1.8</v>
      </c>
      <c r="N452" s="2">
        <v>10</v>
      </c>
      <c r="O452" s="2">
        <f t="shared" si="297"/>
        <v>470.02</v>
      </c>
      <c r="P452" s="2">
        <f t="shared" si="297"/>
        <v>23.97</v>
      </c>
      <c r="Q452" s="2">
        <f t="shared" si="297"/>
        <v>7344</v>
      </c>
      <c r="R452" s="2">
        <f t="shared" si="293"/>
        <v>374.54</v>
      </c>
      <c r="S452" s="2">
        <f t="shared" si="293"/>
        <v>174.08</v>
      </c>
      <c r="T452" s="2">
        <f t="shared" si="293"/>
        <v>13.06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17">
        <v>542013</v>
      </c>
      <c r="AA452" s="15" t="s">
        <v>802</v>
      </c>
      <c r="AB452" s="15" t="s">
        <v>469</v>
      </c>
      <c r="AC452" s="2">
        <v>5134201</v>
      </c>
      <c r="AD452" s="2">
        <v>0</v>
      </c>
      <c r="AE452" s="2">
        <v>1</v>
      </c>
      <c r="AF452" s="2">
        <f t="shared" si="302"/>
        <v>5064201</v>
      </c>
      <c r="AG452" s="2">
        <v>2</v>
      </c>
      <c r="AH452" s="2"/>
      <c r="AI452">
        <v>1</v>
      </c>
      <c r="AJ452" s="1">
        <f t="shared" si="304"/>
        <v>478.28568999097172</v>
      </c>
      <c r="AK452">
        <v>12</v>
      </c>
      <c r="AL452">
        <f t="shared" si="305"/>
        <v>391.68</v>
      </c>
      <c r="AM452">
        <f t="shared" si="306"/>
        <v>19.975680000000001</v>
      </c>
      <c r="AN452">
        <f t="shared" si="307"/>
        <v>6120</v>
      </c>
      <c r="AO452">
        <f t="shared" si="308"/>
        <v>312.12</v>
      </c>
      <c r="AP452">
        <f t="shared" si="309"/>
        <v>145.06666666666666</v>
      </c>
      <c r="AQ452">
        <f t="shared" si="310"/>
        <v>10.879999999999999</v>
      </c>
      <c r="AR452">
        <f t="shared" si="311"/>
        <v>1.8</v>
      </c>
      <c r="AS452">
        <f t="shared" si="298"/>
        <v>1.8</v>
      </c>
      <c r="AT452">
        <f t="shared" si="299"/>
        <v>3</v>
      </c>
      <c r="AU452">
        <f t="shared" si="292"/>
        <v>2014</v>
      </c>
      <c r="AV452" s="1">
        <v>1</v>
      </c>
      <c r="AW452">
        <v>5</v>
      </c>
      <c r="AX452">
        <v>0.2</v>
      </c>
      <c r="AZ452">
        <v>2</v>
      </c>
      <c r="BA452">
        <v>4</v>
      </c>
      <c r="CA452" s="13"/>
      <c r="CB452" s="13"/>
      <c r="CC452" s="13"/>
      <c r="CG452" t="str">
        <f t="shared" si="294"/>
        <v>DATA_Class_Base41</v>
      </c>
      <c r="CH452" s="3" t="s">
        <v>413</v>
      </c>
    </row>
    <row r="453" spans="1:86" ht="14.25">
      <c r="A453">
        <f t="shared" si="295"/>
        <v>5124302</v>
      </c>
      <c r="B453" s="2" t="s">
        <v>587</v>
      </c>
      <c r="C453" s="48" t="s">
        <v>588</v>
      </c>
      <c r="D453">
        <v>12</v>
      </c>
      <c r="E453">
        <v>3</v>
      </c>
      <c r="F453">
        <v>4</v>
      </c>
      <c r="G453" s="3" t="s">
        <v>589</v>
      </c>
      <c r="H453" s="3" t="s">
        <v>589</v>
      </c>
      <c r="I453" s="30">
        <v>0</v>
      </c>
      <c r="J453" s="8" t="s">
        <v>590</v>
      </c>
      <c r="K453" s="2">
        <f t="shared" si="296"/>
        <v>3</v>
      </c>
      <c r="L453" s="2">
        <f t="shared" si="303"/>
        <v>1.4000000000000001</v>
      </c>
      <c r="M453" s="2">
        <f t="shared" si="303"/>
        <v>2</v>
      </c>
      <c r="N453" s="2">
        <v>10</v>
      </c>
      <c r="O453" s="2">
        <f t="shared" si="297"/>
        <v>481.71</v>
      </c>
      <c r="P453" s="2">
        <f t="shared" si="297"/>
        <v>24.57</v>
      </c>
      <c r="Q453" s="2">
        <f t="shared" si="297"/>
        <v>5118.55</v>
      </c>
      <c r="R453" s="2">
        <f t="shared" si="293"/>
        <v>261.05</v>
      </c>
      <c r="S453" s="2">
        <f t="shared" si="293"/>
        <v>120.43</v>
      </c>
      <c r="T453" s="2">
        <f t="shared" si="293"/>
        <v>9.0299999999999994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17">
        <v>543023</v>
      </c>
      <c r="AA453" s="15" t="s">
        <v>803</v>
      </c>
      <c r="AB453" s="15" t="s">
        <v>469</v>
      </c>
      <c r="AC453" s="2">
        <v>5134302</v>
      </c>
      <c r="AD453" s="2">
        <v>0</v>
      </c>
      <c r="AE453" s="2">
        <v>1</v>
      </c>
      <c r="AF453" s="2">
        <f t="shared" si="302"/>
        <v>5064302</v>
      </c>
      <c r="AG453" s="2">
        <v>2</v>
      </c>
      <c r="AH453" s="2"/>
      <c r="AI453">
        <v>1</v>
      </c>
      <c r="AJ453" s="1">
        <f t="shared" si="304"/>
        <v>474.04122147044262</v>
      </c>
      <c r="AK453">
        <v>12</v>
      </c>
      <c r="AL453">
        <f t="shared" si="305"/>
        <v>418.87999999999994</v>
      </c>
      <c r="AM453">
        <f t="shared" si="306"/>
        <v>21.362879999999997</v>
      </c>
      <c r="AN453">
        <f t="shared" si="307"/>
        <v>4450.9090909090901</v>
      </c>
      <c r="AO453">
        <f t="shared" si="308"/>
        <v>226.99636363636358</v>
      </c>
      <c r="AP453">
        <f t="shared" si="309"/>
        <v>104.71999999999998</v>
      </c>
      <c r="AQ453">
        <f t="shared" si="310"/>
        <v>7.8539999999999983</v>
      </c>
      <c r="AR453">
        <f t="shared" si="311"/>
        <v>1.4</v>
      </c>
      <c r="AS453">
        <f t="shared" si="298"/>
        <v>2</v>
      </c>
      <c r="AT453">
        <f t="shared" si="299"/>
        <v>3</v>
      </c>
      <c r="AU453">
        <f t="shared" si="292"/>
        <v>3024</v>
      </c>
      <c r="AV453" s="1">
        <v>2</v>
      </c>
      <c r="AW453">
        <v>5</v>
      </c>
      <c r="AX453">
        <v>0.15</v>
      </c>
      <c r="AZ453">
        <v>3</v>
      </c>
      <c r="BA453">
        <v>4</v>
      </c>
      <c r="BZ453" t="str">
        <f t="shared" ref="BZ453:BZ455" si="312">CA453&amp;","&amp;CB453&amp;","&amp;CC453</f>
        <v>1545011,2545011,3545011</v>
      </c>
      <c r="CA453" s="13">
        <v>1545011</v>
      </c>
      <c r="CB453" s="13">
        <v>2545011</v>
      </c>
      <c r="CC453" s="13">
        <v>3545011</v>
      </c>
      <c r="CG453" t="str">
        <f t="shared" si="294"/>
        <v>DATA_Class_Base37</v>
      </c>
      <c r="CH453" s="3" t="s">
        <v>402</v>
      </c>
    </row>
    <row r="454" spans="1:86" ht="14.25">
      <c r="A454" s="49">
        <f t="shared" si="295"/>
        <v>5124501</v>
      </c>
      <c r="B454" s="2" t="s">
        <v>592</v>
      </c>
      <c r="C454" s="48" t="s">
        <v>593</v>
      </c>
      <c r="D454">
        <v>12</v>
      </c>
      <c r="E454">
        <v>5</v>
      </c>
      <c r="F454">
        <v>4</v>
      </c>
      <c r="G454" s="3" t="s">
        <v>594</v>
      </c>
      <c r="H454" s="3" t="s">
        <v>594</v>
      </c>
      <c r="I454">
        <v>0</v>
      </c>
      <c r="J454" s="2" t="s">
        <v>334</v>
      </c>
      <c r="K454" s="2">
        <f t="shared" si="296"/>
        <v>6</v>
      </c>
      <c r="L454" s="2">
        <f t="shared" si="303"/>
        <v>1.6</v>
      </c>
      <c r="M454" s="2">
        <f t="shared" si="303"/>
        <v>2</v>
      </c>
      <c r="N454" s="2">
        <v>10</v>
      </c>
      <c r="O454" s="2">
        <f t="shared" si="297"/>
        <v>650.62</v>
      </c>
      <c r="P454" s="2">
        <f t="shared" si="297"/>
        <v>33.18</v>
      </c>
      <c r="Q454" s="2">
        <f t="shared" si="297"/>
        <v>4331.08</v>
      </c>
      <c r="R454" s="2">
        <f t="shared" si="293"/>
        <v>220.88</v>
      </c>
      <c r="S454" s="2">
        <f t="shared" si="293"/>
        <v>92.95</v>
      </c>
      <c r="T454" s="2">
        <f t="shared" si="293"/>
        <v>6.97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17">
        <v>545013</v>
      </c>
      <c r="AA454" s="14" t="s">
        <v>804</v>
      </c>
      <c r="AB454" s="15" t="s">
        <v>469</v>
      </c>
      <c r="AC454" s="2">
        <v>5134501</v>
      </c>
      <c r="AD454" s="2">
        <v>0</v>
      </c>
      <c r="AE454" s="2">
        <v>1</v>
      </c>
      <c r="AF454" s="2">
        <f t="shared" si="302"/>
        <v>5064501</v>
      </c>
      <c r="AG454" s="2">
        <v>2</v>
      </c>
      <c r="AH454" s="2"/>
      <c r="AI454">
        <v>1</v>
      </c>
      <c r="AJ454" s="1">
        <f t="shared" si="304"/>
        <v>471.56258072285112</v>
      </c>
      <c r="AK454">
        <v>12</v>
      </c>
      <c r="AL454">
        <f t="shared" si="305"/>
        <v>565.76</v>
      </c>
      <c r="AM454">
        <f t="shared" si="306"/>
        <v>28.853759999999998</v>
      </c>
      <c r="AN454">
        <f t="shared" si="307"/>
        <v>3766.1538461538457</v>
      </c>
      <c r="AO454">
        <f t="shared" si="308"/>
        <v>192.07384615384612</v>
      </c>
      <c r="AP454">
        <f t="shared" si="309"/>
        <v>80.822857142857146</v>
      </c>
      <c r="AQ454">
        <f t="shared" si="310"/>
        <v>6.0617142857142854</v>
      </c>
      <c r="AR454">
        <f t="shared" si="311"/>
        <v>1.6</v>
      </c>
      <c r="AS454">
        <f t="shared" si="298"/>
        <v>2</v>
      </c>
      <c r="AT454">
        <f t="shared" si="299"/>
        <v>6</v>
      </c>
      <c r="AU454">
        <f t="shared" si="292"/>
        <v>5014</v>
      </c>
      <c r="AV454" s="1">
        <v>1</v>
      </c>
      <c r="AW454">
        <v>5</v>
      </c>
      <c r="AX454">
        <v>0.15</v>
      </c>
      <c r="AZ454">
        <v>5</v>
      </c>
      <c r="BA454">
        <v>4</v>
      </c>
      <c r="BZ454" t="str">
        <f t="shared" si="312"/>
        <v>1546001,2546001,3546001</v>
      </c>
      <c r="CA454" s="13">
        <v>1546001</v>
      </c>
      <c r="CB454" s="13">
        <v>2546001</v>
      </c>
      <c r="CC454" s="13">
        <v>3546001</v>
      </c>
      <c r="CG454" t="str">
        <f t="shared" si="294"/>
        <v>DATA_Class_Base38</v>
      </c>
      <c r="CH454" s="3" t="s">
        <v>198</v>
      </c>
    </row>
    <row r="455" spans="1:86" ht="14.25">
      <c r="A455" s="49">
        <f t="shared" si="295"/>
        <v>5124600</v>
      </c>
      <c r="B455" s="2" t="s">
        <v>596</v>
      </c>
      <c r="C455" s="48" t="s">
        <v>597</v>
      </c>
      <c r="D455">
        <v>12</v>
      </c>
      <c r="E455">
        <v>6</v>
      </c>
      <c r="F455">
        <v>4</v>
      </c>
      <c r="G455" s="3" t="s">
        <v>598</v>
      </c>
      <c r="H455" s="3" t="s">
        <v>598</v>
      </c>
      <c r="I455" s="2">
        <v>0</v>
      </c>
      <c r="J455" s="2" t="s">
        <v>339</v>
      </c>
      <c r="K455" s="2">
        <f t="shared" si="296"/>
        <v>3</v>
      </c>
      <c r="L455" s="2">
        <f t="shared" si="303"/>
        <v>1.4000000000000001</v>
      </c>
      <c r="M455" s="2">
        <f t="shared" si="303"/>
        <v>1.9000000000000001</v>
      </c>
      <c r="N455" s="2">
        <v>10</v>
      </c>
      <c r="O455" s="2">
        <f t="shared" si="297"/>
        <v>481.71</v>
      </c>
      <c r="P455" s="2">
        <f t="shared" si="297"/>
        <v>24.57</v>
      </c>
      <c r="Q455" s="2">
        <f t="shared" si="297"/>
        <v>5118.55</v>
      </c>
      <c r="R455" s="2">
        <f t="shared" si="293"/>
        <v>261.05</v>
      </c>
      <c r="S455" s="2">
        <f t="shared" si="293"/>
        <v>120.43</v>
      </c>
      <c r="T455" s="2">
        <f t="shared" si="293"/>
        <v>9.0299999999999994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17">
        <v>546003</v>
      </c>
      <c r="AA455" s="14" t="s">
        <v>805</v>
      </c>
      <c r="AB455" s="15" t="s">
        <v>469</v>
      </c>
      <c r="AC455" s="2">
        <v>5134600</v>
      </c>
      <c r="AD455" s="2">
        <v>0</v>
      </c>
      <c r="AE455" s="2">
        <v>1</v>
      </c>
      <c r="AF455" s="2">
        <f t="shared" si="302"/>
        <v>5064600</v>
      </c>
      <c r="AG455" s="2">
        <v>2</v>
      </c>
      <c r="AH455" s="2"/>
      <c r="AI455">
        <v>1</v>
      </c>
      <c r="AJ455" s="1">
        <f t="shared" si="304"/>
        <v>474.04122147044262</v>
      </c>
      <c r="AK455">
        <v>12</v>
      </c>
      <c r="AL455">
        <f t="shared" si="305"/>
        <v>418.87999999999994</v>
      </c>
      <c r="AM455">
        <f t="shared" si="306"/>
        <v>21.362879999999997</v>
      </c>
      <c r="AN455">
        <f t="shared" si="307"/>
        <v>4450.9090909090901</v>
      </c>
      <c r="AO455">
        <f t="shared" si="308"/>
        <v>226.99636363636358</v>
      </c>
      <c r="AP455">
        <f t="shared" si="309"/>
        <v>104.71999999999998</v>
      </c>
      <c r="AQ455">
        <f t="shared" si="310"/>
        <v>7.8539999999999983</v>
      </c>
      <c r="AR455">
        <f t="shared" si="311"/>
        <v>1.4</v>
      </c>
      <c r="AS455">
        <f t="shared" si="298"/>
        <v>1.9</v>
      </c>
      <c r="AT455">
        <f t="shared" si="299"/>
        <v>3</v>
      </c>
      <c r="AU455">
        <f t="shared" si="292"/>
        <v>6004</v>
      </c>
      <c r="AV455" s="1">
        <v>0</v>
      </c>
      <c r="AW455">
        <v>5</v>
      </c>
      <c r="AX455">
        <v>0.15</v>
      </c>
      <c r="AZ455">
        <v>6</v>
      </c>
      <c r="BA455">
        <v>4</v>
      </c>
      <c r="BZ455" t="str">
        <f t="shared" si="312"/>
        <v>1546021,2546021,3546021</v>
      </c>
      <c r="CA455" s="13">
        <v>1546021</v>
      </c>
      <c r="CB455" s="13">
        <v>2546021</v>
      </c>
      <c r="CC455" s="13">
        <v>3546021</v>
      </c>
      <c r="CG455" t="str">
        <f t="shared" si="294"/>
        <v>DATA_Class_Base39</v>
      </c>
      <c r="CH455" s="3" t="s">
        <v>407</v>
      </c>
    </row>
    <row r="456" spans="1:86" ht="14.25">
      <c r="A456">
        <f t="shared" si="295"/>
        <v>5124602</v>
      </c>
      <c r="B456" s="2" t="s">
        <v>600</v>
      </c>
      <c r="C456" s="48" t="s">
        <v>601</v>
      </c>
      <c r="D456">
        <v>12</v>
      </c>
      <c r="E456">
        <v>6</v>
      </c>
      <c r="F456">
        <v>4</v>
      </c>
      <c r="G456" s="3" t="s">
        <v>602</v>
      </c>
      <c r="H456" s="3" t="s">
        <v>602</v>
      </c>
      <c r="I456" t="s">
        <v>345</v>
      </c>
      <c r="J456" s="2" t="s">
        <v>346</v>
      </c>
      <c r="K456" s="2">
        <f t="shared" si="296"/>
        <v>6</v>
      </c>
      <c r="L456" s="2">
        <f t="shared" si="303"/>
        <v>1.8</v>
      </c>
      <c r="M456" s="2">
        <f t="shared" si="303"/>
        <v>2</v>
      </c>
      <c r="N456" s="2">
        <v>10</v>
      </c>
      <c r="O456" s="2">
        <f t="shared" si="297"/>
        <v>587.52</v>
      </c>
      <c r="P456" s="2">
        <f t="shared" si="297"/>
        <v>29.96</v>
      </c>
      <c r="Q456" s="2">
        <f t="shared" si="297"/>
        <v>5875.2</v>
      </c>
      <c r="R456" s="2">
        <f t="shared" si="293"/>
        <v>299.64</v>
      </c>
      <c r="S456" s="2">
        <f t="shared" si="293"/>
        <v>117.5</v>
      </c>
      <c r="T456" s="2">
        <f t="shared" si="293"/>
        <v>8.81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17">
        <v>546023</v>
      </c>
      <c r="AA456" s="55" t="s">
        <v>1726</v>
      </c>
      <c r="AB456" s="15" t="s">
        <v>469</v>
      </c>
      <c r="AC456" s="2">
        <v>5134602</v>
      </c>
      <c r="AD456" s="2">
        <v>0</v>
      </c>
      <c r="AE456" s="2">
        <v>1</v>
      </c>
      <c r="AF456" s="2">
        <f t="shared" si="302"/>
        <v>5064602</v>
      </c>
      <c r="AG456" s="2">
        <v>2</v>
      </c>
      <c r="AH456" s="2"/>
      <c r="AI456">
        <v>1</v>
      </c>
      <c r="AJ456" s="1">
        <f t="shared" si="304"/>
        <v>473.33326881907408</v>
      </c>
      <c r="AK456">
        <v>12</v>
      </c>
      <c r="AL456">
        <f t="shared" si="305"/>
        <v>489.59999999999997</v>
      </c>
      <c r="AM456">
        <f t="shared" si="306"/>
        <v>24.969599999999996</v>
      </c>
      <c r="AN456">
        <f t="shared" si="307"/>
        <v>4896</v>
      </c>
      <c r="AO456">
        <f t="shared" si="308"/>
        <v>249.696</v>
      </c>
      <c r="AP456">
        <f t="shared" si="309"/>
        <v>97.919999999999987</v>
      </c>
      <c r="AQ456">
        <f t="shared" si="310"/>
        <v>7.3439999999999985</v>
      </c>
      <c r="AR456">
        <f t="shared" si="311"/>
        <v>1.8</v>
      </c>
      <c r="AS456">
        <f t="shared" si="298"/>
        <v>2</v>
      </c>
      <c r="AT456">
        <f t="shared" si="299"/>
        <v>6</v>
      </c>
      <c r="AU456">
        <f t="shared" si="292"/>
        <v>6024</v>
      </c>
      <c r="AV456" s="1">
        <v>2</v>
      </c>
      <c r="AW456">
        <v>5</v>
      </c>
      <c r="AX456">
        <v>0.2</v>
      </c>
      <c r="AZ456">
        <v>6</v>
      </c>
      <c r="BA456">
        <v>4</v>
      </c>
      <c r="CA456" s="13"/>
      <c r="CB456" s="13"/>
      <c r="CC456" s="13"/>
      <c r="CG456" t="str">
        <f t="shared" si="294"/>
        <v>DATA_Class_Base30</v>
      </c>
      <c r="CH456" s="3" t="s">
        <v>381</v>
      </c>
    </row>
    <row r="457" spans="1:86" ht="14.25">
      <c r="A457">
        <f t="shared" si="295"/>
        <v>5125202</v>
      </c>
      <c r="B457" s="2" t="s">
        <v>604</v>
      </c>
      <c r="C457" s="48" t="s">
        <v>605</v>
      </c>
      <c r="D457">
        <v>12</v>
      </c>
      <c r="E457">
        <v>2</v>
      </c>
      <c r="F457">
        <v>5</v>
      </c>
      <c r="G457" s="3" t="s">
        <v>606</v>
      </c>
      <c r="H457" s="3" t="s">
        <v>606</v>
      </c>
      <c r="I457" s="3">
        <v>0</v>
      </c>
      <c r="J457" s="8" t="s">
        <v>607</v>
      </c>
      <c r="K457" s="2">
        <f t="shared" si="296"/>
        <v>3</v>
      </c>
      <c r="L457" s="2">
        <f t="shared" si="303"/>
        <v>1.6</v>
      </c>
      <c r="M457" s="2">
        <f t="shared" si="303"/>
        <v>2</v>
      </c>
      <c r="N457" s="2">
        <v>10</v>
      </c>
      <c r="O457" s="2">
        <f t="shared" si="297"/>
        <v>500.48</v>
      </c>
      <c r="P457" s="2">
        <f t="shared" si="297"/>
        <v>25.52</v>
      </c>
      <c r="Q457" s="2">
        <f t="shared" si="297"/>
        <v>5630.4</v>
      </c>
      <c r="R457" s="2">
        <f t="shared" si="293"/>
        <v>287.14999999999998</v>
      </c>
      <c r="S457" s="2">
        <f t="shared" si="293"/>
        <v>166.83</v>
      </c>
      <c r="T457" s="2">
        <f t="shared" si="293"/>
        <v>12.51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17">
        <v>552023</v>
      </c>
      <c r="AA457" s="15" t="s">
        <v>807</v>
      </c>
      <c r="AB457" s="15" t="s">
        <v>469</v>
      </c>
      <c r="AC457" s="2">
        <v>5135202</v>
      </c>
      <c r="AD457" s="2">
        <v>0</v>
      </c>
      <c r="AE457" s="2">
        <v>1</v>
      </c>
      <c r="AF457" s="2">
        <f t="shared" si="302"/>
        <v>5065202</v>
      </c>
      <c r="AG457" s="2">
        <v>2</v>
      </c>
      <c r="AH457" s="2"/>
      <c r="AI457">
        <v>1</v>
      </c>
      <c r="AJ457" s="1">
        <f t="shared" si="304"/>
        <v>478.28568999097172</v>
      </c>
      <c r="AK457">
        <v>12</v>
      </c>
      <c r="AL457">
        <f t="shared" si="305"/>
        <v>435.2</v>
      </c>
      <c r="AM457">
        <f t="shared" si="306"/>
        <v>22.195199999999996</v>
      </c>
      <c r="AN457">
        <f t="shared" si="307"/>
        <v>4896</v>
      </c>
      <c r="AO457">
        <f t="shared" si="308"/>
        <v>249.696</v>
      </c>
      <c r="AP457">
        <f t="shared" si="309"/>
        <v>145.06666666666666</v>
      </c>
      <c r="AQ457">
        <f t="shared" si="310"/>
        <v>10.879999999999999</v>
      </c>
      <c r="AR457">
        <f t="shared" si="311"/>
        <v>1.6</v>
      </c>
      <c r="AS457">
        <f t="shared" si="298"/>
        <v>2</v>
      </c>
      <c r="AT457">
        <f t="shared" si="299"/>
        <v>3</v>
      </c>
      <c r="AU457">
        <f t="shared" si="292"/>
        <v>2025</v>
      </c>
      <c r="AV457" s="1">
        <v>2</v>
      </c>
      <c r="AW457">
        <v>5</v>
      </c>
      <c r="AX457">
        <v>0.15</v>
      </c>
      <c r="AZ457">
        <v>2</v>
      </c>
      <c r="BA457">
        <v>5</v>
      </c>
      <c r="BZ457" t="str">
        <f t="shared" ref="BZ457:BZ459" si="313">CA457&amp;","&amp;CB457&amp;","&amp;CC457</f>
        <v>1553001,2553001,3553001</v>
      </c>
      <c r="CA457" s="13">
        <v>1553001</v>
      </c>
      <c r="CB457" s="13">
        <v>2553001</v>
      </c>
      <c r="CC457" s="13">
        <v>3553001</v>
      </c>
      <c r="CG457" t="str">
        <f t="shared" si="294"/>
        <v>DATA_Class_Base40</v>
      </c>
      <c r="CH457" s="3" t="s">
        <v>411</v>
      </c>
    </row>
    <row r="458" spans="1:86" ht="14.25">
      <c r="A458" s="49">
        <f t="shared" si="295"/>
        <v>5125300</v>
      </c>
      <c r="B458" s="2" t="s">
        <v>609</v>
      </c>
      <c r="C458" s="48" t="s">
        <v>610</v>
      </c>
      <c r="D458">
        <v>12</v>
      </c>
      <c r="E458">
        <v>3</v>
      </c>
      <c r="F458">
        <v>5</v>
      </c>
      <c r="G458" s="3" t="s">
        <v>611</v>
      </c>
      <c r="H458" s="3" t="s">
        <v>611</v>
      </c>
      <c r="I458" s="2">
        <v>0</v>
      </c>
      <c r="J458" s="8" t="s">
        <v>612</v>
      </c>
      <c r="K458" s="2">
        <f t="shared" si="296"/>
        <v>3</v>
      </c>
      <c r="L458" s="2">
        <f t="shared" si="303"/>
        <v>1.3</v>
      </c>
      <c r="M458" s="2">
        <f t="shared" si="303"/>
        <v>2</v>
      </c>
      <c r="N458" s="2">
        <v>10</v>
      </c>
      <c r="O458" s="2">
        <f t="shared" si="297"/>
        <v>487.97</v>
      </c>
      <c r="P458" s="2">
        <f t="shared" si="297"/>
        <v>24.89</v>
      </c>
      <c r="Q458" s="2">
        <f t="shared" si="297"/>
        <v>5108.87</v>
      </c>
      <c r="R458" s="2">
        <f t="shared" si="293"/>
        <v>260.55</v>
      </c>
      <c r="S458" s="2">
        <f t="shared" si="293"/>
        <v>121.99</v>
      </c>
      <c r="T458" s="2">
        <f t="shared" si="293"/>
        <v>9.15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17">
        <v>553003</v>
      </c>
      <c r="AA458" s="14" t="s">
        <v>808</v>
      </c>
      <c r="AB458" s="15" t="s">
        <v>469</v>
      </c>
      <c r="AC458" s="2">
        <v>5135300</v>
      </c>
      <c r="AD458" s="2">
        <v>0</v>
      </c>
      <c r="AE458" s="2">
        <v>1</v>
      </c>
      <c r="AF458" s="2">
        <f t="shared" si="302"/>
        <v>5065300</v>
      </c>
      <c r="AG458" s="2">
        <v>2</v>
      </c>
      <c r="AH458" s="2"/>
      <c r="AI458">
        <v>1</v>
      </c>
      <c r="AJ458" s="1">
        <f t="shared" si="304"/>
        <v>473.72238088402406</v>
      </c>
      <c r="AK458">
        <v>12</v>
      </c>
      <c r="AL458">
        <f t="shared" si="305"/>
        <v>406.64</v>
      </c>
      <c r="AM458">
        <f t="shared" si="306"/>
        <v>20.738639999999997</v>
      </c>
      <c r="AN458">
        <f t="shared" si="307"/>
        <v>4257.3913043478269</v>
      </c>
      <c r="AO458">
        <f t="shared" si="308"/>
        <v>217.12695652173915</v>
      </c>
      <c r="AP458">
        <f t="shared" si="309"/>
        <v>101.66</v>
      </c>
      <c r="AQ458">
        <f t="shared" si="310"/>
        <v>7.6244999999999994</v>
      </c>
      <c r="AR458">
        <f t="shared" si="311"/>
        <v>1.3</v>
      </c>
      <c r="AS458">
        <f t="shared" si="298"/>
        <v>2</v>
      </c>
      <c r="AT458">
        <f t="shared" si="299"/>
        <v>3</v>
      </c>
      <c r="AU458">
        <f t="shared" si="292"/>
        <v>3005</v>
      </c>
      <c r="AV458" s="1">
        <v>0</v>
      </c>
      <c r="AW458">
        <v>5</v>
      </c>
      <c r="AX458">
        <v>0.2</v>
      </c>
      <c r="AZ458">
        <v>3</v>
      </c>
      <c r="BA458">
        <v>5</v>
      </c>
      <c r="BZ458" t="str">
        <f t="shared" si="313"/>
        <v>1553021,2553021,3553021</v>
      </c>
      <c r="CA458" s="13">
        <v>1553021</v>
      </c>
      <c r="CB458" s="13">
        <v>2553021</v>
      </c>
      <c r="CC458" s="13">
        <v>3553021</v>
      </c>
      <c r="CG458" t="str">
        <f t="shared" si="294"/>
        <v>DATA_Class_Base41</v>
      </c>
      <c r="CH458" s="3" t="s">
        <v>413</v>
      </c>
    </row>
    <row r="459" spans="1:86" ht="14.25">
      <c r="A459">
        <f t="shared" si="295"/>
        <v>5125302</v>
      </c>
      <c r="B459" s="2" t="s">
        <v>614</v>
      </c>
      <c r="C459" s="48" t="s">
        <v>615</v>
      </c>
      <c r="D459">
        <v>12</v>
      </c>
      <c r="E459">
        <v>3</v>
      </c>
      <c r="F459">
        <v>5</v>
      </c>
      <c r="G459" s="3" t="s">
        <v>616</v>
      </c>
      <c r="H459" s="3" t="s">
        <v>616</v>
      </c>
      <c r="I459" s="2">
        <v>0</v>
      </c>
      <c r="J459" s="2" t="s">
        <v>358</v>
      </c>
      <c r="K459" s="2">
        <f t="shared" si="296"/>
        <v>3</v>
      </c>
      <c r="L459" s="2">
        <f t="shared" si="303"/>
        <v>1.4000000000000001</v>
      </c>
      <c r="M459" s="2">
        <f t="shared" si="303"/>
        <v>2</v>
      </c>
      <c r="N459" s="2">
        <v>10</v>
      </c>
      <c r="O459" s="2">
        <f t="shared" si="297"/>
        <v>525.5</v>
      </c>
      <c r="P459" s="2">
        <f t="shared" si="297"/>
        <v>26.8</v>
      </c>
      <c r="Q459" s="2">
        <f t="shared" si="297"/>
        <v>4692</v>
      </c>
      <c r="R459" s="2">
        <f t="shared" si="293"/>
        <v>239.29</v>
      </c>
      <c r="S459" s="2">
        <f t="shared" si="293"/>
        <v>131.38</v>
      </c>
      <c r="T459" s="2">
        <f t="shared" si="293"/>
        <v>9.85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17">
        <v>553023</v>
      </c>
      <c r="AA459" s="14" t="s">
        <v>809</v>
      </c>
      <c r="AB459" s="15" t="s">
        <v>469</v>
      </c>
      <c r="AC459" s="2">
        <v>5135302</v>
      </c>
      <c r="AD459" s="2">
        <v>0</v>
      </c>
      <c r="AE459" s="2">
        <v>1</v>
      </c>
      <c r="AF459" s="2">
        <f t="shared" si="302"/>
        <v>5065302</v>
      </c>
      <c r="AG459" s="2">
        <v>2</v>
      </c>
      <c r="AH459" s="2"/>
      <c r="AI459">
        <v>1</v>
      </c>
      <c r="AJ459" s="1">
        <f t="shared" si="304"/>
        <v>475.03592044077823</v>
      </c>
      <c r="AK459">
        <v>12</v>
      </c>
      <c r="AL459">
        <f t="shared" si="305"/>
        <v>456.95999999999992</v>
      </c>
      <c r="AM459">
        <f t="shared" si="306"/>
        <v>23.304959999999994</v>
      </c>
      <c r="AN459">
        <f t="shared" si="307"/>
        <v>4080</v>
      </c>
      <c r="AO459">
        <f t="shared" si="308"/>
        <v>208.07999999999998</v>
      </c>
      <c r="AP459">
        <f t="shared" si="309"/>
        <v>114.23999999999998</v>
      </c>
      <c r="AQ459">
        <f t="shared" si="310"/>
        <v>8.5679999999999978</v>
      </c>
      <c r="AR459">
        <f t="shared" si="311"/>
        <v>1.4</v>
      </c>
      <c r="AS459">
        <f t="shared" si="298"/>
        <v>2</v>
      </c>
      <c r="AT459">
        <f t="shared" si="299"/>
        <v>3</v>
      </c>
      <c r="AU459">
        <f t="shared" si="292"/>
        <v>3025</v>
      </c>
      <c r="AV459" s="1">
        <v>2</v>
      </c>
      <c r="AW459">
        <v>5</v>
      </c>
      <c r="AX459">
        <v>0.15</v>
      </c>
      <c r="AZ459">
        <v>3</v>
      </c>
      <c r="BA459">
        <v>5</v>
      </c>
      <c r="BZ459" t="str">
        <f t="shared" si="313"/>
        <v>1554001,2554001,3554001</v>
      </c>
      <c r="CA459" s="13">
        <v>1554001</v>
      </c>
      <c r="CB459" s="13">
        <v>2554001</v>
      </c>
      <c r="CC459" s="13">
        <v>3554001</v>
      </c>
      <c r="CG459" t="str">
        <f t="shared" si="294"/>
        <v>DATA_Class_Base42</v>
      </c>
      <c r="CH459" s="3" t="s">
        <v>174</v>
      </c>
    </row>
    <row r="460" spans="1:86" ht="14.25">
      <c r="A460" s="49">
        <f t="shared" si="295"/>
        <v>5125400</v>
      </c>
      <c r="B460" s="2" t="s">
        <v>618</v>
      </c>
      <c r="C460" s="48" t="s">
        <v>619</v>
      </c>
      <c r="D460">
        <v>12</v>
      </c>
      <c r="E460">
        <v>4</v>
      </c>
      <c r="F460">
        <v>5</v>
      </c>
      <c r="G460" s="3" t="s">
        <v>620</v>
      </c>
      <c r="H460" s="3" t="s">
        <v>620</v>
      </c>
      <c r="I460">
        <v>0</v>
      </c>
      <c r="J460" s="2" t="s">
        <v>364</v>
      </c>
      <c r="K460" s="2">
        <f t="shared" si="296"/>
        <v>6</v>
      </c>
      <c r="L460" s="2">
        <f t="shared" si="303"/>
        <v>1.4000000000000001</v>
      </c>
      <c r="M460" s="2">
        <f t="shared" si="303"/>
        <v>2</v>
      </c>
      <c r="N460" s="2">
        <v>10</v>
      </c>
      <c r="O460" s="2">
        <f t="shared" si="297"/>
        <v>571.20000000000005</v>
      </c>
      <c r="P460" s="2">
        <f t="shared" si="297"/>
        <v>29.13</v>
      </c>
      <c r="Q460" s="2">
        <f t="shared" si="297"/>
        <v>4700.16</v>
      </c>
      <c r="R460" s="2">
        <f t="shared" si="293"/>
        <v>239.71</v>
      </c>
      <c r="S460" s="2">
        <f t="shared" si="293"/>
        <v>103.85</v>
      </c>
      <c r="T460" s="2">
        <f t="shared" si="293"/>
        <v>7.79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17">
        <v>554003</v>
      </c>
      <c r="AA460" s="14" t="s">
        <v>810</v>
      </c>
      <c r="AB460" s="15" t="s">
        <v>469</v>
      </c>
      <c r="AC460" s="2">
        <v>5135400</v>
      </c>
      <c r="AD460" s="2">
        <v>0</v>
      </c>
      <c r="AE460" s="2">
        <v>1</v>
      </c>
      <c r="AF460" s="2">
        <f t="shared" si="302"/>
        <v>5065400</v>
      </c>
      <c r="AG460" s="2">
        <v>2</v>
      </c>
      <c r="AH460" s="2"/>
      <c r="AI460">
        <v>1</v>
      </c>
      <c r="AJ460" s="1">
        <f t="shared" si="304"/>
        <v>472.15377218554704</v>
      </c>
      <c r="AK460">
        <v>12</v>
      </c>
      <c r="AL460">
        <f t="shared" si="305"/>
        <v>476</v>
      </c>
      <c r="AM460">
        <f t="shared" si="306"/>
        <v>24.276</v>
      </c>
      <c r="AN460">
        <f t="shared" si="307"/>
        <v>3916.7999999999997</v>
      </c>
      <c r="AO460">
        <f t="shared" si="308"/>
        <v>199.75679999999997</v>
      </c>
      <c r="AP460">
        <f t="shared" si="309"/>
        <v>86.545454545454547</v>
      </c>
      <c r="AQ460">
        <f t="shared" si="310"/>
        <v>6.4909090909090912</v>
      </c>
      <c r="AR460">
        <f t="shared" si="311"/>
        <v>1.4</v>
      </c>
      <c r="AS460">
        <f t="shared" si="298"/>
        <v>2</v>
      </c>
      <c r="AT460">
        <f t="shared" si="299"/>
        <v>6</v>
      </c>
      <c r="AU460">
        <f t="shared" ref="AU460:AU498" si="314">AZ460*1000+AV460*10+BA460</f>
        <v>4005</v>
      </c>
      <c r="AV460" s="1">
        <v>0</v>
      </c>
      <c r="AW460">
        <v>5</v>
      </c>
      <c r="AX460">
        <v>0.2</v>
      </c>
      <c r="AZ460">
        <v>4</v>
      </c>
      <c r="BA460">
        <v>5</v>
      </c>
      <c r="CA460" s="13"/>
      <c r="CB460" s="13"/>
      <c r="CC460" s="13"/>
      <c r="CG460" t="str">
        <f t="shared" si="294"/>
        <v>DATA_Class_Base37</v>
      </c>
      <c r="CH460" s="3" t="s">
        <v>402</v>
      </c>
    </row>
    <row r="461" spans="1:86" ht="14.25">
      <c r="A461">
        <f t="shared" si="295"/>
        <v>5125501</v>
      </c>
      <c r="B461" s="2" t="s">
        <v>622</v>
      </c>
      <c r="C461" s="48" t="s">
        <v>623</v>
      </c>
      <c r="D461">
        <v>12</v>
      </c>
      <c r="E461">
        <v>5</v>
      </c>
      <c r="F461">
        <v>5</v>
      </c>
      <c r="G461" s="3" t="s">
        <v>624</v>
      </c>
      <c r="H461" s="3" t="s">
        <v>624</v>
      </c>
      <c r="I461" s="3">
        <v>0</v>
      </c>
      <c r="J461" s="8" t="s">
        <v>625</v>
      </c>
      <c r="K461" s="2">
        <f t="shared" si="296"/>
        <v>6</v>
      </c>
      <c r="L461" s="2">
        <f t="shared" si="303"/>
        <v>1.5</v>
      </c>
      <c r="M461" s="2">
        <f t="shared" si="303"/>
        <v>2</v>
      </c>
      <c r="N461" s="2">
        <v>10</v>
      </c>
      <c r="O461" s="2">
        <f t="shared" si="297"/>
        <v>680.34</v>
      </c>
      <c r="P461" s="2">
        <f t="shared" si="297"/>
        <v>34.700000000000003</v>
      </c>
      <c r="Q461" s="2">
        <f t="shared" si="297"/>
        <v>3883.03</v>
      </c>
      <c r="R461" s="2">
        <f t="shared" si="293"/>
        <v>198.03</v>
      </c>
      <c r="S461" s="2">
        <f t="shared" si="293"/>
        <v>85.04</v>
      </c>
      <c r="T461" s="2">
        <f t="shared" si="293"/>
        <v>6.38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17">
        <v>555013</v>
      </c>
      <c r="AA461" s="15" t="s">
        <v>811</v>
      </c>
      <c r="AB461" s="15" t="s">
        <v>469</v>
      </c>
      <c r="AC461" s="2">
        <v>5135501</v>
      </c>
      <c r="AD461" s="2">
        <v>0</v>
      </c>
      <c r="AE461" s="2">
        <v>1</v>
      </c>
      <c r="AF461" s="2">
        <f t="shared" si="302"/>
        <v>5065501</v>
      </c>
      <c r="AG461" s="2">
        <v>2</v>
      </c>
      <c r="AH461" s="2"/>
      <c r="AI461">
        <v>1</v>
      </c>
      <c r="AJ461" s="1">
        <f t="shared" si="304"/>
        <v>470.85451177359641</v>
      </c>
      <c r="AK461">
        <v>12</v>
      </c>
      <c r="AL461">
        <f t="shared" si="305"/>
        <v>591.6</v>
      </c>
      <c r="AM461">
        <f t="shared" si="306"/>
        <v>30.171599999999998</v>
      </c>
      <c r="AN461">
        <f t="shared" si="307"/>
        <v>3376.5517241379312</v>
      </c>
      <c r="AO461">
        <f t="shared" si="308"/>
        <v>172.20413793103447</v>
      </c>
      <c r="AP461">
        <f t="shared" si="309"/>
        <v>73.95</v>
      </c>
      <c r="AQ461">
        <f t="shared" si="310"/>
        <v>5.5462499999999997</v>
      </c>
      <c r="AR461">
        <f t="shared" si="311"/>
        <v>1.5</v>
      </c>
      <c r="AS461">
        <f t="shared" si="298"/>
        <v>2</v>
      </c>
      <c r="AT461">
        <f t="shared" si="299"/>
        <v>6</v>
      </c>
      <c r="AU461">
        <f t="shared" si="314"/>
        <v>5015</v>
      </c>
      <c r="AV461" s="1">
        <v>1</v>
      </c>
      <c r="AW461">
        <v>5</v>
      </c>
      <c r="AX461">
        <v>0.15</v>
      </c>
      <c r="AZ461">
        <v>5</v>
      </c>
      <c r="BA461">
        <v>5</v>
      </c>
      <c r="CG461" t="str">
        <f t="shared" si="294"/>
        <v>DATA_Class_Base28</v>
      </c>
      <c r="CH461" s="3" t="s">
        <v>374</v>
      </c>
    </row>
    <row r="462" spans="1:86" ht="14.25">
      <c r="A462">
        <f t="shared" si="295"/>
        <v>5131200</v>
      </c>
      <c r="B462" s="2" t="s">
        <v>464</v>
      </c>
      <c r="C462" s="48" t="s">
        <v>465</v>
      </c>
      <c r="D462">
        <v>13</v>
      </c>
      <c r="E462">
        <v>2</v>
      </c>
      <c r="F462">
        <v>1</v>
      </c>
      <c r="G462" s="3" t="s">
        <v>466</v>
      </c>
      <c r="H462" s="3" t="s">
        <v>466</v>
      </c>
      <c r="I462" s="2">
        <v>0</v>
      </c>
      <c r="J462" s="8" t="s">
        <v>467</v>
      </c>
      <c r="K462" s="2">
        <f t="shared" si="296"/>
        <v>3</v>
      </c>
      <c r="L462" s="2">
        <f t="shared" si="303"/>
        <v>1.5</v>
      </c>
      <c r="M462" s="2">
        <f t="shared" si="303"/>
        <v>1.2</v>
      </c>
      <c r="N462" s="2">
        <v>10</v>
      </c>
      <c r="O462" s="2">
        <f t="shared" si="297"/>
        <v>390.72</v>
      </c>
      <c r="P462" s="2">
        <f t="shared" si="297"/>
        <v>19.93</v>
      </c>
      <c r="Q462" s="2">
        <f t="shared" si="297"/>
        <v>7326</v>
      </c>
      <c r="R462" s="2">
        <f t="shared" si="293"/>
        <v>373.63</v>
      </c>
      <c r="S462" s="2">
        <f t="shared" si="293"/>
        <v>156.29</v>
      </c>
      <c r="T462" s="2">
        <f t="shared" si="293"/>
        <v>11.72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17">
        <v>512003</v>
      </c>
      <c r="AA462" s="14" t="s">
        <v>775</v>
      </c>
      <c r="AB462" s="15" t="s">
        <v>469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I462">
        <v>1</v>
      </c>
      <c r="AJ462" s="1">
        <f t="shared" si="304"/>
        <v>566.03755159067055</v>
      </c>
      <c r="AK462">
        <v>13</v>
      </c>
      <c r="AL462">
        <f t="shared" si="305"/>
        <v>355.20000000000005</v>
      </c>
      <c r="AM462">
        <f t="shared" si="306"/>
        <v>18.115200000000002</v>
      </c>
      <c r="AN462">
        <f t="shared" si="307"/>
        <v>6660</v>
      </c>
      <c r="AO462">
        <f t="shared" si="308"/>
        <v>339.65999999999997</v>
      </c>
      <c r="AP462">
        <f t="shared" si="309"/>
        <v>142.08000000000001</v>
      </c>
      <c r="AQ462">
        <f t="shared" si="310"/>
        <v>10.656000000000001</v>
      </c>
      <c r="AR462">
        <f t="shared" si="311"/>
        <v>1.5</v>
      </c>
      <c r="AS462">
        <f t="shared" si="298"/>
        <v>1.2</v>
      </c>
      <c r="AT462">
        <f t="shared" si="299"/>
        <v>3</v>
      </c>
      <c r="AU462">
        <f t="shared" si="314"/>
        <v>2001</v>
      </c>
      <c r="AV462" s="1">
        <v>0</v>
      </c>
      <c r="AW462">
        <v>5</v>
      </c>
      <c r="AX462">
        <v>0.1</v>
      </c>
      <c r="AZ462">
        <v>2</v>
      </c>
      <c r="BA462">
        <v>1</v>
      </c>
      <c r="CG462" t="str">
        <f t="shared" si="294"/>
        <v>DATA_Class_Base29</v>
      </c>
      <c r="CH462" s="3" t="s">
        <v>378</v>
      </c>
    </row>
    <row r="463" spans="1:86" ht="14.25">
      <c r="A463" s="49">
        <f t="shared" si="295"/>
        <v>5131201</v>
      </c>
      <c r="B463" s="2" t="s">
        <v>470</v>
      </c>
      <c r="C463" s="48" t="s">
        <v>471</v>
      </c>
      <c r="D463">
        <v>13</v>
      </c>
      <c r="E463">
        <v>2</v>
      </c>
      <c r="F463">
        <v>1</v>
      </c>
      <c r="G463" s="3" t="s">
        <v>472</v>
      </c>
      <c r="H463" s="3" t="s">
        <v>472</v>
      </c>
      <c r="I463" s="2">
        <v>0</v>
      </c>
      <c r="J463" s="8" t="s">
        <v>298</v>
      </c>
      <c r="K463" s="2">
        <f t="shared" si="296"/>
        <v>3</v>
      </c>
      <c r="L463" s="2">
        <f t="shared" si="303"/>
        <v>1.6</v>
      </c>
      <c r="M463" s="2">
        <f t="shared" si="303"/>
        <v>1.8</v>
      </c>
      <c r="N463" s="2">
        <v>10</v>
      </c>
      <c r="O463" s="2">
        <f t="shared" si="297"/>
        <v>340.99</v>
      </c>
      <c r="P463" s="2">
        <f t="shared" si="297"/>
        <v>17.39</v>
      </c>
      <c r="Q463" s="2">
        <f t="shared" si="297"/>
        <v>10656</v>
      </c>
      <c r="R463" s="2">
        <f t="shared" si="297"/>
        <v>543.46</v>
      </c>
      <c r="S463" s="2">
        <f t="shared" si="297"/>
        <v>200.58</v>
      </c>
      <c r="T463" s="2">
        <f t="shared" si="297"/>
        <v>15.04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17">
        <v>512013</v>
      </c>
      <c r="AA463" s="14" t="s">
        <v>776</v>
      </c>
      <c r="AB463" s="15" t="s">
        <v>469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I463">
        <v>1</v>
      </c>
      <c r="AJ463" s="1">
        <f t="shared" si="304"/>
        <v>569.20262631418427</v>
      </c>
      <c r="AK463">
        <v>13</v>
      </c>
      <c r="AL463">
        <f t="shared" si="305"/>
        <v>284.16000000000003</v>
      </c>
      <c r="AM463">
        <f t="shared" si="306"/>
        <v>14.49216</v>
      </c>
      <c r="AN463">
        <f t="shared" si="307"/>
        <v>8880</v>
      </c>
      <c r="AO463">
        <f t="shared" si="308"/>
        <v>452.88</v>
      </c>
      <c r="AP463">
        <f t="shared" si="309"/>
        <v>167.15294117647062</v>
      </c>
      <c r="AQ463">
        <f t="shared" si="310"/>
        <v>12.536470588235296</v>
      </c>
      <c r="AR463">
        <f t="shared" si="311"/>
        <v>1.6</v>
      </c>
      <c r="AS463">
        <f t="shared" si="298"/>
        <v>1.8</v>
      </c>
      <c r="AT463">
        <f t="shared" si="299"/>
        <v>3</v>
      </c>
      <c r="AU463">
        <f t="shared" si="314"/>
        <v>2011</v>
      </c>
      <c r="AV463" s="1">
        <v>1</v>
      </c>
      <c r="AW463">
        <v>5</v>
      </c>
      <c r="AX463">
        <v>0.2</v>
      </c>
      <c r="AZ463">
        <v>2</v>
      </c>
      <c r="BA463">
        <v>1</v>
      </c>
      <c r="CG463" t="str">
        <f t="shared" si="294"/>
        <v>DATA_Class_Base30</v>
      </c>
      <c r="CH463" s="3" t="s">
        <v>381</v>
      </c>
    </row>
    <row r="464" spans="1:86" ht="14.25">
      <c r="A464">
        <f t="shared" si="295"/>
        <v>5131202</v>
      </c>
      <c r="B464" s="2" t="s">
        <v>474</v>
      </c>
      <c r="C464" s="48" t="s">
        <v>475</v>
      </c>
      <c r="D464">
        <v>13</v>
      </c>
      <c r="E464">
        <v>2</v>
      </c>
      <c r="F464">
        <v>1</v>
      </c>
      <c r="G464" s="3" t="s">
        <v>476</v>
      </c>
      <c r="H464" s="3" t="s">
        <v>476</v>
      </c>
      <c r="I464">
        <v>0</v>
      </c>
      <c r="J464" s="8" t="s">
        <v>477</v>
      </c>
      <c r="K464" s="2">
        <f t="shared" si="296"/>
        <v>3</v>
      </c>
      <c r="L464" s="2">
        <f t="shared" si="303"/>
        <v>1.6</v>
      </c>
      <c r="M464" s="2">
        <f t="shared" si="303"/>
        <v>2</v>
      </c>
      <c r="N464" s="2">
        <v>10</v>
      </c>
      <c r="O464" s="2">
        <f t="shared" ref="O464:T498" si="315">ROUND(AL464*(1+$AX464),2)</f>
        <v>416.77</v>
      </c>
      <c r="P464" s="2">
        <f t="shared" si="315"/>
        <v>21.26</v>
      </c>
      <c r="Q464" s="2">
        <f t="shared" si="315"/>
        <v>7326</v>
      </c>
      <c r="R464" s="2">
        <f t="shared" si="315"/>
        <v>373.63</v>
      </c>
      <c r="S464" s="2">
        <f t="shared" si="315"/>
        <v>154.36000000000001</v>
      </c>
      <c r="T464" s="2">
        <f t="shared" si="315"/>
        <v>11.58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17">
        <v>512023</v>
      </c>
      <c r="AA464" s="14" t="s">
        <v>777</v>
      </c>
      <c r="AB464" s="15" t="s">
        <v>469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I464">
        <v>1</v>
      </c>
      <c r="AJ464" s="1">
        <f t="shared" si="304"/>
        <v>565.81744347681899</v>
      </c>
      <c r="AK464">
        <v>13</v>
      </c>
      <c r="AL464">
        <f t="shared" si="305"/>
        <v>378.88000000000011</v>
      </c>
      <c r="AM464">
        <f t="shared" si="306"/>
        <v>19.322880000000005</v>
      </c>
      <c r="AN464">
        <f t="shared" si="307"/>
        <v>6660</v>
      </c>
      <c r="AO464">
        <f t="shared" si="308"/>
        <v>339.65999999999997</v>
      </c>
      <c r="AP464">
        <f t="shared" si="309"/>
        <v>140.32592592592596</v>
      </c>
      <c r="AQ464">
        <f t="shared" si="310"/>
        <v>10.524444444444446</v>
      </c>
      <c r="AR464">
        <f t="shared" si="311"/>
        <v>1.6</v>
      </c>
      <c r="AS464">
        <f t="shared" si="298"/>
        <v>2</v>
      </c>
      <c r="AT464">
        <f t="shared" si="299"/>
        <v>3</v>
      </c>
      <c r="AU464">
        <f t="shared" si="314"/>
        <v>2021</v>
      </c>
      <c r="AV464" s="1">
        <v>2</v>
      </c>
      <c r="AW464">
        <v>5</v>
      </c>
      <c r="AX464">
        <v>0.1</v>
      </c>
      <c r="AZ464">
        <v>2</v>
      </c>
      <c r="BA464">
        <v>1</v>
      </c>
      <c r="CG464" t="str">
        <f t="shared" si="294"/>
        <v>DATA_Class_Base31</v>
      </c>
      <c r="CH464" s="3" t="s">
        <v>384</v>
      </c>
    </row>
    <row r="465" spans="1:86" ht="14.25">
      <c r="A465">
        <f t="shared" si="295"/>
        <v>5131301</v>
      </c>
      <c r="B465" s="2" t="s">
        <v>479</v>
      </c>
      <c r="C465" s="48" t="s">
        <v>480</v>
      </c>
      <c r="D465">
        <v>13</v>
      </c>
      <c r="E465">
        <v>3</v>
      </c>
      <c r="F465">
        <v>1</v>
      </c>
      <c r="G465" s="3" t="s">
        <v>481</v>
      </c>
      <c r="H465" s="3" t="s">
        <v>481</v>
      </c>
      <c r="I465" s="2">
        <v>0</v>
      </c>
      <c r="J465" s="8" t="s">
        <v>482</v>
      </c>
      <c r="K465" s="2">
        <f t="shared" si="296"/>
        <v>3</v>
      </c>
      <c r="L465" s="2">
        <f t="shared" si="303"/>
        <v>1.3</v>
      </c>
      <c r="M465" s="2">
        <f t="shared" si="303"/>
        <v>2</v>
      </c>
      <c r="N465" s="2">
        <v>10</v>
      </c>
      <c r="O465" s="2">
        <f t="shared" si="315"/>
        <v>465.61</v>
      </c>
      <c r="P465" s="2">
        <f t="shared" si="315"/>
        <v>23.75</v>
      </c>
      <c r="Q465" s="2">
        <f t="shared" si="315"/>
        <v>5328</v>
      </c>
      <c r="R465" s="2">
        <f t="shared" si="315"/>
        <v>271.73</v>
      </c>
      <c r="S465" s="2">
        <f t="shared" si="315"/>
        <v>133.03</v>
      </c>
      <c r="T465" s="2">
        <f t="shared" si="315"/>
        <v>9.98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17">
        <v>513013</v>
      </c>
      <c r="AA465" s="14" t="s">
        <v>778</v>
      </c>
      <c r="AB465" s="15" t="s">
        <v>469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I465">
        <v>1</v>
      </c>
      <c r="AJ465" s="1">
        <f t="shared" si="304"/>
        <v>563.3958175974692</v>
      </c>
      <c r="AK465">
        <v>13</v>
      </c>
      <c r="AL465">
        <f t="shared" si="305"/>
        <v>423.28000000000009</v>
      </c>
      <c r="AM465">
        <f t="shared" si="306"/>
        <v>21.587280000000003</v>
      </c>
      <c r="AN465">
        <f t="shared" si="307"/>
        <v>4843.636363636364</v>
      </c>
      <c r="AO465">
        <f t="shared" si="308"/>
        <v>247.02545454545455</v>
      </c>
      <c r="AP465">
        <f t="shared" si="309"/>
        <v>120.93714285714289</v>
      </c>
      <c r="AQ465">
        <f t="shared" si="310"/>
        <v>9.0702857142857169</v>
      </c>
      <c r="AR465">
        <f t="shared" si="311"/>
        <v>1.3</v>
      </c>
      <c r="AS465">
        <f t="shared" ref="AS465:AS498" si="316">ROUND(IF(INDEX($BO$5:$BO$60,MATCH($AU465,$BB$5:$BB$60,0))&lt;2,INDEX($BO$5:$BO$60,MATCH($AU465,$BB$5:$BB$60,0))+0.2,2),1)</f>
        <v>2</v>
      </c>
      <c r="AT465">
        <f t="shared" ref="AT465:AT498" si="317">INDEX($BK$5:$BK$60,MATCH($AU465,$BB$5:$BB$60,0))</f>
        <v>3</v>
      </c>
      <c r="AU465">
        <f t="shared" si="314"/>
        <v>3011</v>
      </c>
      <c r="AV465" s="1">
        <v>1</v>
      </c>
      <c r="AW465">
        <v>5</v>
      </c>
      <c r="AX465">
        <v>0.1</v>
      </c>
      <c r="AZ465">
        <v>3</v>
      </c>
      <c r="BA465">
        <v>1</v>
      </c>
      <c r="CG465" t="str">
        <f t="shared" si="294"/>
        <v>DATA_Class_Base32</v>
      </c>
      <c r="CH465" s="3" t="s">
        <v>388</v>
      </c>
    </row>
    <row r="466" spans="1:86" ht="14.25">
      <c r="A466">
        <f t="shared" si="295"/>
        <v>5131401</v>
      </c>
      <c r="B466" s="2" t="s">
        <v>484</v>
      </c>
      <c r="C466" s="48" t="s">
        <v>485</v>
      </c>
      <c r="D466">
        <v>13</v>
      </c>
      <c r="E466">
        <v>4</v>
      </c>
      <c r="F466">
        <v>1</v>
      </c>
      <c r="G466" s="3" t="s">
        <v>486</v>
      </c>
      <c r="H466" s="3" t="s">
        <v>486</v>
      </c>
      <c r="I466" s="2">
        <v>0</v>
      </c>
      <c r="J466" s="2" t="s">
        <v>161</v>
      </c>
      <c r="K466" s="2">
        <f t="shared" si="296"/>
        <v>6</v>
      </c>
      <c r="L466" s="2">
        <f t="shared" si="303"/>
        <v>1.6</v>
      </c>
      <c r="M466" s="2">
        <f t="shared" si="303"/>
        <v>2</v>
      </c>
      <c r="N466" s="2">
        <v>10</v>
      </c>
      <c r="O466" s="2">
        <f t="shared" si="315"/>
        <v>573.05999999999995</v>
      </c>
      <c r="P466" s="2">
        <f t="shared" si="315"/>
        <v>29.23</v>
      </c>
      <c r="Q466" s="2">
        <f t="shared" si="315"/>
        <v>5328</v>
      </c>
      <c r="R466" s="2">
        <f t="shared" si="315"/>
        <v>271.73</v>
      </c>
      <c r="S466" s="2">
        <f t="shared" si="315"/>
        <v>114.61</v>
      </c>
      <c r="T466" s="2">
        <f t="shared" si="315"/>
        <v>8.6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17">
        <v>514013</v>
      </c>
      <c r="AA466" s="14" t="s">
        <v>779</v>
      </c>
      <c r="AB466" s="15" t="s">
        <v>469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I466">
        <v>1</v>
      </c>
      <c r="AJ466" s="1">
        <f t="shared" si="304"/>
        <v>561.32099814402397</v>
      </c>
      <c r="AK466">
        <v>13</v>
      </c>
      <c r="AL466">
        <f t="shared" si="305"/>
        <v>520.96000000000015</v>
      </c>
      <c r="AM466">
        <f t="shared" si="306"/>
        <v>26.568960000000008</v>
      </c>
      <c r="AN466">
        <f t="shared" si="307"/>
        <v>4843.636363636364</v>
      </c>
      <c r="AO466">
        <f t="shared" si="308"/>
        <v>247.02545454545455</v>
      </c>
      <c r="AP466">
        <f t="shared" si="309"/>
        <v>104.19200000000004</v>
      </c>
      <c r="AQ466">
        <f t="shared" si="310"/>
        <v>7.8144000000000027</v>
      </c>
      <c r="AR466">
        <f t="shared" si="311"/>
        <v>1.6</v>
      </c>
      <c r="AS466">
        <f t="shared" si="316"/>
        <v>2</v>
      </c>
      <c r="AT466">
        <f t="shared" si="317"/>
        <v>6</v>
      </c>
      <c r="AU466">
        <f t="shared" si="314"/>
        <v>4011</v>
      </c>
      <c r="AV466" s="1">
        <v>1</v>
      </c>
      <c r="AW466">
        <v>5</v>
      </c>
      <c r="AX466">
        <v>0.1</v>
      </c>
      <c r="AZ466">
        <v>4</v>
      </c>
      <c r="BA466">
        <v>1</v>
      </c>
      <c r="CG466" t="str">
        <f t="shared" si="294"/>
        <v>DATA_Class_Base33</v>
      </c>
      <c r="CH466" s="3" t="s">
        <v>391</v>
      </c>
    </row>
    <row r="467" spans="1:86" ht="14.25">
      <c r="A467" s="49">
        <f t="shared" si="295"/>
        <v>5131402</v>
      </c>
      <c r="B467" s="2" t="s">
        <v>488</v>
      </c>
      <c r="C467" s="48" t="s">
        <v>489</v>
      </c>
      <c r="D467">
        <v>13</v>
      </c>
      <c r="E467">
        <v>4</v>
      </c>
      <c r="F467">
        <v>1</v>
      </c>
      <c r="G467" s="3" t="s">
        <v>490</v>
      </c>
      <c r="H467" s="3" t="s">
        <v>490</v>
      </c>
      <c r="I467">
        <v>0</v>
      </c>
      <c r="J467" s="8" t="s">
        <v>161</v>
      </c>
      <c r="K467" s="2">
        <f t="shared" si="296"/>
        <v>6</v>
      </c>
      <c r="L467" s="2">
        <f t="shared" si="303"/>
        <v>1.5</v>
      </c>
      <c r="M467" s="2">
        <f t="shared" si="303"/>
        <v>1.5</v>
      </c>
      <c r="N467" s="2">
        <v>10</v>
      </c>
      <c r="O467" s="2">
        <f t="shared" si="315"/>
        <v>612.72</v>
      </c>
      <c r="P467" s="2">
        <f t="shared" si="315"/>
        <v>31.25</v>
      </c>
      <c r="Q467" s="2">
        <f t="shared" si="315"/>
        <v>5106</v>
      </c>
      <c r="R467" s="2">
        <f t="shared" si="315"/>
        <v>260.41000000000003</v>
      </c>
      <c r="S467" s="2">
        <f t="shared" si="315"/>
        <v>102.12</v>
      </c>
      <c r="T467" s="2">
        <f t="shared" si="315"/>
        <v>7.66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17">
        <v>514023</v>
      </c>
      <c r="AA467" s="14" t="s">
        <v>780</v>
      </c>
      <c r="AB467" s="15" t="s">
        <v>469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I467">
        <v>1</v>
      </c>
      <c r="AJ467" s="1">
        <f t="shared" si="304"/>
        <v>559.42727482569217</v>
      </c>
      <c r="AK467">
        <v>13</v>
      </c>
      <c r="AL467">
        <f t="shared" si="305"/>
        <v>532.80000000000007</v>
      </c>
      <c r="AM467">
        <f t="shared" si="306"/>
        <v>27.172800000000002</v>
      </c>
      <c r="AN467">
        <f t="shared" si="307"/>
        <v>4440</v>
      </c>
      <c r="AO467">
        <f t="shared" si="308"/>
        <v>226.44</v>
      </c>
      <c r="AP467">
        <f t="shared" si="309"/>
        <v>88.800000000000011</v>
      </c>
      <c r="AQ467">
        <f t="shared" si="310"/>
        <v>6.660000000000001</v>
      </c>
      <c r="AR467">
        <f t="shared" si="311"/>
        <v>1.5</v>
      </c>
      <c r="AS467">
        <f t="shared" si="316"/>
        <v>1.5</v>
      </c>
      <c r="AT467">
        <f t="shared" si="317"/>
        <v>6</v>
      </c>
      <c r="AU467">
        <f t="shared" si="314"/>
        <v>4021</v>
      </c>
      <c r="AV467" s="1">
        <v>2</v>
      </c>
      <c r="AW467">
        <v>5</v>
      </c>
      <c r="AX467">
        <v>0.15</v>
      </c>
      <c r="AZ467">
        <v>4</v>
      </c>
      <c r="BA467">
        <v>1</v>
      </c>
      <c r="CG467" t="str">
        <f t="shared" si="294"/>
        <v>DATA_Class_Base34</v>
      </c>
      <c r="CH467" s="3" t="s">
        <v>184</v>
      </c>
    </row>
    <row r="468" spans="1:86" ht="14.25">
      <c r="A468">
        <f t="shared" si="295"/>
        <v>5131500</v>
      </c>
      <c r="B468" s="2" t="s">
        <v>492</v>
      </c>
      <c r="C468" s="48" t="s">
        <v>493</v>
      </c>
      <c r="D468">
        <v>13</v>
      </c>
      <c r="E468">
        <v>5</v>
      </c>
      <c r="F468">
        <v>1</v>
      </c>
      <c r="G468" s="3" t="s">
        <v>494</v>
      </c>
      <c r="H468" s="3" t="s">
        <v>494</v>
      </c>
      <c r="I468">
        <v>0</v>
      </c>
      <c r="J468" s="2" t="s">
        <v>303</v>
      </c>
      <c r="K468" s="2">
        <f t="shared" si="296"/>
        <v>6</v>
      </c>
      <c r="L468" s="2">
        <f t="shared" si="303"/>
        <v>1.5</v>
      </c>
      <c r="M468" s="2">
        <f t="shared" si="303"/>
        <v>1.5</v>
      </c>
      <c r="N468" s="2">
        <v>10</v>
      </c>
      <c r="O468" s="2">
        <f t="shared" si="315"/>
        <v>745.92</v>
      </c>
      <c r="P468" s="2">
        <f t="shared" si="315"/>
        <v>38.04</v>
      </c>
      <c r="Q468" s="2">
        <f t="shared" si="315"/>
        <v>4566.8599999999997</v>
      </c>
      <c r="R468" s="2">
        <f t="shared" si="315"/>
        <v>232.91</v>
      </c>
      <c r="S468" s="2">
        <f t="shared" si="315"/>
        <v>106.56</v>
      </c>
      <c r="T468" s="2">
        <f t="shared" si="315"/>
        <v>7.99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17">
        <v>515003</v>
      </c>
      <c r="AA468" s="14" t="s">
        <v>781</v>
      </c>
      <c r="AB468" s="15" t="s">
        <v>469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I468">
        <v>1</v>
      </c>
      <c r="AJ468" s="1">
        <f t="shared" si="304"/>
        <v>559.42727482569205</v>
      </c>
      <c r="AK468">
        <v>13</v>
      </c>
      <c r="AL468">
        <f t="shared" si="305"/>
        <v>621.59999999999991</v>
      </c>
      <c r="AM468">
        <f t="shared" si="306"/>
        <v>31.701599999999992</v>
      </c>
      <c r="AN468">
        <f t="shared" si="307"/>
        <v>3805.7142857142862</v>
      </c>
      <c r="AO468">
        <f t="shared" si="308"/>
        <v>194.09142857142859</v>
      </c>
      <c r="AP468">
        <f t="shared" si="309"/>
        <v>88.799999999999983</v>
      </c>
      <c r="AQ468">
        <f t="shared" si="310"/>
        <v>6.6599999999999984</v>
      </c>
      <c r="AR468">
        <f t="shared" si="311"/>
        <v>1.5</v>
      </c>
      <c r="AS468">
        <f t="shared" si="316"/>
        <v>1.5</v>
      </c>
      <c r="AT468">
        <f t="shared" si="317"/>
        <v>6</v>
      </c>
      <c r="AU468">
        <f t="shared" si="314"/>
        <v>5001</v>
      </c>
      <c r="AV468" s="1">
        <v>0</v>
      </c>
      <c r="AW468">
        <v>5</v>
      </c>
      <c r="AX468">
        <v>0.2</v>
      </c>
      <c r="AZ468">
        <v>5</v>
      </c>
      <c r="BA468">
        <v>1</v>
      </c>
      <c r="CG468" t="str">
        <f t="shared" si="294"/>
        <v>DATA_Class_Base35</v>
      </c>
      <c r="CH468" s="3" t="s">
        <v>195</v>
      </c>
    </row>
    <row r="469" spans="1:86" ht="14.25">
      <c r="A469">
        <f t="shared" si="295"/>
        <v>5131502</v>
      </c>
      <c r="B469" s="2" t="s">
        <v>496</v>
      </c>
      <c r="C469" s="48" t="s">
        <v>497</v>
      </c>
      <c r="D469">
        <v>13</v>
      </c>
      <c r="E469">
        <v>5</v>
      </c>
      <c r="F469">
        <v>1</v>
      </c>
      <c r="G469" s="3" t="s">
        <v>498</v>
      </c>
      <c r="H469" s="3" t="s">
        <v>498</v>
      </c>
      <c r="I469" s="2">
        <v>0</v>
      </c>
      <c r="J469" s="8" t="s">
        <v>352</v>
      </c>
      <c r="K469" s="2">
        <f t="shared" si="296"/>
        <v>6</v>
      </c>
      <c r="L469" s="2">
        <f t="shared" si="303"/>
        <v>1.4000000000000001</v>
      </c>
      <c r="M469" s="2">
        <f t="shared" si="303"/>
        <v>2</v>
      </c>
      <c r="N469" s="2">
        <v>10</v>
      </c>
      <c r="O469" s="2">
        <f t="shared" si="315"/>
        <v>619.53</v>
      </c>
      <c r="P469" s="2">
        <f t="shared" si="315"/>
        <v>31.6</v>
      </c>
      <c r="Q469" s="2">
        <f t="shared" si="315"/>
        <v>4713.2299999999996</v>
      </c>
      <c r="R469" s="2">
        <f t="shared" si="315"/>
        <v>240.37</v>
      </c>
      <c r="S469" s="2">
        <f t="shared" si="315"/>
        <v>95.31</v>
      </c>
      <c r="T469" s="2">
        <f t="shared" si="315"/>
        <v>7.15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17">
        <v>515023</v>
      </c>
      <c r="AA469" s="14" t="s">
        <v>782</v>
      </c>
      <c r="AB469" s="15" t="s">
        <v>469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I469">
        <v>1</v>
      </c>
      <c r="AJ469" s="1">
        <f t="shared" si="304"/>
        <v>558.70231763308755</v>
      </c>
      <c r="AK469">
        <v>13</v>
      </c>
      <c r="AL469">
        <f t="shared" si="305"/>
        <v>538.71999999999991</v>
      </c>
      <c r="AM469">
        <f t="shared" si="306"/>
        <v>27.474719999999994</v>
      </c>
      <c r="AN469">
        <f t="shared" si="307"/>
        <v>4098.4615384615381</v>
      </c>
      <c r="AO469">
        <f t="shared" si="308"/>
        <v>209.02153846153843</v>
      </c>
      <c r="AP469">
        <f t="shared" si="309"/>
        <v>82.879999999999981</v>
      </c>
      <c r="AQ469">
        <f t="shared" si="310"/>
        <v>6.2159999999999984</v>
      </c>
      <c r="AR469">
        <f t="shared" si="311"/>
        <v>1.4</v>
      </c>
      <c r="AS469">
        <f t="shared" si="316"/>
        <v>2</v>
      </c>
      <c r="AT469">
        <f t="shared" si="317"/>
        <v>6</v>
      </c>
      <c r="AU469">
        <f t="shared" si="314"/>
        <v>5021</v>
      </c>
      <c r="AV469" s="1">
        <v>2</v>
      </c>
      <c r="AW469">
        <v>5</v>
      </c>
      <c r="AX469">
        <v>0.15</v>
      </c>
      <c r="AZ469">
        <v>5</v>
      </c>
      <c r="BA469">
        <v>1</v>
      </c>
      <c r="CG469" t="str">
        <f t="shared" si="294"/>
        <v>DATA_Class_Base36</v>
      </c>
      <c r="CH469" s="3" t="s">
        <v>201</v>
      </c>
    </row>
    <row r="470" spans="1:86" ht="14.25">
      <c r="A470">
        <f t="shared" si="295"/>
        <v>5131601</v>
      </c>
      <c r="B470" s="2" t="s">
        <v>500</v>
      </c>
      <c r="C470" s="48" t="s">
        <v>501</v>
      </c>
      <c r="D470">
        <v>13</v>
      </c>
      <c r="E470">
        <v>6</v>
      </c>
      <c r="F470">
        <v>1</v>
      </c>
      <c r="G470" s="3" t="s">
        <v>502</v>
      </c>
      <c r="H470" s="3" t="s">
        <v>502</v>
      </c>
      <c r="I470">
        <v>0</v>
      </c>
      <c r="J470" s="2" t="s">
        <v>309</v>
      </c>
      <c r="K470" s="2">
        <f t="shared" si="296"/>
        <v>6</v>
      </c>
      <c r="L470" s="2">
        <f t="shared" si="303"/>
        <v>1.5</v>
      </c>
      <c r="M470" s="2">
        <f t="shared" si="303"/>
        <v>2</v>
      </c>
      <c r="N470" s="2">
        <v>10</v>
      </c>
      <c r="O470" s="2">
        <f t="shared" si="315"/>
        <v>510.6</v>
      </c>
      <c r="P470" s="2">
        <f t="shared" si="315"/>
        <v>26.04</v>
      </c>
      <c r="Q470" s="2">
        <f t="shared" si="315"/>
        <v>6127.2</v>
      </c>
      <c r="R470" s="2">
        <f t="shared" si="315"/>
        <v>312.49</v>
      </c>
      <c r="S470" s="2">
        <f t="shared" si="315"/>
        <v>113.47</v>
      </c>
      <c r="T470" s="2">
        <f t="shared" si="315"/>
        <v>8.51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17">
        <v>516013</v>
      </c>
      <c r="AA470" s="14" t="s">
        <v>783</v>
      </c>
      <c r="AB470" s="15" t="s">
        <v>469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I470">
        <v>1</v>
      </c>
      <c r="AJ470" s="1">
        <f t="shared" si="304"/>
        <v>560.63972669705345</v>
      </c>
      <c r="AK470">
        <v>13</v>
      </c>
      <c r="AL470">
        <f t="shared" si="305"/>
        <v>444</v>
      </c>
      <c r="AM470">
        <f t="shared" si="306"/>
        <v>22.643999999999998</v>
      </c>
      <c r="AN470">
        <f t="shared" si="307"/>
        <v>5328</v>
      </c>
      <c r="AO470">
        <f t="shared" si="308"/>
        <v>271.72800000000001</v>
      </c>
      <c r="AP470">
        <f t="shared" si="309"/>
        <v>98.666666666666671</v>
      </c>
      <c r="AQ470">
        <f t="shared" si="310"/>
        <v>7.4</v>
      </c>
      <c r="AR470">
        <f t="shared" si="311"/>
        <v>1.5</v>
      </c>
      <c r="AS470">
        <f t="shared" si="316"/>
        <v>2</v>
      </c>
      <c r="AT470">
        <f t="shared" si="317"/>
        <v>6</v>
      </c>
      <c r="AU470">
        <f t="shared" si="314"/>
        <v>6011</v>
      </c>
      <c r="AV470" s="1">
        <v>1</v>
      </c>
      <c r="AW470">
        <v>5</v>
      </c>
      <c r="AX470">
        <v>0.15</v>
      </c>
      <c r="AZ470">
        <v>6</v>
      </c>
      <c r="BA470">
        <v>1</v>
      </c>
      <c r="CG470" t="str">
        <f t="shared" si="294"/>
        <v>DATA_Class_Base28</v>
      </c>
      <c r="CH470" s="3" t="s">
        <v>374</v>
      </c>
    </row>
    <row r="471" spans="1:86" ht="14.25">
      <c r="A471">
        <f t="shared" si="295"/>
        <v>5132200</v>
      </c>
      <c r="B471" s="2" t="s">
        <v>504</v>
      </c>
      <c r="C471" s="48" t="s">
        <v>505</v>
      </c>
      <c r="D471">
        <v>13</v>
      </c>
      <c r="E471">
        <v>2</v>
      </c>
      <c r="F471">
        <v>2</v>
      </c>
      <c r="G471" s="3" t="s">
        <v>506</v>
      </c>
      <c r="H471" s="3" t="s">
        <v>506</v>
      </c>
      <c r="I471">
        <v>0</v>
      </c>
      <c r="J471" s="8" t="s">
        <v>507</v>
      </c>
      <c r="K471" s="2">
        <f t="shared" si="296"/>
        <v>3</v>
      </c>
      <c r="L471" s="2">
        <f t="shared" si="303"/>
        <v>1.5</v>
      </c>
      <c r="M471" s="2">
        <f t="shared" si="303"/>
        <v>1.2</v>
      </c>
      <c r="N471" s="2">
        <v>10</v>
      </c>
      <c r="O471" s="2">
        <f t="shared" si="315"/>
        <v>510.6</v>
      </c>
      <c r="P471" s="2">
        <f t="shared" si="315"/>
        <v>26.04</v>
      </c>
      <c r="Q471" s="2">
        <f t="shared" si="315"/>
        <v>6127.2</v>
      </c>
      <c r="R471" s="2">
        <f t="shared" si="315"/>
        <v>312.49</v>
      </c>
      <c r="S471" s="2">
        <f t="shared" si="315"/>
        <v>170.2</v>
      </c>
      <c r="T471" s="2">
        <f t="shared" si="315"/>
        <v>12.77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17">
        <v>522003</v>
      </c>
      <c r="AA471" s="14" t="s">
        <v>784</v>
      </c>
      <c r="AB471" s="15" t="s">
        <v>469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I471">
        <v>1</v>
      </c>
      <c r="AJ471" s="1">
        <f t="shared" si="304"/>
        <v>566.78168242963091</v>
      </c>
      <c r="AK471">
        <v>13</v>
      </c>
      <c r="AL471">
        <f t="shared" si="305"/>
        <v>444</v>
      </c>
      <c r="AM471">
        <f t="shared" si="306"/>
        <v>22.643999999999998</v>
      </c>
      <c r="AN471">
        <f t="shared" si="307"/>
        <v>5328</v>
      </c>
      <c r="AO471">
        <f t="shared" si="308"/>
        <v>271.72800000000001</v>
      </c>
      <c r="AP471">
        <f t="shared" si="309"/>
        <v>148</v>
      </c>
      <c r="AQ471">
        <f t="shared" si="310"/>
        <v>11.1</v>
      </c>
      <c r="AR471">
        <f t="shared" si="311"/>
        <v>1.5</v>
      </c>
      <c r="AS471">
        <f t="shared" si="316"/>
        <v>1.2</v>
      </c>
      <c r="AT471">
        <f t="shared" si="317"/>
        <v>3</v>
      </c>
      <c r="AU471">
        <f t="shared" si="314"/>
        <v>2002</v>
      </c>
      <c r="AV471" s="1">
        <v>0</v>
      </c>
      <c r="AW471">
        <v>5</v>
      </c>
      <c r="AX471">
        <v>0.15</v>
      </c>
      <c r="AZ471">
        <v>2</v>
      </c>
      <c r="BA471">
        <v>2</v>
      </c>
      <c r="CG471" t="str">
        <f t="shared" ref="CG471:CG542" si="318">INDEX($CD$66:$CD$107,MATCH($CH471,$CE$66:$CE$107,0))</f>
        <v>DATA_Class_Base29</v>
      </c>
      <c r="CH471" s="3" t="s">
        <v>378</v>
      </c>
    </row>
    <row r="472" spans="1:86" ht="14.25">
      <c r="A472" s="49">
        <f t="shared" ref="A472:A498" si="319">AW472*1000000+D472*10000+F472*1000+E472*100+AV472</f>
        <v>5132201</v>
      </c>
      <c r="B472" s="2" t="s">
        <v>509</v>
      </c>
      <c r="C472" s="48" t="s">
        <v>510</v>
      </c>
      <c r="D472">
        <v>13</v>
      </c>
      <c r="E472">
        <v>2</v>
      </c>
      <c r="F472">
        <v>2</v>
      </c>
      <c r="G472" s="3" t="s">
        <v>511</v>
      </c>
      <c r="H472" s="3" t="s">
        <v>511</v>
      </c>
      <c r="I472">
        <v>0</v>
      </c>
      <c r="J472" s="8" t="s">
        <v>512</v>
      </c>
      <c r="K472" s="2">
        <f t="shared" ref="K472:K498" si="320">AT472</f>
        <v>3</v>
      </c>
      <c r="L472" s="2">
        <f t="shared" si="303"/>
        <v>1.5</v>
      </c>
      <c r="M472" s="2">
        <f t="shared" si="303"/>
        <v>1.8</v>
      </c>
      <c r="N472" s="2">
        <v>10</v>
      </c>
      <c r="O472" s="2">
        <f t="shared" si="315"/>
        <v>408.48</v>
      </c>
      <c r="P472" s="2">
        <f t="shared" si="315"/>
        <v>20.83</v>
      </c>
      <c r="Q472" s="2">
        <f t="shared" si="315"/>
        <v>7659</v>
      </c>
      <c r="R472" s="2">
        <f t="shared" si="315"/>
        <v>390.61</v>
      </c>
      <c r="S472" s="2">
        <f t="shared" si="315"/>
        <v>177.6</v>
      </c>
      <c r="T472" s="2">
        <f t="shared" si="315"/>
        <v>13.32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17">
        <v>522013</v>
      </c>
      <c r="AA472" s="14" t="s">
        <v>785</v>
      </c>
      <c r="AB472" s="15" t="s">
        <v>469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I472">
        <v>1</v>
      </c>
      <c r="AJ472" s="1">
        <f t="shared" si="304"/>
        <v>567.59274258413984</v>
      </c>
      <c r="AK472">
        <v>13</v>
      </c>
      <c r="AL472">
        <f t="shared" si="305"/>
        <v>355.20000000000005</v>
      </c>
      <c r="AM472">
        <f t="shared" si="306"/>
        <v>18.115200000000002</v>
      </c>
      <c r="AN472">
        <f t="shared" si="307"/>
        <v>6660</v>
      </c>
      <c r="AO472">
        <f t="shared" si="308"/>
        <v>339.65999999999997</v>
      </c>
      <c r="AP472">
        <f t="shared" si="309"/>
        <v>154.43478260869568</v>
      </c>
      <c r="AQ472">
        <f t="shared" si="310"/>
        <v>11.582608695652176</v>
      </c>
      <c r="AR472">
        <f t="shared" si="311"/>
        <v>1.5</v>
      </c>
      <c r="AS472">
        <f t="shared" si="316"/>
        <v>1.8</v>
      </c>
      <c r="AT472">
        <f t="shared" si="317"/>
        <v>3</v>
      </c>
      <c r="AU472">
        <f t="shared" si="314"/>
        <v>2012</v>
      </c>
      <c r="AV472" s="1">
        <v>1</v>
      </c>
      <c r="AW472">
        <v>5</v>
      </c>
      <c r="AX472">
        <v>0.15</v>
      </c>
      <c r="AZ472">
        <v>2</v>
      </c>
      <c r="BA472">
        <v>2</v>
      </c>
      <c r="CG472" t="str">
        <f t="shared" si="318"/>
        <v>DATA_Class_Base30</v>
      </c>
      <c r="CH472" s="3" t="s">
        <v>381</v>
      </c>
    </row>
    <row r="473" spans="1:86" ht="14.25">
      <c r="A473">
        <f t="shared" si="319"/>
        <v>5132202</v>
      </c>
      <c r="B473" s="2" t="s">
        <v>514</v>
      </c>
      <c r="C473" s="48" t="s">
        <v>515</v>
      </c>
      <c r="D473">
        <v>13</v>
      </c>
      <c r="E473">
        <v>2</v>
      </c>
      <c r="F473">
        <v>2</v>
      </c>
      <c r="G473" s="3" t="s">
        <v>516</v>
      </c>
      <c r="H473" s="3" t="s">
        <v>516</v>
      </c>
      <c r="I473" s="2">
        <v>0</v>
      </c>
      <c r="J473" s="2" t="s">
        <v>280</v>
      </c>
      <c r="K473" s="2">
        <f t="shared" si="320"/>
        <v>3</v>
      </c>
      <c r="L473" s="2">
        <f t="shared" si="303"/>
        <v>1.6</v>
      </c>
      <c r="M473" s="2">
        <f t="shared" si="303"/>
        <v>2</v>
      </c>
      <c r="N473" s="2">
        <v>10</v>
      </c>
      <c r="O473" s="2">
        <f t="shared" si="315"/>
        <v>599.1</v>
      </c>
      <c r="P473" s="2">
        <f t="shared" si="315"/>
        <v>30.55</v>
      </c>
      <c r="Q473" s="2">
        <f t="shared" si="315"/>
        <v>5096.3500000000004</v>
      </c>
      <c r="R473" s="2">
        <f t="shared" si="315"/>
        <v>259.91000000000003</v>
      </c>
      <c r="S473" s="2">
        <f t="shared" si="315"/>
        <v>149.78</v>
      </c>
      <c r="T473" s="2">
        <f t="shared" si="315"/>
        <v>11.23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17">
        <v>522023</v>
      </c>
      <c r="AA473" s="14" t="s">
        <v>786</v>
      </c>
      <c r="AB473" s="15" t="s">
        <v>469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I473">
        <v>1</v>
      </c>
      <c r="AJ473" s="1">
        <f t="shared" si="304"/>
        <v>565.2953721368018</v>
      </c>
      <c r="AK473">
        <v>13</v>
      </c>
      <c r="AL473">
        <f t="shared" si="305"/>
        <v>544.64</v>
      </c>
      <c r="AM473">
        <f t="shared" si="306"/>
        <v>27.776639999999997</v>
      </c>
      <c r="AN473">
        <f t="shared" si="307"/>
        <v>4633.0434782608709</v>
      </c>
      <c r="AO473">
        <f t="shared" si="308"/>
        <v>236.2852173913044</v>
      </c>
      <c r="AP473">
        <f t="shared" si="309"/>
        <v>136.16</v>
      </c>
      <c r="AQ473">
        <f t="shared" si="310"/>
        <v>10.212</v>
      </c>
      <c r="AR473">
        <f t="shared" si="311"/>
        <v>1.6</v>
      </c>
      <c r="AS473">
        <f t="shared" si="316"/>
        <v>2</v>
      </c>
      <c r="AT473">
        <f t="shared" si="317"/>
        <v>3</v>
      </c>
      <c r="AU473">
        <f t="shared" si="314"/>
        <v>2022</v>
      </c>
      <c r="AV473" s="1">
        <v>2</v>
      </c>
      <c r="AW473">
        <v>5</v>
      </c>
      <c r="AX473">
        <v>0.1</v>
      </c>
      <c r="AZ473">
        <v>2</v>
      </c>
      <c r="BA473">
        <v>2</v>
      </c>
      <c r="CG473" t="str">
        <f t="shared" si="318"/>
        <v>DATA_Class_Base31</v>
      </c>
      <c r="CH473" s="3" t="s">
        <v>384</v>
      </c>
    </row>
    <row r="474" spans="1:86" ht="14.25">
      <c r="A474">
        <f t="shared" si="319"/>
        <v>5132301</v>
      </c>
      <c r="B474" s="2" t="s">
        <v>518</v>
      </c>
      <c r="C474" s="48" t="s">
        <v>519</v>
      </c>
      <c r="D474">
        <v>13</v>
      </c>
      <c r="E474">
        <v>3</v>
      </c>
      <c r="F474">
        <v>2</v>
      </c>
      <c r="G474" s="3" t="s">
        <v>520</v>
      </c>
      <c r="H474" s="3" t="s">
        <v>520</v>
      </c>
      <c r="I474">
        <v>0</v>
      </c>
      <c r="J474" s="2" t="s">
        <v>285</v>
      </c>
      <c r="K474" s="2">
        <f t="shared" si="320"/>
        <v>3</v>
      </c>
      <c r="L474" s="2">
        <f t="shared" si="303"/>
        <v>1.2</v>
      </c>
      <c r="M474" s="2">
        <f t="shared" si="303"/>
        <v>1.7</v>
      </c>
      <c r="N474" s="2">
        <v>10</v>
      </c>
      <c r="O474" s="2">
        <f t="shared" si="315"/>
        <v>507.94</v>
      </c>
      <c r="P474" s="2">
        <f t="shared" si="315"/>
        <v>25.9</v>
      </c>
      <c r="Q474" s="2">
        <f t="shared" si="315"/>
        <v>4508.3100000000004</v>
      </c>
      <c r="R474" s="2">
        <f t="shared" si="315"/>
        <v>229.92</v>
      </c>
      <c r="S474" s="2">
        <f t="shared" si="315"/>
        <v>126.98</v>
      </c>
      <c r="T474" s="2">
        <f t="shared" si="315"/>
        <v>9.52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17">
        <v>523013</v>
      </c>
      <c r="AA474" s="14" t="s">
        <v>787</v>
      </c>
      <c r="AB474" s="15" t="s">
        <v>469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I474">
        <v>1</v>
      </c>
      <c r="AJ474" s="1">
        <f t="shared" si="304"/>
        <v>562.71300089165049</v>
      </c>
      <c r="AK474">
        <v>13</v>
      </c>
      <c r="AL474">
        <f t="shared" si="305"/>
        <v>461.76000000000005</v>
      </c>
      <c r="AM474">
        <f t="shared" si="306"/>
        <v>23.549760000000003</v>
      </c>
      <c r="AN474">
        <f t="shared" si="307"/>
        <v>4098.4615384615381</v>
      </c>
      <c r="AO474">
        <f t="shared" si="308"/>
        <v>209.02153846153843</v>
      </c>
      <c r="AP474">
        <f t="shared" si="309"/>
        <v>115.44000000000001</v>
      </c>
      <c r="AQ474">
        <f t="shared" si="310"/>
        <v>8.6580000000000013</v>
      </c>
      <c r="AR474">
        <f t="shared" si="311"/>
        <v>1.2</v>
      </c>
      <c r="AS474">
        <f t="shared" si="316"/>
        <v>1.7</v>
      </c>
      <c r="AT474">
        <f t="shared" si="317"/>
        <v>3</v>
      </c>
      <c r="AU474">
        <f t="shared" si="314"/>
        <v>3012</v>
      </c>
      <c r="AV474" s="1">
        <v>1</v>
      </c>
      <c r="AW474">
        <v>5</v>
      </c>
      <c r="AX474">
        <v>0.1</v>
      </c>
      <c r="AZ474">
        <v>3</v>
      </c>
      <c r="BA474">
        <v>2</v>
      </c>
      <c r="CG474" t="str">
        <f t="shared" si="318"/>
        <v>DATA_Class_Base32</v>
      </c>
      <c r="CH474" s="3" t="s">
        <v>388</v>
      </c>
    </row>
    <row r="475" spans="1:86" ht="14.25">
      <c r="A475">
        <f t="shared" si="319"/>
        <v>5132401</v>
      </c>
      <c r="B475" s="2" t="s">
        <v>522</v>
      </c>
      <c r="C475" s="48" t="s">
        <v>523</v>
      </c>
      <c r="D475">
        <v>13</v>
      </c>
      <c r="E475">
        <v>4</v>
      </c>
      <c r="F475">
        <v>2</v>
      </c>
      <c r="G475" s="3" t="s">
        <v>524</v>
      </c>
      <c r="H475" s="3" t="s">
        <v>524</v>
      </c>
      <c r="I475" s="2">
        <v>0</v>
      </c>
      <c r="J475" s="8" t="s">
        <v>250</v>
      </c>
      <c r="K475" s="2">
        <f t="shared" si="320"/>
        <v>6</v>
      </c>
      <c r="L475" s="2">
        <f t="shared" si="303"/>
        <v>1.6</v>
      </c>
      <c r="M475" s="2">
        <f t="shared" si="303"/>
        <v>1.5</v>
      </c>
      <c r="N475" s="2">
        <v>10</v>
      </c>
      <c r="O475" s="2">
        <f t="shared" si="315"/>
        <v>677.25</v>
      </c>
      <c r="P475" s="2">
        <f t="shared" si="315"/>
        <v>34.54</v>
      </c>
      <c r="Q475" s="2">
        <f t="shared" si="315"/>
        <v>4508.3100000000004</v>
      </c>
      <c r="R475" s="2">
        <f t="shared" si="315"/>
        <v>229.92</v>
      </c>
      <c r="S475" s="2">
        <f t="shared" si="315"/>
        <v>96.75</v>
      </c>
      <c r="T475" s="2">
        <f t="shared" si="315"/>
        <v>7.26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17">
        <v>524013</v>
      </c>
      <c r="AA475" s="14" t="s">
        <v>788</v>
      </c>
      <c r="AB475" s="15" t="s">
        <v>469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I475">
        <v>1</v>
      </c>
      <c r="AJ475" s="1">
        <f t="shared" si="304"/>
        <v>559.32359434788316</v>
      </c>
      <c r="AK475">
        <v>13</v>
      </c>
      <c r="AL475">
        <f t="shared" si="305"/>
        <v>615.68000000000006</v>
      </c>
      <c r="AM475">
        <f t="shared" si="306"/>
        <v>31.39968</v>
      </c>
      <c r="AN475">
        <f t="shared" si="307"/>
        <v>4098.4615384615381</v>
      </c>
      <c r="AO475">
        <f t="shared" si="308"/>
        <v>209.02153846153843</v>
      </c>
      <c r="AP475">
        <f t="shared" si="309"/>
        <v>87.954285714285717</v>
      </c>
      <c r="AQ475">
        <f t="shared" si="310"/>
        <v>6.596571428571429</v>
      </c>
      <c r="AR475">
        <f t="shared" si="311"/>
        <v>1.6</v>
      </c>
      <c r="AS475">
        <f t="shared" si="316"/>
        <v>1.5</v>
      </c>
      <c r="AT475">
        <f t="shared" si="317"/>
        <v>6</v>
      </c>
      <c r="AU475">
        <f t="shared" si="314"/>
        <v>4012</v>
      </c>
      <c r="AV475" s="1">
        <v>1</v>
      </c>
      <c r="AW475">
        <v>5</v>
      </c>
      <c r="AX475">
        <v>0.1</v>
      </c>
      <c r="AZ475">
        <v>4</v>
      </c>
      <c r="BA475">
        <v>2</v>
      </c>
      <c r="CG475" t="str">
        <f t="shared" si="318"/>
        <v>DATA_Class_Base33</v>
      </c>
      <c r="CH475" s="3" t="s">
        <v>391</v>
      </c>
    </row>
    <row r="476" spans="1:86" ht="14.25">
      <c r="A476">
        <f t="shared" si="319"/>
        <v>5132402</v>
      </c>
      <c r="B476" s="2" t="s">
        <v>526</v>
      </c>
      <c r="C476" s="48" t="s">
        <v>527</v>
      </c>
      <c r="D476">
        <v>13</v>
      </c>
      <c r="E476">
        <v>4</v>
      </c>
      <c r="F476">
        <v>2</v>
      </c>
      <c r="G476" s="3" t="s">
        <v>528</v>
      </c>
      <c r="H476" s="3" t="s">
        <v>528</v>
      </c>
      <c r="I476">
        <v>0</v>
      </c>
      <c r="J476" s="2" t="s">
        <v>250</v>
      </c>
      <c r="K476" s="2">
        <f t="shared" si="320"/>
        <v>6</v>
      </c>
      <c r="L476" s="2">
        <f t="shared" si="303"/>
        <v>1.5</v>
      </c>
      <c r="M476" s="2">
        <f t="shared" si="303"/>
        <v>1.5</v>
      </c>
      <c r="N476" s="2">
        <v>10</v>
      </c>
      <c r="O476" s="2">
        <f t="shared" si="315"/>
        <v>714.84</v>
      </c>
      <c r="P476" s="2">
        <f t="shared" si="315"/>
        <v>36.46</v>
      </c>
      <c r="Q476" s="2">
        <f t="shared" si="315"/>
        <v>4376.57</v>
      </c>
      <c r="R476" s="2">
        <f t="shared" si="315"/>
        <v>223.21</v>
      </c>
      <c r="S476" s="2">
        <f t="shared" si="315"/>
        <v>102.12</v>
      </c>
      <c r="T476" s="2">
        <f t="shared" si="315"/>
        <v>7.66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17">
        <v>524023</v>
      </c>
      <c r="AA476" s="14" t="s">
        <v>789</v>
      </c>
      <c r="AB476" s="15" t="s">
        <v>469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I476">
        <v>1</v>
      </c>
      <c r="AJ476" s="1">
        <f t="shared" si="304"/>
        <v>559.42727482569205</v>
      </c>
      <c r="AK476">
        <v>13</v>
      </c>
      <c r="AL476">
        <f t="shared" si="305"/>
        <v>621.59999999999991</v>
      </c>
      <c r="AM476">
        <f t="shared" si="306"/>
        <v>31.701599999999992</v>
      </c>
      <c r="AN476">
        <f t="shared" si="307"/>
        <v>3805.7142857142862</v>
      </c>
      <c r="AO476">
        <f t="shared" si="308"/>
        <v>194.09142857142859</v>
      </c>
      <c r="AP476">
        <f t="shared" si="309"/>
        <v>88.799999999999983</v>
      </c>
      <c r="AQ476">
        <f t="shared" si="310"/>
        <v>6.6599999999999984</v>
      </c>
      <c r="AR476">
        <f t="shared" si="311"/>
        <v>1.5</v>
      </c>
      <c r="AS476">
        <f t="shared" si="316"/>
        <v>1.5</v>
      </c>
      <c r="AT476">
        <f t="shared" si="317"/>
        <v>6</v>
      </c>
      <c r="AU476">
        <f t="shared" si="314"/>
        <v>4022</v>
      </c>
      <c r="AV476" s="1">
        <v>2</v>
      </c>
      <c r="AW476">
        <v>5</v>
      </c>
      <c r="AX476">
        <v>0.15</v>
      </c>
      <c r="AZ476">
        <v>4</v>
      </c>
      <c r="BA476">
        <v>2</v>
      </c>
      <c r="CG476" t="str">
        <f t="shared" si="318"/>
        <v>DATA_Class_Base34</v>
      </c>
      <c r="CH476" s="3" t="s">
        <v>184</v>
      </c>
    </row>
    <row r="477" spans="1:86" ht="14.25">
      <c r="A477">
        <f t="shared" si="319"/>
        <v>5132500</v>
      </c>
      <c r="B477" s="2" t="s">
        <v>530</v>
      </c>
      <c r="C477" s="48" t="s">
        <v>531</v>
      </c>
      <c r="D477">
        <v>13</v>
      </c>
      <c r="E477">
        <v>5</v>
      </c>
      <c r="F477">
        <v>2</v>
      </c>
      <c r="G477" s="3" t="s">
        <v>532</v>
      </c>
      <c r="H477" s="3" t="s">
        <v>532</v>
      </c>
      <c r="I477" s="2">
        <v>0</v>
      </c>
      <c r="J477" s="2" t="s">
        <v>533</v>
      </c>
      <c r="K477" s="2">
        <f t="shared" si="320"/>
        <v>6</v>
      </c>
      <c r="L477" s="2">
        <f t="shared" si="303"/>
        <v>1.4000000000000001</v>
      </c>
      <c r="M477" s="2">
        <f t="shared" si="303"/>
        <v>2</v>
      </c>
      <c r="N477" s="2">
        <v>10</v>
      </c>
      <c r="O477" s="2">
        <f t="shared" si="315"/>
        <v>683.76</v>
      </c>
      <c r="P477" s="2">
        <f t="shared" si="315"/>
        <v>34.869999999999997</v>
      </c>
      <c r="Q477" s="2">
        <f t="shared" si="315"/>
        <v>3907.2</v>
      </c>
      <c r="R477" s="2">
        <f t="shared" si="315"/>
        <v>199.27</v>
      </c>
      <c r="S477" s="2">
        <f t="shared" si="315"/>
        <v>91.17</v>
      </c>
      <c r="T477" s="2">
        <f t="shared" si="315"/>
        <v>6.84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17">
        <v>525003</v>
      </c>
      <c r="AA477" s="14" t="s">
        <v>790</v>
      </c>
      <c r="AB477" s="15" t="s">
        <v>469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I477">
        <v>1</v>
      </c>
      <c r="AJ477" s="1">
        <f t="shared" si="304"/>
        <v>558.70231763308743</v>
      </c>
      <c r="AK477">
        <v>13</v>
      </c>
      <c r="AL477">
        <f t="shared" si="305"/>
        <v>621.59999999999991</v>
      </c>
      <c r="AM477">
        <f t="shared" si="306"/>
        <v>31.701599999999992</v>
      </c>
      <c r="AN477">
        <f t="shared" si="307"/>
        <v>3552</v>
      </c>
      <c r="AO477">
        <f t="shared" si="308"/>
        <v>181.15199999999999</v>
      </c>
      <c r="AP477">
        <f t="shared" si="309"/>
        <v>82.879999999999981</v>
      </c>
      <c r="AQ477">
        <f t="shared" si="310"/>
        <v>6.2159999999999984</v>
      </c>
      <c r="AR477">
        <f t="shared" si="311"/>
        <v>1.4</v>
      </c>
      <c r="AS477">
        <f t="shared" si="316"/>
        <v>2</v>
      </c>
      <c r="AT477">
        <f t="shared" si="317"/>
        <v>6</v>
      </c>
      <c r="AU477">
        <f t="shared" si="314"/>
        <v>5002</v>
      </c>
      <c r="AV477" s="1">
        <v>0</v>
      </c>
      <c r="AW477">
        <v>5</v>
      </c>
      <c r="AX477">
        <v>0.1</v>
      </c>
      <c r="AZ477">
        <v>5</v>
      </c>
      <c r="BA477">
        <v>2</v>
      </c>
      <c r="CG477" t="str">
        <f t="shared" si="318"/>
        <v>DATA_Class_Base35</v>
      </c>
      <c r="CH477" s="3" t="s">
        <v>195</v>
      </c>
    </row>
    <row r="478" spans="1:86" ht="14.25">
      <c r="A478" s="49">
        <f t="shared" si="319"/>
        <v>5132502</v>
      </c>
      <c r="B478" s="2" t="s">
        <v>535</v>
      </c>
      <c r="C478" s="48" t="s">
        <v>536</v>
      </c>
      <c r="D478">
        <v>13</v>
      </c>
      <c r="E478">
        <v>5</v>
      </c>
      <c r="F478">
        <v>2</v>
      </c>
      <c r="G478" s="3" t="s">
        <v>537</v>
      </c>
      <c r="H478" s="3" t="s">
        <v>537</v>
      </c>
      <c r="I478" s="2">
        <v>0</v>
      </c>
      <c r="J478" s="2" t="s">
        <v>291</v>
      </c>
      <c r="K478" s="2">
        <f t="shared" si="320"/>
        <v>6</v>
      </c>
      <c r="L478" s="2">
        <f t="shared" si="303"/>
        <v>1.4000000000000001</v>
      </c>
      <c r="M478" s="2">
        <f t="shared" si="303"/>
        <v>2</v>
      </c>
      <c r="N478" s="2">
        <v>10</v>
      </c>
      <c r="O478" s="2">
        <f t="shared" si="315"/>
        <v>770.78</v>
      </c>
      <c r="P478" s="2">
        <f t="shared" si="315"/>
        <v>39.31</v>
      </c>
      <c r="Q478" s="2">
        <f t="shared" si="315"/>
        <v>4124.8999999999996</v>
      </c>
      <c r="R478" s="2">
        <f t="shared" si="315"/>
        <v>210.37</v>
      </c>
      <c r="S478" s="2">
        <f t="shared" si="315"/>
        <v>110.11</v>
      </c>
      <c r="T478" s="2">
        <f t="shared" si="315"/>
        <v>8.26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17">
        <v>525023</v>
      </c>
      <c r="AA478" s="14" t="s">
        <v>791</v>
      </c>
      <c r="AB478" s="15" t="s">
        <v>469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I478">
        <v>1</v>
      </c>
      <c r="AJ478" s="1">
        <f t="shared" si="304"/>
        <v>559.79045939382536</v>
      </c>
      <c r="AK478">
        <v>13</v>
      </c>
      <c r="AL478">
        <f t="shared" si="305"/>
        <v>642.32000000000005</v>
      </c>
      <c r="AM478">
        <f t="shared" si="306"/>
        <v>32.758319999999998</v>
      </c>
      <c r="AN478">
        <f t="shared" si="307"/>
        <v>3437.4193548387098</v>
      </c>
      <c r="AO478">
        <f t="shared" si="308"/>
        <v>175.3083870967742</v>
      </c>
      <c r="AP478">
        <f t="shared" si="309"/>
        <v>91.76</v>
      </c>
      <c r="AQ478">
        <f t="shared" si="310"/>
        <v>6.8820000000000006</v>
      </c>
      <c r="AR478">
        <f t="shared" si="311"/>
        <v>1.4</v>
      </c>
      <c r="AS478">
        <f t="shared" si="316"/>
        <v>2</v>
      </c>
      <c r="AT478">
        <f t="shared" si="317"/>
        <v>6</v>
      </c>
      <c r="AU478">
        <f t="shared" si="314"/>
        <v>5022</v>
      </c>
      <c r="AV478" s="1">
        <v>2</v>
      </c>
      <c r="AW478">
        <v>5</v>
      </c>
      <c r="AX478">
        <v>0.2</v>
      </c>
      <c r="AZ478">
        <v>5</v>
      </c>
      <c r="BA478">
        <v>2</v>
      </c>
      <c r="CG478" t="str">
        <f t="shared" si="318"/>
        <v>DATA_Class_Base36</v>
      </c>
      <c r="CH478" s="3" t="s">
        <v>201</v>
      </c>
    </row>
    <row r="479" spans="1:86" ht="14.25">
      <c r="A479" s="49">
        <f t="shared" si="319"/>
        <v>5132601</v>
      </c>
      <c r="B479" s="2" t="s">
        <v>539</v>
      </c>
      <c r="C479" s="48" t="s">
        <v>540</v>
      </c>
      <c r="D479">
        <v>13</v>
      </c>
      <c r="E479">
        <v>6</v>
      </c>
      <c r="F479">
        <v>2</v>
      </c>
      <c r="G479" s="3" t="s">
        <v>541</v>
      </c>
      <c r="H479" s="3" t="s">
        <v>541</v>
      </c>
      <c r="I479" s="2">
        <v>0</v>
      </c>
      <c r="J479" s="8" t="s">
        <v>542</v>
      </c>
      <c r="K479" s="2">
        <f t="shared" si="320"/>
        <v>6</v>
      </c>
      <c r="L479" s="2">
        <f t="shared" si="303"/>
        <v>1.5</v>
      </c>
      <c r="M479" s="2">
        <f t="shared" si="303"/>
        <v>2</v>
      </c>
      <c r="N479" s="2">
        <v>10</v>
      </c>
      <c r="O479" s="2">
        <f t="shared" si="315"/>
        <v>586.08000000000004</v>
      </c>
      <c r="P479" s="2">
        <f t="shared" si="315"/>
        <v>29.89</v>
      </c>
      <c r="Q479" s="2">
        <f t="shared" si="315"/>
        <v>5812.36</v>
      </c>
      <c r="R479" s="2">
        <f t="shared" si="315"/>
        <v>296.43</v>
      </c>
      <c r="S479" s="2">
        <f t="shared" si="315"/>
        <v>130.24</v>
      </c>
      <c r="T479" s="2">
        <f t="shared" si="315"/>
        <v>9.77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17">
        <v>526013</v>
      </c>
      <c r="AA479" s="14" t="s">
        <v>792</v>
      </c>
      <c r="AB479" s="15" t="s">
        <v>469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I479">
        <v>1</v>
      </c>
      <c r="AJ479" s="1">
        <f t="shared" si="304"/>
        <v>561.85744549963897</v>
      </c>
      <c r="AK479">
        <v>13</v>
      </c>
      <c r="AL479">
        <f t="shared" si="305"/>
        <v>488.40000000000003</v>
      </c>
      <c r="AM479">
        <f t="shared" si="306"/>
        <v>24.9084</v>
      </c>
      <c r="AN479">
        <f t="shared" si="307"/>
        <v>4843.636363636364</v>
      </c>
      <c r="AO479">
        <f t="shared" si="308"/>
        <v>247.02545454545455</v>
      </c>
      <c r="AP479">
        <f t="shared" si="309"/>
        <v>108.53333333333335</v>
      </c>
      <c r="AQ479">
        <f t="shared" si="310"/>
        <v>8.14</v>
      </c>
      <c r="AR479">
        <f t="shared" si="311"/>
        <v>1.5</v>
      </c>
      <c r="AS479">
        <f t="shared" si="316"/>
        <v>2</v>
      </c>
      <c r="AT479">
        <f t="shared" si="317"/>
        <v>6</v>
      </c>
      <c r="AU479">
        <f t="shared" si="314"/>
        <v>6012</v>
      </c>
      <c r="AV479" s="1">
        <v>1</v>
      </c>
      <c r="AW479">
        <v>5</v>
      </c>
      <c r="AX479">
        <v>0.2</v>
      </c>
      <c r="AZ479">
        <v>6</v>
      </c>
      <c r="BA479">
        <v>2</v>
      </c>
      <c r="CG479" t="str">
        <f t="shared" si="318"/>
        <v>DATA_Class_Base28</v>
      </c>
      <c r="CH479" s="3" t="s">
        <v>374</v>
      </c>
    </row>
    <row r="480" spans="1:86" ht="14.25">
      <c r="A480" s="49">
        <f t="shared" si="319"/>
        <v>5133200</v>
      </c>
      <c r="B480" s="2" t="s">
        <v>544</v>
      </c>
      <c r="C480" s="48" t="s">
        <v>545</v>
      </c>
      <c r="D480">
        <v>13</v>
      </c>
      <c r="E480">
        <v>2</v>
      </c>
      <c r="F480">
        <v>3</v>
      </c>
      <c r="G480" s="3" t="s">
        <v>546</v>
      </c>
      <c r="H480" s="3" t="s">
        <v>546</v>
      </c>
      <c r="I480">
        <v>0</v>
      </c>
      <c r="J480" s="2" t="s">
        <v>314</v>
      </c>
      <c r="K480" s="2">
        <f t="shared" si="320"/>
        <v>3</v>
      </c>
      <c r="L480" s="2">
        <f t="shared" si="303"/>
        <v>1.5</v>
      </c>
      <c r="M480" s="2">
        <f t="shared" si="303"/>
        <v>1.2</v>
      </c>
      <c r="N480" s="2">
        <v>10</v>
      </c>
      <c r="O480" s="2">
        <f t="shared" si="315"/>
        <v>357.42</v>
      </c>
      <c r="P480" s="2">
        <f t="shared" si="315"/>
        <v>18.23</v>
      </c>
      <c r="Q480" s="2">
        <f t="shared" si="315"/>
        <v>8753.14</v>
      </c>
      <c r="R480" s="2">
        <f t="shared" si="315"/>
        <v>446.41</v>
      </c>
      <c r="S480" s="2">
        <f t="shared" si="315"/>
        <v>178.71</v>
      </c>
      <c r="T480" s="2">
        <f t="shared" si="315"/>
        <v>13.4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17">
        <v>532003</v>
      </c>
      <c r="AA480" s="14" t="s">
        <v>793</v>
      </c>
      <c r="AB480" s="15" t="s">
        <v>469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I480">
        <v>1</v>
      </c>
      <c r="AJ480" s="1">
        <f t="shared" si="304"/>
        <v>567.71460185737681</v>
      </c>
      <c r="AK480">
        <v>13</v>
      </c>
      <c r="AL480">
        <f t="shared" si="305"/>
        <v>310.79999999999995</v>
      </c>
      <c r="AM480">
        <f t="shared" si="306"/>
        <v>15.850799999999996</v>
      </c>
      <c r="AN480">
        <f t="shared" si="307"/>
        <v>7611.4285714285725</v>
      </c>
      <c r="AO480">
        <f t="shared" si="308"/>
        <v>388.18285714285719</v>
      </c>
      <c r="AP480">
        <f t="shared" si="309"/>
        <v>155.39999999999998</v>
      </c>
      <c r="AQ480">
        <f t="shared" si="310"/>
        <v>11.654999999999998</v>
      </c>
      <c r="AR480">
        <f t="shared" si="311"/>
        <v>1.5</v>
      </c>
      <c r="AS480">
        <f t="shared" si="316"/>
        <v>1.2</v>
      </c>
      <c r="AT480">
        <f t="shared" si="317"/>
        <v>3</v>
      </c>
      <c r="AU480">
        <f t="shared" si="314"/>
        <v>2003</v>
      </c>
      <c r="AV480" s="1">
        <v>0</v>
      </c>
      <c r="AW480">
        <v>5</v>
      </c>
      <c r="AX480">
        <v>0.15</v>
      </c>
      <c r="AZ480">
        <v>2</v>
      </c>
      <c r="BA480">
        <v>3</v>
      </c>
      <c r="CG480" t="str">
        <f t="shared" si="318"/>
        <v>DATA_Class_Base29</v>
      </c>
      <c r="CH480" s="3" t="s">
        <v>378</v>
      </c>
    </row>
    <row r="481" spans="1:86" ht="14.25">
      <c r="A481">
        <f t="shared" si="319"/>
        <v>5133201</v>
      </c>
      <c r="B481" s="2" t="s">
        <v>548</v>
      </c>
      <c r="C481" s="48" t="s">
        <v>549</v>
      </c>
      <c r="D481">
        <v>13</v>
      </c>
      <c r="E481">
        <v>2</v>
      </c>
      <c r="F481">
        <v>3</v>
      </c>
      <c r="G481" s="3" t="s">
        <v>550</v>
      </c>
      <c r="H481" s="3" t="s">
        <v>550</v>
      </c>
      <c r="I481" s="2">
        <v>0</v>
      </c>
      <c r="J481" s="50" t="s">
        <v>1720</v>
      </c>
      <c r="K481" s="2">
        <f t="shared" si="320"/>
        <v>3</v>
      </c>
      <c r="L481" s="2">
        <f t="shared" si="303"/>
        <v>1.7</v>
      </c>
      <c r="M481" s="2">
        <f t="shared" si="303"/>
        <v>1.8</v>
      </c>
      <c r="N481" s="2">
        <v>10</v>
      </c>
      <c r="O481" s="2">
        <f t="shared" si="315"/>
        <v>332.11</v>
      </c>
      <c r="P481" s="2">
        <f t="shared" si="315"/>
        <v>16.940000000000001</v>
      </c>
      <c r="Q481" s="2">
        <f t="shared" si="315"/>
        <v>9768</v>
      </c>
      <c r="R481" s="2">
        <f t="shared" si="315"/>
        <v>498.17</v>
      </c>
      <c r="S481" s="2">
        <f t="shared" si="315"/>
        <v>166.06</v>
      </c>
      <c r="T481" s="2">
        <f t="shared" si="315"/>
        <v>12.45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17">
        <v>532013</v>
      </c>
      <c r="AA481" s="14" t="s">
        <v>794</v>
      </c>
      <c r="AB481" s="15" t="s">
        <v>469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I481">
        <v>1</v>
      </c>
      <c r="AJ481" s="1">
        <f t="shared" si="304"/>
        <v>567.15448202512016</v>
      </c>
      <c r="AK481">
        <v>13</v>
      </c>
      <c r="AL481">
        <f t="shared" si="305"/>
        <v>301.92000000000007</v>
      </c>
      <c r="AM481">
        <f t="shared" si="306"/>
        <v>15.397920000000003</v>
      </c>
      <c r="AN481">
        <f t="shared" si="307"/>
        <v>8880</v>
      </c>
      <c r="AO481">
        <f t="shared" si="308"/>
        <v>452.88</v>
      </c>
      <c r="AP481">
        <f t="shared" si="309"/>
        <v>150.96000000000004</v>
      </c>
      <c r="AQ481">
        <f t="shared" si="310"/>
        <v>11.322000000000003</v>
      </c>
      <c r="AR481">
        <f t="shared" si="311"/>
        <v>1.7</v>
      </c>
      <c r="AS481">
        <f t="shared" si="316"/>
        <v>1.8</v>
      </c>
      <c r="AT481">
        <f t="shared" si="317"/>
        <v>3</v>
      </c>
      <c r="AU481">
        <f t="shared" si="314"/>
        <v>2013</v>
      </c>
      <c r="AV481" s="1">
        <v>1</v>
      </c>
      <c r="AW481">
        <v>5</v>
      </c>
      <c r="AX481">
        <v>0.1</v>
      </c>
      <c r="AZ481">
        <v>2</v>
      </c>
      <c r="BA481">
        <v>3</v>
      </c>
      <c r="CG481" t="str">
        <f t="shared" si="318"/>
        <v>DATA_Class_Base30</v>
      </c>
      <c r="CH481" s="3" t="s">
        <v>381</v>
      </c>
    </row>
    <row r="482" spans="1:86" ht="14.25">
      <c r="A482">
        <f t="shared" si="319"/>
        <v>5133202</v>
      </c>
      <c r="B482" s="2" t="s">
        <v>552</v>
      </c>
      <c r="C482" s="48" t="s">
        <v>553</v>
      </c>
      <c r="D482">
        <v>13</v>
      </c>
      <c r="E482">
        <v>2</v>
      </c>
      <c r="F482">
        <v>3</v>
      </c>
      <c r="G482" s="3" t="s">
        <v>554</v>
      </c>
      <c r="H482" s="3" t="s">
        <v>554</v>
      </c>
      <c r="I482">
        <v>0</v>
      </c>
      <c r="J482" s="8" t="s">
        <v>555</v>
      </c>
      <c r="K482" s="2">
        <f t="shared" si="320"/>
        <v>3</v>
      </c>
      <c r="L482" s="2">
        <f t="shared" si="303"/>
        <v>1.7</v>
      </c>
      <c r="M482" s="2">
        <f t="shared" si="303"/>
        <v>2</v>
      </c>
      <c r="N482" s="2">
        <v>10</v>
      </c>
      <c r="O482" s="2">
        <f t="shared" si="315"/>
        <v>520.80999999999995</v>
      </c>
      <c r="P482" s="2">
        <f t="shared" si="315"/>
        <v>26.56</v>
      </c>
      <c r="Q482" s="2">
        <f t="shared" si="315"/>
        <v>6808</v>
      </c>
      <c r="R482" s="2">
        <f t="shared" si="315"/>
        <v>347.21</v>
      </c>
      <c r="S482" s="2">
        <f t="shared" si="315"/>
        <v>173.6</v>
      </c>
      <c r="T482" s="2">
        <f t="shared" si="315"/>
        <v>13.02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17">
        <v>532023</v>
      </c>
      <c r="AA482" s="14" t="s">
        <v>795</v>
      </c>
      <c r="AB482" s="15" t="s">
        <v>469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I482">
        <v>1</v>
      </c>
      <c r="AJ482" s="1">
        <f t="shared" si="304"/>
        <v>567.15448202512016</v>
      </c>
      <c r="AK482">
        <v>13</v>
      </c>
      <c r="AL482">
        <f t="shared" si="305"/>
        <v>452.88000000000005</v>
      </c>
      <c r="AM482">
        <f t="shared" si="306"/>
        <v>23.096880000000002</v>
      </c>
      <c r="AN482">
        <f t="shared" si="307"/>
        <v>5920</v>
      </c>
      <c r="AO482">
        <f t="shared" si="308"/>
        <v>301.91999999999996</v>
      </c>
      <c r="AP482">
        <f t="shared" si="309"/>
        <v>150.96</v>
      </c>
      <c r="AQ482">
        <f t="shared" si="310"/>
        <v>11.322000000000001</v>
      </c>
      <c r="AR482">
        <f t="shared" si="311"/>
        <v>1.7</v>
      </c>
      <c r="AS482">
        <f t="shared" si="316"/>
        <v>2</v>
      </c>
      <c r="AT482">
        <f t="shared" si="317"/>
        <v>3</v>
      </c>
      <c r="AU482">
        <f t="shared" si="314"/>
        <v>2023</v>
      </c>
      <c r="AV482" s="1">
        <v>2</v>
      </c>
      <c r="AW482">
        <v>5</v>
      </c>
      <c r="AX482">
        <v>0.15</v>
      </c>
      <c r="AZ482">
        <v>2</v>
      </c>
      <c r="BA482">
        <v>3</v>
      </c>
      <c r="CG482" t="str">
        <f t="shared" si="318"/>
        <v>DATA_Class_Base31</v>
      </c>
      <c r="CH482" s="3" t="s">
        <v>384</v>
      </c>
    </row>
    <row r="483" spans="1:86" ht="14.25">
      <c r="A483" s="49">
        <f t="shared" si="319"/>
        <v>5133301</v>
      </c>
      <c r="B483" s="2" t="s">
        <v>557</v>
      </c>
      <c r="C483" s="48" t="s">
        <v>558</v>
      </c>
      <c r="D483">
        <v>13</v>
      </c>
      <c r="E483">
        <v>3</v>
      </c>
      <c r="F483">
        <v>3</v>
      </c>
      <c r="G483" s="3" t="s">
        <v>559</v>
      </c>
      <c r="H483" s="3" t="s">
        <v>559</v>
      </c>
      <c r="I483" s="2">
        <v>0</v>
      </c>
      <c r="J483" s="8" t="s">
        <v>555</v>
      </c>
      <c r="K483" s="2">
        <f t="shared" si="320"/>
        <v>3</v>
      </c>
      <c r="L483" s="2">
        <f t="shared" si="303"/>
        <v>1.2</v>
      </c>
      <c r="M483" s="2">
        <f t="shared" si="303"/>
        <v>1.4000000000000001</v>
      </c>
      <c r="N483" s="2">
        <v>10</v>
      </c>
      <c r="O483" s="2">
        <f t="shared" si="315"/>
        <v>511.49</v>
      </c>
      <c r="P483" s="2">
        <f t="shared" si="315"/>
        <v>26.09</v>
      </c>
      <c r="Q483" s="2">
        <f t="shared" si="315"/>
        <v>5328</v>
      </c>
      <c r="R483" s="2">
        <f t="shared" si="315"/>
        <v>271.73</v>
      </c>
      <c r="S483" s="2">
        <f t="shared" si="315"/>
        <v>146.13999999999999</v>
      </c>
      <c r="T483" s="2">
        <f t="shared" si="315"/>
        <v>10.96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17">
        <v>533013</v>
      </c>
      <c r="AA483" s="14" t="s">
        <v>796</v>
      </c>
      <c r="AB483" s="15" t="s">
        <v>469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I483">
        <v>1</v>
      </c>
      <c r="AJ483" s="1">
        <f t="shared" si="304"/>
        <v>563.50101342966741</v>
      </c>
      <c r="AK483">
        <v>13</v>
      </c>
      <c r="AL483">
        <f t="shared" si="305"/>
        <v>426.23999999999995</v>
      </c>
      <c r="AM483">
        <f t="shared" si="306"/>
        <v>21.738239999999998</v>
      </c>
      <c r="AN483">
        <f t="shared" si="307"/>
        <v>4440</v>
      </c>
      <c r="AO483">
        <f t="shared" si="308"/>
        <v>226.44</v>
      </c>
      <c r="AP483">
        <f t="shared" si="309"/>
        <v>121.78285714285713</v>
      </c>
      <c r="AQ483">
        <f t="shared" si="310"/>
        <v>9.1337142857142837</v>
      </c>
      <c r="AR483">
        <f t="shared" si="311"/>
        <v>1.2</v>
      </c>
      <c r="AS483">
        <f t="shared" si="316"/>
        <v>1.4</v>
      </c>
      <c r="AT483">
        <f t="shared" si="317"/>
        <v>3</v>
      </c>
      <c r="AU483">
        <f t="shared" si="314"/>
        <v>3013</v>
      </c>
      <c r="AV483" s="1">
        <v>1</v>
      </c>
      <c r="AW483">
        <v>5</v>
      </c>
      <c r="AX483">
        <v>0.2</v>
      </c>
      <c r="AZ483">
        <v>3</v>
      </c>
      <c r="BA483">
        <v>3</v>
      </c>
      <c r="CG483" t="str">
        <f t="shared" si="318"/>
        <v>DATA_Class_Base32</v>
      </c>
      <c r="CH483" s="3" t="s">
        <v>388</v>
      </c>
    </row>
    <row r="484" spans="1:86" ht="14.25">
      <c r="A484">
        <f t="shared" si="319"/>
        <v>5133401</v>
      </c>
      <c r="B484" s="2" t="s">
        <v>561</v>
      </c>
      <c r="C484" s="48" t="s">
        <v>562</v>
      </c>
      <c r="D484">
        <v>13</v>
      </c>
      <c r="E484">
        <v>4</v>
      </c>
      <c r="F484">
        <v>3</v>
      </c>
      <c r="G484" s="3" t="s">
        <v>563</v>
      </c>
      <c r="H484" s="3" t="s">
        <v>563</v>
      </c>
      <c r="I484">
        <v>0</v>
      </c>
      <c r="J484" s="2" t="s">
        <v>161</v>
      </c>
      <c r="K484" s="2">
        <f t="shared" si="320"/>
        <v>6</v>
      </c>
      <c r="L484" s="2">
        <f t="shared" si="303"/>
        <v>1.6</v>
      </c>
      <c r="M484" s="2">
        <f t="shared" si="303"/>
        <v>1.5</v>
      </c>
      <c r="N484" s="2">
        <v>10</v>
      </c>
      <c r="O484" s="2">
        <f t="shared" si="315"/>
        <v>681.98</v>
      </c>
      <c r="P484" s="2">
        <f t="shared" si="315"/>
        <v>34.78</v>
      </c>
      <c r="Q484" s="2">
        <f t="shared" si="315"/>
        <v>5328</v>
      </c>
      <c r="R484" s="2">
        <f t="shared" si="315"/>
        <v>271.73</v>
      </c>
      <c r="S484" s="2">
        <f t="shared" si="315"/>
        <v>113.66</v>
      </c>
      <c r="T484" s="2">
        <f t="shared" si="315"/>
        <v>8.52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17">
        <v>534013</v>
      </c>
      <c r="AA484" s="14" t="s">
        <v>797</v>
      </c>
      <c r="AB484" s="15" t="s">
        <v>469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I484">
        <v>1</v>
      </c>
      <c r="AJ484" s="1">
        <f t="shared" si="304"/>
        <v>560.15411583283253</v>
      </c>
      <c r="AK484">
        <v>13</v>
      </c>
      <c r="AL484">
        <f t="shared" si="305"/>
        <v>568.32000000000005</v>
      </c>
      <c r="AM484">
        <f t="shared" si="306"/>
        <v>28.98432</v>
      </c>
      <c r="AN484">
        <f t="shared" si="307"/>
        <v>4440</v>
      </c>
      <c r="AO484">
        <f t="shared" si="308"/>
        <v>226.44</v>
      </c>
      <c r="AP484">
        <f t="shared" si="309"/>
        <v>94.720000000000013</v>
      </c>
      <c r="AQ484">
        <f t="shared" si="310"/>
        <v>7.104000000000001</v>
      </c>
      <c r="AR484">
        <f t="shared" si="311"/>
        <v>1.6</v>
      </c>
      <c r="AS484">
        <f t="shared" si="316"/>
        <v>1.5</v>
      </c>
      <c r="AT484">
        <f t="shared" si="317"/>
        <v>6</v>
      </c>
      <c r="AU484">
        <f t="shared" si="314"/>
        <v>4013</v>
      </c>
      <c r="AV484" s="1">
        <v>1</v>
      </c>
      <c r="AW484">
        <v>5</v>
      </c>
      <c r="AX484">
        <v>0.2</v>
      </c>
      <c r="AZ484">
        <v>4</v>
      </c>
      <c r="BA484">
        <v>3</v>
      </c>
      <c r="CG484" t="str">
        <f t="shared" si="318"/>
        <v>DATA_Class_Base33</v>
      </c>
      <c r="CH484" s="3" t="s">
        <v>391</v>
      </c>
    </row>
    <row r="485" spans="1:86" ht="14.25">
      <c r="A485">
        <f t="shared" si="319"/>
        <v>5133402</v>
      </c>
      <c r="B485" s="2" t="s">
        <v>565</v>
      </c>
      <c r="C485" s="48" t="s">
        <v>566</v>
      </c>
      <c r="D485">
        <v>13</v>
      </c>
      <c r="E485">
        <v>4</v>
      </c>
      <c r="F485">
        <v>3</v>
      </c>
      <c r="G485" s="3" t="s">
        <v>567</v>
      </c>
      <c r="H485" s="3" t="s">
        <v>567</v>
      </c>
      <c r="I485" s="2">
        <v>0</v>
      </c>
      <c r="J485" s="8" t="s">
        <v>568</v>
      </c>
      <c r="K485" s="2">
        <f t="shared" si="320"/>
        <v>6</v>
      </c>
      <c r="L485" s="2">
        <f t="shared" si="303"/>
        <v>1.5</v>
      </c>
      <c r="M485" s="2">
        <f t="shared" si="303"/>
        <v>1.5</v>
      </c>
      <c r="N485" s="2">
        <v>10</v>
      </c>
      <c r="O485" s="2">
        <f t="shared" si="315"/>
        <v>663.78</v>
      </c>
      <c r="P485" s="2">
        <f t="shared" si="315"/>
        <v>33.85</v>
      </c>
      <c r="Q485" s="2">
        <f t="shared" si="315"/>
        <v>4713.2299999999996</v>
      </c>
      <c r="R485" s="2">
        <f t="shared" si="315"/>
        <v>240.37</v>
      </c>
      <c r="S485" s="2">
        <f t="shared" si="315"/>
        <v>94.83</v>
      </c>
      <c r="T485" s="2">
        <f t="shared" si="315"/>
        <v>7.11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17">
        <v>534023</v>
      </c>
      <c r="AA485" s="14" t="s">
        <v>798</v>
      </c>
      <c r="AB485" s="15" t="s">
        <v>469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I485">
        <v>1</v>
      </c>
      <c r="AJ485" s="1">
        <f t="shared" si="304"/>
        <v>558.65060686773018</v>
      </c>
      <c r="AK485">
        <v>13</v>
      </c>
      <c r="AL485">
        <f t="shared" si="305"/>
        <v>577.20000000000005</v>
      </c>
      <c r="AM485">
        <f t="shared" si="306"/>
        <v>29.437200000000001</v>
      </c>
      <c r="AN485">
        <f t="shared" si="307"/>
        <v>4098.4615384615381</v>
      </c>
      <c r="AO485">
        <f t="shared" si="308"/>
        <v>209.02153846153843</v>
      </c>
      <c r="AP485">
        <f t="shared" si="309"/>
        <v>82.45714285714287</v>
      </c>
      <c r="AQ485">
        <f t="shared" si="310"/>
        <v>6.1842857142857151</v>
      </c>
      <c r="AR485">
        <f t="shared" si="311"/>
        <v>1.5</v>
      </c>
      <c r="AS485">
        <f t="shared" si="316"/>
        <v>1.5</v>
      </c>
      <c r="AT485">
        <f t="shared" si="317"/>
        <v>6</v>
      </c>
      <c r="AU485">
        <f t="shared" si="314"/>
        <v>4023</v>
      </c>
      <c r="AV485" s="1">
        <v>2</v>
      </c>
      <c r="AW485">
        <v>5</v>
      </c>
      <c r="AX485">
        <v>0.15</v>
      </c>
      <c r="AZ485">
        <v>4</v>
      </c>
      <c r="BA485">
        <v>3</v>
      </c>
      <c r="CG485" t="str">
        <f t="shared" si="318"/>
        <v>DATA_Class_Base34</v>
      </c>
      <c r="CH485" s="3" t="s">
        <v>184</v>
      </c>
    </row>
    <row r="486" spans="1:86" ht="14.25">
      <c r="A486">
        <f t="shared" si="319"/>
        <v>5133500</v>
      </c>
      <c r="B486" s="2" t="s">
        <v>570</v>
      </c>
      <c r="C486" s="48" t="s">
        <v>571</v>
      </c>
      <c r="D486">
        <v>13</v>
      </c>
      <c r="E486">
        <v>5</v>
      </c>
      <c r="F486">
        <v>3</v>
      </c>
      <c r="G486" s="3" t="s">
        <v>572</v>
      </c>
      <c r="H486" s="3" t="s">
        <v>572</v>
      </c>
      <c r="I486" s="2">
        <v>0</v>
      </c>
      <c r="J486" s="2" t="s">
        <v>303</v>
      </c>
      <c r="K486" s="2">
        <f t="shared" si="320"/>
        <v>6</v>
      </c>
      <c r="L486" s="2">
        <f t="shared" si="303"/>
        <v>1.5</v>
      </c>
      <c r="M486" s="2">
        <f t="shared" si="303"/>
        <v>2</v>
      </c>
      <c r="N486" s="2">
        <v>10</v>
      </c>
      <c r="O486" s="2">
        <f t="shared" si="315"/>
        <v>634.91999999999996</v>
      </c>
      <c r="P486" s="2">
        <f t="shared" si="315"/>
        <v>32.380000000000003</v>
      </c>
      <c r="Q486" s="2">
        <f t="shared" si="315"/>
        <v>4508.3100000000004</v>
      </c>
      <c r="R486" s="2">
        <f t="shared" si="315"/>
        <v>229.92</v>
      </c>
      <c r="S486" s="2">
        <f t="shared" si="315"/>
        <v>105.82</v>
      </c>
      <c r="T486" s="2">
        <f t="shared" si="315"/>
        <v>7.94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17">
        <v>535003</v>
      </c>
      <c r="AA486" s="14" t="s">
        <v>799</v>
      </c>
      <c r="AB486" s="15" t="s">
        <v>469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I486">
        <v>1</v>
      </c>
      <c r="AJ486" s="1">
        <f t="shared" si="304"/>
        <v>560.33612129138987</v>
      </c>
      <c r="AK486">
        <v>13</v>
      </c>
      <c r="AL486">
        <f t="shared" si="305"/>
        <v>577.20000000000005</v>
      </c>
      <c r="AM486">
        <f t="shared" si="306"/>
        <v>29.437200000000001</v>
      </c>
      <c r="AN486">
        <f t="shared" si="307"/>
        <v>4098.4615384615381</v>
      </c>
      <c r="AO486">
        <f t="shared" si="308"/>
        <v>209.02153846153843</v>
      </c>
      <c r="AP486">
        <f t="shared" si="309"/>
        <v>96.2</v>
      </c>
      <c r="AQ486">
        <f t="shared" si="310"/>
        <v>7.2149999999999999</v>
      </c>
      <c r="AR486">
        <f t="shared" si="311"/>
        <v>1.5</v>
      </c>
      <c r="AS486">
        <f t="shared" si="316"/>
        <v>2</v>
      </c>
      <c r="AT486">
        <f t="shared" si="317"/>
        <v>6</v>
      </c>
      <c r="AU486">
        <f t="shared" si="314"/>
        <v>5003</v>
      </c>
      <c r="AV486" s="1">
        <v>0</v>
      </c>
      <c r="AW486">
        <v>5</v>
      </c>
      <c r="AX486">
        <v>0.1</v>
      </c>
      <c r="AZ486">
        <v>5</v>
      </c>
      <c r="BA486">
        <v>3</v>
      </c>
      <c r="CG486" t="str">
        <f t="shared" si="318"/>
        <v>DATA_Class_Base35</v>
      </c>
      <c r="CH486" s="3" t="s">
        <v>195</v>
      </c>
    </row>
    <row r="487" spans="1:86" ht="14.25">
      <c r="A487">
        <f t="shared" si="319"/>
        <v>5133502</v>
      </c>
      <c r="B487" s="2" t="s">
        <v>574</v>
      </c>
      <c r="C487" s="48" t="s">
        <v>575</v>
      </c>
      <c r="D487">
        <v>13</v>
      </c>
      <c r="E487">
        <v>5</v>
      </c>
      <c r="F487">
        <v>3</v>
      </c>
      <c r="G487" s="3" t="s">
        <v>576</v>
      </c>
      <c r="H487" s="3" t="s">
        <v>576</v>
      </c>
      <c r="I487" s="2">
        <v>0</v>
      </c>
      <c r="J487" s="8" t="s">
        <v>577</v>
      </c>
      <c r="K487" s="2">
        <f t="shared" si="320"/>
        <v>6</v>
      </c>
      <c r="L487" s="2">
        <f t="shared" si="303"/>
        <v>1.4000000000000001</v>
      </c>
      <c r="M487" s="2">
        <f t="shared" si="303"/>
        <v>2</v>
      </c>
      <c r="N487" s="2">
        <v>10</v>
      </c>
      <c r="O487" s="2">
        <f t="shared" si="315"/>
        <v>615.38</v>
      </c>
      <c r="P487" s="2">
        <f t="shared" si="315"/>
        <v>31.38</v>
      </c>
      <c r="Q487" s="2">
        <f t="shared" si="315"/>
        <v>4341.33</v>
      </c>
      <c r="R487" s="2">
        <f t="shared" si="315"/>
        <v>221.41</v>
      </c>
      <c r="S487" s="2">
        <f t="shared" si="315"/>
        <v>102.56</v>
      </c>
      <c r="T487" s="2">
        <f t="shared" si="315"/>
        <v>7.69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17">
        <v>535023</v>
      </c>
      <c r="AA487" s="14" t="s">
        <v>800</v>
      </c>
      <c r="AB487" s="15" t="s">
        <v>469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I487">
        <v>1</v>
      </c>
      <c r="AJ487" s="1">
        <f t="shared" si="304"/>
        <v>559.97222857201166</v>
      </c>
      <c r="AK487">
        <v>13</v>
      </c>
      <c r="AL487">
        <f t="shared" si="305"/>
        <v>559.43999999999994</v>
      </c>
      <c r="AM487">
        <f t="shared" si="306"/>
        <v>28.531439999999996</v>
      </c>
      <c r="AN487">
        <f t="shared" si="307"/>
        <v>3946.6666666666665</v>
      </c>
      <c r="AO487">
        <f t="shared" si="308"/>
        <v>201.27999999999997</v>
      </c>
      <c r="AP487">
        <f t="shared" si="309"/>
        <v>93.24</v>
      </c>
      <c r="AQ487">
        <f t="shared" si="310"/>
        <v>6.9929999999999994</v>
      </c>
      <c r="AR487">
        <f t="shared" si="311"/>
        <v>1.4</v>
      </c>
      <c r="AS487">
        <f t="shared" si="316"/>
        <v>2</v>
      </c>
      <c r="AT487">
        <f t="shared" si="317"/>
        <v>6</v>
      </c>
      <c r="AU487">
        <f t="shared" si="314"/>
        <v>5023</v>
      </c>
      <c r="AV487" s="1">
        <v>2</v>
      </c>
      <c r="AW487">
        <v>5</v>
      </c>
      <c r="AX487">
        <v>0.1</v>
      </c>
      <c r="AZ487">
        <v>5</v>
      </c>
      <c r="BA487">
        <v>3</v>
      </c>
      <c r="CG487" t="str">
        <f t="shared" si="318"/>
        <v>DATA_Class_Base36</v>
      </c>
      <c r="CH487" s="3" t="s">
        <v>201</v>
      </c>
    </row>
    <row r="488" spans="1:86" ht="14.25">
      <c r="A488">
        <f t="shared" si="319"/>
        <v>5133601</v>
      </c>
      <c r="B488" s="2" t="s">
        <v>579</v>
      </c>
      <c r="C488" s="48" t="s">
        <v>580</v>
      </c>
      <c r="D488">
        <v>13</v>
      </c>
      <c r="E488">
        <v>6</v>
      </c>
      <c r="F488">
        <v>3</v>
      </c>
      <c r="G488" s="3" t="s">
        <v>581</v>
      </c>
      <c r="H488" s="3" t="s">
        <v>581</v>
      </c>
      <c r="I488">
        <v>0</v>
      </c>
      <c r="J488" s="2" t="s">
        <v>309</v>
      </c>
      <c r="K488" s="2">
        <f t="shared" si="320"/>
        <v>6</v>
      </c>
      <c r="L488" s="2">
        <f t="shared" si="303"/>
        <v>1.5</v>
      </c>
      <c r="M488" s="2">
        <f t="shared" si="303"/>
        <v>2</v>
      </c>
      <c r="N488" s="2">
        <v>10</v>
      </c>
      <c r="O488" s="2">
        <f t="shared" si="315"/>
        <v>439.56</v>
      </c>
      <c r="P488" s="2">
        <f t="shared" si="315"/>
        <v>22.42</v>
      </c>
      <c r="Q488" s="2">
        <f t="shared" si="315"/>
        <v>6512</v>
      </c>
      <c r="R488" s="2">
        <f t="shared" si="315"/>
        <v>332.11</v>
      </c>
      <c r="S488" s="2">
        <f t="shared" si="315"/>
        <v>109.89</v>
      </c>
      <c r="T488" s="2">
        <f t="shared" si="315"/>
        <v>8.24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17">
        <v>536013</v>
      </c>
      <c r="AA488" s="14" t="s">
        <v>801</v>
      </c>
      <c r="AB488" s="15" t="s">
        <v>469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I488">
        <v>1</v>
      </c>
      <c r="AJ488" s="1">
        <f t="shared" si="304"/>
        <v>560.7916528095908</v>
      </c>
      <c r="AK488">
        <v>13</v>
      </c>
      <c r="AL488">
        <f t="shared" si="305"/>
        <v>399.6</v>
      </c>
      <c r="AM488">
        <f t="shared" si="306"/>
        <v>20.3796</v>
      </c>
      <c r="AN488">
        <f t="shared" si="307"/>
        <v>5920</v>
      </c>
      <c r="AO488">
        <f t="shared" si="308"/>
        <v>301.91999999999996</v>
      </c>
      <c r="AP488">
        <f t="shared" si="309"/>
        <v>99.9</v>
      </c>
      <c r="AQ488">
        <f t="shared" si="310"/>
        <v>7.4924999999999997</v>
      </c>
      <c r="AR488">
        <f t="shared" si="311"/>
        <v>1.5</v>
      </c>
      <c r="AS488">
        <f t="shared" si="316"/>
        <v>2</v>
      </c>
      <c r="AT488">
        <f t="shared" si="317"/>
        <v>6</v>
      </c>
      <c r="AU488">
        <f t="shared" si="314"/>
        <v>6013</v>
      </c>
      <c r="AV488" s="1">
        <v>1</v>
      </c>
      <c r="AW488">
        <v>5</v>
      </c>
      <c r="AX488">
        <v>0.1</v>
      </c>
      <c r="AZ488">
        <v>6</v>
      </c>
      <c r="BA488">
        <v>3</v>
      </c>
      <c r="CA488" s="13"/>
      <c r="CB488" s="13"/>
      <c r="CC488" s="13"/>
      <c r="CG488" t="str">
        <f t="shared" si="318"/>
        <v>DATA_Class_Base29</v>
      </c>
      <c r="CH488" s="3" t="s">
        <v>378</v>
      </c>
    </row>
    <row r="489" spans="1:86" ht="14.25">
      <c r="A489">
        <f t="shared" si="319"/>
        <v>5134201</v>
      </c>
      <c r="B489" s="2" t="s">
        <v>583</v>
      </c>
      <c r="C489" s="48" t="s">
        <v>584</v>
      </c>
      <c r="D489">
        <v>13</v>
      </c>
      <c r="E489">
        <v>2</v>
      </c>
      <c r="F489">
        <v>4</v>
      </c>
      <c r="G489" s="3" t="s">
        <v>585</v>
      </c>
      <c r="H489" s="3" t="s">
        <v>585</v>
      </c>
      <c r="I489" s="30">
        <v>0</v>
      </c>
      <c r="J489" s="8" t="s">
        <v>298</v>
      </c>
      <c r="K489" s="2">
        <f t="shared" si="320"/>
        <v>3</v>
      </c>
      <c r="L489" s="2">
        <f t="shared" si="303"/>
        <v>1.8</v>
      </c>
      <c r="M489" s="2">
        <f t="shared" si="303"/>
        <v>1.8</v>
      </c>
      <c r="N489" s="2">
        <v>10</v>
      </c>
      <c r="O489" s="2">
        <f t="shared" si="315"/>
        <v>511.49</v>
      </c>
      <c r="P489" s="2">
        <f t="shared" si="315"/>
        <v>26.09</v>
      </c>
      <c r="Q489" s="2">
        <f t="shared" si="315"/>
        <v>7992</v>
      </c>
      <c r="R489" s="2">
        <f t="shared" si="315"/>
        <v>407.59</v>
      </c>
      <c r="S489" s="2">
        <f t="shared" si="315"/>
        <v>189.44</v>
      </c>
      <c r="T489" s="2">
        <f t="shared" si="315"/>
        <v>14.21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17">
        <v>542013</v>
      </c>
      <c r="AA489" s="15" t="s">
        <v>802</v>
      </c>
      <c r="AB489" s="15" t="s">
        <v>469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/>
      <c r="AI489">
        <v>1</v>
      </c>
      <c r="AJ489" s="1">
        <f t="shared" si="304"/>
        <v>568.02625785465068</v>
      </c>
      <c r="AK489">
        <v>13</v>
      </c>
      <c r="AL489">
        <f t="shared" si="305"/>
        <v>426.24</v>
      </c>
      <c r="AM489">
        <f t="shared" si="306"/>
        <v>21.738239999999998</v>
      </c>
      <c r="AN489">
        <f t="shared" si="307"/>
        <v>6660</v>
      </c>
      <c r="AO489">
        <f t="shared" si="308"/>
        <v>339.65999999999997</v>
      </c>
      <c r="AP489">
        <f t="shared" si="309"/>
        <v>157.86666666666665</v>
      </c>
      <c r="AQ489">
        <f t="shared" si="310"/>
        <v>11.839999999999998</v>
      </c>
      <c r="AR489">
        <f t="shared" si="311"/>
        <v>1.8</v>
      </c>
      <c r="AS489">
        <f t="shared" si="316"/>
        <v>1.8</v>
      </c>
      <c r="AT489">
        <f t="shared" si="317"/>
        <v>3</v>
      </c>
      <c r="AU489">
        <f t="shared" si="314"/>
        <v>2014</v>
      </c>
      <c r="AV489" s="1">
        <v>1</v>
      </c>
      <c r="AW489">
        <v>5</v>
      </c>
      <c r="AX489">
        <v>0.2</v>
      </c>
      <c r="AZ489">
        <v>2</v>
      </c>
      <c r="BA489">
        <v>4</v>
      </c>
      <c r="CA489" s="13"/>
      <c r="CB489" s="13"/>
      <c r="CC489" s="13"/>
      <c r="CG489" t="str">
        <f t="shared" si="318"/>
        <v>DATA_Class_Base41</v>
      </c>
      <c r="CH489" s="3" t="s">
        <v>413</v>
      </c>
    </row>
    <row r="490" spans="1:86" ht="14.25">
      <c r="A490">
        <f t="shared" si="319"/>
        <v>5134302</v>
      </c>
      <c r="B490" s="2" t="s">
        <v>587</v>
      </c>
      <c r="C490" s="48" t="s">
        <v>588</v>
      </c>
      <c r="D490">
        <v>13</v>
      </c>
      <c r="E490">
        <v>3</v>
      </c>
      <c r="F490">
        <v>4</v>
      </c>
      <c r="G490" s="3" t="s">
        <v>589</v>
      </c>
      <c r="H490" s="3" t="s">
        <v>589</v>
      </c>
      <c r="I490" s="30">
        <v>0</v>
      </c>
      <c r="J490" s="8" t="s">
        <v>590</v>
      </c>
      <c r="K490" s="2">
        <f t="shared" si="320"/>
        <v>3</v>
      </c>
      <c r="L490" s="2">
        <f t="shared" si="303"/>
        <v>1.4000000000000001</v>
      </c>
      <c r="M490" s="2">
        <f t="shared" si="303"/>
        <v>2</v>
      </c>
      <c r="N490" s="2">
        <v>10</v>
      </c>
      <c r="O490" s="2">
        <f t="shared" si="315"/>
        <v>524.22</v>
      </c>
      <c r="P490" s="2">
        <f t="shared" si="315"/>
        <v>26.74</v>
      </c>
      <c r="Q490" s="2">
        <f t="shared" si="315"/>
        <v>5570.18</v>
      </c>
      <c r="R490" s="2">
        <f t="shared" si="315"/>
        <v>284.08</v>
      </c>
      <c r="S490" s="2">
        <f t="shared" si="315"/>
        <v>131.05000000000001</v>
      </c>
      <c r="T490" s="2">
        <f t="shared" si="315"/>
        <v>9.83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17">
        <v>543023</v>
      </c>
      <c r="AA490" s="15" t="s">
        <v>803</v>
      </c>
      <c r="AB490" s="15" t="s">
        <v>469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/>
      <c r="AI490">
        <v>1</v>
      </c>
      <c r="AJ490" s="1">
        <f t="shared" si="304"/>
        <v>562.52944831978232</v>
      </c>
      <c r="AK490">
        <v>13</v>
      </c>
      <c r="AL490">
        <f t="shared" si="305"/>
        <v>455.84</v>
      </c>
      <c r="AM490">
        <f t="shared" si="306"/>
        <v>23.247839999999997</v>
      </c>
      <c r="AN490">
        <f t="shared" si="307"/>
        <v>4843.636363636364</v>
      </c>
      <c r="AO490">
        <f t="shared" si="308"/>
        <v>247.02545454545455</v>
      </c>
      <c r="AP490">
        <f t="shared" si="309"/>
        <v>113.96</v>
      </c>
      <c r="AQ490">
        <f t="shared" si="310"/>
        <v>8.5469999999999988</v>
      </c>
      <c r="AR490">
        <f t="shared" si="311"/>
        <v>1.4</v>
      </c>
      <c r="AS490">
        <f t="shared" si="316"/>
        <v>2</v>
      </c>
      <c r="AT490">
        <f t="shared" si="317"/>
        <v>3</v>
      </c>
      <c r="AU490">
        <f t="shared" si="314"/>
        <v>3024</v>
      </c>
      <c r="AV490" s="1">
        <v>2</v>
      </c>
      <c r="AW490">
        <v>5</v>
      </c>
      <c r="AX490">
        <v>0.15</v>
      </c>
      <c r="AZ490">
        <v>3</v>
      </c>
      <c r="BA490">
        <v>4</v>
      </c>
      <c r="BZ490" t="str">
        <f t="shared" ref="BZ490:BZ492" si="321">CA490&amp;","&amp;CB490&amp;","&amp;CC490</f>
        <v>1545011,2545011,3545011</v>
      </c>
      <c r="CA490" s="13">
        <v>1545011</v>
      </c>
      <c r="CB490" s="13">
        <v>2545011</v>
      </c>
      <c r="CC490" s="13">
        <v>3545011</v>
      </c>
      <c r="CG490" t="str">
        <f t="shared" si="318"/>
        <v>DATA_Class_Base37</v>
      </c>
      <c r="CH490" s="3" t="s">
        <v>402</v>
      </c>
    </row>
    <row r="491" spans="1:86" ht="14.25">
      <c r="A491" s="49">
        <f t="shared" si="319"/>
        <v>5134501</v>
      </c>
      <c r="B491" s="2" t="s">
        <v>592</v>
      </c>
      <c r="C491" s="48" t="s">
        <v>593</v>
      </c>
      <c r="D491">
        <v>13</v>
      </c>
      <c r="E491">
        <v>5</v>
      </c>
      <c r="F491">
        <v>4</v>
      </c>
      <c r="G491" s="3" t="s">
        <v>594</v>
      </c>
      <c r="H491" s="3" t="s">
        <v>594</v>
      </c>
      <c r="I491">
        <v>0</v>
      </c>
      <c r="J491" s="2" t="s">
        <v>334</v>
      </c>
      <c r="K491" s="2">
        <f t="shared" si="320"/>
        <v>6</v>
      </c>
      <c r="L491" s="2">
        <f t="shared" si="303"/>
        <v>1.6</v>
      </c>
      <c r="M491" s="2">
        <f t="shared" si="303"/>
        <v>2</v>
      </c>
      <c r="N491" s="2">
        <v>10</v>
      </c>
      <c r="O491" s="2">
        <f t="shared" si="315"/>
        <v>708.03</v>
      </c>
      <c r="P491" s="2">
        <f t="shared" si="315"/>
        <v>36.11</v>
      </c>
      <c r="Q491" s="2">
        <f t="shared" si="315"/>
        <v>4713.2299999999996</v>
      </c>
      <c r="R491" s="2">
        <f t="shared" si="315"/>
        <v>240.37</v>
      </c>
      <c r="S491" s="2">
        <f t="shared" si="315"/>
        <v>101.15</v>
      </c>
      <c r="T491" s="2">
        <f t="shared" si="315"/>
        <v>7.59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17">
        <v>545013</v>
      </c>
      <c r="AA491" s="14" t="s">
        <v>804</v>
      </c>
      <c r="AB491" s="15" t="s">
        <v>469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/>
      <c r="AI491">
        <v>1</v>
      </c>
      <c r="AJ491" s="1">
        <f t="shared" si="304"/>
        <v>559.32359434788316</v>
      </c>
      <c r="AK491">
        <v>13</v>
      </c>
      <c r="AL491">
        <f t="shared" si="305"/>
        <v>615.68000000000006</v>
      </c>
      <c r="AM491">
        <f t="shared" si="306"/>
        <v>31.39968</v>
      </c>
      <c r="AN491">
        <f t="shared" si="307"/>
        <v>4098.4615384615381</v>
      </c>
      <c r="AO491">
        <f t="shared" si="308"/>
        <v>209.02153846153843</v>
      </c>
      <c r="AP491">
        <f t="shared" si="309"/>
        <v>87.954285714285717</v>
      </c>
      <c r="AQ491">
        <f t="shared" si="310"/>
        <v>6.596571428571429</v>
      </c>
      <c r="AR491">
        <f t="shared" si="311"/>
        <v>1.6</v>
      </c>
      <c r="AS491">
        <f t="shared" si="316"/>
        <v>2</v>
      </c>
      <c r="AT491">
        <f t="shared" si="317"/>
        <v>6</v>
      </c>
      <c r="AU491">
        <f t="shared" si="314"/>
        <v>5014</v>
      </c>
      <c r="AV491" s="1">
        <v>1</v>
      </c>
      <c r="AW491">
        <v>5</v>
      </c>
      <c r="AX491">
        <v>0.15</v>
      </c>
      <c r="AZ491">
        <v>5</v>
      </c>
      <c r="BA491">
        <v>4</v>
      </c>
      <c r="BZ491" t="str">
        <f t="shared" si="321"/>
        <v>1546001,2546001,3546001</v>
      </c>
      <c r="CA491" s="13">
        <v>1546001</v>
      </c>
      <c r="CB491" s="13">
        <v>2546001</v>
      </c>
      <c r="CC491" s="13">
        <v>3546001</v>
      </c>
      <c r="CG491" t="str">
        <f t="shared" si="318"/>
        <v>DATA_Class_Base38</v>
      </c>
      <c r="CH491" s="3" t="s">
        <v>198</v>
      </c>
    </row>
    <row r="492" spans="1:86" ht="14.25">
      <c r="A492" s="49">
        <f t="shared" si="319"/>
        <v>5134600</v>
      </c>
      <c r="B492" s="2" t="s">
        <v>596</v>
      </c>
      <c r="C492" s="48" t="s">
        <v>597</v>
      </c>
      <c r="D492">
        <v>13</v>
      </c>
      <c r="E492">
        <v>6</v>
      </c>
      <c r="F492">
        <v>4</v>
      </c>
      <c r="G492" s="3" t="s">
        <v>598</v>
      </c>
      <c r="H492" s="3" t="s">
        <v>598</v>
      </c>
      <c r="I492" s="2">
        <v>0</v>
      </c>
      <c r="J492" s="2" t="s">
        <v>339</v>
      </c>
      <c r="K492" s="2">
        <f t="shared" si="320"/>
        <v>3</v>
      </c>
      <c r="L492" s="2">
        <f t="shared" si="303"/>
        <v>1.4000000000000001</v>
      </c>
      <c r="M492" s="2">
        <f t="shared" si="303"/>
        <v>1.9000000000000001</v>
      </c>
      <c r="N492" s="2">
        <v>10</v>
      </c>
      <c r="O492" s="2">
        <f t="shared" si="315"/>
        <v>524.22</v>
      </c>
      <c r="P492" s="2">
        <f t="shared" si="315"/>
        <v>26.74</v>
      </c>
      <c r="Q492" s="2">
        <f t="shared" si="315"/>
        <v>5570.18</v>
      </c>
      <c r="R492" s="2">
        <f t="shared" si="315"/>
        <v>284.08</v>
      </c>
      <c r="S492" s="2">
        <f t="shared" si="315"/>
        <v>131.05000000000001</v>
      </c>
      <c r="T492" s="2">
        <f t="shared" si="315"/>
        <v>9.83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17">
        <v>546003</v>
      </c>
      <c r="AA492" s="14" t="s">
        <v>805</v>
      </c>
      <c r="AB492" s="15" t="s">
        <v>469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/>
      <c r="AI492">
        <v>1</v>
      </c>
      <c r="AJ492" s="1">
        <f t="shared" si="304"/>
        <v>562.52944831978232</v>
      </c>
      <c r="AK492">
        <v>13</v>
      </c>
      <c r="AL492">
        <f t="shared" si="305"/>
        <v>455.84</v>
      </c>
      <c r="AM492">
        <f t="shared" si="306"/>
        <v>23.247839999999997</v>
      </c>
      <c r="AN492">
        <f t="shared" si="307"/>
        <v>4843.636363636364</v>
      </c>
      <c r="AO492">
        <f t="shared" si="308"/>
        <v>247.02545454545455</v>
      </c>
      <c r="AP492">
        <f t="shared" si="309"/>
        <v>113.96</v>
      </c>
      <c r="AQ492">
        <f t="shared" si="310"/>
        <v>8.5469999999999988</v>
      </c>
      <c r="AR492">
        <f t="shared" si="311"/>
        <v>1.4</v>
      </c>
      <c r="AS492">
        <f t="shared" si="316"/>
        <v>1.9</v>
      </c>
      <c r="AT492">
        <f t="shared" si="317"/>
        <v>3</v>
      </c>
      <c r="AU492">
        <f t="shared" si="314"/>
        <v>6004</v>
      </c>
      <c r="AV492" s="1">
        <v>0</v>
      </c>
      <c r="AW492">
        <v>5</v>
      </c>
      <c r="AX492">
        <v>0.15</v>
      </c>
      <c r="AZ492">
        <v>6</v>
      </c>
      <c r="BA492">
        <v>4</v>
      </c>
      <c r="BZ492" t="str">
        <f t="shared" si="321"/>
        <v>1546021,2546021,3546021</v>
      </c>
      <c r="CA492" s="13">
        <v>1546021</v>
      </c>
      <c r="CB492" s="13">
        <v>2546021</v>
      </c>
      <c r="CC492" s="13">
        <v>3546021</v>
      </c>
      <c r="CG492" t="str">
        <f t="shared" si="318"/>
        <v>DATA_Class_Base39</v>
      </c>
      <c r="CH492" s="3" t="s">
        <v>407</v>
      </c>
    </row>
    <row r="493" spans="1:86" ht="14.25">
      <c r="A493">
        <f t="shared" si="319"/>
        <v>5134602</v>
      </c>
      <c r="B493" s="2" t="s">
        <v>600</v>
      </c>
      <c r="C493" s="48" t="s">
        <v>601</v>
      </c>
      <c r="D493">
        <v>13</v>
      </c>
      <c r="E493">
        <v>6</v>
      </c>
      <c r="F493">
        <v>4</v>
      </c>
      <c r="G493" s="3" t="s">
        <v>602</v>
      </c>
      <c r="H493" s="3" t="s">
        <v>602</v>
      </c>
      <c r="I493" t="s">
        <v>345</v>
      </c>
      <c r="J493" s="2" t="s">
        <v>346</v>
      </c>
      <c r="K493" s="2">
        <f t="shared" si="320"/>
        <v>6</v>
      </c>
      <c r="L493" s="2">
        <f t="shared" ref="L493:M498" si="322">FLOOR(AR493/1,0.01)</f>
        <v>1.8</v>
      </c>
      <c r="M493" s="2">
        <f t="shared" si="322"/>
        <v>2</v>
      </c>
      <c r="N493" s="2">
        <v>10</v>
      </c>
      <c r="O493" s="2">
        <f t="shared" si="315"/>
        <v>639.36</v>
      </c>
      <c r="P493" s="2">
        <f t="shared" si="315"/>
        <v>32.61</v>
      </c>
      <c r="Q493" s="2">
        <f t="shared" si="315"/>
        <v>6393.6</v>
      </c>
      <c r="R493" s="2">
        <f t="shared" si="315"/>
        <v>326.07</v>
      </c>
      <c r="S493" s="2">
        <f t="shared" si="315"/>
        <v>127.87</v>
      </c>
      <c r="T493" s="2">
        <f t="shared" si="315"/>
        <v>9.59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17">
        <v>546023</v>
      </c>
      <c r="AA493" s="55" t="s">
        <v>1726</v>
      </c>
      <c r="AB493" s="15" t="s">
        <v>469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/>
      <c r="AI493">
        <v>1</v>
      </c>
      <c r="AJ493" s="1">
        <f t="shared" si="304"/>
        <v>561.61347873799923</v>
      </c>
      <c r="AK493">
        <v>13</v>
      </c>
      <c r="AL493">
        <f t="shared" si="305"/>
        <v>532.80000000000007</v>
      </c>
      <c r="AM493">
        <f t="shared" si="306"/>
        <v>27.172800000000002</v>
      </c>
      <c r="AN493">
        <f t="shared" si="307"/>
        <v>5328</v>
      </c>
      <c r="AO493">
        <f t="shared" si="308"/>
        <v>271.72800000000001</v>
      </c>
      <c r="AP493">
        <f t="shared" si="309"/>
        <v>106.56000000000002</v>
      </c>
      <c r="AQ493">
        <f t="shared" si="310"/>
        <v>7.9920000000000009</v>
      </c>
      <c r="AR493">
        <f t="shared" si="311"/>
        <v>1.8</v>
      </c>
      <c r="AS493">
        <f t="shared" si="316"/>
        <v>2</v>
      </c>
      <c r="AT493">
        <f t="shared" si="317"/>
        <v>6</v>
      </c>
      <c r="AU493">
        <f t="shared" si="314"/>
        <v>6024</v>
      </c>
      <c r="AV493" s="1">
        <v>2</v>
      </c>
      <c r="AW493">
        <v>5</v>
      </c>
      <c r="AX493">
        <v>0.2</v>
      </c>
      <c r="AZ493">
        <v>6</v>
      </c>
      <c r="BA493">
        <v>4</v>
      </c>
      <c r="CA493" s="13"/>
      <c r="CB493" s="13"/>
      <c r="CC493" s="13"/>
      <c r="CG493" t="str">
        <f t="shared" si="318"/>
        <v>DATA_Class_Base30</v>
      </c>
      <c r="CH493" s="3" t="s">
        <v>381</v>
      </c>
    </row>
    <row r="494" spans="1:86" ht="14.25">
      <c r="A494">
        <f t="shared" si="319"/>
        <v>5135202</v>
      </c>
      <c r="B494" s="2" t="s">
        <v>604</v>
      </c>
      <c r="C494" s="48" t="s">
        <v>605</v>
      </c>
      <c r="D494">
        <v>13</v>
      </c>
      <c r="E494">
        <v>2</v>
      </c>
      <c r="F494">
        <v>5</v>
      </c>
      <c r="G494" s="3" t="s">
        <v>606</v>
      </c>
      <c r="H494" s="3" t="s">
        <v>606</v>
      </c>
      <c r="I494" s="3">
        <v>0</v>
      </c>
      <c r="J494" s="8" t="s">
        <v>607</v>
      </c>
      <c r="K494" s="2">
        <f t="shared" si="320"/>
        <v>3</v>
      </c>
      <c r="L494" s="2">
        <f t="shared" si="322"/>
        <v>1.6</v>
      </c>
      <c r="M494" s="2">
        <f t="shared" si="322"/>
        <v>2</v>
      </c>
      <c r="N494" s="2">
        <v>10</v>
      </c>
      <c r="O494" s="2">
        <f t="shared" si="315"/>
        <v>544.64</v>
      </c>
      <c r="P494" s="2">
        <f t="shared" si="315"/>
        <v>27.78</v>
      </c>
      <c r="Q494" s="2">
        <f t="shared" si="315"/>
        <v>6127.2</v>
      </c>
      <c r="R494" s="2">
        <f t="shared" si="315"/>
        <v>312.49</v>
      </c>
      <c r="S494" s="2">
        <f t="shared" si="315"/>
        <v>181.55</v>
      </c>
      <c r="T494" s="2">
        <f t="shared" si="315"/>
        <v>13.62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17">
        <v>552023</v>
      </c>
      <c r="AA494" s="15" t="s">
        <v>807</v>
      </c>
      <c r="AB494" s="15" t="s">
        <v>469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/>
      <c r="AI494">
        <v>1</v>
      </c>
      <c r="AJ494" s="1">
        <f t="shared" si="304"/>
        <v>568.02625785465068</v>
      </c>
      <c r="AK494">
        <v>13</v>
      </c>
      <c r="AL494">
        <f t="shared" si="305"/>
        <v>473.6</v>
      </c>
      <c r="AM494">
        <f t="shared" si="306"/>
        <v>24.153600000000001</v>
      </c>
      <c r="AN494">
        <f t="shared" si="307"/>
        <v>5328</v>
      </c>
      <c r="AO494">
        <f t="shared" si="308"/>
        <v>271.72800000000001</v>
      </c>
      <c r="AP494">
        <f t="shared" si="309"/>
        <v>157.86666666666667</v>
      </c>
      <c r="AQ494">
        <f t="shared" si="310"/>
        <v>11.84</v>
      </c>
      <c r="AR494">
        <f t="shared" si="311"/>
        <v>1.6</v>
      </c>
      <c r="AS494">
        <f t="shared" si="316"/>
        <v>2</v>
      </c>
      <c r="AT494">
        <f t="shared" si="317"/>
        <v>3</v>
      </c>
      <c r="AU494">
        <f t="shared" si="314"/>
        <v>2025</v>
      </c>
      <c r="AV494" s="1">
        <v>2</v>
      </c>
      <c r="AW494">
        <v>5</v>
      </c>
      <c r="AX494">
        <v>0.15</v>
      </c>
      <c r="AZ494">
        <v>2</v>
      </c>
      <c r="BA494">
        <v>5</v>
      </c>
      <c r="BZ494" t="str">
        <f t="shared" ref="BZ494:BZ496" si="323">CA494&amp;","&amp;CB494&amp;","&amp;CC494</f>
        <v>1553001,2553001,3553001</v>
      </c>
      <c r="CA494" s="13">
        <v>1553001</v>
      </c>
      <c r="CB494" s="13">
        <v>2553001</v>
      </c>
      <c r="CC494" s="13">
        <v>3553001</v>
      </c>
      <c r="CG494" t="str">
        <f t="shared" si="318"/>
        <v>DATA_Class_Base40</v>
      </c>
      <c r="CH494" s="3" t="s">
        <v>411</v>
      </c>
    </row>
    <row r="495" spans="1:86" ht="14.25">
      <c r="A495" s="49">
        <f t="shared" si="319"/>
        <v>5135300</v>
      </c>
      <c r="B495" s="2" t="s">
        <v>609</v>
      </c>
      <c r="C495" s="48" t="s">
        <v>610</v>
      </c>
      <c r="D495">
        <v>13</v>
      </c>
      <c r="E495">
        <v>3</v>
      </c>
      <c r="F495">
        <v>5</v>
      </c>
      <c r="G495" s="3" t="s">
        <v>611</v>
      </c>
      <c r="H495" s="3" t="s">
        <v>611</v>
      </c>
      <c r="I495" s="2">
        <v>0</v>
      </c>
      <c r="J495" s="8" t="s">
        <v>612</v>
      </c>
      <c r="K495" s="2">
        <f t="shared" si="320"/>
        <v>3</v>
      </c>
      <c r="L495" s="2">
        <f t="shared" si="322"/>
        <v>1.3</v>
      </c>
      <c r="M495" s="2">
        <f t="shared" si="322"/>
        <v>2</v>
      </c>
      <c r="N495" s="2">
        <v>10</v>
      </c>
      <c r="O495" s="2">
        <f t="shared" si="315"/>
        <v>531.02</v>
      </c>
      <c r="P495" s="2">
        <f t="shared" si="315"/>
        <v>27.08</v>
      </c>
      <c r="Q495" s="2">
        <f t="shared" si="315"/>
        <v>5559.65</v>
      </c>
      <c r="R495" s="2">
        <f t="shared" si="315"/>
        <v>283.54000000000002</v>
      </c>
      <c r="S495" s="2">
        <f t="shared" si="315"/>
        <v>132.76</v>
      </c>
      <c r="T495" s="2">
        <f t="shared" si="315"/>
        <v>9.9600000000000009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17">
        <v>553003</v>
      </c>
      <c r="AA495" s="14" t="s">
        <v>808</v>
      </c>
      <c r="AB495" s="15" t="s">
        <v>469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/>
      <c r="AI495">
        <v>1</v>
      </c>
      <c r="AJ495" s="1">
        <f t="shared" si="304"/>
        <v>562.11689253629754</v>
      </c>
      <c r="AK495">
        <v>13</v>
      </c>
      <c r="AL495">
        <f t="shared" si="305"/>
        <v>442.52</v>
      </c>
      <c r="AM495">
        <f t="shared" si="306"/>
        <v>22.568519999999996</v>
      </c>
      <c r="AN495">
        <f t="shared" si="307"/>
        <v>4633.0434782608709</v>
      </c>
      <c r="AO495">
        <f t="shared" si="308"/>
        <v>236.2852173913044</v>
      </c>
      <c r="AP495">
        <f t="shared" si="309"/>
        <v>110.63</v>
      </c>
      <c r="AQ495">
        <f t="shared" si="310"/>
        <v>8.29725</v>
      </c>
      <c r="AR495">
        <f t="shared" si="311"/>
        <v>1.3</v>
      </c>
      <c r="AS495">
        <f t="shared" si="316"/>
        <v>2</v>
      </c>
      <c r="AT495">
        <f t="shared" si="317"/>
        <v>3</v>
      </c>
      <c r="AU495">
        <f t="shared" si="314"/>
        <v>3005</v>
      </c>
      <c r="AV495" s="1">
        <v>0</v>
      </c>
      <c r="AW495">
        <v>5</v>
      </c>
      <c r="AX495">
        <v>0.2</v>
      </c>
      <c r="AZ495">
        <v>3</v>
      </c>
      <c r="BA495">
        <v>5</v>
      </c>
      <c r="BZ495" t="str">
        <f t="shared" si="323"/>
        <v>1553021,2553021,3553021</v>
      </c>
      <c r="CA495" s="13">
        <v>1553021</v>
      </c>
      <c r="CB495" s="13">
        <v>2553021</v>
      </c>
      <c r="CC495" s="13">
        <v>3553021</v>
      </c>
      <c r="CG495" t="str">
        <f t="shared" si="318"/>
        <v>DATA_Class_Base41</v>
      </c>
      <c r="CH495" s="3" t="s">
        <v>413</v>
      </c>
    </row>
    <row r="496" spans="1:86" ht="14.25">
      <c r="A496">
        <f t="shared" si="319"/>
        <v>5135302</v>
      </c>
      <c r="B496" s="2" t="s">
        <v>614</v>
      </c>
      <c r="C496" s="48" t="s">
        <v>615</v>
      </c>
      <c r="D496">
        <v>13</v>
      </c>
      <c r="E496">
        <v>3</v>
      </c>
      <c r="F496">
        <v>5</v>
      </c>
      <c r="G496" s="3" t="s">
        <v>616</v>
      </c>
      <c r="H496" s="3" t="s">
        <v>616</v>
      </c>
      <c r="I496" s="2">
        <v>0</v>
      </c>
      <c r="J496" s="2" t="s">
        <v>358</v>
      </c>
      <c r="K496" s="2">
        <f t="shared" si="320"/>
        <v>3</v>
      </c>
      <c r="L496" s="2">
        <f t="shared" si="322"/>
        <v>1.4000000000000001</v>
      </c>
      <c r="M496" s="2">
        <f t="shared" si="322"/>
        <v>2</v>
      </c>
      <c r="N496" s="2">
        <v>10</v>
      </c>
      <c r="O496" s="2">
        <f t="shared" si="315"/>
        <v>571.87</v>
      </c>
      <c r="P496" s="2">
        <f t="shared" si="315"/>
        <v>29.17</v>
      </c>
      <c r="Q496" s="2">
        <f t="shared" si="315"/>
        <v>5106</v>
      </c>
      <c r="R496" s="2">
        <f t="shared" si="315"/>
        <v>260.41000000000003</v>
      </c>
      <c r="S496" s="2">
        <f t="shared" si="315"/>
        <v>142.97</v>
      </c>
      <c r="T496" s="2">
        <f t="shared" si="315"/>
        <v>10.72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17">
        <v>553023</v>
      </c>
      <c r="AA496" s="14" t="s">
        <v>809</v>
      </c>
      <c r="AB496" s="15" t="s">
        <v>469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/>
      <c r="AI496">
        <v>1</v>
      </c>
      <c r="AJ496" s="1">
        <f t="shared" si="304"/>
        <v>563.81683676114108</v>
      </c>
      <c r="AK496">
        <v>13</v>
      </c>
      <c r="AL496">
        <f t="shared" si="305"/>
        <v>497.27999999999992</v>
      </c>
      <c r="AM496">
        <f t="shared" si="306"/>
        <v>25.361279999999994</v>
      </c>
      <c r="AN496">
        <f t="shared" si="307"/>
        <v>4440</v>
      </c>
      <c r="AO496">
        <f t="shared" si="308"/>
        <v>226.44</v>
      </c>
      <c r="AP496">
        <f t="shared" si="309"/>
        <v>124.31999999999998</v>
      </c>
      <c r="AQ496">
        <f t="shared" si="310"/>
        <v>9.3239999999999981</v>
      </c>
      <c r="AR496">
        <f t="shared" si="311"/>
        <v>1.4</v>
      </c>
      <c r="AS496">
        <f t="shared" si="316"/>
        <v>2</v>
      </c>
      <c r="AT496">
        <f t="shared" si="317"/>
        <v>3</v>
      </c>
      <c r="AU496">
        <f t="shared" si="314"/>
        <v>3025</v>
      </c>
      <c r="AV496" s="1">
        <v>2</v>
      </c>
      <c r="AW496">
        <v>5</v>
      </c>
      <c r="AX496">
        <v>0.15</v>
      </c>
      <c r="AZ496">
        <v>3</v>
      </c>
      <c r="BA496">
        <v>5</v>
      </c>
      <c r="BZ496" t="str">
        <f t="shared" si="323"/>
        <v>1554001,2554001,3554001</v>
      </c>
      <c r="CA496" s="13">
        <v>1554001</v>
      </c>
      <c r="CB496" s="13">
        <v>2554001</v>
      </c>
      <c r="CC496" s="13">
        <v>3554001</v>
      </c>
      <c r="CG496" t="str">
        <f t="shared" si="318"/>
        <v>DATA_Class_Base42</v>
      </c>
      <c r="CH496" s="3" t="s">
        <v>174</v>
      </c>
    </row>
    <row r="497" spans="1:86" ht="14.25">
      <c r="A497" s="49">
        <f t="shared" si="319"/>
        <v>5135400</v>
      </c>
      <c r="B497" s="2" t="s">
        <v>618</v>
      </c>
      <c r="C497" s="48" t="s">
        <v>619</v>
      </c>
      <c r="D497">
        <v>13</v>
      </c>
      <c r="E497">
        <v>4</v>
      </c>
      <c r="F497">
        <v>5</v>
      </c>
      <c r="G497" s="3" t="s">
        <v>620</v>
      </c>
      <c r="H497" s="3" t="s">
        <v>620</v>
      </c>
      <c r="I497">
        <v>0</v>
      </c>
      <c r="J497" s="2" t="s">
        <v>364</v>
      </c>
      <c r="K497" s="2">
        <f t="shared" si="320"/>
        <v>6</v>
      </c>
      <c r="L497" s="2">
        <f t="shared" si="322"/>
        <v>1.4000000000000001</v>
      </c>
      <c r="M497" s="2">
        <f t="shared" si="322"/>
        <v>2</v>
      </c>
      <c r="N497" s="2">
        <v>10</v>
      </c>
      <c r="O497" s="2">
        <f t="shared" si="315"/>
        <v>621.6</v>
      </c>
      <c r="P497" s="2">
        <f t="shared" si="315"/>
        <v>31.7</v>
      </c>
      <c r="Q497" s="2">
        <f t="shared" si="315"/>
        <v>5114.88</v>
      </c>
      <c r="R497" s="2">
        <f t="shared" si="315"/>
        <v>260.86</v>
      </c>
      <c r="S497" s="2">
        <f t="shared" si="315"/>
        <v>113.02</v>
      </c>
      <c r="T497" s="2">
        <f t="shared" si="315"/>
        <v>8.48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17">
        <v>554003</v>
      </c>
      <c r="AA497" s="14" t="s">
        <v>810</v>
      </c>
      <c r="AB497" s="15" t="s">
        <v>469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/>
      <c r="AI497">
        <v>1</v>
      </c>
      <c r="AJ497" s="1">
        <f t="shared" si="304"/>
        <v>560.08796134100146</v>
      </c>
      <c r="AK497">
        <v>13</v>
      </c>
      <c r="AL497">
        <f t="shared" si="305"/>
        <v>518</v>
      </c>
      <c r="AM497">
        <f t="shared" si="306"/>
        <v>26.417999999999999</v>
      </c>
      <c r="AN497">
        <f t="shared" si="307"/>
        <v>4262.4000000000005</v>
      </c>
      <c r="AO497">
        <f t="shared" si="308"/>
        <v>217.38240000000002</v>
      </c>
      <c r="AP497">
        <f t="shared" si="309"/>
        <v>94.181818181818187</v>
      </c>
      <c r="AQ497">
        <f t="shared" si="310"/>
        <v>7.0636363636363635</v>
      </c>
      <c r="AR497">
        <f t="shared" si="311"/>
        <v>1.4</v>
      </c>
      <c r="AS497">
        <f t="shared" si="316"/>
        <v>2</v>
      </c>
      <c r="AT497">
        <f t="shared" si="317"/>
        <v>6</v>
      </c>
      <c r="AU497">
        <f t="shared" si="314"/>
        <v>4005</v>
      </c>
      <c r="AV497" s="1">
        <v>0</v>
      </c>
      <c r="AW497">
        <v>5</v>
      </c>
      <c r="AX497">
        <v>0.2</v>
      </c>
      <c r="AZ497">
        <v>4</v>
      </c>
      <c r="BA497">
        <v>5</v>
      </c>
      <c r="CA497" s="13"/>
      <c r="CB497" s="13"/>
      <c r="CC497" s="13"/>
      <c r="CG497" t="str">
        <f t="shared" si="318"/>
        <v>DATA_Class_Base37</v>
      </c>
      <c r="CH497" s="3" t="s">
        <v>402</v>
      </c>
    </row>
    <row r="498" spans="1:86" ht="14.25">
      <c r="A498">
        <f t="shared" si="319"/>
        <v>5135501</v>
      </c>
      <c r="B498" s="2" t="s">
        <v>622</v>
      </c>
      <c r="C498" s="48" t="s">
        <v>623</v>
      </c>
      <c r="D498">
        <v>13</v>
      </c>
      <c r="E498">
        <v>5</v>
      </c>
      <c r="F498">
        <v>5</v>
      </c>
      <c r="G498" s="3" t="s">
        <v>624</v>
      </c>
      <c r="H498" s="3" t="s">
        <v>624</v>
      </c>
      <c r="I498" s="3">
        <v>0</v>
      </c>
      <c r="J498" s="8" t="s">
        <v>625</v>
      </c>
      <c r="K498" s="2">
        <f t="shared" si="320"/>
        <v>6</v>
      </c>
      <c r="L498" s="2">
        <f t="shared" si="322"/>
        <v>1.5</v>
      </c>
      <c r="M498" s="2">
        <f t="shared" si="322"/>
        <v>2</v>
      </c>
      <c r="N498" s="2">
        <v>10</v>
      </c>
      <c r="O498" s="2">
        <f t="shared" si="315"/>
        <v>740.37</v>
      </c>
      <c r="P498" s="2">
        <f t="shared" si="315"/>
        <v>37.76</v>
      </c>
      <c r="Q498" s="2">
        <f t="shared" si="315"/>
        <v>4225.66</v>
      </c>
      <c r="R498" s="2">
        <f t="shared" si="315"/>
        <v>215.51</v>
      </c>
      <c r="S498" s="2">
        <f t="shared" si="315"/>
        <v>92.55</v>
      </c>
      <c r="T498" s="2">
        <f t="shared" si="315"/>
        <v>6.94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17">
        <v>555013</v>
      </c>
      <c r="AA498" s="15" t="s">
        <v>811</v>
      </c>
      <c r="AB498" s="15" t="s">
        <v>469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/>
      <c r="AI498">
        <v>1</v>
      </c>
      <c r="AJ498" s="1">
        <f t="shared" ref="AJ498" si="324">(AN498+AO498*AI498)*(AL498+AM498*AI498)/AR498*(0.9)*(1+0.5*0.1)*1/1/(1-(AP498+AQ498*AI498)*0.0002)/3000</f>
        <v>558.4083401978661</v>
      </c>
      <c r="AK498">
        <v>13</v>
      </c>
      <c r="AL498">
        <f t="shared" si="305"/>
        <v>643.80000000000007</v>
      </c>
      <c r="AM498">
        <f t="shared" si="306"/>
        <v>32.833800000000004</v>
      </c>
      <c r="AN498">
        <f t="shared" si="307"/>
        <v>3674.4827586206898</v>
      </c>
      <c r="AO498">
        <f t="shared" si="308"/>
        <v>187.39862068965516</v>
      </c>
      <c r="AP498">
        <f t="shared" si="309"/>
        <v>80.475000000000009</v>
      </c>
      <c r="AQ498">
        <f t="shared" si="310"/>
        <v>6.0356250000000005</v>
      </c>
      <c r="AR498">
        <f t="shared" si="311"/>
        <v>1.5</v>
      </c>
      <c r="AS498">
        <f t="shared" si="316"/>
        <v>2</v>
      </c>
      <c r="AT498">
        <f t="shared" si="317"/>
        <v>6</v>
      </c>
      <c r="AU498">
        <f t="shared" si="314"/>
        <v>5015</v>
      </c>
      <c r="AV498" s="1">
        <v>1</v>
      </c>
      <c r="AW498">
        <v>5</v>
      </c>
      <c r="AX498">
        <v>0.15</v>
      </c>
      <c r="AZ498">
        <v>5</v>
      </c>
      <c r="BA498">
        <v>5</v>
      </c>
      <c r="CG498" t="str">
        <f t="shared" si="318"/>
        <v>DATA_Class_Base28</v>
      </c>
      <c r="CH498" s="3" t="s">
        <v>374</v>
      </c>
    </row>
    <row r="499" spans="1:86">
      <c r="CG499" t="str">
        <f t="shared" si="318"/>
        <v>DATA_Class_Base29</v>
      </c>
      <c r="CH499" s="3" t="s">
        <v>378</v>
      </c>
    </row>
    <row r="500" spans="1:86">
      <c r="CG500" t="str">
        <f t="shared" si="318"/>
        <v>DATA_Class_Base30</v>
      </c>
      <c r="CH500" s="3" t="s">
        <v>381</v>
      </c>
    </row>
    <row r="501" spans="1:86">
      <c r="CG501" t="str">
        <f t="shared" si="318"/>
        <v>DATA_Class_Base31</v>
      </c>
      <c r="CH501" s="3" t="s">
        <v>384</v>
      </c>
    </row>
    <row r="502" spans="1:86">
      <c r="CG502" t="str">
        <f t="shared" si="318"/>
        <v>DATA_Class_Base32</v>
      </c>
      <c r="CH502" s="3" t="s">
        <v>388</v>
      </c>
    </row>
    <row r="503" spans="1:86">
      <c r="CG503" t="str">
        <f t="shared" si="318"/>
        <v>DATA_Class_Base33</v>
      </c>
      <c r="CH503" s="3" t="s">
        <v>391</v>
      </c>
    </row>
    <row r="504" spans="1:86">
      <c r="CG504" t="str">
        <f t="shared" si="318"/>
        <v>DATA_Class_Base34</v>
      </c>
      <c r="CH504" s="3" t="s">
        <v>184</v>
      </c>
    </row>
    <row r="505" spans="1:86">
      <c r="CG505" t="str">
        <f t="shared" si="318"/>
        <v>DATA_Class_Base35</v>
      </c>
      <c r="CH505" s="3" t="s">
        <v>195</v>
      </c>
    </row>
    <row r="506" spans="1:86">
      <c r="CG506" t="str">
        <f t="shared" si="318"/>
        <v>DATA_Class_Base36</v>
      </c>
      <c r="CH506" s="3" t="s">
        <v>201</v>
      </c>
    </row>
    <row r="507" spans="1:86">
      <c r="CG507" t="str">
        <f t="shared" si="318"/>
        <v>DATA_Class_Base28</v>
      </c>
      <c r="CH507" s="3" t="s">
        <v>374</v>
      </c>
    </row>
    <row r="508" spans="1:86">
      <c r="CG508" t="str">
        <f t="shared" si="318"/>
        <v>DATA_Class_Base29</v>
      </c>
      <c r="CH508" s="3" t="s">
        <v>378</v>
      </c>
    </row>
    <row r="509" spans="1:86">
      <c r="CG509" t="str">
        <f t="shared" si="318"/>
        <v>DATA_Class_Base30</v>
      </c>
      <c r="CH509" s="3" t="s">
        <v>381</v>
      </c>
    </row>
    <row r="510" spans="1:86">
      <c r="CG510" t="str">
        <f t="shared" si="318"/>
        <v>DATA_Class_Base31</v>
      </c>
      <c r="CH510" s="3" t="s">
        <v>384</v>
      </c>
    </row>
    <row r="511" spans="1:86">
      <c r="CG511" t="str">
        <f t="shared" si="318"/>
        <v>DATA_Class_Base32</v>
      </c>
      <c r="CH511" s="3" t="s">
        <v>388</v>
      </c>
    </row>
    <row r="512" spans="1:86">
      <c r="CG512" t="str">
        <f t="shared" si="318"/>
        <v>DATA_Class_Base33</v>
      </c>
      <c r="CH512" s="3" t="s">
        <v>391</v>
      </c>
    </row>
    <row r="513" spans="78:86">
      <c r="CG513" t="str">
        <f t="shared" si="318"/>
        <v>DATA_Class_Base34</v>
      </c>
      <c r="CH513" s="3" t="s">
        <v>184</v>
      </c>
    </row>
    <row r="514" spans="78:86">
      <c r="CG514" t="str">
        <f t="shared" si="318"/>
        <v>DATA_Class_Base35</v>
      </c>
      <c r="CH514" s="3" t="s">
        <v>195</v>
      </c>
    </row>
    <row r="515" spans="78:86">
      <c r="CG515" t="str">
        <f t="shared" si="318"/>
        <v>DATA_Class_Base36</v>
      </c>
      <c r="CH515" s="3" t="s">
        <v>201</v>
      </c>
    </row>
    <row r="516" spans="78:86">
      <c r="CG516" t="str">
        <f t="shared" si="318"/>
        <v>DATA_Class_Base28</v>
      </c>
      <c r="CH516" s="3" t="s">
        <v>374</v>
      </c>
    </row>
    <row r="517" spans="78:86">
      <c r="CG517" t="str">
        <f t="shared" si="318"/>
        <v>DATA_Class_Base29</v>
      </c>
      <c r="CH517" s="3" t="s">
        <v>378</v>
      </c>
    </row>
    <row r="518" spans="78:86">
      <c r="CG518" t="str">
        <f t="shared" si="318"/>
        <v>DATA_Class_Base30</v>
      </c>
      <c r="CH518" s="3" t="s">
        <v>381</v>
      </c>
    </row>
    <row r="519" spans="78:86">
      <c r="CG519" t="str">
        <f t="shared" si="318"/>
        <v>DATA_Class_Base31</v>
      </c>
      <c r="CH519" s="3" t="s">
        <v>384</v>
      </c>
    </row>
    <row r="520" spans="78:86">
      <c r="CG520" t="str">
        <f t="shared" si="318"/>
        <v>DATA_Class_Base32</v>
      </c>
      <c r="CH520" s="3" t="s">
        <v>388</v>
      </c>
    </row>
    <row r="521" spans="78:86">
      <c r="CG521" t="str">
        <f t="shared" si="318"/>
        <v>DATA_Class_Base33</v>
      </c>
      <c r="CH521" s="3" t="s">
        <v>391</v>
      </c>
    </row>
    <row r="522" spans="78:86">
      <c r="CG522" t="str">
        <f t="shared" si="318"/>
        <v>DATA_Class_Base34</v>
      </c>
      <c r="CH522" s="3" t="s">
        <v>184</v>
      </c>
    </row>
    <row r="523" spans="78:86">
      <c r="CG523" t="str">
        <f t="shared" si="318"/>
        <v>DATA_Class_Base35</v>
      </c>
      <c r="CH523" s="3" t="s">
        <v>195</v>
      </c>
    </row>
    <row r="524" spans="78:86">
      <c r="CG524" t="str">
        <f t="shared" si="318"/>
        <v>DATA_Class_Base36</v>
      </c>
      <c r="CH524" s="3" t="s">
        <v>201</v>
      </c>
    </row>
    <row r="525" spans="78:86">
      <c r="CA525" s="13"/>
      <c r="CB525" s="13"/>
      <c r="CC525" s="13"/>
      <c r="CG525" t="str">
        <f t="shared" si="318"/>
        <v>DATA_Class_Base29</v>
      </c>
      <c r="CH525" s="3" t="s">
        <v>378</v>
      </c>
    </row>
    <row r="526" spans="78:86">
      <c r="CA526" s="13"/>
      <c r="CB526" s="13"/>
      <c r="CC526" s="13"/>
      <c r="CG526" t="str">
        <f t="shared" si="318"/>
        <v>DATA_Class_Base41</v>
      </c>
      <c r="CH526" s="3" t="s">
        <v>413</v>
      </c>
    </row>
    <row r="527" spans="78:86">
      <c r="BZ527" t="str">
        <f t="shared" ref="BZ527:BZ529" si="325">CA527&amp;","&amp;CB527&amp;","&amp;CC527</f>
        <v>1545011,2545011,3545011</v>
      </c>
      <c r="CA527" s="13">
        <v>1545011</v>
      </c>
      <c r="CB527" s="13">
        <v>2545011</v>
      </c>
      <c r="CC527" s="13">
        <v>3545011</v>
      </c>
      <c r="CG527" t="str">
        <f t="shared" si="318"/>
        <v>DATA_Class_Base37</v>
      </c>
      <c r="CH527" s="3" t="s">
        <v>402</v>
      </c>
    </row>
    <row r="528" spans="78:86">
      <c r="BZ528" t="str">
        <f t="shared" si="325"/>
        <v>1546001,2546001,3546001</v>
      </c>
      <c r="CA528" s="13">
        <v>1546001</v>
      </c>
      <c r="CB528" s="13">
        <v>2546001</v>
      </c>
      <c r="CC528" s="13">
        <v>3546001</v>
      </c>
      <c r="CG528" t="str">
        <f t="shared" si="318"/>
        <v>DATA_Class_Base38</v>
      </c>
      <c r="CH528" s="3" t="s">
        <v>198</v>
      </c>
    </row>
    <row r="529" spans="78:86">
      <c r="BZ529" t="str">
        <f t="shared" si="325"/>
        <v>1546021,2546021,3546021</v>
      </c>
      <c r="CA529" s="13">
        <v>1546021</v>
      </c>
      <c r="CB529" s="13">
        <v>2546021</v>
      </c>
      <c r="CC529" s="13">
        <v>3546021</v>
      </c>
      <c r="CG529" t="str">
        <f t="shared" si="318"/>
        <v>DATA_Class_Base39</v>
      </c>
      <c r="CH529" s="3" t="s">
        <v>407</v>
      </c>
    </row>
    <row r="530" spans="78:86">
      <c r="CA530" s="13"/>
      <c r="CB530" s="13"/>
      <c r="CC530" s="13"/>
      <c r="CG530" t="str">
        <f t="shared" si="318"/>
        <v>DATA_Class_Base30</v>
      </c>
      <c r="CH530" s="3" t="s">
        <v>381</v>
      </c>
    </row>
    <row r="531" spans="78:86">
      <c r="BZ531" t="str">
        <f t="shared" ref="BZ531:BZ533" si="326">CA531&amp;","&amp;CB531&amp;","&amp;CC531</f>
        <v>1553001,2553001,3553001</v>
      </c>
      <c r="CA531" s="13">
        <v>1553001</v>
      </c>
      <c r="CB531" s="13">
        <v>2553001</v>
      </c>
      <c r="CC531" s="13">
        <v>3553001</v>
      </c>
      <c r="CG531" t="str">
        <f t="shared" si="318"/>
        <v>DATA_Class_Base40</v>
      </c>
      <c r="CH531" s="3" t="s">
        <v>411</v>
      </c>
    </row>
    <row r="532" spans="78:86">
      <c r="BZ532" t="str">
        <f t="shared" si="326"/>
        <v>1553021,2553021,3553021</v>
      </c>
      <c r="CA532" s="13">
        <v>1553021</v>
      </c>
      <c r="CB532" s="13">
        <v>2553021</v>
      </c>
      <c r="CC532" s="13">
        <v>3553021</v>
      </c>
      <c r="CG532" t="str">
        <f t="shared" si="318"/>
        <v>DATA_Class_Base41</v>
      </c>
      <c r="CH532" s="3" t="s">
        <v>413</v>
      </c>
    </row>
    <row r="533" spans="78:86">
      <c r="BZ533" t="str">
        <f t="shared" si="326"/>
        <v>1554001,2554001,3554001</v>
      </c>
      <c r="CA533" s="13">
        <v>1554001</v>
      </c>
      <c r="CB533" s="13">
        <v>2554001</v>
      </c>
      <c r="CC533" s="13">
        <v>3554001</v>
      </c>
      <c r="CG533" t="str">
        <f t="shared" si="318"/>
        <v>DATA_Class_Base42</v>
      </c>
      <c r="CH533" s="3" t="s">
        <v>174</v>
      </c>
    </row>
    <row r="534" spans="78:86">
      <c r="CA534" s="13"/>
      <c r="CB534" s="13"/>
      <c r="CC534" s="13"/>
      <c r="CG534" t="str">
        <f t="shared" si="318"/>
        <v>DATA_Class_Base37</v>
      </c>
      <c r="CH534" s="3" t="s">
        <v>402</v>
      </c>
    </row>
    <row r="535" spans="78:86">
      <c r="CG535" t="str">
        <f t="shared" si="318"/>
        <v>DATA_Class_Base28</v>
      </c>
      <c r="CH535" s="3" t="s">
        <v>374</v>
      </c>
    </row>
    <row r="536" spans="78:86">
      <c r="CG536" t="str">
        <f t="shared" si="318"/>
        <v>DATA_Class_Base29</v>
      </c>
      <c r="CH536" s="3" t="s">
        <v>378</v>
      </c>
    </row>
    <row r="537" spans="78:86">
      <c r="CG537" t="str">
        <f t="shared" si="318"/>
        <v>DATA_Class_Base30</v>
      </c>
      <c r="CH537" s="3" t="s">
        <v>381</v>
      </c>
    </row>
    <row r="538" spans="78:86">
      <c r="CG538" t="str">
        <f t="shared" si="318"/>
        <v>DATA_Class_Base31</v>
      </c>
      <c r="CH538" s="3" t="s">
        <v>384</v>
      </c>
    </row>
    <row r="539" spans="78:86">
      <c r="CG539" t="str">
        <f t="shared" si="318"/>
        <v>DATA_Class_Base32</v>
      </c>
      <c r="CH539" s="3" t="s">
        <v>388</v>
      </c>
    </row>
    <row r="540" spans="78:86">
      <c r="CG540" t="str">
        <f t="shared" si="318"/>
        <v>DATA_Class_Base33</v>
      </c>
      <c r="CH540" s="3" t="s">
        <v>391</v>
      </c>
    </row>
    <row r="541" spans="78:86">
      <c r="CG541" t="str">
        <f t="shared" si="318"/>
        <v>DATA_Class_Base34</v>
      </c>
      <c r="CH541" s="3" t="s">
        <v>184</v>
      </c>
    </row>
    <row r="542" spans="78:86">
      <c r="CG542" t="str">
        <f t="shared" si="318"/>
        <v>DATA_Class_Base35</v>
      </c>
      <c r="CH542" s="3" t="s">
        <v>195</v>
      </c>
    </row>
    <row r="543" spans="78:86">
      <c r="CG543" t="str">
        <f t="shared" ref="CG543:CG606" si="327">INDEX($CD$66:$CD$107,MATCH($CH543,$CE$66:$CE$107,0))</f>
        <v>DATA_Class_Base36</v>
      </c>
      <c r="CH543" s="3" t="s">
        <v>201</v>
      </c>
    </row>
    <row r="544" spans="78:86">
      <c r="CG544" t="str">
        <f t="shared" si="327"/>
        <v>DATA_Class_Base28</v>
      </c>
      <c r="CH544" s="3" t="s">
        <v>374</v>
      </c>
    </row>
    <row r="545" spans="85:86">
      <c r="CG545" t="str">
        <f t="shared" si="327"/>
        <v>DATA_Class_Base29</v>
      </c>
      <c r="CH545" s="3" t="s">
        <v>378</v>
      </c>
    </row>
    <row r="546" spans="85:86">
      <c r="CG546" t="str">
        <f t="shared" si="327"/>
        <v>DATA_Class_Base30</v>
      </c>
      <c r="CH546" s="3" t="s">
        <v>381</v>
      </c>
    </row>
    <row r="547" spans="85:86">
      <c r="CG547" t="str">
        <f t="shared" si="327"/>
        <v>DATA_Class_Base31</v>
      </c>
      <c r="CH547" s="3" t="s">
        <v>384</v>
      </c>
    </row>
    <row r="548" spans="85:86">
      <c r="CG548" t="str">
        <f t="shared" si="327"/>
        <v>DATA_Class_Base32</v>
      </c>
      <c r="CH548" s="3" t="s">
        <v>388</v>
      </c>
    </row>
    <row r="549" spans="85:86">
      <c r="CG549" t="str">
        <f t="shared" si="327"/>
        <v>DATA_Class_Base33</v>
      </c>
      <c r="CH549" s="3" t="s">
        <v>391</v>
      </c>
    </row>
    <row r="550" spans="85:86">
      <c r="CG550" t="str">
        <f t="shared" si="327"/>
        <v>DATA_Class_Base34</v>
      </c>
      <c r="CH550" s="3" t="s">
        <v>184</v>
      </c>
    </row>
    <row r="551" spans="85:86">
      <c r="CG551" t="str">
        <f t="shared" si="327"/>
        <v>DATA_Class_Base35</v>
      </c>
      <c r="CH551" s="3" t="s">
        <v>195</v>
      </c>
    </row>
    <row r="552" spans="85:86">
      <c r="CG552" t="str">
        <f t="shared" si="327"/>
        <v>DATA_Class_Base36</v>
      </c>
      <c r="CH552" s="3" t="s">
        <v>201</v>
      </c>
    </row>
    <row r="553" spans="85:86">
      <c r="CG553" t="str">
        <f t="shared" si="327"/>
        <v>DATA_Class_Base28</v>
      </c>
      <c r="CH553" s="3" t="s">
        <v>374</v>
      </c>
    </row>
    <row r="554" spans="85:86">
      <c r="CG554" t="str">
        <f t="shared" si="327"/>
        <v>DATA_Class_Base29</v>
      </c>
      <c r="CH554" s="3" t="s">
        <v>378</v>
      </c>
    </row>
    <row r="555" spans="85:86">
      <c r="CG555" t="str">
        <f t="shared" si="327"/>
        <v>DATA_Class_Base30</v>
      </c>
      <c r="CH555" s="3" t="s">
        <v>381</v>
      </c>
    </row>
    <row r="556" spans="85:86">
      <c r="CG556" t="str">
        <f t="shared" si="327"/>
        <v>DATA_Class_Base31</v>
      </c>
      <c r="CH556" s="3" t="s">
        <v>384</v>
      </c>
    </row>
    <row r="557" spans="85:86">
      <c r="CG557" t="str">
        <f t="shared" si="327"/>
        <v>DATA_Class_Base32</v>
      </c>
      <c r="CH557" s="3" t="s">
        <v>388</v>
      </c>
    </row>
    <row r="558" spans="85:86">
      <c r="CG558" t="str">
        <f t="shared" si="327"/>
        <v>DATA_Class_Base33</v>
      </c>
      <c r="CH558" s="3" t="s">
        <v>391</v>
      </c>
    </row>
    <row r="559" spans="85:86">
      <c r="CG559" t="str">
        <f t="shared" si="327"/>
        <v>DATA_Class_Base34</v>
      </c>
      <c r="CH559" s="3" t="s">
        <v>184</v>
      </c>
    </row>
    <row r="560" spans="85:86">
      <c r="CG560" t="str">
        <f t="shared" si="327"/>
        <v>DATA_Class_Base35</v>
      </c>
      <c r="CH560" s="3" t="s">
        <v>195</v>
      </c>
    </row>
    <row r="561" spans="78:86">
      <c r="CG561" t="str">
        <f t="shared" si="327"/>
        <v>DATA_Class_Base36</v>
      </c>
      <c r="CH561" s="3" t="s">
        <v>201</v>
      </c>
    </row>
    <row r="562" spans="78:86">
      <c r="CA562" s="13"/>
      <c r="CB562" s="13"/>
      <c r="CC562" s="13"/>
      <c r="CG562" t="str">
        <f t="shared" si="327"/>
        <v>DATA_Class_Base29</v>
      </c>
      <c r="CH562" s="3" t="s">
        <v>378</v>
      </c>
    </row>
    <row r="563" spans="78:86">
      <c r="CA563" s="13"/>
      <c r="CB563" s="13"/>
      <c r="CC563" s="13"/>
      <c r="CG563" t="str">
        <f t="shared" si="327"/>
        <v>DATA_Class_Base41</v>
      </c>
      <c r="CH563" s="3" t="s">
        <v>413</v>
      </c>
    </row>
    <row r="564" spans="78:86">
      <c r="BZ564" t="str">
        <f t="shared" ref="BZ564:BZ566" si="328">CA564&amp;","&amp;CB564&amp;","&amp;CC564</f>
        <v>1545011,2545011,3545011</v>
      </c>
      <c r="CA564" s="13">
        <v>1545011</v>
      </c>
      <c r="CB564" s="13">
        <v>2545011</v>
      </c>
      <c r="CC564" s="13">
        <v>3545011</v>
      </c>
      <c r="CG564" t="str">
        <f t="shared" si="327"/>
        <v>DATA_Class_Base37</v>
      </c>
      <c r="CH564" s="3" t="s">
        <v>402</v>
      </c>
    </row>
    <row r="565" spans="78:86">
      <c r="BZ565" t="str">
        <f t="shared" si="328"/>
        <v>1546001,2546001,3546001</v>
      </c>
      <c r="CA565" s="13">
        <v>1546001</v>
      </c>
      <c r="CB565" s="13">
        <v>2546001</v>
      </c>
      <c r="CC565" s="13">
        <v>3546001</v>
      </c>
      <c r="CG565" t="str">
        <f t="shared" si="327"/>
        <v>DATA_Class_Base38</v>
      </c>
      <c r="CH565" s="3" t="s">
        <v>198</v>
      </c>
    </row>
    <row r="566" spans="78:86">
      <c r="BZ566" t="str">
        <f t="shared" si="328"/>
        <v>1546021,2546021,3546021</v>
      </c>
      <c r="CA566" s="13">
        <v>1546021</v>
      </c>
      <c r="CB566" s="13">
        <v>2546021</v>
      </c>
      <c r="CC566" s="13">
        <v>3546021</v>
      </c>
      <c r="CG566" t="str">
        <f t="shared" si="327"/>
        <v>DATA_Class_Base39</v>
      </c>
      <c r="CH566" s="3" t="s">
        <v>407</v>
      </c>
    </row>
    <row r="567" spans="78:86">
      <c r="CA567" s="13"/>
      <c r="CB567" s="13"/>
      <c r="CC567" s="13"/>
      <c r="CG567" t="str">
        <f t="shared" si="327"/>
        <v>DATA_Class_Base30</v>
      </c>
      <c r="CH567" s="3" t="s">
        <v>381</v>
      </c>
    </row>
    <row r="568" spans="78:86">
      <c r="BZ568" t="str">
        <f t="shared" ref="BZ568:BZ570" si="329">CA568&amp;","&amp;CB568&amp;","&amp;CC568</f>
        <v>1553001,2553001,3553001</v>
      </c>
      <c r="CA568" s="13">
        <v>1553001</v>
      </c>
      <c r="CB568" s="13">
        <v>2553001</v>
      </c>
      <c r="CC568" s="13">
        <v>3553001</v>
      </c>
      <c r="CG568" t="str">
        <f t="shared" si="327"/>
        <v>DATA_Class_Base40</v>
      </c>
      <c r="CH568" s="3" t="s">
        <v>411</v>
      </c>
    </row>
    <row r="569" spans="78:86">
      <c r="BZ569" t="str">
        <f t="shared" si="329"/>
        <v>1553021,2553021,3553021</v>
      </c>
      <c r="CA569" s="13">
        <v>1553021</v>
      </c>
      <c r="CB569" s="13">
        <v>2553021</v>
      </c>
      <c r="CC569" s="13">
        <v>3553021</v>
      </c>
      <c r="CG569" t="str">
        <f t="shared" si="327"/>
        <v>DATA_Class_Base41</v>
      </c>
      <c r="CH569" s="3" t="s">
        <v>413</v>
      </c>
    </row>
    <row r="570" spans="78:86">
      <c r="BZ570" t="str">
        <f t="shared" si="329"/>
        <v>1554001,2554001,3554001</v>
      </c>
      <c r="CA570" s="13">
        <v>1554001</v>
      </c>
      <c r="CB570" s="13">
        <v>2554001</v>
      </c>
      <c r="CC570" s="13">
        <v>3554001</v>
      </c>
      <c r="CG570" t="str">
        <f t="shared" si="327"/>
        <v>DATA_Class_Base42</v>
      </c>
      <c r="CH570" s="3" t="s">
        <v>174</v>
      </c>
    </row>
    <row r="571" spans="78:86">
      <c r="CA571" s="13"/>
      <c r="CB571" s="13"/>
      <c r="CC571" s="13"/>
      <c r="CG571" t="str">
        <f t="shared" si="327"/>
        <v>DATA_Class_Base37</v>
      </c>
      <c r="CH571" s="3" t="s">
        <v>402</v>
      </c>
    </row>
    <row r="572" spans="78:86">
      <c r="CG572" t="str">
        <f t="shared" si="327"/>
        <v>DATA_Class_Base28</v>
      </c>
      <c r="CH572" s="3" t="s">
        <v>374</v>
      </c>
    </row>
    <row r="573" spans="78:86">
      <c r="CG573" t="str">
        <f t="shared" si="327"/>
        <v>DATA_Class_Base29</v>
      </c>
      <c r="CH573" s="3" t="s">
        <v>378</v>
      </c>
    </row>
    <row r="574" spans="78:86">
      <c r="CG574" t="str">
        <f t="shared" si="327"/>
        <v>DATA_Class_Base30</v>
      </c>
      <c r="CH574" s="3" t="s">
        <v>381</v>
      </c>
    </row>
    <row r="575" spans="78:86">
      <c r="CG575" t="str">
        <f t="shared" si="327"/>
        <v>DATA_Class_Base31</v>
      </c>
      <c r="CH575" s="3" t="s">
        <v>384</v>
      </c>
    </row>
    <row r="576" spans="78:86">
      <c r="CG576" t="str">
        <f t="shared" si="327"/>
        <v>DATA_Class_Base32</v>
      </c>
      <c r="CH576" s="3" t="s">
        <v>388</v>
      </c>
    </row>
    <row r="577" spans="85:86">
      <c r="CG577" t="str">
        <f t="shared" si="327"/>
        <v>DATA_Class_Base33</v>
      </c>
      <c r="CH577" s="3" t="s">
        <v>391</v>
      </c>
    </row>
    <row r="578" spans="85:86">
      <c r="CG578" t="str">
        <f t="shared" si="327"/>
        <v>DATA_Class_Base34</v>
      </c>
      <c r="CH578" s="3" t="s">
        <v>184</v>
      </c>
    </row>
    <row r="579" spans="85:86">
      <c r="CG579" t="str">
        <f t="shared" si="327"/>
        <v>DATA_Class_Base35</v>
      </c>
      <c r="CH579" s="3" t="s">
        <v>195</v>
      </c>
    </row>
    <row r="580" spans="85:86">
      <c r="CG580" t="str">
        <f t="shared" si="327"/>
        <v>DATA_Class_Base36</v>
      </c>
      <c r="CH580" s="3" t="s">
        <v>201</v>
      </c>
    </row>
    <row r="581" spans="85:86">
      <c r="CG581" t="str">
        <f t="shared" si="327"/>
        <v>DATA_Class_Base28</v>
      </c>
      <c r="CH581" s="3" t="s">
        <v>374</v>
      </c>
    </row>
    <row r="582" spans="85:86">
      <c r="CG582" t="str">
        <f t="shared" si="327"/>
        <v>DATA_Class_Base29</v>
      </c>
      <c r="CH582" s="3" t="s">
        <v>378</v>
      </c>
    </row>
    <row r="583" spans="85:86">
      <c r="CG583" t="str">
        <f t="shared" si="327"/>
        <v>DATA_Class_Base30</v>
      </c>
      <c r="CH583" s="3" t="s">
        <v>381</v>
      </c>
    </row>
    <row r="584" spans="85:86">
      <c r="CG584" t="str">
        <f t="shared" si="327"/>
        <v>DATA_Class_Base31</v>
      </c>
      <c r="CH584" s="3" t="s">
        <v>384</v>
      </c>
    </row>
    <row r="585" spans="85:86">
      <c r="CG585" t="str">
        <f t="shared" si="327"/>
        <v>DATA_Class_Base32</v>
      </c>
      <c r="CH585" s="3" t="s">
        <v>388</v>
      </c>
    </row>
    <row r="586" spans="85:86">
      <c r="CG586" t="str">
        <f t="shared" si="327"/>
        <v>DATA_Class_Base33</v>
      </c>
      <c r="CH586" s="3" t="s">
        <v>391</v>
      </c>
    </row>
    <row r="587" spans="85:86">
      <c r="CG587" t="str">
        <f t="shared" si="327"/>
        <v>DATA_Class_Base34</v>
      </c>
      <c r="CH587" s="3" t="s">
        <v>184</v>
      </c>
    </row>
    <row r="588" spans="85:86">
      <c r="CG588" t="str">
        <f t="shared" si="327"/>
        <v>DATA_Class_Base35</v>
      </c>
      <c r="CH588" s="3" t="s">
        <v>195</v>
      </c>
    </row>
    <row r="589" spans="85:86">
      <c r="CG589" t="str">
        <f t="shared" si="327"/>
        <v>DATA_Class_Base36</v>
      </c>
      <c r="CH589" s="3" t="s">
        <v>201</v>
      </c>
    </row>
    <row r="590" spans="85:86">
      <c r="CG590" t="str">
        <f t="shared" si="327"/>
        <v>DATA_Class_Base28</v>
      </c>
      <c r="CH590" s="3" t="s">
        <v>374</v>
      </c>
    </row>
    <row r="591" spans="85:86">
      <c r="CG591" t="str">
        <f t="shared" si="327"/>
        <v>DATA_Class_Base29</v>
      </c>
      <c r="CH591" s="3" t="s">
        <v>378</v>
      </c>
    </row>
    <row r="592" spans="85:86">
      <c r="CG592" t="str">
        <f t="shared" si="327"/>
        <v>DATA_Class_Base30</v>
      </c>
      <c r="CH592" s="3" t="s">
        <v>381</v>
      </c>
    </row>
    <row r="593" spans="78:86">
      <c r="CG593" t="str">
        <f t="shared" si="327"/>
        <v>DATA_Class_Base31</v>
      </c>
      <c r="CH593" s="3" t="s">
        <v>384</v>
      </c>
    </row>
    <row r="594" spans="78:86">
      <c r="CG594" t="str">
        <f t="shared" si="327"/>
        <v>DATA_Class_Base32</v>
      </c>
      <c r="CH594" s="3" t="s">
        <v>388</v>
      </c>
    </row>
    <row r="595" spans="78:86">
      <c r="CG595" t="str">
        <f t="shared" si="327"/>
        <v>DATA_Class_Base33</v>
      </c>
      <c r="CH595" s="3" t="s">
        <v>391</v>
      </c>
    </row>
    <row r="596" spans="78:86">
      <c r="CG596" t="str">
        <f t="shared" si="327"/>
        <v>DATA_Class_Base34</v>
      </c>
      <c r="CH596" s="3" t="s">
        <v>184</v>
      </c>
    </row>
    <row r="597" spans="78:86">
      <c r="CG597" t="str">
        <f t="shared" si="327"/>
        <v>DATA_Class_Base35</v>
      </c>
      <c r="CH597" s="3" t="s">
        <v>195</v>
      </c>
    </row>
    <row r="598" spans="78:86">
      <c r="CG598" t="str">
        <f t="shared" si="327"/>
        <v>DATA_Class_Base36</v>
      </c>
      <c r="CH598" s="3" t="s">
        <v>201</v>
      </c>
    </row>
    <row r="599" spans="78:86">
      <c r="CA599" s="13"/>
      <c r="CB599" s="13"/>
      <c r="CC599" s="13"/>
      <c r="CG599" t="str">
        <f t="shared" si="327"/>
        <v>DATA_Class_Base29</v>
      </c>
      <c r="CH599" s="3" t="s">
        <v>378</v>
      </c>
    </row>
    <row r="600" spans="78:86">
      <c r="CA600" s="13"/>
      <c r="CB600" s="13"/>
      <c r="CC600" s="13"/>
      <c r="CG600" t="str">
        <f t="shared" si="327"/>
        <v>DATA_Class_Base41</v>
      </c>
      <c r="CH600" s="3" t="s">
        <v>413</v>
      </c>
    </row>
    <row r="601" spans="78:86">
      <c r="BZ601" t="str">
        <f t="shared" ref="BZ601:BZ603" si="330">CA601&amp;","&amp;CB601&amp;","&amp;CC601</f>
        <v>1545011,2545011,3545011</v>
      </c>
      <c r="CA601" s="13">
        <v>1545011</v>
      </c>
      <c r="CB601" s="13">
        <v>2545011</v>
      </c>
      <c r="CC601" s="13">
        <v>3545011</v>
      </c>
      <c r="CG601" t="str">
        <f t="shared" si="327"/>
        <v>DATA_Class_Base37</v>
      </c>
      <c r="CH601" s="3" t="s">
        <v>402</v>
      </c>
    </row>
    <row r="602" spans="78:86">
      <c r="BZ602" t="str">
        <f t="shared" si="330"/>
        <v>1546001,2546001,3546001</v>
      </c>
      <c r="CA602" s="13">
        <v>1546001</v>
      </c>
      <c r="CB602" s="13">
        <v>2546001</v>
      </c>
      <c r="CC602" s="13">
        <v>3546001</v>
      </c>
      <c r="CG602" t="str">
        <f t="shared" si="327"/>
        <v>DATA_Class_Base38</v>
      </c>
      <c r="CH602" s="3" t="s">
        <v>198</v>
      </c>
    </row>
    <row r="603" spans="78:86">
      <c r="BZ603" t="str">
        <f t="shared" si="330"/>
        <v>1546021,2546021,3546021</v>
      </c>
      <c r="CA603" s="13">
        <v>1546021</v>
      </c>
      <c r="CB603" s="13">
        <v>2546021</v>
      </c>
      <c r="CC603" s="13">
        <v>3546021</v>
      </c>
      <c r="CG603" t="str">
        <f t="shared" si="327"/>
        <v>DATA_Class_Base39</v>
      </c>
      <c r="CH603" s="3" t="s">
        <v>407</v>
      </c>
    </row>
    <row r="604" spans="78:86">
      <c r="CA604" s="13"/>
      <c r="CB604" s="13"/>
      <c r="CC604" s="13"/>
      <c r="CG604" t="str">
        <f t="shared" si="327"/>
        <v>DATA_Class_Base30</v>
      </c>
      <c r="CH604" s="3" t="s">
        <v>381</v>
      </c>
    </row>
    <row r="605" spans="78:86">
      <c r="BZ605" t="str">
        <f t="shared" ref="BZ605:BZ607" si="331">CA605&amp;","&amp;CB605&amp;","&amp;CC605</f>
        <v>1553001,2553001,3553001</v>
      </c>
      <c r="CA605" s="13">
        <v>1553001</v>
      </c>
      <c r="CB605" s="13">
        <v>2553001</v>
      </c>
      <c r="CC605" s="13">
        <v>3553001</v>
      </c>
      <c r="CG605" t="str">
        <f t="shared" si="327"/>
        <v>DATA_Class_Base40</v>
      </c>
      <c r="CH605" s="3" t="s">
        <v>411</v>
      </c>
    </row>
    <row r="606" spans="78:86">
      <c r="BZ606" t="str">
        <f t="shared" si="331"/>
        <v>1553021,2553021,3553021</v>
      </c>
      <c r="CA606" s="13">
        <v>1553021</v>
      </c>
      <c r="CB606" s="13">
        <v>2553021</v>
      </c>
      <c r="CC606" s="13">
        <v>3553021</v>
      </c>
      <c r="CG606" t="str">
        <f t="shared" si="327"/>
        <v>DATA_Class_Base41</v>
      </c>
      <c r="CH606" s="3" t="s">
        <v>413</v>
      </c>
    </row>
    <row r="607" spans="78:86">
      <c r="BZ607" t="str">
        <f t="shared" si="331"/>
        <v>1554001,2554001,3554001</v>
      </c>
      <c r="CA607" s="13">
        <v>1554001</v>
      </c>
      <c r="CB607" s="13">
        <v>2554001</v>
      </c>
      <c r="CC607" s="13">
        <v>3554001</v>
      </c>
      <c r="CG607" t="str">
        <f t="shared" ref="CG607:CG608" si="332">INDEX($CD$66:$CD$107,MATCH($CH607,$CE$66:$CE$107,0))</f>
        <v>DATA_Class_Base42</v>
      </c>
      <c r="CH607" s="3" t="s">
        <v>174</v>
      </c>
    </row>
    <row r="608" spans="78:86">
      <c r="CA608" s="13"/>
      <c r="CB608" s="13"/>
      <c r="CC608" s="13"/>
      <c r="CG608" t="str">
        <f t="shared" si="332"/>
        <v>DATA_Class_Base37</v>
      </c>
      <c r="CH608" s="3" t="s">
        <v>402</v>
      </c>
    </row>
  </sheetData>
  <autoFilter ref="A3:CH608" xr:uid="{00000000-0009-0000-0000-000000000000}"/>
  <phoneticPr fontId="9" type="noConversion"/>
  <conditionalFormatting sqref="CE16">
    <cfRule type="duplicateValues" dxfId="91" priority="21"/>
  </conditionalFormatting>
  <conditionalFormatting sqref="CH16">
    <cfRule type="duplicateValues" dxfId="90" priority="19"/>
  </conditionalFormatting>
  <conditionalFormatting sqref="CE17">
    <cfRule type="duplicateValues" dxfId="89" priority="18"/>
  </conditionalFormatting>
  <conditionalFormatting sqref="CH17">
    <cfRule type="duplicateValues" dxfId="88" priority="16"/>
  </conditionalFormatting>
  <conditionalFormatting sqref="A76:A77">
    <cfRule type="duplicateValues" dxfId="87" priority="13"/>
  </conditionalFormatting>
  <conditionalFormatting sqref="A230:A239">
    <cfRule type="duplicateValues" dxfId="86" priority="36"/>
  </conditionalFormatting>
  <conditionalFormatting sqref="A267:A276">
    <cfRule type="duplicateValues" dxfId="85" priority="34"/>
  </conditionalFormatting>
  <conditionalFormatting sqref="A304:A313">
    <cfRule type="duplicateValues" dxfId="84" priority="32"/>
  </conditionalFormatting>
  <conditionalFormatting sqref="A341:A350">
    <cfRule type="duplicateValues" dxfId="83" priority="30"/>
  </conditionalFormatting>
  <conditionalFormatting sqref="A378:A387">
    <cfRule type="duplicateValues" dxfId="82" priority="28"/>
  </conditionalFormatting>
  <conditionalFormatting sqref="A415:A424">
    <cfRule type="duplicateValues" dxfId="81" priority="26"/>
  </conditionalFormatting>
  <conditionalFormatting sqref="A452:A461">
    <cfRule type="duplicateValues" dxfId="80" priority="24"/>
  </conditionalFormatting>
  <conditionalFormatting sqref="A489:A498">
    <cfRule type="duplicateValues" dxfId="79" priority="22"/>
  </conditionalFormatting>
  <conditionalFormatting sqref="CE18:CE29">
    <cfRule type="duplicateValues" dxfId="78" priority="12"/>
  </conditionalFormatting>
  <conditionalFormatting sqref="CE30:CE41">
    <cfRule type="duplicateValues" dxfId="77" priority="9"/>
  </conditionalFormatting>
  <conditionalFormatting sqref="CE42:CE53">
    <cfRule type="duplicateValues" dxfId="76" priority="6"/>
  </conditionalFormatting>
  <conditionalFormatting sqref="CE54:CE65">
    <cfRule type="duplicateValues" dxfId="75" priority="3"/>
  </conditionalFormatting>
  <conditionalFormatting sqref="CE340:CE349">
    <cfRule type="duplicateValues" dxfId="74" priority="37"/>
  </conditionalFormatting>
  <conditionalFormatting sqref="CE377:CE386">
    <cfRule type="duplicateValues" dxfId="73" priority="35"/>
  </conditionalFormatting>
  <conditionalFormatting sqref="CE414:CE423">
    <cfRule type="duplicateValues" dxfId="72" priority="33"/>
  </conditionalFormatting>
  <conditionalFormatting sqref="CE451:CE460">
    <cfRule type="duplicateValues" dxfId="71" priority="31"/>
  </conditionalFormatting>
  <conditionalFormatting sqref="CE488:CE497">
    <cfRule type="duplicateValues" dxfId="70" priority="29"/>
  </conditionalFormatting>
  <conditionalFormatting sqref="CE525:CE534">
    <cfRule type="duplicateValues" dxfId="69" priority="27"/>
  </conditionalFormatting>
  <conditionalFormatting sqref="CE562:CE571">
    <cfRule type="duplicateValues" dxfId="68" priority="25"/>
  </conditionalFormatting>
  <conditionalFormatting sqref="CE599:CE608">
    <cfRule type="duplicateValues" dxfId="67" priority="23"/>
  </conditionalFormatting>
  <conditionalFormatting sqref="CH4:CH15">
    <cfRule type="duplicateValues" dxfId="66" priority="38"/>
  </conditionalFormatting>
  <conditionalFormatting sqref="CH18:CH29">
    <cfRule type="duplicateValues" dxfId="65" priority="10"/>
  </conditionalFormatting>
  <conditionalFormatting sqref="CH30:CH41">
    <cfRule type="duplicateValues" dxfId="64" priority="7"/>
  </conditionalFormatting>
  <conditionalFormatting sqref="CH42:CH53">
    <cfRule type="duplicateValues" dxfId="63" priority="4"/>
  </conditionalFormatting>
  <conditionalFormatting sqref="CH54:CH65">
    <cfRule type="duplicateValues" dxfId="62" priority="1"/>
  </conditionalFormatting>
  <conditionalFormatting sqref="CE1:CE3 CE275:CE339 CE350:CE376 CE387:CE413 CE424:CE450 CE461:CE487 CE498:CE524 CE535:CE561 CE572:CE598 CE609:CE1048576 CE108:CE241">
    <cfRule type="duplicateValues" dxfId="61" priority="40"/>
  </conditionalFormatting>
  <conditionalFormatting sqref="CE4:CE15 CE66:CE77">
    <cfRule type="duplicateValues" dxfId="60" priority="41"/>
  </conditionalFormatting>
  <conditionalFormatting sqref="A64:A75 A78:A165">
    <cfRule type="duplicateValues" dxfId="59" priority="14"/>
  </conditionalFormatting>
  <conditionalFormatting sqref="A240:A266 A277:A303 A314:A340 A351:A377 A388:A414 A425:A451 A462:A488 A499:A1048576 A166:A229">
    <cfRule type="duplicateValues" dxfId="58" priority="39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I560"/>
  <sheetViews>
    <sheetView topLeftCell="BJ1" zoomScale="85" zoomScaleNormal="85" workbookViewId="0">
      <pane ySplit="1" topLeftCell="A2" activePane="bottomLeft" state="frozen"/>
      <selection pane="bottomLeft" activeCell="CB4" sqref="CB4:CB40"/>
    </sheetView>
  </sheetViews>
  <sheetFormatPr defaultColWidth="9" defaultRowHeight="13.5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3" max="25" width="9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1" max="31" width="9" customWidth="1"/>
    <col min="32" max="32" width="12.75" customWidth="1"/>
    <col min="33" max="33" width="13.875" customWidth="1"/>
    <col min="34" max="34" width="11.625" customWidth="1"/>
    <col min="35" max="36" width="9" customWidth="1"/>
    <col min="37" max="37" width="9" style="1" customWidth="1"/>
    <col min="38" max="54" width="9" customWidth="1"/>
    <col min="55" max="55" width="12" customWidth="1"/>
    <col min="56" max="56" width="14.5" customWidth="1"/>
    <col min="57" max="59" width="9" customWidth="1"/>
    <col min="60" max="60" width="20.375" customWidth="1"/>
    <col min="61" max="63" width="9" customWidth="1"/>
    <col min="64" max="64" width="11.625" customWidth="1"/>
    <col min="65" max="67" width="9" customWidth="1"/>
    <col min="68" max="68" width="11" customWidth="1"/>
    <col min="69" max="69" width="11.625" customWidth="1"/>
    <col min="70" max="71" width="9" customWidth="1"/>
    <col min="72" max="72" width="10.875" customWidth="1"/>
    <col min="73" max="74" width="9" customWidth="1"/>
    <col min="79" max="79" width="16.625" customWidth="1"/>
    <col min="83" max="83" width="18.375" customWidth="1"/>
    <col min="86" max="86" width="19.375" customWidth="1"/>
  </cols>
  <sheetData>
    <row r="1" spans="1:87" ht="16.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812</v>
      </c>
      <c r="I1" s="2" t="s">
        <v>813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7" t="s">
        <v>14</v>
      </c>
      <c r="Q1" s="2" t="s">
        <v>15</v>
      </c>
      <c r="R1" s="9" t="s">
        <v>16</v>
      </c>
      <c r="S1" s="2" t="s">
        <v>17</v>
      </c>
      <c r="T1" s="10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33</v>
      </c>
      <c r="AP1" s="2"/>
      <c r="AQ1" s="2"/>
      <c r="AR1" s="2"/>
      <c r="AS1" s="2"/>
      <c r="AT1" s="2"/>
      <c r="AU1" s="2"/>
    </row>
    <row r="2" spans="1:87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7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E2">
        <v>0.8</v>
      </c>
    </row>
    <row r="3" spans="1:87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814</v>
      </c>
      <c r="I3" t="s">
        <v>815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7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8" t="s">
        <v>72</v>
      </c>
      <c r="AG3" s="8" t="s">
        <v>73</v>
      </c>
      <c r="AH3" s="8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s="19"/>
      <c r="BA3" s="19" t="s">
        <v>84</v>
      </c>
      <c r="BB3" s="19" t="s">
        <v>85</v>
      </c>
      <c r="BC3" s="19" t="s">
        <v>80</v>
      </c>
      <c r="BE3">
        <v>1</v>
      </c>
      <c r="BF3">
        <v>1</v>
      </c>
      <c r="BG3">
        <v>1</v>
      </c>
      <c r="BI3" s="24" t="s">
        <v>87</v>
      </c>
      <c r="BJ3" s="24" t="s">
        <v>88</v>
      </c>
      <c r="BK3" s="24" t="s">
        <v>89</v>
      </c>
      <c r="BN3" s="24" t="s">
        <v>90</v>
      </c>
      <c r="BP3" t="s">
        <v>91</v>
      </c>
      <c r="CE3" s="24" t="s">
        <v>92</v>
      </c>
      <c r="CH3" s="24" t="s">
        <v>93</v>
      </c>
    </row>
    <row r="4" spans="1:87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0" si="0">FLOOR(AS4/1,0.01)</f>
        <v>1.3</v>
      </c>
      <c r="N4" s="2">
        <f t="shared" si="0"/>
        <v>1.5</v>
      </c>
      <c r="O4" s="2">
        <v>10</v>
      </c>
      <c r="P4" s="2">
        <f t="shared" ref="P4:U4" si="1">ROUND(AM4*(1+$AY4),2)</f>
        <v>97.07</v>
      </c>
      <c r="Q4" s="2">
        <f t="shared" si="1"/>
        <v>9.7100000000000009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816</v>
      </c>
      <c r="AC4" s="12" t="s">
        <v>817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10" si="2">(AO4+AP4*AJ4)*(AM4+AN4*AJ4)/AS4*(0.9)*(1+0.5*0.1)*1/1/(1-(AQ4+AR4*AJ4)*0.0002)/3000</f>
        <v>38.523382799518714</v>
      </c>
      <c r="AL4">
        <v>1</v>
      </c>
      <c r="AM4">
        <f>INDEX($BE$5:$BE$58,MATCH($AV4,$BC$5:$BC$58,0))*$AS4/1.5*$BI$4*INDEX($BE$106:$BR$106,MATCH($AL4,$BE$105:$BR$105,0))</f>
        <v>97.066666666666677</v>
      </c>
      <c r="AN4">
        <f>(INDEX($BE$5:$BE$58,MATCH($AV4,$BC$5:$BC$58,0))*$AS4/1.5*$BI$4*INDEX($BE$106:$BR$106,MATCH($AL4,$BE$105:$BR$105,0)))*0.1</f>
        <v>9.7066666666666688</v>
      </c>
      <c r="AO4">
        <f>INDEX($BF$5:$BF$58,MATCH($AV4,$BC$5:$BC$58,0))*$BJ$4*INDEX($BE$106:$BR$106,MATCH($AL4,$BE$105:$BR$105,0))</f>
        <v>1344</v>
      </c>
      <c r="AP4">
        <f>(INDEX($BF$5:$BF$58,MATCH($AV4,$BC$5:$BC$58,0))*$BJ$4*INDEX($BE$106:$BR$106,MATCH($AL4,$BE$105:$BR$105,0)))*0.1</f>
        <v>134.4</v>
      </c>
      <c r="AQ4">
        <f t="shared" ref="AQ4:AQ17" si="3">$AM4/INDEX($BG$5:$BG$58,MATCH($AV4,$BC$5:$BC$58,0))</f>
        <v>32.355555555555561</v>
      </c>
      <c r="AR4">
        <f t="shared" ref="AR4:AR10" si="4">AQ4*0.1</f>
        <v>3.2355555555555564</v>
      </c>
      <c r="AS4">
        <f t="shared" ref="AS4:AS17" si="5">INDEX($BH$5:$BH$58,MATCH($AV4,$BC$5:$BC$58,0))</f>
        <v>1.3</v>
      </c>
      <c r="AT4">
        <f t="shared" ref="AT4:AT17" si="6">ROUND(IF(INDEX($BP$5:$BP$58,MATCH($AV4,$BC$5:$BC$58,0))&lt;2,INDEX($BP$5:$BP$58,MATCH($AV4,$BC$5:$BC$58,0))+0.2,2),1)</f>
        <v>1.5</v>
      </c>
      <c r="AU4">
        <f t="shared" ref="AU4:AU17" si="7">INDEX($BL$5:$BL$58,MATCH($AV4,$BC$5:$BC$58,0))</f>
        <v>3</v>
      </c>
      <c r="AV4">
        <v>1</v>
      </c>
      <c r="AW4">
        <v>1</v>
      </c>
      <c r="AX4">
        <v>0</v>
      </c>
      <c r="AY4">
        <v>0</v>
      </c>
      <c r="BC4" s="3" t="s">
        <v>818</v>
      </c>
      <c r="BD4" s="2" t="s">
        <v>99</v>
      </c>
      <c r="BE4" s="2" t="s">
        <v>100</v>
      </c>
      <c r="BF4" s="2" t="s">
        <v>101</v>
      </c>
      <c r="BG4" s="8" t="s">
        <v>102</v>
      </c>
      <c r="BH4" s="2" t="s">
        <v>103</v>
      </c>
      <c r="BI4" s="19">
        <v>80</v>
      </c>
      <c r="BJ4" s="19">
        <v>960</v>
      </c>
      <c r="BK4" s="19">
        <v>20</v>
      </c>
      <c r="BL4" t="s">
        <v>52</v>
      </c>
      <c r="BM4" t="s">
        <v>104</v>
      </c>
      <c r="BN4" t="s">
        <v>105</v>
      </c>
      <c r="BO4" t="s">
        <v>106</v>
      </c>
      <c r="BP4" t="s">
        <v>107</v>
      </c>
      <c r="BQ4" t="s">
        <v>108</v>
      </c>
      <c r="BS4" t="s">
        <v>100</v>
      </c>
      <c r="BT4" t="s">
        <v>109</v>
      </c>
      <c r="CA4" s="8" t="s">
        <v>464</v>
      </c>
      <c r="CB4" s="3" t="s">
        <v>819</v>
      </c>
      <c r="CC4" s="3" t="s">
        <v>820</v>
      </c>
      <c r="CE4" s="2" t="s">
        <v>94</v>
      </c>
      <c r="CF4" t="s">
        <v>110</v>
      </c>
      <c r="CH4" s="2" t="s">
        <v>94</v>
      </c>
      <c r="CI4" t="s">
        <v>110</v>
      </c>
    </row>
    <row r="5" spans="1:87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ref="P5:U10" si="8">ROUND(AM5*(1+$AY5),2)</f>
        <v>97.07</v>
      </c>
      <c r="Q5" s="2">
        <f t="shared" si="8"/>
        <v>9.7100000000000009</v>
      </c>
      <c r="R5" s="2">
        <f t="shared" si="8"/>
        <v>1344</v>
      </c>
      <c r="S5" s="2">
        <f t="shared" si="8"/>
        <v>134.4</v>
      </c>
      <c r="T5" s="2">
        <f t="shared" si="8"/>
        <v>32.36</v>
      </c>
      <c r="U5" s="2">
        <f t="shared" si="8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816</v>
      </c>
      <c r="AC5" s="12" t="s">
        <v>817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38.523382799518714</v>
      </c>
      <c r="AL5">
        <v>2</v>
      </c>
      <c r="AM5">
        <f t="shared" ref="AM5:AM17" si="9">INDEX($BE$5:$BE$58,MATCH($AV5,$BC$5:$BC$58,0))*$AS5/1.5*$BI$4*INDEX($BE$106:$BR$106,MATCH($AL5,$BE$105:$BR$105,0))</f>
        <v>97.066666666666677</v>
      </c>
      <c r="AN5">
        <f t="shared" ref="AN5:AN17" si="10">(INDEX($BE$5:$BE$58,MATCH($AV5,$BC$5:$BC$58,0))*$AS5/1.5*$BI$4*INDEX($BE$106:$BR$106,MATCH($AL5,$BE$105:$BR$105,0)))*0.1</f>
        <v>9.7066666666666688</v>
      </c>
      <c r="AO5">
        <f t="shared" ref="AO5:AO17" si="11">INDEX($BF$5:$BF$58,MATCH($AV5,$BC$5:$BC$58,0))*$BJ$4*INDEX($BE$106:$BR$106,MATCH($AL5,$BE$105:$BR$105,0))</f>
        <v>1344</v>
      </c>
      <c r="AP5">
        <f t="shared" ref="AP5:AP17" si="12">(INDEX($BF$5:$BF$58,MATCH($AV5,$BC$5:$BC$58,0))*$BJ$4*INDEX($BE$106:$BR$106,MATCH($AL5,$BE$105:$BR$105,0)))*0.1</f>
        <v>134.4</v>
      </c>
      <c r="AQ5">
        <f t="shared" si="3"/>
        <v>32.355555555555561</v>
      </c>
      <c r="AR5">
        <f t="shared" si="4"/>
        <v>3.2355555555555564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BC5" s="20">
        <v>1</v>
      </c>
      <c r="BD5" s="21" t="s">
        <v>113</v>
      </c>
      <c r="BE5" s="20">
        <v>1</v>
      </c>
      <c r="BF5" s="20">
        <f>1/BE5</f>
        <v>1</v>
      </c>
      <c r="BG5" s="22">
        <v>3</v>
      </c>
      <c r="BH5" s="23">
        <v>1.3</v>
      </c>
      <c r="BI5" s="25">
        <f>BE5*$BI$4*BH5/1.5</f>
        <v>69.333333333333329</v>
      </c>
      <c r="BJ5" s="25">
        <f t="shared" ref="BJ5:BJ17" si="13">BF5*$BJ$4</f>
        <v>960</v>
      </c>
      <c r="BK5" s="25">
        <f t="shared" ref="BK5:BK10" si="14">BI5/BG5</f>
        <v>23.111111111111111</v>
      </c>
      <c r="BL5">
        <v>3</v>
      </c>
      <c r="BM5">
        <f t="shared" ref="BM5:BM10" si="15">BI5/BH5</f>
        <v>53.333333333333329</v>
      </c>
      <c r="BN5">
        <f t="shared" ref="BN5:BN10" si="16">BO5/30</f>
        <v>1.3333333333333333</v>
      </c>
      <c r="BO5" s="20">
        <v>40</v>
      </c>
      <c r="BP5">
        <f t="shared" ref="BP5:BP10" si="17">BQ5/30</f>
        <v>1.3333333333333333</v>
      </c>
      <c r="BQ5" s="20">
        <v>40</v>
      </c>
      <c r="BR5">
        <v>1.5</v>
      </c>
      <c r="BS5">
        <v>1</v>
      </c>
      <c r="BT5" s="26">
        <f t="shared" ref="BT5:BT22" si="18">1/BS5</f>
        <v>1</v>
      </c>
      <c r="BU5">
        <f>$BI$4*(1-(1.5-BH5)*1)*BE5</f>
        <v>64</v>
      </c>
      <c r="CA5" s="8" t="s">
        <v>470</v>
      </c>
      <c r="CB5" s="3" t="s">
        <v>821</v>
      </c>
      <c r="CC5" s="3" t="s">
        <v>822</v>
      </c>
      <c r="CE5" s="2" t="s">
        <v>111</v>
      </c>
      <c r="CF5" t="s">
        <v>114</v>
      </c>
      <c r="CH5" s="2" t="s">
        <v>111</v>
      </c>
      <c r="CI5" t="s">
        <v>114</v>
      </c>
    </row>
    <row r="6" spans="1:87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8"/>
        <v>97.07</v>
      </c>
      <c r="Q6" s="2">
        <f t="shared" si="8"/>
        <v>9.7100000000000009</v>
      </c>
      <c r="R6" s="2">
        <f t="shared" si="8"/>
        <v>1344</v>
      </c>
      <c r="S6" s="2">
        <f t="shared" si="8"/>
        <v>134.4</v>
      </c>
      <c r="T6" s="2">
        <f t="shared" si="8"/>
        <v>32.36</v>
      </c>
      <c r="U6" s="2">
        <f t="shared" si="8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816</v>
      </c>
      <c r="AC6" s="12" t="s">
        <v>817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38.523382799518714</v>
      </c>
      <c r="AL6">
        <v>3</v>
      </c>
      <c r="AM6">
        <f t="shared" si="9"/>
        <v>97.066666666666677</v>
      </c>
      <c r="AN6">
        <f t="shared" si="10"/>
        <v>9.7066666666666688</v>
      </c>
      <c r="AO6">
        <f t="shared" si="11"/>
        <v>1344</v>
      </c>
      <c r="AP6">
        <f t="shared" si="12"/>
        <v>134.4</v>
      </c>
      <c r="AQ6">
        <f t="shared" si="3"/>
        <v>32.355555555555561</v>
      </c>
      <c r="AR6">
        <f t="shared" si="4"/>
        <v>3.2355555555555564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BC6" s="20">
        <v>2001</v>
      </c>
      <c r="BD6" s="59" t="s">
        <v>127</v>
      </c>
      <c r="BE6" s="20">
        <v>0.8</v>
      </c>
      <c r="BF6" s="20">
        <f t="shared" ref="BF6:BF58" si="19">1/BE6</f>
        <v>1.25</v>
      </c>
      <c r="BG6" s="22">
        <v>3</v>
      </c>
      <c r="BH6" s="23">
        <v>1.5</v>
      </c>
      <c r="BI6" s="25">
        <f t="shared" ref="BI6:BI17" si="20">BE6*$BI$4*BH6/1.5</f>
        <v>64</v>
      </c>
      <c r="BJ6" s="25">
        <f t="shared" si="13"/>
        <v>1200</v>
      </c>
      <c r="BK6" s="25">
        <f t="shared" si="14"/>
        <v>21.333333333333332</v>
      </c>
      <c r="BL6">
        <v>3</v>
      </c>
      <c r="BM6">
        <f t="shared" si="15"/>
        <v>42.666666666666664</v>
      </c>
      <c r="BN6">
        <f t="shared" si="16"/>
        <v>1</v>
      </c>
      <c r="BO6" s="20">
        <v>30</v>
      </c>
      <c r="BP6">
        <f t="shared" si="17"/>
        <v>1</v>
      </c>
      <c r="BQ6" s="20">
        <v>30</v>
      </c>
      <c r="BR6" s="2">
        <v>1.5</v>
      </c>
      <c r="BS6">
        <v>0.8</v>
      </c>
      <c r="BT6" s="26">
        <f t="shared" si="18"/>
        <v>1.25</v>
      </c>
      <c r="BU6">
        <f>$BI$4*(1-(1.5-BH6)*1)*BE6</f>
        <v>64</v>
      </c>
      <c r="CA6" s="8" t="s">
        <v>474</v>
      </c>
      <c r="CB6" s="3" t="s">
        <v>823</v>
      </c>
      <c r="CC6" s="3" t="s">
        <v>824</v>
      </c>
      <c r="CE6" s="2" t="s">
        <v>115</v>
      </c>
      <c r="CF6" t="s">
        <v>118</v>
      </c>
      <c r="CH6" s="2" t="s">
        <v>115</v>
      </c>
      <c r="CI6" t="s">
        <v>118</v>
      </c>
    </row>
    <row r="7" spans="1:87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8"/>
        <v>97.07</v>
      </c>
      <c r="Q7" s="2">
        <f t="shared" si="8"/>
        <v>9.7100000000000009</v>
      </c>
      <c r="R7" s="2">
        <f t="shared" si="8"/>
        <v>1344</v>
      </c>
      <c r="S7" s="2">
        <f t="shared" si="8"/>
        <v>134.4</v>
      </c>
      <c r="T7" s="2">
        <f t="shared" si="8"/>
        <v>32.36</v>
      </c>
      <c r="U7" s="2">
        <f t="shared" si="8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816</v>
      </c>
      <c r="AC7" s="12" t="s">
        <v>817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38.523382799518714</v>
      </c>
      <c r="AL7">
        <v>4</v>
      </c>
      <c r="AM7">
        <f t="shared" si="9"/>
        <v>97.066666666666677</v>
      </c>
      <c r="AN7">
        <f t="shared" si="10"/>
        <v>9.7066666666666688</v>
      </c>
      <c r="AO7">
        <f t="shared" si="11"/>
        <v>1344</v>
      </c>
      <c r="AP7">
        <f t="shared" si="12"/>
        <v>134.4</v>
      </c>
      <c r="AQ7">
        <f t="shared" si="3"/>
        <v>32.355555555555561</v>
      </c>
      <c r="AR7">
        <f t="shared" si="4"/>
        <v>3.2355555555555564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BC7" s="20">
        <v>2002</v>
      </c>
      <c r="BD7" s="59"/>
      <c r="BE7" s="20">
        <v>1</v>
      </c>
      <c r="BF7" s="20">
        <f t="shared" si="19"/>
        <v>1</v>
      </c>
      <c r="BG7" s="22">
        <v>4</v>
      </c>
      <c r="BH7" s="23">
        <v>1.5</v>
      </c>
      <c r="BI7" s="25">
        <f t="shared" si="20"/>
        <v>80</v>
      </c>
      <c r="BJ7" s="25">
        <f t="shared" si="13"/>
        <v>960</v>
      </c>
      <c r="BK7" s="25">
        <f t="shared" si="14"/>
        <v>20</v>
      </c>
      <c r="BL7">
        <v>3</v>
      </c>
      <c r="BM7">
        <f t="shared" si="15"/>
        <v>53.333333333333336</v>
      </c>
      <c r="BN7">
        <f t="shared" si="16"/>
        <v>1</v>
      </c>
      <c r="BO7" s="20">
        <v>30</v>
      </c>
      <c r="BP7">
        <f t="shared" si="17"/>
        <v>1</v>
      </c>
      <c r="BQ7" s="20">
        <v>30</v>
      </c>
      <c r="BR7">
        <v>1.5</v>
      </c>
      <c r="BS7">
        <v>0.8</v>
      </c>
      <c r="BT7" s="26">
        <f t="shared" si="18"/>
        <v>1.25</v>
      </c>
      <c r="BU7">
        <f t="shared" ref="BU7:BU22" si="21">$BI$4*(1-(1.5-BH7)*1)*BE7</f>
        <v>80</v>
      </c>
      <c r="CA7" s="8" t="s">
        <v>479</v>
      </c>
      <c r="CB7" s="3" t="s">
        <v>825</v>
      </c>
      <c r="CC7" s="3" t="s">
        <v>826</v>
      </c>
      <c r="CE7" s="2" t="s">
        <v>119</v>
      </c>
      <c r="CF7" t="s">
        <v>123</v>
      </c>
      <c r="CH7" s="2" t="s">
        <v>119</v>
      </c>
      <c r="CI7" t="s">
        <v>123</v>
      </c>
    </row>
    <row r="8" spans="1:87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8"/>
        <v>97.07</v>
      </c>
      <c r="Q8" s="2">
        <f t="shared" si="8"/>
        <v>9.7100000000000009</v>
      </c>
      <c r="R8" s="2">
        <f t="shared" si="8"/>
        <v>1344</v>
      </c>
      <c r="S8" s="2">
        <f t="shared" si="8"/>
        <v>134.4</v>
      </c>
      <c r="T8" s="2">
        <f t="shared" si="8"/>
        <v>32.36</v>
      </c>
      <c r="U8" s="2">
        <f t="shared" si="8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816</v>
      </c>
      <c r="AC8" s="12" t="s">
        <v>817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38.523382799518714</v>
      </c>
      <c r="AL8">
        <v>5</v>
      </c>
      <c r="AM8">
        <f t="shared" si="9"/>
        <v>97.066666666666677</v>
      </c>
      <c r="AN8">
        <f t="shared" si="10"/>
        <v>9.7066666666666688</v>
      </c>
      <c r="AO8">
        <f t="shared" si="11"/>
        <v>1344</v>
      </c>
      <c r="AP8">
        <f t="shared" si="12"/>
        <v>134.4</v>
      </c>
      <c r="AQ8">
        <f t="shared" si="3"/>
        <v>32.355555555555561</v>
      </c>
      <c r="AR8">
        <f t="shared" si="4"/>
        <v>3.2355555555555564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BC8" s="20">
        <v>2003</v>
      </c>
      <c r="BD8" s="59"/>
      <c r="BE8" s="20">
        <v>0.7</v>
      </c>
      <c r="BF8" s="20">
        <f t="shared" si="19"/>
        <v>1.4285714285714286</v>
      </c>
      <c r="BG8" s="22">
        <v>2</v>
      </c>
      <c r="BH8" s="23">
        <v>1.5</v>
      </c>
      <c r="BI8" s="25">
        <f t="shared" si="20"/>
        <v>56</v>
      </c>
      <c r="BJ8" s="25">
        <f t="shared" si="13"/>
        <v>1371.4285714285716</v>
      </c>
      <c r="BK8" s="25">
        <f t="shared" si="14"/>
        <v>28</v>
      </c>
      <c r="BL8">
        <v>3</v>
      </c>
      <c r="BM8">
        <f t="shared" si="15"/>
        <v>37.333333333333336</v>
      </c>
      <c r="BN8">
        <f t="shared" si="16"/>
        <v>1</v>
      </c>
      <c r="BO8" s="20">
        <v>30</v>
      </c>
      <c r="BP8">
        <f t="shared" si="17"/>
        <v>1</v>
      </c>
      <c r="BQ8" s="20">
        <v>30</v>
      </c>
      <c r="BR8" s="2">
        <v>1.5</v>
      </c>
      <c r="BS8">
        <v>0.8</v>
      </c>
      <c r="BT8" s="26">
        <f t="shared" si="18"/>
        <v>1.25</v>
      </c>
      <c r="BU8">
        <f t="shared" si="21"/>
        <v>56</v>
      </c>
      <c r="CA8" s="8" t="s">
        <v>484</v>
      </c>
      <c r="CB8" s="3" t="s">
        <v>827</v>
      </c>
      <c r="CC8" s="3" t="s">
        <v>828</v>
      </c>
      <c r="CE8" s="2" t="s">
        <v>124</v>
      </c>
      <c r="CF8" t="s">
        <v>128</v>
      </c>
      <c r="CH8" s="2" t="s">
        <v>124</v>
      </c>
      <c r="CI8" t="s">
        <v>128</v>
      </c>
    </row>
    <row r="9" spans="1:87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8"/>
        <v>97.07</v>
      </c>
      <c r="Q9" s="2">
        <f t="shared" si="8"/>
        <v>9.7100000000000009</v>
      </c>
      <c r="R9" s="2">
        <f t="shared" si="8"/>
        <v>1344</v>
      </c>
      <c r="S9" s="2">
        <f t="shared" si="8"/>
        <v>134.4</v>
      </c>
      <c r="T9" s="2">
        <f t="shared" si="8"/>
        <v>32.36</v>
      </c>
      <c r="U9" s="2">
        <f t="shared" si="8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816</v>
      </c>
      <c r="AC9" s="12" t="s">
        <v>817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38.523382799518714</v>
      </c>
      <c r="AL9">
        <v>6</v>
      </c>
      <c r="AM9">
        <f t="shared" si="9"/>
        <v>97.066666666666677</v>
      </c>
      <c r="AN9">
        <f t="shared" si="10"/>
        <v>9.7066666666666688</v>
      </c>
      <c r="AO9">
        <f t="shared" si="11"/>
        <v>1344</v>
      </c>
      <c r="AP9">
        <f t="shared" si="12"/>
        <v>134.4</v>
      </c>
      <c r="AQ9">
        <f t="shared" si="3"/>
        <v>32.355555555555561</v>
      </c>
      <c r="AR9">
        <f t="shared" si="4"/>
        <v>3.2355555555555564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BC9" s="20">
        <v>2011</v>
      </c>
      <c r="BD9" s="59" t="s">
        <v>132</v>
      </c>
      <c r="BE9" s="20">
        <v>0.5</v>
      </c>
      <c r="BF9" s="20">
        <f t="shared" si="19"/>
        <v>2</v>
      </c>
      <c r="BG9" s="22">
        <v>2</v>
      </c>
      <c r="BH9" s="23">
        <v>1.8</v>
      </c>
      <c r="BI9" s="25">
        <f t="shared" si="20"/>
        <v>48</v>
      </c>
      <c r="BJ9" s="25">
        <f t="shared" si="13"/>
        <v>1920</v>
      </c>
      <c r="BK9" s="25">
        <f t="shared" si="14"/>
        <v>24</v>
      </c>
      <c r="BL9">
        <v>3</v>
      </c>
      <c r="BM9">
        <f t="shared" si="15"/>
        <v>26.666666666666664</v>
      </c>
      <c r="BN9">
        <f t="shared" si="16"/>
        <v>1.6666666666666667</v>
      </c>
      <c r="BO9" s="20">
        <v>50</v>
      </c>
      <c r="BP9">
        <f t="shared" si="17"/>
        <v>1.6</v>
      </c>
      <c r="BQ9" s="20">
        <v>48</v>
      </c>
      <c r="BR9" s="2">
        <v>1.2</v>
      </c>
      <c r="BS9">
        <v>0.9</v>
      </c>
      <c r="BT9" s="26">
        <f t="shared" si="18"/>
        <v>1.1111111111111112</v>
      </c>
      <c r="BU9">
        <f t="shared" si="21"/>
        <v>52</v>
      </c>
      <c r="CA9" s="8" t="s">
        <v>488</v>
      </c>
      <c r="CB9" s="3" t="s">
        <v>829</v>
      </c>
      <c r="CC9" s="3" t="s">
        <v>830</v>
      </c>
      <c r="CE9" s="2" t="s">
        <v>129</v>
      </c>
      <c r="CF9" t="s">
        <v>133</v>
      </c>
      <c r="CH9" s="2" t="s">
        <v>129</v>
      </c>
      <c r="CI9" t="s">
        <v>133</v>
      </c>
    </row>
    <row r="10" spans="1:87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8"/>
        <v>97.07</v>
      </c>
      <c r="Q10" s="2">
        <f t="shared" si="8"/>
        <v>9.7100000000000009</v>
      </c>
      <c r="R10" s="2">
        <f t="shared" si="8"/>
        <v>1344</v>
      </c>
      <c r="S10" s="2">
        <f t="shared" si="8"/>
        <v>134.4</v>
      </c>
      <c r="T10" s="2">
        <f t="shared" si="8"/>
        <v>32.36</v>
      </c>
      <c r="U10" s="2">
        <f t="shared" si="8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816</v>
      </c>
      <c r="AC10" s="12" t="s">
        <v>817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38.523382799518714</v>
      </c>
      <c r="AL10">
        <v>7</v>
      </c>
      <c r="AM10">
        <f t="shared" si="9"/>
        <v>97.066666666666677</v>
      </c>
      <c r="AN10">
        <f t="shared" si="10"/>
        <v>9.7066666666666688</v>
      </c>
      <c r="AO10">
        <f t="shared" si="11"/>
        <v>1344</v>
      </c>
      <c r="AP10">
        <f t="shared" si="12"/>
        <v>134.4</v>
      </c>
      <c r="AQ10">
        <f t="shared" si="3"/>
        <v>32.355555555555561</v>
      </c>
      <c r="AR10">
        <f t="shared" si="4"/>
        <v>3.2355555555555564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BC10" s="20">
        <v>2012</v>
      </c>
      <c r="BD10" s="59"/>
      <c r="BE10" s="20">
        <v>0.7</v>
      </c>
      <c r="BF10" s="20">
        <f t="shared" si="19"/>
        <v>1.4285714285714286</v>
      </c>
      <c r="BG10" s="22">
        <v>3</v>
      </c>
      <c r="BH10" s="23">
        <v>1.8</v>
      </c>
      <c r="BI10" s="25">
        <f t="shared" si="20"/>
        <v>67.2</v>
      </c>
      <c r="BJ10" s="25">
        <f t="shared" si="13"/>
        <v>1371.4285714285716</v>
      </c>
      <c r="BK10" s="25">
        <f t="shared" si="14"/>
        <v>22.400000000000002</v>
      </c>
      <c r="BL10">
        <v>3</v>
      </c>
      <c r="BM10">
        <f t="shared" si="15"/>
        <v>37.333333333333336</v>
      </c>
      <c r="BN10">
        <f t="shared" si="16"/>
        <v>1.6666666666666667</v>
      </c>
      <c r="BO10" s="20">
        <v>50</v>
      </c>
      <c r="BP10">
        <f t="shared" si="17"/>
        <v>1.6</v>
      </c>
      <c r="BQ10" s="20">
        <v>48</v>
      </c>
      <c r="BR10" s="2">
        <v>1</v>
      </c>
      <c r="BS10">
        <v>0.9</v>
      </c>
      <c r="BT10" s="26">
        <f t="shared" si="18"/>
        <v>1.1111111111111112</v>
      </c>
      <c r="BU10">
        <f t="shared" si="21"/>
        <v>72.8</v>
      </c>
      <c r="CA10" s="8" t="s">
        <v>492</v>
      </c>
      <c r="CB10" s="3" t="s">
        <v>831</v>
      </c>
      <c r="CC10" s="3" t="s">
        <v>832</v>
      </c>
      <c r="CE10" s="2" t="s">
        <v>134</v>
      </c>
      <c r="CF10" t="s">
        <v>137</v>
      </c>
      <c r="CH10" s="2" t="s">
        <v>134</v>
      </c>
      <c r="CI10" t="s">
        <v>137</v>
      </c>
    </row>
    <row r="11" spans="1:87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ref="M11:M17" si="22">FLOOR(AS11/1,0.01)</f>
        <v>1.3</v>
      </c>
      <c r="N11" s="2">
        <f t="shared" ref="N11:N17" si="23">FLOOR(AT11/1,0.01)</f>
        <v>1.5</v>
      </c>
      <c r="O11" s="2">
        <v>10</v>
      </c>
      <c r="P11" s="2">
        <f t="shared" ref="P11:P17" si="24">ROUND(AM11*(1+$AY11),2)</f>
        <v>97.07</v>
      </c>
      <c r="Q11" s="2">
        <f t="shared" ref="Q11:Q17" si="25">ROUND(AN11*(1+$AY11),2)</f>
        <v>9.7100000000000009</v>
      </c>
      <c r="R11" s="2">
        <f t="shared" ref="R11:R17" si="26">ROUND(AO11*(1+$AY11),2)</f>
        <v>1344</v>
      </c>
      <c r="S11" s="2">
        <f t="shared" ref="S11:S17" si="27">ROUND(AP11*(1+$AY11),2)</f>
        <v>134.4</v>
      </c>
      <c r="T11" s="2">
        <f t="shared" ref="T11:T17" si="28">ROUND(AQ11*(1+$AY11),2)</f>
        <v>32.36</v>
      </c>
      <c r="U11" s="2">
        <f t="shared" ref="U11:U17" si="29">ROUND(AR11*(1+$AY11),2)</f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816</v>
      </c>
      <c r="AC11" s="12" t="s">
        <v>817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ref="AK11:AK17" si="30">(AO11+AP11*AJ11)*(AM11+AN11*AJ11)/AS11*(0.9)*(1+0.5*0.1)*1/1/(1-(AQ11+AR11*AJ11)*0.0002)/3000</f>
        <v>38.523382799518714</v>
      </c>
      <c r="AL11">
        <v>8</v>
      </c>
      <c r="AM11">
        <f t="shared" si="9"/>
        <v>97.066666666666677</v>
      </c>
      <c r="AN11">
        <f t="shared" si="10"/>
        <v>9.7066666666666688</v>
      </c>
      <c r="AO11">
        <f t="shared" si="11"/>
        <v>1344</v>
      </c>
      <c r="AP11">
        <f t="shared" si="12"/>
        <v>134.4</v>
      </c>
      <c r="AQ11">
        <f t="shared" si="3"/>
        <v>32.355555555555561</v>
      </c>
      <c r="AR11">
        <f t="shared" ref="AR11:AR17" si="31">AQ11*0.1</f>
        <v>3.2355555555555564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BC11" s="20">
        <v>2013</v>
      </c>
      <c r="BD11" s="59"/>
      <c r="BE11" s="20">
        <v>0.6</v>
      </c>
      <c r="BF11" s="20">
        <f t="shared" si="19"/>
        <v>1.6666666666666667</v>
      </c>
      <c r="BG11" s="22">
        <v>1.8</v>
      </c>
      <c r="BH11" s="23">
        <v>1.8</v>
      </c>
      <c r="BI11" s="25">
        <f t="shared" si="20"/>
        <v>57.6</v>
      </c>
      <c r="BJ11" s="25">
        <f t="shared" si="13"/>
        <v>1600</v>
      </c>
      <c r="BK11" s="25">
        <f t="shared" ref="BK11:BK17" si="32">BI11/BG11</f>
        <v>32</v>
      </c>
      <c r="BL11">
        <v>3</v>
      </c>
      <c r="BM11">
        <f t="shared" ref="BM11:BM17" si="33">BI11/BH11</f>
        <v>32</v>
      </c>
      <c r="BN11">
        <f t="shared" ref="BN11:BN17" si="34">BO11/30</f>
        <v>1.6666666666666667</v>
      </c>
      <c r="BO11" s="20">
        <v>50</v>
      </c>
      <c r="BP11">
        <f t="shared" ref="BP11:BP17" si="35">BQ11/30</f>
        <v>1.6</v>
      </c>
      <c r="BQ11" s="20">
        <v>48</v>
      </c>
      <c r="BR11" s="2">
        <v>1.2</v>
      </c>
      <c r="BS11">
        <v>0.9</v>
      </c>
      <c r="BT11" s="26">
        <f t="shared" si="18"/>
        <v>1.1111111111111112</v>
      </c>
      <c r="BU11">
        <f t="shared" si="21"/>
        <v>62.4</v>
      </c>
      <c r="CA11" s="8" t="s">
        <v>496</v>
      </c>
      <c r="CB11" s="3" t="s">
        <v>833</v>
      </c>
      <c r="CC11" s="3" t="s">
        <v>834</v>
      </c>
      <c r="CE11" s="2" t="s">
        <v>138</v>
      </c>
      <c r="CF11" t="s">
        <v>142</v>
      </c>
      <c r="CH11" s="2" t="s">
        <v>138</v>
      </c>
      <c r="CI11" t="s">
        <v>142</v>
      </c>
    </row>
    <row r="12" spans="1:87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22"/>
        <v>1.3</v>
      </c>
      <c r="N12" s="2">
        <f t="shared" si="23"/>
        <v>1.5</v>
      </c>
      <c r="O12" s="2">
        <v>10</v>
      </c>
      <c r="P12" s="2">
        <f t="shared" si="24"/>
        <v>97.07</v>
      </c>
      <c r="Q12" s="2">
        <f t="shared" si="25"/>
        <v>9.7100000000000009</v>
      </c>
      <c r="R12" s="2">
        <f t="shared" si="26"/>
        <v>1344</v>
      </c>
      <c r="S12" s="2">
        <f t="shared" si="27"/>
        <v>134.4</v>
      </c>
      <c r="T12" s="2">
        <f t="shared" si="28"/>
        <v>32.36</v>
      </c>
      <c r="U12" s="2">
        <f t="shared" si="29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816</v>
      </c>
      <c r="AC12" s="12" t="s">
        <v>817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30"/>
        <v>38.523382799518714</v>
      </c>
      <c r="AL12">
        <v>9</v>
      </c>
      <c r="AM12">
        <f t="shared" si="9"/>
        <v>97.066666666666677</v>
      </c>
      <c r="AN12">
        <f t="shared" si="10"/>
        <v>9.7066666666666688</v>
      </c>
      <c r="AO12">
        <f t="shared" si="11"/>
        <v>1344</v>
      </c>
      <c r="AP12">
        <f t="shared" si="12"/>
        <v>134.4</v>
      </c>
      <c r="AQ12">
        <f t="shared" si="3"/>
        <v>32.355555555555561</v>
      </c>
      <c r="AR12">
        <f t="shared" si="31"/>
        <v>3.2355555555555564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BC12" s="20">
        <v>2014</v>
      </c>
      <c r="BD12" s="59"/>
      <c r="BE12" s="20">
        <v>0.8</v>
      </c>
      <c r="BF12" s="20">
        <f t="shared" si="19"/>
        <v>1.25</v>
      </c>
      <c r="BG12" s="22">
        <v>2.6</v>
      </c>
      <c r="BH12" s="23">
        <v>1.8</v>
      </c>
      <c r="BI12" s="25">
        <f t="shared" si="20"/>
        <v>76.8</v>
      </c>
      <c r="BJ12" s="25">
        <f t="shared" si="13"/>
        <v>1200</v>
      </c>
      <c r="BK12" s="25">
        <f t="shared" si="32"/>
        <v>29.538461538461537</v>
      </c>
      <c r="BL12">
        <v>3</v>
      </c>
      <c r="BM12">
        <f t="shared" si="33"/>
        <v>42.666666666666664</v>
      </c>
      <c r="BN12">
        <f t="shared" si="34"/>
        <v>1.6666666666666667</v>
      </c>
      <c r="BO12" s="20">
        <v>50</v>
      </c>
      <c r="BP12">
        <f t="shared" si="35"/>
        <v>1.6</v>
      </c>
      <c r="BQ12" s="20">
        <v>48</v>
      </c>
      <c r="BR12" s="2">
        <v>1.8</v>
      </c>
      <c r="BS12">
        <v>1.1000000000000001</v>
      </c>
      <c r="BT12" s="26">
        <f t="shared" si="18"/>
        <v>0.90909090909090906</v>
      </c>
      <c r="BU12">
        <f t="shared" si="21"/>
        <v>83.2</v>
      </c>
      <c r="CA12" s="8" t="s">
        <v>500</v>
      </c>
      <c r="CB12" s="3" t="s">
        <v>835</v>
      </c>
      <c r="CC12" s="3" t="s">
        <v>836</v>
      </c>
      <c r="CE12" s="2" t="s">
        <v>143</v>
      </c>
      <c r="CF12" t="s">
        <v>147</v>
      </c>
      <c r="CH12" s="2" t="s">
        <v>143</v>
      </c>
      <c r="CI12" t="s">
        <v>147</v>
      </c>
    </row>
    <row r="13" spans="1:87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22"/>
        <v>1.3</v>
      </c>
      <c r="N13" s="2">
        <f t="shared" si="23"/>
        <v>1.5</v>
      </c>
      <c r="O13" s="2">
        <v>10</v>
      </c>
      <c r="P13" s="2">
        <f t="shared" si="24"/>
        <v>97.07</v>
      </c>
      <c r="Q13" s="2">
        <f t="shared" si="25"/>
        <v>9.7100000000000009</v>
      </c>
      <c r="R13" s="2">
        <f t="shared" si="26"/>
        <v>1344</v>
      </c>
      <c r="S13" s="2">
        <f t="shared" si="27"/>
        <v>134.4</v>
      </c>
      <c r="T13" s="2">
        <f t="shared" si="28"/>
        <v>32.36</v>
      </c>
      <c r="U13" s="2">
        <f t="shared" si="29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816</v>
      </c>
      <c r="AC13" s="12" t="s">
        <v>817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30"/>
        <v>38.523382799518714</v>
      </c>
      <c r="AL13">
        <v>10</v>
      </c>
      <c r="AM13">
        <f t="shared" si="9"/>
        <v>97.066666666666677</v>
      </c>
      <c r="AN13">
        <f t="shared" si="10"/>
        <v>9.7066666666666688</v>
      </c>
      <c r="AO13">
        <f t="shared" si="11"/>
        <v>1344</v>
      </c>
      <c r="AP13">
        <f t="shared" si="12"/>
        <v>134.4</v>
      </c>
      <c r="AQ13">
        <f t="shared" si="3"/>
        <v>32.355555555555561</v>
      </c>
      <c r="AR13">
        <f t="shared" si="31"/>
        <v>3.2355555555555564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BC13" s="20">
        <v>2021</v>
      </c>
      <c r="BD13" s="59" t="s">
        <v>354</v>
      </c>
      <c r="BE13" s="20">
        <v>0.8</v>
      </c>
      <c r="BF13" s="20">
        <f t="shared" si="19"/>
        <v>1.25</v>
      </c>
      <c r="BG13" s="22">
        <v>4</v>
      </c>
      <c r="BH13" s="23">
        <v>1.8</v>
      </c>
      <c r="BI13" s="25">
        <f t="shared" si="20"/>
        <v>76.8</v>
      </c>
      <c r="BJ13" s="25">
        <f t="shared" si="13"/>
        <v>1200</v>
      </c>
      <c r="BK13" s="25">
        <f t="shared" si="32"/>
        <v>19.2</v>
      </c>
      <c r="BL13">
        <v>3</v>
      </c>
      <c r="BM13">
        <f t="shared" si="33"/>
        <v>42.666666666666664</v>
      </c>
      <c r="BN13">
        <f t="shared" si="34"/>
        <v>1.6666666666666667</v>
      </c>
      <c r="BO13" s="20">
        <v>50</v>
      </c>
      <c r="BP13">
        <f t="shared" si="35"/>
        <v>2</v>
      </c>
      <c r="BQ13" s="20">
        <v>60</v>
      </c>
      <c r="BR13" s="2">
        <v>1.8</v>
      </c>
      <c r="BS13">
        <v>1.1000000000000001</v>
      </c>
      <c r="BT13" s="26">
        <f t="shared" si="18"/>
        <v>0.90909090909090906</v>
      </c>
      <c r="BU13">
        <f t="shared" si="21"/>
        <v>83.2</v>
      </c>
      <c r="CA13" s="8" t="s">
        <v>504</v>
      </c>
      <c r="CB13" s="3" t="s">
        <v>837</v>
      </c>
      <c r="CC13" s="3" t="s">
        <v>838</v>
      </c>
      <c r="CE13" s="2" t="s">
        <v>148</v>
      </c>
      <c r="CF13" t="s">
        <v>152</v>
      </c>
      <c r="CH13" s="2" t="s">
        <v>148</v>
      </c>
      <c r="CI13" t="s">
        <v>152</v>
      </c>
    </row>
    <row r="14" spans="1:87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22"/>
        <v>1.3</v>
      </c>
      <c r="N14" s="2">
        <f t="shared" si="23"/>
        <v>1.5</v>
      </c>
      <c r="O14" s="2">
        <v>10</v>
      </c>
      <c r="P14" s="2">
        <f t="shared" si="24"/>
        <v>97.07</v>
      </c>
      <c r="Q14" s="2">
        <f t="shared" si="25"/>
        <v>9.7100000000000009</v>
      </c>
      <c r="R14" s="2">
        <f t="shared" si="26"/>
        <v>1344</v>
      </c>
      <c r="S14" s="2">
        <f t="shared" si="27"/>
        <v>134.4</v>
      </c>
      <c r="T14" s="2">
        <f t="shared" si="28"/>
        <v>32.36</v>
      </c>
      <c r="U14" s="2">
        <f t="shared" si="29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816</v>
      </c>
      <c r="AC14" s="12" t="s">
        <v>817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30"/>
        <v>38.523382799518714</v>
      </c>
      <c r="AL14">
        <v>11</v>
      </c>
      <c r="AM14">
        <f t="shared" si="9"/>
        <v>97.066666666666677</v>
      </c>
      <c r="AN14">
        <f t="shared" si="10"/>
        <v>9.7066666666666688</v>
      </c>
      <c r="AO14">
        <f t="shared" si="11"/>
        <v>1344</v>
      </c>
      <c r="AP14">
        <f t="shared" si="12"/>
        <v>134.4</v>
      </c>
      <c r="AQ14">
        <f t="shared" si="3"/>
        <v>32.355555555555561</v>
      </c>
      <c r="AR14">
        <f t="shared" si="31"/>
        <v>3.2355555555555564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BC14" s="20">
        <v>2022</v>
      </c>
      <c r="BD14" s="59"/>
      <c r="BE14" s="20">
        <v>1.1499999999999999</v>
      </c>
      <c r="BF14" s="20">
        <f t="shared" si="19"/>
        <v>0.86956521739130443</v>
      </c>
      <c r="BG14" s="22">
        <v>5</v>
      </c>
      <c r="BH14" s="23">
        <v>1.8</v>
      </c>
      <c r="BI14" s="25">
        <f t="shared" si="20"/>
        <v>110.39999999999999</v>
      </c>
      <c r="BJ14" s="25">
        <f t="shared" si="13"/>
        <v>834.78260869565224</v>
      </c>
      <c r="BK14" s="25">
        <f t="shared" si="32"/>
        <v>22.08</v>
      </c>
      <c r="BL14">
        <v>3</v>
      </c>
      <c r="BM14">
        <f t="shared" si="33"/>
        <v>61.333333333333329</v>
      </c>
      <c r="BN14">
        <f t="shared" si="34"/>
        <v>1.6666666666666667</v>
      </c>
      <c r="BO14" s="20">
        <v>50</v>
      </c>
      <c r="BP14">
        <f t="shared" si="35"/>
        <v>2</v>
      </c>
      <c r="BQ14" s="20">
        <v>60</v>
      </c>
      <c r="BR14" s="2">
        <v>1.8</v>
      </c>
      <c r="BS14">
        <v>1.1000000000000001</v>
      </c>
      <c r="BT14" s="26">
        <f t="shared" si="18"/>
        <v>0.90909090909090906</v>
      </c>
      <c r="BU14">
        <f t="shared" si="21"/>
        <v>119.6</v>
      </c>
      <c r="CA14" s="8" t="s">
        <v>509</v>
      </c>
      <c r="CB14" s="3" t="s">
        <v>136</v>
      </c>
      <c r="CC14" s="3" t="s">
        <v>839</v>
      </c>
      <c r="CE14" s="2" t="s">
        <v>153</v>
      </c>
      <c r="CF14" t="s">
        <v>156</v>
      </c>
      <c r="CH14" s="2" t="s">
        <v>153</v>
      </c>
      <c r="CI14" t="s">
        <v>156</v>
      </c>
    </row>
    <row r="15" spans="1:87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22"/>
        <v>1.3</v>
      </c>
      <c r="N15" s="2">
        <f t="shared" si="23"/>
        <v>1.5</v>
      </c>
      <c r="O15" s="2">
        <v>10</v>
      </c>
      <c r="P15" s="2">
        <f t="shared" si="24"/>
        <v>97.07</v>
      </c>
      <c r="Q15" s="2">
        <f t="shared" si="25"/>
        <v>9.7100000000000009</v>
      </c>
      <c r="R15" s="2">
        <f t="shared" si="26"/>
        <v>1344</v>
      </c>
      <c r="S15" s="2">
        <f t="shared" si="27"/>
        <v>134.4</v>
      </c>
      <c r="T15" s="2">
        <f t="shared" si="28"/>
        <v>32.36</v>
      </c>
      <c r="U15" s="2">
        <f t="shared" si="29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816</v>
      </c>
      <c r="AC15" s="12" t="s">
        <v>817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30"/>
        <v>38.523382799518714</v>
      </c>
      <c r="AL15">
        <v>12</v>
      </c>
      <c r="AM15">
        <f t="shared" si="9"/>
        <v>97.066666666666677</v>
      </c>
      <c r="AN15">
        <f t="shared" si="10"/>
        <v>9.7066666666666688</v>
      </c>
      <c r="AO15">
        <f t="shared" si="11"/>
        <v>1344</v>
      </c>
      <c r="AP15">
        <f t="shared" si="12"/>
        <v>134.4</v>
      </c>
      <c r="AQ15">
        <f t="shared" si="3"/>
        <v>32.355555555555561</v>
      </c>
      <c r="AR15">
        <f t="shared" si="31"/>
        <v>3.2355555555555564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BC15" s="20">
        <v>2023</v>
      </c>
      <c r="BD15" s="59"/>
      <c r="BE15" s="20">
        <v>0.9</v>
      </c>
      <c r="BF15" s="20">
        <f t="shared" si="19"/>
        <v>1.1111111111111112</v>
      </c>
      <c r="BG15" s="22">
        <v>3</v>
      </c>
      <c r="BH15" s="23">
        <v>1.8</v>
      </c>
      <c r="BI15" s="25">
        <f t="shared" si="20"/>
        <v>86.399999999999991</v>
      </c>
      <c r="BJ15" s="25">
        <f t="shared" si="13"/>
        <v>1066.6666666666667</v>
      </c>
      <c r="BK15" s="25">
        <f t="shared" si="32"/>
        <v>28.799999999999997</v>
      </c>
      <c r="BL15">
        <v>3</v>
      </c>
      <c r="BM15">
        <f t="shared" si="33"/>
        <v>47.999999999999993</v>
      </c>
      <c r="BN15">
        <f t="shared" si="34"/>
        <v>1.6666666666666667</v>
      </c>
      <c r="BO15" s="20">
        <v>50</v>
      </c>
      <c r="BP15">
        <f t="shared" si="35"/>
        <v>2</v>
      </c>
      <c r="BQ15" s="20">
        <v>60</v>
      </c>
      <c r="BR15" s="2">
        <v>1.5</v>
      </c>
      <c r="BS15">
        <v>1.2</v>
      </c>
      <c r="BT15" s="26">
        <f t="shared" si="18"/>
        <v>0.83333333333333337</v>
      </c>
      <c r="BU15">
        <f t="shared" si="21"/>
        <v>93.600000000000009</v>
      </c>
      <c r="CA15" s="8" t="s">
        <v>514</v>
      </c>
      <c r="CB15" s="3" t="s">
        <v>840</v>
      </c>
      <c r="CC15" s="3" t="s">
        <v>841</v>
      </c>
      <c r="CE15" s="2" t="s">
        <v>157</v>
      </c>
      <c r="CF15" t="s">
        <v>160</v>
      </c>
      <c r="CH15" s="2" t="s">
        <v>157</v>
      </c>
      <c r="CI15" t="s">
        <v>160</v>
      </c>
    </row>
    <row r="16" spans="1:87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22"/>
        <v>1.3</v>
      </c>
      <c r="N16" s="2">
        <f t="shared" si="23"/>
        <v>1.5</v>
      </c>
      <c r="O16" s="2">
        <v>10</v>
      </c>
      <c r="P16" s="2">
        <f t="shared" si="24"/>
        <v>97.07</v>
      </c>
      <c r="Q16" s="2">
        <f t="shared" si="25"/>
        <v>9.7100000000000009</v>
      </c>
      <c r="R16" s="2">
        <f t="shared" si="26"/>
        <v>1344</v>
      </c>
      <c r="S16" s="2">
        <f t="shared" si="27"/>
        <v>134.4</v>
      </c>
      <c r="T16" s="2">
        <f t="shared" si="28"/>
        <v>32.36</v>
      </c>
      <c r="U16" s="2">
        <f t="shared" si="29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816</v>
      </c>
      <c r="AC16" s="12" t="s">
        <v>817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30"/>
        <v>38.523382799518714</v>
      </c>
      <c r="AL16">
        <v>13</v>
      </c>
      <c r="AM16">
        <f t="shared" si="9"/>
        <v>97.066666666666677</v>
      </c>
      <c r="AN16">
        <f t="shared" si="10"/>
        <v>9.7066666666666688</v>
      </c>
      <c r="AO16">
        <f t="shared" si="11"/>
        <v>1344</v>
      </c>
      <c r="AP16">
        <f t="shared" si="12"/>
        <v>134.4</v>
      </c>
      <c r="AQ16">
        <f t="shared" si="3"/>
        <v>32.355555555555561</v>
      </c>
      <c r="AR16">
        <f t="shared" si="31"/>
        <v>3.2355555555555564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BC16" s="20">
        <v>2023</v>
      </c>
      <c r="BD16" s="59"/>
      <c r="BE16" s="20">
        <v>0.9</v>
      </c>
      <c r="BF16" s="20">
        <f t="shared" si="19"/>
        <v>1.1111111111111112</v>
      </c>
      <c r="BG16" s="22">
        <v>3</v>
      </c>
      <c r="BH16" s="23">
        <v>1.8</v>
      </c>
      <c r="BI16" s="25">
        <f t="shared" si="20"/>
        <v>86.399999999999991</v>
      </c>
      <c r="BJ16" s="25">
        <f t="shared" si="13"/>
        <v>1066.6666666666667</v>
      </c>
      <c r="BK16" s="25">
        <f t="shared" si="32"/>
        <v>28.799999999999997</v>
      </c>
      <c r="BL16">
        <v>3</v>
      </c>
      <c r="BM16">
        <f t="shared" si="33"/>
        <v>47.999999999999993</v>
      </c>
      <c r="BN16">
        <f t="shared" si="34"/>
        <v>1.6666666666666667</v>
      </c>
      <c r="BO16" s="20">
        <v>50</v>
      </c>
      <c r="BP16">
        <f t="shared" si="35"/>
        <v>2</v>
      </c>
      <c r="BQ16" s="20">
        <v>60</v>
      </c>
      <c r="BR16" s="2">
        <v>1.5</v>
      </c>
      <c r="BS16">
        <v>1.2</v>
      </c>
      <c r="BT16" s="26">
        <f t="shared" si="18"/>
        <v>0.83333333333333337</v>
      </c>
      <c r="BU16">
        <f t="shared" si="21"/>
        <v>93.600000000000009</v>
      </c>
      <c r="CA16" s="8" t="s">
        <v>518</v>
      </c>
      <c r="CB16" s="3" t="s">
        <v>842</v>
      </c>
      <c r="CC16" s="3" t="s">
        <v>843</v>
      </c>
      <c r="CE16" s="2" t="s">
        <v>157</v>
      </c>
      <c r="CF16" t="s">
        <v>160</v>
      </c>
      <c r="CH16" s="2" t="s">
        <v>157</v>
      </c>
      <c r="CI16" t="s">
        <v>160</v>
      </c>
    </row>
    <row r="17" spans="1:87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22"/>
        <v>1.3</v>
      </c>
      <c r="N17" s="2">
        <f t="shared" si="23"/>
        <v>1.5</v>
      </c>
      <c r="O17" s="2">
        <v>10</v>
      </c>
      <c r="P17" s="2">
        <f t="shared" si="24"/>
        <v>97.07</v>
      </c>
      <c r="Q17" s="2">
        <f t="shared" si="25"/>
        <v>9.7100000000000009</v>
      </c>
      <c r="R17" s="2">
        <f t="shared" si="26"/>
        <v>1344</v>
      </c>
      <c r="S17" s="2">
        <f t="shared" si="27"/>
        <v>134.4</v>
      </c>
      <c r="T17" s="2">
        <f t="shared" si="28"/>
        <v>32.36</v>
      </c>
      <c r="U17" s="2">
        <f t="shared" si="29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816</v>
      </c>
      <c r="AC17" s="12" t="s">
        <v>817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30"/>
        <v>38.523382799518714</v>
      </c>
      <c r="AL17">
        <v>13</v>
      </c>
      <c r="AM17">
        <f t="shared" si="9"/>
        <v>97.066666666666677</v>
      </c>
      <c r="AN17">
        <f t="shared" si="10"/>
        <v>9.7066666666666688</v>
      </c>
      <c r="AO17">
        <f t="shared" si="11"/>
        <v>1344</v>
      </c>
      <c r="AP17">
        <f t="shared" si="12"/>
        <v>134.4</v>
      </c>
      <c r="AQ17">
        <f t="shared" si="3"/>
        <v>32.355555555555561</v>
      </c>
      <c r="AR17">
        <f t="shared" si="31"/>
        <v>3.2355555555555564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BC17" s="20">
        <v>2023</v>
      </c>
      <c r="BD17" s="59"/>
      <c r="BE17" s="20">
        <v>0.9</v>
      </c>
      <c r="BF17" s="20">
        <f t="shared" si="19"/>
        <v>1.1111111111111112</v>
      </c>
      <c r="BG17" s="22">
        <v>3</v>
      </c>
      <c r="BH17" s="23">
        <v>1.8</v>
      </c>
      <c r="BI17" s="25">
        <f t="shared" si="20"/>
        <v>86.399999999999991</v>
      </c>
      <c r="BJ17" s="25">
        <f t="shared" si="13"/>
        <v>1066.6666666666667</v>
      </c>
      <c r="BK17" s="25">
        <f t="shared" si="32"/>
        <v>28.799999999999997</v>
      </c>
      <c r="BL17">
        <v>3</v>
      </c>
      <c r="BM17">
        <f t="shared" si="33"/>
        <v>47.999999999999993</v>
      </c>
      <c r="BN17">
        <f t="shared" si="34"/>
        <v>1.6666666666666667</v>
      </c>
      <c r="BO17" s="20">
        <v>50</v>
      </c>
      <c r="BP17">
        <f t="shared" si="35"/>
        <v>2</v>
      </c>
      <c r="BQ17" s="20">
        <v>60</v>
      </c>
      <c r="BR17" s="2">
        <v>1.5</v>
      </c>
      <c r="BS17">
        <v>1.2</v>
      </c>
      <c r="BT17" s="26">
        <f t="shared" si="18"/>
        <v>0.83333333333333337</v>
      </c>
      <c r="BU17">
        <f t="shared" si="21"/>
        <v>93.600000000000009</v>
      </c>
      <c r="CA17" s="8" t="s">
        <v>522</v>
      </c>
      <c r="CB17" s="3" t="s">
        <v>844</v>
      </c>
      <c r="CC17" s="3" t="s">
        <v>845</v>
      </c>
      <c r="CE17" s="2" t="s">
        <v>157</v>
      </c>
      <c r="CF17" t="s">
        <v>160</v>
      </c>
      <c r="CH17" s="2" t="s">
        <v>157</v>
      </c>
      <c r="CI17" t="s">
        <v>160</v>
      </c>
    </row>
    <row r="18" spans="1:87">
      <c r="A18">
        <f t="shared" ref="A18:A51" si="36">AX18*1000000+C18*10000+E18*1000+D18*100+AW18</f>
        <v>1011203</v>
      </c>
      <c r="B18" s="3" t="s">
        <v>235</v>
      </c>
      <c r="C18">
        <v>1</v>
      </c>
      <c r="D18">
        <v>2</v>
      </c>
      <c r="E18">
        <v>1</v>
      </c>
      <c r="F18" s="3" t="s">
        <v>236</v>
      </c>
      <c r="G18" s="4" t="s">
        <v>237</v>
      </c>
      <c r="H18" s="3">
        <v>0</v>
      </c>
      <c r="I18">
        <v>30</v>
      </c>
      <c r="J18">
        <v>0</v>
      </c>
      <c r="K18" s="2">
        <v>0</v>
      </c>
      <c r="L18" s="2">
        <f t="shared" ref="L18:L51" si="37">AU18</f>
        <v>3</v>
      </c>
      <c r="M18" s="2">
        <f t="shared" ref="M18:N47" si="38">FLOOR(AS18/1,0.01)</f>
        <v>1.3</v>
      </c>
      <c r="N18" s="2">
        <f t="shared" ref="N18:N47" si="39">FLOOR(AT18/1,0.01)</f>
        <v>1.9000000000000001</v>
      </c>
      <c r="O18" s="2">
        <v>10</v>
      </c>
      <c r="P18" s="2">
        <f t="shared" ref="P18:U47" si="40">ROUND(AM18*(1+$AY18),2)</f>
        <v>65.87</v>
      </c>
      <c r="Q18" s="2">
        <f t="shared" ref="Q18:Q47" si="41">ROUND(AN18*(1+$AY18),2)</f>
        <v>6.59</v>
      </c>
      <c r="R18" s="2">
        <f t="shared" ref="R18:R47" si="42">ROUND(AO18*(1+$AY18),2)</f>
        <v>1010.53</v>
      </c>
      <c r="S18" s="2">
        <f t="shared" ref="S18:S47" si="43">ROUND(AP18*(1+$AY18),2)</f>
        <v>101.05</v>
      </c>
      <c r="T18" s="2">
        <f t="shared" ref="T18:T47" si="44">ROUND(AQ18*(1+$AY18),2)</f>
        <v>13.17</v>
      </c>
      <c r="U18" s="2">
        <f t="shared" ref="U18:U47" si="45">ROUND(AR18*(1+$AY18),2)</f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3">
        <v>112031</v>
      </c>
      <c r="AB18" s="14">
        <v>0</v>
      </c>
      <c r="AC18" s="12" t="s">
        <v>238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ref="AK18:AK47" si="46">(AO18+AP18*AJ18)*(AM18+AN18*AJ18)/AS18*(0.9)*(1+0.5*0.1)*1/1/(1-(AQ18+AR18*AJ18)*0.0002)/3000</f>
        <v>19.571601109562319</v>
      </c>
      <c r="AL18">
        <v>1</v>
      </c>
      <c r="AM18">
        <f t="shared" ref="AM18:AM32" si="47">INDEX($BE$5:$BE$58,MATCH($AV18,$BC$5:$BC$58,0))*$AS18/1.5*$BI$4*INDEX($BE$109:$BR$109,MATCH($AL18,$BE$108:$BR$108,0))</f>
        <v>65.86666666666666</v>
      </c>
      <c r="AN18">
        <f t="shared" ref="AN18:AN32" si="48">(INDEX($BE$5:$BE$58,MATCH($AV18,$BC$5:$BC$58,0))*$AS18/1.5*$BI$4*INDEX($BE$109:$BR$109,MATCH($AL18,$BE$108:$BR$108,0)))*0.1</f>
        <v>6.586666666666666</v>
      </c>
      <c r="AO18">
        <f t="shared" ref="AO18:AO32" si="49">INDEX($BF$5:$BF$58,MATCH($AV18,$BC$5:$BC$58,0))*$BJ$4*INDEX($BE$109:$BR$109,MATCH($AL18,$BE$108:$BR$108,0))</f>
        <v>1010.5263157894736</v>
      </c>
      <c r="AP18">
        <f t="shared" ref="AP18:AP32" si="50">(INDEX($BF$5:$BF$58,MATCH($AV18,$BC$5:$BC$58,0))*$BJ$4*INDEX($BE$109:$BR$109,MATCH($AL18,$BE$108:$BR$108,0)))*0.1</f>
        <v>101.05263157894737</v>
      </c>
      <c r="AQ18">
        <f t="shared" ref="AQ18:AQ32" si="51">$AM18/INDEX($BG$5:$BG$58,MATCH($AV18,$BC$5:$BC$58,0))</f>
        <v>13.173333333333332</v>
      </c>
      <c r="AR18">
        <f t="shared" ref="AR18:AR32" si="52">AQ18*0.1</f>
        <v>1.3173333333333332</v>
      </c>
      <c r="AS18">
        <f t="shared" ref="AS18:AS32" si="53">INDEX($BH$5:$BH$58,MATCH($AV18,$BC$5:$BC$58,0))</f>
        <v>1.3</v>
      </c>
      <c r="AT18">
        <f t="shared" ref="AT18:AT32" si="54">ROUND(IF(INDEX($BP$5:$BP$58,MATCH($AV18,$BC$5:$BC$58,0))&lt;2,INDEX($BP$5:$BP$58,MATCH($AV18,$BC$5:$BC$58,0))+0.2,2),1)</f>
        <v>1.9</v>
      </c>
      <c r="AU18">
        <f t="shared" ref="AU18:AU32" si="55">INDEX($BL$5:$BL$58,MATCH($AV18,$BC$5:$BC$58,0))</f>
        <v>3</v>
      </c>
      <c r="AV18">
        <v>203</v>
      </c>
      <c r="AW18" s="1">
        <v>3</v>
      </c>
      <c r="AX18">
        <v>1</v>
      </c>
      <c r="AY18">
        <v>0</v>
      </c>
      <c r="BA18">
        <v>2</v>
      </c>
      <c r="BB18">
        <v>1</v>
      </c>
      <c r="BC18" s="20">
        <v>2025</v>
      </c>
      <c r="BD18" s="59"/>
      <c r="BE18" s="20">
        <v>0.9</v>
      </c>
      <c r="BF18" s="20">
        <f t="shared" si="19"/>
        <v>1.1111111111111112</v>
      </c>
      <c r="BG18" s="22">
        <v>3</v>
      </c>
      <c r="BH18" s="23">
        <v>1.8</v>
      </c>
      <c r="BI18" s="25">
        <f t="shared" ref="BI18:BI44" si="56">BE18*$BI$4*BH18/1.5</f>
        <v>86.399999999999991</v>
      </c>
      <c r="BJ18" s="25">
        <f t="shared" ref="BJ18:BJ44" si="57">BF18*$BJ$4</f>
        <v>1066.6666666666667</v>
      </c>
      <c r="BK18" s="25">
        <f t="shared" ref="BK18:BK44" si="58">BI18/BG18</f>
        <v>28.799999999999997</v>
      </c>
      <c r="BL18">
        <v>3</v>
      </c>
      <c r="BM18">
        <f t="shared" ref="BM18:BM40" si="59">BI18/BH18</f>
        <v>47.999999999999993</v>
      </c>
      <c r="BN18">
        <f t="shared" ref="BN18:BN40" si="60">BO18/30</f>
        <v>1.6666666666666667</v>
      </c>
      <c r="BO18" s="20">
        <v>50</v>
      </c>
      <c r="BP18">
        <f t="shared" ref="BP18:BP44" si="61">BQ18/30</f>
        <v>2</v>
      </c>
      <c r="BQ18" s="20">
        <v>60</v>
      </c>
      <c r="BR18" s="2">
        <v>1.5</v>
      </c>
      <c r="BS18">
        <v>1.2</v>
      </c>
      <c r="BT18" s="26">
        <f t="shared" si="18"/>
        <v>0.83333333333333337</v>
      </c>
      <c r="BU18">
        <f t="shared" si="21"/>
        <v>93.600000000000009</v>
      </c>
      <c r="CA18" s="8" t="s">
        <v>526</v>
      </c>
      <c r="CB18" s="3" t="s">
        <v>846</v>
      </c>
      <c r="CC18" s="3" t="s">
        <v>847</v>
      </c>
      <c r="CE18" s="2" t="s">
        <v>245</v>
      </c>
      <c r="CF18" s="3" t="s">
        <v>246</v>
      </c>
      <c r="CH18" t="str">
        <f>INDEX($CE$18:$CE$59,MATCH($CI18,$CF$18:$CF$59,0))</f>
        <v>DATA_Class_Base7</v>
      </c>
      <c r="CI18" s="3" t="s">
        <v>205</v>
      </c>
    </row>
    <row r="19" spans="1:87">
      <c r="A19">
        <f t="shared" si="36"/>
        <v>1011403</v>
      </c>
      <c r="B19" s="3" t="s">
        <v>239</v>
      </c>
      <c r="C19">
        <v>1</v>
      </c>
      <c r="D19">
        <v>4</v>
      </c>
      <c r="E19">
        <v>1</v>
      </c>
      <c r="F19" s="3" t="s">
        <v>240</v>
      </c>
      <c r="G19" s="4" t="s">
        <v>241</v>
      </c>
      <c r="H19" s="3">
        <v>-15</v>
      </c>
      <c r="I19">
        <v>30</v>
      </c>
      <c r="J19" s="2">
        <v>0</v>
      </c>
      <c r="K19" s="2" t="s">
        <v>161</v>
      </c>
      <c r="L19" s="2">
        <f t="shared" si="37"/>
        <v>6</v>
      </c>
      <c r="M19" s="2">
        <f t="shared" si="38"/>
        <v>1.3</v>
      </c>
      <c r="N19" s="2">
        <f t="shared" si="39"/>
        <v>1.9000000000000001</v>
      </c>
      <c r="O19" s="2">
        <v>10</v>
      </c>
      <c r="P19" s="2">
        <f t="shared" si="40"/>
        <v>83.2</v>
      </c>
      <c r="Q19" s="2">
        <f t="shared" si="41"/>
        <v>8.32</v>
      </c>
      <c r="R19" s="2">
        <f t="shared" si="42"/>
        <v>800</v>
      </c>
      <c r="S19" s="2">
        <f t="shared" si="43"/>
        <v>80</v>
      </c>
      <c r="T19" s="2">
        <f t="shared" si="44"/>
        <v>8.32</v>
      </c>
      <c r="U19" s="2">
        <f t="shared" si="45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3">
        <v>114031</v>
      </c>
      <c r="AB19" s="14">
        <v>0</v>
      </c>
      <c r="AC19" s="12" t="s">
        <v>238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46"/>
        <v>19.550665538201127</v>
      </c>
      <c r="AL19">
        <v>1</v>
      </c>
      <c r="AM19">
        <f t="shared" si="47"/>
        <v>83.2</v>
      </c>
      <c r="AN19">
        <f t="shared" si="48"/>
        <v>8.32</v>
      </c>
      <c r="AO19">
        <f t="shared" si="49"/>
        <v>800</v>
      </c>
      <c r="AP19">
        <f t="shared" si="50"/>
        <v>80</v>
      </c>
      <c r="AQ19">
        <f t="shared" si="51"/>
        <v>8.32</v>
      </c>
      <c r="AR19">
        <f t="shared" si="52"/>
        <v>0.83200000000000007</v>
      </c>
      <c r="AS19">
        <f t="shared" si="53"/>
        <v>1.3</v>
      </c>
      <c r="AT19">
        <f t="shared" si="54"/>
        <v>1.9</v>
      </c>
      <c r="AU19">
        <f t="shared" si="55"/>
        <v>6</v>
      </c>
      <c r="AV19">
        <v>403</v>
      </c>
      <c r="AW19" s="1">
        <v>3</v>
      </c>
      <c r="AX19">
        <v>1</v>
      </c>
      <c r="AY19">
        <v>0</v>
      </c>
      <c r="BA19">
        <v>4</v>
      </c>
      <c r="BB19">
        <v>1</v>
      </c>
      <c r="BC19" s="23">
        <v>3005</v>
      </c>
      <c r="BD19" s="21" t="s">
        <v>360</v>
      </c>
      <c r="BE19" s="20">
        <v>1.1499999999999999</v>
      </c>
      <c r="BF19" s="20">
        <f t="shared" si="19"/>
        <v>0.86956521739130443</v>
      </c>
      <c r="BG19" s="22">
        <v>8</v>
      </c>
      <c r="BH19" s="23">
        <v>1.3</v>
      </c>
      <c r="BI19" s="25">
        <f t="shared" si="56"/>
        <v>79.733333333333334</v>
      </c>
      <c r="BJ19" s="25">
        <f t="shared" si="57"/>
        <v>834.78260869565224</v>
      </c>
      <c r="BK19" s="25">
        <f t="shared" si="58"/>
        <v>9.9666666666666668</v>
      </c>
      <c r="BL19">
        <v>3</v>
      </c>
      <c r="BM19">
        <f t="shared" si="59"/>
        <v>61.333333333333329</v>
      </c>
      <c r="BN19">
        <f t="shared" si="60"/>
        <v>1</v>
      </c>
      <c r="BO19" s="20">
        <v>30</v>
      </c>
      <c r="BP19">
        <f t="shared" si="61"/>
        <v>2.5</v>
      </c>
      <c r="BQ19" s="20">
        <v>75</v>
      </c>
      <c r="BR19" s="2">
        <v>1.2</v>
      </c>
      <c r="BS19">
        <v>1.2</v>
      </c>
      <c r="BT19" s="26">
        <f t="shared" si="18"/>
        <v>0.83333333333333337</v>
      </c>
      <c r="BU19">
        <f t="shared" si="21"/>
        <v>73.599999999999994</v>
      </c>
      <c r="CA19" s="8" t="s">
        <v>530</v>
      </c>
      <c r="CB19" s="3" t="s">
        <v>848</v>
      </c>
      <c r="CC19" s="3" t="s">
        <v>849</v>
      </c>
      <c r="CE19" s="2" t="s">
        <v>251</v>
      </c>
      <c r="CF19" s="3" t="s">
        <v>252</v>
      </c>
      <c r="CH19" t="str">
        <f t="shared" ref="CH19:CH82" si="62">INDEX($CE$18:$CE$59,MATCH($CI19,$CF$18:$CF$59,0))</f>
        <v>DATA_Class_Base8</v>
      </c>
      <c r="CI19" s="3" t="s">
        <v>216</v>
      </c>
    </row>
    <row r="20" spans="1:87">
      <c r="A20">
        <f t="shared" si="36"/>
        <v>1012205</v>
      </c>
      <c r="B20" s="3" t="s">
        <v>242</v>
      </c>
      <c r="C20">
        <v>1</v>
      </c>
      <c r="D20">
        <v>2</v>
      </c>
      <c r="E20">
        <v>2</v>
      </c>
      <c r="F20" s="3" t="s">
        <v>243</v>
      </c>
      <c r="G20" s="4" t="s">
        <v>244</v>
      </c>
      <c r="H20" s="3">
        <v>-15</v>
      </c>
      <c r="I20">
        <v>30</v>
      </c>
      <c r="J20">
        <v>0</v>
      </c>
      <c r="K20" s="2">
        <v>0</v>
      </c>
      <c r="L20" s="2">
        <f t="shared" si="37"/>
        <v>3</v>
      </c>
      <c r="M20" s="2">
        <f t="shared" si="38"/>
        <v>1.8</v>
      </c>
      <c r="N20" s="2">
        <f t="shared" si="39"/>
        <v>2</v>
      </c>
      <c r="O20" s="2">
        <v>10</v>
      </c>
      <c r="P20" s="2">
        <f t="shared" si="40"/>
        <v>100.8</v>
      </c>
      <c r="Q20" s="2">
        <f t="shared" si="41"/>
        <v>10.08</v>
      </c>
      <c r="R20" s="2">
        <f t="shared" si="42"/>
        <v>914.29</v>
      </c>
      <c r="S20" s="2">
        <f t="shared" si="43"/>
        <v>91.43</v>
      </c>
      <c r="T20" s="2">
        <f t="shared" si="44"/>
        <v>20.16</v>
      </c>
      <c r="U20" s="2">
        <f t="shared" si="45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3">
        <v>122051</v>
      </c>
      <c r="AB20" s="14">
        <v>0</v>
      </c>
      <c r="AC20" s="12" t="s">
        <v>238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46"/>
        <v>19.601817983118728</v>
      </c>
      <c r="AL20">
        <v>1</v>
      </c>
      <c r="AM20">
        <f t="shared" si="47"/>
        <v>100.8</v>
      </c>
      <c r="AN20">
        <f t="shared" si="48"/>
        <v>10.08</v>
      </c>
      <c r="AO20">
        <f t="shared" si="49"/>
        <v>914.28571428571422</v>
      </c>
      <c r="AP20">
        <f t="shared" si="50"/>
        <v>91.428571428571431</v>
      </c>
      <c r="AQ20">
        <f t="shared" si="51"/>
        <v>20.16</v>
      </c>
      <c r="AR20">
        <f t="shared" si="52"/>
        <v>2.016</v>
      </c>
      <c r="AS20">
        <f t="shared" si="53"/>
        <v>1.8</v>
      </c>
      <c r="AT20">
        <f t="shared" si="54"/>
        <v>2</v>
      </c>
      <c r="AU20">
        <f t="shared" si="55"/>
        <v>3</v>
      </c>
      <c r="AV20">
        <v>205</v>
      </c>
      <c r="AW20" s="1">
        <v>5</v>
      </c>
      <c r="AX20">
        <v>1</v>
      </c>
      <c r="AY20">
        <v>0</v>
      </c>
      <c r="BA20">
        <v>2</v>
      </c>
      <c r="BB20">
        <v>2</v>
      </c>
      <c r="BC20" s="20">
        <v>3011</v>
      </c>
      <c r="BD20" s="59" t="s">
        <v>165</v>
      </c>
      <c r="BE20" s="20">
        <v>1.1000000000000001</v>
      </c>
      <c r="BF20" s="20">
        <f t="shared" si="19"/>
        <v>0.90909090909090906</v>
      </c>
      <c r="BG20" s="22">
        <v>6</v>
      </c>
      <c r="BH20" s="23">
        <v>1.2</v>
      </c>
      <c r="BI20" s="25">
        <f t="shared" si="56"/>
        <v>70.399999999999991</v>
      </c>
      <c r="BJ20" s="25">
        <f t="shared" si="57"/>
        <v>872.72727272727275</v>
      </c>
      <c r="BK20" s="25">
        <f t="shared" si="58"/>
        <v>11.733333333333333</v>
      </c>
      <c r="BL20">
        <v>3</v>
      </c>
      <c r="BM20">
        <f t="shared" si="59"/>
        <v>58.666666666666664</v>
      </c>
      <c r="BN20">
        <f t="shared" si="60"/>
        <v>1.2</v>
      </c>
      <c r="BO20" s="20">
        <v>36</v>
      </c>
      <c r="BP20">
        <f t="shared" si="61"/>
        <v>2.5</v>
      </c>
      <c r="BQ20" s="20">
        <v>75</v>
      </c>
      <c r="BR20" s="2">
        <v>1.5</v>
      </c>
      <c r="BS20">
        <v>1</v>
      </c>
      <c r="BT20" s="26">
        <f t="shared" si="18"/>
        <v>1</v>
      </c>
      <c r="BU20">
        <f t="shared" si="21"/>
        <v>61.600000000000009</v>
      </c>
      <c r="CA20" s="8" t="s">
        <v>535</v>
      </c>
      <c r="CB20" s="3" t="s">
        <v>850</v>
      </c>
      <c r="CC20" s="3" t="s">
        <v>851</v>
      </c>
      <c r="CE20" s="2" t="s">
        <v>242</v>
      </c>
      <c r="CF20" t="s">
        <v>209</v>
      </c>
      <c r="CH20" t="str">
        <f t="shared" si="62"/>
        <v>DATA_Class_Base3</v>
      </c>
      <c r="CI20" s="3" t="s">
        <v>209</v>
      </c>
    </row>
    <row r="21" spans="1:87">
      <c r="A21">
        <f t="shared" si="36"/>
        <v>1012405</v>
      </c>
      <c r="B21" s="3" t="s">
        <v>247</v>
      </c>
      <c r="C21">
        <v>1</v>
      </c>
      <c r="D21">
        <v>4</v>
      </c>
      <c r="E21">
        <v>2</v>
      </c>
      <c r="F21" s="3" t="s">
        <v>248</v>
      </c>
      <c r="G21" s="3" t="s">
        <v>249</v>
      </c>
      <c r="H21" s="3">
        <v>0</v>
      </c>
      <c r="I21">
        <v>15</v>
      </c>
      <c r="J21">
        <v>0</v>
      </c>
      <c r="K21" s="2" t="s">
        <v>250</v>
      </c>
      <c r="L21" s="2">
        <f t="shared" si="37"/>
        <v>6</v>
      </c>
      <c r="M21" s="2">
        <f t="shared" si="38"/>
        <v>1.5</v>
      </c>
      <c r="N21" s="2">
        <f t="shared" si="39"/>
        <v>1.5</v>
      </c>
      <c r="O21" s="2">
        <v>10</v>
      </c>
      <c r="P21" s="2">
        <f t="shared" si="40"/>
        <v>100</v>
      </c>
      <c r="Q21" s="2">
        <f t="shared" si="41"/>
        <v>10</v>
      </c>
      <c r="R21" s="2">
        <f t="shared" si="42"/>
        <v>768</v>
      </c>
      <c r="S21" s="2">
        <f t="shared" si="43"/>
        <v>76.8</v>
      </c>
      <c r="T21" s="2">
        <f t="shared" si="44"/>
        <v>10</v>
      </c>
      <c r="U21" s="2">
        <f t="shared" si="45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3">
        <v>124051</v>
      </c>
      <c r="AB21" s="14">
        <v>0</v>
      </c>
      <c r="AC21" s="12" t="s">
        <v>238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46"/>
        <v>19.557907396271801</v>
      </c>
      <c r="AL21">
        <v>1</v>
      </c>
      <c r="AM21">
        <f t="shared" si="47"/>
        <v>100</v>
      </c>
      <c r="AN21">
        <f t="shared" si="48"/>
        <v>10</v>
      </c>
      <c r="AO21">
        <f t="shared" si="49"/>
        <v>768</v>
      </c>
      <c r="AP21">
        <f t="shared" si="50"/>
        <v>76.800000000000011</v>
      </c>
      <c r="AQ21">
        <f t="shared" si="51"/>
        <v>10</v>
      </c>
      <c r="AR21">
        <f t="shared" si="52"/>
        <v>1</v>
      </c>
      <c r="AS21">
        <f t="shared" si="53"/>
        <v>1.5</v>
      </c>
      <c r="AT21">
        <f t="shared" si="54"/>
        <v>1.5</v>
      </c>
      <c r="AU21">
        <f t="shared" si="55"/>
        <v>6</v>
      </c>
      <c r="AV21">
        <v>405</v>
      </c>
      <c r="AW21" s="1">
        <v>5</v>
      </c>
      <c r="AX21">
        <v>1</v>
      </c>
      <c r="AY21">
        <v>0</v>
      </c>
      <c r="BA21">
        <v>4</v>
      </c>
      <c r="BB21">
        <v>2</v>
      </c>
      <c r="BC21" s="20">
        <v>3012</v>
      </c>
      <c r="BD21" s="59"/>
      <c r="BE21" s="20">
        <v>1.3</v>
      </c>
      <c r="BF21" s="20">
        <f t="shared" si="19"/>
        <v>0.76923076923076916</v>
      </c>
      <c r="BG21" s="22">
        <v>6</v>
      </c>
      <c r="BH21" s="23">
        <v>1.2</v>
      </c>
      <c r="BI21" s="25">
        <f t="shared" si="56"/>
        <v>83.2</v>
      </c>
      <c r="BJ21" s="25">
        <f t="shared" si="57"/>
        <v>738.46153846153834</v>
      </c>
      <c r="BK21" s="25">
        <f t="shared" si="58"/>
        <v>13.866666666666667</v>
      </c>
      <c r="BL21">
        <v>3</v>
      </c>
      <c r="BM21">
        <f t="shared" si="59"/>
        <v>69.333333333333343</v>
      </c>
      <c r="BN21">
        <f t="shared" si="60"/>
        <v>1.2</v>
      </c>
      <c r="BO21" s="20">
        <v>36</v>
      </c>
      <c r="BP21">
        <f t="shared" si="61"/>
        <v>1.5</v>
      </c>
      <c r="BQ21" s="20">
        <v>45</v>
      </c>
      <c r="BR21" s="2">
        <v>1.5</v>
      </c>
      <c r="BS21">
        <v>1</v>
      </c>
      <c r="BT21" s="26">
        <f t="shared" si="18"/>
        <v>1</v>
      </c>
      <c r="BU21">
        <f t="shared" si="21"/>
        <v>72.8</v>
      </c>
      <c r="CA21" s="8" t="s">
        <v>539</v>
      </c>
      <c r="CB21" s="3" t="s">
        <v>852</v>
      </c>
      <c r="CC21" s="3" t="s">
        <v>853</v>
      </c>
      <c r="CE21" s="2" t="s">
        <v>256</v>
      </c>
      <c r="CF21" t="s">
        <v>259</v>
      </c>
      <c r="CH21" t="str">
        <f t="shared" si="62"/>
        <v>DATA_Class_Base11</v>
      </c>
      <c r="CI21" s="3" t="s">
        <v>218</v>
      </c>
    </row>
    <row r="22" spans="1:87">
      <c r="A22">
        <f t="shared" si="36"/>
        <v>1013303</v>
      </c>
      <c r="B22" s="3" t="s">
        <v>253</v>
      </c>
      <c r="C22">
        <v>1</v>
      </c>
      <c r="D22">
        <v>3</v>
      </c>
      <c r="E22">
        <v>3</v>
      </c>
      <c r="F22" s="3" t="s">
        <v>254</v>
      </c>
      <c r="G22" s="3" t="s">
        <v>255</v>
      </c>
      <c r="H22" s="3">
        <v>0</v>
      </c>
      <c r="I22">
        <v>15</v>
      </c>
      <c r="J22" s="2">
        <v>0</v>
      </c>
      <c r="K22" s="2">
        <v>0</v>
      </c>
      <c r="L22" s="2">
        <f t="shared" si="37"/>
        <v>3</v>
      </c>
      <c r="M22" s="2">
        <f t="shared" si="38"/>
        <v>1.3</v>
      </c>
      <c r="N22" s="2">
        <f t="shared" si="39"/>
        <v>1.4000000000000001</v>
      </c>
      <c r="O22" s="2">
        <v>10</v>
      </c>
      <c r="P22" s="2">
        <f t="shared" si="40"/>
        <v>76.27</v>
      </c>
      <c r="Q22" s="2">
        <f t="shared" si="41"/>
        <v>7.63</v>
      </c>
      <c r="R22" s="2">
        <f t="shared" si="42"/>
        <v>872.73</v>
      </c>
      <c r="S22" s="2">
        <f t="shared" si="43"/>
        <v>87.27</v>
      </c>
      <c r="T22" s="2">
        <f t="shared" si="44"/>
        <v>9.5299999999999994</v>
      </c>
      <c r="U22" s="2">
        <f t="shared" si="45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3">
        <v>133031</v>
      </c>
      <c r="AB22" s="14">
        <v>0</v>
      </c>
      <c r="AC22" s="12" t="s">
        <v>238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46"/>
        <v>19.555895230931007</v>
      </c>
      <c r="AL22">
        <v>1</v>
      </c>
      <c r="AM22">
        <f t="shared" si="47"/>
        <v>76.26666666666668</v>
      </c>
      <c r="AN22">
        <f t="shared" si="48"/>
        <v>7.6266666666666687</v>
      </c>
      <c r="AO22">
        <f t="shared" si="49"/>
        <v>872.72727272727275</v>
      </c>
      <c r="AP22">
        <f t="shared" si="50"/>
        <v>87.27272727272728</v>
      </c>
      <c r="AQ22">
        <f t="shared" si="51"/>
        <v>9.533333333333335</v>
      </c>
      <c r="AR22">
        <f t="shared" si="52"/>
        <v>0.95333333333333359</v>
      </c>
      <c r="AS22">
        <f t="shared" si="53"/>
        <v>1.3</v>
      </c>
      <c r="AT22">
        <f t="shared" si="54"/>
        <v>1.4</v>
      </c>
      <c r="AU22">
        <f t="shared" si="55"/>
        <v>3</v>
      </c>
      <c r="AV22">
        <v>303</v>
      </c>
      <c r="AW22" s="1">
        <v>3</v>
      </c>
      <c r="AX22">
        <v>1</v>
      </c>
      <c r="AY22">
        <v>0</v>
      </c>
      <c r="BA22">
        <v>3</v>
      </c>
      <c r="BB22">
        <v>3</v>
      </c>
      <c r="BC22" s="20">
        <v>3013</v>
      </c>
      <c r="BD22" s="59"/>
      <c r="BE22" s="20">
        <v>1.2</v>
      </c>
      <c r="BF22" s="20">
        <f t="shared" si="19"/>
        <v>0.83333333333333337</v>
      </c>
      <c r="BG22" s="22">
        <v>5</v>
      </c>
      <c r="BH22" s="23">
        <v>1.2</v>
      </c>
      <c r="BI22" s="25">
        <f t="shared" si="56"/>
        <v>76.8</v>
      </c>
      <c r="BJ22" s="25">
        <f t="shared" si="57"/>
        <v>800</v>
      </c>
      <c r="BK22" s="25">
        <f t="shared" si="58"/>
        <v>15.36</v>
      </c>
      <c r="BL22">
        <v>3</v>
      </c>
      <c r="BM22">
        <f t="shared" si="59"/>
        <v>64</v>
      </c>
      <c r="BN22">
        <f t="shared" si="60"/>
        <v>1.2</v>
      </c>
      <c r="BO22" s="20">
        <v>36</v>
      </c>
      <c r="BP22">
        <f t="shared" si="61"/>
        <v>1.2333333333333334</v>
      </c>
      <c r="BQ22" s="20">
        <v>37</v>
      </c>
      <c r="BR22">
        <v>1.5</v>
      </c>
      <c r="BS22">
        <v>1</v>
      </c>
      <c r="BT22" s="26">
        <f t="shared" si="18"/>
        <v>1</v>
      </c>
      <c r="BU22">
        <f t="shared" si="21"/>
        <v>67.2</v>
      </c>
      <c r="CA22" s="8" t="s">
        <v>544</v>
      </c>
      <c r="CB22" s="3" t="s">
        <v>374</v>
      </c>
      <c r="CC22" s="3" t="s">
        <v>854</v>
      </c>
      <c r="CE22" s="2" t="s">
        <v>253</v>
      </c>
      <c r="CF22" t="s">
        <v>212</v>
      </c>
      <c r="CH22" t="str">
        <f t="shared" si="62"/>
        <v>DATA_Class_Base5</v>
      </c>
      <c r="CI22" s="3" t="s">
        <v>212</v>
      </c>
    </row>
    <row r="23" spans="1:87">
      <c r="A23">
        <f t="shared" si="36"/>
        <v>1013503</v>
      </c>
      <c r="B23" s="3" t="s">
        <v>256</v>
      </c>
      <c r="C23">
        <v>1</v>
      </c>
      <c r="D23">
        <v>5</v>
      </c>
      <c r="E23">
        <v>3</v>
      </c>
      <c r="F23" s="3" t="s">
        <v>257</v>
      </c>
      <c r="G23" s="3" t="s">
        <v>258</v>
      </c>
      <c r="H23" s="3">
        <v>-30</v>
      </c>
      <c r="I23">
        <v>30</v>
      </c>
      <c r="J23">
        <v>0</v>
      </c>
      <c r="K23" s="2">
        <v>0</v>
      </c>
      <c r="L23" s="2">
        <f t="shared" si="37"/>
        <v>3</v>
      </c>
      <c r="M23" s="2">
        <f t="shared" si="38"/>
        <v>1.6</v>
      </c>
      <c r="N23" s="2">
        <f t="shared" si="39"/>
        <v>1.5</v>
      </c>
      <c r="O23" s="2">
        <v>10</v>
      </c>
      <c r="P23" s="2">
        <f t="shared" si="40"/>
        <v>102.4</v>
      </c>
      <c r="Q23" s="2">
        <f t="shared" si="41"/>
        <v>10.24</v>
      </c>
      <c r="R23" s="2">
        <f t="shared" si="42"/>
        <v>800</v>
      </c>
      <c r="S23" s="2">
        <f t="shared" si="43"/>
        <v>80</v>
      </c>
      <c r="T23" s="2">
        <f t="shared" si="44"/>
        <v>17.07</v>
      </c>
      <c r="U23" s="2">
        <f t="shared" si="45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3">
        <v>135041</v>
      </c>
      <c r="AB23" s="14">
        <v>0</v>
      </c>
      <c r="AC23" s="12" t="s">
        <v>238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46"/>
        <v>19.588428017730578</v>
      </c>
      <c r="AL23">
        <v>1</v>
      </c>
      <c r="AM23">
        <f t="shared" si="47"/>
        <v>102.4</v>
      </c>
      <c r="AN23">
        <f t="shared" si="48"/>
        <v>10.240000000000002</v>
      </c>
      <c r="AO23">
        <f t="shared" si="49"/>
        <v>800</v>
      </c>
      <c r="AP23">
        <f t="shared" si="50"/>
        <v>80</v>
      </c>
      <c r="AQ23">
        <f t="shared" si="51"/>
        <v>17.066666666666666</v>
      </c>
      <c r="AR23">
        <f t="shared" si="52"/>
        <v>1.7066666666666668</v>
      </c>
      <c r="AS23">
        <f t="shared" si="53"/>
        <v>1.6</v>
      </c>
      <c r="AT23">
        <f t="shared" si="54"/>
        <v>1.5</v>
      </c>
      <c r="AU23">
        <f t="shared" si="55"/>
        <v>3</v>
      </c>
      <c r="AV23">
        <v>503</v>
      </c>
      <c r="AW23" s="1">
        <v>3</v>
      </c>
      <c r="AX23">
        <v>1</v>
      </c>
      <c r="AY23">
        <v>0</v>
      </c>
      <c r="BA23">
        <v>5</v>
      </c>
      <c r="BB23">
        <v>3</v>
      </c>
      <c r="BC23" s="20">
        <v>3024</v>
      </c>
      <c r="BD23" s="59" t="s">
        <v>172</v>
      </c>
      <c r="BE23" s="20">
        <v>1.1000000000000001</v>
      </c>
      <c r="BF23" s="20">
        <f t="shared" si="19"/>
        <v>0.90909090909090906</v>
      </c>
      <c r="BG23" s="22">
        <v>6.5</v>
      </c>
      <c r="BH23" s="23">
        <v>1.4</v>
      </c>
      <c r="BI23" s="25">
        <f t="shared" si="56"/>
        <v>82.133333333333326</v>
      </c>
      <c r="BJ23" s="25">
        <f t="shared" si="57"/>
        <v>872.72727272727275</v>
      </c>
      <c r="BK23" s="25">
        <f t="shared" si="58"/>
        <v>12.635897435897435</v>
      </c>
      <c r="BL23">
        <v>3</v>
      </c>
      <c r="BM23">
        <f t="shared" si="59"/>
        <v>58.666666666666664</v>
      </c>
      <c r="BN23">
        <f t="shared" si="60"/>
        <v>0.93333333333333335</v>
      </c>
      <c r="BO23" s="20">
        <v>28</v>
      </c>
      <c r="BP23">
        <f t="shared" si="61"/>
        <v>2</v>
      </c>
      <c r="BQ23" s="20">
        <v>60</v>
      </c>
      <c r="CA23" s="8" t="s">
        <v>548</v>
      </c>
      <c r="CB23" s="3" t="s">
        <v>855</v>
      </c>
      <c r="CC23" s="3" t="s">
        <v>856</v>
      </c>
      <c r="CE23" s="2" t="s">
        <v>264</v>
      </c>
      <c r="CF23" t="s">
        <v>265</v>
      </c>
      <c r="CH23" t="str">
        <f t="shared" si="62"/>
        <v>DATA_Class_Base4</v>
      </c>
      <c r="CI23" s="3" t="s">
        <v>259</v>
      </c>
    </row>
    <row r="24" spans="1:87">
      <c r="A24">
        <f t="shared" si="36"/>
        <v>2021206</v>
      </c>
      <c r="B24" s="5" t="s">
        <v>245</v>
      </c>
      <c r="C24">
        <v>2</v>
      </c>
      <c r="D24">
        <v>2</v>
      </c>
      <c r="E24">
        <v>1</v>
      </c>
      <c r="F24" s="3" t="s">
        <v>260</v>
      </c>
      <c r="G24" s="3" t="s">
        <v>261</v>
      </c>
      <c r="H24" s="3">
        <v>0</v>
      </c>
      <c r="I24">
        <v>20</v>
      </c>
      <c r="J24" s="2">
        <v>0</v>
      </c>
      <c r="K24" s="2">
        <v>0</v>
      </c>
      <c r="L24" s="2">
        <f t="shared" si="37"/>
        <v>3</v>
      </c>
      <c r="M24" s="2">
        <f t="shared" si="38"/>
        <v>1.6</v>
      </c>
      <c r="N24" s="2">
        <f t="shared" si="39"/>
        <v>2</v>
      </c>
      <c r="O24" s="2">
        <v>10</v>
      </c>
      <c r="P24" s="2">
        <f t="shared" si="40"/>
        <v>93.87</v>
      </c>
      <c r="Q24" s="2">
        <f t="shared" si="41"/>
        <v>9.39</v>
      </c>
      <c r="R24" s="2">
        <f t="shared" si="42"/>
        <v>1056</v>
      </c>
      <c r="S24" s="2">
        <f t="shared" si="43"/>
        <v>105.6</v>
      </c>
      <c r="T24" s="2">
        <f t="shared" si="44"/>
        <v>18.77</v>
      </c>
      <c r="U24" s="2">
        <f t="shared" si="45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3">
        <v>212061</v>
      </c>
      <c r="AB24" s="15" t="s">
        <v>238</v>
      </c>
      <c r="AC24" s="12" t="s">
        <v>238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46"/>
        <v>23.710934119370883</v>
      </c>
      <c r="AL24">
        <v>2</v>
      </c>
      <c r="AM24">
        <f t="shared" si="47"/>
        <v>93.866666666666674</v>
      </c>
      <c r="AN24">
        <f t="shared" si="48"/>
        <v>9.3866666666666685</v>
      </c>
      <c r="AO24">
        <f t="shared" si="49"/>
        <v>1056</v>
      </c>
      <c r="AP24">
        <f t="shared" si="50"/>
        <v>105.60000000000001</v>
      </c>
      <c r="AQ24">
        <f t="shared" si="51"/>
        <v>18.773333333333333</v>
      </c>
      <c r="AR24">
        <f t="shared" si="52"/>
        <v>1.8773333333333335</v>
      </c>
      <c r="AS24">
        <f t="shared" si="53"/>
        <v>1.6</v>
      </c>
      <c r="AT24">
        <f t="shared" si="54"/>
        <v>2</v>
      </c>
      <c r="AU24">
        <f t="shared" si="55"/>
        <v>3</v>
      </c>
      <c r="AV24">
        <v>206</v>
      </c>
      <c r="AW24" s="1">
        <v>6</v>
      </c>
      <c r="AX24">
        <v>2</v>
      </c>
      <c r="AY24">
        <v>0</v>
      </c>
      <c r="BA24">
        <v>2</v>
      </c>
      <c r="BB24">
        <v>1</v>
      </c>
      <c r="BC24" s="20">
        <v>3025</v>
      </c>
      <c r="BD24" s="59"/>
      <c r="BE24" s="20">
        <v>1.2</v>
      </c>
      <c r="BF24" s="20">
        <f t="shared" si="19"/>
        <v>0.83333333333333337</v>
      </c>
      <c r="BG24" s="22">
        <v>7</v>
      </c>
      <c r="BH24" s="23">
        <v>1.4</v>
      </c>
      <c r="BI24" s="25">
        <f t="shared" si="56"/>
        <v>89.59999999999998</v>
      </c>
      <c r="BJ24" s="25">
        <f t="shared" si="57"/>
        <v>800</v>
      </c>
      <c r="BK24" s="25">
        <f t="shared" si="58"/>
        <v>12.799999999999997</v>
      </c>
      <c r="BL24">
        <v>3</v>
      </c>
      <c r="BM24">
        <f t="shared" si="59"/>
        <v>63.999999999999993</v>
      </c>
      <c r="BN24">
        <f t="shared" si="60"/>
        <v>0.93333333333333335</v>
      </c>
      <c r="BO24" s="20">
        <v>28</v>
      </c>
      <c r="BP24">
        <f t="shared" si="61"/>
        <v>2</v>
      </c>
      <c r="BQ24" s="20">
        <v>60</v>
      </c>
      <c r="CA24" s="8" t="s">
        <v>552</v>
      </c>
      <c r="CB24" s="3" t="s">
        <v>857</v>
      </c>
      <c r="CC24" s="3" t="s">
        <v>858</v>
      </c>
      <c r="CE24" s="2" t="s">
        <v>235</v>
      </c>
      <c r="CF24" t="s">
        <v>205</v>
      </c>
      <c r="CH24" t="str">
        <f t="shared" si="62"/>
        <v>DATA_Class_Base1</v>
      </c>
      <c r="CI24" s="5" t="s">
        <v>246</v>
      </c>
    </row>
    <row r="25" spans="1:87">
      <c r="A25">
        <f t="shared" si="36"/>
        <v>2021406</v>
      </c>
      <c r="B25" s="5" t="s">
        <v>251</v>
      </c>
      <c r="C25">
        <v>2</v>
      </c>
      <c r="D25">
        <v>4</v>
      </c>
      <c r="E25">
        <v>1</v>
      </c>
      <c r="F25" s="3" t="s">
        <v>262</v>
      </c>
      <c r="G25" s="3" t="s">
        <v>263</v>
      </c>
      <c r="H25" s="3">
        <v>-15</v>
      </c>
      <c r="I25">
        <v>20</v>
      </c>
      <c r="J25" s="2">
        <v>0</v>
      </c>
      <c r="K25" s="2" t="s">
        <v>161</v>
      </c>
      <c r="L25" s="2">
        <f t="shared" si="37"/>
        <v>6</v>
      </c>
      <c r="M25" s="2">
        <f t="shared" si="38"/>
        <v>1.4000000000000001</v>
      </c>
      <c r="N25" s="2">
        <f t="shared" si="39"/>
        <v>1.2</v>
      </c>
      <c r="O25" s="2">
        <v>10</v>
      </c>
      <c r="P25" s="2">
        <f t="shared" si="40"/>
        <v>106.77</v>
      </c>
      <c r="Q25" s="2">
        <f t="shared" si="41"/>
        <v>10.68</v>
      </c>
      <c r="R25" s="2">
        <f t="shared" si="42"/>
        <v>812.31</v>
      </c>
      <c r="S25" s="2">
        <f t="shared" si="43"/>
        <v>81.23</v>
      </c>
      <c r="T25" s="2">
        <f t="shared" si="44"/>
        <v>10.68</v>
      </c>
      <c r="U25" s="2">
        <f t="shared" si="45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3">
        <v>214061</v>
      </c>
      <c r="AB25" s="15" t="s">
        <v>238</v>
      </c>
      <c r="AC25" s="12" t="s">
        <v>238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46"/>
        <v>23.668602663237312</v>
      </c>
      <c r="AL25">
        <v>2</v>
      </c>
      <c r="AM25">
        <f t="shared" si="47"/>
        <v>106.77333333333333</v>
      </c>
      <c r="AN25">
        <f t="shared" si="48"/>
        <v>10.677333333333333</v>
      </c>
      <c r="AO25">
        <f t="shared" si="49"/>
        <v>812.30769230769226</v>
      </c>
      <c r="AP25">
        <f t="shared" si="50"/>
        <v>81.230769230769226</v>
      </c>
      <c r="AQ25">
        <f t="shared" si="51"/>
        <v>10.677333333333333</v>
      </c>
      <c r="AR25">
        <f t="shared" si="52"/>
        <v>1.0677333333333334</v>
      </c>
      <c r="AS25">
        <f t="shared" si="53"/>
        <v>1.4</v>
      </c>
      <c r="AT25">
        <f t="shared" si="54"/>
        <v>1.2</v>
      </c>
      <c r="AU25">
        <f t="shared" si="55"/>
        <v>6</v>
      </c>
      <c r="AV25">
        <v>406</v>
      </c>
      <c r="AW25" s="1">
        <v>6</v>
      </c>
      <c r="AX25">
        <v>2</v>
      </c>
      <c r="AY25">
        <v>0</v>
      </c>
      <c r="BA25">
        <v>4</v>
      </c>
      <c r="BB25">
        <v>1</v>
      </c>
      <c r="BC25" s="23">
        <v>4005</v>
      </c>
      <c r="BD25" s="21" t="s">
        <v>174</v>
      </c>
      <c r="BE25" s="20">
        <v>1.25</v>
      </c>
      <c r="BF25" s="20">
        <f t="shared" si="19"/>
        <v>0.8</v>
      </c>
      <c r="BG25" s="22">
        <v>6</v>
      </c>
      <c r="BH25" s="23">
        <v>1.4</v>
      </c>
      <c r="BI25" s="25">
        <f t="shared" si="56"/>
        <v>93.333333333333329</v>
      </c>
      <c r="BJ25" s="25">
        <f t="shared" si="57"/>
        <v>768</v>
      </c>
      <c r="BK25" s="25">
        <f t="shared" si="58"/>
        <v>15.555555555555555</v>
      </c>
      <c r="BL25">
        <v>6</v>
      </c>
      <c r="BM25">
        <f t="shared" si="59"/>
        <v>66.666666666666671</v>
      </c>
      <c r="BN25">
        <f t="shared" si="60"/>
        <v>0.83333333333333337</v>
      </c>
      <c r="BO25" s="20">
        <v>25</v>
      </c>
      <c r="BP25">
        <f t="shared" si="61"/>
        <v>2</v>
      </c>
      <c r="BQ25" s="20">
        <v>60</v>
      </c>
      <c r="CA25" s="8" t="s">
        <v>557</v>
      </c>
      <c r="CB25" s="3" t="s">
        <v>859</v>
      </c>
      <c r="CC25" s="3" t="s">
        <v>860</v>
      </c>
      <c r="CE25" s="2" t="s">
        <v>239</v>
      </c>
      <c r="CF25" t="s">
        <v>216</v>
      </c>
      <c r="CH25" t="str">
        <f t="shared" si="62"/>
        <v>DATA_Class_Base2</v>
      </c>
      <c r="CI25" s="5" t="s">
        <v>252</v>
      </c>
    </row>
    <row r="26" spans="1:87">
      <c r="A26">
        <f t="shared" si="36"/>
        <v>2022204</v>
      </c>
      <c r="B26" s="5" t="s">
        <v>264</v>
      </c>
      <c r="C26">
        <v>2</v>
      </c>
      <c r="D26">
        <v>2</v>
      </c>
      <c r="E26">
        <v>2</v>
      </c>
      <c r="F26" s="3" t="s">
        <v>266</v>
      </c>
      <c r="G26" s="3" t="s">
        <v>267</v>
      </c>
      <c r="H26" s="3">
        <v>0</v>
      </c>
      <c r="I26">
        <v>35</v>
      </c>
      <c r="J26" s="2">
        <v>0</v>
      </c>
      <c r="K26" s="2">
        <v>0</v>
      </c>
      <c r="L26" s="2">
        <f t="shared" si="37"/>
        <v>3</v>
      </c>
      <c r="M26" s="2">
        <f t="shared" si="38"/>
        <v>1.4000000000000001</v>
      </c>
      <c r="N26" s="2">
        <f t="shared" si="39"/>
        <v>1.2</v>
      </c>
      <c r="O26" s="2">
        <v>10</v>
      </c>
      <c r="P26" s="2">
        <f t="shared" si="40"/>
        <v>73.92</v>
      </c>
      <c r="Q26" s="2">
        <f t="shared" si="41"/>
        <v>7.39</v>
      </c>
      <c r="R26" s="2">
        <f t="shared" si="42"/>
        <v>1173.33</v>
      </c>
      <c r="S26" s="2">
        <f t="shared" si="43"/>
        <v>117.33</v>
      </c>
      <c r="T26" s="2">
        <f t="shared" si="44"/>
        <v>14.78</v>
      </c>
      <c r="U26" s="2">
        <f t="shared" si="45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3">
        <v>222041</v>
      </c>
      <c r="AB26" s="15" t="s">
        <v>238</v>
      </c>
      <c r="AC26" s="12" t="s">
        <v>238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46"/>
        <v>23.6900562341003</v>
      </c>
      <c r="AL26">
        <v>2</v>
      </c>
      <c r="AM26">
        <f t="shared" si="47"/>
        <v>73.920000000000016</v>
      </c>
      <c r="AN26">
        <f t="shared" si="48"/>
        <v>7.3920000000000021</v>
      </c>
      <c r="AO26">
        <f t="shared" si="49"/>
        <v>1173.3333333333335</v>
      </c>
      <c r="AP26">
        <f t="shared" si="50"/>
        <v>117.33333333333336</v>
      </c>
      <c r="AQ26">
        <f t="shared" si="51"/>
        <v>14.784000000000002</v>
      </c>
      <c r="AR26">
        <f t="shared" si="52"/>
        <v>1.4784000000000004</v>
      </c>
      <c r="AS26">
        <f t="shared" si="53"/>
        <v>1.4</v>
      </c>
      <c r="AT26">
        <f t="shared" si="54"/>
        <v>1.2</v>
      </c>
      <c r="AU26">
        <f t="shared" si="55"/>
        <v>3</v>
      </c>
      <c r="AV26">
        <v>204</v>
      </c>
      <c r="AW26" s="1">
        <v>4</v>
      </c>
      <c r="AX26">
        <v>2</v>
      </c>
      <c r="AY26">
        <v>0</v>
      </c>
      <c r="BA26">
        <v>2</v>
      </c>
      <c r="BB26">
        <v>2</v>
      </c>
      <c r="BC26" s="20">
        <v>4011</v>
      </c>
      <c r="BD26" s="59" t="s">
        <v>176</v>
      </c>
      <c r="BE26" s="20">
        <v>1.1000000000000001</v>
      </c>
      <c r="BF26" s="20">
        <f t="shared" si="19"/>
        <v>0.90909090909090906</v>
      </c>
      <c r="BG26" s="22">
        <v>5</v>
      </c>
      <c r="BH26" s="23">
        <v>1.6</v>
      </c>
      <c r="BI26" s="25">
        <f t="shared" si="56"/>
        <v>93.866666666666674</v>
      </c>
      <c r="BJ26" s="25">
        <f t="shared" si="57"/>
        <v>872.72727272727275</v>
      </c>
      <c r="BK26" s="25">
        <f t="shared" si="58"/>
        <v>18.773333333333333</v>
      </c>
      <c r="BL26">
        <v>6</v>
      </c>
      <c r="BM26">
        <f t="shared" si="59"/>
        <v>58.666666666666671</v>
      </c>
      <c r="BN26">
        <f t="shared" si="60"/>
        <v>1</v>
      </c>
      <c r="BO26" s="20">
        <v>30</v>
      </c>
      <c r="BP26">
        <f t="shared" si="61"/>
        <v>2</v>
      </c>
      <c r="BQ26" s="20">
        <v>60</v>
      </c>
      <c r="CA26" s="8" t="s">
        <v>561</v>
      </c>
      <c r="CB26" s="3" t="s">
        <v>861</v>
      </c>
      <c r="CC26" s="3" t="s">
        <v>862</v>
      </c>
      <c r="CE26" s="2" t="s">
        <v>274</v>
      </c>
      <c r="CF26" t="s">
        <v>214</v>
      </c>
      <c r="CH26" t="str">
        <f t="shared" si="62"/>
        <v>DATA_Class_Base6</v>
      </c>
      <c r="CI26" s="5" t="s">
        <v>265</v>
      </c>
    </row>
    <row r="27" spans="1:87">
      <c r="A27">
        <f t="shared" si="36"/>
        <v>2022404</v>
      </c>
      <c r="B27" s="5" t="s">
        <v>268</v>
      </c>
      <c r="C27">
        <v>2</v>
      </c>
      <c r="D27">
        <v>4</v>
      </c>
      <c r="E27">
        <v>2</v>
      </c>
      <c r="F27" s="3" t="s">
        <v>269</v>
      </c>
      <c r="G27" s="3" t="s">
        <v>270</v>
      </c>
      <c r="H27" s="3">
        <v>-10</v>
      </c>
      <c r="I27">
        <v>30</v>
      </c>
      <c r="J27" s="2">
        <v>0</v>
      </c>
      <c r="K27" s="2" t="s">
        <v>250</v>
      </c>
      <c r="L27" s="2">
        <f t="shared" si="37"/>
        <v>6</v>
      </c>
      <c r="M27" s="2">
        <f t="shared" si="38"/>
        <v>1.6</v>
      </c>
      <c r="N27" s="2">
        <f t="shared" si="39"/>
        <v>1.9000000000000001</v>
      </c>
      <c r="O27" s="2">
        <v>10</v>
      </c>
      <c r="P27" s="2">
        <f t="shared" si="40"/>
        <v>122.03</v>
      </c>
      <c r="Q27" s="2">
        <f t="shared" si="41"/>
        <v>12.2</v>
      </c>
      <c r="R27" s="2">
        <f t="shared" si="42"/>
        <v>812.31</v>
      </c>
      <c r="S27" s="2">
        <f t="shared" si="43"/>
        <v>81.23</v>
      </c>
      <c r="T27" s="2">
        <f t="shared" si="44"/>
        <v>12.2</v>
      </c>
      <c r="U27" s="2">
        <f t="shared" si="45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3">
        <v>224041</v>
      </c>
      <c r="AB27" s="15" t="s">
        <v>238</v>
      </c>
      <c r="AC27" s="14" t="s">
        <v>238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46"/>
        <v>23.676566594993364</v>
      </c>
      <c r="AL27">
        <v>2</v>
      </c>
      <c r="AM27">
        <f t="shared" si="47"/>
        <v>122.02666666666669</v>
      </c>
      <c r="AN27">
        <f t="shared" si="48"/>
        <v>12.202666666666669</v>
      </c>
      <c r="AO27">
        <f t="shared" si="49"/>
        <v>812.30769230769226</v>
      </c>
      <c r="AP27">
        <f t="shared" si="50"/>
        <v>81.230769230769226</v>
      </c>
      <c r="AQ27">
        <f t="shared" si="51"/>
        <v>12.202666666666669</v>
      </c>
      <c r="AR27">
        <f t="shared" si="52"/>
        <v>1.2202666666666671</v>
      </c>
      <c r="AS27">
        <f t="shared" si="53"/>
        <v>1.6</v>
      </c>
      <c r="AT27">
        <f t="shared" si="54"/>
        <v>1.9</v>
      </c>
      <c r="AU27">
        <f t="shared" si="55"/>
        <v>6</v>
      </c>
      <c r="AV27">
        <v>404</v>
      </c>
      <c r="AW27" s="1">
        <v>4</v>
      </c>
      <c r="AX27">
        <v>2</v>
      </c>
      <c r="AY27">
        <v>0</v>
      </c>
      <c r="BA27">
        <v>4</v>
      </c>
      <c r="BB27">
        <v>2</v>
      </c>
      <c r="BC27" s="20">
        <v>4012</v>
      </c>
      <c r="BD27" s="59"/>
      <c r="BE27" s="20">
        <v>1.3</v>
      </c>
      <c r="BF27" s="20">
        <f t="shared" si="19"/>
        <v>0.76923076923076916</v>
      </c>
      <c r="BG27" s="22">
        <v>9</v>
      </c>
      <c r="BH27" s="23">
        <v>1.6</v>
      </c>
      <c r="BI27" s="25">
        <f t="shared" si="56"/>
        <v>110.93333333333334</v>
      </c>
      <c r="BJ27" s="25">
        <f t="shared" si="57"/>
        <v>738.46153846153834</v>
      </c>
      <c r="BK27" s="25">
        <f t="shared" si="58"/>
        <v>12.325925925925926</v>
      </c>
      <c r="BL27">
        <v>6</v>
      </c>
      <c r="BM27">
        <f t="shared" si="59"/>
        <v>69.333333333333329</v>
      </c>
      <c r="BN27">
        <f t="shared" si="60"/>
        <v>1</v>
      </c>
      <c r="BO27" s="20">
        <v>30</v>
      </c>
      <c r="BP27">
        <f t="shared" si="61"/>
        <v>1.3333333333333333</v>
      </c>
      <c r="BQ27" s="20">
        <v>40</v>
      </c>
      <c r="CA27" s="8" t="s">
        <v>565</v>
      </c>
      <c r="CB27" s="3" t="s">
        <v>863</v>
      </c>
      <c r="CC27" s="3" t="s">
        <v>864</v>
      </c>
      <c r="CE27" s="2" t="s">
        <v>271</v>
      </c>
      <c r="CF27" t="s">
        <v>221</v>
      </c>
      <c r="CH27" t="str">
        <f t="shared" si="62"/>
        <v>DATA_Class_Base12</v>
      </c>
      <c r="CI27" s="5" t="s">
        <v>277</v>
      </c>
    </row>
    <row r="28" spans="1:87">
      <c r="A28">
        <f t="shared" si="36"/>
        <v>2023503</v>
      </c>
      <c r="B28" s="5" t="s">
        <v>271</v>
      </c>
      <c r="C28">
        <v>2</v>
      </c>
      <c r="D28">
        <v>5</v>
      </c>
      <c r="E28">
        <v>3</v>
      </c>
      <c r="F28" s="3" t="s">
        <v>272</v>
      </c>
      <c r="G28" s="3" t="s">
        <v>273</v>
      </c>
      <c r="H28" s="3">
        <v>15</v>
      </c>
      <c r="I28">
        <v>35</v>
      </c>
      <c r="J28" s="2">
        <v>0</v>
      </c>
      <c r="K28" s="2">
        <v>0</v>
      </c>
      <c r="L28" s="2">
        <f t="shared" si="37"/>
        <v>3</v>
      </c>
      <c r="M28" s="2">
        <f t="shared" si="38"/>
        <v>1.6</v>
      </c>
      <c r="N28" s="2">
        <f t="shared" si="39"/>
        <v>1.5</v>
      </c>
      <c r="O28" s="2">
        <v>10</v>
      </c>
      <c r="P28" s="2">
        <f t="shared" si="40"/>
        <v>112.64</v>
      </c>
      <c r="Q28" s="2">
        <f t="shared" si="41"/>
        <v>11.26</v>
      </c>
      <c r="R28" s="2">
        <f t="shared" si="42"/>
        <v>880</v>
      </c>
      <c r="S28" s="2">
        <f t="shared" si="43"/>
        <v>88</v>
      </c>
      <c r="T28" s="2">
        <f t="shared" si="44"/>
        <v>18.77</v>
      </c>
      <c r="U28" s="2">
        <f t="shared" si="45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3">
        <v>233041</v>
      </c>
      <c r="AB28" s="15" t="s">
        <v>238</v>
      </c>
      <c r="AC28" s="14" t="s">
        <v>238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46"/>
        <v>23.710934119370897</v>
      </c>
      <c r="AL28">
        <v>2</v>
      </c>
      <c r="AM28">
        <f t="shared" si="47"/>
        <v>112.64000000000001</v>
      </c>
      <c r="AN28">
        <f t="shared" si="48"/>
        <v>11.264000000000003</v>
      </c>
      <c r="AO28">
        <f t="shared" si="49"/>
        <v>880.00000000000011</v>
      </c>
      <c r="AP28">
        <f t="shared" si="50"/>
        <v>88.000000000000014</v>
      </c>
      <c r="AQ28">
        <f t="shared" si="51"/>
        <v>18.773333333333337</v>
      </c>
      <c r="AR28">
        <f t="shared" si="52"/>
        <v>1.8773333333333337</v>
      </c>
      <c r="AS28">
        <f t="shared" si="53"/>
        <v>1.6</v>
      </c>
      <c r="AT28">
        <f t="shared" si="54"/>
        <v>1.5</v>
      </c>
      <c r="AU28">
        <f t="shared" si="55"/>
        <v>3</v>
      </c>
      <c r="AV28">
        <v>503</v>
      </c>
      <c r="AW28" s="1">
        <v>3</v>
      </c>
      <c r="AX28">
        <v>2</v>
      </c>
      <c r="AY28">
        <v>0</v>
      </c>
      <c r="BA28">
        <v>5</v>
      </c>
      <c r="BB28">
        <v>3</v>
      </c>
      <c r="BC28" s="20">
        <v>4013</v>
      </c>
      <c r="BD28" s="59"/>
      <c r="BE28" s="20">
        <v>1.2</v>
      </c>
      <c r="BF28" s="20">
        <f t="shared" si="19"/>
        <v>0.83333333333333337</v>
      </c>
      <c r="BG28" s="22">
        <v>6</v>
      </c>
      <c r="BH28" s="23">
        <v>1.6</v>
      </c>
      <c r="BI28" s="25">
        <f t="shared" si="56"/>
        <v>102.40000000000002</v>
      </c>
      <c r="BJ28" s="25">
        <f t="shared" si="57"/>
        <v>800</v>
      </c>
      <c r="BK28" s="25">
        <f t="shared" si="58"/>
        <v>17.06666666666667</v>
      </c>
      <c r="BL28">
        <v>6</v>
      </c>
      <c r="BM28">
        <f t="shared" si="59"/>
        <v>64.000000000000014</v>
      </c>
      <c r="BN28">
        <f t="shared" si="60"/>
        <v>1</v>
      </c>
      <c r="BO28" s="20">
        <v>30</v>
      </c>
      <c r="BP28">
        <f t="shared" si="61"/>
        <v>1.3333333333333333</v>
      </c>
      <c r="BQ28" s="20">
        <v>40</v>
      </c>
      <c r="CA28" s="8" t="s">
        <v>570</v>
      </c>
      <c r="CB28" s="3" t="s">
        <v>865</v>
      </c>
      <c r="CC28" s="3" t="s">
        <v>866</v>
      </c>
      <c r="CE28" s="2" t="s">
        <v>247</v>
      </c>
      <c r="CF28" t="s">
        <v>218</v>
      </c>
      <c r="CH28" t="str">
        <f t="shared" si="62"/>
        <v>DATA_Class_Base10</v>
      </c>
      <c r="CI28" s="5" t="s">
        <v>221</v>
      </c>
    </row>
    <row r="29" spans="1:87">
      <c r="A29">
        <f t="shared" si="36"/>
        <v>2023304</v>
      </c>
      <c r="B29" s="5" t="s">
        <v>274</v>
      </c>
      <c r="C29">
        <v>2</v>
      </c>
      <c r="D29">
        <v>3</v>
      </c>
      <c r="E29">
        <v>3</v>
      </c>
      <c r="F29" s="3" t="s">
        <v>275</v>
      </c>
      <c r="G29" s="3" t="s">
        <v>276</v>
      </c>
      <c r="H29" s="3">
        <v>10</v>
      </c>
      <c r="I29">
        <v>30</v>
      </c>
      <c r="J29">
        <v>0</v>
      </c>
      <c r="K29" s="2">
        <v>0</v>
      </c>
      <c r="L29" s="2">
        <f t="shared" si="37"/>
        <v>3</v>
      </c>
      <c r="M29" s="2">
        <f t="shared" si="38"/>
        <v>1.4000000000000001</v>
      </c>
      <c r="N29" s="2">
        <f t="shared" si="39"/>
        <v>2</v>
      </c>
      <c r="O29" s="2">
        <v>10</v>
      </c>
      <c r="P29" s="2">
        <f t="shared" si="40"/>
        <v>94.45</v>
      </c>
      <c r="Q29" s="2">
        <f t="shared" si="41"/>
        <v>9.4499999999999993</v>
      </c>
      <c r="R29" s="2">
        <f t="shared" si="42"/>
        <v>918.26</v>
      </c>
      <c r="S29" s="2">
        <f t="shared" si="43"/>
        <v>91.83</v>
      </c>
      <c r="T29" s="2">
        <f t="shared" si="44"/>
        <v>11.81</v>
      </c>
      <c r="U29" s="2">
        <f t="shared" si="45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3">
        <v>235031</v>
      </c>
      <c r="AB29" s="15" t="s">
        <v>238</v>
      </c>
      <c r="AC29" s="14" t="s">
        <v>238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46"/>
        <v>23.674498520757723</v>
      </c>
      <c r="AL29">
        <v>2</v>
      </c>
      <c r="AM29">
        <f t="shared" si="47"/>
        <v>94.453333333333333</v>
      </c>
      <c r="AN29">
        <f t="shared" si="48"/>
        <v>9.445333333333334</v>
      </c>
      <c r="AO29">
        <f t="shared" si="49"/>
        <v>918.26086956521749</v>
      </c>
      <c r="AP29">
        <f t="shared" si="50"/>
        <v>91.826086956521749</v>
      </c>
      <c r="AQ29">
        <f t="shared" si="51"/>
        <v>11.806666666666667</v>
      </c>
      <c r="AR29">
        <f t="shared" si="52"/>
        <v>1.1806666666666668</v>
      </c>
      <c r="AS29">
        <f t="shared" si="53"/>
        <v>1.4</v>
      </c>
      <c r="AT29">
        <f t="shared" si="54"/>
        <v>2</v>
      </c>
      <c r="AU29">
        <f t="shared" si="55"/>
        <v>3</v>
      </c>
      <c r="AV29">
        <v>304</v>
      </c>
      <c r="AW29" s="1">
        <v>4</v>
      </c>
      <c r="AX29">
        <v>2</v>
      </c>
      <c r="AY29">
        <v>0</v>
      </c>
      <c r="BA29">
        <v>3</v>
      </c>
      <c r="BB29">
        <v>3</v>
      </c>
      <c r="BC29" s="20">
        <v>4021</v>
      </c>
      <c r="BD29" s="59" t="s">
        <v>376</v>
      </c>
      <c r="BE29" s="20">
        <v>1.2</v>
      </c>
      <c r="BF29" s="20">
        <f t="shared" si="19"/>
        <v>0.83333333333333337</v>
      </c>
      <c r="BG29" s="22">
        <v>6</v>
      </c>
      <c r="BH29" s="23">
        <v>1.5</v>
      </c>
      <c r="BI29" s="25">
        <f t="shared" si="56"/>
        <v>96</v>
      </c>
      <c r="BJ29" s="25">
        <f t="shared" si="57"/>
        <v>800</v>
      </c>
      <c r="BK29" s="25">
        <f t="shared" si="58"/>
        <v>16</v>
      </c>
      <c r="BL29">
        <v>6</v>
      </c>
      <c r="BM29">
        <f t="shared" si="59"/>
        <v>64</v>
      </c>
      <c r="BN29">
        <f t="shared" si="60"/>
        <v>1.2666666666666666</v>
      </c>
      <c r="BO29" s="20">
        <v>38</v>
      </c>
      <c r="BP29">
        <f t="shared" si="61"/>
        <v>1.3333333333333333</v>
      </c>
      <c r="BQ29" s="20">
        <v>40</v>
      </c>
      <c r="CA29" s="8" t="s">
        <v>574</v>
      </c>
      <c r="CB29" s="3" t="s">
        <v>867</v>
      </c>
      <c r="CC29" s="3" t="s">
        <v>868</v>
      </c>
      <c r="CE29" s="2" t="s">
        <v>268</v>
      </c>
      <c r="CF29" t="s">
        <v>277</v>
      </c>
      <c r="CH29" t="str">
        <f t="shared" si="62"/>
        <v>DATA_Class_Base9</v>
      </c>
      <c r="CI29" s="5" t="s">
        <v>214</v>
      </c>
    </row>
    <row r="30" spans="1:87">
      <c r="A30">
        <f t="shared" si="36"/>
        <v>3031202</v>
      </c>
      <c r="B30" s="6" t="s">
        <v>278</v>
      </c>
      <c r="C30">
        <v>3</v>
      </c>
      <c r="D30">
        <v>2</v>
      </c>
      <c r="E30">
        <v>1</v>
      </c>
      <c r="F30" s="3" t="s">
        <v>279</v>
      </c>
      <c r="G30" s="3" t="s">
        <v>279</v>
      </c>
      <c r="H30">
        <v>0</v>
      </c>
      <c r="I30">
        <v>0</v>
      </c>
      <c r="J30">
        <v>0</v>
      </c>
      <c r="K30" s="2" t="s">
        <v>280</v>
      </c>
      <c r="L30" s="2">
        <f t="shared" si="37"/>
        <v>3</v>
      </c>
      <c r="M30" s="2">
        <f t="shared" si="38"/>
        <v>1.8</v>
      </c>
      <c r="N30" s="2">
        <f t="shared" si="38"/>
        <v>2</v>
      </c>
      <c r="O30" s="2">
        <v>10</v>
      </c>
      <c r="P30" s="2">
        <f t="shared" si="40"/>
        <v>92.16</v>
      </c>
      <c r="Q30" s="2">
        <f t="shared" si="40"/>
        <v>9.2200000000000006</v>
      </c>
      <c r="R30" s="2">
        <f t="shared" si="40"/>
        <v>1440</v>
      </c>
      <c r="S30" s="2">
        <f t="shared" si="40"/>
        <v>144</v>
      </c>
      <c r="T30" s="2">
        <f t="shared" si="40"/>
        <v>23.04</v>
      </c>
      <c r="U30" s="2">
        <f t="shared" si="40"/>
        <v>2.2999999999999998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6">
        <v>312021</v>
      </c>
      <c r="AB30" s="14" t="s">
        <v>281</v>
      </c>
      <c r="AC30" s="15" t="s">
        <v>869</v>
      </c>
      <c r="AD30" s="2">
        <v>3041202</v>
      </c>
      <c r="AE30" s="2">
        <v>4</v>
      </c>
      <c r="AF30" s="2">
        <v>1</v>
      </c>
      <c r="AG30" s="2">
        <f t="shared" ref="AG30:AG31" si="63">A30</f>
        <v>3031202</v>
      </c>
      <c r="AH30" s="2">
        <v>2</v>
      </c>
      <c r="AI30" s="2"/>
      <c r="AJ30">
        <v>1</v>
      </c>
      <c r="AK30" s="1">
        <f t="shared" si="46"/>
        <v>28.244593395000582</v>
      </c>
      <c r="AL30">
        <v>3</v>
      </c>
      <c r="AM30">
        <f t="shared" si="47"/>
        <v>92.160000000000011</v>
      </c>
      <c r="AN30">
        <f t="shared" si="48"/>
        <v>9.2160000000000011</v>
      </c>
      <c r="AO30">
        <f t="shared" si="49"/>
        <v>1440</v>
      </c>
      <c r="AP30">
        <f t="shared" si="50"/>
        <v>144</v>
      </c>
      <c r="AQ30">
        <f t="shared" si="51"/>
        <v>23.040000000000003</v>
      </c>
      <c r="AR30">
        <f t="shared" si="52"/>
        <v>2.3040000000000003</v>
      </c>
      <c r="AS30">
        <f t="shared" si="53"/>
        <v>1.8</v>
      </c>
      <c r="AT30">
        <f t="shared" si="54"/>
        <v>2</v>
      </c>
      <c r="AU30">
        <f t="shared" si="55"/>
        <v>3</v>
      </c>
      <c r="AV30">
        <f>BA30*1000+AW30*10+BB30</f>
        <v>2021</v>
      </c>
      <c r="AW30" s="1">
        <v>2</v>
      </c>
      <c r="AX30">
        <v>3</v>
      </c>
      <c r="AY30">
        <v>0</v>
      </c>
      <c r="BA30">
        <v>2</v>
      </c>
      <c r="BB30">
        <v>1</v>
      </c>
      <c r="BC30" s="20">
        <v>4022</v>
      </c>
      <c r="BD30" s="59"/>
      <c r="BE30" s="20">
        <v>1.4</v>
      </c>
      <c r="BF30" s="20">
        <f t="shared" si="19"/>
        <v>0.7142857142857143</v>
      </c>
      <c r="BG30" s="22">
        <v>8</v>
      </c>
      <c r="BH30" s="23">
        <v>1.5</v>
      </c>
      <c r="BI30" s="25">
        <f t="shared" si="56"/>
        <v>112</v>
      </c>
      <c r="BJ30" s="25">
        <f t="shared" si="57"/>
        <v>685.71428571428578</v>
      </c>
      <c r="BK30" s="25">
        <f t="shared" si="58"/>
        <v>14</v>
      </c>
      <c r="BL30">
        <v>6</v>
      </c>
      <c r="BM30">
        <f t="shared" si="59"/>
        <v>74.666666666666671</v>
      </c>
      <c r="BN30">
        <f t="shared" si="60"/>
        <v>1.2666666666666666</v>
      </c>
      <c r="BO30" s="20">
        <v>38</v>
      </c>
      <c r="BP30">
        <f t="shared" si="61"/>
        <v>1.3333333333333333</v>
      </c>
      <c r="BQ30" s="20">
        <v>40</v>
      </c>
      <c r="CA30" s="8" t="s">
        <v>579</v>
      </c>
      <c r="CB30" s="3" t="s">
        <v>870</v>
      </c>
      <c r="CC30" s="3" t="s">
        <v>871</v>
      </c>
      <c r="CE30" s="2" t="s">
        <v>294</v>
      </c>
      <c r="CF30" s="6" t="s">
        <v>295</v>
      </c>
      <c r="CH30" t="str">
        <f t="shared" si="62"/>
        <v>DATA_Class_Base13</v>
      </c>
      <c r="CI30" s="6" t="s">
        <v>295</v>
      </c>
    </row>
    <row r="31" spans="1:87">
      <c r="A31">
        <f t="shared" si="36"/>
        <v>3031301</v>
      </c>
      <c r="B31" s="6" t="s">
        <v>283</v>
      </c>
      <c r="C31">
        <v>3</v>
      </c>
      <c r="D31">
        <v>3</v>
      </c>
      <c r="E31">
        <v>1</v>
      </c>
      <c r="F31" s="3" t="s">
        <v>284</v>
      </c>
      <c r="G31" s="3" t="s">
        <v>284</v>
      </c>
      <c r="H31">
        <v>0</v>
      </c>
      <c r="I31">
        <v>0</v>
      </c>
      <c r="J31" s="2">
        <v>0</v>
      </c>
      <c r="K31" s="2" t="s">
        <v>285</v>
      </c>
      <c r="L31" s="2">
        <f t="shared" si="37"/>
        <v>3</v>
      </c>
      <c r="M31" s="2">
        <f t="shared" si="38"/>
        <v>1.2</v>
      </c>
      <c r="N31" s="2">
        <f t="shared" si="38"/>
        <v>2</v>
      </c>
      <c r="O31" s="2">
        <v>10</v>
      </c>
      <c r="P31" s="2">
        <f t="shared" si="40"/>
        <v>84.48</v>
      </c>
      <c r="Q31" s="2">
        <f t="shared" si="40"/>
        <v>8.4499999999999993</v>
      </c>
      <c r="R31" s="2">
        <f t="shared" si="40"/>
        <v>1047.27</v>
      </c>
      <c r="S31" s="2">
        <f t="shared" si="40"/>
        <v>104.73</v>
      </c>
      <c r="T31" s="2">
        <f t="shared" si="40"/>
        <v>14.08</v>
      </c>
      <c r="U31" s="2">
        <f t="shared" si="40"/>
        <v>1.41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6">
        <v>313011</v>
      </c>
      <c r="AB31" s="14" t="s">
        <v>286</v>
      </c>
      <c r="AC31" s="15" t="s">
        <v>869</v>
      </c>
      <c r="AD31" s="2">
        <v>3041301</v>
      </c>
      <c r="AE31" s="2">
        <v>4</v>
      </c>
      <c r="AF31" s="2">
        <v>1</v>
      </c>
      <c r="AG31" s="2">
        <f t="shared" si="63"/>
        <v>3031301</v>
      </c>
      <c r="AH31" s="2">
        <v>2</v>
      </c>
      <c r="AI31" s="2"/>
      <c r="AJ31">
        <v>1</v>
      </c>
      <c r="AK31" s="1">
        <f t="shared" si="46"/>
        <v>28.188744655444708</v>
      </c>
      <c r="AL31">
        <v>3</v>
      </c>
      <c r="AM31">
        <f t="shared" si="47"/>
        <v>84.48</v>
      </c>
      <c r="AN31">
        <f t="shared" si="48"/>
        <v>8.4480000000000004</v>
      </c>
      <c r="AO31">
        <f t="shared" si="49"/>
        <v>1047.2727272727273</v>
      </c>
      <c r="AP31">
        <f t="shared" si="50"/>
        <v>104.72727272727273</v>
      </c>
      <c r="AQ31">
        <f t="shared" si="51"/>
        <v>14.08</v>
      </c>
      <c r="AR31">
        <f t="shared" si="52"/>
        <v>1.4080000000000001</v>
      </c>
      <c r="AS31">
        <f t="shared" si="53"/>
        <v>1.2</v>
      </c>
      <c r="AT31">
        <f t="shared" si="54"/>
        <v>2</v>
      </c>
      <c r="AU31">
        <f t="shared" si="55"/>
        <v>3</v>
      </c>
      <c r="AV31">
        <f t="shared" ref="AV31:AV94" si="64">BA31*1000+AW31*10+BB31</f>
        <v>3011</v>
      </c>
      <c r="AW31" s="1">
        <v>1</v>
      </c>
      <c r="AX31">
        <v>3</v>
      </c>
      <c r="AY31">
        <v>0</v>
      </c>
      <c r="BA31">
        <v>3</v>
      </c>
      <c r="BB31">
        <v>1</v>
      </c>
      <c r="BC31" s="20">
        <v>4023</v>
      </c>
      <c r="BD31" s="59"/>
      <c r="BE31" s="20">
        <v>1.3</v>
      </c>
      <c r="BF31" s="20">
        <f t="shared" si="19"/>
        <v>0.76923076923076916</v>
      </c>
      <c r="BG31" s="22">
        <v>7</v>
      </c>
      <c r="BH31" s="23">
        <v>1.5</v>
      </c>
      <c r="BI31" s="25">
        <f t="shared" si="56"/>
        <v>104</v>
      </c>
      <c r="BJ31" s="25">
        <f t="shared" si="57"/>
        <v>738.46153846153834</v>
      </c>
      <c r="BK31" s="25">
        <f t="shared" si="58"/>
        <v>14.857142857142858</v>
      </c>
      <c r="BL31">
        <v>6</v>
      </c>
      <c r="BM31">
        <f t="shared" si="59"/>
        <v>69.333333333333329</v>
      </c>
      <c r="BN31">
        <f t="shared" si="60"/>
        <v>1.2666666666666666</v>
      </c>
      <c r="BO31" s="20">
        <v>38</v>
      </c>
      <c r="BP31">
        <f t="shared" si="61"/>
        <v>1.3333333333333333</v>
      </c>
      <c r="BQ31" s="20">
        <v>40</v>
      </c>
      <c r="CA31" s="8" t="s">
        <v>583</v>
      </c>
      <c r="CB31" s="3" t="s">
        <v>872</v>
      </c>
      <c r="CC31" s="3" t="s">
        <v>873</v>
      </c>
      <c r="CE31" s="2" t="s">
        <v>296</v>
      </c>
      <c r="CF31" s="6" t="s">
        <v>300</v>
      </c>
      <c r="CH31" t="str">
        <f t="shared" si="62"/>
        <v>DATA_Class_Base14</v>
      </c>
      <c r="CI31" s="6" t="s">
        <v>300</v>
      </c>
    </row>
    <row r="32" spans="1:87">
      <c r="A32">
        <f t="shared" si="36"/>
        <v>3031502</v>
      </c>
      <c r="B32" s="6" t="s">
        <v>289</v>
      </c>
      <c r="C32">
        <v>3</v>
      </c>
      <c r="D32">
        <v>5</v>
      </c>
      <c r="E32">
        <v>1</v>
      </c>
      <c r="F32" s="3" t="s">
        <v>290</v>
      </c>
      <c r="G32" s="3" t="s">
        <v>290</v>
      </c>
      <c r="H32">
        <v>0</v>
      </c>
      <c r="I32">
        <v>0</v>
      </c>
      <c r="J32" s="2">
        <v>0</v>
      </c>
      <c r="K32" s="2" t="s">
        <v>291</v>
      </c>
      <c r="L32" s="2">
        <f t="shared" si="37"/>
        <v>6</v>
      </c>
      <c r="M32" s="2">
        <f t="shared" si="38"/>
        <v>1.4000000000000001</v>
      </c>
      <c r="N32" s="2">
        <f t="shared" si="39"/>
        <v>2</v>
      </c>
      <c r="O32" s="2">
        <v>10</v>
      </c>
      <c r="P32" s="2">
        <f t="shared" si="40"/>
        <v>116.48</v>
      </c>
      <c r="Q32" s="2">
        <f t="shared" si="41"/>
        <v>11.65</v>
      </c>
      <c r="R32" s="2">
        <f t="shared" si="42"/>
        <v>886.15</v>
      </c>
      <c r="S32" s="2">
        <f t="shared" si="43"/>
        <v>88.62</v>
      </c>
      <c r="T32" s="2">
        <f t="shared" si="44"/>
        <v>17.920000000000002</v>
      </c>
      <c r="U32" s="2">
        <f t="shared" si="45"/>
        <v>1.79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6">
        <v>315021</v>
      </c>
      <c r="AB32" s="14" t="s">
        <v>292</v>
      </c>
      <c r="AC32" s="15" t="s">
        <v>869</v>
      </c>
      <c r="AD32" s="2">
        <v>3041502</v>
      </c>
      <c r="AE32" s="2">
        <v>4</v>
      </c>
      <c r="AF32" s="2">
        <v>1</v>
      </c>
      <c r="AG32" s="2">
        <f t="shared" ref="AG32:AG44" si="65">A32</f>
        <v>3031502</v>
      </c>
      <c r="AH32" s="2">
        <v>2</v>
      </c>
      <c r="AI32" s="2"/>
      <c r="AJ32">
        <v>1</v>
      </c>
      <c r="AK32" s="1">
        <f t="shared" si="46"/>
        <v>28.212652762249888</v>
      </c>
      <c r="AL32">
        <v>3</v>
      </c>
      <c r="AM32">
        <f t="shared" si="47"/>
        <v>116.47999999999998</v>
      </c>
      <c r="AN32">
        <f t="shared" si="48"/>
        <v>11.647999999999998</v>
      </c>
      <c r="AO32">
        <f t="shared" si="49"/>
        <v>886.15384615384596</v>
      </c>
      <c r="AP32">
        <f t="shared" si="50"/>
        <v>88.615384615384599</v>
      </c>
      <c r="AQ32">
        <f t="shared" si="51"/>
        <v>17.919999999999995</v>
      </c>
      <c r="AR32">
        <f t="shared" si="52"/>
        <v>1.7919999999999996</v>
      </c>
      <c r="AS32">
        <f t="shared" si="53"/>
        <v>1.4</v>
      </c>
      <c r="AT32">
        <f t="shared" si="54"/>
        <v>2</v>
      </c>
      <c r="AU32">
        <f t="shared" si="55"/>
        <v>6</v>
      </c>
      <c r="AV32">
        <f t="shared" si="64"/>
        <v>5021</v>
      </c>
      <c r="AW32" s="1">
        <v>2</v>
      </c>
      <c r="AX32">
        <v>3</v>
      </c>
      <c r="AY32">
        <v>0</v>
      </c>
      <c r="BA32">
        <v>5</v>
      </c>
      <c r="BB32">
        <v>1</v>
      </c>
      <c r="BC32" s="20">
        <v>5001</v>
      </c>
      <c r="BD32" s="59" t="s">
        <v>184</v>
      </c>
      <c r="BE32" s="20">
        <v>1.4</v>
      </c>
      <c r="BF32" s="20">
        <f t="shared" si="19"/>
        <v>0.7142857142857143</v>
      </c>
      <c r="BG32" s="22">
        <v>7</v>
      </c>
      <c r="BH32" s="23">
        <v>1.5</v>
      </c>
      <c r="BI32" s="25">
        <f t="shared" si="56"/>
        <v>112</v>
      </c>
      <c r="BJ32" s="25">
        <f t="shared" si="57"/>
        <v>685.71428571428578</v>
      </c>
      <c r="BK32" s="25">
        <f t="shared" si="58"/>
        <v>16</v>
      </c>
      <c r="BL32">
        <v>6</v>
      </c>
      <c r="BM32">
        <f t="shared" si="59"/>
        <v>74.666666666666671</v>
      </c>
      <c r="BN32">
        <f t="shared" si="60"/>
        <v>1</v>
      </c>
      <c r="BO32" s="20">
        <v>30</v>
      </c>
      <c r="BP32">
        <f t="shared" si="61"/>
        <v>1.3333333333333333</v>
      </c>
      <c r="BQ32" s="20">
        <v>40</v>
      </c>
      <c r="CA32" s="8" t="s">
        <v>587</v>
      </c>
      <c r="CB32" s="3" t="s">
        <v>874</v>
      </c>
      <c r="CC32" s="3" t="s">
        <v>875</v>
      </c>
      <c r="CE32" s="2" t="s">
        <v>278</v>
      </c>
      <c r="CF32" s="6" t="s">
        <v>306</v>
      </c>
      <c r="CH32" t="str">
        <f t="shared" si="62"/>
        <v>DATA_Class_Base15</v>
      </c>
      <c r="CI32" s="6" t="s">
        <v>306</v>
      </c>
    </row>
    <row r="33" spans="1:87">
      <c r="A33">
        <f t="shared" si="36"/>
        <v>3032201</v>
      </c>
      <c r="B33" s="6" t="s">
        <v>296</v>
      </c>
      <c r="C33">
        <v>3</v>
      </c>
      <c r="D33">
        <v>2</v>
      </c>
      <c r="E33">
        <v>2</v>
      </c>
      <c r="F33" s="3" t="s">
        <v>297</v>
      </c>
      <c r="G33" s="3" t="s">
        <v>297</v>
      </c>
      <c r="H33">
        <v>0</v>
      </c>
      <c r="I33">
        <v>0</v>
      </c>
      <c r="J33">
        <v>0</v>
      </c>
      <c r="K33" s="8" t="s">
        <v>298</v>
      </c>
      <c r="L33" s="2">
        <f t="shared" si="37"/>
        <v>3</v>
      </c>
      <c r="M33" s="2">
        <f t="shared" si="38"/>
        <v>1.8</v>
      </c>
      <c r="N33" s="2">
        <f t="shared" si="39"/>
        <v>1.8</v>
      </c>
      <c r="O33" s="2">
        <v>10</v>
      </c>
      <c r="P33" s="2">
        <f t="shared" si="40"/>
        <v>80.64</v>
      </c>
      <c r="Q33" s="2">
        <f t="shared" si="41"/>
        <v>8.06</v>
      </c>
      <c r="R33" s="2">
        <f t="shared" si="42"/>
        <v>1645.71</v>
      </c>
      <c r="S33" s="2">
        <f t="shared" si="43"/>
        <v>164.57</v>
      </c>
      <c r="T33" s="2">
        <f t="shared" si="44"/>
        <v>26.88</v>
      </c>
      <c r="U33" s="2">
        <f t="shared" si="45"/>
        <v>2.69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3">
        <v>322011</v>
      </c>
      <c r="AB33" s="14" t="s">
        <v>299</v>
      </c>
      <c r="AC33" s="15" t="s">
        <v>869</v>
      </c>
      <c r="AD33" s="2">
        <v>3042201</v>
      </c>
      <c r="AE33" s="2">
        <v>4</v>
      </c>
      <c r="AF33" s="2">
        <v>1</v>
      </c>
      <c r="AG33" s="2">
        <f t="shared" si="65"/>
        <v>3032201</v>
      </c>
      <c r="AH33" s="2">
        <v>2</v>
      </c>
      <c r="AI33" s="2"/>
      <c r="AJ33">
        <v>1</v>
      </c>
      <c r="AK33" s="1">
        <f t="shared" si="46"/>
        <v>28.268596371502522</v>
      </c>
      <c r="AL33">
        <v>3</v>
      </c>
      <c r="AM33">
        <f t="shared" ref="AM33:AM62" si="66">INDEX($BE$5:$BE$58,MATCH($AV33,$BC$5:$BC$58,0))*$AS33/1.5*$BI$4*INDEX($BE$109:$BR$109,MATCH($AL33,$BE$108:$BR$108,0))</f>
        <v>80.64</v>
      </c>
      <c r="AN33">
        <f t="shared" ref="AN33:AN62" si="67">(INDEX($BE$5:$BE$58,MATCH($AV33,$BC$5:$BC$58,0))*$AS33/1.5*$BI$4*INDEX($BE$109:$BR$109,MATCH($AL33,$BE$108:$BR$108,0)))*0.1</f>
        <v>8.0640000000000001</v>
      </c>
      <c r="AO33">
        <f t="shared" ref="AO33:AO62" si="68">INDEX($BF$5:$BF$58,MATCH($AV33,$BC$5:$BC$58,0))*$BJ$4*INDEX($BE$109:$BR$109,MATCH($AL33,$BE$108:$BR$108,0))</f>
        <v>1645.7142857142858</v>
      </c>
      <c r="AP33">
        <f t="shared" ref="AP33:AP62" si="69">(INDEX($BF$5:$BF$58,MATCH($AV33,$BC$5:$BC$58,0))*$BJ$4*INDEX($BE$109:$BR$109,MATCH($AL33,$BE$108:$BR$108,0)))*0.1</f>
        <v>164.57142857142858</v>
      </c>
      <c r="AQ33">
        <f t="shared" ref="AQ33:AQ62" si="70">$AM33/INDEX($BG$5:$BG$58,MATCH($AV33,$BC$5:$BC$58,0))</f>
        <v>26.88</v>
      </c>
      <c r="AR33">
        <f t="shared" ref="AR33:AR51" si="71">AQ33*0.1</f>
        <v>2.6880000000000002</v>
      </c>
      <c r="AS33">
        <f t="shared" ref="AS33:AS62" si="72">INDEX($BH$5:$BH$58,MATCH($AV33,$BC$5:$BC$58,0))</f>
        <v>1.8</v>
      </c>
      <c r="AT33">
        <f t="shared" ref="AT33:AT62" si="73">ROUND(IF(INDEX($BP$5:$BP$58,MATCH($AV33,$BC$5:$BC$58,0))&lt;2,INDEX($BP$5:$BP$58,MATCH($AV33,$BC$5:$BC$58,0))+0.2,2),1)</f>
        <v>1.8</v>
      </c>
      <c r="AU33">
        <f t="shared" ref="AU33:AU62" si="74">INDEX($BL$5:$BL$58,MATCH($AV33,$BC$5:$BC$58,0))</f>
        <v>3</v>
      </c>
      <c r="AV33">
        <f t="shared" si="64"/>
        <v>2012</v>
      </c>
      <c r="AW33" s="1">
        <v>1</v>
      </c>
      <c r="AX33">
        <v>3</v>
      </c>
      <c r="AY33">
        <v>0</v>
      </c>
      <c r="BA33">
        <v>2</v>
      </c>
      <c r="BB33">
        <v>2</v>
      </c>
      <c r="BC33" s="20">
        <v>5002</v>
      </c>
      <c r="BD33" s="59"/>
      <c r="BE33" s="20">
        <v>1.5</v>
      </c>
      <c r="BF33" s="20">
        <f t="shared" si="19"/>
        <v>0.66666666666666663</v>
      </c>
      <c r="BG33" s="22">
        <v>9</v>
      </c>
      <c r="BH33" s="23">
        <v>1.5</v>
      </c>
      <c r="BI33" s="25">
        <f t="shared" si="56"/>
        <v>120</v>
      </c>
      <c r="BJ33" s="25">
        <f t="shared" si="57"/>
        <v>640</v>
      </c>
      <c r="BK33" s="25">
        <f t="shared" si="58"/>
        <v>13.333333333333334</v>
      </c>
      <c r="BL33">
        <v>6</v>
      </c>
      <c r="BM33">
        <f t="shared" si="59"/>
        <v>80</v>
      </c>
      <c r="BN33">
        <f t="shared" si="60"/>
        <v>1</v>
      </c>
      <c r="BO33" s="20">
        <v>30</v>
      </c>
      <c r="BP33">
        <f t="shared" si="61"/>
        <v>2.5</v>
      </c>
      <c r="BQ33" s="20">
        <v>75</v>
      </c>
      <c r="CA33" s="8" t="s">
        <v>592</v>
      </c>
      <c r="CB33" s="3" t="s">
        <v>876</v>
      </c>
      <c r="CC33" s="3" t="s">
        <v>877</v>
      </c>
      <c r="CE33" s="2" t="s">
        <v>283</v>
      </c>
      <c r="CF33" s="6" t="s">
        <v>312</v>
      </c>
      <c r="CH33" t="str">
        <f t="shared" si="62"/>
        <v>DATA_Class_Base16</v>
      </c>
      <c r="CI33" s="6" t="s">
        <v>312</v>
      </c>
    </row>
    <row r="34" spans="1:87">
      <c r="A34">
        <f t="shared" si="36"/>
        <v>3032500</v>
      </c>
      <c r="B34" s="6" t="s">
        <v>301</v>
      </c>
      <c r="C34">
        <v>3</v>
      </c>
      <c r="D34">
        <v>5</v>
      </c>
      <c r="E34">
        <v>2</v>
      </c>
      <c r="F34" s="3" t="s">
        <v>302</v>
      </c>
      <c r="G34" s="3" t="s">
        <v>302</v>
      </c>
      <c r="H34">
        <v>0</v>
      </c>
      <c r="I34">
        <v>0</v>
      </c>
      <c r="J34" s="2">
        <v>0</v>
      </c>
      <c r="K34" s="2" t="s">
        <v>303</v>
      </c>
      <c r="L34" s="2">
        <f t="shared" si="37"/>
        <v>6</v>
      </c>
      <c r="M34" s="2">
        <f t="shared" si="38"/>
        <v>1.5</v>
      </c>
      <c r="N34" s="2">
        <f t="shared" si="39"/>
        <v>2</v>
      </c>
      <c r="O34" s="2">
        <v>10</v>
      </c>
      <c r="P34" s="2">
        <f t="shared" si="40"/>
        <v>144</v>
      </c>
      <c r="Q34" s="2">
        <f t="shared" si="41"/>
        <v>14.4</v>
      </c>
      <c r="R34" s="2">
        <f t="shared" si="42"/>
        <v>768</v>
      </c>
      <c r="S34" s="2">
        <f t="shared" si="43"/>
        <v>76.8</v>
      </c>
      <c r="T34" s="2">
        <f t="shared" si="44"/>
        <v>16</v>
      </c>
      <c r="U34" s="2">
        <f t="shared" si="45"/>
        <v>1.6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3">
        <v>325001</v>
      </c>
      <c r="AB34" s="14" t="s">
        <v>304</v>
      </c>
      <c r="AC34" s="15" t="s">
        <v>869</v>
      </c>
      <c r="AD34" s="2">
        <v>3042500</v>
      </c>
      <c r="AE34" s="2">
        <v>4</v>
      </c>
      <c r="AF34" s="2">
        <v>1</v>
      </c>
      <c r="AG34" s="2">
        <f t="shared" si="65"/>
        <v>3032500</v>
      </c>
      <c r="AH34" s="2">
        <v>2</v>
      </c>
      <c r="AI34" s="2"/>
      <c r="AJ34">
        <v>1</v>
      </c>
      <c r="AK34" s="1">
        <f t="shared" si="46"/>
        <v>28.200693641618496</v>
      </c>
      <c r="AL34">
        <v>3</v>
      </c>
      <c r="AM34">
        <f t="shared" si="66"/>
        <v>144</v>
      </c>
      <c r="AN34">
        <f t="shared" si="67"/>
        <v>14.4</v>
      </c>
      <c r="AO34">
        <f t="shared" si="68"/>
        <v>768</v>
      </c>
      <c r="AP34">
        <f t="shared" si="69"/>
        <v>76.800000000000011</v>
      </c>
      <c r="AQ34">
        <f t="shared" si="70"/>
        <v>16</v>
      </c>
      <c r="AR34">
        <f t="shared" si="71"/>
        <v>1.6</v>
      </c>
      <c r="AS34">
        <f t="shared" si="72"/>
        <v>1.5</v>
      </c>
      <c r="AT34">
        <f t="shared" si="73"/>
        <v>2</v>
      </c>
      <c r="AU34">
        <f t="shared" si="74"/>
        <v>6</v>
      </c>
      <c r="AV34">
        <f t="shared" si="64"/>
        <v>5002</v>
      </c>
      <c r="AW34" s="1">
        <v>0</v>
      </c>
      <c r="AX34">
        <v>3</v>
      </c>
      <c r="AY34">
        <v>0</v>
      </c>
      <c r="BA34">
        <v>5</v>
      </c>
      <c r="BB34">
        <v>2</v>
      </c>
      <c r="BC34" s="20">
        <v>5003</v>
      </c>
      <c r="BD34" s="59"/>
      <c r="BE34" s="20">
        <v>1.3</v>
      </c>
      <c r="BF34" s="20">
        <f t="shared" si="19"/>
        <v>0.76923076923076916</v>
      </c>
      <c r="BG34" s="22">
        <v>6</v>
      </c>
      <c r="BH34" s="23">
        <v>1.5</v>
      </c>
      <c r="BI34" s="25">
        <f t="shared" si="56"/>
        <v>104</v>
      </c>
      <c r="BJ34" s="25">
        <f t="shared" si="57"/>
        <v>738.46153846153834</v>
      </c>
      <c r="BK34" s="25">
        <f t="shared" si="58"/>
        <v>17.333333333333332</v>
      </c>
      <c r="BL34">
        <v>6</v>
      </c>
      <c r="BM34">
        <f t="shared" si="59"/>
        <v>69.333333333333329</v>
      </c>
      <c r="BN34">
        <f t="shared" si="60"/>
        <v>1</v>
      </c>
      <c r="BO34" s="20">
        <v>30</v>
      </c>
      <c r="BP34">
        <f t="shared" si="61"/>
        <v>2</v>
      </c>
      <c r="BQ34" s="20">
        <v>60</v>
      </c>
      <c r="CA34" s="8" t="s">
        <v>596</v>
      </c>
      <c r="CB34" s="3" t="s">
        <v>198</v>
      </c>
      <c r="CC34" s="3" t="s">
        <v>878</v>
      </c>
      <c r="CE34" s="2" t="s">
        <v>317</v>
      </c>
      <c r="CF34" s="6" t="s">
        <v>318</v>
      </c>
      <c r="CH34" t="str">
        <f t="shared" si="62"/>
        <v>DATA_Class_Base17</v>
      </c>
      <c r="CI34" s="6" t="s">
        <v>318</v>
      </c>
    </row>
    <row r="35" spans="1:87">
      <c r="A35">
        <f t="shared" si="36"/>
        <v>3032601</v>
      </c>
      <c r="B35" s="6" t="s">
        <v>307</v>
      </c>
      <c r="C35">
        <v>3</v>
      </c>
      <c r="D35">
        <v>6</v>
      </c>
      <c r="E35">
        <v>2</v>
      </c>
      <c r="F35" s="3" t="s">
        <v>308</v>
      </c>
      <c r="G35" s="3" t="s">
        <v>308</v>
      </c>
      <c r="H35">
        <v>0</v>
      </c>
      <c r="I35">
        <v>0</v>
      </c>
      <c r="J35" s="2">
        <v>0</v>
      </c>
      <c r="K35" s="2" t="s">
        <v>309</v>
      </c>
      <c r="L35" s="2">
        <f t="shared" si="37"/>
        <v>6</v>
      </c>
      <c r="M35" s="2">
        <f t="shared" si="38"/>
        <v>1.5</v>
      </c>
      <c r="N35" s="2">
        <f t="shared" si="39"/>
        <v>2</v>
      </c>
      <c r="O35" s="2">
        <v>10</v>
      </c>
      <c r="P35" s="2">
        <f t="shared" si="40"/>
        <v>105.6</v>
      </c>
      <c r="Q35" s="2">
        <f t="shared" si="41"/>
        <v>10.56</v>
      </c>
      <c r="R35" s="2">
        <f t="shared" si="42"/>
        <v>1047.27</v>
      </c>
      <c r="S35" s="2">
        <f t="shared" si="43"/>
        <v>104.73</v>
      </c>
      <c r="T35" s="2">
        <f t="shared" si="44"/>
        <v>21.12</v>
      </c>
      <c r="U35" s="2">
        <f t="shared" si="45"/>
        <v>2.11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3">
        <v>326011</v>
      </c>
      <c r="AB35" s="14" t="s">
        <v>310</v>
      </c>
      <c r="AC35" s="15" t="s">
        <v>869</v>
      </c>
      <c r="AD35" s="2">
        <v>3042601</v>
      </c>
      <c r="AE35" s="2">
        <v>4</v>
      </c>
      <c r="AF35" s="2">
        <v>1</v>
      </c>
      <c r="AG35" s="2">
        <f t="shared" si="65"/>
        <v>3032601</v>
      </c>
      <c r="AH35" s="2">
        <v>2</v>
      </c>
      <c r="AI35" s="2"/>
      <c r="AJ35">
        <v>1</v>
      </c>
      <c r="AK35" s="1">
        <f t="shared" si="46"/>
        <v>28.232607186029171</v>
      </c>
      <c r="AL35">
        <v>3</v>
      </c>
      <c r="AM35">
        <f t="shared" si="66"/>
        <v>105.6</v>
      </c>
      <c r="AN35">
        <f t="shared" si="67"/>
        <v>10.56</v>
      </c>
      <c r="AO35">
        <f t="shared" si="68"/>
        <v>1047.2727272727273</v>
      </c>
      <c r="AP35">
        <f t="shared" si="69"/>
        <v>104.72727272727273</v>
      </c>
      <c r="AQ35">
        <f t="shared" si="70"/>
        <v>21.119999999999997</v>
      </c>
      <c r="AR35">
        <f t="shared" si="71"/>
        <v>2.1119999999999997</v>
      </c>
      <c r="AS35">
        <f t="shared" si="72"/>
        <v>1.5</v>
      </c>
      <c r="AT35">
        <f t="shared" si="73"/>
        <v>2</v>
      </c>
      <c r="AU35">
        <f t="shared" si="74"/>
        <v>6</v>
      </c>
      <c r="AV35">
        <f t="shared" si="64"/>
        <v>6012</v>
      </c>
      <c r="AW35" s="1">
        <v>1</v>
      </c>
      <c r="AX35">
        <v>3</v>
      </c>
      <c r="AY35">
        <v>0</v>
      </c>
      <c r="BA35">
        <v>6</v>
      </c>
      <c r="BB35">
        <v>2</v>
      </c>
      <c r="BC35" s="20">
        <v>5014</v>
      </c>
      <c r="BD35" s="59" t="s">
        <v>190</v>
      </c>
      <c r="BE35" s="20">
        <v>1.3</v>
      </c>
      <c r="BF35" s="20">
        <f t="shared" si="19"/>
        <v>0.76923076923076916</v>
      </c>
      <c r="BG35" s="22">
        <v>9</v>
      </c>
      <c r="BH35" s="23">
        <v>1.6</v>
      </c>
      <c r="BI35" s="25">
        <f t="shared" si="56"/>
        <v>110.93333333333334</v>
      </c>
      <c r="BJ35" s="25">
        <f t="shared" si="57"/>
        <v>738.46153846153834</v>
      </c>
      <c r="BK35" s="25">
        <f t="shared" si="58"/>
        <v>12.325925925925926</v>
      </c>
      <c r="BL35">
        <v>6</v>
      </c>
      <c r="BM35">
        <f t="shared" si="59"/>
        <v>69.333333333333329</v>
      </c>
      <c r="BN35">
        <f t="shared" si="60"/>
        <v>1.3333333333333333</v>
      </c>
      <c r="BO35" s="20">
        <v>40</v>
      </c>
      <c r="BP35">
        <f t="shared" si="61"/>
        <v>2</v>
      </c>
      <c r="BQ35" s="20">
        <v>60</v>
      </c>
      <c r="CA35" s="8" t="s">
        <v>600</v>
      </c>
      <c r="CB35" s="3" t="s">
        <v>407</v>
      </c>
      <c r="CC35" s="3" t="s">
        <v>879</v>
      </c>
      <c r="CE35" s="2" t="s">
        <v>323</v>
      </c>
      <c r="CF35" s="6" t="s">
        <v>324</v>
      </c>
      <c r="CH35" t="str">
        <f t="shared" si="62"/>
        <v>DATA_Class_Base18</v>
      </c>
      <c r="CI35" s="6" t="s">
        <v>324</v>
      </c>
    </row>
    <row r="36" spans="1:87">
      <c r="A36">
        <f t="shared" si="36"/>
        <v>3033200</v>
      </c>
      <c r="B36" s="6" t="s">
        <v>294</v>
      </c>
      <c r="C36">
        <v>3</v>
      </c>
      <c r="D36">
        <v>2</v>
      </c>
      <c r="E36">
        <v>3</v>
      </c>
      <c r="F36" s="3" t="s">
        <v>313</v>
      </c>
      <c r="G36" s="3" t="s">
        <v>313</v>
      </c>
      <c r="H36">
        <v>0</v>
      </c>
      <c r="I36">
        <v>0</v>
      </c>
      <c r="J36">
        <v>0</v>
      </c>
      <c r="K36" s="2" t="s">
        <v>314</v>
      </c>
      <c r="L36" s="2">
        <f t="shared" si="37"/>
        <v>3</v>
      </c>
      <c r="M36" s="2">
        <f t="shared" si="38"/>
        <v>1.5</v>
      </c>
      <c r="N36" s="2">
        <f t="shared" si="39"/>
        <v>1.2</v>
      </c>
      <c r="O36" s="2">
        <v>10</v>
      </c>
      <c r="P36" s="2">
        <f t="shared" si="40"/>
        <v>67.2</v>
      </c>
      <c r="Q36" s="2">
        <f t="shared" si="41"/>
        <v>6.72</v>
      </c>
      <c r="R36" s="2">
        <f t="shared" si="42"/>
        <v>1645.71</v>
      </c>
      <c r="S36" s="2">
        <f t="shared" si="43"/>
        <v>164.57</v>
      </c>
      <c r="T36" s="2">
        <f t="shared" si="44"/>
        <v>33.6</v>
      </c>
      <c r="U36" s="2">
        <f t="shared" si="45"/>
        <v>3.36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3">
        <v>332001</v>
      </c>
      <c r="AB36" s="14" t="s">
        <v>315</v>
      </c>
      <c r="AC36" s="15" t="s">
        <v>869</v>
      </c>
      <c r="AD36" s="2">
        <v>3043200</v>
      </c>
      <c r="AE36" s="2">
        <v>4</v>
      </c>
      <c r="AF36" s="2">
        <v>1</v>
      </c>
      <c r="AG36" s="2">
        <f t="shared" si="65"/>
        <v>3033200</v>
      </c>
      <c r="AH36" s="2">
        <v>2</v>
      </c>
      <c r="AI36" s="2"/>
      <c r="AJ36">
        <v>1</v>
      </c>
      <c r="AK36" s="1">
        <f t="shared" si="46"/>
        <v>28.310699893613588</v>
      </c>
      <c r="AL36">
        <v>3</v>
      </c>
      <c r="AM36">
        <f t="shared" si="66"/>
        <v>67.199999999999974</v>
      </c>
      <c r="AN36">
        <f t="shared" si="67"/>
        <v>6.719999999999998</v>
      </c>
      <c r="AO36">
        <f t="shared" si="68"/>
        <v>1645.7142857142858</v>
      </c>
      <c r="AP36">
        <f t="shared" si="69"/>
        <v>164.57142857142858</v>
      </c>
      <c r="AQ36">
        <f t="shared" si="70"/>
        <v>33.599999999999987</v>
      </c>
      <c r="AR36">
        <f t="shared" si="71"/>
        <v>3.359999999999999</v>
      </c>
      <c r="AS36">
        <f t="shared" si="72"/>
        <v>1.5</v>
      </c>
      <c r="AT36">
        <f t="shared" si="73"/>
        <v>1.2</v>
      </c>
      <c r="AU36">
        <f t="shared" si="74"/>
        <v>3</v>
      </c>
      <c r="AV36">
        <f t="shared" si="64"/>
        <v>2003</v>
      </c>
      <c r="AW36" s="1">
        <v>0</v>
      </c>
      <c r="AX36">
        <v>3</v>
      </c>
      <c r="AY36">
        <v>0</v>
      </c>
      <c r="BA36">
        <v>2</v>
      </c>
      <c r="BB36">
        <v>3</v>
      </c>
      <c r="BC36" s="20">
        <v>5015</v>
      </c>
      <c r="BD36" s="59"/>
      <c r="BE36" s="20">
        <v>1.45</v>
      </c>
      <c r="BF36" s="20">
        <f t="shared" si="19"/>
        <v>0.68965517241379315</v>
      </c>
      <c r="BG36" s="22">
        <v>9</v>
      </c>
      <c r="BH36" s="23">
        <v>1.6</v>
      </c>
      <c r="BI36" s="25">
        <f t="shared" si="56"/>
        <v>123.73333333333335</v>
      </c>
      <c r="BJ36" s="25">
        <f t="shared" si="57"/>
        <v>662.06896551724139</v>
      </c>
      <c r="BK36" s="25">
        <f t="shared" si="58"/>
        <v>13.74814814814815</v>
      </c>
      <c r="BL36">
        <v>6</v>
      </c>
      <c r="BM36">
        <f t="shared" si="59"/>
        <v>77.333333333333343</v>
      </c>
      <c r="BN36">
        <f t="shared" si="60"/>
        <v>1.3333333333333333</v>
      </c>
      <c r="BO36" s="20">
        <v>40</v>
      </c>
      <c r="BP36">
        <f t="shared" si="61"/>
        <v>2</v>
      </c>
      <c r="BQ36" s="20">
        <v>60</v>
      </c>
      <c r="CA36" s="8" t="s">
        <v>604</v>
      </c>
      <c r="CB36" s="3" t="s">
        <v>163</v>
      </c>
      <c r="CC36" s="3" t="s">
        <v>880</v>
      </c>
      <c r="CE36" s="2" t="s">
        <v>301</v>
      </c>
      <c r="CF36" s="6" t="s">
        <v>331</v>
      </c>
      <c r="CH36" t="str">
        <f t="shared" si="62"/>
        <v>DATA_Class_Base19</v>
      </c>
      <c r="CI36" s="6" t="s">
        <v>331</v>
      </c>
    </row>
    <row r="37" spans="1:87">
      <c r="A37">
        <f t="shared" si="36"/>
        <v>3031401</v>
      </c>
      <c r="B37" s="6" t="s">
        <v>317</v>
      </c>
      <c r="C37">
        <v>3</v>
      </c>
      <c r="D37">
        <v>4</v>
      </c>
      <c r="E37">
        <v>1</v>
      </c>
      <c r="F37" s="3" t="s">
        <v>319</v>
      </c>
      <c r="G37" s="3" t="s">
        <v>319</v>
      </c>
      <c r="H37">
        <v>0</v>
      </c>
      <c r="I37">
        <v>0</v>
      </c>
      <c r="J37">
        <v>0</v>
      </c>
      <c r="K37" s="2" t="s">
        <v>161</v>
      </c>
      <c r="L37" s="2">
        <f t="shared" si="37"/>
        <v>6</v>
      </c>
      <c r="M37" s="2">
        <f t="shared" si="38"/>
        <v>1.6</v>
      </c>
      <c r="N37" s="2">
        <f t="shared" si="39"/>
        <v>1.5</v>
      </c>
      <c r="O37" s="2">
        <v>10</v>
      </c>
      <c r="P37" s="2">
        <f t="shared" si="40"/>
        <v>122.88</v>
      </c>
      <c r="Q37" s="2">
        <f t="shared" si="41"/>
        <v>12.29</v>
      </c>
      <c r="R37" s="2">
        <f t="shared" si="42"/>
        <v>960</v>
      </c>
      <c r="S37" s="2">
        <f t="shared" si="43"/>
        <v>96</v>
      </c>
      <c r="T37" s="2">
        <f t="shared" si="44"/>
        <v>20.48</v>
      </c>
      <c r="U37" s="2">
        <f t="shared" si="45"/>
        <v>2.0499999999999998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3">
        <v>334011</v>
      </c>
      <c r="AB37" s="14" t="s">
        <v>320</v>
      </c>
      <c r="AC37" s="15" t="s">
        <v>869</v>
      </c>
      <c r="AD37" s="2">
        <v>3041401</v>
      </c>
      <c r="AE37" s="2">
        <v>4</v>
      </c>
      <c r="AF37" s="2">
        <v>1</v>
      </c>
      <c r="AG37" s="2">
        <f t="shared" si="65"/>
        <v>3031401</v>
      </c>
      <c r="AH37" s="2">
        <v>2</v>
      </c>
      <c r="AI37" s="2"/>
      <c r="AJ37">
        <v>1</v>
      </c>
      <c r="AK37" s="1">
        <f t="shared" si="46"/>
        <v>28.228614043434092</v>
      </c>
      <c r="AL37">
        <v>3</v>
      </c>
      <c r="AM37">
        <f t="shared" si="66"/>
        <v>122.88</v>
      </c>
      <c r="AN37">
        <f t="shared" si="67"/>
        <v>12.288</v>
      </c>
      <c r="AO37">
        <f t="shared" si="68"/>
        <v>960</v>
      </c>
      <c r="AP37">
        <f t="shared" si="69"/>
        <v>96</v>
      </c>
      <c r="AQ37">
        <f t="shared" si="70"/>
        <v>20.48</v>
      </c>
      <c r="AR37">
        <f t="shared" si="71"/>
        <v>2.048</v>
      </c>
      <c r="AS37">
        <f t="shared" si="72"/>
        <v>1.6</v>
      </c>
      <c r="AT37">
        <f t="shared" si="73"/>
        <v>1.5</v>
      </c>
      <c r="AU37">
        <f t="shared" si="74"/>
        <v>6</v>
      </c>
      <c r="AV37">
        <f t="shared" si="64"/>
        <v>4013</v>
      </c>
      <c r="AW37" s="1">
        <v>1</v>
      </c>
      <c r="AX37">
        <v>3</v>
      </c>
      <c r="AY37">
        <v>0</v>
      </c>
      <c r="BA37">
        <v>4</v>
      </c>
      <c r="BB37">
        <v>3</v>
      </c>
      <c r="BC37" s="20">
        <v>5021</v>
      </c>
      <c r="BD37" s="59" t="s">
        <v>386</v>
      </c>
      <c r="BE37" s="20">
        <v>1.3</v>
      </c>
      <c r="BF37" s="20">
        <f t="shared" si="19"/>
        <v>0.76923076923076916</v>
      </c>
      <c r="BG37" s="22">
        <v>6.5</v>
      </c>
      <c r="BH37" s="23">
        <v>1.4</v>
      </c>
      <c r="BI37" s="25">
        <f t="shared" si="56"/>
        <v>97.066666666666663</v>
      </c>
      <c r="BJ37" s="25">
        <f t="shared" si="57"/>
        <v>738.46153846153834</v>
      </c>
      <c r="BK37" s="25">
        <f t="shared" si="58"/>
        <v>14.933333333333334</v>
      </c>
      <c r="BL37">
        <v>6</v>
      </c>
      <c r="BM37">
        <f t="shared" si="59"/>
        <v>69.333333333333329</v>
      </c>
      <c r="BN37">
        <f t="shared" si="60"/>
        <v>1</v>
      </c>
      <c r="BO37" s="20">
        <v>30</v>
      </c>
      <c r="BP37">
        <f t="shared" si="61"/>
        <v>2</v>
      </c>
      <c r="BQ37" s="20">
        <v>60</v>
      </c>
      <c r="CA37" s="8" t="s">
        <v>609</v>
      </c>
      <c r="CB37" s="3" t="s">
        <v>881</v>
      </c>
      <c r="CC37" s="3" t="s">
        <v>882</v>
      </c>
      <c r="CE37" s="2" t="s">
        <v>289</v>
      </c>
      <c r="CF37" s="6" t="s">
        <v>336</v>
      </c>
      <c r="CH37" t="str">
        <f t="shared" si="62"/>
        <v>DATA_Class_Base20</v>
      </c>
      <c r="CI37" s="6" t="s">
        <v>336</v>
      </c>
    </row>
    <row r="38" spans="1:87">
      <c r="A38">
        <f t="shared" si="36"/>
        <v>3033402</v>
      </c>
      <c r="B38" s="6" t="s">
        <v>323</v>
      </c>
      <c r="C38">
        <v>3</v>
      </c>
      <c r="D38">
        <v>4</v>
      </c>
      <c r="E38">
        <v>3</v>
      </c>
      <c r="F38" s="3" t="s">
        <v>325</v>
      </c>
      <c r="G38" s="3" t="s">
        <v>325</v>
      </c>
      <c r="H38">
        <v>0</v>
      </c>
      <c r="I38">
        <v>0</v>
      </c>
      <c r="J38" s="2">
        <v>0</v>
      </c>
      <c r="K38" s="2" t="s">
        <v>250</v>
      </c>
      <c r="L38" s="2">
        <f t="shared" si="37"/>
        <v>6</v>
      </c>
      <c r="M38" s="2">
        <f t="shared" si="38"/>
        <v>1.5</v>
      </c>
      <c r="N38" s="2">
        <f t="shared" si="39"/>
        <v>1.5</v>
      </c>
      <c r="O38" s="2">
        <v>10</v>
      </c>
      <c r="P38" s="2">
        <f t="shared" si="40"/>
        <v>124.8</v>
      </c>
      <c r="Q38" s="2">
        <f t="shared" si="41"/>
        <v>12.48</v>
      </c>
      <c r="R38" s="2">
        <f t="shared" si="42"/>
        <v>886.15</v>
      </c>
      <c r="S38" s="2">
        <f t="shared" si="43"/>
        <v>88.62</v>
      </c>
      <c r="T38" s="2">
        <f t="shared" si="44"/>
        <v>17.829999999999998</v>
      </c>
      <c r="U38" s="2">
        <f t="shared" si="45"/>
        <v>1.78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3">
        <v>334021</v>
      </c>
      <c r="AB38" s="14" t="s">
        <v>326</v>
      </c>
      <c r="AC38" s="15" t="s">
        <v>869</v>
      </c>
      <c r="AD38" s="2">
        <v>3043402</v>
      </c>
      <c r="AE38" s="2">
        <v>4</v>
      </c>
      <c r="AF38" s="2">
        <v>1</v>
      </c>
      <c r="AG38" s="2">
        <f t="shared" si="65"/>
        <v>3033402</v>
      </c>
      <c r="AH38" s="2">
        <v>2</v>
      </c>
      <c r="AI38" s="2"/>
      <c r="AJ38">
        <v>1</v>
      </c>
      <c r="AK38" s="1">
        <f t="shared" si="46"/>
        <v>28.212083050318505</v>
      </c>
      <c r="AL38">
        <v>3</v>
      </c>
      <c r="AM38">
        <f t="shared" si="66"/>
        <v>124.8</v>
      </c>
      <c r="AN38">
        <f t="shared" si="67"/>
        <v>12.48</v>
      </c>
      <c r="AO38">
        <f t="shared" si="68"/>
        <v>886.15384615384596</v>
      </c>
      <c r="AP38">
        <f t="shared" si="69"/>
        <v>88.615384615384599</v>
      </c>
      <c r="AQ38">
        <f t="shared" si="70"/>
        <v>17.828571428571429</v>
      </c>
      <c r="AR38">
        <f t="shared" si="71"/>
        <v>1.7828571428571429</v>
      </c>
      <c r="AS38">
        <f t="shared" si="72"/>
        <v>1.5</v>
      </c>
      <c r="AT38">
        <f t="shared" si="73"/>
        <v>1.5</v>
      </c>
      <c r="AU38">
        <f t="shared" si="74"/>
        <v>6</v>
      </c>
      <c r="AV38">
        <f t="shared" si="64"/>
        <v>4023</v>
      </c>
      <c r="AW38" s="1">
        <v>2</v>
      </c>
      <c r="AX38">
        <v>3</v>
      </c>
      <c r="AY38">
        <v>0</v>
      </c>
      <c r="BA38">
        <v>4</v>
      </c>
      <c r="BB38">
        <v>3</v>
      </c>
      <c r="BC38" s="20">
        <v>5022</v>
      </c>
      <c r="BD38" s="59"/>
      <c r="BE38" s="20">
        <v>1.55</v>
      </c>
      <c r="BF38" s="20">
        <f t="shared" si="19"/>
        <v>0.64516129032258063</v>
      </c>
      <c r="BG38" s="22">
        <v>10</v>
      </c>
      <c r="BH38" s="23">
        <v>1.4</v>
      </c>
      <c r="BI38" s="25">
        <f t="shared" si="56"/>
        <v>115.73333333333333</v>
      </c>
      <c r="BJ38" s="25">
        <f t="shared" si="57"/>
        <v>619.35483870967744</v>
      </c>
      <c r="BK38" s="25">
        <f t="shared" si="58"/>
        <v>11.573333333333334</v>
      </c>
      <c r="BL38">
        <v>6</v>
      </c>
      <c r="BM38">
        <f t="shared" si="59"/>
        <v>82.666666666666671</v>
      </c>
      <c r="BN38">
        <f t="shared" si="60"/>
        <v>1</v>
      </c>
      <c r="BO38" s="20">
        <v>30</v>
      </c>
      <c r="BP38">
        <f t="shared" si="61"/>
        <v>2</v>
      </c>
      <c r="BQ38" s="20">
        <v>60</v>
      </c>
      <c r="CA38" s="8" t="s">
        <v>614</v>
      </c>
      <c r="CB38" s="3" t="s">
        <v>883</v>
      </c>
      <c r="CC38" s="3" t="s">
        <v>884</v>
      </c>
      <c r="CE38" s="2" t="s">
        <v>307</v>
      </c>
      <c r="CF38" s="6" t="s">
        <v>342</v>
      </c>
      <c r="CH38" t="str">
        <f t="shared" si="62"/>
        <v>DATA_Class_Base21</v>
      </c>
      <c r="CI38" s="6" t="s">
        <v>342</v>
      </c>
    </row>
    <row r="39" spans="1:87">
      <c r="A39">
        <f t="shared" si="36"/>
        <v>3033501</v>
      </c>
      <c r="B39" s="6" t="s">
        <v>332</v>
      </c>
      <c r="C39">
        <v>3</v>
      </c>
      <c r="D39">
        <v>5</v>
      </c>
      <c r="E39">
        <v>3</v>
      </c>
      <c r="F39" s="3" t="s">
        <v>333</v>
      </c>
      <c r="G39" s="3" t="s">
        <v>333</v>
      </c>
      <c r="H39">
        <v>0</v>
      </c>
      <c r="I39">
        <v>0</v>
      </c>
      <c r="J39">
        <v>0</v>
      </c>
      <c r="K39" s="2" t="s">
        <v>334</v>
      </c>
      <c r="L39" s="2">
        <f t="shared" si="37"/>
        <v>6</v>
      </c>
      <c r="M39" s="2">
        <f t="shared" si="38"/>
        <v>1.6</v>
      </c>
      <c r="N39" s="2">
        <f t="shared" si="39"/>
        <v>2</v>
      </c>
      <c r="O39" s="2">
        <v>10</v>
      </c>
      <c r="P39" s="2">
        <f t="shared" si="40"/>
        <v>133.12</v>
      </c>
      <c r="Q39" s="2">
        <f t="shared" si="41"/>
        <v>13.31</v>
      </c>
      <c r="R39" s="2">
        <f t="shared" si="42"/>
        <v>886.15</v>
      </c>
      <c r="S39" s="2">
        <f t="shared" si="43"/>
        <v>88.62</v>
      </c>
      <c r="T39" s="2">
        <f t="shared" si="44"/>
        <v>14.79</v>
      </c>
      <c r="U39" s="2">
        <f t="shared" si="45"/>
        <v>1.48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3">
        <v>345011</v>
      </c>
      <c r="AB39" s="14" t="s">
        <v>335</v>
      </c>
      <c r="AC39" s="15" t="s">
        <v>869</v>
      </c>
      <c r="AD39">
        <v>3043501</v>
      </c>
      <c r="AE39" s="2">
        <v>5</v>
      </c>
      <c r="AF39" s="2">
        <v>1</v>
      </c>
      <c r="AG39" s="2">
        <f t="shared" si="65"/>
        <v>3033501</v>
      </c>
      <c r="AH39" s="2">
        <v>2</v>
      </c>
      <c r="AI39" s="2"/>
      <c r="AJ39">
        <v>1</v>
      </c>
      <c r="AK39" s="1">
        <f t="shared" si="46"/>
        <v>28.1931690250372</v>
      </c>
      <c r="AL39">
        <v>3</v>
      </c>
      <c r="AM39">
        <f t="shared" si="66"/>
        <v>133.12</v>
      </c>
      <c r="AN39">
        <f t="shared" si="67"/>
        <v>13.312000000000001</v>
      </c>
      <c r="AO39">
        <f t="shared" si="68"/>
        <v>886.15384615384596</v>
      </c>
      <c r="AP39">
        <f t="shared" si="69"/>
        <v>88.615384615384599</v>
      </c>
      <c r="AQ39">
        <f t="shared" si="70"/>
        <v>14.791111111111112</v>
      </c>
      <c r="AR39">
        <f t="shared" si="71"/>
        <v>1.4791111111111113</v>
      </c>
      <c r="AS39">
        <f t="shared" si="72"/>
        <v>1.6</v>
      </c>
      <c r="AT39">
        <f t="shared" si="73"/>
        <v>2</v>
      </c>
      <c r="AU39">
        <f t="shared" si="74"/>
        <v>6</v>
      </c>
      <c r="AV39">
        <f t="shared" si="64"/>
        <v>5014</v>
      </c>
      <c r="AW39" s="1">
        <v>1</v>
      </c>
      <c r="AX39">
        <v>3</v>
      </c>
      <c r="AY39">
        <v>0</v>
      </c>
      <c r="BA39">
        <v>5</v>
      </c>
      <c r="BB39">
        <v>4</v>
      </c>
      <c r="BC39" s="20">
        <v>5023</v>
      </c>
      <c r="BD39" s="59"/>
      <c r="BE39" s="20">
        <v>1.35</v>
      </c>
      <c r="BF39" s="20">
        <f t="shared" si="19"/>
        <v>0.7407407407407407</v>
      </c>
      <c r="BG39" s="22">
        <v>7</v>
      </c>
      <c r="BH39" s="23">
        <v>1.4</v>
      </c>
      <c r="BI39" s="25">
        <f t="shared" si="56"/>
        <v>100.8</v>
      </c>
      <c r="BJ39" s="25">
        <f t="shared" si="57"/>
        <v>711.11111111111109</v>
      </c>
      <c r="BK39" s="25">
        <f t="shared" si="58"/>
        <v>14.4</v>
      </c>
      <c r="BL39">
        <v>6</v>
      </c>
      <c r="BM39">
        <f t="shared" si="59"/>
        <v>72</v>
      </c>
      <c r="BN39">
        <f t="shared" si="60"/>
        <v>1</v>
      </c>
      <c r="BO39" s="20">
        <v>30</v>
      </c>
      <c r="BP39">
        <f t="shared" si="61"/>
        <v>2</v>
      </c>
      <c r="BQ39" s="20">
        <v>60</v>
      </c>
      <c r="CA39" s="8" t="s">
        <v>618</v>
      </c>
      <c r="CB39" s="3" t="s">
        <v>885</v>
      </c>
      <c r="CC39" s="3" t="s">
        <v>886</v>
      </c>
      <c r="CE39" s="2" t="s">
        <v>332</v>
      </c>
      <c r="CF39" s="6" t="s">
        <v>349</v>
      </c>
      <c r="CH39" t="str">
        <f t="shared" si="62"/>
        <v>DATA_Class_Base13</v>
      </c>
      <c r="CI39" s="6" t="s">
        <v>295</v>
      </c>
    </row>
    <row r="40" spans="1:87">
      <c r="A40">
        <f t="shared" si="36"/>
        <v>3033600</v>
      </c>
      <c r="B40" s="6" t="s">
        <v>337</v>
      </c>
      <c r="C40">
        <v>3</v>
      </c>
      <c r="D40">
        <v>6</v>
      </c>
      <c r="E40">
        <v>3</v>
      </c>
      <c r="F40" s="3" t="s">
        <v>338</v>
      </c>
      <c r="G40" s="3" t="s">
        <v>338</v>
      </c>
      <c r="H40">
        <v>0</v>
      </c>
      <c r="I40">
        <v>0</v>
      </c>
      <c r="J40" s="2">
        <v>0</v>
      </c>
      <c r="K40" s="2" t="s">
        <v>339</v>
      </c>
      <c r="L40" s="2">
        <f t="shared" si="37"/>
        <v>3</v>
      </c>
      <c r="M40" s="2">
        <f t="shared" si="38"/>
        <v>1.4000000000000001</v>
      </c>
      <c r="N40" s="2">
        <f t="shared" si="39"/>
        <v>1.9000000000000001</v>
      </c>
      <c r="O40" s="2">
        <v>10</v>
      </c>
      <c r="P40" s="2">
        <f t="shared" si="40"/>
        <v>98.56</v>
      </c>
      <c r="Q40" s="2">
        <f t="shared" si="41"/>
        <v>9.86</v>
      </c>
      <c r="R40" s="2">
        <f t="shared" si="42"/>
        <v>1047.27</v>
      </c>
      <c r="S40" s="2">
        <f t="shared" si="43"/>
        <v>104.73</v>
      </c>
      <c r="T40" s="2">
        <f t="shared" si="44"/>
        <v>24.64</v>
      </c>
      <c r="U40" s="2">
        <f t="shared" si="45"/>
        <v>2.46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3">
        <v>346001</v>
      </c>
      <c r="AB40" s="14" t="s">
        <v>340</v>
      </c>
      <c r="AC40" s="15" t="s">
        <v>869</v>
      </c>
      <c r="AD40">
        <v>3043600</v>
      </c>
      <c r="AE40" s="2">
        <v>5</v>
      </c>
      <c r="AF40" s="2">
        <v>1</v>
      </c>
      <c r="AG40" s="2">
        <f t="shared" si="65"/>
        <v>3033600</v>
      </c>
      <c r="AH40" s="2">
        <v>2</v>
      </c>
      <c r="AI40" s="2"/>
      <c r="AJ40">
        <v>1</v>
      </c>
      <c r="AK40" s="1">
        <f t="shared" si="46"/>
        <v>28.254589679735908</v>
      </c>
      <c r="AL40">
        <v>3</v>
      </c>
      <c r="AM40">
        <f t="shared" si="66"/>
        <v>98.559999999999988</v>
      </c>
      <c r="AN40">
        <f t="shared" si="67"/>
        <v>9.8559999999999999</v>
      </c>
      <c r="AO40">
        <f t="shared" si="68"/>
        <v>1047.2727272727273</v>
      </c>
      <c r="AP40">
        <f t="shared" si="69"/>
        <v>104.72727272727273</v>
      </c>
      <c r="AQ40">
        <f t="shared" si="70"/>
        <v>24.639999999999997</v>
      </c>
      <c r="AR40">
        <f t="shared" si="71"/>
        <v>2.464</v>
      </c>
      <c r="AS40">
        <f t="shared" si="72"/>
        <v>1.4</v>
      </c>
      <c r="AT40">
        <f t="shared" si="73"/>
        <v>1.9</v>
      </c>
      <c r="AU40">
        <f t="shared" si="74"/>
        <v>3</v>
      </c>
      <c r="AV40">
        <f t="shared" si="64"/>
        <v>6004</v>
      </c>
      <c r="AW40" s="1">
        <v>0</v>
      </c>
      <c r="AX40">
        <v>3</v>
      </c>
      <c r="AY40">
        <v>0</v>
      </c>
      <c r="BA40">
        <v>6</v>
      </c>
      <c r="BB40">
        <v>4</v>
      </c>
      <c r="BC40" s="20">
        <v>6004</v>
      </c>
      <c r="BD40" s="21" t="s">
        <v>198</v>
      </c>
      <c r="BE40" s="20">
        <v>1.1000000000000001</v>
      </c>
      <c r="BF40" s="20">
        <f t="shared" si="19"/>
        <v>0.90909090909090906</v>
      </c>
      <c r="BG40" s="22">
        <v>4</v>
      </c>
      <c r="BH40" s="23">
        <v>1.4</v>
      </c>
      <c r="BI40" s="25">
        <f t="shared" si="56"/>
        <v>82.133333333333326</v>
      </c>
      <c r="BJ40" s="25">
        <f t="shared" si="57"/>
        <v>872.72727272727275</v>
      </c>
      <c r="BK40" s="25">
        <f t="shared" si="58"/>
        <v>20.533333333333331</v>
      </c>
      <c r="BL40">
        <v>3</v>
      </c>
      <c r="BM40">
        <f t="shared" si="59"/>
        <v>58.666666666666664</v>
      </c>
      <c r="BN40">
        <f t="shared" si="60"/>
        <v>1</v>
      </c>
      <c r="BO40" s="20">
        <v>30</v>
      </c>
      <c r="BP40">
        <f t="shared" si="61"/>
        <v>1.6666666666666667</v>
      </c>
      <c r="BQ40" s="20">
        <v>50</v>
      </c>
      <c r="CA40" s="8" t="s">
        <v>622</v>
      </c>
      <c r="CB40" s="3" t="s">
        <v>887</v>
      </c>
      <c r="CC40" s="3" t="s">
        <v>888</v>
      </c>
      <c r="CE40" s="2" t="s">
        <v>337</v>
      </c>
      <c r="CF40" s="6" t="s">
        <v>355</v>
      </c>
      <c r="CH40" t="str">
        <f t="shared" si="62"/>
        <v>DATA_Class_Base14</v>
      </c>
      <c r="CI40" s="6" t="s">
        <v>300</v>
      </c>
    </row>
    <row r="41" spans="1:87">
      <c r="A41">
        <f t="shared" si="36"/>
        <v>3031602</v>
      </c>
      <c r="B41" s="6" t="s">
        <v>343</v>
      </c>
      <c r="C41">
        <v>3</v>
      </c>
      <c r="D41">
        <v>6</v>
      </c>
      <c r="E41">
        <v>1</v>
      </c>
      <c r="F41" s="3" t="s">
        <v>344</v>
      </c>
      <c r="G41" s="3" t="s">
        <v>344</v>
      </c>
      <c r="H41">
        <v>0</v>
      </c>
      <c r="I41">
        <v>0</v>
      </c>
      <c r="J41" t="s">
        <v>345</v>
      </c>
      <c r="K41" s="2" t="s">
        <v>346</v>
      </c>
      <c r="L41" s="2">
        <f t="shared" si="37"/>
        <v>6</v>
      </c>
      <c r="M41" s="2">
        <f t="shared" si="38"/>
        <v>1.8</v>
      </c>
      <c r="N41" s="2">
        <f t="shared" si="39"/>
        <v>2</v>
      </c>
      <c r="O41" s="2">
        <v>10</v>
      </c>
      <c r="P41" s="2">
        <f t="shared" si="40"/>
        <v>115.2</v>
      </c>
      <c r="Q41" s="2">
        <f t="shared" si="41"/>
        <v>11.52</v>
      </c>
      <c r="R41" s="2">
        <f t="shared" si="42"/>
        <v>1152</v>
      </c>
      <c r="S41" s="2">
        <f t="shared" si="43"/>
        <v>115.2</v>
      </c>
      <c r="T41" s="2">
        <f t="shared" si="44"/>
        <v>23.04</v>
      </c>
      <c r="U41" s="2">
        <f t="shared" si="45"/>
        <v>2.2999999999999998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3">
        <v>346021</v>
      </c>
      <c r="AB41" s="14" t="s">
        <v>347</v>
      </c>
      <c r="AC41" s="15" t="s">
        <v>869</v>
      </c>
      <c r="AD41">
        <v>3041602</v>
      </c>
      <c r="AE41" s="2">
        <v>5</v>
      </c>
      <c r="AF41" s="2">
        <v>1</v>
      </c>
      <c r="AG41" s="2">
        <f t="shared" si="65"/>
        <v>3031602</v>
      </c>
      <c r="AH41" s="2">
        <v>2</v>
      </c>
      <c r="AI41" s="2"/>
      <c r="AJ41">
        <v>1</v>
      </c>
      <c r="AK41" s="1">
        <f t="shared" si="46"/>
        <v>28.244593395000575</v>
      </c>
      <c r="AL41">
        <v>3</v>
      </c>
      <c r="AM41">
        <f t="shared" si="66"/>
        <v>115.19999999999999</v>
      </c>
      <c r="AN41">
        <f t="shared" si="67"/>
        <v>11.52</v>
      </c>
      <c r="AO41">
        <f t="shared" si="68"/>
        <v>1152</v>
      </c>
      <c r="AP41">
        <f t="shared" si="69"/>
        <v>115.2</v>
      </c>
      <c r="AQ41">
        <f t="shared" si="70"/>
        <v>23.04</v>
      </c>
      <c r="AR41">
        <f t="shared" si="71"/>
        <v>2.3039999999999998</v>
      </c>
      <c r="AS41">
        <f t="shared" si="72"/>
        <v>1.8</v>
      </c>
      <c r="AT41">
        <f t="shared" si="73"/>
        <v>2</v>
      </c>
      <c r="AU41">
        <f t="shared" si="74"/>
        <v>6</v>
      </c>
      <c r="AV41">
        <f t="shared" si="64"/>
        <v>6024</v>
      </c>
      <c r="AW41" s="1">
        <v>2</v>
      </c>
      <c r="AX41">
        <v>3</v>
      </c>
      <c r="AY41">
        <v>0</v>
      </c>
      <c r="BA41">
        <v>6</v>
      </c>
      <c r="BB41">
        <v>4</v>
      </c>
      <c r="BC41" s="20">
        <v>6011</v>
      </c>
      <c r="BD41" s="59" t="s">
        <v>393</v>
      </c>
      <c r="BE41" s="20">
        <v>1</v>
      </c>
      <c r="BF41" s="20">
        <f t="shared" si="19"/>
        <v>1</v>
      </c>
      <c r="BG41" s="22">
        <v>4</v>
      </c>
      <c r="BH41" s="23">
        <v>1.5</v>
      </c>
      <c r="BI41" s="25">
        <f t="shared" si="56"/>
        <v>80</v>
      </c>
      <c r="BJ41" s="25">
        <f t="shared" si="57"/>
        <v>960</v>
      </c>
      <c r="BK41" s="25">
        <f t="shared" si="58"/>
        <v>20</v>
      </c>
      <c r="BL41">
        <v>6</v>
      </c>
      <c r="BM41">
        <f t="shared" ref="BM41:BM44" si="75">BI41/BH41</f>
        <v>53.333333333333336</v>
      </c>
      <c r="BN41">
        <f t="shared" ref="BN41:BN44" si="76">BO41/30</f>
        <v>1.2333333333333334</v>
      </c>
      <c r="BO41" s="20">
        <v>37</v>
      </c>
      <c r="BP41">
        <f t="shared" si="61"/>
        <v>2.1666666666666665</v>
      </c>
      <c r="BQ41" s="20">
        <v>65</v>
      </c>
      <c r="CE41" s="2" t="s">
        <v>343</v>
      </c>
      <c r="CF41" s="6" t="s">
        <v>361</v>
      </c>
      <c r="CH41" t="str">
        <f t="shared" si="62"/>
        <v>DATA_Class_Base15</v>
      </c>
      <c r="CI41" s="6" t="s">
        <v>306</v>
      </c>
    </row>
    <row r="42" spans="1:87">
      <c r="A42">
        <f t="shared" si="36"/>
        <v>3032300</v>
      </c>
      <c r="B42" s="6" t="s">
        <v>350</v>
      </c>
      <c r="C42">
        <v>3</v>
      </c>
      <c r="D42">
        <v>3</v>
      </c>
      <c r="E42">
        <v>2</v>
      </c>
      <c r="F42" s="3" t="s">
        <v>351</v>
      </c>
      <c r="G42" s="3" t="s">
        <v>351</v>
      </c>
      <c r="H42">
        <v>0</v>
      </c>
      <c r="I42">
        <v>0</v>
      </c>
      <c r="J42" s="2">
        <v>0</v>
      </c>
      <c r="K42" s="2" t="s">
        <v>352</v>
      </c>
      <c r="L42" s="2">
        <v>6</v>
      </c>
      <c r="M42" s="2">
        <f t="shared" si="38"/>
        <v>1.3</v>
      </c>
      <c r="N42" s="2">
        <f t="shared" si="39"/>
        <v>2</v>
      </c>
      <c r="O42" s="2">
        <v>10</v>
      </c>
      <c r="P42" s="2">
        <f t="shared" si="40"/>
        <v>95.68</v>
      </c>
      <c r="Q42" s="2">
        <f t="shared" si="41"/>
        <v>9.57</v>
      </c>
      <c r="R42" s="2">
        <f t="shared" si="42"/>
        <v>1001.74</v>
      </c>
      <c r="S42" s="2">
        <f t="shared" si="43"/>
        <v>100.17</v>
      </c>
      <c r="T42" s="2">
        <f t="shared" si="44"/>
        <v>11.96</v>
      </c>
      <c r="U42" s="2">
        <f t="shared" si="45"/>
        <v>1.2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3">
        <v>353001</v>
      </c>
      <c r="AB42" s="14" t="s">
        <v>353</v>
      </c>
      <c r="AC42" s="15" t="s">
        <v>869</v>
      </c>
      <c r="AD42">
        <v>3042300</v>
      </c>
      <c r="AE42" s="2">
        <v>5</v>
      </c>
      <c r="AF42" s="2">
        <v>1</v>
      </c>
      <c r="AG42" s="2">
        <f t="shared" si="65"/>
        <v>3032300</v>
      </c>
      <c r="AH42" s="2">
        <v>2</v>
      </c>
      <c r="AI42" s="2"/>
      <c r="AJ42">
        <v>1</v>
      </c>
      <c r="AK42" s="1">
        <f t="shared" si="46"/>
        <v>28.175562740683279</v>
      </c>
      <c r="AL42">
        <v>3</v>
      </c>
      <c r="AM42">
        <f t="shared" si="66"/>
        <v>95.679999999999978</v>
      </c>
      <c r="AN42">
        <f t="shared" si="67"/>
        <v>9.5679999999999978</v>
      </c>
      <c r="AO42">
        <f t="shared" si="68"/>
        <v>1001.7391304347826</v>
      </c>
      <c r="AP42">
        <f t="shared" si="69"/>
        <v>100.17391304347827</v>
      </c>
      <c r="AQ42">
        <f t="shared" si="70"/>
        <v>11.959999999999997</v>
      </c>
      <c r="AR42">
        <f t="shared" si="71"/>
        <v>1.1959999999999997</v>
      </c>
      <c r="AS42">
        <f t="shared" si="72"/>
        <v>1.3</v>
      </c>
      <c r="AT42">
        <f t="shared" si="73"/>
        <v>2</v>
      </c>
      <c r="AU42">
        <f t="shared" si="74"/>
        <v>3</v>
      </c>
      <c r="AV42">
        <f t="shared" si="64"/>
        <v>3005</v>
      </c>
      <c r="AW42" s="1">
        <v>0</v>
      </c>
      <c r="AX42">
        <v>3</v>
      </c>
      <c r="AY42">
        <v>0</v>
      </c>
      <c r="BA42">
        <v>3</v>
      </c>
      <c r="BB42">
        <v>5</v>
      </c>
      <c r="BC42" s="20">
        <v>6012</v>
      </c>
      <c r="BD42" s="59"/>
      <c r="BE42" s="20">
        <v>1.1000000000000001</v>
      </c>
      <c r="BF42" s="20">
        <f t="shared" si="19"/>
        <v>0.90909090909090906</v>
      </c>
      <c r="BG42" s="22">
        <v>5</v>
      </c>
      <c r="BH42" s="23">
        <v>1.5</v>
      </c>
      <c r="BI42" s="25">
        <f t="shared" si="56"/>
        <v>88</v>
      </c>
      <c r="BJ42" s="25">
        <f t="shared" si="57"/>
        <v>872.72727272727275</v>
      </c>
      <c r="BK42" s="25">
        <f t="shared" si="58"/>
        <v>17.600000000000001</v>
      </c>
      <c r="BL42">
        <v>6</v>
      </c>
      <c r="BM42">
        <f t="shared" si="75"/>
        <v>58.666666666666664</v>
      </c>
      <c r="BN42">
        <f t="shared" si="76"/>
        <v>1.2333333333333334</v>
      </c>
      <c r="BO42" s="20">
        <v>37</v>
      </c>
      <c r="BP42">
        <f t="shared" si="61"/>
        <v>2.1666666666666665</v>
      </c>
      <c r="BQ42" s="20">
        <v>65</v>
      </c>
      <c r="CE42" s="8" t="s">
        <v>350</v>
      </c>
      <c r="CF42" s="6" t="s">
        <v>366</v>
      </c>
      <c r="CH42" t="str">
        <f t="shared" si="62"/>
        <v>DATA_Class_Base16</v>
      </c>
      <c r="CI42" s="6" t="s">
        <v>312</v>
      </c>
    </row>
    <row r="43" spans="1:87">
      <c r="A43">
        <f t="shared" si="36"/>
        <v>3033302</v>
      </c>
      <c r="B43" s="6" t="s">
        <v>356</v>
      </c>
      <c r="C43">
        <v>3</v>
      </c>
      <c r="D43">
        <v>3</v>
      </c>
      <c r="E43">
        <v>3</v>
      </c>
      <c r="F43" s="3" t="s">
        <v>357</v>
      </c>
      <c r="G43" s="3" t="s">
        <v>357</v>
      </c>
      <c r="H43">
        <v>0</v>
      </c>
      <c r="I43">
        <v>0</v>
      </c>
      <c r="J43">
        <v>0</v>
      </c>
      <c r="K43" s="2" t="s">
        <v>358</v>
      </c>
      <c r="L43" s="2">
        <f t="shared" si="37"/>
        <v>3</v>
      </c>
      <c r="M43" s="2">
        <f t="shared" si="38"/>
        <v>1.4000000000000001</v>
      </c>
      <c r="N43" s="2">
        <f t="shared" si="39"/>
        <v>2</v>
      </c>
      <c r="O43" s="2">
        <v>10</v>
      </c>
      <c r="P43" s="2">
        <f t="shared" si="40"/>
        <v>107.52</v>
      </c>
      <c r="Q43" s="2">
        <f t="shared" si="41"/>
        <v>10.75</v>
      </c>
      <c r="R43" s="2">
        <f t="shared" si="42"/>
        <v>960</v>
      </c>
      <c r="S43" s="2">
        <f t="shared" si="43"/>
        <v>96</v>
      </c>
      <c r="T43" s="2">
        <f t="shared" si="44"/>
        <v>15.36</v>
      </c>
      <c r="U43" s="2">
        <f t="shared" si="45"/>
        <v>1.54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3">
        <v>353021</v>
      </c>
      <c r="AB43" s="14" t="s">
        <v>359</v>
      </c>
      <c r="AC43" s="15" t="s">
        <v>869</v>
      </c>
      <c r="AD43">
        <v>3043302</v>
      </c>
      <c r="AE43" s="2">
        <v>5</v>
      </c>
      <c r="AF43" s="2">
        <v>1</v>
      </c>
      <c r="AG43" s="2">
        <f t="shared" si="65"/>
        <v>3033302</v>
      </c>
      <c r="AH43" s="2">
        <v>2</v>
      </c>
      <c r="AI43" s="2"/>
      <c r="AJ43">
        <v>1</v>
      </c>
      <c r="AK43" s="1">
        <f t="shared" si="46"/>
        <v>28.196709520812732</v>
      </c>
      <c r="AL43">
        <v>3</v>
      </c>
      <c r="AM43">
        <f t="shared" si="66"/>
        <v>107.52</v>
      </c>
      <c r="AN43">
        <f t="shared" si="67"/>
        <v>10.752000000000001</v>
      </c>
      <c r="AO43">
        <f t="shared" si="68"/>
        <v>960</v>
      </c>
      <c r="AP43">
        <f t="shared" si="69"/>
        <v>96</v>
      </c>
      <c r="AQ43">
        <f t="shared" si="70"/>
        <v>15.36</v>
      </c>
      <c r="AR43">
        <f t="shared" si="71"/>
        <v>1.536</v>
      </c>
      <c r="AS43">
        <f t="shared" si="72"/>
        <v>1.4</v>
      </c>
      <c r="AT43">
        <f t="shared" si="73"/>
        <v>2</v>
      </c>
      <c r="AU43">
        <f t="shared" si="74"/>
        <v>3</v>
      </c>
      <c r="AV43">
        <f t="shared" si="64"/>
        <v>3025</v>
      </c>
      <c r="AW43" s="1">
        <v>2</v>
      </c>
      <c r="AX43">
        <v>3</v>
      </c>
      <c r="AY43">
        <v>0</v>
      </c>
      <c r="BA43">
        <v>3</v>
      </c>
      <c r="BB43">
        <v>5</v>
      </c>
      <c r="BC43" s="20">
        <v>6013</v>
      </c>
      <c r="BD43" s="59"/>
      <c r="BE43" s="20">
        <v>0.9</v>
      </c>
      <c r="BF43" s="20">
        <f t="shared" si="19"/>
        <v>1.1111111111111112</v>
      </c>
      <c r="BG43" s="22">
        <v>3</v>
      </c>
      <c r="BH43" s="23">
        <v>1.5</v>
      </c>
      <c r="BI43" s="25">
        <f t="shared" si="56"/>
        <v>72</v>
      </c>
      <c r="BJ43" s="25">
        <f t="shared" si="57"/>
        <v>1066.6666666666667</v>
      </c>
      <c r="BK43" s="25">
        <f t="shared" si="58"/>
        <v>24</v>
      </c>
      <c r="BL43">
        <v>6</v>
      </c>
      <c r="BM43">
        <f t="shared" si="75"/>
        <v>48</v>
      </c>
      <c r="BN43">
        <f t="shared" si="76"/>
        <v>1.2333333333333334</v>
      </c>
      <c r="BO43" s="20">
        <v>37</v>
      </c>
      <c r="BP43">
        <f t="shared" si="61"/>
        <v>2.1666666666666665</v>
      </c>
      <c r="BQ43" s="20">
        <v>65</v>
      </c>
      <c r="CE43" s="2" t="s">
        <v>356</v>
      </c>
      <c r="CF43" s="6" t="s">
        <v>369</v>
      </c>
      <c r="CH43" t="str">
        <f t="shared" si="62"/>
        <v>DATA_Class_Base17</v>
      </c>
      <c r="CI43" s="6" t="s">
        <v>318</v>
      </c>
    </row>
    <row r="44" spans="1:87">
      <c r="A44">
        <f t="shared" si="36"/>
        <v>3032400</v>
      </c>
      <c r="B44" s="6" t="s">
        <v>362</v>
      </c>
      <c r="C44">
        <v>3</v>
      </c>
      <c r="D44">
        <v>4</v>
      </c>
      <c r="E44">
        <v>2</v>
      </c>
      <c r="F44" s="3" t="s">
        <v>363</v>
      </c>
      <c r="G44" s="3" t="s">
        <v>363</v>
      </c>
      <c r="H44">
        <v>0</v>
      </c>
      <c r="I44">
        <v>0</v>
      </c>
      <c r="J44">
        <v>0</v>
      </c>
      <c r="K44" s="2" t="s">
        <v>364</v>
      </c>
      <c r="L44" s="2">
        <f t="shared" si="37"/>
        <v>6</v>
      </c>
      <c r="M44" s="2">
        <f t="shared" si="38"/>
        <v>1.4000000000000001</v>
      </c>
      <c r="N44" s="2">
        <f t="shared" si="39"/>
        <v>2</v>
      </c>
      <c r="O44" s="2">
        <v>10</v>
      </c>
      <c r="P44" s="2">
        <f t="shared" si="40"/>
        <v>112</v>
      </c>
      <c r="Q44" s="2">
        <f t="shared" si="41"/>
        <v>11.2</v>
      </c>
      <c r="R44" s="2">
        <f t="shared" si="42"/>
        <v>921.6</v>
      </c>
      <c r="S44" s="2">
        <f t="shared" si="43"/>
        <v>92.16</v>
      </c>
      <c r="T44" s="2">
        <f t="shared" si="44"/>
        <v>18.670000000000002</v>
      </c>
      <c r="U44" s="2">
        <f t="shared" si="45"/>
        <v>1.87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3">
        <v>354001</v>
      </c>
      <c r="AB44" s="14" t="s">
        <v>365</v>
      </c>
      <c r="AC44" s="15" t="s">
        <v>869</v>
      </c>
      <c r="AD44">
        <v>3042400</v>
      </c>
      <c r="AE44" s="2">
        <v>5</v>
      </c>
      <c r="AF44" s="2">
        <v>1</v>
      </c>
      <c r="AG44" s="2">
        <f t="shared" si="65"/>
        <v>3032400</v>
      </c>
      <c r="AH44" s="2">
        <v>2</v>
      </c>
      <c r="AI44" s="2"/>
      <c r="AJ44">
        <v>1</v>
      </c>
      <c r="AK44" s="1">
        <f t="shared" si="46"/>
        <v>28.217306271086596</v>
      </c>
      <c r="AL44">
        <v>3</v>
      </c>
      <c r="AM44">
        <f t="shared" si="66"/>
        <v>112.00000000000001</v>
      </c>
      <c r="AN44">
        <f t="shared" si="67"/>
        <v>11.200000000000003</v>
      </c>
      <c r="AO44">
        <f t="shared" si="68"/>
        <v>921.59999999999991</v>
      </c>
      <c r="AP44">
        <f t="shared" si="69"/>
        <v>92.16</v>
      </c>
      <c r="AQ44">
        <f t="shared" si="70"/>
        <v>18.666666666666668</v>
      </c>
      <c r="AR44">
        <f t="shared" si="71"/>
        <v>1.8666666666666669</v>
      </c>
      <c r="AS44">
        <f t="shared" si="72"/>
        <v>1.4</v>
      </c>
      <c r="AT44">
        <f t="shared" si="73"/>
        <v>2</v>
      </c>
      <c r="AU44">
        <f t="shared" si="74"/>
        <v>6</v>
      </c>
      <c r="AV44">
        <f t="shared" si="64"/>
        <v>4005</v>
      </c>
      <c r="AW44" s="1">
        <v>0</v>
      </c>
      <c r="AX44">
        <v>3</v>
      </c>
      <c r="AY44">
        <v>0</v>
      </c>
      <c r="BA44">
        <v>4</v>
      </c>
      <c r="BB44">
        <v>5</v>
      </c>
      <c r="BC44" s="20">
        <v>6024</v>
      </c>
      <c r="BD44" s="21" t="s">
        <v>203</v>
      </c>
      <c r="BE44" s="20">
        <v>1</v>
      </c>
      <c r="BF44" s="20">
        <f t="shared" si="19"/>
        <v>1</v>
      </c>
      <c r="BG44" s="22">
        <v>5</v>
      </c>
      <c r="BH44" s="23">
        <v>1.8</v>
      </c>
      <c r="BI44" s="25">
        <f t="shared" si="56"/>
        <v>96</v>
      </c>
      <c r="BJ44" s="25">
        <f t="shared" si="57"/>
        <v>960</v>
      </c>
      <c r="BK44" s="25">
        <f t="shared" si="58"/>
        <v>19.2</v>
      </c>
      <c r="BL44">
        <v>6</v>
      </c>
      <c r="BM44">
        <f t="shared" si="75"/>
        <v>53.333333333333329</v>
      </c>
      <c r="BN44">
        <f t="shared" si="76"/>
        <v>1.6666666666666667</v>
      </c>
      <c r="BO44" s="20">
        <v>50</v>
      </c>
      <c r="BP44">
        <f t="shared" si="61"/>
        <v>2.5</v>
      </c>
      <c r="BQ44" s="20">
        <v>75</v>
      </c>
      <c r="CE44" s="2" t="s">
        <v>362</v>
      </c>
      <c r="CF44" s="6" t="s">
        <v>371</v>
      </c>
      <c r="CH44" t="str">
        <f t="shared" si="62"/>
        <v>DATA_Class_Base18</v>
      </c>
      <c r="CI44" s="6" t="s">
        <v>324</v>
      </c>
    </row>
    <row r="45" spans="1:87">
      <c r="A45">
        <f t="shared" si="36"/>
        <v>3041202</v>
      </c>
      <c r="B45" s="6" t="s">
        <v>278</v>
      </c>
      <c r="C45">
        <v>4</v>
      </c>
      <c r="D45">
        <v>2</v>
      </c>
      <c r="E45">
        <v>1</v>
      </c>
      <c r="F45" s="3" t="s">
        <v>279</v>
      </c>
      <c r="G45" s="3" t="s">
        <v>279</v>
      </c>
      <c r="H45">
        <v>0</v>
      </c>
      <c r="I45">
        <v>0</v>
      </c>
      <c r="J45">
        <v>0</v>
      </c>
      <c r="K45" s="2" t="s">
        <v>280</v>
      </c>
      <c r="L45" s="2">
        <f t="shared" si="37"/>
        <v>3</v>
      </c>
      <c r="M45" s="2">
        <f t="shared" si="38"/>
        <v>1.8</v>
      </c>
      <c r="N45" s="2">
        <f t="shared" si="39"/>
        <v>2</v>
      </c>
      <c r="O45" s="2">
        <v>10</v>
      </c>
      <c r="P45" s="2">
        <f t="shared" si="40"/>
        <v>107.52</v>
      </c>
      <c r="Q45" s="2">
        <f t="shared" si="41"/>
        <v>10.75</v>
      </c>
      <c r="R45" s="2">
        <f t="shared" si="42"/>
        <v>1680</v>
      </c>
      <c r="S45" s="2">
        <f t="shared" si="43"/>
        <v>168</v>
      </c>
      <c r="T45" s="2">
        <f t="shared" si="44"/>
        <v>26.88</v>
      </c>
      <c r="U45" s="2">
        <f t="shared" si="45"/>
        <v>2.69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6">
        <v>312021</v>
      </c>
      <c r="AB45" s="14" t="s">
        <v>367</v>
      </c>
      <c r="AC45" s="15" t="s">
        <v>889</v>
      </c>
      <c r="AD45" s="2">
        <v>3051202</v>
      </c>
      <c r="AE45" s="2">
        <v>4</v>
      </c>
      <c r="AF45" s="2">
        <v>2</v>
      </c>
      <c r="AG45" s="2">
        <v>4</v>
      </c>
      <c r="AH45" s="2">
        <v>2</v>
      </c>
      <c r="AI45" s="2"/>
      <c r="AJ45">
        <v>1</v>
      </c>
      <c r="AK45" s="1">
        <f t="shared" si="46"/>
        <v>38.476700616767324</v>
      </c>
      <c r="AL45">
        <v>4</v>
      </c>
      <c r="AM45">
        <f t="shared" si="66"/>
        <v>107.52000000000001</v>
      </c>
      <c r="AN45">
        <f t="shared" si="67"/>
        <v>10.752000000000002</v>
      </c>
      <c r="AO45">
        <f t="shared" si="68"/>
        <v>1680</v>
      </c>
      <c r="AP45">
        <f t="shared" si="69"/>
        <v>168</v>
      </c>
      <c r="AQ45">
        <f t="shared" si="70"/>
        <v>26.880000000000003</v>
      </c>
      <c r="AR45">
        <f t="shared" si="71"/>
        <v>2.6880000000000006</v>
      </c>
      <c r="AS45">
        <f t="shared" si="72"/>
        <v>1.8</v>
      </c>
      <c r="AT45">
        <f t="shared" si="73"/>
        <v>2</v>
      </c>
      <c r="AU45">
        <f t="shared" si="74"/>
        <v>3</v>
      </c>
      <c r="AV45">
        <f t="shared" si="64"/>
        <v>2021</v>
      </c>
      <c r="AW45" s="1">
        <v>2</v>
      </c>
      <c r="AX45">
        <v>3</v>
      </c>
      <c r="AY45">
        <v>0</v>
      </c>
      <c r="BA45">
        <v>2</v>
      </c>
      <c r="BB45">
        <v>1</v>
      </c>
      <c r="BC45" s="20">
        <v>203</v>
      </c>
      <c r="BD45" s="21" t="s">
        <v>205</v>
      </c>
      <c r="BE45" s="20">
        <v>0.95</v>
      </c>
      <c r="BF45" s="20">
        <f t="shared" si="19"/>
        <v>1.0526315789473684</v>
      </c>
      <c r="BG45" s="22">
        <v>5</v>
      </c>
      <c r="BH45" s="23">
        <v>1.3</v>
      </c>
      <c r="BI45" s="25">
        <f t="shared" ref="BI45:BI58" si="77">BE45*$BI$4*BH45/1.5</f>
        <v>65.86666666666666</v>
      </c>
      <c r="BJ45" s="25">
        <f t="shared" ref="BJ45:BJ58" si="78">BF45*$BJ$4</f>
        <v>1010.5263157894736</v>
      </c>
      <c r="BK45" s="25">
        <f t="shared" ref="BK45:BK58" si="79">BI45/BG45</f>
        <v>13.173333333333332</v>
      </c>
      <c r="BL45">
        <v>3</v>
      </c>
      <c r="BM45">
        <f t="shared" ref="BM45:BM58" si="80">BI45/BH45</f>
        <v>50.666666666666657</v>
      </c>
      <c r="BN45">
        <f t="shared" ref="BN45:BN58" si="81">BO45/30</f>
        <v>0.93333333333333335</v>
      </c>
      <c r="BO45" s="20">
        <v>28</v>
      </c>
      <c r="BP45">
        <f t="shared" ref="BP45:BP58" si="82">BQ45/30</f>
        <v>1.6666666666666667</v>
      </c>
      <c r="BQ45" s="20">
        <v>50</v>
      </c>
      <c r="CE45" s="2" t="s">
        <v>373</v>
      </c>
      <c r="CF45" s="3" t="s">
        <v>374</v>
      </c>
      <c r="CH45" t="str">
        <f t="shared" si="62"/>
        <v>DATA_Class_Base19</v>
      </c>
      <c r="CI45" s="6" t="s">
        <v>331</v>
      </c>
    </row>
    <row r="46" spans="1:87">
      <c r="A46">
        <f t="shared" si="36"/>
        <v>3041301</v>
      </c>
      <c r="B46" s="6" t="s">
        <v>283</v>
      </c>
      <c r="C46">
        <v>4</v>
      </c>
      <c r="D46">
        <v>3</v>
      </c>
      <c r="E46">
        <v>1</v>
      </c>
      <c r="F46" s="3" t="s">
        <v>284</v>
      </c>
      <c r="G46" s="3" t="s">
        <v>284</v>
      </c>
      <c r="H46">
        <v>0</v>
      </c>
      <c r="I46">
        <v>0</v>
      </c>
      <c r="J46" s="2">
        <v>0</v>
      </c>
      <c r="K46" s="2" t="s">
        <v>285</v>
      </c>
      <c r="L46" s="2">
        <f t="shared" si="37"/>
        <v>3</v>
      </c>
      <c r="M46" s="2">
        <f t="shared" si="38"/>
        <v>1.2</v>
      </c>
      <c r="N46" s="2">
        <f t="shared" si="39"/>
        <v>2</v>
      </c>
      <c r="O46" s="2">
        <v>10</v>
      </c>
      <c r="P46" s="2">
        <f t="shared" si="40"/>
        <v>98.56</v>
      </c>
      <c r="Q46" s="2">
        <f t="shared" si="41"/>
        <v>9.86</v>
      </c>
      <c r="R46" s="2">
        <f t="shared" si="42"/>
        <v>1221.82</v>
      </c>
      <c r="S46" s="2">
        <f t="shared" si="43"/>
        <v>122.18</v>
      </c>
      <c r="T46" s="2">
        <f t="shared" si="44"/>
        <v>16.43</v>
      </c>
      <c r="U46" s="2">
        <f t="shared" si="45"/>
        <v>1.64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6">
        <v>313011</v>
      </c>
      <c r="AB46" s="14" t="s">
        <v>370</v>
      </c>
      <c r="AC46" s="15" t="s">
        <v>889</v>
      </c>
      <c r="AD46" s="2">
        <v>3051301</v>
      </c>
      <c r="AE46" s="2">
        <v>4</v>
      </c>
      <c r="AF46" s="2">
        <v>2</v>
      </c>
      <c r="AG46" s="2">
        <v>4</v>
      </c>
      <c r="AH46" s="2">
        <v>2</v>
      </c>
      <c r="AI46" s="2"/>
      <c r="AJ46">
        <v>1</v>
      </c>
      <c r="AK46" s="1">
        <f t="shared" si="46"/>
        <v>38.387893528827377</v>
      </c>
      <c r="AL46">
        <v>4</v>
      </c>
      <c r="AM46">
        <f t="shared" si="66"/>
        <v>98.56</v>
      </c>
      <c r="AN46">
        <f t="shared" si="67"/>
        <v>9.8560000000000016</v>
      </c>
      <c r="AO46">
        <f t="shared" si="68"/>
        <v>1221.8181818181818</v>
      </c>
      <c r="AP46">
        <f t="shared" si="69"/>
        <v>122.18181818181819</v>
      </c>
      <c r="AQ46">
        <f t="shared" si="70"/>
        <v>16.426666666666666</v>
      </c>
      <c r="AR46">
        <f t="shared" si="71"/>
        <v>1.6426666666666667</v>
      </c>
      <c r="AS46">
        <f t="shared" si="72"/>
        <v>1.2</v>
      </c>
      <c r="AT46">
        <f t="shared" si="73"/>
        <v>2</v>
      </c>
      <c r="AU46">
        <f t="shared" si="74"/>
        <v>3</v>
      </c>
      <c r="AV46">
        <f t="shared" si="64"/>
        <v>3011</v>
      </c>
      <c r="AW46" s="1">
        <v>1</v>
      </c>
      <c r="AX46">
        <v>3</v>
      </c>
      <c r="AY46">
        <v>0</v>
      </c>
      <c r="BA46">
        <v>3</v>
      </c>
      <c r="BB46">
        <v>1</v>
      </c>
      <c r="BC46" s="20">
        <v>204</v>
      </c>
      <c r="BD46" s="21" t="s">
        <v>207</v>
      </c>
      <c r="BE46" s="20">
        <v>0.9</v>
      </c>
      <c r="BF46" s="20">
        <f t="shared" si="19"/>
        <v>1.1111111111111112</v>
      </c>
      <c r="BG46" s="22">
        <v>5</v>
      </c>
      <c r="BH46" s="23">
        <v>1.4</v>
      </c>
      <c r="BI46" s="25">
        <f t="shared" si="77"/>
        <v>67.2</v>
      </c>
      <c r="BJ46" s="25">
        <f t="shared" si="78"/>
        <v>1066.6666666666667</v>
      </c>
      <c r="BK46" s="25">
        <f t="shared" si="79"/>
        <v>13.440000000000001</v>
      </c>
      <c r="BL46">
        <v>3</v>
      </c>
      <c r="BM46">
        <f t="shared" si="80"/>
        <v>48.000000000000007</v>
      </c>
      <c r="BN46">
        <f t="shared" si="81"/>
        <v>1</v>
      </c>
      <c r="BO46" s="20">
        <v>30</v>
      </c>
      <c r="BP46">
        <f t="shared" si="82"/>
        <v>1</v>
      </c>
      <c r="BQ46" s="20">
        <v>30</v>
      </c>
      <c r="CE46" s="2" t="s">
        <v>377</v>
      </c>
      <c r="CF46" s="3" t="s">
        <v>378</v>
      </c>
      <c r="CH46" t="str">
        <f t="shared" si="62"/>
        <v>DATA_Class_Base20</v>
      </c>
      <c r="CI46" s="6" t="s">
        <v>336</v>
      </c>
    </row>
    <row r="47" spans="1:87">
      <c r="A47">
        <f t="shared" si="36"/>
        <v>3041502</v>
      </c>
      <c r="B47" s="6" t="s">
        <v>289</v>
      </c>
      <c r="C47">
        <v>4</v>
      </c>
      <c r="D47">
        <v>5</v>
      </c>
      <c r="E47">
        <v>1</v>
      </c>
      <c r="F47" s="3" t="s">
        <v>290</v>
      </c>
      <c r="G47" s="3" t="s">
        <v>290</v>
      </c>
      <c r="H47">
        <v>0</v>
      </c>
      <c r="I47">
        <v>0</v>
      </c>
      <c r="J47" s="2">
        <v>0</v>
      </c>
      <c r="K47" s="2" t="s">
        <v>291</v>
      </c>
      <c r="L47" s="2">
        <f t="shared" si="37"/>
        <v>6</v>
      </c>
      <c r="M47" s="2">
        <f t="shared" si="38"/>
        <v>1.4000000000000001</v>
      </c>
      <c r="N47" s="2">
        <f t="shared" si="39"/>
        <v>2</v>
      </c>
      <c r="O47" s="2">
        <v>10</v>
      </c>
      <c r="P47" s="2">
        <f t="shared" si="40"/>
        <v>135.88999999999999</v>
      </c>
      <c r="Q47" s="2">
        <f t="shared" si="41"/>
        <v>13.59</v>
      </c>
      <c r="R47" s="2">
        <f t="shared" si="42"/>
        <v>1033.8499999999999</v>
      </c>
      <c r="S47" s="2">
        <f t="shared" si="43"/>
        <v>103.38</v>
      </c>
      <c r="T47" s="2">
        <f t="shared" si="44"/>
        <v>20.91</v>
      </c>
      <c r="U47" s="2">
        <f t="shared" si="45"/>
        <v>2.09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6">
        <v>315021</v>
      </c>
      <c r="AB47" s="14" t="s">
        <v>372</v>
      </c>
      <c r="AC47" s="15" t="s">
        <v>889</v>
      </c>
      <c r="AD47" s="2">
        <v>3051502</v>
      </c>
      <c r="AE47" s="2">
        <v>4</v>
      </c>
      <c r="AF47" s="2">
        <v>2</v>
      </c>
      <c r="AG47" s="2">
        <v>4</v>
      </c>
      <c r="AH47" s="2">
        <v>2</v>
      </c>
      <c r="AI47" s="2"/>
      <c r="AJ47">
        <v>1</v>
      </c>
      <c r="AK47" s="1">
        <f t="shared" si="46"/>
        <v>38.425903462110512</v>
      </c>
      <c r="AL47">
        <v>4</v>
      </c>
      <c r="AM47">
        <f t="shared" si="66"/>
        <v>135.89333333333329</v>
      </c>
      <c r="AN47">
        <f t="shared" si="67"/>
        <v>13.589333333333329</v>
      </c>
      <c r="AO47">
        <f t="shared" si="68"/>
        <v>1033.8461538461536</v>
      </c>
      <c r="AP47">
        <f t="shared" si="69"/>
        <v>103.38461538461536</v>
      </c>
      <c r="AQ47">
        <f t="shared" si="70"/>
        <v>20.906666666666659</v>
      </c>
      <c r="AR47">
        <f t="shared" si="71"/>
        <v>2.090666666666666</v>
      </c>
      <c r="AS47">
        <f t="shared" si="72"/>
        <v>1.4</v>
      </c>
      <c r="AT47">
        <f t="shared" si="73"/>
        <v>2</v>
      </c>
      <c r="AU47">
        <f t="shared" si="74"/>
        <v>6</v>
      </c>
      <c r="AV47">
        <f t="shared" si="64"/>
        <v>5021</v>
      </c>
      <c r="AW47" s="1">
        <v>2</v>
      </c>
      <c r="AX47">
        <v>3</v>
      </c>
      <c r="AY47">
        <v>0</v>
      </c>
      <c r="BA47">
        <v>5</v>
      </c>
      <c r="BB47">
        <v>1</v>
      </c>
      <c r="BC47" s="20">
        <v>205</v>
      </c>
      <c r="BD47" s="21" t="s">
        <v>209</v>
      </c>
      <c r="BE47" s="20">
        <v>1.05</v>
      </c>
      <c r="BF47" s="20">
        <f t="shared" si="19"/>
        <v>0.95238095238095233</v>
      </c>
      <c r="BG47" s="22">
        <v>5</v>
      </c>
      <c r="BH47" s="23">
        <v>1.8</v>
      </c>
      <c r="BI47" s="25">
        <f t="shared" si="77"/>
        <v>100.80000000000001</v>
      </c>
      <c r="BJ47" s="25">
        <f t="shared" si="78"/>
        <v>914.28571428571422</v>
      </c>
      <c r="BK47" s="25">
        <f t="shared" si="79"/>
        <v>20.160000000000004</v>
      </c>
      <c r="BL47">
        <v>3</v>
      </c>
      <c r="BM47">
        <f t="shared" si="80"/>
        <v>56.000000000000007</v>
      </c>
      <c r="BN47">
        <f t="shared" si="81"/>
        <v>1.6666666666666667</v>
      </c>
      <c r="BO47" s="20">
        <v>50</v>
      </c>
      <c r="BP47">
        <f t="shared" si="82"/>
        <v>2</v>
      </c>
      <c r="BQ47" s="20">
        <v>60</v>
      </c>
      <c r="CE47" s="2" t="s">
        <v>380</v>
      </c>
      <c r="CF47" s="3" t="s">
        <v>381</v>
      </c>
      <c r="CH47" t="str">
        <f t="shared" si="62"/>
        <v>DATA_Class_Base21</v>
      </c>
      <c r="CI47" s="6" t="s">
        <v>342</v>
      </c>
    </row>
    <row r="48" spans="1:87">
      <c r="A48">
        <f t="shared" si="36"/>
        <v>3042201</v>
      </c>
      <c r="B48" s="6" t="s">
        <v>296</v>
      </c>
      <c r="C48">
        <v>4</v>
      </c>
      <c r="D48">
        <v>2</v>
      </c>
      <c r="E48">
        <v>2</v>
      </c>
      <c r="F48" s="3" t="s">
        <v>297</v>
      </c>
      <c r="G48" s="3" t="s">
        <v>297</v>
      </c>
      <c r="H48">
        <v>0</v>
      </c>
      <c r="I48">
        <v>0</v>
      </c>
      <c r="J48">
        <v>0</v>
      </c>
      <c r="K48" s="8" t="s">
        <v>298</v>
      </c>
      <c r="L48" s="2">
        <f t="shared" si="37"/>
        <v>3</v>
      </c>
      <c r="M48" s="2">
        <f t="shared" ref="M48:M76" si="83">FLOOR(AS48/1,0.01)</f>
        <v>1.8</v>
      </c>
      <c r="N48" s="2">
        <f t="shared" ref="N48:N76" si="84">FLOOR(AT48/1,0.01)</f>
        <v>1.8</v>
      </c>
      <c r="O48" s="2">
        <v>10</v>
      </c>
      <c r="P48" s="2">
        <f t="shared" ref="P48:P76" si="85">ROUND(AM48*(1+$AY48),2)</f>
        <v>94.08</v>
      </c>
      <c r="Q48" s="2">
        <f t="shared" ref="Q48:Q76" si="86">ROUND(AN48*(1+$AY48),2)</f>
        <v>9.41</v>
      </c>
      <c r="R48" s="2">
        <f t="shared" ref="R48:R76" si="87">ROUND(AO48*(1+$AY48),2)</f>
        <v>1920</v>
      </c>
      <c r="S48" s="2">
        <f t="shared" ref="S48:S76" si="88">ROUND(AP48*(1+$AY48),2)</f>
        <v>192</v>
      </c>
      <c r="T48" s="2">
        <f t="shared" ref="T48:T76" si="89">ROUND(AQ48*(1+$AY48),2)</f>
        <v>31.36</v>
      </c>
      <c r="U48" s="2">
        <f t="shared" ref="U48:U76" si="90">ROUND(AR48*(1+$AY48),2)</f>
        <v>3.14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3">
        <v>322011</v>
      </c>
      <c r="AB48" s="14" t="s">
        <v>375</v>
      </c>
      <c r="AC48" s="15" t="s">
        <v>889</v>
      </c>
      <c r="AD48" s="2">
        <v>3052201</v>
      </c>
      <c r="AE48" s="2">
        <v>4</v>
      </c>
      <c r="AF48" s="2">
        <v>2</v>
      </c>
      <c r="AG48" s="2">
        <v>4</v>
      </c>
      <c r="AH48" s="2">
        <v>2</v>
      </c>
      <c r="AI48" s="2"/>
      <c r="AJ48">
        <v>1</v>
      </c>
      <c r="AK48" s="1">
        <f t="shared" ref="AK48:AK76" si="91">(AO48+AP48*AJ48)*(AM48+AN48*AJ48)/AS48*(0.9)*(1+0.5*0.1)*1/1/(1-(AQ48+AR48*AJ48)*0.0002)/3000</f>
        <v>38.51488670636455</v>
      </c>
      <c r="AL48">
        <v>4</v>
      </c>
      <c r="AM48">
        <f t="shared" si="66"/>
        <v>94.08</v>
      </c>
      <c r="AN48">
        <f t="shared" si="67"/>
        <v>9.4079999999999995</v>
      </c>
      <c r="AO48">
        <f t="shared" si="68"/>
        <v>1920</v>
      </c>
      <c r="AP48">
        <f t="shared" si="69"/>
        <v>192</v>
      </c>
      <c r="AQ48">
        <f t="shared" si="70"/>
        <v>31.36</v>
      </c>
      <c r="AR48">
        <f t="shared" si="71"/>
        <v>3.1360000000000001</v>
      </c>
      <c r="AS48">
        <f t="shared" si="72"/>
        <v>1.8</v>
      </c>
      <c r="AT48">
        <f t="shared" si="73"/>
        <v>1.8</v>
      </c>
      <c r="AU48">
        <f t="shared" si="74"/>
        <v>3</v>
      </c>
      <c r="AV48">
        <f t="shared" si="64"/>
        <v>2012</v>
      </c>
      <c r="AW48" s="1">
        <v>1</v>
      </c>
      <c r="AX48">
        <v>3</v>
      </c>
      <c r="AY48">
        <v>0</v>
      </c>
      <c r="BA48">
        <v>2</v>
      </c>
      <c r="BB48">
        <v>2</v>
      </c>
      <c r="BC48" s="20">
        <v>206</v>
      </c>
      <c r="BD48" s="21" t="s">
        <v>210</v>
      </c>
      <c r="BE48" s="20">
        <v>1</v>
      </c>
      <c r="BF48" s="20">
        <f t="shared" si="19"/>
        <v>1</v>
      </c>
      <c r="BG48" s="22">
        <v>5</v>
      </c>
      <c r="BH48" s="23">
        <v>1.6</v>
      </c>
      <c r="BI48" s="25">
        <f t="shared" si="77"/>
        <v>85.333333333333329</v>
      </c>
      <c r="BJ48" s="25">
        <f t="shared" si="78"/>
        <v>960</v>
      </c>
      <c r="BK48" s="25">
        <f t="shared" si="79"/>
        <v>17.066666666666666</v>
      </c>
      <c r="BL48">
        <v>3</v>
      </c>
      <c r="BM48">
        <f t="shared" si="80"/>
        <v>53.333333333333329</v>
      </c>
      <c r="BN48">
        <f t="shared" si="81"/>
        <v>1.3666666666666667</v>
      </c>
      <c r="BO48" s="20">
        <v>41</v>
      </c>
      <c r="BP48">
        <f t="shared" si="82"/>
        <v>2.3333333333333335</v>
      </c>
      <c r="BQ48" s="20">
        <v>70</v>
      </c>
      <c r="CE48" s="2" t="s">
        <v>383</v>
      </c>
      <c r="CF48" s="3" t="s">
        <v>384</v>
      </c>
      <c r="CH48" t="str">
        <f t="shared" si="62"/>
        <v>DATA_Class_Base13</v>
      </c>
      <c r="CI48" s="6" t="s">
        <v>295</v>
      </c>
    </row>
    <row r="49" spans="1:87">
      <c r="A49">
        <f t="shared" si="36"/>
        <v>3042500</v>
      </c>
      <c r="B49" s="6" t="s">
        <v>301</v>
      </c>
      <c r="C49">
        <v>4</v>
      </c>
      <c r="D49">
        <v>5</v>
      </c>
      <c r="E49">
        <v>2</v>
      </c>
      <c r="F49" s="3" t="s">
        <v>302</v>
      </c>
      <c r="G49" s="3" t="s">
        <v>302</v>
      </c>
      <c r="H49">
        <v>0</v>
      </c>
      <c r="I49">
        <v>0</v>
      </c>
      <c r="J49" s="2">
        <v>0</v>
      </c>
      <c r="K49" s="2" t="s">
        <v>303</v>
      </c>
      <c r="L49" s="2">
        <f t="shared" si="37"/>
        <v>6</v>
      </c>
      <c r="M49" s="2">
        <f t="shared" si="83"/>
        <v>1.5</v>
      </c>
      <c r="N49" s="2">
        <f t="shared" si="84"/>
        <v>2</v>
      </c>
      <c r="O49" s="2">
        <v>10</v>
      </c>
      <c r="P49" s="2">
        <f t="shared" si="85"/>
        <v>168</v>
      </c>
      <c r="Q49" s="2">
        <f t="shared" si="86"/>
        <v>16.8</v>
      </c>
      <c r="R49" s="2">
        <f t="shared" si="87"/>
        <v>896</v>
      </c>
      <c r="S49" s="2">
        <f t="shared" si="88"/>
        <v>89.6</v>
      </c>
      <c r="T49" s="2">
        <f t="shared" si="89"/>
        <v>18.670000000000002</v>
      </c>
      <c r="U49" s="2">
        <f t="shared" si="90"/>
        <v>1.87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3">
        <v>325001</v>
      </c>
      <c r="AB49" s="14" t="s">
        <v>379</v>
      </c>
      <c r="AC49" s="15" t="s">
        <v>889</v>
      </c>
      <c r="AD49" s="2">
        <v>3052500</v>
      </c>
      <c r="AE49" s="2">
        <v>4</v>
      </c>
      <c r="AF49" s="2">
        <v>2</v>
      </c>
      <c r="AG49" s="2">
        <v>4</v>
      </c>
      <c r="AH49" s="2">
        <v>2</v>
      </c>
      <c r="AI49" s="2"/>
      <c r="AJ49">
        <v>1</v>
      </c>
      <c r="AK49" s="1">
        <f t="shared" si="91"/>
        <v>38.406889091201201</v>
      </c>
      <c r="AL49">
        <v>4</v>
      </c>
      <c r="AM49">
        <f t="shared" si="66"/>
        <v>168</v>
      </c>
      <c r="AN49">
        <f t="shared" si="67"/>
        <v>16.8</v>
      </c>
      <c r="AO49">
        <f t="shared" si="68"/>
        <v>896</v>
      </c>
      <c r="AP49">
        <f t="shared" si="69"/>
        <v>89.600000000000009</v>
      </c>
      <c r="AQ49">
        <f t="shared" si="70"/>
        <v>18.666666666666668</v>
      </c>
      <c r="AR49">
        <f t="shared" si="71"/>
        <v>1.8666666666666669</v>
      </c>
      <c r="AS49">
        <f t="shared" si="72"/>
        <v>1.5</v>
      </c>
      <c r="AT49">
        <f t="shared" si="73"/>
        <v>2</v>
      </c>
      <c r="AU49">
        <f t="shared" si="74"/>
        <v>6</v>
      </c>
      <c r="AV49">
        <f t="shared" si="64"/>
        <v>5002</v>
      </c>
      <c r="AW49" s="1">
        <v>0</v>
      </c>
      <c r="AX49">
        <v>3</v>
      </c>
      <c r="AY49">
        <v>0</v>
      </c>
      <c r="BA49">
        <v>5</v>
      </c>
      <c r="BB49">
        <v>2</v>
      </c>
      <c r="BC49" s="20">
        <v>303</v>
      </c>
      <c r="BD49" s="21" t="s">
        <v>212</v>
      </c>
      <c r="BE49" s="20">
        <v>1.1000000000000001</v>
      </c>
      <c r="BF49" s="20">
        <f t="shared" si="19"/>
        <v>0.90909090909090906</v>
      </c>
      <c r="BG49" s="22">
        <v>8</v>
      </c>
      <c r="BH49" s="23">
        <v>1.3</v>
      </c>
      <c r="BI49" s="25">
        <f t="shared" si="77"/>
        <v>76.266666666666666</v>
      </c>
      <c r="BJ49" s="25">
        <f t="shared" si="78"/>
        <v>872.72727272727275</v>
      </c>
      <c r="BK49" s="25">
        <f t="shared" si="79"/>
        <v>9.5333333333333332</v>
      </c>
      <c r="BL49">
        <v>3</v>
      </c>
      <c r="BM49">
        <f t="shared" si="80"/>
        <v>58.666666666666664</v>
      </c>
      <c r="BN49">
        <f t="shared" si="81"/>
        <v>1.1666666666666667</v>
      </c>
      <c r="BO49" s="20">
        <v>35</v>
      </c>
      <c r="BP49">
        <f t="shared" si="82"/>
        <v>1.1666666666666667</v>
      </c>
      <c r="BQ49" s="20">
        <v>35</v>
      </c>
      <c r="CE49" s="2" t="s">
        <v>387</v>
      </c>
      <c r="CF49" s="3" t="s">
        <v>388</v>
      </c>
      <c r="CH49" t="str">
        <f t="shared" si="62"/>
        <v>DATA_Class_Base14</v>
      </c>
      <c r="CI49" s="6" t="s">
        <v>300</v>
      </c>
    </row>
    <row r="50" spans="1:87">
      <c r="A50">
        <f t="shared" si="36"/>
        <v>3042601</v>
      </c>
      <c r="B50" s="6" t="s">
        <v>307</v>
      </c>
      <c r="C50">
        <v>4</v>
      </c>
      <c r="D50">
        <v>6</v>
      </c>
      <c r="E50">
        <v>2</v>
      </c>
      <c r="F50" s="3" t="s">
        <v>308</v>
      </c>
      <c r="G50" s="3" t="s">
        <v>308</v>
      </c>
      <c r="H50">
        <v>0</v>
      </c>
      <c r="I50">
        <v>0</v>
      </c>
      <c r="J50" s="2">
        <v>0</v>
      </c>
      <c r="K50" s="2" t="s">
        <v>309</v>
      </c>
      <c r="L50" s="2">
        <f t="shared" si="37"/>
        <v>6</v>
      </c>
      <c r="M50" s="2">
        <f t="shared" si="83"/>
        <v>1.5</v>
      </c>
      <c r="N50" s="2">
        <f t="shared" si="84"/>
        <v>2</v>
      </c>
      <c r="O50" s="2">
        <v>10</v>
      </c>
      <c r="P50" s="2">
        <f t="shared" si="85"/>
        <v>123.2</v>
      </c>
      <c r="Q50" s="2">
        <f t="shared" si="86"/>
        <v>12.32</v>
      </c>
      <c r="R50" s="2">
        <f t="shared" si="87"/>
        <v>1221.82</v>
      </c>
      <c r="S50" s="2">
        <f t="shared" si="88"/>
        <v>122.18</v>
      </c>
      <c r="T50" s="2">
        <f t="shared" si="89"/>
        <v>24.64</v>
      </c>
      <c r="U50" s="2">
        <f t="shared" si="90"/>
        <v>2.46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3">
        <v>326011</v>
      </c>
      <c r="AB50" s="14" t="s">
        <v>382</v>
      </c>
      <c r="AC50" s="15" t="s">
        <v>889</v>
      </c>
      <c r="AD50" s="2">
        <v>3052601</v>
      </c>
      <c r="AE50" s="2">
        <v>4</v>
      </c>
      <c r="AF50" s="2">
        <v>2</v>
      </c>
      <c r="AG50" s="2">
        <v>4</v>
      </c>
      <c r="AH50" s="2">
        <v>2</v>
      </c>
      <c r="AI50" s="2"/>
      <c r="AJ50">
        <v>1</v>
      </c>
      <c r="AK50" s="1">
        <f t="shared" si="91"/>
        <v>38.457635952973881</v>
      </c>
      <c r="AL50">
        <v>4</v>
      </c>
      <c r="AM50">
        <f t="shared" si="66"/>
        <v>123.19999999999999</v>
      </c>
      <c r="AN50">
        <f t="shared" si="67"/>
        <v>12.32</v>
      </c>
      <c r="AO50">
        <f t="shared" si="68"/>
        <v>1221.8181818181818</v>
      </c>
      <c r="AP50">
        <f t="shared" si="69"/>
        <v>122.18181818181819</v>
      </c>
      <c r="AQ50">
        <f t="shared" si="70"/>
        <v>24.639999999999997</v>
      </c>
      <c r="AR50">
        <f t="shared" si="71"/>
        <v>2.464</v>
      </c>
      <c r="AS50">
        <f t="shared" si="72"/>
        <v>1.5</v>
      </c>
      <c r="AT50">
        <f t="shared" si="73"/>
        <v>2</v>
      </c>
      <c r="AU50">
        <f t="shared" si="74"/>
        <v>6</v>
      </c>
      <c r="AV50">
        <f t="shared" si="64"/>
        <v>6012</v>
      </c>
      <c r="AW50" s="1">
        <v>1</v>
      </c>
      <c r="AX50">
        <v>3</v>
      </c>
      <c r="AY50">
        <v>0</v>
      </c>
      <c r="BA50">
        <v>6</v>
      </c>
      <c r="BB50">
        <v>2</v>
      </c>
      <c r="BC50" s="20">
        <v>304</v>
      </c>
      <c r="BD50" s="21" t="s">
        <v>214</v>
      </c>
      <c r="BE50" s="20">
        <v>1.1499999999999999</v>
      </c>
      <c r="BF50" s="20">
        <f t="shared" si="19"/>
        <v>0.86956521739130443</v>
      </c>
      <c r="BG50" s="22">
        <v>8</v>
      </c>
      <c r="BH50" s="23">
        <v>1.4</v>
      </c>
      <c r="BI50" s="25">
        <f t="shared" si="77"/>
        <v>85.86666666666666</v>
      </c>
      <c r="BJ50" s="25">
        <f t="shared" si="78"/>
        <v>834.78260869565224</v>
      </c>
      <c r="BK50" s="25">
        <f t="shared" si="79"/>
        <v>10.733333333333333</v>
      </c>
      <c r="BL50">
        <v>3</v>
      </c>
      <c r="BM50">
        <f t="shared" si="80"/>
        <v>61.333333333333336</v>
      </c>
      <c r="BN50">
        <f t="shared" si="81"/>
        <v>1.3333333333333333</v>
      </c>
      <c r="BO50" s="20">
        <v>40</v>
      </c>
      <c r="BP50">
        <f t="shared" si="82"/>
        <v>2</v>
      </c>
      <c r="BQ50" s="20">
        <v>60</v>
      </c>
      <c r="CE50" s="2" t="s">
        <v>390</v>
      </c>
      <c r="CF50" s="3" t="s">
        <v>391</v>
      </c>
      <c r="CH50" t="str">
        <f t="shared" si="62"/>
        <v>DATA_Class_Base15</v>
      </c>
      <c r="CI50" s="6" t="s">
        <v>306</v>
      </c>
    </row>
    <row r="51" spans="1:87">
      <c r="A51">
        <f t="shared" si="36"/>
        <v>3043200</v>
      </c>
      <c r="B51" s="6" t="s">
        <v>294</v>
      </c>
      <c r="C51">
        <v>4</v>
      </c>
      <c r="D51">
        <v>2</v>
      </c>
      <c r="E51">
        <v>3</v>
      </c>
      <c r="F51" s="3" t="s">
        <v>313</v>
      </c>
      <c r="G51" s="3" t="s">
        <v>313</v>
      </c>
      <c r="H51">
        <v>0</v>
      </c>
      <c r="I51">
        <v>0</v>
      </c>
      <c r="J51">
        <v>0</v>
      </c>
      <c r="K51" s="2" t="s">
        <v>314</v>
      </c>
      <c r="L51" s="2">
        <f t="shared" si="37"/>
        <v>3</v>
      </c>
      <c r="M51" s="2">
        <f t="shared" si="83"/>
        <v>1.5</v>
      </c>
      <c r="N51" s="2">
        <f t="shared" si="84"/>
        <v>1.2</v>
      </c>
      <c r="O51" s="2">
        <v>10</v>
      </c>
      <c r="P51" s="2">
        <f t="shared" si="85"/>
        <v>78.400000000000006</v>
      </c>
      <c r="Q51" s="2">
        <f t="shared" si="86"/>
        <v>7.84</v>
      </c>
      <c r="R51" s="2">
        <f t="shared" si="87"/>
        <v>1920</v>
      </c>
      <c r="S51" s="2">
        <f t="shared" si="88"/>
        <v>192</v>
      </c>
      <c r="T51" s="2">
        <f t="shared" si="89"/>
        <v>39.200000000000003</v>
      </c>
      <c r="U51" s="2">
        <f t="shared" si="90"/>
        <v>3.92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3">
        <v>332001</v>
      </c>
      <c r="AB51" s="14" t="s">
        <v>385</v>
      </c>
      <c r="AC51" s="15" t="s">
        <v>889</v>
      </c>
      <c r="AD51" s="2">
        <v>3053200</v>
      </c>
      <c r="AE51" s="2">
        <v>4</v>
      </c>
      <c r="AF51" s="2">
        <v>2</v>
      </c>
      <c r="AG51" s="2">
        <v>4</v>
      </c>
      <c r="AH51" s="2">
        <v>2</v>
      </c>
      <c r="AI51" s="2"/>
      <c r="AJ51">
        <v>1</v>
      </c>
      <c r="AK51" s="1">
        <f t="shared" si="91"/>
        <v>38.581895063023502</v>
      </c>
      <c r="AL51">
        <v>4</v>
      </c>
      <c r="AM51">
        <f t="shared" si="66"/>
        <v>78.399999999999977</v>
      </c>
      <c r="AN51">
        <f t="shared" si="67"/>
        <v>7.8399999999999981</v>
      </c>
      <c r="AO51">
        <f t="shared" si="68"/>
        <v>1920</v>
      </c>
      <c r="AP51">
        <f t="shared" si="69"/>
        <v>192</v>
      </c>
      <c r="AQ51">
        <f t="shared" si="70"/>
        <v>39.199999999999989</v>
      </c>
      <c r="AR51">
        <f t="shared" si="71"/>
        <v>3.919999999999999</v>
      </c>
      <c r="AS51">
        <f t="shared" si="72"/>
        <v>1.5</v>
      </c>
      <c r="AT51">
        <f t="shared" si="73"/>
        <v>1.2</v>
      </c>
      <c r="AU51">
        <f t="shared" si="74"/>
        <v>3</v>
      </c>
      <c r="AV51">
        <f t="shared" si="64"/>
        <v>2003</v>
      </c>
      <c r="AW51" s="1">
        <v>0</v>
      </c>
      <c r="AX51">
        <v>3</v>
      </c>
      <c r="AY51">
        <v>0</v>
      </c>
      <c r="BA51">
        <v>2</v>
      </c>
      <c r="BB51">
        <v>3</v>
      </c>
      <c r="BC51" s="20">
        <v>403</v>
      </c>
      <c r="BD51" s="21" t="s">
        <v>216</v>
      </c>
      <c r="BE51" s="20">
        <v>1.2</v>
      </c>
      <c r="BF51" s="20">
        <f t="shared" si="19"/>
        <v>0.83333333333333337</v>
      </c>
      <c r="BG51" s="22">
        <v>10</v>
      </c>
      <c r="BH51" s="23">
        <v>1.3</v>
      </c>
      <c r="BI51" s="25">
        <f t="shared" si="77"/>
        <v>83.2</v>
      </c>
      <c r="BJ51" s="25">
        <f t="shared" si="78"/>
        <v>800</v>
      </c>
      <c r="BK51" s="25">
        <f t="shared" si="79"/>
        <v>8.32</v>
      </c>
      <c r="BL51">
        <v>6</v>
      </c>
      <c r="BM51">
        <f t="shared" si="80"/>
        <v>64</v>
      </c>
      <c r="BN51">
        <f t="shared" si="81"/>
        <v>0.83333333333333337</v>
      </c>
      <c r="BO51" s="20">
        <v>25</v>
      </c>
      <c r="BP51">
        <f t="shared" si="82"/>
        <v>1.6666666666666667</v>
      </c>
      <c r="BQ51" s="20">
        <v>50</v>
      </c>
      <c r="CE51" s="2" t="s">
        <v>394</v>
      </c>
      <c r="CF51" s="3" t="s">
        <v>184</v>
      </c>
      <c r="CH51" t="str">
        <f t="shared" si="62"/>
        <v>DATA_Class_Base16</v>
      </c>
      <c r="CI51" s="6" t="s">
        <v>312</v>
      </c>
    </row>
    <row r="52" spans="1:87">
      <c r="A52">
        <f t="shared" ref="A52:A79" si="92">AX52*1000000+C52*10000+E52*1000+D52*100+AW52</f>
        <v>3041401</v>
      </c>
      <c r="B52" s="6" t="s">
        <v>317</v>
      </c>
      <c r="C52">
        <v>4</v>
      </c>
      <c r="D52">
        <v>4</v>
      </c>
      <c r="E52">
        <v>1</v>
      </c>
      <c r="F52" s="3" t="s">
        <v>319</v>
      </c>
      <c r="G52" s="3" t="s">
        <v>319</v>
      </c>
      <c r="H52">
        <v>0</v>
      </c>
      <c r="I52">
        <v>0</v>
      </c>
      <c r="J52">
        <v>0</v>
      </c>
      <c r="K52" s="2" t="s">
        <v>161</v>
      </c>
      <c r="L52" s="2">
        <f t="shared" ref="L52:L79" si="93">AU52</f>
        <v>6</v>
      </c>
      <c r="M52" s="2">
        <f t="shared" si="83"/>
        <v>1.6</v>
      </c>
      <c r="N52" s="2">
        <f t="shared" si="84"/>
        <v>1.5</v>
      </c>
      <c r="O52" s="2">
        <v>10</v>
      </c>
      <c r="P52" s="2">
        <f t="shared" si="85"/>
        <v>143.36000000000001</v>
      </c>
      <c r="Q52" s="2">
        <f t="shared" si="86"/>
        <v>14.34</v>
      </c>
      <c r="R52" s="2">
        <f t="shared" si="87"/>
        <v>1120</v>
      </c>
      <c r="S52" s="2">
        <f t="shared" si="88"/>
        <v>112</v>
      </c>
      <c r="T52" s="2">
        <f t="shared" si="89"/>
        <v>23.89</v>
      </c>
      <c r="U52" s="2">
        <f t="shared" si="90"/>
        <v>2.39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3">
        <v>334011</v>
      </c>
      <c r="AB52" s="14" t="s">
        <v>389</v>
      </c>
      <c r="AC52" s="15" t="s">
        <v>889</v>
      </c>
      <c r="AD52" s="2">
        <v>3051401</v>
      </c>
      <c r="AE52" s="2">
        <v>4</v>
      </c>
      <c r="AF52" s="2">
        <v>2</v>
      </c>
      <c r="AG52" s="2">
        <v>4</v>
      </c>
      <c r="AH52" s="2">
        <v>2</v>
      </c>
      <c r="AI52" s="2"/>
      <c r="AJ52">
        <v>1</v>
      </c>
      <c r="AK52" s="1">
        <f t="shared" si="91"/>
        <v>38.451285262692849</v>
      </c>
      <c r="AL52">
        <v>4</v>
      </c>
      <c r="AM52">
        <f t="shared" si="66"/>
        <v>143.35999999999999</v>
      </c>
      <c r="AN52">
        <f t="shared" si="67"/>
        <v>14.335999999999999</v>
      </c>
      <c r="AO52">
        <f t="shared" si="68"/>
        <v>1120</v>
      </c>
      <c r="AP52">
        <f t="shared" si="69"/>
        <v>112</v>
      </c>
      <c r="AQ52">
        <f t="shared" si="70"/>
        <v>23.893333333333331</v>
      </c>
      <c r="AR52">
        <f t="shared" ref="AR52:AR80" si="94">AQ52*0.1</f>
        <v>2.3893333333333331</v>
      </c>
      <c r="AS52">
        <f t="shared" si="72"/>
        <v>1.6</v>
      </c>
      <c r="AT52">
        <f t="shared" si="73"/>
        <v>1.5</v>
      </c>
      <c r="AU52">
        <f t="shared" si="74"/>
        <v>6</v>
      </c>
      <c r="AV52">
        <f t="shared" si="64"/>
        <v>4013</v>
      </c>
      <c r="AW52" s="1">
        <v>1</v>
      </c>
      <c r="AX52">
        <v>3</v>
      </c>
      <c r="AY52">
        <v>0</v>
      </c>
      <c r="BA52">
        <v>4</v>
      </c>
      <c r="BB52">
        <v>3</v>
      </c>
      <c r="BC52" s="20">
        <v>404</v>
      </c>
      <c r="BD52" s="21" t="s">
        <v>217</v>
      </c>
      <c r="BE52" s="20">
        <v>1.3</v>
      </c>
      <c r="BF52" s="20">
        <f t="shared" si="19"/>
        <v>0.76923076923076916</v>
      </c>
      <c r="BG52" s="22">
        <v>10</v>
      </c>
      <c r="BH52" s="23">
        <v>1.6</v>
      </c>
      <c r="BI52" s="25">
        <f t="shared" si="77"/>
        <v>110.93333333333334</v>
      </c>
      <c r="BJ52" s="25">
        <f t="shared" si="78"/>
        <v>738.46153846153834</v>
      </c>
      <c r="BK52" s="25">
        <f t="shared" si="79"/>
        <v>11.093333333333334</v>
      </c>
      <c r="BL52">
        <v>6</v>
      </c>
      <c r="BM52">
        <f t="shared" si="80"/>
        <v>69.333333333333329</v>
      </c>
      <c r="BN52">
        <f t="shared" si="81"/>
        <v>1.3333333333333333</v>
      </c>
      <c r="BO52" s="20">
        <v>40</v>
      </c>
      <c r="BP52">
        <f t="shared" si="82"/>
        <v>1.6666666666666667</v>
      </c>
      <c r="BQ52" s="20">
        <v>50</v>
      </c>
      <c r="CE52" s="2" t="s">
        <v>396</v>
      </c>
      <c r="CF52" s="3" t="s">
        <v>195</v>
      </c>
      <c r="CH52" t="str">
        <f t="shared" si="62"/>
        <v>DATA_Class_Base17</v>
      </c>
      <c r="CI52" s="6" t="s">
        <v>318</v>
      </c>
    </row>
    <row r="53" spans="1:87">
      <c r="A53">
        <f t="shared" si="92"/>
        <v>3043402</v>
      </c>
      <c r="B53" s="6" t="s">
        <v>323</v>
      </c>
      <c r="C53">
        <v>4</v>
      </c>
      <c r="D53">
        <v>4</v>
      </c>
      <c r="E53">
        <v>3</v>
      </c>
      <c r="F53" s="3" t="s">
        <v>325</v>
      </c>
      <c r="G53" s="3" t="s">
        <v>325</v>
      </c>
      <c r="H53">
        <v>0</v>
      </c>
      <c r="I53">
        <v>0</v>
      </c>
      <c r="J53" s="2">
        <v>0</v>
      </c>
      <c r="K53" s="2" t="s">
        <v>250</v>
      </c>
      <c r="L53" s="2">
        <f t="shared" si="93"/>
        <v>6</v>
      </c>
      <c r="M53" s="2">
        <f t="shared" si="83"/>
        <v>1.5</v>
      </c>
      <c r="N53" s="2">
        <f t="shared" si="84"/>
        <v>1.5</v>
      </c>
      <c r="O53" s="2">
        <v>10</v>
      </c>
      <c r="P53" s="2">
        <f t="shared" si="85"/>
        <v>145.6</v>
      </c>
      <c r="Q53" s="2">
        <f t="shared" si="86"/>
        <v>14.56</v>
      </c>
      <c r="R53" s="2">
        <f t="shared" si="87"/>
        <v>1033.8499999999999</v>
      </c>
      <c r="S53" s="2">
        <f t="shared" si="88"/>
        <v>103.38</v>
      </c>
      <c r="T53" s="2">
        <f t="shared" si="89"/>
        <v>20.8</v>
      </c>
      <c r="U53" s="2">
        <f t="shared" si="90"/>
        <v>2.08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3">
        <v>334021</v>
      </c>
      <c r="AB53" s="14" t="s">
        <v>392</v>
      </c>
      <c r="AC53" s="15" t="s">
        <v>889</v>
      </c>
      <c r="AD53" s="2">
        <v>3053402</v>
      </c>
      <c r="AE53" s="2">
        <v>4</v>
      </c>
      <c r="AF53" s="2">
        <v>2</v>
      </c>
      <c r="AG53" s="2">
        <v>4</v>
      </c>
      <c r="AH53" s="2">
        <v>2</v>
      </c>
      <c r="AI53" s="2"/>
      <c r="AJ53">
        <v>1</v>
      </c>
      <c r="AK53" s="1">
        <f t="shared" si="91"/>
        <v>38.424997588967116</v>
      </c>
      <c r="AL53">
        <v>4</v>
      </c>
      <c r="AM53">
        <f t="shared" si="66"/>
        <v>145.6</v>
      </c>
      <c r="AN53">
        <f t="shared" si="67"/>
        <v>14.56</v>
      </c>
      <c r="AO53">
        <f t="shared" si="68"/>
        <v>1033.8461538461536</v>
      </c>
      <c r="AP53">
        <f t="shared" si="69"/>
        <v>103.38461538461536</v>
      </c>
      <c r="AQ53">
        <f t="shared" si="70"/>
        <v>20.8</v>
      </c>
      <c r="AR53">
        <f t="shared" si="94"/>
        <v>2.08</v>
      </c>
      <c r="AS53">
        <f t="shared" si="72"/>
        <v>1.5</v>
      </c>
      <c r="AT53">
        <f t="shared" si="73"/>
        <v>1.5</v>
      </c>
      <c r="AU53">
        <f t="shared" si="74"/>
        <v>6</v>
      </c>
      <c r="AV53">
        <f t="shared" si="64"/>
        <v>4023</v>
      </c>
      <c r="AW53" s="1">
        <v>2</v>
      </c>
      <c r="AX53">
        <v>3</v>
      </c>
      <c r="AY53">
        <v>0</v>
      </c>
      <c r="BA53">
        <v>4</v>
      </c>
      <c r="BB53">
        <v>3</v>
      </c>
      <c r="BC53" s="20">
        <v>405</v>
      </c>
      <c r="BD53" s="21" t="s">
        <v>218</v>
      </c>
      <c r="BE53" s="20">
        <v>1.25</v>
      </c>
      <c r="BF53" s="20">
        <f t="shared" si="19"/>
        <v>0.8</v>
      </c>
      <c r="BG53" s="22">
        <v>10</v>
      </c>
      <c r="BH53" s="23">
        <v>1.5</v>
      </c>
      <c r="BI53" s="25">
        <f t="shared" si="77"/>
        <v>100</v>
      </c>
      <c r="BJ53" s="25">
        <f t="shared" si="78"/>
        <v>768</v>
      </c>
      <c r="BK53" s="25">
        <f t="shared" si="79"/>
        <v>10</v>
      </c>
      <c r="BL53">
        <v>6</v>
      </c>
      <c r="BM53">
        <f t="shared" si="80"/>
        <v>66.666666666666671</v>
      </c>
      <c r="BN53">
        <f t="shared" si="81"/>
        <v>1.1000000000000001</v>
      </c>
      <c r="BO53" s="20">
        <v>33</v>
      </c>
      <c r="BP53">
        <f t="shared" si="82"/>
        <v>1.3333333333333333</v>
      </c>
      <c r="BQ53" s="20">
        <v>40</v>
      </c>
      <c r="CE53" s="2" t="s">
        <v>398</v>
      </c>
      <c r="CF53" s="3" t="s">
        <v>201</v>
      </c>
      <c r="CH53" t="str">
        <f t="shared" si="62"/>
        <v>DATA_Class_Base18</v>
      </c>
      <c r="CI53" s="6" t="s">
        <v>324</v>
      </c>
    </row>
    <row r="54" spans="1:87">
      <c r="A54">
        <f t="shared" si="92"/>
        <v>3043501</v>
      </c>
      <c r="B54" s="6" t="s">
        <v>332</v>
      </c>
      <c r="C54">
        <v>4</v>
      </c>
      <c r="D54">
        <v>5</v>
      </c>
      <c r="E54">
        <v>3</v>
      </c>
      <c r="F54" s="3" t="s">
        <v>333</v>
      </c>
      <c r="G54" s="3" t="s">
        <v>333</v>
      </c>
      <c r="H54">
        <v>0</v>
      </c>
      <c r="I54">
        <v>0</v>
      </c>
      <c r="J54">
        <v>0</v>
      </c>
      <c r="K54" s="2" t="s">
        <v>334</v>
      </c>
      <c r="L54" s="2">
        <f t="shared" si="93"/>
        <v>6</v>
      </c>
      <c r="M54" s="2">
        <f t="shared" si="83"/>
        <v>1.6</v>
      </c>
      <c r="N54" s="2">
        <f t="shared" si="84"/>
        <v>2</v>
      </c>
      <c r="O54" s="2">
        <v>10</v>
      </c>
      <c r="P54" s="2">
        <f t="shared" si="85"/>
        <v>155.31</v>
      </c>
      <c r="Q54" s="2">
        <f t="shared" si="86"/>
        <v>15.53</v>
      </c>
      <c r="R54" s="2">
        <f t="shared" si="87"/>
        <v>1033.8499999999999</v>
      </c>
      <c r="S54" s="2">
        <f t="shared" si="88"/>
        <v>103.38</v>
      </c>
      <c r="T54" s="2">
        <f t="shared" si="89"/>
        <v>17.260000000000002</v>
      </c>
      <c r="U54" s="2">
        <f t="shared" si="90"/>
        <v>1.73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3">
        <v>345011</v>
      </c>
      <c r="AB54" s="14" t="s">
        <v>395</v>
      </c>
      <c r="AC54" s="15" t="s">
        <v>889</v>
      </c>
      <c r="AD54">
        <v>3053501</v>
      </c>
      <c r="AE54" s="2">
        <v>5</v>
      </c>
      <c r="AF54" s="2">
        <v>2</v>
      </c>
      <c r="AG54" s="2">
        <v>4</v>
      </c>
      <c r="AH54" s="2">
        <v>2</v>
      </c>
      <c r="AI54" s="2"/>
      <c r="AJ54">
        <v>1</v>
      </c>
      <c r="AK54" s="1">
        <f t="shared" si="91"/>
        <v>38.394926731027944</v>
      </c>
      <c r="AL54">
        <v>4</v>
      </c>
      <c r="AM54">
        <f t="shared" si="66"/>
        <v>155.30666666666667</v>
      </c>
      <c r="AN54">
        <f t="shared" si="67"/>
        <v>15.530666666666669</v>
      </c>
      <c r="AO54">
        <f t="shared" si="68"/>
        <v>1033.8461538461536</v>
      </c>
      <c r="AP54">
        <f t="shared" si="69"/>
        <v>103.38461538461536</v>
      </c>
      <c r="AQ54">
        <f t="shared" si="70"/>
        <v>17.256296296296298</v>
      </c>
      <c r="AR54">
        <f t="shared" si="94"/>
        <v>1.7256296296296298</v>
      </c>
      <c r="AS54">
        <f t="shared" si="72"/>
        <v>1.6</v>
      </c>
      <c r="AT54">
        <f t="shared" si="73"/>
        <v>2</v>
      </c>
      <c r="AU54">
        <f t="shared" si="74"/>
        <v>6</v>
      </c>
      <c r="AV54">
        <f t="shared" si="64"/>
        <v>5014</v>
      </c>
      <c r="AW54" s="1">
        <v>1</v>
      </c>
      <c r="AX54">
        <v>3</v>
      </c>
      <c r="AY54">
        <v>0</v>
      </c>
      <c r="BA54">
        <v>5</v>
      </c>
      <c r="BB54">
        <v>4</v>
      </c>
      <c r="BC54" s="20">
        <v>406</v>
      </c>
      <c r="BD54" s="21" t="s">
        <v>220</v>
      </c>
      <c r="BE54" s="20">
        <v>1.3</v>
      </c>
      <c r="BF54" s="20">
        <f t="shared" si="19"/>
        <v>0.76923076923076916</v>
      </c>
      <c r="BG54" s="22">
        <v>10</v>
      </c>
      <c r="BH54" s="23">
        <v>1.4</v>
      </c>
      <c r="BI54" s="25">
        <f t="shared" si="77"/>
        <v>97.066666666666663</v>
      </c>
      <c r="BJ54" s="25">
        <f t="shared" si="78"/>
        <v>738.46153846153834</v>
      </c>
      <c r="BK54" s="25">
        <f t="shared" si="79"/>
        <v>9.706666666666667</v>
      </c>
      <c r="BL54">
        <v>6</v>
      </c>
      <c r="BM54">
        <f t="shared" si="80"/>
        <v>69.333333333333329</v>
      </c>
      <c r="BN54">
        <f t="shared" si="81"/>
        <v>1</v>
      </c>
      <c r="BO54" s="20">
        <v>30</v>
      </c>
      <c r="BP54">
        <f t="shared" si="82"/>
        <v>1</v>
      </c>
      <c r="BQ54" s="20">
        <v>30</v>
      </c>
      <c r="CE54" s="2" t="s">
        <v>401</v>
      </c>
      <c r="CF54" s="3" t="s">
        <v>402</v>
      </c>
      <c r="CH54" t="str">
        <f t="shared" si="62"/>
        <v>DATA_Class_Base19</v>
      </c>
      <c r="CI54" s="6" t="s">
        <v>331</v>
      </c>
    </row>
    <row r="55" spans="1:87">
      <c r="A55">
        <f t="shared" si="92"/>
        <v>3043600</v>
      </c>
      <c r="B55" s="6" t="s">
        <v>337</v>
      </c>
      <c r="C55">
        <v>4</v>
      </c>
      <c r="D55">
        <v>6</v>
      </c>
      <c r="E55">
        <v>3</v>
      </c>
      <c r="F55" s="3" t="s">
        <v>338</v>
      </c>
      <c r="G55" s="3" t="s">
        <v>338</v>
      </c>
      <c r="H55">
        <v>0</v>
      </c>
      <c r="I55">
        <v>0</v>
      </c>
      <c r="J55" s="2">
        <v>0</v>
      </c>
      <c r="K55" s="2" t="s">
        <v>339</v>
      </c>
      <c r="L55" s="2">
        <f t="shared" si="93"/>
        <v>3</v>
      </c>
      <c r="M55" s="2">
        <f t="shared" si="83"/>
        <v>1.4000000000000001</v>
      </c>
      <c r="N55" s="2">
        <f t="shared" si="84"/>
        <v>1.9000000000000001</v>
      </c>
      <c r="O55" s="2">
        <v>10</v>
      </c>
      <c r="P55" s="2">
        <f t="shared" si="85"/>
        <v>114.99</v>
      </c>
      <c r="Q55" s="2">
        <f t="shared" si="86"/>
        <v>11.5</v>
      </c>
      <c r="R55" s="2">
        <f t="shared" si="87"/>
        <v>1221.82</v>
      </c>
      <c r="S55" s="2">
        <f t="shared" si="88"/>
        <v>122.18</v>
      </c>
      <c r="T55" s="2">
        <f t="shared" si="89"/>
        <v>28.75</v>
      </c>
      <c r="U55" s="2">
        <f t="shared" si="90"/>
        <v>2.87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3">
        <v>346001</v>
      </c>
      <c r="AB55" s="14" t="s">
        <v>397</v>
      </c>
      <c r="AC55" s="15" t="s">
        <v>889</v>
      </c>
      <c r="AD55">
        <v>3053600</v>
      </c>
      <c r="AE55" s="2">
        <v>5</v>
      </c>
      <c r="AF55" s="2">
        <v>2</v>
      </c>
      <c r="AG55" s="2">
        <v>4</v>
      </c>
      <c r="AH55" s="2">
        <v>2</v>
      </c>
      <c r="AI55" s="2"/>
      <c r="AJ55">
        <v>1</v>
      </c>
      <c r="AK55" s="1">
        <f t="shared" si="91"/>
        <v>38.492602281522288</v>
      </c>
      <c r="AL55">
        <v>4</v>
      </c>
      <c r="AM55">
        <f t="shared" si="66"/>
        <v>114.98666666666665</v>
      </c>
      <c r="AN55">
        <f t="shared" si="67"/>
        <v>11.498666666666665</v>
      </c>
      <c r="AO55">
        <f t="shared" si="68"/>
        <v>1221.8181818181818</v>
      </c>
      <c r="AP55">
        <f t="shared" si="69"/>
        <v>122.18181818181819</v>
      </c>
      <c r="AQ55">
        <f t="shared" si="70"/>
        <v>28.746666666666663</v>
      </c>
      <c r="AR55">
        <f t="shared" si="94"/>
        <v>2.8746666666666663</v>
      </c>
      <c r="AS55">
        <f t="shared" si="72"/>
        <v>1.4</v>
      </c>
      <c r="AT55">
        <f t="shared" si="73"/>
        <v>1.9</v>
      </c>
      <c r="AU55">
        <f t="shared" si="74"/>
        <v>3</v>
      </c>
      <c r="AV55">
        <f t="shared" si="64"/>
        <v>6004</v>
      </c>
      <c r="AW55" s="1">
        <v>0</v>
      </c>
      <c r="AX55">
        <v>3</v>
      </c>
      <c r="AY55">
        <v>0</v>
      </c>
      <c r="BA55">
        <v>6</v>
      </c>
      <c r="BB55">
        <v>4</v>
      </c>
      <c r="BC55" s="20">
        <v>503</v>
      </c>
      <c r="BD55" s="21" t="s">
        <v>221</v>
      </c>
      <c r="BE55" s="20">
        <v>1.2</v>
      </c>
      <c r="BF55" s="20">
        <f t="shared" si="19"/>
        <v>0.83333333333333337</v>
      </c>
      <c r="BG55" s="22">
        <v>6</v>
      </c>
      <c r="BH55" s="23">
        <v>1.6</v>
      </c>
      <c r="BI55" s="25">
        <f t="shared" si="77"/>
        <v>102.40000000000002</v>
      </c>
      <c r="BJ55" s="25">
        <f t="shared" si="78"/>
        <v>800</v>
      </c>
      <c r="BK55" s="25">
        <f t="shared" si="79"/>
        <v>17.06666666666667</v>
      </c>
      <c r="BL55">
        <v>3</v>
      </c>
      <c r="BM55">
        <f t="shared" si="80"/>
        <v>64.000000000000014</v>
      </c>
      <c r="BN55">
        <f t="shared" si="81"/>
        <v>1.3333333333333333</v>
      </c>
      <c r="BO55" s="20">
        <v>40</v>
      </c>
      <c r="BP55">
        <f t="shared" si="82"/>
        <v>1.3333333333333333</v>
      </c>
      <c r="BQ55" s="20">
        <v>40</v>
      </c>
      <c r="CE55" s="2" t="s">
        <v>404</v>
      </c>
      <c r="CF55" s="3" t="s">
        <v>198</v>
      </c>
      <c r="CH55" t="str">
        <f t="shared" si="62"/>
        <v>DATA_Class_Base20</v>
      </c>
      <c r="CI55" s="6" t="s">
        <v>336</v>
      </c>
    </row>
    <row r="56" spans="1:87">
      <c r="A56">
        <f t="shared" si="92"/>
        <v>3041602</v>
      </c>
      <c r="B56" s="6" t="s">
        <v>343</v>
      </c>
      <c r="C56">
        <v>4</v>
      </c>
      <c r="D56">
        <v>6</v>
      </c>
      <c r="E56">
        <v>1</v>
      </c>
      <c r="F56" s="3" t="s">
        <v>344</v>
      </c>
      <c r="G56" s="3" t="s">
        <v>344</v>
      </c>
      <c r="H56">
        <v>0</v>
      </c>
      <c r="I56">
        <v>0</v>
      </c>
      <c r="J56" t="s">
        <v>345</v>
      </c>
      <c r="K56" s="2" t="s">
        <v>346</v>
      </c>
      <c r="L56" s="2">
        <f t="shared" si="93"/>
        <v>6</v>
      </c>
      <c r="M56" s="2">
        <f t="shared" si="83"/>
        <v>1.8</v>
      </c>
      <c r="N56" s="2">
        <f t="shared" si="84"/>
        <v>2</v>
      </c>
      <c r="O56" s="2">
        <v>10</v>
      </c>
      <c r="P56" s="2">
        <f t="shared" si="85"/>
        <v>134.4</v>
      </c>
      <c r="Q56" s="2">
        <f t="shared" si="86"/>
        <v>13.44</v>
      </c>
      <c r="R56" s="2">
        <f t="shared" si="87"/>
        <v>1344</v>
      </c>
      <c r="S56" s="2">
        <f t="shared" si="88"/>
        <v>134.4</v>
      </c>
      <c r="T56" s="2">
        <f t="shared" si="89"/>
        <v>26.88</v>
      </c>
      <c r="U56" s="2">
        <f t="shared" si="90"/>
        <v>2.69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3">
        <v>346021</v>
      </c>
      <c r="AB56" s="14" t="s">
        <v>399</v>
      </c>
      <c r="AC56" s="15" t="s">
        <v>889</v>
      </c>
      <c r="AD56">
        <v>3051602</v>
      </c>
      <c r="AE56" s="2">
        <v>5</v>
      </c>
      <c r="AF56" s="2">
        <v>2</v>
      </c>
      <c r="AG56" s="2">
        <v>4</v>
      </c>
      <c r="AH56" s="2">
        <v>2</v>
      </c>
      <c r="AI56" s="2"/>
      <c r="AJ56">
        <v>1</v>
      </c>
      <c r="AK56" s="1">
        <f t="shared" si="91"/>
        <v>38.476700616767317</v>
      </c>
      <c r="AL56">
        <v>4</v>
      </c>
      <c r="AM56">
        <f t="shared" si="66"/>
        <v>134.39999999999998</v>
      </c>
      <c r="AN56">
        <f t="shared" si="67"/>
        <v>13.439999999999998</v>
      </c>
      <c r="AO56">
        <f t="shared" si="68"/>
        <v>1344</v>
      </c>
      <c r="AP56">
        <f t="shared" si="69"/>
        <v>134.4</v>
      </c>
      <c r="AQ56">
        <f t="shared" si="70"/>
        <v>26.879999999999995</v>
      </c>
      <c r="AR56">
        <f t="shared" si="94"/>
        <v>2.6879999999999997</v>
      </c>
      <c r="AS56">
        <f t="shared" si="72"/>
        <v>1.8</v>
      </c>
      <c r="AT56">
        <f t="shared" si="73"/>
        <v>2</v>
      </c>
      <c r="AU56">
        <f t="shared" si="74"/>
        <v>6</v>
      </c>
      <c r="AV56">
        <f t="shared" si="64"/>
        <v>6024</v>
      </c>
      <c r="AW56" s="1">
        <v>2</v>
      </c>
      <c r="AX56">
        <v>3</v>
      </c>
      <c r="AY56">
        <v>0</v>
      </c>
      <c r="BA56">
        <v>6</v>
      </c>
      <c r="BB56">
        <v>4</v>
      </c>
      <c r="BC56" s="20">
        <v>504</v>
      </c>
      <c r="BD56" s="21" t="s">
        <v>222</v>
      </c>
      <c r="BE56" s="20">
        <v>1.1000000000000001</v>
      </c>
      <c r="BF56" s="20">
        <f t="shared" si="19"/>
        <v>0.90909090909090906</v>
      </c>
      <c r="BG56" s="22">
        <v>6</v>
      </c>
      <c r="BH56" s="23">
        <v>1.8</v>
      </c>
      <c r="BI56" s="25">
        <f t="shared" si="77"/>
        <v>105.60000000000001</v>
      </c>
      <c r="BJ56" s="25">
        <f t="shared" si="78"/>
        <v>872.72727272727275</v>
      </c>
      <c r="BK56" s="25">
        <f t="shared" si="79"/>
        <v>17.600000000000001</v>
      </c>
      <c r="BL56">
        <v>3</v>
      </c>
      <c r="BM56">
        <f t="shared" si="80"/>
        <v>58.666666666666671</v>
      </c>
      <c r="BN56">
        <f t="shared" si="81"/>
        <v>1.5</v>
      </c>
      <c r="BO56" s="20">
        <v>45</v>
      </c>
      <c r="BP56">
        <f t="shared" si="82"/>
        <v>1.3</v>
      </c>
      <c r="BQ56" s="20">
        <v>39</v>
      </c>
      <c r="CE56" s="2" t="s">
        <v>406</v>
      </c>
      <c r="CF56" s="3" t="s">
        <v>407</v>
      </c>
      <c r="CH56" t="str">
        <f t="shared" si="62"/>
        <v>DATA_Class_Base21</v>
      </c>
      <c r="CI56" s="6" t="s">
        <v>342</v>
      </c>
    </row>
    <row r="57" spans="1:87">
      <c r="A57">
        <f t="shared" si="92"/>
        <v>3042300</v>
      </c>
      <c r="B57" s="6" t="s">
        <v>350</v>
      </c>
      <c r="C57">
        <v>4</v>
      </c>
      <c r="D57">
        <v>3</v>
      </c>
      <c r="E57">
        <v>2</v>
      </c>
      <c r="F57" s="3" t="s">
        <v>351</v>
      </c>
      <c r="G57" s="3" t="s">
        <v>351</v>
      </c>
      <c r="H57">
        <v>0</v>
      </c>
      <c r="I57">
        <v>0</v>
      </c>
      <c r="J57" s="2">
        <v>0</v>
      </c>
      <c r="K57" s="2" t="s">
        <v>352</v>
      </c>
      <c r="L57" s="2">
        <v>6</v>
      </c>
      <c r="M57" s="2">
        <f t="shared" si="83"/>
        <v>1.3</v>
      </c>
      <c r="N57" s="2">
        <f t="shared" si="84"/>
        <v>2</v>
      </c>
      <c r="O57" s="2">
        <v>10</v>
      </c>
      <c r="P57" s="2">
        <f t="shared" si="85"/>
        <v>111.63</v>
      </c>
      <c r="Q57" s="2">
        <f t="shared" si="86"/>
        <v>11.16</v>
      </c>
      <c r="R57" s="2">
        <f t="shared" si="87"/>
        <v>1168.7</v>
      </c>
      <c r="S57" s="2">
        <f t="shared" si="88"/>
        <v>116.87</v>
      </c>
      <c r="T57" s="2">
        <f t="shared" si="89"/>
        <v>13.95</v>
      </c>
      <c r="U57" s="2">
        <f t="shared" si="90"/>
        <v>1.4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3">
        <v>353001</v>
      </c>
      <c r="AB57" s="14" t="s">
        <v>403</v>
      </c>
      <c r="AC57" s="15" t="s">
        <v>889</v>
      </c>
      <c r="AD57">
        <v>3052300</v>
      </c>
      <c r="AE57" s="2">
        <v>5</v>
      </c>
      <c r="AF57" s="2">
        <v>2</v>
      </c>
      <c r="AG57" s="2">
        <v>4</v>
      </c>
      <c r="AH57" s="2">
        <v>2</v>
      </c>
      <c r="AI57" s="2"/>
      <c r="AJ57">
        <v>1</v>
      </c>
      <c r="AK57" s="1">
        <f t="shared" si="91"/>
        <v>38.366941077924935</v>
      </c>
      <c r="AL57">
        <v>4</v>
      </c>
      <c r="AM57">
        <f t="shared" si="66"/>
        <v>111.62666666666664</v>
      </c>
      <c r="AN57">
        <f t="shared" si="67"/>
        <v>11.162666666666665</v>
      </c>
      <c r="AO57">
        <f t="shared" si="68"/>
        <v>1168.695652173913</v>
      </c>
      <c r="AP57">
        <f t="shared" si="69"/>
        <v>116.86956521739131</v>
      </c>
      <c r="AQ57">
        <f t="shared" si="70"/>
        <v>13.95333333333333</v>
      </c>
      <c r="AR57">
        <f t="shared" si="94"/>
        <v>1.3953333333333331</v>
      </c>
      <c r="AS57">
        <f t="shared" si="72"/>
        <v>1.3</v>
      </c>
      <c r="AT57">
        <f t="shared" si="73"/>
        <v>2</v>
      </c>
      <c r="AU57">
        <f t="shared" si="74"/>
        <v>3</v>
      </c>
      <c r="AV57">
        <f t="shared" si="64"/>
        <v>3005</v>
      </c>
      <c r="AW57" s="1">
        <v>0</v>
      </c>
      <c r="AX57">
        <v>3</v>
      </c>
      <c r="AY57">
        <v>0</v>
      </c>
      <c r="BA57">
        <v>3</v>
      </c>
      <c r="BB57">
        <v>5</v>
      </c>
      <c r="BC57" s="20">
        <v>101</v>
      </c>
      <c r="BD57" s="21" t="s">
        <v>224</v>
      </c>
      <c r="BE57" s="20">
        <v>1.1000000000000001</v>
      </c>
      <c r="BF57" s="20">
        <f t="shared" si="19"/>
        <v>0.90909090909090906</v>
      </c>
      <c r="BG57" s="22">
        <v>5</v>
      </c>
      <c r="BH57" s="23">
        <v>1.6</v>
      </c>
      <c r="BI57" s="25">
        <f t="shared" si="77"/>
        <v>93.866666666666674</v>
      </c>
      <c r="BJ57" s="25">
        <f t="shared" si="78"/>
        <v>872.72727272727275</v>
      </c>
      <c r="BK57" s="25">
        <f t="shared" si="79"/>
        <v>18.773333333333333</v>
      </c>
      <c r="BL57">
        <v>3</v>
      </c>
      <c r="BM57">
        <f t="shared" si="80"/>
        <v>58.666666666666671</v>
      </c>
      <c r="BN57">
        <f t="shared" si="81"/>
        <v>1.3333333333333333</v>
      </c>
      <c r="BO57" s="20">
        <v>40</v>
      </c>
      <c r="BP57">
        <f t="shared" si="82"/>
        <v>1.6666666666666667</v>
      </c>
      <c r="BQ57" s="20">
        <v>50</v>
      </c>
      <c r="CE57" s="2" t="s">
        <v>410</v>
      </c>
      <c r="CF57" s="3" t="s">
        <v>411</v>
      </c>
      <c r="CH57" t="str">
        <f t="shared" si="62"/>
        <v>DATA_Class_Base22</v>
      </c>
      <c r="CI57" s="6" t="s">
        <v>349</v>
      </c>
    </row>
    <row r="58" spans="1:87">
      <c r="A58">
        <f t="shared" si="92"/>
        <v>3043302</v>
      </c>
      <c r="B58" s="6" t="s">
        <v>356</v>
      </c>
      <c r="C58">
        <v>4</v>
      </c>
      <c r="D58">
        <v>3</v>
      </c>
      <c r="E58">
        <v>3</v>
      </c>
      <c r="F58" s="3" t="s">
        <v>357</v>
      </c>
      <c r="G58" s="3" t="s">
        <v>357</v>
      </c>
      <c r="H58">
        <v>0</v>
      </c>
      <c r="I58">
        <v>0</v>
      </c>
      <c r="J58" s="2">
        <v>0</v>
      </c>
      <c r="K58" s="2" t="s">
        <v>358</v>
      </c>
      <c r="L58" s="2">
        <f t="shared" si="93"/>
        <v>3</v>
      </c>
      <c r="M58" s="2">
        <f t="shared" si="83"/>
        <v>1.4000000000000001</v>
      </c>
      <c r="N58" s="2">
        <f t="shared" si="84"/>
        <v>2</v>
      </c>
      <c r="O58" s="2">
        <v>10</v>
      </c>
      <c r="P58" s="2">
        <f t="shared" si="85"/>
        <v>125.44</v>
      </c>
      <c r="Q58" s="2">
        <f t="shared" si="86"/>
        <v>12.54</v>
      </c>
      <c r="R58" s="2">
        <f t="shared" si="87"/>
        <v>1120</v>
      </c>
      <c r="S58" s="2">
        <f t="shared" si="88"/>
        <v>112</v>
      </c>
      <c r="T58" s="2">
        <f t="shared" si="89"/>
        <v>17.920000000000002</v>
      </c>
      <c r="U58" s="2">
        <f t="shared" si="90"/>
        <v>1.79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3">
        <v>353021</v>
      </c>
      <c r="AB58" s="14" t="s">
        <v>405</v>
      </c>
      <c r="AC58" s="15" t="s">
        <v>889</v>
      </c>
      <c r="AD58">
        <v>3053302</v>
      </c>
      <c r="AE58" s="2">
        <v>5</v>
      </c>
      <c r="AF58" s="2">
        <v>2</v>
      </c>
      <c r="AG58" s="2">
        <v>4</v>
      </c>
      <c r="AH58" s="2">
        <v>2</v>
      </c>
      <c r="AI58" s="2"/>
      <c r="AJ58">
        <v>1</v>
      </c>
      <c r="AK58" s="1">
        <f t="shared" si="91"/>
        <v>38.400555148617912</v>
      </c>
      <c r="AL58">
        <v>4</v>
      </c>
      <c r="AM58">
        <f t="shared" si="66"/>
        <v>125.43999999999998</v>
      </c>
      <c r="AN58">
        <f t="shared" si="67"/>
        <v>12.543999999999999</v>
      </c>
      <c r="AO58">
        <f t="shared" si="68"/>
        <v>1120</v>
      </c>
      <c r="AP58">
        <f t="shared" si="69"/>
        <v>112</v>
      </c>
      <c r="AQ58">
        <f t="shared" si="70"/>
        <v>17.919999999999998</v>
      </c>
      <c r="AR58">
        <f t="shared" si="94"/>
        <v>1.7919999999999998</v>
      </c>
      <c r="AS58">
        <f t="shared" si="72"/>
        <v>1.4</v>
      </c>
      <c r="AT58">
        <f t="shared" si="73"/>
        <v>2</v>
      </c>
      <c r="AU58">
        <f t="shared" si="74"/>
        <v>3</v>
      </c>
      <c r="AV58">
        <f t="shared" si="64"/>
        <v>3025</v>
      </c>
      <c r="AW58" s="1">
        <v>2</v>
      </c>
      <c r="AX58">
        <v>3</v>
      </c>
      <c r="AY58">
        <v>0</v>
      </c>
      <c r="BA58">
        <v>3</v>
      </c>
      <c r="BB58">
        <v>5</v>
      </c>
      <c r="BC58" s="20">
        <v>102</v>
      </c>
      <c r="BD58" s="21" t="s">
        <v>226</v>
      </c>
      <c r="BE58" s="20">
        <v>1</v>
      </c>
      <c r="BF58" s="20">
        <f t="shared" si="19"/>
        <v>1</v>
      </c>
      <c r="BG58" s="22">
        <v>5</v>
      </c>
      <c r="BH58" s="23">
        <v>1.4</v>
      </c>
      <c r="BI58" s="25">
        <f t="shared" si="77"/>
        <v>74.666666666666671</v>
      </c>
      <c r="BJ58" s="25">
        <f t="shared" si="78"/>
        <v>960</v>
      </c>
      <c r="BK58" s="25">
        <f t="shared" si="79"/>
        <v>14.933333333333334</v>
      </c>
      <c r="BL58">
        <v>3</v>
      </c>
      <c r="BM58">
        <f t="shared" si="80"/>
        <v>53.333333333333343</v>
      </c>
      <c r="BN58">
        <f t="shared" si="81"/>
        <v>1</v>
      </c>
      <c r="BO58" s="20">
        <v>30</v>
      </c>
      <c r="BP58">
        <f t="shared" si="82"/>
        <v>1.3333333333333333</v>
      </c>
      <c r="BQ58" s="20">
        <v>40</v>
      </c>
      <c r="CE58" s="2" t="s">
        <v>412</v>
      </c>
      <c r="CF58" s="3" t="s">
        <v>413</v>
      </c>
      <c r="CH58" t="str">
        <f t="shared" si="62"/>
        <v>DATA_Class_Base23</v>
      </c>
      <c r="CI58" s="6" t="s">
        <v>355</v>
      </c>
    </row>
    <row r="59" spans="1:87">
      <c r="A59">
        <f t="shared" si="92"/>
        <v>3042400</v>
      </c>
      <c r="B59" s="6" t="s">
        <v>362</v>
      </c>
      <c r="C59">
        <v>4</v>
      </c>
      <c r="D59">
        <v>4</v>
      </c>
      <c r="E59">
        <v>2</v>
      </c>
      <c r="F59" s="3" t="s">
        <v>363</v>
      </c>
      <c r="G59" s="3" t="s">
        <v>363</v>
      </c>
      <c r="H59">
        <v>0</v>
      </c>
      <c r="I59">
        <v>0</v>
      </c>
      <c r="J59">
        <v>0</v>
      </c>
      <c r="K59" s="2" t="s">
        <v>364</v>
      </c>
      <c r="L59" s="2">
        <f t="shared" si="93"/>
        <v>6</v>
      </c>
      <c r="M59" s="2">
        <f t="shared" si="83"/>
        <v>1.4000000000000001</v>
      </c>
      <c r="N59" s="2">
        <f t="shared" si="84"/>
        <v>2</v>
      </c>
      <c r="O59" s="2">
        <v>10</v>
      </c>
      <c r="P59" s="2">
        <f t="shared" si="85"/>
        <v>130.66999999999999</v>
      </c>
      <c r="Q59" s="2">
        <f t="shared" si="86"/>
        <v>13.07</v>
      </c>
      <c r="R59" s="2">
        <f t="shared" si="87"/>
        <v>1075.2</v>
      </c>
      <c r="S59" s="2">
        <f t="shared" si="88"/>
        <v>107.52</v>
      </c>
      <c r="T59" s="2">
        <f t="shared" si="89"/>
        <v>21.78</v>
      </c>
      <c r="U59" s="2">
        <f t="shared" si="90"/>
        <v>2.1800000000000002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3">
        <v>354001</v>
      </c>
      <c r="AB59" s="14" t="s">
        <v>408</v>
      </c>
      <c r="AC59" s="15" t="s">
        <v>889</v>
      </c>
      <c r="AD59">
        <v>3052400</v>
      </c>
      <c r="AE59" s="2">
        <v>5</v>
      </c>
      <c r="AF59" s="2">
        <v>2</v>
      </c>
      <c r="AG59" s="2">
        <v>4</v>
      </c>
      <c r="AH59" s="2">
        <v>2</v>
      </c>
      <c r="AI59" s="2"/>
      <c r="AJ59">
        <v>100</v>
      </c>
      <c r="AK59" s="1">
        <f t="shared" si="91"/>
        <v>4017.3943049201766</v>
      </c>
      <c r="AL59">
        <v>4</v>
      </c>
      <c r="AM59">
        <f t="shared" si="66"/>
        <v>130.66666666666669</v>
      </c>
      <c r="AN59">
        <f t="shared" si="67"/>
        <v>13.06666666666667</v>
      </c>
      <c r="AO59">
        <f t="shared" si="68"/>
        <v>1075.1999999999998</v>
      </c>
      <c r="AP59">
        <f t="shared" si="69"/>
        <v>107.51999999999998</v>
      </c>
      <c r="AQ59">
        <f t="shared" si="70"/>
        <v>21.777777777777782</v>
      </c>
      <c r="AR59">
        <f t="shared" si="94"/>
        <v>2.1777777777777785</v>
      </c>
      <c r="AS59">
        <f t="shared" si="72"/>
        <v>1.4</v>
      </c>
      <c r="AT59">
        <f t="shared" si="73"/>
        <v>2</v>
      </c>
      <c r="AU59">
        <f t="shared" si="74"/>
        <v>6</v>
      </c>
      <c r="AV59">
        <f t="shared" si="64"/>
        <v>4005</v>
      </c>
      <c r="AW59" s="1">
        <v>0</v>
      </c>
      <c r="AX59">
        <v>3</v>
      </c>
      <c r="AY59">
        <v>0</v>
      </c>
      <c r="BA59">
        <v>4</v>
      </c>
      <c r="BB59">
        <v>5</v>
      </c>
      <c r="CE59" s="2" t="s">
        <v>414</v>
      </c>
      <c r="CF59" s="3" t="s">
        <v>174</v>
      </c>
      <c r="CH59" t="str">
        <f t="shared" si="62"/>
        <v>DATA_Class_Base24</v>
      </c>
      <c r="CI59" s="6" t="s">
        <v>361</v>
      </c>
    </row>
    <row r="60" spans="1:87">
      <c r="A60">
        <f t="shared" si="92"/>
        <v>3051202</v>
      </c>
      <c r="B60" s="6" t="s">
        <v>278</v>
      </c>
      <c r="C60">
        <v>5</v>
      </c>
      <c r="D60">
        <v>2</v>
      </c>
      <c r="E60">
        <v>1</v>
      </c>
      <c r="F60" s="3" t="s">
        <v>279</v>
      </c>
      <c r="G60" s="3" t="s">
        <v>279</v>
      </c>
      <c r="H60">
        <v>0</v>
      </c>
      <c r="I60">
        <v>0</v>
      </c>
      <c r="J60">
        <v>0</v>
      </c>
      <c r="K60" s="2" t="s">
        <v>280</v>
      </c>
      <c r="L60" s="2">
        <f t="shared" si="93"/>
        <v>3</v>
      </c>
      <c r="M60" s="2">
        <f t="shared" si="83"/>
        <v>1.8</v>
      </c>
      <c r="N60" s="2">
        <f t="shared" si="84"/>
        <v>2</v>
      </c>
      <c r="O60" s="2">
        <v>10</v>
      </c>
      <c r="P60" s="2">
        <f t="shared" si="85"/>
        <v>122.88</v>
      </c>
      <c r="Q60" s="2">
        <f t="shared" si="86"/>
        <v>12.29</v>
      </c>
      <c r="R60" s="2">
        <f t="shared" si="87"/>
        <v>1920</v>
      </c>
      <c r="S60" s="2">
        <f t="shared" si="88"/>
        <v>192</v>
      </c>
      <c r="T60" s="2">
        <f t="shared" si="89"/>
        <v>30.72</v>
      </c>
      <c r="U60" s="2">
        <f t="shared" si="90"/>
        <v>3.07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6">
        <v>312021</v>
      </c>
      <c r="AB60" s="14" t="s">
        <v>367</v>
      </c>
      <c r="AC60" s="15" t="s">
        <v>889</v>
      </c>
      <c r="AD60" s="2">
        <v>3061202</v>
      </c>
      <c r="AE60" s="2">
        <v>4</v>
      </c>
      <c r="AF60" s="2">
        <v>1</v>
      </c>
      <c r="AG60" s="2">
        <f t="shared" ref="AG60:AG74" si="95">A60</f>
        <v>3051202</v>
      </c>
      <c r="AH60" s="2">
        <v>1</v>
      </c>
      <c r="AI60" s="2"/>
      <c r="AJ60">
        <v>1</v>
      </c>
      <c r="AK60" s="1">
        <f t="shared" si="91"/>
        <v>50.298026985579355</v>
      </c>
      <c r="AL60">
        <v>5</v>
      </c>
      <c r="AM60">
        <f t="shared" si="66"/>
        <v>122.88000000000002</v>
      </c>
      <c r="AN60">
        <f t="shared" si="67"/>
        <v>12.288000000000004</v>
      </c>
      <c r="AO60">
        <f t="shared" si="68"/>
        <v>1920</v>
      </c>
      <c r="AP60">
        <f t="shared" si="69"/>
        <v>192</v>
      </c>
      <c r="AQ60">
        <f t="shared" si="70"/>
        <v>30.720000000000006</v>
      </c>
      <c r="AR60">
        <f t="shared" si="94"/>
        <v>3.072000000000001</v>
      </c>
      <c r="AS60">
        <f t="shared" si="72"/>
        <v>1.8</v>
      </c>
      <c r="AT60">
        <f t="shared" si="73"/>
        <v>2</v>
      </c>
      <c r="AU60">
        <f t="shared" si="74"/>
        <v>3</v>
      </c>
      <c r="AV60">
        <f t="shared" si="64"/>
        <v>2021</v>
      </c>
      <c r="AW60" s="1">
        <v>2</v>
      </c>
      <c r="AX60">
        <v>3</v>
      </c>
      <c r="AY60">
        <v>0</v>
      </c>
      <c r="BA60">
        <v>2</v>
      </c>
      <c r="BB60">
        <v>1</v>
      </c>
      <c r="CH60" t="str">
        <f t="shared" si="62"/>
        <v>DATA_Class_Base25</v>
      </c>
      <c r="CI60" s="6" t="s">
        <v>366</v>
      </c>
    </row>
    <row r="61" spans="1:87">
      <c r="A61">
        <f t="shared" si="92"/>
        <v>3051301</v>
      </c>
      <c r="B61" s="6" t="s">
        <v>283</v>
      </c>
      <c r="C61">
        <v>5</v>
      </c>
      <c r="D61">
        <v>3</v>
      </c>
      <c r="E61">
        <v>1</v>
      </c>
      <c r="F61" s="3" t="s">
        <v>284</v>
      </c>
      <c r="G61" s="3" t="s">
        <v>284</v>
      </c>
      <c r="H61">
        <v>0</v>
      </c>
      <c r="I61">
        <v>0</v>
      </c>
      <c r="J61" s="2">
        <v>0</v>
      </c>
      <c r="K61" s="2" t="s">
        <v>285</v>
      </c>
      <c r="L61" s="2">
        <f t="shared" si="93"/>
        <v>3</v>
      </c>
      <c r="M61" s="2">
        <f t="shared" si="83"/>
        <v>1.2</v>
      </c>
      <c r="N61" s="2">
        <f t="shared" si="84"/>
        <v>2</v>
      </c>
      <c r="O61" s="2">
        <v>10</v>
      </c>
      <c r="P61" s="2">
        <f t="shared" si="85"/>
        <v>112.64</v>
      </c>
      <c r="Q61" s="2">
        <f t="shared" si="86"/>
        <v>11.26</v>
      </c>
      <c r="R61" s="2">
        <f t="shared" si="87"/>
        <v>1396.36</v>
      </c>
      <c r="S61" s="2">
        <f t="shared" si="88"/>
        <v>139.63999999999999</v>
      </c>
      <c r="T61" s="2">
        <f t="shared" si="89"/>
        <v>18.77</v>
      </c>
      <c r="U61" s="2">
        <f t="shared" si="90"/>
        <v>1.88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6">
        <v>313011</v>
      </c>
      <c r="AB61" s="14" t="s">
        <v>370</v>
      </c>
      <c r="AC61" s="15" t="s">
        <v>889</v>
      </c>
      <c r="AD61" s="2">
        <v>3061301</v>
      </c>
      <c r="AE61" s="2">
        <v>4</v>
      </c>
      <c r="AF61" s="2">
        <v>1</v>
      </c>
      <c r="AG61" s="2">
        <f t="shared" si="95"/>
        <v>3051301</v>
      </c>
      <c r="AH61" s="2">
        <v>1</v>
      </c>
      <c r="AI61" s="2"/>
      <c r="AJ61">
        <v>1</v>
      </c>
      <c r="AK61" s="1">
        <f t="shared" si="91"/>
        <v>50.165282103792968</v>
      </c>
      <c r="AL61">
        <v>5</v>
      </c>
      <c r="AM61">
        <f t="shared" si="66"/>
        <v>112.64000000000001</v>
      </c>
      <c r="AN61">
        <f t="shared" si="67"/>
        <v>11.264000000000003</v>
      </c>
      <c r="AO61">
        <f t="shared" si="68"/>
        <v>1396.3636363636365</v>
      </c>
      <c r="AP61">
        <f t="shared" si="69"/>
        <v>139.63636363636365</v>
      </c>
      <c r="AQ61">
        <f t="shared" si="70"/>
        <v>18.773333333333337</v>
      </c>
      <c r="AR61">
        <f t="shared" si="94"/>
        <v>1.8773333333333337</v>
      </c>
      <c r="AS61">
        <f t="shared" si="72"/>
        <v>1.2</v>
      </c>
      <c r="AT61">
        <f t="shared" si="73"/>
        <v>2</v>
      </c>
      <c r="AU61">
        <f t="shared" si="74"/>
        <v>3</v>
      </c>
      <c r="AV61">
        <f t="shared" si="64"/>
        <v>3011</v>
      </c>
      <c r="AW61" s="1">
        <v>1</v>
      </c>
      <c r="AX61">
        <v>3</v>
      </c>
      <c r="AY61">
        <v>0</v>
      </c>
      <c r="BA61">
        <v>3</v>
      </c>
      <c r="BB61">
        <v>1</v>
      </c>
      <c r="CH61" t="str">
        <f t="shared" si="62"/>
        <v>DATA_Class_Base26</v>
      </c>
      <c r="CI61" s="6" t="s">
        <v>369</v>
      </c>
    </row>
    <row r="62" spans="1:87">
      <c r="A62">
        <f t="shared" si="92"/>
        <v>3051502</v>
      </c>
      <c r="B62" s="6" t="s">
        <v>289</v>
      </c>
      <c r="C62">
        <v>5</v>
      </c>
      <c r="D62">
        <v>5</v>
      </c>
      <c r="E62">
        <v>1</v>
      </c>
      <c r="F62" s="3" t="s">
        <v>290</v>
      </c>
      <c r="G62" s="3" t="s">
        <v>290</v>
      </c>
      <c r="H62">
        <v>0</v>
      </c>
      <c r="I62">
        <v>0</v>
      </c>
      <c r="J62" s="2">
        <v>0</v>
      </c>
      <c r="K62" s="2" t="s">
        <v>291</v>
      </c>
      <c r="L62" s="2">
        <f t="shared" si="93"/>
        <v>6</v>
      </c>
      <c r="M62" s="2">
        <f t="shared" si="83"/>
        <v>1.4000000000000001</v>
      </c>
      <c r="N62" s="2">
        <f t="shared" si="84"/>
        <v>2</v>
      </c>
      <c r="O62" s="2">
        <v>10</v>
      </c>
      <c r="P62" s="2">
        <f t="shared" si="85"/>
        <v>155.31</v>
      </c>
      <c r="Q62" s="2">
        <f t="shared" si="86"/>
        <v>15.53</v>
      </c>
      <c r="R62" s="2">
        <f t="shared" si="87"/>
        <v>1181.54</v>
      </c>
      <c r="S62" s="2">
        <f t="shared" si="88"/>
        <v>118.15</v>
      </c>
      <c r="T62" s="2">
        <f t="shared" si="89"/>
        <v>23.89</v>
      </c>
      <c r="U62" s="2">
        <f t="shared" si="90"/>
        <v>2.39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6">
        <v>315021</v>
      </c>
      <c r="AB62" s="14" t="s">
        <v>372</v>
      </c>
      <c r="AC62" s="15" t="s">
        <v>889</v>
      </c>
      <c r="AD62" s="2">
        <v>3061502</v>
      </c>
      <c r="AE62" s="2">
        <v>4</v>
      </c>
      <c r="AF62" s="2">
        <v>1</v>
      </c>
      <c r="AG62" s="2">
        <f t="shared" si="95"/>
        <v>3051502</v>
      </c>
      <c r="AH62" s="2">
        <v>1</v>
      </c>
      <c r="AI62" s="2"/>
      <c r="AJ62">
        <v>1</v>
      </c>
      <c r="AK62" s="1">
        <f t="shared" si="91"/>
        <v>50.222086873721281</v>
      </c>
      <c r="AL62">
        <v>5</v>
      </c>
      <c r="AM62">
        <f t="shared" si="66"/>
        <v>155.30666666666664</v>
      </c>
      <c r="AN62">
        <f t="shared" si="67"/>
        <v>15.530666666666665</v>
      </c>
      <c r="AO62">
        <f t="shared" si="68"/>
        <v>1181.5384615384614</v>
      </c>
      <c r="AP62">
        <f t="shared" si="69"/>
        <v>118.15384615384615</v>
      </c>
      <c r="AQ62">
        <f t="shared" si="70"/>
        <v>23.893333333333331</v>
      </c>
      <c r="AR62">
        <f t="shared" si="94"/>
        <v>2.3893333333333331</v>
      </c>
      <c r="AS62">
        <f t="shared" si="72"/>
        <v>1.4</v>
      </c>
      <c r="AT62">
        <f t="shared" si="73"/>
        <v>2</v>
      </c>
      <c r="AU62">
        <f t="shared" si="74"/>
        <v>6</v>
      </c>
      <c r="AV62">
        <f t="shared" si="64"/>
        <v>5021</v>
      </c>
      <c r="AW62" s="1">
        <v>2</v>
      </c>
      <c r="AX62">
        <v>3</v>
      </c>
      <c r="AY62">
        <v>0</v>
      </c>
      <c r="BA62">
        <v>5</v>
      </c>
      <c r="BB62">
        <v>1</v>
      </c>
      <c r="CH62" t="str">
        <f t="shared" si="62"/>
        <v>DATA_Class_Base27</v>
      </c>
      <c r="CI62" s="6" t="s">
        <v>371</v>
      </c>
    </row>
    <row r="63" spans="1:87">
      <c r="A63">
        <f t="shared" si="92"/>
        <v>3052201</v>
      </c>
      <c r="B63" s="6" t="s">
        <v>296</v>
      </c>
      <c r="C63">
        <v>5</v>
      </c>
      <c r="D63">
        <v>2</v>
      </c>
      <c r="E63">
        <v>2</v>
      </c>
      <c r="F63" s="3" t="s">
        <v>297</v>
      </c>
      <c r="G63" s="3" t="s">
        <v>297</v>
      </c>
      <c r="H63">
        <v>0</v>
      </c>
      <c r="I63">
        <v>0</v>
      </c>
      <c r="J63">
        <v>0</v>
      </c>
      <c r="K63" s="8" t="s">
        <v>298</v>
      </c>
      <c r="L63" s="2">
        <f t="shared" si="93"/>
        <v>3</v>
      </c>
      <c r="M63" s="2">
        <f t="shared" si="83"/>
        <v>1.8</v>
      </c>
      <c r="N63" s="2">
        <f t="shared" si="84"/>
        <v>1.8</v>
      </c>
      <c r="O63" s="2">
        <v>10</v>
      </c>
      <c r="P63" s="2">
        <f t="shared" si="85"/>
        <v>107.52</v>
      </c>
      <c r="Q63" s="2">
        <f t="shared" si="86"/>
        <v>10.75</v>
      </c>
      <c r="R63" s="2">
        <f t="shared" si="87"/>
        <v>2194.29</v>
      </c>
      <c r="S63" s="2">
        <f t="shared" si="88"/>
        <v>219.43</v>
      </c>
      <c r="T63" s="2">
        <f t="shared" si="89"/>
        <v>35.840000000000003</v>
      </c>
      <c r="U63" s="2">
        <f t="shared" si="90"/>
        <v>3.58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3">
        <v>322011</v>
      </c>
      <c r="AB63" s="14" t="s">
        <v>375</v>
      </c>
      <c r="AC63" s="15" t="s">
        <v>889</v>
      </c>
      <c r="AD63" s="2">
        <v>3062201</v>
      </c>
      <c r="AE63" s="2">
        <v>4</v>
      </c>
      <c r="AF63" s="2">
        <v>1</v>
      </c>
      <c r="AG63" s="2">
        <f t="shared" si="95"/>
        <v>3052201</v>
      </c>
      <c r="AH63" s="2">
        <v>1</v>
      </c>
      <c r="AI63" s="2"/>
      <c r="AJ63">
        <v>1</v>
      </c>
      <c r="AK63" s="1">
        <f t="shared" si="91"/>
        <v>50.355132952302334</v>
      </c>
      <c r="AL63">
        <v>5</v>
      </c>
      <c r="AM63">
        <f t="shared" ref="AM63:AM91" si="96">INDEX($BE$5:$BE$58,MATCH($AV63,$BC$5:$BC$58,0))*$AS63/1.5*$BI$4*INDEX($BE$109:$BR$109,MATCH($AL63,$BE$108:$BR$108,0))</f>
        <v>107.52000000000001</v>
      </c>
      <c r="AN63">
        <f t="shared" ref="AN63:AN91" si="97">(INDEX($BE$5:$BE$58,MATCH($AV63,$BC$5:$BC$58,0))*$AS63/1.5*$BI$4*INDEX($BE$109:$BR$109,MATCH($AL63,$BE$108:$BR$108,0)))*0.1</f>
        <v>10.752000000000002</v>
      </c>
      <c r="AO63">
        <f t="shared" ref="AO63:AO91" si="98">INDEX($BF$5:$BF$58,MATCH($AV63,$BC$5:$BC$58,0))*$BJ$4*INDEX($BE$109:$BR$109,MATCH($AL63,$BE$108:$BR$108,0))</f>
        <v>2194.2857142857147</v>
      </c>
      <c r="AP63">
        <f t="shared" ref="AP63:AP91" si="99">(INDEX($BF$5:$BF$58,MATCH($AV63,$BC$5:$BC$58,0))*$BJ$4*INDEX($BE$109:$BR$109,MATCH($AL63,$BE$108:$BR$108,0)))*0.1</f>
        <v>219.42857142857147</v>
      </c>
      <c r="AQ63">
        <f t="shared" ref="AQ63:AQ91" si="100">$AM63/INDEX($BG$5:$BG$58,MATCH($AV63,$BC$5:$BC$58,0))</f>
        <v>35.840000000000003</v>
      </c>
      <c r="AR63">
        <f t="shared" si="94"/>
        <v>3.5840000000000005</v>
      </c>
      <c r="AS63">
        <f t="shared" ref="AS63:AS91" si="101">INDEX($BH$5:$BH$58,MATCH($AV63,$BC$5:$BC$58,0))</f>
        <v>1.8</v>
      </c>
      <c r="AT63">
        <f t="shared" ref="AT63:AT91" si="102">ROUND(IF(INDEX($BP$5:$BP$58,MATCH($AV63,$BC$5:$BC$58,0))&lt;2,INDEX($BP$5:$BP$58,MATCH($AV63,$BC$5:$BC$58,0))+0.2,2),1)</f>
        <v>1.8</v>
      </c>
      <c r="AU63">
        <f t="shared" ref="AU63:AU91" si="103">INDEX($BL$5:$BL$58,MATCH($AV63,$BC$5:$BC$58,0))</f>
        <v>3</v>
      </c>
      <c r="AV63">
        <f t="shared" si="64"/>
        <v>2012</v>
      </c>
      <c r="AW63" s="1">
        <v>1</v>
      </c>
      <c r="AX63">
        <v>3</v>
      </c>
      <c r="AY63">
        <v>0</v>
      </c>
      <c r="BA63">
        <v>2</v>
      </c>
      <c r="BB63">
        <v>2</v>
      </c>
      <c r="CH63" t="str">
        <f t="shared" si="62"/>
        <v>DATA_Class_Base13</v>
      </c>
      <c r="CI63" s="6" t="s">
        <v>295</v>
      </c>
    </row>
    <row r="64" spans="1:87">
      <c r="A64">
        <f t="shared" si="92"/>
        <v>3052500</v>
      </c>
      <c r="B64" s="6" t="s">
        <v>301</v>
      </c>
      <c r="C64">
        <v>5</v>
      </c>
      <c r="D64">
        <v>5</v>
      </c>
      <c r="E64">
        <v>2</v>
      </c>
      <c r="F64" s="3" t="s">
        <v>302</v>
      </c>
      <c r="G64" s="3" t="s">
        <v>302</v>
      </c>
      <c r="H64">
        <v>0</v>
      </c>
      <c r="I64">
        <v>0</v>
      </c>
      <c r="J64" s="2">
        <v>0</v>
      </c>
      <c r="K64" s="2" t="s">
        <v>303</v>
      </c>
      <c r="L64" s="2">
        <f t="shared" si="93"/>
        <v>6</v>
      </c>
      <c r="M64" s="2">
        <f t="shared" si="83"/>
        <v>1.5</v>
      </c>
      <c r="N64" s="2">
        <f t="shared" si="84"/>
        <v>2</v>
      </c>
      <c r="O64" s="2">
        <v>10</v>
      </c>
      <c r="P64" s="2">
        <f t="shared" si="85"/>
        <v>192</v>
      </c>
      <c r="Q64" s="2">
        <f t="shared" si="86"/>
        <v>19.2</v>
      </c>
      <c r="R64" s="2">
        <f t="shared" si="87"/>
        <v>1024</v>
      </c>
      <c r="S64" s="2">
        <f t="shared" si="88"/>
        <v>102.4</v>
      </c>
      <c r="T64" s="2">
        <f t="shared" si="89"/>
        <v>21.33</v>
      </c>
      <c r="U64" s="2">
        <f t="shared" si="90"/>
        <v>2.13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3">
        <v>325001</v>
      </c>
      <c r="AB64" s="14" t="s">
        <v>379</v>
      </c>
      <c r="AC64" s="15" t="s">
        <v>889</v>
      </c>
      <c r="AD64" s="2">
        <v>3062500</v>
      </c>
      <c r="AE64" s="2">
        <v>4</v>
      </c>
      <c r="AF64" s="2">
        <v>1</v>
      </c>
      <c r="AG64" s="2">
        <f t="shared" si="95"/>
        <v>3052500</v>
      </c>
      <c r="AH64" s="2">
        <v>1</v>
      </c>
      <c r="AI64" s="2"/>
      <c r="AJ64">
        <v>1</v>
      </c>
      <c r="AK64" s="1">
        <f t="shared" si="91"/>
        <v>50.193668417104277</v>
      </c>
      <c r="AL64">
        <v>5</v>
      </c>
      <c r="AM64">
        <f t="shared" si="96"/>
        <v>192</v>
      </c>
      <c r="AN64">
        <f t="shared" si="97"/>
        <v>19.200000000000003</v>
      </c>
      <c r="AO64">
        <f t="shared" si="98"/>
        <v>1024</v>
      </c>
      <c r="AP64">
        <f t="shared" si="99"/>
        <v>102.4</v>
      </c>
      <c r="AQ64">
        <f t="shared" si="100"/>
        <v>21.333333333333332</v>
      </c>
      <c r="AR64">
        <f t="shared" si="94"/>
        <v>2.1333333333333333</v>
      </c>
      <c r="AS64">
        <f t="shared" si="101"/>
        <v>1.5</v>
      </c>
      <c r="AT64">
        <f t="shared" si="102"/>
        <v>2</v>
      </c>
      <c r="AU64">
        <f t="shared" si="103"/>
        <v>6</v>
      </c>
      <c r="AV64">
        <f t="shared" si="64"/>
        <v>5002</v>
      </c>
      <c r="AW64" s="1">
        <v>0</v>
      </c>
      <c r="AX64">
        <v>3</v>
      </c>
      <c r="AY64">
        <v>0</v>
      </c>
      <c r="BA64">
        <v>5</v>
      </c>
      <c r="BB64">
        <v>2</v>
      </c>
      <c r="CH64" t="str">
        <f t="shared" si="62"/>
        <v>DATA_Class_Base14</v>
      </c>
      <c r="CI64" s="6" t="s">
        <v>300</v>
      </c>
    </row>
    <row r="65" spans="1:87">
      <c r="A65">
        <f t="shared" si="92"/>
        <v>3052601</v>
      </c>
      <c r="B65" s="6" t="s">
        <v>307</v>
      </c>
      <c r="C65">
        <v>5</v>
      </c>
      <c r="D65">
        <v>6</v>
      </c>
      <c r="E65">
        <v>2</v>
      </c>
      <c r="F65" s="3" t="s">
        <v>308</v>
      </c>
      <c r="G65" s="3" t="s">
        <v>308</v>
      </c>
      <c r="H65">
        <v>0</v>
      </c>
      <c r="I65">
        <v>0</v>
      </c>
      <c r="J65" s="2">
        <v>0</v>
      </c>
      <c r="K65" s="2" t="s">
        <v>309</v>
      </c>
      <c r="L65" s="2">
        <f t="shared" si="93"/>
        <v>6</v>
      </c>
      <c r="M65" s="2">
        <f t="shared" si="83"/>
        <v>1.5</v>
      </c>
      <c r="N65" s="2">
        <f t="shared" si="84"/>
        <v>2</v>
      </c>
      <c r="O65" s="2">
        <v>10</v>
      </c>
      <c r="P65" s="2">
        <f t="shared" si="85"/>
        <v>140.80000000000001</v>
      </c>
      <c r="Q65" s="2">
        <f t="shared" si="86"/>
        <v>14.08</v>
      </c>
      <c r="R65" s="2">
        <f t="shared" si="87"/>
        <v>1396.36</v>
      </c>
      <c r="S65" s="2">
        <f t="shared" si="88"/>
        <v>139.63999999999999</v>
      </c>
      <c r="T65" s="2">
        <f t="shared" si="89"/>
        <v>28.16</v>
      </c>
      <c r="U65" s="2">
        <f t="shared" si="90"/>
        <v>2.82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3">
        <v>326011</v>
      </c>
      <c r="AB65" s="14" t="s">
        <v>382</v>
      </c>
      <c r="AC65" s="15" t="s">
        <v>889</v>
      </c>
      <c r="AD65" s="2">
        <v>3062601</v>
      </c>
      <c r="AE65" s="2">
        <v>4</v>
      </c>
      <c r="AF65" s="2">
        <v>1</v>
      </c>
      <c r="AG65" s="2">
        <f t="shared" si="95"/>
        <v>3052601</v>
      </c>
      <c r="AH65" s="2">
        <v>1</v>
      </c>
      <c r="AI65" s="2"/>
      <c r="AJ65">
        <v>1</v>
      </c>
      <c r="AK65" s="1">
        <f t="shared" si="91"/>
        <v>50.269522546077475</v>
      </c>
      <c r="AL65">
        <v>5</v>
      </c>
      <c r="AM65">
        <f t="shared" si="96"/>
        <v>140.80000000000001</v>
      </c>
      <c r="AN65">
        <f t="shared" si="97"/>
        <v>14.080000000000002</v>
      </c>
      <c r="AO65">
        <f t="shared" si="98"/>
        <v>1396.3636363636365</v>
      </c>
      <c r="AP65">
        <f t="shared" si="99"/>
        <v>139.63636363636365</v>
      </c>
      <c r="AQ65">
        <f t="shared" si="100"/>
        <v>28.160000000000004</v>
      </c>
      <c r="AR65">
        <f t="shared" si="94"/>
        <v>2.8160000000000007</v>
      </c>
      <c r="AS65">
        <f t="shared" si="101"/>
        <v>1.5</v>
      </c>
      <c r="AT65">
        <f t="shared" si="102"/>
        <v>2</v>
      </c>
      <c r="AU65">
        <f t="shared" si="103"/>
        <v>6</v>
      </c>
      <c r="AV65">
        <f t="shared" si="64"/>
        <v>6012</v>
      </c>
      <c r="AW65" s="1">
        <v>1</v>
      </c>
      <c r="AX65">
        <v>3</v>
      </c>
      <c r="AY65">
        <v>0</v>
      </c>
      <c r="BA65">
        <v>6</v>
      </c>
      <c r="BB65">
        <v>2</v>
      </c>
      <c r="CH65" t="str">
        <f t="shared" si="62"/>
        <v>DATA_Class_Base15</v>
      </c>
      <c r="CI65" s="6" t="s">
        <v>306</v>
      </c>
    </row>
    <row r="66" spans="1:87">
      <c r="A66">
        <f t="shared" si="92"/>
        <v>3053200</v>
      </c>
      <c r="B66" s="6" t="s">
        <v>294</v>
      </c>
      <c r="C66">
        <v>5</v>
      </c>
      <c r="D66">
        <v>2</v>
      </c>
      <c r="E66">
        <v>3</v>
      </c>
      <c r="F66" s="3" t="s">
        <v>313</v>
      </c>
      <c r="G66" s="3" t="s">
        <v>313</v>
      </c>
      <c r="H66">
        <v>0</v>
      </c>
      <c r="I66">
        <v>0</v>
      </c>
      <c r="J66">
        <v>0</v>
      </c>
      <c r="K66" s="2" t="s">
        <v>314</v>
      </c>
      <c r="L66" s="2">
        <f t="shared" si="93"/>
        <v>3</v>
      </c>
      <c r="M66" s="2">
        <f t="shared" si="83"/>
        <v>1.5</v>
      </c>
      <c r="N66" s="2">
        <f t="shared" si="84"/>
        <v>1.2</v>
      </c>
      <c r="O66" s="2">
        <v>10</v>
      </c>
      <c r="P66" s="2">
        <f t="shared" si="85"/>
        <v>89.6</v>
      </c>
      <c r="Q66" s="2">
        <f t="shared" si="86"/>
        <v>8.9600000000000009</v>
      </c>
      <c r="R66" s="2">
        <f t="shared" si="87"/>
        <v>2194.29</v>
      </c>
      <c r="S66" s="2">
        <f t="shared" si="88"/>
        <v>219.43</v>
      </c>
      <c r="T66" s="2">
        <f t="shared" si="89"/>
        <v>44.8</v>
      </c>
      <c r="U66" s="2">
        <f t="shared" si="90"/>
        <v>4.4800000000000004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3">
        <v>332001</v>
      </c>
      <c r="AB66" s="14" t="s">
        <v>385</v>
      </c>
      <c r="AC66" s="15" t="s">
        <v>889</v>
      </c>
      <c r="AD66" s="2">
        <v>3063200</v>
      </c>
      <c r="AE66" s="2">
        <v>4</v>
      </c>
      <c r="AF66" s="2">
        <v>1</v>
      </c>
      <c r="AG66" s="2">
        <f t="shared" si="95"/>
        <v>3053200</v>
      </c>
      <c r="AH66" s="2">
        <v>1</v>
      </c>
      <c r="AI66" s="2"/>
      <c r="AJ66">
        <v>1</v>
      </c>
      <c r="AK66" s="1">
        <f t="shared" si="91"/>
        <v>50.45538103548575</v>
      </c>
      <c r="AL66">
        <v>5</v>
      </c>
      <c r="AM66">
        <f t="shared" si="96"/>
        <v>89.59999999999998</v>
      </c>
      <c r="AN66">
        <f t="shared" si="97"/>
        <v>8.9599999999999991</v>
      </c>
      <c r="AO66">
        <f t="shared" si="98"/>
        <v>2194.2857142857147</v>
      </c>
      <c r="AP66">
        <f t="shared" si="99"/>
        <v>219.42857142857147</v>
      </c>
      <c r="AQ66">
        <f t="shared" si="100"/>
        <v>44.79999999999999</v>
      </c>
      <c r="AR66">
        <f t="shared" si="94"/>
        <v>4.4799999999999995</v>
      </c>
      <c r="AS66">
        <f t="shared" si="101"/>
        <v>1.5</v>
      </c>
      <c r="AT66">
        <f t="shared" si="102"/>
        <v>1.2</v>
      </c>
      <c r="AU66">
        <f t="shared" si="103"/>
        <v>3</v>
      </c>
      <c r="AV66">
        <f t="shared" si="64"/>
        <v>2003</v>
      </c>
      <c r="AW66" s="1">
        <v>0</v>
      </c>
      <c r="AX66">
        <v>3</v>
      </c>
      <c r="AY66">
        <v>0</v>
      </c>
      <c r="BA66">
        <v>2</v>
      </c>
      <c r="BB66">
        <v>3</v>
      </c>
      <c r="CH66" t="str">
        <f t="shared" si="62"/>
        <v>DATA_Class_Base16</v>
      </c>
      <c r="CI66" s="6" t="s">
        <v>312</v>
      </c>
    </row>
    <row r="67" spans="1:87">
      <c r="A67">
        <f t="shared" si="92"/>
        <v>3051401</v>
      </c>
      <c r="B67" s="6" t="s">
        <v>317</v>
      </c>
      <c r="C67">
        <v>5</v>
      </c>
      <c r="D67">
        <v>4</v>
      </c>
      <c r="E67">
        <v>1</v>
      </c>
      <c r="F67" s="3" t="s">
        <v>319</v>
      </c>
      <c r="G67" s="3" t="s">
        <v>319</v>
      </c>
      <c r="H67">
        <v>0</v>
      </c>
      <c r="I67">
        <v>0</v>
      </c>
      <c r="J67">
        <v>0</v>
      </c>
      <c r="K67" s="2" t="s">
        <v>161</v>
      </c>
      <c r="L67" s="2">
        <f t="shared" si="93"/>
        <v>6</v>
      </c>
      <c r="M67" s="2">
        <f t="shared" si="83"/>
        <v>1.6</v>
      </c>
      <c r="N67" s="2">
        <f t="shared" si="84"/>
        <v>1.5</v>
      </c>
      <c r="O67" s="2">
        <v>10</v>
      </c>
      <c r="P67" s="2">
        <f t="shared" si="85"/>
        <v>163.84</v>
      </c>
      <c r="Q67" s="2">
        <f t="shared" si="86"/>
        <v>16.38</v>
      </c>
      <c r="R67" s="2">
        <f t="shared" si="87"/>
        <v>1280</v>
      </c>
      <c r="S67" s="2">
        <f t="shared" si="88"/>
        <v>128</v>
      </c>
      <c r="T67" s="2">
        <f t="shared" si="89"/>
        <v>27.31</v>
      </c>
      <c r="U67" s="2">
        <f t="shared" si="90"/>
        <v>2.73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3">
        <v>334011</v>
      </c>
      <c r="AB67" s="14" t="s">
        <v>389</v>
      </c>
      <c r="AC67" s="15" t="s">
        <v>889</v>
      </c>
      <c r="AD67" s="2">
        <v>3061401</v>
      </c>
      <c r="AE67" s="2">
        <v>4</v>
      </c>
      <c r="AF67" s="2">
        <v>1</v>
      </c>
      <c r="AG67" s="2">
        <f t="shared" si="95"/>
        <v>3051401</v>
      </c>
      <c r="AH67" s="2">
        <v>1</v>
      </c>
      <c r="AI67" s="2"/>
      <c r="AJ67">
        <v>1</v>
      </c>
      <c r="AK67" s="1">
        <f t="shared" si="91"/>
        <v>50.260028244343637</v>
      </c>
      <c r="AL67">
        <v>5</v>
      </c>
      <c r="AM67">
        <f t="shared" si="96"/>
        <v>163.84000000000003</v>
      </c>
      <c r="AN67">
        <f t="shared" si="97"/>
        <v>16.384000000000004</v>
      </c>
      <c r="AO67">
        <f t="shared" si="98"/>
        <v>1280</v>
      </c>
      <c r="AP67">
        <f t="shared" si="99"/>
        <v>128</v>
      </c>
      <c r="AQ67">
        <f t="shared" si="100"/>
        <v>27.306666666666672</v>
      </c>
      <c r="AR67">
        <f t="shared" si="94"/>
        <v>2.7306666666666675</v>
      </c>
      <c r="AS67">
        <f t="shared" si="101"/>
        <v>1.6</v>
      </c>
      <c r="AT67">
        <f t="shared" si="102"/>
        <v>1.5</v>
      </c>
      <c r="AU67">
        <f t="shared" si="103"/>
        <v>6</v>
      </c>
      <c r="AV67">
        <f t="shared" si="64"/>
        <v>4013</v>
      </c>
      <c r="AW67" s="1">
        <v>1</v>
      </c>
      <c r="AX67">
        <v>3</v>
      </c>
      <c r="AY67">
        <v>0</v>
      </c>
      <c r="BA67">
        <v>4</v>
      </c>
      <c r="BB67">
        <v>3</v>
      </c>
      <c r="CH67" t="str">
        <f t="shared" si="62"/>
        <v>DATA_Class_Base17</v>
      </c>
      <c r="CI67" s="6" t="s">
        <v>318</v>
      </c>
    </row>
    <row r="68" spans="1:87">
      <c r="A68">
        <f t="shared" si="92"/>
        <v>3053402</v>
      </c>
      <c r="B68" s="6" t="s">
        <v>323</v>
      </c>
      <c r="C68">
        <v>5</v>
      </c>
      <c r="D68">
        <v>4</v>
      </c>
      <c r="E68">
        <v>3</v>
      </c>
      <c r="F68" s="3" t="s">
        <v>325</v>
      </c>
      <c r="G68" s="3" t="s">
        <v>325</v>
      </c>
      <c r="H68">
        <v>0</v>
      </c>
      <c r="I68">
        <v>0</v>
      </c>
      <c r="J68" s="2">
        <v>0</v>
      </c>
      <c r="K68" s="2" t="s">
        <v>250</v>
      </c>
      <c r="L68" s="2">
        <f t="shared" si="93"/>
        <v>6</v>
      </c>
      <c r="M68" s="2">
        <f t="shared" si="83"/>
        <v>1.5</v>
      </c>
      <c r="N68" s="2">
        <f t="shared" si="84"/>
        <v>1.5</v>
      </c>
      <c r="O68" s="2">
        <v>10</v>
      </c>
      <c r="P68" s="2">
        <f t="shared" si="85"/>
        <v>166.4</v>
      </c>
      <c r="Q68" s="2">
        <f t="shared" si="86"/>
        <v>16.64</v>
      </c>
      <c r="R68" s="2">
        <f t="shared" si="87"/>
        <v>1181.54</v>
      </c>
      <c r="S68" s="2">
        <f t="shared" si="88"/>
        <v>118.15</v>
      </c>
      <c r="T68" s="2">
        <f t="shared" si="89"/>
        <v>23.77</v>
      </c>
      <c r="U68" s="2">
        <f t="shared" si="90"/>
        <v>2.38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3">
        <v>334021</v>
      </c>
      <c r="AB68" s="14" t="s">
        <v>392</v>
      </c>
      <c r="AC68" s="15" t="s">
        <v>889</v>
      </c>
      <c r="AD68" s="2">
        <v>3063402</v>
      </c>
      <c r="AE68" s="2">
        <v>4</v>
      </c>
      <c r="AF68" s="2">
        <v>1</v>
      </c>
      <c r="AG68" s="2">
        <f t="shared" si="95"/>
        <v>3053402</v>
      </c>
      <c r="AH68" s="2">
        <v>1</v>
      </c>
      <c r="AI68" s="2"/>
      <c r="AJ68">
        <v>1</v>
      </c>
      <c r="AK68" s="1">
        <f t="shared" si="91"/>
        <v>50.220732884203571</v>
      </c>
      <c r="AL68">
        <v>5</v>
      </c>
      <c r="AM68">
        <f t="shared" si="96"/>
        <v>166.4</v>
      </c>
      <c r="AN68">
        <f t="shared" si="97"/>
        <v>16.64</v>
      </c>
      <c r="AO68">
        <f t="shared" si="98"/>
        <v>1181.5384615384614</v>
      </c>
      <c r="AP68">
        <f t="shared" si="99"/>
        <v>118.15384615384615</v>
      </c>
      <c r="AQ68">
        <f t="shared" si="100"/>
        <v>23.771428571428572</v>
      </c>
      <c r="AR68">
        <f t="shared" si="94"/>
        <v>2.3771428571428572</v>
      </c>
      <c r="AS68">
        <f t="shared" si="101"/>
        <v>1.5</v>
      </c>
      <c r="AT68">
        <f t="shared" si="102"/>
        <v>1.5</v>
      </c>
      <c r="AU68">
        <f t="shared" si="103"/>
        <v>6</v>
      </c>
      <c r="AV68">
        <f t="shared" si="64"/>
        <v>4023</v>
      </c>
      <c r="AW68" s="1">
        <v>2</v>
      </c>
      <c r="AX68">
        <v>3</v>
      </c>
      <c r="AY68">
        <v>0</v>
      </c>
      <c r="BA68">
        <v>4</v>
      </c>
      <c r="BB68">
        <v>3</v>
      </c>
      <c r="CH68" t="str">
        <f t="shared" si="62"/>
        <v>DATA_Class_Base18</v>
      </c>
      <c r="CI68" s="6" t="s">
        <v>324</v>
      </c>
    </row>
    <row r="69" spans="1:87">
      <c r="A69">
        <f t="shared" si="92"/>
        <v>3053501</v>
      </c>
      <c r="B69" s="6" t="s">
        <v>332</v>
      </c>
      <c r="C69">
        <v>5</v>
      </c>
      <c r="D69">
        <v>5</v>
      </c>
      <c r="E69">
        <v>3</v>
      </c>
      <c r="F69" s="3" t="s">
        <v>333</v>
      </c>
      <c r="G69" s="3" t="s">
        <v>333</v>
      </c>
      <c r="H69">
        <v>0</v>
      </c>
      <c r="I69">
        <v>0</v>
      </c>
      <c r="J69">
        <v>0</v>
      </c>
      <c r="K69" s="2" t="s">
        <v>334</v>
      </c>
      <c r="L69" s="2">
        <f t="shared" si="93"/>
        <v>6</v>
      </c>
      <c r="M69" s="2">
        <f t="shared" si="83"/>
        <v>1.6</v>
      </c>
      <c r="N69" s="2">
        <f t="shared" si="84"/>
        <v>2</v>
      </c>
      <c r="O69" s="2">
        <v>10</v>
      </c>
      <c r="P69" s="2">
        <f t="shared" si="85"/>
        <v>177.49</v>
      </c>
      <c r="Q69" s="2">
        <f t="shared" si="86"/>
        <v>17.75</v>
      </c>
      <c r="R69" s="2">
        <f t="shared" si="87"/>
        <v>1181.54</v>
      </c>
      <c r="S69" s="2">
        <f t="shared" si="88"/>
        <v>118.15</v>
      </c>
      <c r="T69" s="2">
        <f t="shared" si="89"/>
        <v>19.72</v>
      </c>
      <c r="U69" s="2">
        <f t="shared" si="90"/>
        <v>1.97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3">
        <v>345011</v>
      </c>
      <c r="AB69" s="14" t="s">
        <v>395</v>
      </c>
      <c r="AC69" s="15" t="s">
        <v>889</v>
      </c>
      <c r="AD69">
        <v>3063501</v>
      </c>
      <c r="AE69" s="2">
        <v>4</v>
      </c>
      <c r="AF69" s="2">
        <v>1</v>
      </c>
      <c r="AG69" s="2">
        <f t="shared" si="95"/>
        <v>3053501</v>
      </c>
      <c r="AH69" s="2">
        <v>1</v>
      </c>
      <c r="AI69" s="2"/>
      <c r="AJ69">
        <v>1</v>
      </c>
      <c r="AK69" s="1">
        <f t="shared" si="91"/>
        <v>50.175791808774598</v>
      </c>
      <c r="AL69">
        <v>5</v>
      </c>
      <c r="AM69">
        <f t="shared" si="96"/>
        <v>177.49333333333334</v>
      </c>
      <c r="AN69">
        <f t="shared" si="97"/>
        <v>17.749333333333336</v>
      </c>
      <c r="AO69">
        <f t="shared" si="98"/>
        <v>1181.5384615384614</v>
      </c>
      <c r="AP69">
        <f t="shared" si="99"/>
        <v>118.15384615384615</v>
      </c>
      <c r="AQ69">
        <f t="shared" si="100"/>
        <v>19.721481481481483</v>
      </c>
      <c r="AR69">
        <f t="shared" si="94"/>
        <v>1.9721481481481484</v>
      </c>
      <c r="AS69">
        <f t="shared" si="101"/>
        <v>1.6</v>
      </c>
      <c r="AT69">
        <f t="shared" si="102"/>
        <v>2</v>
      </c>
      <c r="AU69">
        <f t="shared" si="103"/>
        <v>6</v>
      </c>
      <c r="AV69">
        <f t="shared" si="64"/>
        <v>5014</v>
      </c>
      <c r="AW69" s="1">
        <v>1</v>
      </c>
      <c r="AX69">
        <v>3</v>
      </c>
      <c r="AY69">
        <v>0</v>
      </c>
      <c r="BA69">
        <v>5</v>
      </c>
      <c r="BB69">
        <v>4</v>
      </c>
      <c r="CH69" t="str">
        <f t="shared" si="62"/>
        <v>DATA_Class_Base19</v>
      </c>
      <c r="CI69" s="6" t="s">
        <v>331</v>
      </c>
    </row>
    <row r="70" spans="1:87">
      <c r="A70">
        <f t="shared" si="92"/>
        <v>3053600</v>
      </c>
      <c r="B70" s="6" t="s">
        <v>337</v>
      </c>
      <c r="C70">
        <v>5</v>
      </c>
      <c r="D70">
        <v>6</v>
      </c>
      <c r="E70">
        <v>3</v>
      </c>
      <c r="F70" s="3" t="s">
        <v>338</v>
      </c>
      <c r="G70" s="3" t="s">
        <v>338</v>
      </c>
      <c r="H70">
        <v>0</v>
      </c>
      <c r="I70">
        <v>0</v>
      </c>
      <c r="J70" s="2">
        <v>0</v>
      </c>
      <c r="K70" s="2" t="s">
        <v>339</v>
      </c>
      <c r="L70" s="2">
        <f t="shared" si="93"/>
        <v>3</v>
      </c>
      <c r="M70" s="2">
        <f t="shared" si="83"/>
        <v>1.4000000000000001</v>
      </c>
      <c r="N70" s="2">
        <f t="shared" si="84"/>
        <v>1.9000000000000001</v>
      </c>
      <c r="O70" s="2">
        <v>10</v>
      </c>
      <c r="P70" s="2">
        <f t="shared" si="85"/>
        <v>131.41</v>
      </c>
      <c r="Q70" s="2">
        <f t="shared" si="86"/>
        <v>13.14</v>
      </c>
      <c r="R70" s="2">
        <f t="shared" si="87"/>
        <v>1396.36</v>
      </c>
      <c r="S70" s="2">
        <f t="shared" si="88"/>
        <v>139.63999999999999</v>
      </c>
      <c r="T70" s="2">
        <f t="shared" si="89"/>
        <v>32.85</v>
      </c>
      <c r="U70" s="2">
        <f t="shared" si="90"/>
        <v>3.29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3">
        <v>346001</v>
      </c>
      <c r="AB70" s="14" t="s">
        <v>397</v>
      </c>
      <c r="AC70" s="15" t="s">
        <v>889</v>
      </c>
      <c r="AD70">
        <v>3063600</v>
      </c>
      <c r="AE70" s="2">
        <v>4</v>
      </c>
      <c r="AF70" s="2">
        <v>1</v>
      </c>
      <c r="AG70" s="2">
        <f t="shared" si="95"/>
        <v>3053600</v>
      </c>
      <c r="AH70" s="2">
        <v>1</v>
      </c>
      <c r="AI70" s="2"/>
      <c r="AJ70">
        <v>1</v>
      </c>
      <c r="AK70" s="1">
        <f t="shared" si="91"/>
        <v>50.321805390212361</v>
      </c>
      <c r="AL70">
        <v>5</v>
      </c>
      <c r="AM70">
        <f t="shared" si="96"/>
        <v>131.41333333333333</v>
      </c>
      <c r="AN70">
        <f t="shared" si="97"/>
        <v>13.141333333333334</v>
      </c>
      <c r="AO70">
        <f t="shared" si="98"/>
        <v>1396.3636363636365</v>
      </c>
      <c r="AP70">
        <f t="shared" si="99"/>
        <v>139.63636363636365</v>
      </c>
      <c r="AQ70">
        <f t="shared" si="100"/>
        <v>32.853333333333332</v>
      </c>
      <c r="AR70">
        <f t="shared" si="94"/>
        <v>3.2853333333333334</v>
      </c>
      <c r="AS70">
        <f t="shared" si="101"/>
        <v>1.4</v>
      </c>
      <c r="AT70">
        <f t="shared" si="102"/>
        <v>1.9</v>
      </c>
      <c r="AU70">
        <f t="shared" si="103"/>
        <v>3</v>
      </c>
      <c r="AV70">
        <f t="shared" si="64"/>
        <v>6004</v>
      </c>
      <c r="AW70" s="1">
        <v>0</v>
      </c>
      <c r="AX70">
        <v>3</v>
      </c>
      <c r="AY70">
        <v>0</v>
      </c>
      <c r="BA70">
        <v>6</v>
      </c>
      <c r="BB70">
        <v>4</v>
      </c>
      <c r="CH70" t="str">
        <f t="shared" si="62"/>
        <v>DATA_Class_Base20</v>
      </c>
      <c r="CI70" s="6" t="s">
        <v>336</v>
      </c>
    </row>
    <row r="71" spans="1:87">
      <c r="A71">
        <f t="shared" si="92"/>
        <v>3051602</v>
      </c>
      <c r="B71" s="6" t="s">
        <v>343</v>
      </c>
      <c r="C71">
        <v>5</v>
      </c>
      <c r="D71">
        <v>6</v>
      </c>
      <c r="E71">
        <v>1</v>
      </c>
      <c r="F71" s="3" t="s">
        <v>344</v>
      </c>
      <c r="G71" s="3" t="s">
        <v>344</v>
      </c>
      <c r="H71">
        <v>0</v>
      </c>
      <c r="I71">
        <v>0</v>
      </c>
      <c r="J71" t="s">
        <v>345</v>
      </c>
      <c r="K71" s="2" t="s">
        <v>346</v>
      </c>
      <c r="L71" s="2">
        <f t="shared" si="93"/>
        <v>6</v>
      </c>
      <c r="M71" s="2">
        <f t="shared" si="83"/>
        <v>1.8</v>
      </c>
      <c r="N71" s="2">
        <f t="shared" si="84"/>
        <v>2</v>
      </c>
      <c r="O71" s="2">
        <v>10</v>
      </c>
      <c r="P71" s="2">
        <f t="shared" si="85"/>
        <v>153.6</v>
      </c>
      <c r="Q71" s="2">
        <f t="shared" si="86"/>
        <v>15.36</v>
      </c>
      <c r="R71" s="2">
        <f t="shared" si="87"/>
        <v>1536</v>
      </c>
      <c r="S71" s="2">
        <f t="shared" si="88"/>
        <v>153.6</v>
      </c>
      <c r="T71" s="2">
        <f t="shared" si="89"/>
        <v>30.72</v>
      </c>
      <c r="U71" s="2">
        <f t="shared" si="90"/>
        <v>3.07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3">
        <v>346021</v>
      </c>
      <c r="AB71" s="14" t="s">
        <v>399</v>
      </c>
      <c r="AC71" s="15" t="s">
        <v>889</v>
      </c>
      <c r="AD71">
        <v>3061602</v>
      </c>
      <c r="AE71" s="2">
        <v>4</v>
      </c>
      <c r="AF71" s="2">
        <v>1</v>
      </c>
      <c r="AG71" s="2">
        <f t="shared" si="95"/>
        <v>3051602</v>
      </c>
      <c r="AH71" s="2">
        <v>1</v>
      </c>
      <c r="AI71" s="2"/>
      <c r="AJ71">
        <v>1</v>
      </c>
      <c r="AK71" s="1">
        <f t="shared" si="91"/>
        <v>50.298026985579355</v>
      </c>
      <c r="AL71">
        <v>5</v>
      </c>
      <c r="AM71">
        <f t="shared" si="96"/>
        <v>153.60000000000002</v>
      </c>
      <c r="AN71">
        <f t="shared" si="97"/>
        <v>15.360000000000003</v>
      </c>
      <c r="AO71">
        <f t="shared" si="98"/>
        <v>1536</v>
      </c>
      <c r="AP71">
        <f t="shared" si="99"/>
        <v>153.60000000000002</v>
      </c>
      <c r="AQ71">
        <f t="shared" si="100"/>
        <v>30.720000000000006</v>
      </c>
      <c r="AR71">
        <f t="shared" si="94"/>
        <v>3.072000000000001</v>
      </c>
      <c r="AS71">
        <f t="shared" si="101"/>
        <v>1.8</v>
      </c>
      <c r="AT71">
        <f t="shared" si="102"/>
        <v>2</v>
      </c>
      <c r="AU71">
        <f t="shared" si="103"/>
        <v>6</v>
      </c>
      <c r="AV71">
        <f t="shared" si="64"/>
        <v>6024</v>
      </c>
      <c r="AW71" s="1">
        <v>2</v>
      </c>
      <c r="AX71">
        <v>3</v>
      </c>
      <c r="AY71">
        <v>0</v>
      </c>
      <c r="BA71">
        <v>6</v>
      </c>
      <c r="BB71">
        <v>4</v>
      </c>
      <c r="CH71" t="str">
        <f t="shared" si="62"/>
        <v>DATA_Class_Base21</v>
      </c>
      <c r="CI71" s="6" t="s">
        <v>342</v>
      </c>
    </row>
    <row r="72" spans="1:87">
      <c r="A72">
        <f t="shared" si="92"/>
        <v>3052300</v>
      </c>
      <c r="B72" s="6" t="s">
        <v>350</v>
      </c>
      <c r="C72">
        <v>5</v>
      </c>
      <c r="D72">
        <v>3</v>
      </c>
      <c r="E72">
        <v>2</v>
      </c>
      <c r="F72" s="3" t="s">
        <v>351</v>
      </c>
      <c r="G72" s="3" t="s">
        <v>351</v>
      </c>
      <c r="H72">
        <v>0</v>
      </c>
      <c r="I72">
        <v>0</v>
      </c>
      <c r="J72" s="2">
        <v>0</v>
      </c>
      <c r="K72" s="2" t="s">
        <v>352</v>
      </c>
      <c r="L72" s="2">
        <v>6</v>
      </c>
      <c r="M72" s="2">
        <f t="shared" si="83"/>
        <v>1.3</v>
      </c>
      <c r="N72" s="2">
        <f t="shared" si="84"/>
        <v>2</v>
      </c>
      <c r="O72" s="2">
        <v>10</v>
      </c>
      <c r="P72" s="2">
        <f t="shared" si="85"/>
        <v>127.57</v>
      </c>
      <c r="Q72" s="2">
        <f t="shared" si="86"/>
        <v>12.76</v>
      </c>
      <c r="R72" s="2">
        <f t="shared" si="87"/>
        <v>1335.65</v>
      </c>
      <c r="S72" s="2">
        <f t="shared" si="88"/>
        <v>133.57</v>
      </c>
      <c r="T72" s="2">
        <f t="shared" si="89"/>
        <v>15.95</v>
      </c>
      <c r="U72" s="2">
        <f t="shared" si="90"/>
        <v>1.59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3">
        <v>353001</v>
      </c>
      <c r="AB72" s="14" t="s">
        <v>403</v>
      </c>
      <c r="AC72" s="15" t="s">
        <v>889</v>
      </c>
      <c r="AD72">
        <v>3062300</v>
      </c>
      <c r="AE72" s="2">
        <v>4</v>
      </c>
      <c r="AF72" s="2">
        <v>1</v>
      </c>
      <c r="AG72" s="2">
        <f t="shared" si="95"/>
        <v>3052300</v>
      </c>
      <c r="AH72" s="2">
        <v>1</v>
      </c>
      <c r="AI72" s="2"/>
      <c r="AJ72">
        <v>1</v>
      </c>
      <c r="AK72" s="1">
        <f t="shared" si="91"/>
        <v>50.133976157420548</v>
      </c>
      <c r="AL72">
        <v>5</v>
      </c>
      <c r="AM72">
        <f t="shared" si="96"/>
        <v>127.57333333333332</v>
      </c>
      <c r="AN72">
        <f t="shared" si="97"/>
        <v>12.757333333333333</v>
      </c>
      <c r="AO72">
        <f t="shared" si="98"/>
        <v>1335.6521739130437</v>
      </c>
      <c r="AP72">
        <f t="shared" si="99"/>
        <v>133.56521739130437</v>
      </c>
      <c r="AQ72">
        <f t="shared" si="100"/>
        <v>15.946666666666665</v>
      </c>
      <c r="AR72">
        <f t="shared" si="94"/>
        <v>1.5946666666666667</v>
      </c>
      <c r="AS72">
        <f t="shared" si="101"/>
        <v>1.3</v>
      </c>
      <c r="AT72">
        <f t="shared" si="102"/>
        <v>2</v>
      </c>
      <c r="AU72">
        <f t="shared" si="103"/>
        <v>3</v>
      </c>
      <c r="AV72">
        <f t="shared" si="64"/>
        <v>3005</v>
      </c>
      <c r="AW72" s="1">
        <v>0</v>
      </c>
      <c r="AX72">
        <v>3</v>
      </c>
      <c r="AY72">
        <v>0</v>
      </c>
      <c r="BA72">
        <v>3</v>
      </c>
      <c r="BB72">
        <v>5</v>
      </c>
      <c r="CH72" t="str">
        <f t="shared" si="62"/>
        <v>DATA_Class_Base13</v>
      </c>
      <c r="CI72" s="6" t="s">
        <v>295</v>
      </c>
    </row>
    <row r="73" spans="1:87">
      <c r="A73">
        <f t="shared" si="92"/>
        <v>3053302</v>
      </c>
      <c r="B73" s="6" t="s">
        <v>356</v>
      </c>
      <c r="C73">
        <v>5</v>
      </c>
      <c r="D73">
        <v>3</v>
      </c>
      <c r="E73">
        <v>3</v>
      </c>
      <c r="F73" s="3" t="s">
        <v>357</v>
      </c>
      <c r="G73" s="3" t="s">
        <v>357</v>
      </c>
      <c r="H73">
        <v>0</v>
      </c>
      <c r="I73">
        <v>0</v>
      </c>
      <c r="J73" s="2">
        <v>0</v>
      </c>
      <c r="K73" s="2" t="s">
        <v>358</v>
      </c>
      <c r="L73" s="2">
        <f t="shared" si="93"/>
        <v>3</v>
      </c>
      <c r="M73" s="2">
        <f t="shared" si="83"/>
        <v>1.4000000000000001</v>
      </c>
      <c r="N73" s="2">
        <f t="shared" si="84"/>
        <v>2</v>
      </c>
      <c r="O73" s="2">
        <v>10</v>
      </c>
      <c r="P73" s="2">
        <f t="shared" si="85"/>
        <v>143.36000000000001</v>
      </c>
      <c r="Q73" s="2">
        <f t="shared" si="86"/>
        <v>14.34</v>
      </c>
      <c r="R73" s="2">
        <f t="shared" si="87"/>
        <v>1280</v>
      </c>
      <c r="S73" s="2">
        <f t="shared" si="88"/>
        <v>128</v>
      </c>
      <c r="T73" s="2">
        <f t="shared" si="89"/>
        <v>20.48</v>
      </c>
      <c r="U73" s="2">
        <f t="shared" si="90"/>
        <v>2.0499999999999998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3">
        <v>353021</v>
      </c>
      <c r="AB73" s="14" t="s">
        <v>405</v>
      </c>
      <c r="AC73" s="15" t="s">
        <v>889</v>
      </c>
      <c r="AD73">
        <v>3063302</v>
      </c>
      <c r="AE73" s="2">
        <v>4</v>
      </c>
      <c r="AF73" s="2">
        <v>1</v>
      </c>
      <c r="AG73" s="2">
        <f t="shared" si="95"/>
        <v>3053302</v>
      </c>
      <c r="AH73" s="2">
        <v>1</v>
      </c>
      <c r="AI73" s="2"/>
      <c r="AJ73">
        <v>1</v>
      </c>
      <c r="AK73" s="1">
        <f t="shared" si="91"/>
        <v>50.184202743882835</v>
      </c>
      <c r="AL73">
        <v>5</v>
      </c>
      <c r="AM73">
        <f t="shared" si="96"/>
        <v>143.35999999999999</v>
      </c>
      <c r="AN73">
        <f t="shared" si="97"/>
        <v>14.335999999999999</v>
      </c>
      <c r="AO73">
        <f t="shared" si="98"/>
        <v>1280</v>
      </c>
      <c r="AP73">
        <f t="shared" si="99"/>
        <v>128</v>
      </c>
      <c r="AQ73">
        <f t="shared" si="100"/>
        <v>20.479999999999997</v>
      </c>
      <c r="AR73">
        <f t="shared" si="94"/>
        <v>2.0479999999999996</v>
      </c>
      <c r="AS73">
        <f t="shared" si="101"/>
        <v>1.4</v>
      </c>
      <c r="AT73">
        <f t="shared" si="102"/>
        <v>2</v>
      </c>
      <c r="AU73">
        <f t="shared" si="103"/>
        <v>3</v>
      </c>
      <c r="AV73">
        <f t="shared" si="64"/>
        <v>3025</v>
      </c>
      <c r="AW73" s="1">
        <v>2</v>
      </c>
      <c r="AX73">
        <v>3</v>
      </c>
      <c r="AY73">
        <v>0</v>
      </c>
      <c r="BA73">
        <v>3</v>
      </c>
      <c r="BB73">
        <v>5</v>
      </c>
      <c r="CH73" t="str">
        <f t="shared" si="62"/>
        <v>DATA_Class_Base14</v>
      </c>
      <c r="CI73" s="6" t="s">
        <v>300</v>
      </c>
    </row>
    <row r="74" spans="1:87">
      <c r="A74">
        <f t="shared" si="92"/>
        <v>3052400</v>
      </c>
      <c r="B74" s="6" t="s">
        <v>362</v>
      </c>
      <c r="C74">
        <v>5</v>
      </c>
      <c r="D74">
        <v>4</v>
      </c>
      <c r="E74">
        <v>2</v>
      </c>
      <c r="F74" s="3" t="s">
        <v>363</v>
      </c>
      <c r="G74" s="3" t="s">
        <v>363</v>
      </c>
      <c r="H74">
        <v>0</v>
      </c>
      <c r="I74">
        <v>0</v>
      </c>
      <c r="J74">
        <v>0</v>
      </c>
      <c r="K74" s="2" t="s">
        <v>364</v>
      </c>
      <c r="L74" s="2">
        <f t="shared" si="93"/>
        <v>6</v>
      </c>
      <c r="M74" s="2">
        <f t="shared" si="83"/>
        <v>1.4000000000000001</v>
      </c>
      <c r="N74" s="2">
        <f t="shared" si="84"/>
        <v>2</v>
      </c>
      <c r="O74" s="2">
        <v>10</v>
      </c>
      <c r="P74" s="2">
        <f t="shared" si="85"/>
        <v>149.33000000000001</v>
      </c>
      <c r="Q74" s="2">
        <f t="shared" si="86"/>
        <v>14.93</v>
      </c>
      <c r="R74" s="2">
        <f t="shared" si="87"/>
        <v>1228.8</v>
      </c>
      <c r="S74" s="2">
        <f t="shared" si="88"/>
        <v>122.88</v>
      </c>
      <c r="T74" s="2">
        <f t="shared" si="89"/>
        <v>24.89</v>
      </c>
      <c r="U74" s="2">
        <f t="shared" si="90"/>
        <v>2.4900000000000002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3">
        <v>354001</v>
      </c>
      <c r="AB74" s="14" t="s">
        <v>408</v>
      </c>
      <c r="AC74" s="15" t="s">
        <v>889</v>
      </c>
      <c r="AD74">
        <v>3062400</v>
      </c>
      <c r="AE74" s="2">
        <v>4</v>
      </c>
      <c r="AF74" s="2">
        <v>1</v>
      </c>
      <c r="AG74" s="2">
        <f t="shared" si="95"/>
        <v>3052400</v>
      </c>
      <c r="AH74" s="2">
        <v>1</v>
      </c>
      <c r="AI74" s="2"/>
      <c r="AJ74">
        <v>1</v>
      </c>
      <c r="AK74" s="1">
        <f t="shared" si="91"/>
        <v>50.233147188159194</v>
      </c>
      <c r="AL74">
        <v>5</v>
      </c>
      <c r="AM74">
        <f t="shared" si="96"/>
        <v>149.33333333333334</v>
      </c>
      <c r="AN74">
        <f t="shared" si="97"/>
        <v>14.933333333333335</v>
      </c>
      <c r="AO74">
        <f t="shared" si="98"/>
        <v>1228.8000000000002</v>
      </c>
      <c r="AP74">
        <f t="shared" si="99"/>
        <v>122.88000000000002</v>
      </c>
      <c r="AQ74">
        <f t="shared" si="100"/>
        <v>24.888888888888889</v>
      </c>
      <c r="AR74">
        <f t="shared" si="94"/>
        <v>2.4888888888888889</v>
      </c>
      <c r="AS74">
        <f t="shared" si="101"/>
        <v>1.4</v>
      </c>
      <c r="AT74">
        <f t="shared" si="102"/>
        <v>2</v>
      </c>
      <c r="AU74">
        <f t="shared" si="103"/>
        <v>6</v>
      </c>
      <c r="AV74">
        <f t="shared" si="64"/>
        <v>4005</v>
      </c>
      <c r="AW74" s="1">
        <v>0</v>
      </c>
      <c r="AX74">
        <v>3</v>
      </c>
      <c r="AY74">
        <v>0</v>
      </c>
      <c r="BA74">
        <v>4</v>
      </c>
      <c r="BB74">
        <v>5</v>
      </c>
      <c r="CH74" t="str">
        <f t="shared" si="62"/>
        <v>DATA_Class_Base15</v>
      </c>
      <c r="CI74" s="6" t="s">
        <v>306</v>
      </c>
    </row>
    <row r="75" spans="1:87">
      <c r="A75">
        <f t="shared" si="92"/>
        <v>3061202</v>
      </c>
      <c r="B75" s="6" t="s">
        <v>278</v>
      </c>
      <c r="C75">
        <v>6</v>
      </c>
      <c r="D75">
        <v>2</v>
      </c>
      <c r="E75">
        <v>1</v>
      </c>
      <c r="F75" s="3" t="s">
        <v>279</v>
      </c>
      <c r="G75" s="3" t="s">
        <v>279</v>
      </c>
      <c r="H75">
        <v>0</v>
      </c>
      <c r="I75">
        <v>0</v>
      </c>
      <c r="J75">
        <v>0</v>
      </c>
      <c r="K75" s="2" t="s">
        <v>280</v>
      </c>
      <c r="L75" s="2">
        <f t="shared" si="93"/>
        <v>3</v>
      </c>
      <c r="M75" s="2">
        <f t="shared" si="83"/>
        <v>1.8</v>
      </c>
      <c r="N75" s="2">
        <f t="shared" si="84"/>
        <v>2</v>
      </c>
      <c r="O75" s="2">
        <v>10</v>
      </c>
      <c r="P75" s="2">
        <f t="shared" si="85"/>
        <v>138.24</v>
      </c>
      <c r="Q75" s="2">
        <f t="shared" si="86"/>
        <v>13.82</v>
      </c>
      <c r="R75" s="2">
        <f t="shared" si="87"/>
        <v>2160</v>
      </c>
      <c r="S75" s="2">
        <f t="shared" si="88"/>
        <v>216</v>
      </c>
      <c r="T75" s="2">
        <f t="shared" si="89"/>
        <v>34.56</v>
      </c>
      <c r="U75" s="2">
        <f t="shared" si="90"/>
        <v>3.46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7">
        <v>312022</v>
      </c>
      <c r="AB75" s="14" t="s">
        <v>367</v>
      </c>
      <c r="AC75" s="15" t="s">
        <v>889</v>
      </c>
      <c r="AD75" s="2">
        <v>3071202</v>
      </c>
      <c r="AE75" s="2">
        <v>0</v>
      </c>
      <c r="AF75" s="2">
        <v>2</v>
      </c>
      <c r="AG75" s="2">
        <v>6</v>
      </c>
      <c r="AH75" s="2">
        <v>2</v>
      </c>
      <c r="AI75" s="2"/>
      <c r="AJ75">
        <v>1</v>
      </c>
      <c r="AK75" s="1">
        <f t="shared" si="91"/>
        <v>63.712631076601646</v>
      </c>
      <c r="AL75">
        <v>6</v>
      </c>
      <c r="AM75">
        <f t="shared" si="96"/>
        <v>138.24000000000004</v>
      </c>
      <c r="AN75">
        <f t="shared" si="97"/>
        <v>13.824000000000005</v>
      </c>
      <c r="AO75">
        <f t="shared" si="98"/>
        <v>2160</v>
      </c>
      <c r="AP75">
        <f t="shared" si="99"/>
        <v>216</v>
      </c>
      <c r="AQ75">
        <f t="shared" si="100"/>
        <v>34.560000000000009</v>
      </c>
      <c r="AR75">
        <f t="shared" si="94"/>
        <v>3.4560000000000013</v>
      </c>
      <c r="AS75">
        <f t="shared" si="101"/>
        <v>1.8</v>
      </c>
      <c r="AT75">
        <f t="shared" si="102"/>
        <v>2</v>
      </c>
      <c r="AU75">
        <f t="shared" si="103"/>
        <v>3</v>
      </c>
      <c r="AV75">
        <f t="shared" si="64"/>
        <v>2021</v>
      </c>
      <c r="AW75" s="1">
        <v>2</v>
      </c>
      <c r="AX75">
        <v>3</v>
      </c>
      <c r="AY75">
        <v>0</v>
      </c>
      <c r="BA75">
        <v>2</v>
      </c>
      <c r="BB75">
        <v>1</v>
      </c>
      <c r="CH75" t="str">
        <f t="shared" si="62"/>
        <v>DATA_Class_Base16</v>
      </c>
      <c r="CI75" s="6" t="s">
        <v>312</v>
      </c>
    </row>
    <row r="76" spans="1:87">
      <c r="A76">
        <f t="shared" si="92"/>
        <v>3061301</v>
      </c>
      <c r="B76" s="6" t="s">
        <v>283</v>
      </c>
      <c r="C76">
        <v>6</v>
      </c>
      <c r="D76">
        <v>3</v>
      </c>
      <c r="E76">
        <v>1</v>
      </c>
      <c r="F76" s="3" t="s">
        <v>284</v>
      </c>
      <c r="G76" s="3" t="s">
        <v>284</v>
      </c>
      <c r="H76">
        <v>0</v>
      </c>
      <c r="I76">
        <v>0</v>
      </c>
      <c r="J76" s="2">
        <v>0</v>
      </c>
      <c r="K76" s="2" t="s">
        <v>285</v>
      </c>
      <c r="L76" s="2">
        <f t="shared" si="93"/>
        <v>3</v>
      </c>
      <c r="M76" s="2">
        <f t="shared" si="83"/>
        <v>1.2</v>
      </c>
      <c r="N76" s="2">
        <f t="shared" si="84"/>
        <v>2</v>
      </c>
      <c r="O76" s="2">
        <v>10</v>
      </c>
      <c r="P76" s="2">
        <f t="shared" si="85"/>
        <v>126.72</v>
      </c>
      <c r="Q76" s="2">
        <f t="shared" si="86"/>
        <v>12.67</v>
      </c>
      <c r="R76" s="2">
        <f t="shared" si="87"/>
        <v>1570.91</v>
      </c>
      <c r="S76" s="2">
        <f t="shared" si="88"/>
        <v>157.09</v>
      </c>
      <c r="T76" s="2">
        <f t="shared" si="89"/>
        <v>21.12</v>
      </c>
      <c r="U76" s="2">
        <f t="shared" si="90"/>
        <v>2.11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7">
        <v>313012</v>
      </c>
      <c r="AB76" s="14" t="s">
        <v>370</v>
      </c>
      <c r="AC76" s="15" t="s">
        <v>889</v>
      </c>
      <c r="AD76" s="2">
        <v>3071301</v>
      </c>
      <c r="AE76" s="2">
        <v>0</v>
      </c>
      <c r="AF76" s="2">
        <v>2</v>
      </c>
      <c r="AG76" s="2">
        <v>6</v>
      </c>
      <c r="AH76" s="2">
        <v>2</v>
      </c>
      <c r="AI76" s="2"/>
      <c r="AJ76">
        <v>1</v>
      </c>
      <c r="AK76" s="1">
        <f t="shared" si="91"/>
        <v>63.523366168565651</v>
      </c>
      <c r="AL76">
        <v>6</v>
      </c>
      <c r="AM76">
        <f t="shared" si="96"/>
        <v>126.72000000000001</v>
      </c>
      <c r="AN76">
        <f t="shared" si="97"/>
        <v>12.672000000000002</v>
      </c>
      <c r="AO76">
        <f t="shared" si="98"/>
        <v>1570.909090909091</v>
      </c>
      <c r="AP76">
        <f t="shared" si="99"/>
        <v>157.09090909090912</v>
      </c>
      <c r="AQ76">
        <f t="shared" si="100"/>
        <v>21.12</v>
      </c>
      <c r="AR76">
        <f t="shared" si="94"/>
        <v>2.1120000000000001</v>
      </c>
      <c r="AS76">
        <f t="shared" si="101"/>
        <v>1.2</v>
      </c>
      <c r="AT76">
        <f t="shared" si="102"/>
        <v>2</v>
      </c>
      <c r="AU76">
        <f t="shared" si="103"/>
        <v>3</v>
      </c>
      <c r="AV76">
        <f t="shared" si="64"/>
        <v>3011</v>
      </c>
      <c r="AW76" s="1">
        <v>1</v>
      </c>
      <c r="AX76">
        <v>3</v>
      </c>
      <c r="AY76">
        <v>0</v>
      </c>
      <c r="BA76">
        <v>3</v>
      </c>
      <c r="BB76">
        <v>1</v>
      </c>
      <c r="CH76" t="str">
        <f t="shared" si="62"/>
        <v>DATA_Class_Base17</v>
      </c>
      <c r="CI76" s="6" t="s">
        <v>318</v>
      </c>
    </row>
    <row r="77" spans="1:87">
      <c r="A77">
        <f t="shared" si="92"/>
        <v>3061502</v>
      </c>
      <c r="B77" s="6" t="s">
        <v>289</v>
      </c>
      <c r="C77">
        <v>6</v>
      </c>
      <c r="D77">
        <v>5</v>
      </c>
      <c r="E77">
        <v>1</v>
      </c>
      <c r="F77" s="3" t="s">
        <v>290</v>
      </c>
      <c r="G77" s="3" t="s">
        <v>290</v>
      </c>
      <c r="H77">
        <v>0</v>
      </c>
      <c r="I77">
        <v>0</v>
      </c>
      <c r="J77" s="2">
        <v>0</v>
      </c>
      <c r="K77" s="2" t="s">
        <v>291</v>
      </c>
      <c r="L77" s="2">
        <f t="shared" si="93"/>
        <v>6</v>
      </c>
      <c r="M77" s="2">
        <f t="shared" ref="M77:M106" si="104">FLOOR(AS77/1,0.01)</f>
        <v>1.4000000000000001</v>
      </c>
      <c r="N77" s="2">
        <f t="shared" ref="N77:N106" si="105">FLOOR(AT77/1,0.01)</f>
        <v>2</v>
      </c>
      <c r="O77" s="2">
        <v>10</v>
      </c>
      <c r="P77" s="2">
        <f t="shared" ref="P77:P106" si="106">ROUND(AM77*(1+$AY77),2)</f>
        <v>174.72</v>
      </c>
      <c r="Q77" s="2">
        <f t="shared" ref="Q77:Q106" si="107">ROUND(AN77*(1+$AY77),2)</f>
        <v>17.47</v>
      </c>
      <c r="R77" s="2">
        <f t="shared" ref="R77:R106" si="108">ROUND(AO77*(1+$AY77),2)</f>
        <v>1329.23</v>
      </c>
      <c r="S77" s="2">
        <f t="shared" ref="S77:S106" si="109">ROUND(AP77*(1+$AY77),2)</f>
        <v>132.91999999999999</v>
      </c>
      <c r="T77" s="2">
        <f t="shared" ref="T77:T106" si="110">ROUND(AQ77*(1+$AY77),2)</f>
        <v>26.88</v>
      </c>
      <c r="U77" s="2">
        <f t="shared" ref="U77:U106" si="111">ROUND(AR77*(1+$AY77),2)</f>
        <v>2.69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7">
        <v>315022</v>
      </c>
      <c r="AB77" s="14" t="s">
        <v>372</v>
      </c>
      <c r="AC77" s="15" t="s">
        <v>889</v>
      </c>
      <c r="AD77" s="2">
        <v>3071502</v>
      </c>
      <c r="AE77" s="2">
        <v>0</v>
      </c>
      <c r="AF77" s="2">
        <v>2</v>
      </c>
      <c r="AG77" s="2">
        <v>6</v>
      </c>
      <c r="AH77" s="2">
        <v>2</v>
      </c>
      <c r="AI77" s="2"/>
      <c r="AJ77">
        <v>1</v>
      </c>
      <c r="AK77" s="1">
        <f t="shared" ref="AK77:AK106" si="112">(AO77+AP77*AJ77)*(AM77+AN77*AJ77)/AS77*(0.9)*(1+0.5*0.1)*1/1/(1-(AQ77+AR77*AJ77)*0.0002)/3000</f>
        <v>63.604341835880653</v>
      </c>
      <c r="AL77">
        <v>6</v>
      </c>
      <c r="AM77">
        <f t="shared" si="96"/>
        <v>174.71999999999997</v>
      </c>
      <c r="AN77">
        <f t="shared" si="97"/>
        <v>17.471999999999998</v>
      </c>
      <c r="AO77">
        <f t="shared" si="98"/>
        <v>1329.2307692307691</v>
      </c>
      <c r="AP77">
        <f t="shared" si="99"/>
        <v>132.92307692307691</v>
      </c>
      <c r="AQ77">
        <f t="shared" si="100"/>
        <v>26.879999999999995</v>
      </c>
      <c r="AR77">
        <f t="shared" si="94"/>
        <v>2.6879999999999997</v>
      </c>
      <c r="AS77">
        <f t="shared" si="101"/>
        <v>1.4</v>
      </c>
      <c r="AT77">
        <f t="shared" si="102"/>
        <v>2</v>
      </c>
      <c r="AU77">
        <f t="shared" si="103"/>
        <v>6</v>
      </c>
      <c r="AV77">
        <f t="shared" si="64"/>
        <v>5021</v>
      </c>
      <c r="AW77" s="1">
        <v>2</v>
      </c>
      <c r="AX77">
        <v>3</v>
      </c>
      <c r="AY77">
        <v>0</v>
      </c>
      <c r="BA77">
        <v>5</v>
      </c>
      <c r="BB77">
        <v>1</v>
      </c>
      <c r="CH77" t="str">
        <f t="shared" si="62"/>
        <v>DATA_Class_Base18</v>
      </c>
      <c r="CI77" s="6" t="s">
        <v>324</v>
      </c>
    </row>
    <row r="78" spans="1:87">
      <c r="A78">
        <f t="shared" si="92"/>
        <v>3062201</v>
      </c>
      <c r="B78" s="6" t="s">
        <v>296</v>
      </c>
      <c r="C78">
        <v>6</v>
      </c>
      <c r="D78">
        <v>2</v>
      </c>
      <c r="E78">
        <v>2</v>
      </c>
      <c r="F78" s="3" t="s">
        <v>297</v>
      </c>
      <c r="G78" s="3" t="s">
        <v>297</v>
      </c>
      <c r="H78">
        <v>0</v>
      </c>
      <c r="I78">
        <v>0</v>
      </c>
      <c r="J78">
        <v>0</v>
      </c>
      <c r="K78" s="8" t="s">
        <v>298</v>
      </c>
      <c r="L78" s="2">
        <f t="shared" si="93"/>
        <v>3</v>
      </c>
      <c r="M78" s="2">
        <f t="shared" si="104"/>
        <v>1.8</v>
      </c>
      <c r="N78" s="2">
        <f t="shared" si="105"/>
        <v>1.8</v>
      </c>
      <c r="O78" s="2">
        <v>10</v>
      </c>
      <c r="P78" s="2">
        <f t="shared" si="106"/>
        <v>120.96</v>
      </c>
      <c r="Q78" s="2">
        <f t="shared" si="107"/>
        <v>12.1</v>
      </c>
      <c r="R78" s="2">
        <f t="shared" si="108"/>
        <v>2468.5700000000002</v>
      </c>
      <c r="S78" s="2">
        <f t="shared" si="109"/>
        <v>246.86</v>
      </c>
      <c r="T78" s="2">
        <f t="shared" si="110"/>
        <v>40.32</v>
      </c>
      <c r="U78" s="2">
        <f t="shared" si="111"/>
        <v>4.03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7">
        <v>322012</v>
      </c>
      <c r="AB78" s="14" t="s">
        <v>375</v>
      </c>
      <c r="AC78" s="15" t="s">
        <v>889</v>
      </c>
      <c r="AD78" s="2">
        <v>3072201</v>
      </c>
      <c r="AE78" s="2">
        <v>0</v>
      </c>
      <c r="AF78" s="2">
        <v>2</v>
      </c>
      <c r="AG78" s="2">
        <v>6</v>
      </c>
      <c r="AH78" s="2">
        <v>2</v>
      </c>
      <c r="AI78" s="2"/>
      <c r="AJ78">
        <v>1</v>
      </c>
      <c r="AK78" s="1">
        <f t="shared" si="112"/>
        <v>63.794090298584585</v>
      </c>
      <c r="AL78">
        <v>6</v>
      </c>
      <c r="AM78">
        <f t="shared" si="96"/>
        <v>120.96000000000001</v>
      </c>
      <c r="AN78">
        <f t="shared" si="97"/>
        <v>12.096000000000002</v>
      </c>
      <c r="AO78">
        <f t="shared" si="98"/>
        <v>2468.5714285714289</v>
      </c>
      <c r="AP78">
        <f t="shared" si="99"/>
        <v>246.85714285714289</v>
      </c>
      <c r="AQ78">
        <f t="shared" si="100"/>
        <v>40.32</v>
      </c>
      <c r="AR78">
        <f t="shared" si="94"/>
        <v>4.032</v>
      </c>
      <c r="AS78">
        <f t="shared" si="101"/>
        <v>1.8</v>
      </c>
      <c r="AT78">
        <f t="shared" si="102"/>
        <v>1.8</v>
      </c>
      <c r="AU78">
        <f t="shared" si="103"/>
        <v>3</v>
      </c>
      <c r="AV78">
        <f t="shared" si="64"/>
        <v>2012</v>
      </c>
      <c r="AW78" s="1">
        <v>1</v>
      </c>
      <c r="AX78">
        <v>3</v>
      </c>
      <c r="AY78">
        <v>0</v>
      </c>
      <c r="BA78">
        <v>2</v>
      </c>
      <c r="BB78">
        <v>2</v>
      </c>
      <c r="CH78" t="str">
        <f t="shared" si="62"/>
        <v>DATA_Class_Base19</v>
      </c>
      <c r="CI78" s="6" t="s">
        <v>331</v>
      </c>
    </row>
    <row r="79" spans="1:87" ht="16.5">
      <c r="A79">
        <f t="shared" si="92"/>
        <v>3062500</v>
      </c>
      <c r="B79" s="6" t="s">
        <v>301</v>
      </c>
      <c r="C79">
        <v>6</v>
      </c>
      <c r="D79">
        <v>5</v>
      </c>
      <c r="E79">
        <v>2</v>
      </c>
      <c r="F79" s="3" t="s">
        <v>302</v>
      </c>
      <c r="G79" s="3" t="s">
        <v>302</v>
      </c>
      <c r="H79">
        <v>0</v>
      </c>
      <c r="I79">
        <v>0</v>
      </c>
      <c r="J79" s="2">
        <v>0</v>
      </c>
      <c r="K79" s="2" t="s">
        <v>303</v>
      </c>
      <c r="L79" s="2">
        <f t="shared" si="93"/>
        <v>6</v>
      </c>
      <c r="M79" s="2">
        <f t="shared" si="104"/>
        <v>1.5</v>
      </c>
      <c r="N79" s="2">
        <f t="shared" si="105"/>
        <v>2</v>
      </c>
      <c r="O79" s="2">
        <v>10</v>
      </c>
      <c r="P79" s="2">
        <f t="shared" si="106"/>
        <v>216</v>
      </c>
      <c r="Q79" s="2">
        <f t="shared" si="107"/>
        <v>21.6</v>
      </c>
      <c r="R79" s="2">
        <f t="shared" si="108"/>
        <v>1152</v>
      </c>
      <c r="S79" s="2">
        <f t="shared" si="109"/>
        <v>115.2</v>
      </c>
      <c r="T79" s="2">
        <f t="shared" si="110"/>
        <v>24</v>
      </c>
      <c r="U79" s="2">
        <f t="shared" si="111"/>
        <v>2.4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7">
        <v>325002</v>
      </c>
      <c r="AB79" s="14" t="s">
        <v>379</v>
      </c>
      <c r="AC79" s="15" t="s">
        <v>889</v>
      </c>
      <c r="AD79" s="2">
        <v>3072500</v>
      </c>
      <c r="AE79" s="2">
        <v>0</v>
      </c>
      <c r="AF79" s="2">
        <v>2</v>
      </c>
      <c r="AG79" s="2">
        <v>6</v>
      </c>
      <c r="AH79" s="2">
        <v>2</v>
      </c>
      <c r="AI79" s="2"/>
      <c r="AJ79">
        <v>1</v>
      </c>
      <c r="AK79" s="1">
        <f t="shared" si="112"/>
        <v>63.563828212964445</v>
      </c>
      <c r="AL79">
        <v>6</v>
      </c>
      <c r="AM79">
        <f t="shared" si="96"/>
        <v>216</v>
      </c>
      <c r="AN79">
        <f t="shared" si="97"/>
        <v>21.6</v>
      </c>
      <c r="AO79">
        <f t="shared" si="98"/>
        <v>1152</v>
      </c>
      <c r="AP79">
        <f t="shared" si="99"/>
        <v>115.2</v>
      </c>
      <c r="AQ79">
        <f t="shared" si="100"/>
        <v>24</v>
      </c>
      <c r="AR79">
        <f t="shared" si="94"/>
        <v>2.4000000000000004</v>
      </c>
      <c r="AS79">
        <f t="shared" si="101"/>
        <v>1.5</v>
      </c>
      <c r="AT79">
        <f t="shared" si="102"/>
        <v>2</v>
      </c>
      <c r="AU79">
        <f t="shared" si="103"/>
        <v>6</v>
      </c>
      <c r="AV79">
        <f t="shared" si="64"/>
        <v>5002</v>
      </c>
      <c r="AW79" s="1">
        <v>0</v>
      </c>
      <c r="AX79">
        <v>3</v>
      </c>
      <c r="AY79">
        <v>0</v>
      </c>
      <c r="BA79">
        <v>5</v>
      </c>
      <c r="BB79">
        <v>2</v>
      </c>
      <c r="BD79" t="s">
        <v>287</v>
      </c>
      <c r="BE79" s="27" t="s">
        <v>288</v>
      </c>
      <c r="CH79" t="str">
        <f t="shared" si="62"/>
        <v>DATA_Class_Base20</v>
      </c>
      <c r="CI79" s="6" t="s">
        <v>336</v>
      </c>
    </row>
    <row r="80" spans="1:87" ht="16.5">
      <c r="A80">
        <f t="shared" ref="A80:A108" si="113">AX80*1000000+C80*10000+E80*1000+D80*100+AW80</f>
        <v>3062601</v>
      </c>
      <c r="B80" s="6" t="s">
        <v>307</v>
      </c>
      <c r="C80">
        <v>6</v>
      </c>
      <c r="D80">
        <v>6</v>
      </c>
      <c r="E80">
        <v>2</v>
      </c>
      <c r="F80" s="3" t="s">
        <v>308</v>
      </c>
      <c r="G80" s="3" t="s">
        <v>308</v>
      </c>
      <c r="H80">
        <v>0</v>
      </c>
      <c r="I80">
        <v>0</v>
      </c>
      <c r="J80" s="2">
        <v>0</v>
      </c>
      <c r="K80" s="2" t="s">
        <v>309</v>
      </c>
      <c r="L80" s="2">
        <f t="shared" ref="L80:L108" si="114">AU80</f>
        <v>6</v>
      </c>
      <c r="M80" s="2">
        <f t="shared" si="104"/>
        <v>1.5</v>
      </c>
      <c r="N80" s="2">
        <f t="shared" si="105"/>
        <v>2</v>
      </c>
      <c r="O80" s="2">
        <v>10</v>
      </c>
      <c r="P80" s="2">
        <f t="shared" si="106"/>
        <v>158.4</v>
      </c>
      <c r="Q80" s="2">
        <f t="shared" si="107"/>
        <v>15.84</v>
      </c>
      <c r="R80" s="2">
        <f t="shared" si="108"/>
        <v>1570.91</v>
      </c>
      <c r="S80" s="2">
        <f t="shared" si="109"/>
        <v>157.09</v>
      </c>
      <c r="T80" s="2">
        <f t="shared" si="110"/>
        <v>31.68</v>
      </c>
      <c r="U80" s="2">
        <f t="shared" si="111"/>
        <v>3.17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7">
        <v>326012</v>
      </c>
      <c r="AB80" s="14" t="s">
        <v>382</v>
      </c>
      <c r="AC80" s="15" t="s">
        <v>889</v>
      </c>
      <c r="AD80" s="2">
        <v>3072601</v>
      </c>
      <c r="AE80" s="2">
        <v>0</v>
      </c>
      <c r="AF80" s="2">
        <v>2</v>
      </c>
      <c r="AG80" s="2">
        <v>6</v>
      </c>
      <c r="AH80" s="2">
        <v>2</v>
      </c>
      <c r="AI80" s="2"/>
      <c r="AJ80">
        <v>1</v>
      </c>
      <c r="AK80" s="1">
        <f t="shared" si="112"/>
        <v>63.671979427820141</v>
      </c>
      <c r="AL80">
        <v>6</v>
      </c>
      <c r="AM80">
        <f t="shared" si="96"/>
        <v>158.4</v>
      </c>
      <c r="AN80">
        <f t="shared" si="97"/>
        <v>15.840000000000002</v>
      </c>
      <c r="AO80">
        <f t="shared" si="98"/>
        <v>1570.909090909091</v>
      </c>
      <c r="AP80">
        <f t="shared" si="99"/>
        <v>157.09090909090912</v>
      </c>
      <c r="AQ80">
        <f t="shared" si="100"/>
        <v>31.68</v>
      </c>
      <c r="AR80">
        <f t="shared" si="94"/>
        <v>3.1680000000000001</v>
      </c>
      <c r="AS80">
        <f t="shared" si="101"/>
        <v>1.5</v>
      </c>
      <c r="AT80">
        <f t="shared" si="102"/>
        <v>2</v>
      </c>
      <c r="AU80">
        <f t="shared" si="103"/>
        <v>6</v>
      </c>
      <c r="AV80">
        <f t="shared" si="64"/>
        <v>6012</v>
      </c>
      <c r="AW80" s="1">
        <v>1</v>
      </c>
      <c r="AX80">
        <v>3</v>
      </c>
      <c r="AY80">
        <v>0</v>
      </c>
      <c r="BA80">
        <v>6</v>
      </c>
      <c r="BB80">
        <v>2</v>
      </c>
      <c r="BD80" s="27" t="s">
        <v>293</v>
      </c>
      <c r="CH80" t="str">
        <f t="shared" si="62"/>
        <v>DATA_Class_Base21</v>
      </c>
      <c r="CI80" s="6" t="s">
        <v>342</v>
      </c>
    </row>
    <row r="81" spans="1:87">
      <c r="A81">
        <f t="shared" si="113"/>
        <v>3063200</v>
      </c>
      <c r="B81" s="6" t="s">
        <v>294</v>
      </c>
      <c r="C81">
        <v>6</v>
      </c>
      <c r="D81">
        <v>2</v>
      </c>
      <c r="E81">
        <v>3</v>
      </c>
      <c r="F81" s="3" t="s">
        <v>313</v>
      </c>
      <c r="G81" s="3" t="s">
        <v>313</v>
      </c>
      <c r="H81">
        <v>0</v>
      </c>
      <c r="I81">
        <v>0</v>
      </c>
      <c r="J81">
        <v>0</v>
      </c>
      <c r="K81" s="2" t="s">
        <v>314</v>
      </c>
      <c r="L81" s="2">
        <f t="shared" si="114"/>
        <v>3</v>
      </c>
      <c r="M81" s="2">
        <f t="shared" si="104"/>
        <v>1.5</v>
      </c>
      <c r="N81" s="2">
        <f t="shared" si="105"/>
        <v>1.2</v>
      </c>
      <c r="O81" s="2">
        <v>10</v>
      </c>
      <c r="P81" s="2">
        <f t="shared" si="106"/>
        <v>100.8</v>
      </c>
      <c r="Q81" s="2">
        <f t="shared" si="107"/>
        <v>10.08</v>
      </c>
      <c r="R81" s="2">
        <f t="shared" si="108"/>
        <v>2468.5700000000002</v>
      </c>
      <c r="S81" s="2">
        <f t="shared" si="109"/>
        <v>246.86</v>
      </c>
      <c r="T81" s="2">
        <f t="shared" si="110"/>
        <v>50.4</v>
      </c>
      <c r="U81" s="2">
        <f t="shared" si="111"/>
        <v>5.04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7">
        <v>332002</v>
      </c>
      <c r="AB81" s="14" t="s">
        <v>385</v>
      </c>
      <c r="AC81" s="15" t="s">
        <v>889</v>
      </c>
      <c r="AD81" s="2">
        <v>3073200</v>
      </c>
      <c r="AE81" s="2">
        <v>0</v>
      </c>
      <c r="AF81" s="2">
        <v>2</v>
      </c>
      <c r="AG81" s="2">
        <v>6</v>
      </c>
      <c r="AH81" s="2">
        <v>2</v>
      </c>
      <c r="AI81" s="2"/>
      <c r="AJ81">
        <v>1</v>
      </c>
      <c r="AK81" s="1">
        <f t="shared" si="112"/>
        <v>63.937146277929678</v>
      </c>
      <c r="AL81">
        <v>6</v>
      </c>
      <c r="AM81">
        <f t="shared" si="96"/>
        <v>100.79999999999998</v>
      </c>
      <c r="AN81">
        <f t="shared" si="97"/>
        <v>10.079999999999998</v>
      </c>
      <c r="AO81">
        <f t="shared" si="98"/>
        <v>2468.5714285714289</v>
      </c>
      <c r="AP81">
        <f t="shared" si="99"/>
        <v>246.85714285714289</v>
      </c>
      <c r="AQ81">
        <f t="shared" si="100"/>
        <v>50.399999999999991</v>
      </c>
      <c r="AR81">
        <f t="shared" ref="AR81:AR109" si="115">AQ81*0.1</f>
        <v>5.0399999999999991</v>
      </c>
      <c r="AS81">
        <f t="shared" si="101"/>
        <v>1.5</v>
      </c>
      <c r="AT81">
        <f t="shared" si="102"/>
        <v>1.2</v>
      </c>
      <c r="AU81">
        <f t="shared" si="103"/>
        <v>3</v>
      </c>
      <c r="AV81">
        <f t="shared" si="64"/>
        <v>2003</v>
      </c>
      <c r="AW81" s="1">
        <v>0</v>
      </c>
      <c r="AX81">
        <v>3</v>
      </c>
      <c r="AY81">
        <v>0</v>
      </c>
      <c r="BA81">
        <v>2</v>
      </c>
      <c r="BB81">
        <v>3</v>
      </c>
      <c r="CH81" t="str">
        <f t="shared" si="62"/>
        <v>DATA_Class_Base13</v>
      </c>
      <c r="CI81" s="6" t="s">
        <v>295</v>
      </c>
    </row>
    <row r="82" spans="1:87">
      <c r="A82">
        <f t="shared" si="113"/>
        <v>3061401</v>
      </c>
      <c r="B82" s="6" t="s">
        <v>317</v>
      </c>
      <c r="C82">
        <v>6</v>
      </c>
      <c r="D82">
        <v>4</v>
      </c>
      <c r="E82">
        <v>1</v>
      </c>
      <c r="F82" s="3" t="s">
        <v>319</v>
      </c>
      <c r="G82" s="3" t="s">
        <v>319</v>
      </c>
      <c r="H82">
        <v>0</v>
      </c>
      <c r="I82">
        <v>0</v>
      </c>
      <c r="J82">
        <v>0</v>
      </c>
      <c r="K82" s="2" t="s">
        <v>161</v>
      </c>
      <c r="L82" s="2">
        <f t="shared" si="114"/>
        <v>6</v>
      </c>
      <c r="M82" s="2">
        <f t="shared" si="104"/>
        <v>1.6</v>
      </c>
      <c r="N82" s="2">
        <f t="shared" si="105"/>
        <v>1.5</v>
      </c>
      <c r="O82" s="2">
        <v>10</v>
      </c>
      <c r="P82" s="2">
        <f t="shared" si="106"/>
        <v>184.32</v>
      </c>
      <c r="Q82" s="2">
        <f t="shared" si="107"/>
        <v>18.43</v>
      </c>
      <c r="R82" s="2">
        <f t="shared" si="108"/>
        <v>1440</v>
      </c>
      <c r="S82" s="2">
        <f t="shared" si="109"/>
        <v>144</v>
      </c>
      <c r="T82" s="2">
        <f t="shared" si="110"/>
        <v>30.72</v>
      </c>
      <c r="U82" s="2">
        <f t="shared" si="111"/>
        <v>3.07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7">
        <v>334012</v>
      </c>
      <c r="AB82" s="14" t="s">
        <v>389</v>
      </c>
      <c r="AC82" s="15" t="s">
        <v>889</v>
      </c>
      <c r="AD82" s="2">
        <v>3071401</v>
      </c>
      <c r="AE82" s="2">
        <v>0</v>
      </c>
      <c r="AF82" s="2">
        <v>2</v>
      </c>
      <c r="AG82" s="2">
        <v>6</v>
      </c>
      <c r="AH82" s="2">
        <v>2</v>
      </c>
      <c r="AI82" s="2"/>
      <c r="AJ82">
        <v>1</v>
      </c>
      <c r="AK82" s="1">
        <f t="shared" si="112"/>
        <v>63.658440403623842</v>
      </c>
      <c r="AL82">
        <v>6</v>
      </c>
      <c r="AM82">
        <f t="shared" si="96"/>
        <v>184.32000000000002</v>
      </c>
      <c r="AN82">
        <f t="shared" si="97"/>
        <v>18.432000000000002</v>
      </c>
      <c r="AO82">
        <f t="shared" si="98"/>
        <v>1440</v>
      </c>
      <c r="AP82">
        <f t="shared" si="99"/>
        <v>144</v>
      </c>
      <c r="AQ82">
        <f t="shared" si="100"/>
        <v>30.720000000000002</v>
      </c>
      <c r="AR82">
        <f t="shared" si="115"/>
        <v>3.0720000000000005</v>
      </c>
      <c r="AS82">
        <f t="shared" si="101"/>
        <v>1.6</v>
      </c>
      <c r="AT82">
        <f t="shared" si="102"/>
        <v>1.5</v>
      </c>
      <c r="AU82">
        <f t="shared" si="103"/>
        <v>6</v>
      </c>
      <c r="AV82">
        <f t="shared" si="64"/>
        <v>4013</v>
      </c>
      <c r="AW82" s="1">
        <v>1</v>
      </c>
      <c r="AX82">
        <v>3</v>
      </c>
      <c r="AY82">
        <v>0</v>
      </c>
      <c r="BA82">
        <v>4</v>
      </c>
      <c r="BB82">
        <v>3</v>
      </c>
      <c r="BD82" t="s">
        <v>305</v>
      </c>
      <c r="CH82" t="str">
        <f t="shared" si="62"/>
        <v>DATA_Class_Base14</v>
      </c>
      <c r="CI82" s="6" t="s">
        <v>300</v>
      </c>
    </row>
    <row r="83" spans="1:87">
      <c r="A83">
        <f t="shared" si="113"/>
        <v>3063402</v>
      </c>
      <c r="B83" s="6" t="s">
        <v>323</v>
      </c>
      <c r="C83">
        <v>6</v>
      </c>
      <c r="D83">
        <v>4</v>
      </c>
      <c r="E83">
        <v>3</v>
      </c>
      <c r="F83" s="3" t="s">
        <v>325</v>
      </c>
      <c r="G83" s="3" t="s">
        <v>325</v>
      </c>
      <c r="H83">
        <v>0</v>
      </c>
      <c r="I83">
        <v>0</v>
      </c>
      <c r="J83" s="2">
        <v>0</v>
      </c>
      <c r="K83" s="2" t="s">
        <v>250</v>
      </c>
      <c r="L83" s="2">
        <f t="shared" si="114"/>
        <v>6</v>
      </c>
      <c r="M83" s="2">
        <f t="shared" si="104"/>
        <v>1.5</v>
      </c>
      <c r="N83" s="2">
        <f t="shared" si="105"/>
        <v>1.5</v>
      </c>
      <c r="O83" s="2">
        <v>10</v>
      </c>
      <c r="P83" s="2">
        <f t="shared" si="106"/>
        <v>187.2</v>
      </c>
      <c r="Q83" s="2">
        <f t="shared" si="107"/>
        <v>18.72</v>
      </c>
      <c r="R83" s="2">
        <f t="shared" si="108"/>
        <v>1329.23</v>
      </c>
      <c r="S83" s="2">
        <f t="shared" si="109"/>
        <v>132.91999999999999</v>
      </c>
      <c r="T83" s="2">
        <f t="shared" si="110"/>
        <v>26.74</v>
      </c>
      <c r="U83" s="2">
        <f t="shared" si="111"/>
        <v>2.67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7">
        <v>334022</v>
      </c>
      <c r="AB83" s="14" t="s">
        <v>392</v>
      </c>
      <c r="AC83" s="15" t="s">
        <v>889</v>
      </c>
      <c r="AD83" s="2">
        <v>3073402</v>
      </c>
      <c r="AE83" s="2">
        <v>0</v>
      </c>
      <c r="AF83" s="2">
        <v>2</v>
      </c>
      <c r="AG83" s="2">
        <v>6</v>
      </c>
      <c r="AH83" s="2">
        <v>2</v>
      </c>
      <c r="AI83" s="2"/>
      <c r="AJ83">
        <v>1</v>
      </c>
      <c r="AK83" s="1">
        <f t="shared" si="112"/>
        <v>63.602411444705524</v>
      </c>
      <c r="AL83">
        <v>6</v>
      </c>
      <c r="AM83">
        <f t="shared" si="96"/>
        <v>187.20000000000002</v>
      </c>
      <c r="AN83">
        <f t="shared" si="97"/>
        <v>18.720000000000002</v>
      </c>
      <c r="AO83">
        <f t="shared" si="98"/>
        <v>1329.2307692307691</v>
      </c>
      <c r="AP83">
        <f t="shared" si="99"/>
        <v>132.92307692307691</v>
      </c>
      <c r="AQ83">
        <f t="shared" si="100"/>
        <v>26.742857142857144</v>
      </c>
      <c r="AR83">
        <f t="shared" si="115"/>
        <v>2.6742857142857144</v>
      </c>
      <c r="AS83">
        <f t="shared" si="101"/>
        <v>1.5</v>
      </c>
      <c r="AT83">
        <f t="shared" si="102"/>
        <v>1.5</v>
      </c>
      <c r="AU83">
        <f t="shared" si="103"/>
        <v>6</v>
      </c>
      <c r="AV83">
        <f t="shared" si="64"/>
        <v>4023</v>
      </c>
      <c r="AW83" s="1">
        <v>2</v>
      </c>
      <c r="AX83">
        <v>3</v>
      </c>
      <c r="AY83">
        <v>0</v>
      </c>
      <c r="BA83">
        <v>4</v>
      </c>
      <c r="BB83">
        <v>3</v>
      </c>
      <c r="BD83" t="s">
        <v>311</v>
      </c>
      <c r="CH83" t="str">
        <f t="shared" ref="CH83:CH146" si="116">INDEX($CE$18:$CE$59,MATCH($CI83,$CF$18:$CF$59,0))</f>
        <v>DATA_Class_Base15</v>
      </c>
      <c r="CI83" s="6" t="s">
        <v>306</v>
      </c>
    </row>
    <row r="84" spans="1:87">
      <c r="A84">
        <f t="shared" si="113"/>
        <v>3063501</v>
      </c>
      <c r="B84" s="6" t="s">
        <v>332</v>
      </c>
      <c r="C84">
        <v>6</v>
      </c>
      <c r="D84">
        <v>5</v>
      </c>
      <c r="E84">
        <v>3</v>
      </c>
      <c r="F84" s="3" t="s">
        <v>333</v>
      </c>
      <c r="G84" s="3" t="s">
        <v>333</v>
      </c>
      <c r="H84">
        <v>0</v>
      </c>
      <c r="I84">
        <v>0</v>
      </c>
      <c r="J84">
        <v>0</v>
      </c>
      <c r="K84" s="2" t="s">
        <v>334</v>
      </c>
      <c r="L84" s="2">
        <f t="shared" si="114"/>
        <v>6</v>
      </c>
      <c r="M84" s="2">
        <f t="shared" si="104"/>
        <v>1.6</v>
      </c>
      <c r="N84" s="2">
        <f t="shared" si="105"/>
        <v>2</v>
      </c>
      <c r="O84" s="2">
        <v>10</v>
      </c>
      <c r="P84" s="2">
        <f t="shared" si="106"/>
        <v>199.68</v>
      </c>
      <c r="Q84" s="2">
        <f t="shared" si="107"/>
        <v>19.97</v>
      </c>
      <c r="R84" s="2">
        <f t="shared" si="108"/>
        <v>1329.23</v>
      </c>
      <c r="S84" s="2">
        <f t="shared" si="109"/>
        <v>132.91999999999999</v>
      </c>
      <c r="T84" s="2">
        <f t="shared" si="110"/>
        <v>22.19</v>
      </c>
      <c r="U84" s="2">
        <f t="shared" si="111"/>
        <v>2.2200000000000002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7">
        <v>345012</v>
      </c>
      <c r="AB84" s="14" t="s">
        <v>395</v>
      </c>
      <c r="AC84" s="15" t="s">
        <v>889</v>
      </c>
      <c r="AD84">
        <v>3073501</v>
      </c>
      <c r="AE84" s="2">
        <v>0</v>
      </c>
      <c r="AF84" s="2">
        <v>2</v>
      </c>
      <c r="AG84" s="2">
        <v>6</v>
      </c>
      <c r="AH84" s="2">
        <v>2</v>
      </c>
      <c r="AI84" s="2"/>
      <c r="AJ84">
        <v>1</v>
      </c>
      <c r="AK84" s="1">
        <f t="shared" si="112"/>
        <v>63.538346103219546</v>
      </c>
      <c r="AL84">
        <v>6</v>
      </c>
      <c r="AM84">
        <f t="shared" si="96"/>
        <v>199.68</v>
      </c>
      <c r="AN84">
        <f t="shared" si="97"/>
        <v>19.968000000000004</v>
      </c>
      <c r="AO84">
        <f t="shared" si="98"/>
        <v>1329.2307692307691</v>
      </c>
      <c r="AP84">
        <f t="shared" si="99"/>
        <v>132.92307692307691</v>
      </c>
      <c r="AQ84">
        <f t="shared" si="100"/>
        <v>22.186666666666667</v>
      </c>
      <c r="AR84">
        <f t="shared" si="115"/>
        <v>2.218666666666667</v>
      </c>
      <c r="AS84">
        <f t="shared" si="101"/>
        <v>1.6</v>
      </c>
      <c r="AT84">
        <f t="shared" si="102"/>
        <v>2</v>
      </c>
      <c r="AU84">
        <f t="shared" si="103"/>
        <v>6</v>
      </c>
      <c r="AV84">
        <f t="shared" si="64"/>
        <v>5014</v>
      </c>
      <c r="AW84" s="1">
        <v>1</v>
      </c>
      <c r="AX84">
        <v>3</v>
      </c>
      <c r="AY84">
        <v>0</v>
      </c>
      <c r="BA84">
        <v>5</v>
      </c>
      <c r="BB84">
        <v>4</v>
      </c>
      <c r="BD84" s="3" t="s">
        <v>316</v>
      </c>
      <c r="CH84" t="str">
        <f t="shared" si="116"/>
        <v>DATA_Class_Base16</v>
      </c>
      <c r="CI84" s="6" t="s">
        <v>312</v>
      </c>
    </row>
    <row r="85" spans="1:87">
      <c r="A85">
        <f t="shared" si="113"/>
        <v>3063600</v>
      </c>
      <c r="B85" s="6" t="s">
        <v>337</v>
      </c>
      <c r="C85">
        <v>6</v>
      </c>
      <c r="D85">
        <v>6</v>
      </c>
      <c r="E85">
        <v>3</v>
      </c>
      <c r="F85" s="3" t="s">
        <v>338</v>
      </c>
      <c r="G85" s="3" t="s">
        <v>338</v>
      </c>
      <c r="H85">
        <v>0</v>
      </c>
      <c r="I85">
        <v>0</v>
      </c>
      <c r="J85" s="2">
        <v>0</v>
      </c>
      <c r="K85" s="2" t="s">
        <v>339</v>
      </c>
      <c r="L85" s="2">
        <f t="shared" si="114"/>
        <v>3</v>
      </c>
      <c r="M85" s="2">
        <f t="shared" si="104"/>
        <v>1.4000000000000001</v>
      </c>
      <c r="N85" s="2">
        <f t="shared" si="105"/>
        <v>1.9000000000000001</v>
      </c>
      <c r="O85" s="2">
        <v>10</v>
      </c>
      <c r="P85" s="2">
        <f t="shared" si="106"/>
        <v>147.84</v>
      </c>
      <c r="Q85" s="2">
        <f t="shared" si="107"/>
        <v>14.78</v>
      </c>
      <c r="R85" s="2">
        <f t="shared" si="108"/>
        <v>1570.91</v>
      </c>
      <c r="S85" s="2">
        <f t="shared" si="109"/>
        <v>157.09</v>
      </c>
      <c r="T85" s="2">
        <f t="shared" si="110"/>
        <v>36.96</v>
      </c>
      <c r="U85" s="2">
        <f t="shared" si="111"/>
        <v>3.7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7">
        <v>346002</v>
      </c>
      <c r="AB85" s="14" t="s">
        <v>397</v>
      </c>
      <c r="AC85" s="15" t="s">
        <v>889</v>
      </c>
      <c r="AD85">
        <v>3073600</v>
      </c>
      <c r="AE85" s="2">
        <v>0</v>
      </c>
      <c r="AF85" s="2">
        <v>2</v>
      </c>
      <c r="AG85" s="2">
        <v>6</v>
      </c>
      <c r="AH85" s="2">
        <v>2</v>
      </c>
      <c r="AI85" s="2"/>
      <c r="AJ85">
        <v>1</v>
      </c>
      <c r="AK85" s="1">
        <f t="shared" si="112"/>
        <v>63.746547123974459</v>
      </c>
      <c r="AL85">
        <v>6</v>
      </c>
      <c r="AM85">
        <f t="shared" si="96"/>
        <v>147.84</v>
      </c>
      <c r="AN85">
        <f t="shared" si="97"/>
        <v>14.784000000000001</v>
      </c>
      <c r="AO85">
        <f t="shared" si="98"/>
        <v>1570.909090909091</v>
      </c>
      <c r="AP85">
        <f t="shared" si="99"/>
        <v>157.09090909090912</v>
      </c>
      <c r="AQ85">
        <f t="shared" si="100"/>
        <v>36.96</v>
      </c>
      <c r="AR85">
        <f t="shared" si="115"/>
        <v>3.6960000000000002</v>
      </c>
      <c r="AS85">
        <f t="shared" si="101"/>
        <v>1.4</v>
      </c>
      <c r="AT85">
        <f t="shared" si="102"/>
        <v>1.9</v>
      </c>
      <c r="AU85">
        <f t="shared" si="103"/>
        <v>3</v>
      </c>
      <c r="AV85">
        <f t="shared" si="64"/>
        <v>6004</v>
      </c>
      <c r="AW85" s="1">
        <v>0</v>
      </c>
      <c r="AX85">
        <v>3</v>
      </c>
      <c r="AY85">
        <v>0</v>
      </c>
      <c r="BA85">
        <v>6</v>
      </c>
      <c r="BB85">
        <v>4</v>
      </c>
      <c r="BD85" s="24" t="s">
        <v>321</v>
      </c>
      <c r="BE85">
        <v>1E-4</v>
      </c>
      <c r="BH85" s="24" t="s">
        <v>322</v>
      </c>
      <c r="BQ85">
        <v>10000</v>
      </c>
      <c r="BS85">
        <v>80</v>
      </c>
      <c r="BT85">
        <v>80</v>
      </c>
      <c r="CH85" t="str">
        <f t="shared" si="116"/>
        <v>DATA_Class_Base17</v>
      </c>
      <c r="CI85" s="6" t="s">
        <v>318</v>
      </c>
    </row>
    <row r="86" spans="1:87">
      <c r="A86">
        <f t="shared" si="113"/>
        <v>3061602</v>
      </c>
      <c r="B86" s="6" t="s">
        <v>343</v>
      </c>
      <c r="C86">
        <v>6</v>
      </c>
      <c r="D86">
        <v>6</v>
      </c>
      <c r="E86">
        <v>1</v>
      </c>
      <c r="F86" s="3" t="s">
        <v>344</v>
      </c>
      <c r="G86" s="3" t="s">
        <v>344</v>
      </c>
      <c r="H86">
        <v>0</v>
      </c>
      <c r="I86">
        <v>0</v>
      </c>
      <c r="J86" t="s">
        <v>345</v>
      </c>
      <c r="K86" s="2" t="s">
        <v>346</v>
      </c>
      <c r="L86" s="2">
        <f t="shared" si="114"/>
        <v>6</v>
      </c>
      <c r="M86" s="2">
        <f t="shared" si="104"/>
        <v>1.8</v>
      </c>
      <c r="N86" s="2">
        <f t="shared" si="105"/>
        <v>2</v>
      </c>
      <c r="O86" s="2">
        <v>10</v>
      </c>
      <c r="P86" s="2">
        <f t="shared" si="106"/>
        <v>172.8</v>
      </c>
      <c r="Q86" s="2">
        <f t="shared" si="107"/>
        <v>17.28</v>
      </c>
      <c r="R86" s="2">
        <f t="shared" si="108"/>
        <v>1728</v>
      </c>
      <c r="S86" s="2">
        <f t="shared" si="109"/>
        <v>172.8</v>
      </c>
      <c r="T86" s="2">
        <f t="shared" si="110"/>
        <v>34.56</v>
      </c>
      <c r="U86" s="2">
        <f t="shared" si="111"/>
        <v>3.46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7">
        <v>346022</v>
      </c>
      <c r="AB86" s="14" t="s">
        <v>399</v>
      </c>
      <c r="AC86" s="15" t="s">
        <v>889</v>
      </c>
      <c r="AD86">
        <v>3071602</v>
      </c>
      <c r="AE86" s="2">
        <v>0</v>
      </c>
      <c r="AF86" s="2">
        <v>2</v>
      </c>
      <c r="AG86" s="2">
        <v>6</v>
      </c>
      <c r="AH86" s="2">
        <v>2</v>
      </c>
      <c r="AI86" s="2"/>
      <c r="AJ86">
        <v>1</v>
      </c>
      <c r="AK86" s="1">
        <f t="shared" si="112"/>
        <v>63.712631076601618</v>
      </c>
      <c r="AL86">
        <v>6</v>
      </c>
      <c r="AM86">
        <f t="shared" si="96"/>
        <v>172.8</v>
      </c>
      <c r="AN86">
        <f t="shared" si="97"/>
        <v>17.28</v>
      </c>
      <c r="AO86">
        <f t="shared" si="98"/>
        <v>1728</v>
      </c>
      <c r="AP86">
        <f t="shared" si="99"/>
        <v>172.8</v>
      </c>
      <c r="AQ86">
        <f t="shared" si="100"/>
        <v>34.56</v>
      </c>
      <c r="AR86">
        <f t="shared" si="115"/>
        <v>3.4560000000000004</v>
      </c>
      <c r="AS86">
        <f t="shared" si="101"/>
        <v>1.8</v>
      </c>
      <c r="AT86">
        <f t="shared" si="102"/>
        <v>2</v>
      </c>
      <c r="AU86">
        <f t="shared" si="103"/>
        <v>6</v>
      </c>
      <c r="AV86">
        <f t="shared" si="64"/>
        <v>6024</v>
      </c>
      <c r="AW86" s="1">
        <v>2</v>
      </c>
      <c r="AX86">
        <v>3</v>
      </c>
      <c r="AY86">
        <v>0</v>
      </c>
      <c r="BA86">
        <v>6</v>
      </c>
      <c r="BB86">
        <v>4</v>
      </c>
      <c r="BD86" t="s">
        <v>46</v>
      </c>
      <c r="BE86" t="s">
        <v>327</v>
      </c>
      <c r="BF86" t="s">
        <v>328</v>
      </c>
      <c r="BG86" t="s">
        <v>329</v>
      </c>
      <c r="BH86" s="24">
        <v>1</v>
      </c>
      <c r="BI86" s="24">
        <v>18</v>
      </c>
      <c r="BJ86" s="24">
        <v>33</v>
      </c>
      <c r="BK86" s="24">
        <v>50</v>
      </c>
      <c r="BL86" s="24">
        <v>100</v>
      </c>
      <c r="BM86" s="24">
        <v>150</v>
      </c>
      <c r="BN86" s="24">
        <v>200</v>
      </c>
      <c r="BO86" s="24">
        <v>300</v>
      </c>
      <c r="BP86" t="s">
        <v>330</v>
      </c>
      <c r="CH86" t="str">
        <f t="shared" si="116"/>
        <v>DATA_Class_Base18</v>
      </c>
      <c r="CI86" s="6" t="s">
        <v>324</v>
      </c>
    </row>
    <row r="87" spans="1:87">
      <c r="A87">
        <f t="shared" si="113"/>
        <v>3062300</v>
      </c>
      <c r="B87" s="6" t="s">
        <v>350</v>
      </c>
      <c r="C87">
        <v>6</v>
      </c>
      <c r="D87">
        <v>3</v>
      </c>
      <c r="E87">
        <v>2</v>
      </c>
      <c r="F87" s="3" t="s">
        <v>351</v>
      </c>
      <c r="G87" s="3" t="s">
        <v>351</v>
      </c>
      <c r="H87">
        <v>0</v>
      </c>
      <c r="I87">
        <v>0</v>
      </c>
      <c r="J87" s="2">
        <v>0</v>
      </c>
      <c r="K87" s="2" t="s">
        <v>352</v>
      </c>
      <c r="L87" s="2">
        <v>6</v>
      </c>
      <c r="M87" s="2">
        <f t="shared" si="104"/>
        <v>1.3</v>
      </c>
      <c r="N87" s="2">
        <f t="shared" si="105"/>
        <v>2</v>
      </c>
      <c r="O87" s="2">
        <v>10</v>
      </c>
      <c r="P87" s="2">
        <f t="shared" si="106"/>
        <v>143.52000000000001</v>
      </c>
      <c r="Q87" s="2">
        <f t="shared" si="107"/>
        <v>14.35</v>
      </c>
      <c r="R87" s="2">
        <f t="shared" si="108"/>
        <v>1502.61</v>
      </c>
      <c r="S87" s="2">
        <f t="shared" si="109"/>
        <v>150.26</v>
      </c>
      <c r="T87" s="2">
        <f t="shared" si="110"/>
        <v>17.940000000000001</v>
      </c>
      <c r="U87" s="2">
        <f t="shared" si="111"/>
        <v>1.79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7">
        <v>353002</v>
      </c>
      <c r="AB87" s="14" t="s">
        <v>403</v>
      </c>
      <c r="AC87" s="15" t="s">
        <v>889</v>
      </c>
      <c r="AD87">
        <v>3072300</v>
      </c>
      <c r="AE87" s="2">
        <v>0</v>
      </c>
      <c r="AF87" s="2">
        <v>2</v>
      </c>
      <c r="AG87" s="2">
        <v>6</v>
      </c>
      <c r="AH87" s="2">
        <v>2</v>
      </c>
      <c r="AI87" s="2"/>
      <c r="AJ87">
        <v>1</v>
      </c>
      <c r="AK87" s="1">
        <f t="shared" si="112"/>
        <v>63.478749127054655</v>
      </c>
      <c r="AL87">
        <v>6</v>
      </c>
      <c r="AM87">
        <f t="shared" si="96"/>
        <v>143.51999999999998</v>
      </c>
      <c r="AN87">
        <f t="shared" si="97"/>
        <v>14.351999999999999</v>
      </c>
      <c r="AO87">
        <f t="shared" si="98"/>
        <v>1502.608695652174</v>
      </c>
      <c r="AP87">
        <f t="shared" si="99"/>
        <v>150.2608695652174</v>
      </c>
      <c r="AQ87">
        <f t="shared" si="100"/>
        <v>17.939999999999998</v>
      </c>
      <c r="AR87">
        <f t="shared" si="115"/>
        <v>1.7939999999999998</v>
      </c>
      <c r="AS87">
        <f t="shared" si="101"/>
        <v>1.3</v>
      </c>
      <c r="AT87">
        <f t="shared" si="102"/>
        <v>2</v>
      </c>
      <c r="AU87">
        <f t="shared" si="103"/>
        <v>3</v>
      </c>
      <c r="AV87">
        <f t="shared" si="64"/>
        <v>3005</v>
      </c>
      <c r="AW87" s="1">
        <v>0</v>
      </c>
      <c r="AX87">
        <v>3</v>
      </c>
      <c r="AY87">
        <v>0</v>
      </c>
      <c r="BA87">
        <v>3</v>
      </c>
      <c r="BB87">
        <v>5</v>
      </c>
      <c r="BD87" t="s">
        <v>113</v>
      </c>
      <c r="BE87">
        <f t="shared" ref="BE87:BE97" si="117">BK5</f>
        <v>23.111111111111111</v>
      </c>
      <c r="BF87">
        <f>BE87*0.1</f>
        <v>2.3111111111111113</v>
      </c>
      <c r="BG87" s="28">
        <v>0</v>
      </c>
      <c r="BH87" s="28">
        <f t="shared" ref="BH87:BO96" si="118">($BE87+(BH$86-1)*$BF87)*$BE$85+$BG87</f>
        <v>2.311111111111111E-3</v>
      </c>
      <c r="BI87" s="28">
        <f t="shared" si="118"/>
        <v>6.2400000000000008E-3</v>
      </c>
      <c r="BJ87" s="28">
        <f t="shared" si="118"/>
        <v>9.706666666666669E-3</v>
      </c>
      <c r="BK87" s="28">
        <f t="shared" si="118"/>
        <v>1.3635555555555555E-2</v>
      </c>
      <c r="BL87" s="28">
        <f t="shared" si="118"/>
        <v>2.5191111111111116E-2</v>
      </c>
      <c r="BM87" s="28">
        <f t="shared" si="118"/>
        <v>3.6746666666666671E-2</v>
      </c>
      <c r="BN87" s="28">
        <f t="shared" si="118"/>
        <v>4.8302222222222226E-2</v>
      </c>
      <c r="BO87" s="28">
        <f t="shared" si="118"/>
        <v>7.1413333333333343E-2</v>
      </c>
      <c r="BP87" s="28">
        <v>0.25</v>
      </c>
      <c r="BQ87">
        <f t="shared" ref="BQ87:BQ102" si="119">$BQ$85*(1-BO87)</f>
        <v>9285.8666666666668</v>
      </c>
      <c r="CH87" t="str">
        <f t="shared" si="116"/>
        <v>DATA_Class_Base19</v>
      </c>
      <c r="CI87" s="6" t="s">
        <v>331</v>
      </c>
    </row>
    <row r="88" spans="1:87">
      <c r="A88">
        <f t="shared" si="113"/>
        <v>3063302</v>
      </c>
      <c r="B88" s="6" t="s">
        <v>356</v>
      </c>
      <c r="C88">
        <v>6</v>
      </c>
      <c r="D88">
        <v>3</v>
      </c>
      <c r="E88">
        <v>3</v>
      </c>
      <c r="F88" s="3" t="s">
        <v>357</v>
      </c>
      <c r="G88" s="3" t="s">
        <v>357</v>
      </c>
      <c r="H88">
        <v>0</v>
      </c>
      <c r="I88">
        <v>0</v>
      </c>
      <c r="J88" s="2">
        <v>0</v>
      </c>
      <c r="K88" s="2" t="s">
        <v>358</v>
      </c>
      <c r="L88" s="2">
        <f t="shared" si="114"/>
        <v>3</v>
      </c>
      <c r="M88" s="2">
        <f t="shared" si="104"/>
        <v>1.4000000000000001</v>
      </c>
      <c r="N88" s="2">
        <f t="shared" si="105"/>
        <v>2</v>
      </c>
      <c r="O88" s="2">
        <v>10</v>
      </c>
      <c r="P88" s="2">
        <f t="shared" si="106"/>
        <v>161.28</v>
      </c>
      <c r="Q88" s="2">
        <f t="shared" si="107"/>
        <v>16.13</v>
      </c>
      <c r="R88" s="2">
        <f t="shared" si="108"/>
        <v>1440</v>
      </c>
      <c r="S88" s="2">
        <f t="shared" si="109"/>
        <v>144</v>
      </c>
      <c r="T88" s="2">
        <f t="shared" si="110"/>
        <v>23.04</v>
      </c>
      <c r="U88" s="2">
        <f t="shared" si="111"/>
        <v>2.2999999999999998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7">
        <v>353022</v>
      </c>
      <c r="AB88" s="14" t="s">
        <v>405</v>
      </c>
      <c r="AC88" s="15" t="s">
        <v>889</v>
      </c>
      <c r="AD88">
        <v>3073302</v>
      </c>
      <c r="AE88" s="2">
        <v>0</v>
      </c>
      <c r="AF88" s="2">
        <v>2</v>
      </c>
      <c r="AG88" s="2">
        <v>6</v>
      </c>
      <c r="AH88" s="2">
        <v>2</v>
      </c>
      <c r="AI88" s="2"/>
      <c r="AJ88">
        <v>1</v>
      </c>
      <c r="AK88" s="1">
        <f t="shared" si="112"/>
        <v>63.550335138751301</v>
      </c>
      <c r="AL88">
        <v>6</v>
      </c>
      <c r="AM88">
        <f t="shared" si="96"/>
        <v>161.28</v>
      </c>
      <c r="AN88">
        <f t="shared" si="97"/>
        <v>16.128</v>
      </c>
      <c r="AO88">
        <f t="shared" si="98"/>
        <v>1440</v>
      </c>
      <c r="AP88">
        <f t="shared" si="99"/>
        <v>144</v>
      </c>
      <c r="AQ88">
        <f t="shared" si="100"/>
        <v>23.04</v>
      </c>
      <c r="AR88">
        <f t="shared" si="115"/>
        <v>2.3039999999999998</v>
      </c>
      <c r="AS88">
        <f t="shared" si="101"/>
        <v>1.4</v>
      </c>
      <c r="AT88">
        <f t="shared" si="102"/>
        <v>2</v>
      </c>
      <c r="AU88">
        <f t="shared" si="103"/>
        <v>3</v>
      </c>
      <c r="AV88">
        <f t="shared" si="64"/>
        <v>3025</v>
      </c>
      <c r="AW88" s="1">
        <v>2</v>
      </c>
      <c r="AX88">
        <v>3</v>
      </c>
      <c r="AY88">
        <v>0</v>
      </c>
      <c r="BA88">
        <v>3</v>
      </c>
      <c r="BB88">
        <v>5</v>
      </c>
      <c r="BD88" s="2" t="s">
        <v>341</v>
      </c>
      <c r="BE88">
        <f t="shared" si="117"/>
        <v>21.333333333333332</v>
      </c>
      <c r="BF88">
        <f t="shared" ref="BF88:BF102" si="120">BE88*0.1</f>
        <v>2.1333333333333333</v>
      </c>
      <c r="BG88" s="28">
        <v>0</v>
      </c>
      <c r="BH88" s="28">
        <f t="shared" si="118"/>
        <v>2.1333333333333334E-3</v>
      </c>
      <c r="BI88" s="28">
        <f t="shared" si="118"/>
        <v>5.7599999999999995E-3</v>
      </c>
      <c r="BJ88" s="28">
        <f t="shared" si="118"/>
        <v>8.9599999999999992E-3</v>
      </c>
      <c r="BK88" s="28">
        <f t="shared" si="118"/>
        <v>1.2586666666666666E-2</v>
      </c>
      <c r="BL88" s="28">
        <f t="shared" si="118"/>
        <v>2.3253333333333334E-2</v>
      </c>
      <c r="BM88" s="28">
        <f t="shared" si="118"/>
        <v>3.3919999999999999E-2</v>
      </c>
      <c r="BN88" s="28">
        <f t="shared" si="118"/>
        <v>4.4586666666666663E-2</v>
      </c>
      <c r="BO88" s="28">
        <f t="shared" si="118"/>
        <v>6.5920000000000006E-2</v>
      </c>
      <c r="BP88" s="28">
        <v>0.25</v>
      </c>
      <c r="BQ88">
        <f t="shared" si="119"/>
        <v>9340.8000000000011</v>
      </c>
      <c r="BT88">
        <f>2+1.5*1.6/1.2</f>
        <v>4</v>
      </c>
      <c r="CH88" t="str">
        <f t="shared" si="116"/>
        <v>DATA_Class_Base20</v>
      </c>
      <c r="CI88" s="6" t="s">
        <v>336</v>
      </c>
    </row>
    <row r="89" spans="1:87">
      <c r="A89">
        <f t="shared" si="113"/>
        <v>3062400</v>
      </c>
      <c r="B89" s="6" t="s">
        <v>362</v>
      </c>
      <c r="C89">
        <v>6</v>
      </c>
      <c r="D89">
        <v>4</v>
      </c>
      <c r="E89">
        <v>2</v>
      </c>
      <c r="F89" s="3" t="s">
        <v>363</v>
      </c>
      <c r="G89" s="3" t="s">
        <v>363</v>
      </c>
      <c r="H89">
        <v>0</v>
      </c>
      <c r="I89">
        <v>0</v>
      </c>
      <c r="J89">
        <v>0</v>
      </c>
      <c r="K89" s="2" t="s">
        <v>364</v>
      </c>
      <c r="L89" s="2">
        <f t="shared" si="114"/>
        <v>6</v>
      </c>
      <c r="M89" s="2">
        <f t="shared" si="104"/>
        <v>1.4000000000000001</v>
      </c>
      <c r="N89" s="2">
        <f t="shared" si="105"/>
        <v>2</v>
      </c>
      <c r="O89" s="2">
        <v>10</v>
      </c>
      <c r="P89" s="2">
        <f t="shared" si="106"/>
        <v>168</v>
      </c>
      <c r="Q89" s="2">
        <f t="shared" si="107"/>
        <v>16.8</v>
      </c>
      <c r="R89" s="2">
        <f t="shared" si="108"/>
        <v>1382.4</v>
      </c>
      <c r="S89" s="2">
        <f t="shared" si="109"/>
        <v>138.24</v>
      </c>
      <c r="T89" s="2">
        <f t="shared" si="110"/>
        <v>28</v>
      </c>
      <c r="U89" s="2">
        <f t="shared" si="111"/>
        <v>2.8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7">
        <v>354002</v>
      </c>
      <c r="AB89" s="14" t="s">
        <v>408</v>
      </c>
      <c r="AC89" s="15" t="s">
        <v>889</v>
      </c>
      <c r="AD89">
        <v>3072400</v>
      </c>
      <c r="AE89" s="2">
        <v>0</v>
      </c>
      <c r="AF89" s="2">
        <v>2</v>
      </c>
      <c r="AG89" s="2">
        <v>6</v>
      </c>
      <c r="AH89" s="2">
        <v>2</v>
      </c>
      <c r="AI89" s="2"/>
      <c r="AJ89">
        <v>1</v>
      </c>
      <c r="AK89" s="1">
        <f t="shared" si="112"/>
        <v>63.620111084279188</v>
      </c>
      <c r="AL89">
        <v>6</v>
      </c>
      <c r="AM89">
        <f t="shared" si="96"/>
        <v>168.00000000000003</v>
      </c>
      <c r="AN89">
        <f t="shared" si="97"/>
        <v>16.800000000000004</v>
      </c>
      <c r="AO89">
        <f t="shared" si="98"/>
        <v>1382.4</v>
      </c>
      <c r="AP89">
        <f t="shared" si="99"/>
        <v>138.24</v>
      </c>
      <c r="AQ89">
        <f t="shared" si="100"/>
        <v>28.000000000000004</v>
      </c>
      <c r="AR89">
        <f t="shared" si="115"/>
        <v>2.8000000000000007</v>
      </c>
      <c r="AS89">
        <f t="shared" si="101"/>
        <v>1.4</v>
      </c>
      <c r="AT89">
        <f t="shared" si="102"/>
        <v>2</v>
      </c>
      <c r="AU89">
        <f t="shared" si="103"/>
        <v>6</v>
      </c>
      <c r="AV89">
        <f t="shared" si="64"/>
        <v>4005</v>
      </c>
      <c r="AW89" s="1">
        <v>0</v>
      </c>
      <c r="AX89">
        <v>3</v>
      </c>
      <c r="AY89">
        <v>0</v>
      </c>
      <c r="BA89">
        <v>4</v>
      </c>
      <c r="BB89">
        <v>5</v>
      </c>
      <c r="BD89" t="s">
        <v>132</v>
      </c>
      <c r="BE89">
        <f t="shared" si="117"/>
        <v>20</v>
      </c>
      <c r="BF89">
        <f t="shared" si="120"/>
        <v>2</v>
      </c>
      <c r="BG89" s="28">
        <v>0</v>
      </c>
      <c r="BH89" s="28">
        <f t="shared" si="118"/>
        <v>2E-3</v>
      </c>
      <c r="BI89" s="28">
        <f t="shared" si="118"/>
        <v>5.4000000000000003E-3</v>
      </c>
      <c r="BJ89" s="28">
        <f t="shared" si="118"/>
        <v>8.4000000000000012E-3</v>
      </c>
      <c r="BK89" s="28">
        <f t="shared" si="118"/>
        <v>1.18E-2</v>
      </c>
      <c r="BL89" s="28">
        <f t="shared" si="118"/>
        <v>2.18E-2</v>
      </c>
      <c r="BM89" s="28">
        <f t="shared" si="118"/>
        <v>3.1800000000000002E-2</v>
      </c>
      <c r="BN89" s="28">
        <f t="shared" si="118"/>
        <v>4.1800000000000004E-2</v>
      </c>
      <c r="BO89" s="28">
        <f t="shared" si="118"/>
        <v>6.1800000000000001E-2</v>
      </c>
      <c r="BP89" s="28">
        <v>0.25</v>
      </c>
      <c r="BQ89">
        <f t="shared" si="119"/>
        <v>9382</v>
      </c>
      <c r="CH89" t="str">
        <f t="shared" si="116"/>
        <v>DATA_Class_Base21</v>
      </c>
      <c r="CI89" s="6" t="s">
        <v>342</v>
      </c>
    </row>
    <row r="90" spans="1:87">
      <c r="A90">
        <f t="shared" si="113"/>
        <v>3071202</v>
      </c>
      <c r="B90" s="6" t="s">
        <v>278</v>
      </c>
      <c r="C90">
        <v>7</v>
      </c>
      <c r="D90">
        <v>2</v>
      </c>
      <c r="E90">
        <v>1</v>
      </c>
      <c r="F90" s="3" t="s">
        <v>279</v>
      </c>
      <c r="G90" s="3" t="s">
        <v>279</v>
      </c>
      <c r="H90">
        <v>0</v>
      </c>
      <c r="I90">
        <v>0</v>
      </c>
      <c r="J90">
        <v>0</v>
      </c>
      <c r="K90" s="2" t="s">
        <v>280</v>
      </c>
      <c r="L90" s="2">
        <f t="shared" si="114"/>
        <v>3</v>
      </c>
      <c r="M90" s="2">
        <f t="shared" si="104"/>
        <v>1.8</v>
      </c>
      <c r="N90" s="2">
        <f t="shared" si="105"/>
        <v>2</v>
      </c>
      <c r="O90" s="2">
        <v>10</v>
      </c>
      <c r="P90" s="2">
        <f t="shared" si="106"/>
        <v>153.6</v>
      </c>
      <c r="Q90" s="2">
        <f t="shared" si="107"/>
        <v>15.36</v>
      </c>
      <c r="R90" s="2">
        <f t="shared" si="108"/>
        <v>2400</v>
      </c>
      <c r="S90" s="2">
        <f t="shared" si="109"/>
        <v>240</v>
      </c>
      <c r="T90" s="2">
        <f t="shared" si="110"/>
        <v>38.4</v>
      </c>
      <c r="U90" s="2">
        <f t="shared" si="111"/>
        <v>3.84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7">
        <v>312022</v>
      </c>
      <c r="AB90" s="14" t="s">
        <v>434</v>
      </c>
      <c r="AC90" s="15" t="s">
        <v>889</v>
      </c>
      <c r="AD90" s="2">
        <v>3081202</v>
      </c>
      <c r="AE90" s="2">
        <v>0</v>
      </c>
      <c r="AF90" s="2">
        <v>1</v>
      </c>
      <c r="AG90" s="2">
        <f t="shared" ref="AG90:AG104" si="121">A75</f>
        <v>3061202</v>
      </c>
      <c r="AH90" s="2">
        <v>1</v>
      </c>
      <c r="AI90" s="2"/>
      <c r="AJ90">
        <v>1</v>
      </c>
      <c r="AK90" s="1">
        <f t="shared" si="112"/>
        <v>78.724585296585573</v>
      </c>
      <c r="AL90">
        <v>7</v>
      </c>
      <c r="AM90">
        <f t="shared" si="96"/>
        <v>153.60000000000002</v>
      </c>
      <c r="AN90">
        <f t="shared" si="97"/>
        <v>15.360000000000003</v>
      </c>
      <c r="AO90">
        <f t="shared" si="98"/>
        <v>2400</v>
      </c>
      <c r="AP90">
        <f t="shared" si="99"/>
        <v>240</v>
      </c>
      <c r="AQ90">
        <f t="shared" si="100"/>
        <v>38.400000000000006</v>
      </c>
      <c r="AR90">
        <f t="shared" si="115"/>
        <v>3.8400000000000007</v>
      </c>
      <c r="AS90">
        <f t="shared" si="101"/>
        <v>1.8</v>
      </c>
      <c r="AT90">
        <f t="shared" si="102"/>
        <v>2</v>
      </c>
      <c r="AU90">
        <f t="shared" si="103"/>
        <v>3</v>
      </c>
      <c r="AV90">
        <f t="shared" si="64"/>
        <v>2021</v>
      </c>
      <c r="AW90" s="1">
        <v>2</v>
      </c>
      <c r="AX90">
        <v>3</v>
      </c>
      <c r="AY90">
        <v>0</v>
      </c>
      <c r="BA90">
        <v>2</v>
      </c>
      <c r="BB90">
        <v>1</v>
      </c>
      <c r="BD90" s="2" t="s">
        <v>354</v>
      </c>
      <c r="BE90">
        <f t="shared" si="117"/>
        <v>28</v>
      </c>
      <c r="BF90">
        <f t="shared" si="120"/>
        <v>2.8000000000000003</v>
      </c>
      <c r="BG90" s="28">
        <v>0</v>
      </c>
      <c r="BH90" s="28">
        <f t="shared" si="118"/>
        <v>2.8E-3</v>
      </c>
      <c r="BI90" s="28">
        <f t="shared" si="118"/>
        <v>7.5599999999999999E-3</v>
      </c>
      <c r="BJ90" s="28">
        <f t="shared" si="118"/>
        <v>1.1760000000000001E-2</v>
      </c>
      <c r="BK90" s="28">
        <f t="shared" si="118"/>
        <v>1.6520000000000003E-2</v>
      </c>
      <c r="BL90" s="28">
        <f t="shared" si="118"/>
        <v>3.0520000000000005E-2</v>
      </c>
      <c r="BM90" s="28">
        <f t="shared" si="118"/>
        <v>4.4520000000000004E-2</v>
      </c>
      <c r="BN90" s="28">
        <f t="shared" si="118"/>
        <v>5.852000000000001E-2</v>
      </c>
      <c r="BO90" s="28">
        <f t="shared" si="118"/>
        <v>8.6520000000000014E-2</v>
      </c>
      <c r="BP90" s="28">
        <v>0.25</v>
      </c>
      <c r="BQ90">
        <f t="shared" si="119"/>
        <v>9134.7999999999993</v>
      </c>
      <c r="BS90" t="s">
        <v>348</v>
      </c>
      <c r="BT90" t="s">
        <v>348</v>
      </c>
      <c r="CH90" t="str">
        <f t="shared" si="116"/>
        <v>DATA_Class_Base22</v>
      </c>
      <c r="CI90" s="6" t="s">
        <v>349</v>
      </c>
    </row>
    <row r="91" spans="1:87">
      <c r="A91">
        <f t="shared" si="113"/>
        <v>3071301</v>
      </c>
      <c r="B91" s="6" t="s">
        <v>283</v>
      </c>
      <c r="C91">
        <v>7</v>
      </c>
      <c r="D91">
        <v>3</v>
      </c>
      <c r="E91">
        <v>1</v>
      </c>
      <c r="F91" s="3" t="s">
        <v>284</v>
      </c>
      <c r="G91" s="3" t="s">
        <v>284</v>
      </c>
      <c r="H91">
        <v>0</v>
      </c>
      <c r="I91">
        <v>0</v>
      </c>
      <c r="J91" s="2">
        <v>0</v>
      </c>
      <c r="K91" s="2" t="s">
        <v>285</v>
      </c>
      <c r="L91" s="2">
        <f t="shared" si="114"/>
        <v>3</v>
      </c>
      <c r="M91" s="2">
        <f t="shared" si="104"/>
        <v>1.2</v>
      </c>
      <c r="N91" s="2">
        <f t="shared" si="105"/>
        <v>2</v>
      </c>
      <c r="O91" s="2">
        <v>10</v>
      </c>
      <c r="P91" s="2">
        <f t="shared" si="106"/>
        <v>140.80000000000001</v>
      </c>
      <c r="Q91" s="2">
        <f t="shared" si="107"/>
        <v>14.08</v>
      </c>
      <c r="R91" s="2">
        <f t="shared" si="108"/>
        <v>1745.45</v>
      </c>
      <c r="S91" s="2">
        <f t="shared" si="109"/>
        <v>174.55</v>
      </c>
      <c r="T91" s="2">
        <f t="shared" si="110"/>
        <v>23.47</v>
      </c>
      <c r="U91" s="2">
        <f t="shared" si="111"/>
        <v>2.35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7">
        <v>313012</v>
      </c>
      <c r="AB91" s="14" t="s">
        <v>435</v>
      </c>
      <c r="AC91" s="15" t="s">
        <v>889</v>
      </c>
      <c r="AD91" s="2">
        <v>3081301</v>
      </c>
      <c r="AE91" s="2">
        <v>0</v>
      </c>
      <c r="AF91" s="2">
        <v>1</v>
      </c>
      <c r="AG91" s="2">
        <f t="shared" si="121"/>
        <v>3061301</v>
      </c>
      <c r="AH91" s="2">
        <v>1</v>
      </c>
      <c r="AI91" s="2"/>
      <c r="AJ91">
        <v>1</v>
      </c>
      <c r="AK91" s="1">
        <f t="shared" si="112"/>
        <v>78.464606609053703</v>
      </c>
      <c r="AL91">
        <v>7</v>
      </c>
      <c r="AM91">
        <f t="shared" si="96"/>
        <v>140.80000000000001</v>
      </c>
      <c r="AN91">
        <f t="shared" si="97"/>
        <v>14.080000000000002</v>
      </c>
      <c r="AO91">
        <f t="shared" si="98"/>
        <v>1745.4545454545455</v>
      </c>
      <c r="AP91">
        <f t="shared" si="99"/>
        <v>174.54545454545456</v>
      </c>
      <c r="AQ91">
        <f t="shared" si="100"/>
        <v>23.466666666666669</v>
      </c>
      <c r="AR91">
        <f t="shared" si="115"/>
        <v>2.3466666666666671</v>
      </c>
      <c r="AS91">
        <f t="shared" si="101"/>
        <v>1.2</v>
      </c>
      <c r="AT91">
        <f t="shared" si="102"/>
        <v>2</v>
      </c>
      <c r="AU91">
        <f t="shared" si="103"/>
        <v>3</v>
      </c>
      <c r="AV91">
        <f t="shared" si="64"/>
        <v>3011</v>
      </c>
      <c r="AW91" s="1">
        <v>1</v>
      </c>
      <c r="AX91">
        <v>3</v>
      </c>
      <c r="AY91">
        <v>0</v>
      </c>
      <c r="BA91">
        <v>3</v>
      </c>
      <c r="BB91">
        <v>1</v>
      </c>
      <c r="BD91" s="2" t="s">
        <v>360</v>
      </c>
      <c r="BE91">
        <f t="shared" si="117"/>
        <v>24</v>
      </c>
      <c r="BF91">
        <f t="shared" si="120"/>
        <v>2.4000000000000004</v>
      </c>
      <c r="BG91" s="28">
        <v>0</v>
      </c>
      <c r="BH91" s="28">
        <f t="shared" si="118"/>
        <v>2.4000000000000002E-3</v>
      </c>
      <c r="BI91" s="28">
        <f t="shared" si="118"/>
        <v>6.4800000000000014E-3</v>
      </c>
      <c r="BJ91" s="28">
        <f t="shared" si="118"/>
        <v>1.0080000000000002E-2</v>
      </c>
      <c r="BK91" s="28">
        <f t="shared" si="118"/>
        <v>1.4160000000000002E-2</v>
      </c>
      <c r="BL91" s="28">
        <f t="shared" si="118"/>
        <v>2.6160000000000003E-2</v>
      </c>
      <c r="BM91" s="28">
        <f t="shared" si="118"/>
        <v>3.8160000000000006E-2</v>
      </c>
      <c r="BN91" s="28">
        <f t="shared" si="118"/>
        <v>5.016000000000001E-2</v>
      </c>
      <c r="BO91" s="28">
        <f t="shared" si="118"/>
        <v>7.4160000000000018E-2</v>
      </c>
      <c r="BP91" s="28">
        <v>0.25</v>
      </c>
      <c r="BQ91">
        <f t="shared" si="119"/>
        <v>9258.4</v>
      </c>
      <c r="CH91" t="str">
        <f t="shared" si="116"/>
        <v>DATA_Class_Base23</v>
      </c>
      <c r="CI91" s="6" t="s">
        <v>355</v>
      </c>
    </row>
    <row r="92" spans="1:87">
      <c r="A92">
        <f t="shared" si="113"/>
        <v>3071502</v>
      </c>
      <c r="B92" s="6" t="s">
        <v>289</v>
      </c>
      <c r="C92">
        <v>7</v>
      </c>
      <c r="D92">
        <v>5</v>
      </c>
      <c r="E92">
        <v>1</v>
      </c>
      <c r="F92" s="3" t="s">
        <v>290</v>
      </c>
      <c r="G92" s="3" t="s">
        <v>290</v>
      </c>
      <c r="H92">
        <v>0</v>
      </c>
      <c r="I92">
        <v>0</v>
      </c>
      <c r="J92" s="2">
        <v>0</v>
      </c>
      <c r="K92" s="2" t="s">
        <v>291</v>
      </c>
      <c r="L92" s="2">
        <f t="shared" si="114"/>
        <v>6</v>
      </c>
      <c r="M92" s="2">
        <f t="shared" si="104"/>
        <v>1.4000000000000001</v>
      </c>
      <c r="N92" s="2">
        <f t="shared" si="105"/>
        <v>2</v>
      </c>
      <c r="O92" s="2">
        <v>10</v>
      </c>
      <c r="P92" s="2">
        <f t="shared" si="106"/>
        <v>194.13</v>
      </c>
      <c r="Q92" s="2">
        <f t="shared" si="107"/>
        <v>19.41</v>
      </c>
      <c r="R92" s="2">
        <f t="shared" si="108"/>
        <v>1476.92</v>
      </c>
      <c r="S92" s="2">
        <f t="shared" si="109"/>
        <v>147.69</v>
      </c>
      <c r="T92" s="2">
        <f t="shared" si="110"/>
        <v>29.87</v>
      </c>
      <c r="U92" s="2">
        <f t="shared" si="111"/>
        <v>2.99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7">
        <v>315022</v>
      </c>
      <c r="AB92" s="14" t="s">
        <v>436</v>
      </c>
      <c r="AC92" s="15" t="s">
        <v>889</v>
      </c>
      <c r="AD92" s="2">
        <v>3081502</v>
      </c>
      <c r="AE92" s="2">
        <v>0</v>
      </c>
      <c r="AF92" s="2">
        <v>1</v>
      </c>
      <c r="AG92" s="2">
        <f t="shared" si="121"/>
        <v>3061502</v>
      </c>
      <c r="AH92" s="2">
        <v>1</v>
      </c>
      <c r="AI92" s="2"/>
      <c r="AJ92">
        <v>1</v>
      </c>
      <c r="AK92" s="1">
        <f t="shared" si="112"/>
        <v>78.575815491657167</v>
      </c>
      <c r="AL92">
        <v>7</v>
      </c>
      <c r="AM92">
        <f t="shared" ref="AM92:AM123" si="122">INDEX($BE$5:$BE$58,MATCH($AV92,$BC$5:$BC$58,0))*$AS92/1.5*$BI$4*INDEX($BE$109:$BR$109,MATCH($AL92,$BE$108:$BR$108,0))</f>
        <v>194.1333333333333</v>
      </c>
      <c r="AN92">
        <f t="shared" ref="AN92:AN123" si="123">(INDEX($BE$5:$BE$58,MATCH($AV92,$BC$5:$BC$58,0))*$AS92/1.5*$BI$4*INDEX($BE$109:$BR$109,MATCH($AL92,$BE$108:$BR$108,0)))*0.1</f>
        <v>19.41333333333333</v>
      </c>
      <c r="AO92">
        <f t="shared" ref="AO92:AO123" si="124">INDEX($BF$5:$BF$58,MATCH($AV92,$BC$5:$BC$58,0))*$BJ$4*INDEX($BE$109:$BR$109,MATCH($AL92,$BE$108:$BR$108,0))</f>
        <v>1476.9230769230767</v>
      </c>
      <c r="AP92">
        <f t="shared" ref="AP92:AP123" si="125">(INDEX($BF$5:$BF$58,MATCH($AV92,$BC$5:$BC$58,0))*$BJ$4*INDEX($BE$109:$BR$109,MATCH($AL92,$BE$108:$BR$108,0)))*0.1</f>
        <v>147.69230769230768</v>
      </c>
      <c r="AQ92">
        <f t="shared" ref="AQ92:AQ123" si="126">$AM92/INDEX($BG$5:$BG$58,MATCH($AV92,$BC$5:$BC$58,0))</f>
        <v>29.86666666666666</v>
      </c>
      <c r="AR92">
        <f t="shared" si="115"/>
        <v>2.9866666666666664</v>
      </c>
      <c r="AS92">
        <f t="shared" ref="AS92:AS123" si="127">INDEX($BH$5:$BH$58,MATCH($AV92,$BC$5:$BC$58,0))</f>
        <v>1.4</v>
      </c>
      <c r="AT92">
        <f t="shared" ref="AT92:AT123" si="128">ROUND(IF(INDEX($BP$5:$BP$58,MATCH($AV92,$BC$5:$BC$58,0))&lt;2,INDEX($BP$5:$BP$58,MATCH($AV92,$BC$5:$BC$58,0))+0.2,2),1)</f>
        <v>2</v>
      </c>
      <c r="AU92">
        <f t="shared" ref="AU92:AU123" si="129">INDEX($BL$5:$BL$58,MATCH($AV92,$BC$5:$BC$58,0))</f>
        <v>6</v>
      </c>
      <c r="AV92">
        <f t="shared" si="64"/>
        <v>5021</v>
      </c>
      <c r="AW92" s="1">
        <v>2</v>
      </c>
      <c r="AX92">
        <v>3</v>
      </c>
      <c r="AY92">
        <v>0</v>
      </c>
      <c r="BA92">
        <v>5</v>
      </c>
      <c r="BB92">
        <v>1</v>
      </c>
      <c r="BD92" s="2" t="s">
        <v>165</v>
      </c>
      <c r="BE92">
        <f t="shared" si="117"/>
        <v>22.400000000000002</v>
      </c>
      <c r="BF92">
        <f t="shared" si="120"/>
        <v>2.2400000000000002</v>
      </c>
      <c r="BG92" s="28">
        <v>0</v>
      </c>
      <c r="BH92" s="28">
        <f t="shared" si="118"/>
        <v>2.2400000000000002E-3</v>
      </c>
      <c r="BI92" s="28">
        <f t="shared" si="118"/>
        <v>6.0480000000000004E-3</v>
      </c>
      <c r="BJ92" s="28">
        <f t="shared" si="118"/>
        <v>9.4080000000000014E-3</v>
      </c>
      <c r="BK92" s="28">
        <f t="shared" si="118"/>
        <v>1.3216E-2</v>
      </c>
      <c r="BL92" s="28">
        <f t="shared" si="118"/>
        <v>2.4416000000000004E-2</v>
      </c>
      <c r="BM92" s="28">
        <f t="shared" si="118"/>
        <v>3.5616000000000002E-2</v>
      </c>
      <c r="BN92" s="28">
        <f t="shared" si="118"/>
        <v>4.6816000000000003E-2</v>
      </c>
      <c r="BO92" s="28">
        <f t="shared" si="118"/>
        <v>6.9216000000000014E-2</v>
      </c>
      <c r="BP92" s="28">
        <v>0.25</v>
      </c>
      <c r="BQ92">
        <f t="shared" si="119"/>
        <v>9307.84</v>
      </c>
      <c r="CH92" t="str">
        <f t="shared" si="116"/>
        <v>DATA_Class_Base24</v>
      </c>
      <c r="CI92" s="6" t="s">
        <v>361</v>
      </c>
    </row>
    <row r="93" spans="1:87">
      <c r="A93">
        <f t="shared" si="113"/>
        <v>3072201</v>
      </c>
      <c r="B93" s="6" t="s">
        <v>296</v>
      </c>
      <c r="C93">
        <v>7</v>
      </c>
      <c r="D93">
        <v>2</v>
      </c>
      <c r="E93">
        <v>2</v>
      </c>
      <c r="F93" s="3" t="s">
        <v>297</v>
      </c>
      <c r="G93" s="3" t="s">
        <v>297</v>
      </c>
      <c r="H93">
        <v>0</v>
      </c>
      <c r="I93">
        <v>0</v>
      </c>
      <c r="J93">
        <v>0</v>
      </c>
      <c r="K93" s="8" t="s">
        <v>298</v>
      </c>
      <c r="L93" s="2">
        <f t="shared" si="114"/>
        <v>3</v>
      </c>
      <c r="M93" s="2">
        <f t="shared" si="104"/>
        <v>1.8</v>
      </c>
      <c r="N93" s="2">
        <f t="shared" si="105"/>
        <v>1.8</v>
      </c>
      <c r="O93" s="2">
        <v>10</v>
      </c>
      <c r="P93" s="2">
        <f t="shared" si="106"/>
        <v>134.4</v>
      </c>
      <c r="Q93" s="2">
        <f t="shared" si="107"/>
        <v>13.44</v>
      </c>
      <c r="R93" s="2">
        <f t="shared" si="108"/>
        <v>2742.86</v>
      </c>
      <c r="S93" s="2">
        <f t="shared" si="109"/>
        <v>274.29000000000002</v>
      </c>
      <c r="T93" s="2">
        <f t="shared" si="110"/>
        <v>44.8</v>
      </c>
      <c r="U93" s="2">
        <f t="shared" si="111"/>
        <v>4.4800000000000004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7">
        <v>322012</v>
      </c>
      <c r="AB93" s="14" t="s">
        <v>437</v>
      </c>
      <c r="AC93" s="15" t="s">
        <v>889</v>
      </c>
      <c r="AD93" s="2">
        <v>3082201</v>
      </c>
      <c r="AE93" s="2">
        <v>0</v>
      </c>
      <c r="AF93" s="2">
        <v>1</v>
      </c>
      <c r="AG93" s="2">
        <f t="shared" si="121"/>
        <v>3062201</v>
      </c>
      <c r="AH93" s="2">
        <v>1</v>
      </c>
      <c r="AI93" s="2"/>
      <c r="AJ93">
        <v>1</v>
      </c>
      <c r="AK93" s="1">
        <f t="shared" si="112"/>
        <v>78.836532867946488</v>
      </c>
      <c r="AL93">
        <v>7</v>
      </c>
      <c r="AM93">
        <f t="shared" si="122"/>
        <v>134.4</v>
      </c>
      <c r="AN93">
        <f t="shared" si="123"/>
        <v>13.440000000000001</v>
      </c>
      <c r="AO93">
        <f t="shared" si="124"/>
        <v>2742.8571428571431</v>
      </c>
      <c r="AP93">
        <f t="shared" si="125"/>
        <v>274.28571428571433</v>
      </c>
      <c r="AQ93">
        <f t="shared" si="126"/>
        <v>44.800000000000004</v>
      </c>
      <c r="AR93">
        <f t="shared" si="115"/>
        <v>4.4800000000000004</v>
      </c>
      <c r="AS93">
        <f t="shared" si="127"/>
        <v>1.8</v>
      </c>
      <c r="AT93">
        <f t="shared" si="128"/>
        <v>1.8</v>
      </c>
      <c r="AU93">
        <f t="shared" si="129"/>
        <v>3</v>
      </c>
      <c r="AV93">
        <f t="shared" si="64"/>
        <v>2012</v>
      </c>
      <c r="AW93" s="1">
        <v>1</v>
      </c>
      <c r="AX93">
        <v>3</v>
      </c>
      <c r="AY93">
        <v>0</v>
      </c>
      <c r="BA93">
        <v>2</v>
      </c>
      <c r="BB93">
        <v>2</v>
      </c>
      <c r="BD93" s="2" t="s">
        <v>172</v>
      </c>
      <c r="BE93">
        <f t="shared" si="117"/>
        <v>32</v>
      </c>
      <c r="BF93">
        <f t="shared" si="120"/>
        <v>3.2</v>
      </c>
      <c r="BG93" s="28">
        <v>0</v>
      </c>
      <c r="BH93" s="28">
        <f t="shared" si="118"/>
        <v>3.2000000000000002E-3</v>
      </c>
      <c r="BI93" s="28">
        <f t="shared" si="118"/>
        <v>8.6400000000000018E-3</v>
      </c>
      <c r="BJ93" s="28">
        <f t="shared" si="118"/>
        <v>1.3440000000000001E-2</v>
      </c>
      <c r="BK93" s="28">
        <f t="shared" si="118"/>
        <v>1.8880000000000001E-2</v>
      </c>
      <c r="BL93" s="28">
        <f t="shared" si="118"/>
        <v>3.4880000000000001E-2</v>
      </c>
      <c r="BM93" s="28">
        <f t="shared" si="118"/>
        <v>5.0880000000000002E-2</v>
      </c>
      <c r="BN93" s="28">
        <f t="shared" si="118"/>
        <v>6.6880000000000009E-2</v>
      </c>
      <c r="BO93" s="28">
        <f t="shared" si="118"/>
        <v>9.888000000000001E-2</v>
      </c>
      <c r="BP93" s="28">
        <v>0.25</v>
      </c>
      <c r="BQ93">
        <f t="shared" si="119"/>
        <v>9011.2000000000007</v>
      </c>
      <c r="CH93" t="str">
        <f>INDEX($CE$18:$CE$59,MATCH($CI94,$CF$18:$CF$59,0))</f>
        <v>DATA_Class_Base26</v>
      </c>
      <c r="CI93" s="6" t="s">
        <v>366</v>
      </c>
    </row>
    <row r="94" spans="1:87">
      <c r="A94">
        <f t="shared" si="113"/>
        <v>3072500</v>
      </c>
      <c r="B94" s="6" t="s">
        <v>301</v>
      </c>
      <c r="C94">
        <v>7</v>
      </c>
      <c r="D94">
        <v>5</v>
      </c>
      <c r="E94">
        <v>2</v>
      </c>
      <c r="F94" s="3" t="s">
        <v>302</v>
      </c>
      <c r="G94" s="3" t="s">
        <v>302</v>
      </c>
      <c r="H94">
        <v>0</v>
      </c>
      <c r="I94">
        <v>0</v>
      </c>
      <c r="J94" s="2">
        <v>0</v>
      </c>
      <c r="K94" s="2" t="s">
        <v>303</v>
      </c>
      <c r="L94" s="2">
        <f t="shared" si="114"/>
        <v>6</v>
      </c>
      <c r="M94" s="2">
        <f t="shared" si="104"/>
        <v>1.5</v>
      </c>
      <c r="N94" s="2">
        <f t="shared" si="105"/>
        <v>2</v>
      </c>
      <c r="O94" s="2">
        <v>10</v>
      </c>
      <c r="P94" s="2">
        <f t="shared" si="106"/>
        <v>240</v>
      </c>
      <c r="Q94" s="2">
        <f t="shared" si="107"/>
        <v>24</v>
      </c>
      <c r="R94" s="2">
        <f t="shared" si="108"/>
        <v>1280</v>
      </c>
      <c r="S94" s="2">
        <f t="shared" si="109"/>
        <v>128</v>
      </c>
      <c r="T94" s="2">
        <f t="shared" si="110"/>
        <v>26.67</v>
      </c>
      <c r="U94" s="2">
        <f t="shared" si="111"/>
        <v>2.67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7">
        <v>325002</v>
      </c>
      <c r="AB94" s="14" t="s">
        <v>438</v>
      </c>
      <c r="AC94" s="15" t="s">
        <v>889</v>
      </c>
      <c r="AD94" s="2">
        <v>3082500</v>
      </c>
      <c r="AE94" s="2">
        <v>0</v>
      </c>
      <c r="AF94" s="2">
        <v>1</v>
      </c>
      <c r="AG94" s="2">
        <f t="shared" si="121"/>
        <v>3062500</v>
      </c>
      <c r="AH94" s="2">
        <v>1</v>
      </c>
      <c r="AI94" s="2"/>
      <c r="AJ94">
        <v>1</v>
      </c>
      <c r="AK94" s="1">
        <f t="shared" si="112"/>
        <v>78.520171673819746</v>
      </c>
      <c r="AL94">
        <v>7</v>
      </c>
      <c r="AM94">
        <f t="shared" si="122"/>
        <v>240</v>
      </c>
      <c r="AN94">
        <f t="shared" si="123"/>
        <v>24</v>
      </c>
      <c r="AO94">
        <f t="shared" si="124"/>
        <v>1280</v>
      </c>
      <c r="AP94">
        <f t="shared" si="125"/>
        <v>128</v>
      </c>
      <c r="AQ94">
        <f t="shared" si="126"/>
        <v>26.666666666666668</v>
      </c>
      <c r="AR94">
        <f t="shared" si="115"/>
        <v>2.666666666666667</v>
      </c>
      <c r="AS94">
        <f t="shared" si="127"/>
        <v>1.5</v>
      </c>
      <c r="AT94">
        <f t="shared" si="128"/>
        <v>2</v>
      </c>
      <c r="AU94">
        <f t="shared" si="129"/>
        <v>6</v>
      </c>
      <c r="AV94">
        <f t="shared" si="64"/>
        <v>5002</v>
      </c>
      <c r="AW94" s="1">
        <v>0</v>
      </c>
      <c r="AX94">
        <v>3</v>
      </c>
      <c r="AY94">
        <v>0</v>
      </c>
      <c r="BA94">
        <v>5</v>
      </c>
      <c r="BB94">
        <v>2</v>
      </c>
      <c r="BD94" s="2" t="s">
        <v>174</v>
      </c>
      <c r="BE94">
        <f t="shared" si="117"/>
        <v>29.538461538461537</v>
      </c>
      <c r="BF94">
        <f t="shared" si="120"/>
        <v>2.953846153846154</v>
      </c>
      <c r="BG94" s="28">
        <v>0</v>
      </c>
      <c r="BH94" s="28">
        <f t="shared" si="118"/>
        <v>2.9538461538461537E-3</v>
      </c>
      <c r="BI94" s="28">
        <f t="shared" si="118"/>
        <v>7.9753846153846151E-3</v>
      </c>
      <c r="BJ94" s="28">
        <f t="shared" si="118"/>
        <v>1.2406153846153846E-2</v>
      </c>
      <c r="BK94" s="28">
        <f t="shared" si="118"/>
        <v>1.7427692307692311E-2</v>
      </c>
      <c r="BL94" s="28">
        <f t="shared" si="118"/>
        <v>3.2196923076923081E-2</v>
      </c>
      <c r="BM94" s="28">
        <f t="shared" si="118"/>
        <v>4.6966153846153852E-2</v>
      </c>
      <c r="BN94" s="28">
        <f t="shared" si="118"/>
        <v>6.1735384615384629E-2</v>
      </c>
      <c r="BO94" s="28">
        <f t="shared" si="118"/>
        <v>9.1273846153846164E-2</v>
      </c>
      <c r="BP94" s="28">
        <v>0.25</v>
      </c>
      <c r="BQ94">
        <f t="shared" si="119"/>
        <v>9087.2615384615383</v>
      </c>
      <c r="CH94" t="str">
        <f>INDEX($CE$18:$CE$59,MATCH($CI93,$CF$18:$CF$59,0))</f>
        <v>DATA_Class_Base25</v>
      </c>
      <c r="CI94" s="6" t="s">
        <v>369</v>
      </c>
    </row>
    <row r="95" spans="1:87">
      <c r="A95">
        <f t="shared" si="113"/>
        <v>3072601</v>
      </c>
      <c r="B95" s="6" t="s">
        <v>307</v>
      </c>
      <c r="C95">
        <v>7</v>
      </c>
      <c r="D95">
        <v>6</v>
      </c>
      <c r="E95">
        <v>2</v>
      </c>
      <c r="F95" s="3" t="s">
        <v>308</v>
      </c>
      <c r="G95" s="3" t="s">
        <v>308</v>
      </c>
      <c r="H95">
        <v>0</v>
      </c>
      <c r="I95">
        <v>0</v>
      </c>
      <c r="J95" s="2">
        <v>0</v>
      </c>
      <c r="K95" s="2" t="s">
        <v>309</v>
      </c>
      <c r="L95" s="2">
        <f t="shared" si="114"/>
        <v>6</v>
      </c>
      <c r="M95" s="2">
        <f t="shared" si="104"/>
        <v>1.5</v>
      </c>
      <c r="N95" s="2">
        <f t="shared" si="105"/>
        <v>2</v>
      </c>
      <c r="O95" s="2">
        <v>10</v>
      </c>
      <c r="P95" s="2">
        <f t="shared" si="106"/>
        <v>176</v>
      </c>
      <c r="Q95" s="2">
        <f t="shared" si="107"/>
        <v>17.600000000000001</v>
      </c>
      <c r="R95" s="2">
        <f t="shared" si="108"/>
        <v>1745.45</v>
      </c>
      <c r="S95" s="2">
        <f t="shared" si="109"/>
        <v>174.55</v>
      </c>
      <c r="T95" s="2">
        <f t="shared" si="110"/>
        <v>35.200000000000003</v>
      </c>
      <c r="U95" s="2">
        <f t="shared" si="111"/>
        <v>3.52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7">
        <v>326012</v>
      </c>
      <c r="AB95" s="14" t="s">
        <v>439</v>
      </c>
      <c r="AC95" s="15" t="s">
        <v>889</v>
      </c>
      <c r="AD95" s="2">
        <v>3082601</v>
      </c>
      <c r="AE95" s="2">
        <v>0</v>
      </c>
      <c r="AF95" s="2">
        <v>1</v>
      </c>
      <c r="AG95" s="2">
        <f t="shared" si="121"/>
        <v>3062601</v>
      </c>
      <c r="AH95" s="2">
        <v>1</v>
      </c>
      <c r="AI95" s="2"/>
      <c r="AJ95">
        <v>1</v>
      </c>
      <c r="AK95" s="1">
        <f t="shared" si="112"/>
        <v>78.668730650154799</v>
      </c>
      <c r="AL95">
        <v>7</v>
      </c>
      <c r="AM95">
        <f t="shared" si="122"/>
        <v>176</v>
      </c>
      <c r="AN95">
        <f t="shared" si="123"/>
        <v>17.600000000000001</v>
      </c>
      <c r="AO95">
        <f t="shared" si="124"/>
        <v>1745.4545454545455</v>
      </c>
      <c r="AP95">
        <f t="shared" si="125"/>
        <v>174.54545454545456</v>
      </c>
      <c r="AQ95">
        <f t="shared" si="126"/>
        <v>35.200000000000003</v>
      </c>
      <c r="AR95">
        <f t="shared" si="115"/>
        <v>3.5200000000000005</v>
      </c>
      <c r="AS95">
        <f t="shared" si="127"/>
        <v>1.5</v>
      </c>
      <c r="AT95">
        <f t="shared" si="128"/>
        <v>2</v>
      </c>
      <c r="AU95">
        <f t="shared" si="129"/>
        <v>6</v>
      </c>
      <c r="AV95">
        <f t="shared" ref="AV95:AV158" si="130">BA95*1000+AW95*10+BB95</f>
        <v>6012</v>
      </c>
      <c r="AW95" s="1">
        <v>1</v>
      </c>
      <c r="AX95">
        <v>3</v>
      </c>
      <c r="AY95">
        <v>0</v>
      </c>
      <c r="BA95">
        <v>6</v>
      </c>
      <c r="BB95">
        <v>2</v>
      </c>
      <c r="BD95" s="2" t="s">
        <v>176</v>
      </c>
      <c r="BE95">
        <f t="shared" si="117"/>
        <v>19.2</v>
      </c>
      <c r="BF95">
        <f t="shared" si="120"/>
        <v>1.92</v>
      </c>
      <c r="BG95" s="28">
        <v>0</v>
      </c>
      <c r="BH95" s="28">
        <f t="shared" si="118"/>
        <v>1.92E-3</v>
      </c>
      <c r="BI95" s="28">
        <f t="shared" si="118"/>
        <v>5.1840000000000002E-3</v>
      </c>
      <c r="BJ95" s="28">
        <f t="shared" si="118"/>
        <v>8.064E-3</v>
      </c>
      <c r="BK95" s="28">
        <f t="shared" si="118"/>
        <v>1.1328000000000001E-2</v>
      </c>
      <c r="BL95" s="28">
        <f t="shared" si="118"/>
        <v>2.0927999999999999E-2</v>
      </c>
      <c r="BM95" s="28">
        <f t="shared" si="118"/>
        <v>3.0528E-2</v>
      </c>
      <c r="BN95" s="28">
        <f t="shared" si="118"/>
        <v>4.0127999999999997E-2</v>
      </c>
      <c r="BO95" s="28">
        <f t="shared" si="118"/>
        <v>5.9327999999999999E-2</v>
      </c>
      <c r="BP95" s="28">
        <v>0.25</v>
      </c>
      <c r="BQ95">
        <f t="shared" si="119"/>
        <v>9406.7199999999993</v>
      </c>
      <c r="CH95" t="str">
        <f t="shared" si="116"/>
        <v>DATA_Class_Base27</v>
      </c>
      <c r="CI95" s="6" t="s">
        <v>371</v>
      </c>
    </row>
    <row r="96" spans="1:87">
      <c r="A96">
        <f t="shared" si="113"/>
        <v>3073200</v>
      </c>
      <c r="B96" s="6" t="s">
        <v>294</v>
      </c>
      <c r="C96">
        <v>7</v>
      </c>
      <c r="D96">
        <v>2</v>
      </c>
      <c r="E96">
        <v>3</v>
      </c>
      <c r="F96" s="3" t="s">
        <v>313</v>
      </c>
      <c r="G96" s="3" t="s">
        <v>313</v>
      </c>
      <c r="H96">
        <v>0</v>
      </c>
      <c r="I96">
        <v>0</v>
      </c>
      <c r="J96">
        <v>0</v>
      </c>
      <c r="K96" s="2" t="s">
        <v>314</v>
      </c>
      <c r="L96" s="2">
        <f t="shared" si="114"/>
        <v>3</v>
      </c>
      <c r="M96" s="2">
        <f t="shared" si="104"/>
        <v>1.5</v>
      </c>
      <c r="N96" s="2">
        <f t="shared" si="105"/>
        <v>1.2</v>
      </c>
      <c r="O96" s="2">
        <v>10</v>
      </c>
      <c r="P96" s="2">
        <f t="shared" si="106"/>
        <v>112</v>
      </c>
      <c r="Q96" s="2">
        <f t="shared" si="107"/>
        <v>11.2</v>
      </c>
      <c r="R96" s="2">
        <f t="shared" si="108"/>
        <v>2742.86</v>
      </c>
      <c r="S96" s="2">
        <f t="shared" si="109"/>
        <v>274.29000000000002</v>
      </c>
      <c r="T96" s="2">
        <f t="shared" si="110"/>
        <v>56</v>
      </c>
      <c r="U96" s="2">
        <f t="shared" si="111"/>
        <v>5.6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7">
        <v>332002</v>
      </c>
      <c r="AB96" s="14" t="s">
        <v>440</v>
      </c>
      <c r="AC96" s="15" t="s">
        <v>889</v>
      </c>
      <c r="AD96" s="2">
        <v>3083200</v>
      </c>
      <c r="AE96" s="2">
        <v>0</v>
      </c>
      <c r="AF96" s="2">
        <v>1</v>
      </c>
      <c r="AG96" s="2">
        <f t="shared" si="121"/>
        <v>3063200</v>
      </c>
      <c r="AH96" s="2">
        <v>1</v>
      </c>
      <c r="AI96" s="2"/>
      <c r="AJ96">
        <v>1</v>
      </c>
      <c r="AK96" s="1">
        <f t="shared" si="112"/>
        <v>79.033209136562448</v>
      </c>
      <c r="AL96">
        <v>7</v>
      </c>
      <c r="AM96">
        <f t="shared" si="122"/>
        <v>111.99999999999997</v>
      </c>
      <c r="AN96">
        <f t="shared" si="123"/>
        <v>11.199999999999998</v>
      </c>
      <c r="AO96">
        <f t="shared" si="124"/>
        <v>2742.8571428571431</v>
      </c>
      <c r="AP96">
        <f t="shared" si="125"/>
        <v>274.28571428571433</v>
      </c>
      <c r="AQ96">
        <f t="shared" si="126"/>
        <v>55.999999999999986</v>
      </c>
      <c r="AR96">
        <f t="shared" si="115"/>
        <v>5.5999999999999988</v>
      </c>
      <c r="AS96">
        <f t="shared" si="127"/>
        <v>1.5</v>
      </c>
      <c r="AT96">
        <f t="shared" si="128"/>
        <v>1.2</v>
      </c>
      <c r="AU96">
        <f t="shared" si="129"/>
        <v>3</v>
      </c>
      <c r="AV96">
        <f t="shared" si="130"/>
        <v>2003</v>
      </c>
      <c r="AW96" s="1">
        <v>0</v>
      </c>
      <c r="AX96">
        <v>3</v>
      </c>
      <c r="AY96">
        <v>0</v>
      </c>
      <c r="BA96">
        <v>2</v>
      </c>
      <c r="BB96">
        <v>3</v>
      </c>
      <c r="BD96" s="2" t="s">
        <v>376</v>
      </c>
      <c r="BE96">
        <f t="shared" si="117"/>
        <v>22.08</v>
      </c>
      <c r="BF96">
        <f t="shared" si="120"/>
        <v>2.2079999999999997</v>
      </c>
      <c r="BG96" s="28">
        <v>0</v>
      </c>
      <c r="BH96" s="28">
        <f t="shared" si="118"/>
        <v>2.2079999999999999E-3</v>
      </c>
      <c r="BI96" s="28">
        <f t="shared" si="118"/>
        <v>5.9615999999999992E-3</v>
      </c>
      <c r="BJ96" s="28">
        <f t="shared" si="118"/>
        <v>9.2735999999999999E-3</v>
      </c>
      <c r="BK96" s="28">
        <f t="shared" si="118"/>
        <v>1.3027199999999999E-2</v>
      </c>
      <c r="BL96" s="28">
        <f t="shared" si="118"/>
        <v>2.4067199999999997E-2</v>
      </c>
      <c r="BM96" s="28">
        <f t="shared" si="118"/>
        <v>3.5107199999999998E-2</v>
      </c>
      <c r="BN96" s="28">
        <f t="shared" si="118"/>
        <v>4.6147199999999992E-2</v>
      </c>
      <c r="BO96" s="28">
        <f t="shared" si="118"/>
        <v>6.8227200000000002E-2</v>
      </c>
      <c r="BP96" s="28">
        <v>0.25</v>
      </c>
      <c r="BQ96">
        <f t="shared" si="119"/>
        <v>9317.7279999999992</v>
      </c>
      <c r="CH96" t="str">
        <f t="shared" si="116"/>
        <v>DATA_Class_Base13</v>
      </c>
      <c r="CI96" s="6" t="s">
        <v>295</v>
      </c>
    </row>
    <row r="97" spans="1:87">
      <c r="A97">
        <f t="shared" si="113"/>
        <v>3071401</v>
      </c>
      <c r="B97" s="6" t="s">
        <v>317</v>
      </c>
      <c r="C97">
        <v>7</v>
      </c>
      <c r="D97">
        <v>4</v>
      </c>
      <c r="E97">
        <v>1</v>
      </c>
      <c r="F97" s="3" t="s">
        <v>319</v>
      </c>
      <c r="G97" s="3" t="s">
        <v>319</v>
      </c>
      <c r="H97">
        <v>0</v>
      </c>
      <c r="I97">
        <v>0</v>
      </c>
      <c r="J97">
        <v>0</v>
      </c>
      <c r="K97" s="2" t="s">
        <v>161</v>
      </c>
      <c r="L97" s="2">
        <f t="shared" si="114"/>
        <v>6</v>
      </c>
      <c r="M97" s="2">
        <f t="shared" si="104"/>
        <v>1.6</v>
      </c>
      <c r="N97" s="2">
        <f t="shared" si="105"/>
        <v>1.5</v>
      </c>
      <c r="O97" s="2">
        <v>10</v>
      </c>
      <c r="P97" s="2">
        <f t="shared" si="106"/>
        <v>204.8</v>
      </c>
      <c r="Q97" s="2">
        <f t="shared" si="107"/>
        <v>20.48</v>
      </c>
      <c r="R97" s="2">
        <f t="shared" si="108"/>
        <v>1600</v>
      </c>
      <c r="S97" s="2">
        <f t="shared" si="109"/>
        <v>160</v>
      </c>
      <c r="T97" s="2">
        <f t="shared" si="110"/>
        <v>34.130000000000003</v>
      </c>
      <c r="U97" s="2">
        <f t="shared" si="111"/>
        <v>3.41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7">
        <v>334012</v>
      </c>
      <c r="AB97" s="14" t="s">
        <v>441</v>
      </c>
      <c r="AC97" s="15" t="s">
        <v>889</v>
      </c>
      <c r="AD97" s="2">
        <v>3081401</v>
      </c>
      <c r="AE97" s="2">
        <v>0</v>
      </c>
      <c r="AF97" s="2">
        <v>1</v>
      </c>
      <c r="AG97" s="2">
        <f t="shared" si="121"/>
        <v>3061401</v>
      </c>
      <c r="AH97" s="2">
        <v>1</v>
      </c>
      <c r="AI97" s="2"/>
      <c r="AJ97">
        <v>1</v>
      </c>
      <c r="AK97" s="1">
        <f t="shared" si="112"/>
        <v>78.650130043204456</v>
      </c>
      <c r="AL97">
        <v>7</v>
      </c>
      <c r="AM97">
        <f t="shared" si="122"/>
        <v>204.8</v>
      </c>
      <c r="AN97">
        <f t="shared" si="123"/>
        <v>20.480000000000004</v>
      </c>
      <c r="AO97">
        <f t="shared" si="124"/>
        <v>1600</v>
      </c>
      <c r="AP97">
        <f t="shared" si="125"/>
        <v>160</v>
      </c>
      <c r="AQ97">
        <f t="shared" si="126"/>
        <v>34.133333333333333</v>
      </c>
      <c r="AR97">
        <f t="shared" si="115"/>
        <v>3.4133333333333336</v>
      </c>
      <c r="AS97">
        <f t="shared" si="127"/>
        <v>1.6</v>
      </c>
      <c r="AT97">
        <f t="shared" si="128"/>
        <v>1.5</v>
      </c>
      <c r="AU97">
        <f t="shared" si="129"/>
        <v>6</v>
      </c>
      <c r="AV97">
        <f t="shared" si="130"/>
        <v>4013</v>
      </c>
      <c r="AW97" s="1">
        <v>1</v>
      </c>
      <c r="AX97">
        <v>3</v>
      </c>
      <c r="AY97">
        <v>0</v>
      </c>
      <c r="BA97">
        <v>4</v>
      </c>
      <c r="BB97">
        <v>3</v>
      </c>
      <c r="BD97" s="2" t="s">
        <v>184</v>
      </c>
      <c r="BE97">
        <f t="shared" si="117"/>
        <v>28.799999999999997</v>
      </c>
      <c r="BF97">
        <f t="shared" si="120"/>
        <v>2.88</v>
      </c>
      <c r="BG97" s="28">
        <v>0</v>
      </c>
      <c r="BH97" s="28">
        <f t="shared" ref="BH97:BO102" si="131">($BE97+(BH$86-1)*$BF97)*$BE$85+$BG97</f>
        <v>2.8799999999999997E-3</v>
      </c>
      <c r="BI97" s="28">
        <f t="shared" si="131"/>
        <v>7.7759999999999991E-3</v>
      </c>
      <c r="BJ97" s="28">
        <f t="shared" si="131"/>
        <v>1.2095999999999999E-2</v>
      </c>
      <c r="BK97" s="28">
        <f t="shared" si="131"/>
        <v>1.6992000000000004E-2</v>
      </c>
      <c r="BL97" s="28">
        <f t="shared" si="131"/>
        <v>3.1392000000000003E-2</v>
      </c>
      <c r="BM97" s="28">
        <f t="shared" si="131"/>
        <v>4.5792000000000006E-2</v>
      </c>
      <c r="BN97" s="28">
        <f t="shared" si="131"/>
        <v>6.0191999999999996E-2</v>
      </c>
      <c r="BO97" s="28">
        <f t="shared" si="131"/>
        <v>8.8992000000000002E-2</v>
      </c>
      <c r="BP97" s="28">
        <v>0.25</v>
      </c>
      <c r="BQ97">
        <f t="shared" si="119"/>
        <v>9110.08</v>
      </c>
      <c r="CH97" t="str">
        <f t="shared" si="116"/>
        <v>DATA_Class_Base14</v>
      </c>
      <c r="CI97" s="6" t="s">
        <v>300</v>
      </c>
    </row>
    <row r="98" spans="1:87">
      <c r="A98">
        <f t="shared" si="113"/>
        <v>3073402</v>
      </c>
      <c r="B98" s="6" t="s">
        <v>323</v>
      </c>
      <c r="C98">
        <v>7</v>
      </c>
      <c r="D98">
        <v>4</v>
      </c>
      <c r="E98">
        <v>3</v>
      </c>
      <c r="F98" s="3" t="s">
        <v>325</v>
      </c>
      <c r="G98" s="3" t="s">
        <v>325</v>
      </c>
      <c r="H98">
        <v>0</v>
      </c>
      <c r="I98">
        <v>0</v>
      </c>
      <c r="J98" s="2">
        <v>0</v>
      </c>
      <c r="K98" s="2" t="s">
        <v>250</v>
      </c>
      <c r="L98" s="2">
        <f t="shared" si="114"/>
        <v>6</v>
      </c>
      <c r="M98" s="2">
        <f t="shared" si="104"/>
        <v>1.5</v>
      </c>
      <c r="N98" s="2">
        <f t="shared" si="105"/>
        <v>1.5</v>
      </c>
      <c r="O98" s="2">
        <v>10</v>
      </c>
      <c r="P98" s="2">
        <f t="shared" si="106"/>
        <v>208</v>
      </c>
      <c r="Q98" s="2">
        <f t="shared" si="107"/>
        <v>20.8</v>
      </c>
      <c r="R98" s="2">
        <f t="shared" si="108"/>
        <v>1476.92</v>
      </c>
      <c r="S98" s="2">
        <f t="shared" si="109"/>
        <v>147.69</v>
      </c>
      <c r="T98" s="2">
        <f t="shared" si="110"/>
        <v>29.71</v>
      </c>
      <c r="U98" s="2">
        <f t="shared" si="111"/>
        <v>2.97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7">
        <v>334022</v>
      </c>
      <c r="AB98" s="14" t="s">
        <v>442</v>
      </c>
      <c r="AC98" s="15" t="s">
        <v>889</v>
      </c>
      <c r="AD98" s="2">
        <v>3083402</v>
      </c>
      <c r="AE98" s="2">
        <v>0</v>
      </c>
      <c r="AF98" s="2">
        <v>1</v>
      </c>
      <c r="AG98" s="2">
        <f t="shared" si="121"/>
        <v>3063402</v>
      </c>
      <c r="AH98" s="2">
        <v>1</v>
      </c>
      <c r="AI98" s="2"/>
      <c r="AJ98">
        <v>1</v>
      </c>
      <c r="AK98" s="1">
        <f t="shared" si="112"/>
        <v>78.573163997791283</v>
      </c>
      <c r="AL98">
        <v>7</v>
      </c>
      <c r="AM98">
        <f t="shared" si="122"/>
        <v>208</v>
      </c>
      <c r="AN98">
        <f t="shared" si="123"/>
        <v>20.8</v>
      </c>
      <c r="AO98">
        <f t="shared" si="124"/>
        <v>1476.9230769230767</v>
      </c>
      <c r="AP98">
        <f t="shared" si="125"/>
        <v>147.69230769230768</v>
      </c>
      <c r="AQ98">
        <f t="shared" si="126"/>
        <v>29.714285714285715</v>
      </c>
      <c r="AR98">
        <f t="shared" si="115"/>
        <v>2.9714285714285715</v>
      </c>
      <c r="AS98">
        <f t="shared" si="127"/>
        <v>1.5</v>
      </c>
      <c r="AT98">
        <f t="shared" si="128"/>
        <v>1.5</v>
      </c>
      <c r="AU98">
        <f t="shared" si="129"/>
        <v>6</v>
      </c>
      <c r="AV98">
        <f t="shared" si="130"/>
        <v>4023</v>
      </c>
      <c r="AW98" s="1">
        <v>2</v>
      </c>
      <c r="AX98">
        <v>3</v>
      </c>
      <c r="AY98">
        <v>0</v>
      </c>
      <c r="BA98">
        <v>4</v>
      </c>
      <c r="BB98">
        <v>3</v>
      </c>
      <c r="BD98" t="s">
        <v>190</v>
      </c>
      <c r="BE98">
        <f>BK18</f>
        <v>28.799999999999997</v>
      </c>
      <c r="BF98">
        <f t="shared" si="120"/>
        <v>2.88</v>
      </c>
      <c r="BG98" s="28">
        <v>0</v>
      </c>
      <c r="BH98" s="28">
        <f t="shared" si="131"/>
        <v>2.8799999999999997E-3</v>
      </c>
      <c r="BI98" s="28">
        <f t="shared" si="131"/>
        <v>7.7759999999999991E-3</v>
      </c>
      <c r="BJ98" s="28">
        <f t="shared" si="131"/>
        <v>1.2095999999999999E-2</v>
      </c>
      <c r="BK98" s="28">
        <f t="shared" si="131"/>
        <v>1.6992000000000004E-2</v>
      </c>
      <c r="BL98" s="28">
        <f t="shared" si="131"/>
        <v>3.1392000000000003E-2</v>
      </c>
      <c r="BM98" s="28">
        <f t="shared" si="131"/>
        <v>4.5792000000000006E-2</v>
      </c>
      <c r="BN98" s="28">
        <f t="shared" si="131"/>
        <v>6.0191999999999996E-2</v>
      </c>
      <c r="BO98" s="28">
        <f t="shared" si="131"/>
        <v>8.8992000000000002E-2</v>
      </c>
      <c r="BP98" s="28">
        <v>0.25</v>
      </c>
      <c r="BQ98">
        <f t="shared" si="119"/>
        <v>9110.08</v>
      </c>
      <c r="CH98" t="str">
        <f t="shared" si="116"/>
        <v>DATA_Class_Base15</v>
      </c>
      <c r="CI98" s="6" t="s">
        <v>306</v>
      </c>
    </row>
    <row r="99" spans="1:87">
      <c r="A99">
        <f t="shared" si="113"/>
        <v>3073501</v>
      </c>
      <c r="B99" s="6" t="s">
        <v>332</v>
      </c>
      <c r="C99">
        <v>7</v>
      </c>
      <c r="D99">
        <v>5</v>
      </c>
      <c r="E99">
        <v>3</v>
      </c>
      <c r="F99" s="3" t="s">
        <v>333</v>
      </c>
      <c r="G99" s="3" t="s">
        <v>333</v>
      </c>
      <c r="H99">
        <v>0</v>
      </c>
      <c r="I99">
        <v>0</v>
      </c>
      <c r="J99">
        <v>0</v>
      </c>
      <c r="K99" s="2" t="s">
        <v>334</v>
      </c>
      <c r="L99" s="2">
        <f t="shared" si="114"/>
        <v>6</v>
      </c>
      <c r="M99" s="2">
        <f t="shared" si="104"/>
        <v>1.6</v>
      </c>
      <c r="N99" s="2">
        <f t="shared" si="105"/>
        <v>2</v>
      </c>
      <c r="O99" s="2">
        <v>10</v>
      </c>
      <c r="P99" s="2">
        <f t="shared" si="106"/>
        <v>221.87</v>
      </c>
      <c r="Q99" s="2">
        <f t="shared" si="107"/>
        <v>22.19</v>
      </c>
      <c r="R99" s="2">
        <f t="shared" si="108"/>
        <v>1476.92</v>
      </c>
      <c r="S99" s="2">
        <f t="shared" si="109"/>
        <v>147.69</v>
      </c>
      <c r="T99" s="2">
        <f t="shared" si="110"/>
        <v>24.65</v>
      </c>
      <c r="U99" s="2">
        <f t="shared" si="111"/>
        <v>2.4700000000000002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7">
        <v>345012</v>
      </c>
      <c r="AB99" s="14" t="s">
        <v>443</v>
      </c>
      <c r="AC99" s="15" t="s">
        <v>889</v>
      </c>
      <c r="AD99">
        <v>3083501</v>
      </c>
      <c r="AE99" s="2">
        <v>0</v>
      </c>
      <c r="AF99" s="2">
        <v>1</v>
      </c>
      <c r="AG99" s="2">
        <f t="shared" si="121"/>
        <v>3063501</v>
      </c>
      <c r="AH99" s="2">
        <v>1</v>
      </c>
      <c r="AI99" s="2"/>
      <c r="AJ99">
        <v>1</v>
      </c>
      <c r="AK99" s="1">
        <f t="shared" si="112"/>
        <v>78.485177090805962</v>
      </c>
      <c r="AL99">
        <v>7</v>
      </c>
      <c r="AM99">
        <f t="shared" si="122"/>
        <v>221.86666666666667</v>
      </c>
      <c r="AN99">
        <f t="shared" si="123"/>
        <v>22.186666666666667</v>
      </c>
      <c r="AO99">
        <f t="shared" si="124"/>
        <v>1476.9230769230767</v>
      </c>
      <c r="AP99">
        <f t="shared" si="125"/>
        <v>147.69230769230768</v>
      </c>
      <c r="AQ99">
        <f t="shared" si="126"/>
        <v>24.651851851851852</v>
      </c>
      <c r="AR99">
        <f t="shared" si="115"/>
        <v>2.4651851851851854</v>
      </c>
      <c r="AS99">
        <f t="shared" si="127"/>
        <v>1.6</v>
      </c>
      <c r="AT99">
        <f t="shared" si="128"/>
        <v>2</v>
      </c>
      <c r="AU99">
        <f t="shared" si="129"/>
        <v>6</v>
      </c>
      <c r="AV99">
        <f t="shared" si="130"/>
        <v>5014</v>
      </c>
      <c r="AW99" s="1">
        <v>1</v>
      </c>
      <c r="AX99">
        <v>3</v>
      </c>
      <c r="AY99">
        <v>0</v>
      </c>
      <c r="BA99">
        <v>5</v>
      </c>
      <c r="BB99">
        <v>4</v>
      </c>
      <c r="BD99" s="2" t="s">
        <v>386</v>
      </c>
      <c r="BE99">
        <f>BK19</f>
        <v>9.9666666666666668</v>
      </c>
      <c r="BF99">
        <f t="shared" si="120"/>
        <v>0.9966666666666667</v>
      </c>
      <c r="BG99" s="28">
        <v>0</v>
      </c>
      <c r="BH99" s="28">
        <f t="shared" si="131"/>
        <v>9.9666666666666675E-4</v>
      </c>
      <c r="BI99" s="28">
        <f t="shared" si="131"/>
        <v>2.6910000000000007E-3</v>
      </c>
      <c r="BJ99" s="28">
        <f t="shared" si="131"/>
        <v>4.1860000000000005E-3</v>
      </c>
      <c r="BK99" s="28">
        <f t="shared" si="131"/>
        <v>5.8803333333333338E-3</v>
      </c>
      <c r="BL99" s="28">
        <f t="shared" si="131"/>
        <v>1.0863666666666667E-2</v>
      </c>
      <c r="BM99" s="28">
        <f t="shared" si="131"/>
        <v>1.5847E-2</v>
      </c>
      <c r="BN99" s="28">
        <f t="shared" si="131"/>
        <v>2.0830333333333336E-2</v>
      </c>
      <c r="BO99" s="28">
        <f t="shared" si="131"/>
        <v>3.0796999999999998E-2</v>
      </c>
      <c r="BP99" s="28">
        <v>0.25</v>
      </c>
      <c r="BQ99">
        <f t="shared" si="119"/>
        <v>9692.0300000000007</v>
      </c>
      <c r="CH99" t="str">
        <f t="shared" si="116"/>
        <v>DATA_Class_Base16</v>
      </c>
      <c r="CI99" s="6" t="s">
        <v>312</v>
      </c>
    </row>
    <row r="100" spans="1:87">
      <c r="A100">
        <f t="shared" si="113"/>
        <v>3073600</v>
      </c>
      <c r="B100" s="6" t="s">
        <v>337</v>
      </c>
      <c r="C100">
        <v>7</v>
      </c>
      <c r="D100">
        <v>6</v>
      </c>
      <c r="E100">
        <v>3</v>
      </c>
      <c r="F100" s="3" t="s">
        <v>338</v>
      </c>
      <c r="G100" s="3" t="s">
        <v>338</v>
      </c>
      <c r="H100">
        <v>0</v>
      </c>
      <c r="I100">
        <v>0</v>
      </c>
      <c r="J100" s="2">
        <v>0</v>
      </c>
      <c r="K100" s="2" t="s">
        <v>339</v>
      </c>
      <c r="L100" s="2">
        <f t="shared" si="114"/>
        <v>3</v>
      </c>
      <c r="M100" s="2">
        <f t="shared" si="104"/>
        <v>1.4000000000000001</v>
      </c>
      <c r="N100" s="2">
        <f t="shared" si="105"/>
        <v>1.9000000000000001</v>
      </c>
      <c r="O100" s="2">
        <v>10</v>
      </c>
      <c r="P100" s="2">
        <f t="shared" si="106"/>
        <v>164.27</v>
      </c>
      <c r="Q100" s="2">
        <f t="shared" si="107"/>
        <v>16.43</v>
      </c>
      <c r="R100" s="2">
        <f t="shared" si="108"/>
        <v>1745.45</v>
      </c>
      <c r="S100" s="2">
        <f t="shared" si="109"/>
        <v>174.55</v>
      </c>
      <c r="T100" s="2">
        <f t="shared" si="110"/>
        <v>41.07</v>
      </c>
      <c r="U100" s="2">
        <f t="shared" si="111"/>
        <v>4.1100000000000003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7">
        <v>346002</v>
      </c>
      <c r="AB100" s="14" t="s">
        <v>444</v>
      </c>
      <c r="AC100" s="15" t="s">
        <v>889</v>
      </c>
      <c r="AD100">
        <v>3083600</v>
      </c>
      <c r="AE100" s="2">
        <v>0</v>
      </c>
      <c r="AF100" s="2">
        <v>1</v>
      </c>
      <c r="AG100" s="2">
        <f t="shared" si="121"/>
        <v>3063600</v>
      </c>
      <c r="AH100" s="2">
        <v>1</v>
      </c>
      <c r="AI100" s="2"/>
      <c r="AJ100">
        <v>1</v>
      </c>
      <c r="AK100" s="1">
        <f t="shared" si="112"/>
        <v>78.771191457757027</v>
      </c>
      <c r="AL100">
        <v>7</v>
      </c>
      <c r="AM100">
        <f t="shared" si="122"/>
        <v>164.26666666666665</v>
      </c>
      <c r="AN100">
        <f t="shared" si="123"/>
        <v>16.426666666666666</v>
      </c>
      <c r="AO100">
        <f t="shared" si="124"/>
        <v>1745.4545454545455</v>
      </c>
      <c r="AP100">
        <f t="shared" si="125"/>
        <v>174.54545454545456</v>
      </c>
      <c r="AQ100">
        <f t="shared" si="126"/>
        <v>41.066666666666663</v>
      </c>
      <c r="AR100">
        <f t="shared" si="115"/>
        <v>4.1066666666666665</v>
      </c>
      <c r="AS100">
        <f t="shared" si="127"/>
        <v>1.4</v>
      </c>
      <c r="AT100">
        <f t="shared" si="128"/>
        <v>1.9</v>
      </c>
      <c r="AU100">
        <f t="shared" si="129"/>
        <v>3</v>
      </c>
      <c r="AV100">
        <f t="shared" si="130"/>
        <v>6004</v>
      </c>
      <c r="AW100" s="1">
        <v>0</v>
      </c>
      <c r="AX100">
        <v>3</v>
      </c>
      <c r="AY100">
        <v>0</v>
      </c>
      <c r="BA100">
        <v>6</v>
      </c>
      <c r="BB100">
        <v>4</v>
      </c>
      <c r="BD100" s="2" t="s">
        <v>198</v>
      </c>
      <c r="BE100">
        <f>BK20</f>
        <v>11.733333333333333</v>
      </c>
      <c r="BF100">
        <f t="shared" si="120"/>
        <v>1.1733333333333333</v>
      </c>
      <c r="BG100" s="28">
        <v>0</v>
      </c>
      <c r="BH100" s="28">
        <f t="shared" si="131"/>
        <v>1.1733333333333333E-3</v>
      </c>
      <c r="BI100" s="28">
        <f t="shared" si="131"/>
        <v>3.1680000000000002E-3</v>
      </c>
      <c r="BJ100" s="28">
        <f t="shared" si="131"/>
        <v>4.9280000000000001E-3</v>
      </c>
      <c r="BK100" s="28">
        <f t="shared" si="131"/>
        <v>6.9226666666666664E-3</v>
      </c>
      <c r="BL100" s="28">
        <f t="shared" si="131"/>
        <v>1.2789333333333333E-2</v>
      </c>
      <c r="BM100" s="28">
        <f t="shared" si="131"/>
        <v>1.8655999999999999E-2</v>
      </c>
      <c r="BN100" s="28">
        <f t="shared" si="131"/>
        <v>2.4522666666666668E-2</v>
      </c>
      <c r="BO100" s="28">
        <f t="shared" si="131"/>
        <v>3.6256000000000004E-2</v>
      </c>
      <c r="BP100" s="28">
        <v>0.25</v>
      </c>
      <c r="BQ100">
        <f t="shared" si="119"/>
        <v>9637.44</v>
      </c>
      <c r="CH100" t="str">
        <f t="shared" si="116"/>
        <v>DATA_Class_Base17</v>
      </c>
      <c r="CI100" s="6" t="s">
        <v>318</v>
      </c>
    </row>
    <row r="101" spans="1:87">
      <c r="A101">
        <f t="shared" si="113"/>
        <v>3071602</v>
      </c>
      <c r="B101" s="6" t="s">
        <v>343</v>
      </c>
      <c r="C101">
        <v>7</v>
      </c>
      <c r="D101">
        <v>6</v>
      </c>
      <c r="E101">
        <v>1</v>
      </c>
      <c r="F101" s="3" t="s">
        <v>344</v>
      </c>
      <c r="G101" s="3" t="s">
        <v>344</v>
      </c>
      <c r="H101">
        <v>0</v>
      </c>
      <c r="I101">
        <v>0</v>
      </c>
      <c r="J101" t="s">
        <v>345</v>
      </c>
      <c r="K101" s="2" t="s">
        <v>346</v>
      </c>
      <c r="L101" s="2">
        <f t="shared" si="114"/>
        <v>6</v>
      </c>
      <c r="M101" s="2">
        <f t="shared" si="104"/>
        <v>1.8</v>
      </c>
      <c r="N101" s="2">
        <f t="shared" si="105"/>
        <v>2</v>
      </c>
      <c r="O101" s="2">
        <v>10</v>
      </c>
      <c r="P101" s="2">
        <f t="shared" si="106"/>
        <v>192</v>
      </c>
      <c r="Q101" s="2">
        <f t="shared" si="107"/>
        <v>19.2</v>
      </c>
      <c r="R101" s="2">
        <f t="shared" si="108"/>
        <v>1920</v>
      </c>
      <c r="S101" s="2">
        <f t="shared" si="109"/>
        <v>192</v>
      </c>
      <c r="T101" s="2">
        <f t="shared" si="110"/>
        <v>38.4</v>
      </c>
      <c r="U101" s="2">
        <f t="shared" si="111"/>
        <v>3.84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7">
        <v>346022</v>
      </c>
      <c r="AB101" s="14" t="s">
        <v>445</v>
      </c>
      <c r="AC101" s="15" t="s">
        <v>889</v>
      </c>
      <c r="AD101">
        <v>3081602</v>
      </c>
      <c r="AE101" s="2">
        <v>0</v>
      </c>
      <c r="AF101" s="2">
        <v>1</v>
      </c>
      <c r="AG101" s="2">
        <f t="shared" si="121"/>
        <v>3061602</v>
      </c>
      <c r="AH101" s="2">
        <v>1</v>
      </c>
      <c r="AI101" s="2"/>
      <c r="AJ101">
        <v>1</v>
      </c>
      <c r="AK101" s="1">
        <f t="shared" si="112"/>
        <v>78.724585296585559</v>
      </c>
      <c r="AL101">
        <v>7</v>
      </c>
      <c r="AM101">
        <f t="shared" si="122"/>
        <v>192</v>
      </c>
      <c r="AN101">
        <f t="shared" si="123"/>
        <v>19.200000000000003</v>
      </c>
      <c r="AO101">
        <f t="shared" si="124"/>
        <v>1920</v>
      </c>
      <c r="AP101">
        <f t="shared" si="125"/>
        <v>192</v>
      </c>
      <c r="AQ101">
        <f t="shared" si="126"/>
        <v>38.4</v>
      </c>
      <c r="AR101">
        <f t="shared" si="115"/>
        <v>3.84</v>
      </c>
      <c r="AS101">
        <f t="shared" si="127"/>
        <v>1.8</v>
      </c>
      <c r="AT101">
        <f t="shared" si="128"/>
        <v>2</v>
      </c>
      <c r="AU101">
        <f t="shared" si="129"/>
        <v>6</v>
      </c>
      <c r="AV101">
        <f t="shared" si="130"/>
        <v>6024</v>
      </c>
      <c r="AW101" s="1">
        <v>2</v>
      </c>
      <c r="AX101">
        <v>3</v>
      </c>
      <c r="AY101">
        <v>0</v>
      </c>
      <c r="BA101">
        <v>6</v>
      </c>
      <c r="BB101">
        <v>4</v>
      </c>
      <c r="BD101" s="2" t="s">
        <v>393</v>
      </c>
      <c r="BE101">
        <f>BK21</f>
        <v>13.866666666666667</v>
      </c>
      <c r="BF101">
        <f t="shared" si="120"/>
        <v>1.3866666666666667</v>
      </c>
      <c r="BG101" s="28">
        <v>0</v>
      </c>
      <c r="BH101" s="28">
        <f t="shared" si="131"/>
        <v>1.3866666666666667E-3</v>
      </c>
      <c r="BI101" s="28">
        <f t="shared" si="131"/>
        <v>3.7439999999999999E-3</v>
      </c>
      <c r="BJ101" s="28">
        <f t="shared" si="131"/>
        <v>5.8240000000000002E-3</v>
      </c>
      <c r="BK101" s="28">
        <f t="shared" si="131"/>
        <v>8.1813333333333339E-3</v>
      </c>
      <c r="BL101" s="28">
        <f t="shared" si="131"/>
        <v>1.5114666666666669E-2</v>
      </c>
      <c r="BM101" s="28">
        <f t="shared" si="131"/>
        <v>2.2048000000000002E-2</v>
      </c>
      <c r="BN101" s="28">
        <f t="shared" si="131"/>
        <v>2.8981333333333335E-2</v>
      </c>
      <c r="BO101" s="28">
        <f t="shared" si="131"/>
        <v>4.2848000000000004E-2</v>
      </c>
      <c r="BP101" s="28">
        <v>0.25</v>
      </c>
      <c r="BQ101">
        <f t="shared" si="119"/>
        <v>9571.52</v>
      </c>
      <c r="CH101" t="str">
        <f t="shared" si="116"/>
        <v>DATA_Class_Base18</v>
      </c>
      <c r="CI101" s="6" t="s">
        <v>324</v>
      </c>
    </row>
    <row r="102" spans="1:87">
      <c r="A102">
        <f t="shared" si="113"/>
        <v>3072300</v>
      </c>
      <c r="B102" s="6" t="s">
        <v>350</v>
      </c>
      <c r="C102">
        <v>7</v>
      </c>
      <c r="D102">
        <v>3</v>
      </c>
      <c r="E102">
        <v>2</v>
      </c>
      <c r="F102" s="3" t="s">
        <v>351</v>
      </c>
      <c r="G102" s="3" t="s">
        <v>351</v>
      </c>
      <c r="H102">
        <v>0</v>
      </c>
      <c r="I102">
        <v>0</v>
      </c>
      <c r="J102" s="2">
        <v>0</v>
      </c>
      <c r="K102" s="2" t="s">
        <v>352</v>
      </c>
      <c r="L102" s="2">
        <v>6</v>
      </c>
      <c r="M102" s="2">
        <f t="shared" si="104"/>
        <v>1.3</v>
      </c>
      <c r="N102" s="2">
        <f t="shared" si="105"/>
        <v>2</v>
      </c>
      <c r="O102" s="2">
        <v>10</v>
      </c>
      <c r="P102" s="2">
        <f t="shared" si="106"/>
        <v>159.47</v>
      </c>
      <c r="Q102" s="2">
        <f t="shared" si="107"/>
        <v>15.95</v>
      </c>
      <c r="R102" s="2">
        <f t="shared" si="108"/>
        <v>1669.57</v>
      </c>
      <c r="S102" s="2">
        <f t="shared" si="109"/>
        <v>166.96</v>
      </c>
      <c r="T102" s="2">
        <f t="shared" si="110"/>
        <v>19.93</v>
      </c>
      <c r="U102" s="2">
        <f t="shared" si="111"/>
        <v>1.99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7">
        <v>353002</v>
      </c>
      <c r="AB102" s="14" t="s">
        <v>446</v>
      </c>
      <c r="AC102" s="15" t="s">
        <v>889</v>
      </c>
      <c r="AD102">
        <v>3082300</v>
      </c>
      <c r="AE102" s="2">
        <v>0</v>
      </c>
      <c r="AF102" s="2">
        <v>1</v>
      </c>
      <c r="AG102" s="2">
        <f t="shared" si="121"/>
        <v>3062300</v>
      </c>
      <c r="AH102" s="2">
        <v>1</v>
      </c>
      <c r="AI102" s="2"/>
      <c r="AJ102">
        <v>1</v>
      </c>
      <c r="AK102" s="1">
        <f t="shared" si="112"/>
        <v>78.403344801402412</v>
      </c>
      <c r="AL102">
        <v>7</v>
      </c>
      <c r="AM102">
        <f t="shared" si="122"/>
        <v>159.46666666666664</v>
      </c>
      <c r="AN102">
        <f t="shared" si="123"/>
        <v>15.946666666666665</v>
      </c>
      <c r="AO102">
        <f t="shared" si="124"/>
        <v>1669.5652173913045</v>
      </c>
      <c r="AP102">
        <f t="shared" si="125"/>
        <v>166.95652173913047</v>
      </c>
      <c r="AQ102">
        <f t="shared" si="126"/>
        <v>19.93333333333333</v>
      </c>
      <c r="AR102">
        <f t="shared" si="115"/>
        <v>1.9933333333333332</v>
      </c>
      <c r="AS102">
        <f t="shared" si="127"/>
        <v>1.3</v>
      </c>
      <c r="AT102">
        <f t="shared" si="128"/>
        <v>2</v>
      </c>
      <c r="AU102">
        <f t="shared" si="129"/>
        <v>3</v>
      </c>
      <c r="AV102">
        <f t="shared" si="130"/>
        <v>3005</v>
      </c>
      <c r="AW102" s="1">
        <v>0</v>
      </c>
      <c r="AX102">
        <v>3</v>
      </c>
      <c r="AY102">
        <v>0</v>
      </c>
      <c r="BA102">
        <v>3</v>
      </c>
      <c r="BB102">
        <v>5</v>
      </c>
      <c r="BD102" s="2" t="s">
        <v>203</v>
      </c>
      <c r="BE102">
        <f>BK22</f>
        <v>15.36</v>
      </c>
      <c r="BF102">
        <f t="shared" si="120"/>
        <v>1.536</v>
      </c>
      <c r="BG102" s="28">
        <v>0</v>
      </c>
      <c r="BH102" s="28">
        <f t="shared" si="131"/>
        <v>1.536E-3</v>
      </c>
      <c r="BI102" s="28">
        <f t="shared" si="131"/>
        <v>4.1472000000000002E-3</v>
      </c>
      <c r="BJ102" s="28">
        <f t="shared" si="131"/>
        <v>6.4512000000000007E-3</v>
      </c>
      <c r="BK102" s="28">
        <f t="shared" si="131"/>
        <v>9.0624E-3</v>
      </c>
      <c r="BL102" s="28">
        <f t="shared" si="131"/>
        <v>1.6742399999999998E-2</v>
      </c>
      <c r="BM102" s="28">
        <f t="shared" si="131"/>
        <v>2.44224E-2</v>
      </c>
      <c r="BN102" s="28">
        <f t="shared" si="131"/>
        <v>3.2102400000000003E-2</v>
      </c>
      <c r="BO102" s="28">
        <f t="shared" si="131"/>
        <v>4.7462400000000002E-2</v>
      </c>
      <c r="BP102" s="28">
        <v>0.25</v>
      </c>
      <c r="BQ102">
        <f t="shared" si="119"/>
        <v>9525.3760000000002</v>
      </c>
      <c r="CH102" t="str">
        <f t="shared" si="116"/>
        <v>DATA_Class_Base19</v>
      </c>
      <c r="CI102" s="6" t="s">
        <v>331</v>
      </c>
    </row>
    <row r="103" spans="1:87">
      <c r="A103">
        <f t="shared" si="113"/>
        <v>3073302</v>
      </c>
      <c r="B103" s="6" t="s">
        <v>356</v>
      </c>
      <c r="C103">
        <v>7</v>
      </c>
      <c r="D103">
        <v>3</v>
      </c>
      <c r="E103">
        <v>3</v>
      </c>
      <c r="F103" s="3" t="s">
        <v>357</v>
      </c>
      <c r="G103" s="3" t="s">
        <v>357</v>
      </c>
      <c r="H103">
        <v>0</v>
      </c>
      <c r="I103">
        <v>0</v>
      </c>
      <c r="J103" s="2">
        <v>0</v>
      </c>
      <c r="K103" s="2" t="s">
        <v>358</v>
      </c>
      <c r="L103" s="2">
        <f t="shared" si="114"/>
        <v>3</v>
      </c>
      <c r="M103" s="2">
        <f t="shared" si="104"/>
        <v>1.4000000000000001</v>
      </c>
      <c r="N103" s="2">
        <f t="shared" si="105"/>
        <v>2</v>
      </c>
      <c r="O103" s="2">
        <v>10</v>
      </c>
      <c r="P103" s="2">
        <f t="shared" si="106"/>
        <v>179.2</v>
      </c>
      <c r="Q103" s="2">
        <f t="shared" si="107"/>
        <v>17.920000000000002</v>
      </c>
      <c r="R103" s="2">
        <f t="shared" si="108"/>
        <v>1600</v>
      </c>
      <c r="S103" s="2">
        <f t="shared" si="109"/>
        <v>160</v>
      </c>
      <c r="T103" s="2">
        <f t="shared" si="110"/>
        <v>25.6</v>
      </c>
      <c r="U103" s="2">
        <f t="shared" si="111"/>
        <v>2.56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7">
        <v>353022</v>
      </c>
      <c r="AB103" s="14" t="s">
        <v>447</v>
      </c>
      <c r="AC103" s="15" t="s">
        <v>889</v>
      </c>
      <c r="AD103">
        <v>3083302</v>
      </c>
      <c r="AE103" s="2">
        <v>0</v>
      </c>
      <c r="AF103" s="2">
        <v>1</v>
      </c>
      <c r="AG103" s="2">
        <f t="shared" si="121"/>
        <v>3063302</v>
      </c>
      <c r="AH103" s="2">
        <v>1</v>
      </c>
      <c r="AI103" s="2"/>
      <c r="AJ103">
        <v>1</v>
      </c>
      <c r="AK103" s="1">
        <f t="shared" si="112"/>
        <v>78.501641243483306</v>
      </c>
      <c r="AL103">
        <v>7</v>
      </c>
      <c r="AM103">
        <f t="shared" si="122"/>
        <v>179.2</v>
      </c>
      <c r="AN103">
        <f t="shared" si="123"/>
        <v>17.919999999999998</v>
      </c>
      <c r="AO103">
        <f t="shared" si="124"/>
        <v>1600</v>
      </c>
      <c r="AP103">
        <f t="shared" si="125"/>
        <v>160</v>
      </c>
      <c r="AQ103">
        <f t="shared" si="126"/>
        <v>25.599999999999998</v>
      </c>
      <c r="AR103">
        <f t="shared" si="115"/>
        <v>2.56</v>
      </c>
      <c r="AS103">
        <f t="shared" si="127"/>
        <v>1.4</v>
      </c>
      <c r="AT103">
        <f t="shared" si="128"/>
        <v>2</v>
      </c>
      <c r="AU103">
        <f t="shared" si="129"/>
        <v>3</v>
      </c>
      <c r="AV103">
        <f t="shared" si="130"/>
        <v>3025</v>
      </c>
      <c r="AW103" s="1">
        <v>2</v>
      </c>
      <c r="AX103">
        <v>3</v>
      </c>
      <c r="AY103">
        <v>0</v>
      </c>
      <c r="BA103">
        <v>3</v>
      </c>
      <c r="BB103">
        <v>5</v>
      </c>
      <c r="CH103" t="str">
        <f t="shared" si="116"/>
        <v>DATA_Class_Base20</v>
      </c>
      <c r="CI103" s="6" t="s">
        <v>336</v>
      </c>
    </row>
    <row r="104" spans="1:87">
      <c r="A104">
        <f t="shared" si="113"/>
        <v>3072400</v>
      </c>
      <c r="B104" s="6" t="s">
        <v>362</v>
      </c>
      <c r="C104">
        <v>7</v>
      </c>
      <c r="D104">
        <v>4</v>
      </c>
      <c r="E104">
        <v>2</v>
      </c>
      <c r="F104" s="3" t="s">
        <v>363</v>
      </c>
      <c r="G104" s="3" t="s">
        <v>363</v>
      </c>
      <c r="H104">
        <v>0</v>
      </c>
      <c r="I104">
        <v>0</v>
      </c>
      <c r="J104">
        <v>0</v>
      </c>
      <c r="K104" s="2" t="s">
        <v>364</v>
      </c>
      <c r="L104" s="2">
        <f t="shared" si="114"/>
        <v>6</v>
      </c>
      <c r="M104" s="2">
        <f t="shared" si="104"/>
        <v>1.4000000000000001</v>
      </c>
      <c r="N104" s="2">
        <f t="shared" si="105"/>
        <v>2</v>
      </c>
      <c r="O104" s="2">
        <v>10</v>
      </c>
      <c r="P104" s="2">
        <f t="shared" si="106"/>
        <v>186.67</v>
      </c>
      <c r="Q104" s="2">
        <f t="shared" si="107"/>
        <v>18.670000000000002</v>
      </c>
      <c r="R104" s="2">
        <f t="shared" si="108"/>
        <v>1536</v>
      </c>
      <c r="S104" s="2">
        <f t="shared" si="109"/>
        <v>153.6</v>
      </c>
      <c r="T104" s="2">
        <f t="shared" si="110"/>
        <v>31.11</v>
      </c>
      <c r="U104" s="2">
        <f t="shared" si="111"/>
        <v>3.11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7">
        <v>354002</v>
      </c>
      <c r="AB104" s="14" t="s">
        <v>448</v>
      </c>
      <c r="AC104" s="15" t="s">
        <v>889</v>
      </c>
      <c r="AD104">
        <v>3082400</v>
      </c>
      <c r="AE104" s="2">
        <v>0</v>
      </c>
      <c r="AF104" s="2">
        <v>1</v>
      </c>
      <c r="AG104" s="2">
        <f t="shared" si="121"/>
        <v>3062400</v>
      </c>
      <c r="AH104" s="2">
        <v>1</v>
      </c>
      <c r="AI104" s="2"/>
      <c r="AJ104">
        <v>1</v>
      </c>
      <c r="AK104" s="1">
        <f t="shared" si="112"/>
        <v>78.597476058354985</v>
      </c>
      <c r="AL104">
        <v>7</v>
      </c>
      <c r="AM104">
        <f t="shared" si="122"/>
        <v>186.66666666666669</v>
      </c>
      <c r="AN104">
        <f t="shared" si="123"/>
        <v>18.666666666666668</v>
      </c>
      <c r="AO104">
        <f t="shared" si="124"/>
        <v>1536</v>
      </c>
      <c r="AP104">
        <f t="shared" si="125"/>
        <v>153.60000000000002</v>
      </c>
      <c r="AQ104">
        <f t="shared" si="126"/>
        <v>31.111111111111114</v>
      </c>
      <c r="AR104">
        <f t="shared" si="115"/>
        <v>3.1111111111111116</v>
      </c>
      <c r="AS104">
        <f t="shared" si="127"/>
        <v>1.4</v>
      </c>
      <c r="AT104">
        <f t="shared" si="128"/>
        <v>2</v>
      </c>
      <c r="AU104">
        <f t="shared" si="129"/>
        <v>6</v>
      </c>
      <c r="AV104">
        <f t="shared" si="130"/>
        <v>4005</v>
      </c>
      <c r="AW104" s="1">
        <v>0</v>
      </c>
      <c r="AX104">
        <v>3</v>
      </c>
      <c r="AY104">
        <v>0</v>
      </c>
      <c r="BA104">
        <v>4</v>
      </c>
      <c r="BB104">
        <v>5</v>
      </c>
      <c r="CH104" t="str">
        <f t="shared" si="116"/>
        <v>DATA_Class_Base21</v>
      </c>
      <c r="CI104" s="6" t="s">
        <v>342</v>
      </c>
    </row>
    <row r="105" spans="1:87">
      <c r="A105">
        <f t="shared" si="113"/>
        <v>3081202</v>
      </c>
      <c r="B105" s="6" t="s">
        <v>278</v>
      </c>
      <c r="C105">
        <v>8</v>
      </c>
      <c r="D105">
        <v>2</v>
      </c>
      <c r="E105">
        <v>1</v>
      </c>
      <c r="F105" s="3" t="s">
        <v>279</v>
      </c>
      <c r="G105" s="3" t="s">
        <v>279</v>
      </c>
      <c r="H105" s="3">
        <v>0</v>
      </c>
      <c r="I105">
        <v>45</v>
      </c>
      <c r="J105">
        <v>0</v>
      </c>
      <c r="K105" s="2" t="s">
        <v>280</v>
      </c>
      <c r="L105" s="2">
        <f t="shared" si="114"/>
        <v>3</v>
      </c>
      <c r="M105" s="2">
        <f t="shared" si="104"/>
        <v>1.8</v>
      </c>
      <c r="N105" s="2">
        <f t="shared" si="105"/>
        <v>2</v>
      </c>
      <c r="O105" s="2">
        <v>10</v>
      </c>
      <c r="P105" s="2">
        <f t="shared" si="106"/>
        <v>168.96</v>
      </c>
      <c r="Q105" s="2">
        <f t="shared" si="107"/>
        <v>16.899999999999999</v>
      </c>
      <c r="R105" s="2">
        <f t="shared" si="108"/>
        <v>2640</v>
      </c>
      <c r="S105" s="2">
        <f t="shared" si="109"/>
        <v>264</v>
      </c>
      <c r="T105" s="2">
        <f t="shared" si="110"/>
        <v>42.24</v>
      </c>
      <c r="U105" s="2">
        <f t="shared" si="111"/>
        <v>4.22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7">
        <v>312022</v>
      </c>
      <c r="AB105" s="14" t="s">
        <v>449</v>
      </c>
      <c r="AC105" s="15" t="s">
        <v>889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/>
      <c r="AJ105">
        <v>1</v>
      </c>
      <c r="AK105" s="1">
        <f t="shared" si="112"/>
        <v>95.337975942841652</v>
      </c>
      <c r="AL105">
        <v>8</v>
      </c>
      <c r="AM105">
        <f t="shared" si="122"/>
        <v>168.96000000000004</v>
      </c>
      <c r="AN105">
        <f t="shared" si="123"/>
        <v>16.896000000000004</v>
      </c>
      <c r="AO105">
        <f t="shared" si="124"/>
        <v>2640</v>
      </c>
      <c r="AP105">
        <f t="shared" si="125"/>
        <v>264</v>
      </c>
      <c r="AQ105">
        <f t="shared" si="126"/>
        <v>42.240000000000009</v>
      </c>
      <c r="AR105">
        <f t="shared" si="115"/>
        <v>4.2240000000000011</v>
      </c>
      <c r="AS105">
        <f t="shared" si="127"/>
        <v>1.8</v>
      </c>
      <c r="AT105">
        <f t="shared" si="128"/>
        <v>2</v>
      </c>
      <c r="AU105">
        <f t="shared" si="129"/>
        <v>3</v>
      </c>
      <c r="AV105">
        <f t="shared" si="130"/>
        <v>2021</v>
      </c>
      <c r="AW105" s="1">
        <v>2</v>
      </c>
      <c r="AX105">
        <v>3</v>
      </c>
      <c r="AY105">
        <v>0</v>
      </c>
      <c r="BA105">
        <v>2</v>
      </c>
      <c r="BB105">
        <v>1</v>
      </c>
      <c r="BD105" t="s">
        <v>400</v>
      </c>
      <c r="BE105">
        <v>1</v>
      </c>
      <c r="BF105" s="2">
        <v>2</v>
      </c>
      <c r="BG105" s="2">
        <v>3</v>
      </c>
      <c r="BH105" s="2">
        <v>4</v>
      </c>
      <c r="BI105" s="2">
        <v>5</v>
      </c>
      <c r="BJ105" s="2">
        <v>6</v>
      </c>
      <c r="BK105" s="2">
        <v>7</v>
      </c>
      <c r="BL105" s="2">
        <v>8</v>
      </c>
      <c r="BM105" s="2">
        <v>9</v>
      </c>
      <c r="BN105" s="2">
        <v>10</v>
      </c>
      <c r="BO105" s="2">
        <v>11</v>
      </c>
      <c r="BP105" s="2">
        <v>12</v>
      </c>
      <c r="BQ105" s="2">
        <v>13</v>
      </c>
      <c r="BR105" s="2">
        <v>14</v>
      </c>
      <c r="CH105" t="str">
        <f t="shared" si="116"/>
        <v>DATA_Class_Base13</v>
      </c>
      <c r="CI105" s="6" t="s">
        <v>295</v>
      </c>
    </row>
    <row r="106" spans="1:87">
      <c r="A106">
        <f t="shared" si="113"/>
        <v>3081301</v>
      </c>
      <c r="B106" s="6" t="s">
        <v>283</v>
      </c>
      <c r="C106">
        <v>8</v>
      </c>
      <c r="D106">
        <v>3</v>
      </c>
      <c r="E106">
        <v>1</v>
      </c>
      <c r="F106" s="3" t="s">
        <v>284</v>
      </c>
      <c r="G106" s="3" t="s">
        <v>284</v>
      </c>
      <c r="H106" s="3">
        <v>0</v>
      </c>
      <c r="I106">
        <v>55</v>
      </c>
      <c r="J106" s="2">
        <v>0</v>
      </c>
      <c r="K106" s="2" t="s">
        <v>285</v>
      </c>
      <c r="L106" s="2">
        <f t="shared" si="114"/>
        <v>3</v>
      </c>
      <c r="M106" s="2">
        <f t="shared" si="104"/>
        <v>1.2</v>
      </c>
      <c r="N106" s="2">
        <f t="shared" si="105"/>
        <v>2</v>
      </c>
      <c r="O106" s="2">
        <v>10</v>
      </c>
      <c r="P106" s="2">
        <f t="shared" si="106"/>
        <v>154.88</v>
      </c>
      <c r="Q106" s="2">
        <f t="shared" si="107"/>
        <v>15.49</v>
      </c>
      <c r="R106" s="2">
        <f t="shared" si="108"/>
        <v>1920</v>
      </c>
      <c r="S106" s="2">
        <f t="shared" si="109"/>
        <v>192</v>
      </c>
      <c r="T106" s="2">
        <f t="shared" si="110"/>
        <v>25.81</v>
      </c>
      <c r="U106" s="2">
        <f t="shared" si="111"/>
        <v>2.58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7">
        <v>313012</v>
      </c>
      <c r="AB106" s="14" t="s">
        <v>450</v>
      </c>
      <c r="AC106" s="15" t="s">
        <v>889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/>
      <c r="AJ106">
        <v>1</v>
      </c>
      <c r="AK106" s="1">
        <f t="shared" si="112"/>
        <v>94.991469422083441</v>
      </c>
      <c r="AL106">
        <v>8</v>
      </c>
      <c r="AM106">
        <f t="shared" si="122"/>
        <v>154.88000000000002</v>
      </c>
      <c r="AN106">
        <f t="shared" si="123"/>
        <v>15.488000000000003</v>
      </c>
      <c r="AO106">
        <f t="shared" si="124"/>
        <v>1920.0000000000002</v>
      </c>
      <c r="AP106">
        <f t="shared" si="125"/>
        <v>192.00000000000003</v>
      </c>
      <c r="AQ106">
        <f t="shared" si="126"/>
        <v>25.813333333333336</v>
      </c>
      <c r="AR106">
        <f t="shared" si="115"/>
        <v>2.5813333333333337</v>
      </c>
      <c r="AS106">
        <f t="shared" si="127"/>
        <v>1.2</v>
      </c>
      <c r="AT106">
        <f t="shared" si="128"/>
        <v>2</v>
      </c>
      <c r="AU106">
        <f t="shared" si="129"/>
        <v>3</v>
      </c>
      <c r="AV106">
        <f t="shared" si="130"/>
        <v>3011</v>
      </c>
      <c r="AW106" s="1">
        <v>1</v>
      </c>
      <c r="AX106">
        <v>3</v>
      </c>
      <c r="AY106">
        <v>0</v>
      </c>
      <c r="BA106">
        <v>3</v>
      </c>
      <c r="BB106">
        <v>1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BP106">
        <v>1.4</v>
      </c>
      <c r="BQ106">
        <v>1.4</v>
      </c>
      <c r="BR106">
        <v>1.4</v>
      </c>
      <c r="CH106" t="str">
        <f t="shared" si="116"/>
        <v>DATA_Class_Base14</v>
      </c>
      <c r="CI106" s="6" t="s">
        <v>300</v>
      </c>
    </row>
    <row r="107" spans="1:87">
      <c r="A107">
        <f t="shared" si="113"/>
        <v>3081502</v>
      </c>
      <c r="B107" s="6" t="s">
        <v>289</v>
      </c>
      <c r="C107">
        <v>8</v>
      </c>
      <c r="D107">
        <v>5</v>
      </c>
      <c r="E107">
        <v>1</v>
      </c>
      <c r="F107" s="3" t="s">
        <v>290</v>
      </c>
      <c r="G107" s="3" t="s">
        <v>290</v>
      </c>
      <c r="H107" s="3">
        <v>-10</v>
      </c>
      <c r="I107">
        <v>40</v>
      </c>
      <c r="J107" s="2">
        <v>0</v>
      </c>
      <c r="K107" s="2" t="s">
        <v>291</v>
      </c>
      <c r="L107" s="2">
        <f t="shared" si="114"/>
        <v>6</v>
      </c>
      <c r="M107" s="2">
        <f t="shared" ref="M107:M152" si="132">FLOOR(AS107/1,0.01)</f>
        <v>1.4000000000000001</v>
      </c>
      <c r="N107" s="2">
        <f t="shared" ref="N107:N152" si="133">FLOOR(AT107/1,0.01)</f>
        <v>2</v>
      </c>
      <c r="O107" s="2">
        <v>10</v>
      </c>
      <c r="P107" s="2">
        <f t="shared" ref="P107:P152" si="134">ROUND(AM107*(1+$AY107),2)</f>
        <v>213.55</v>
      </c>
      <c r="Q107" s="2">
        <f t="shared" ref="Q107:Q152" si="135">ROUND(AN107*(1+$AY107),2)</f>
        <v>21.35</v>
      </c>
      <c r="R107" s="2">
        <f t="shared" ref="R107:R152" si="136">ROUND(AO107*(1+$AY107),2)</f>
        <v>1624.62</v>
      </c>
      <c r="S107" s="2">
        <f t="shared" ref="S107:S152" si="137">ROUND(AP107*(1+$AY107),2)</f>
        <v>162.46</v>
      </c>
      <c r="T107" s="2">
        <f t="shared" ref="T107:T152" si="138">ROUND(AQ107*(1+$AY107),2)</f>
        <v>32.85</v>
      </c>
      <c r="U107" s="2">
        <f t="shared" ref="U107:U152" si="139">ROUND(AR107*(1+$AY107),2)</f>
        <v>3.29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7">
        <v>315022</v>
      </c>
      <c r="AB107" s="14" t="s">
        <v>451</v>
      </c>
      <c r="AC107" s="15" t="s">
        <v>889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/>
      <c r="AJ107">
        <v>1</v>
      </c>
      <c r="AK107" s="1">
        <f t="shared" ref="AK107:AK152" si="140">(AO107+AP107*AJ107)*(AM107+AN107*AJ107)/AS107*(0.9)*(1+0.5*0.1)*1/1/(1-(AQ107+AR107*AJ107)*0.0002)/3000</f>
        <v>95.139663315870223</v>
      </c>
      <c r="AL107">
        <v>8</v>
      </c>
      <c r="AM107">
        <f t="shared" si="122"/>
        <v>213.54666666666665</v>
      </c>
      <c r="AN107">
        <f t="shared" si="123"/>
        <v>21.354666666666667</v>
      </c>
      <c r="AO107">
        <f t="shared" si="124"/>
        <v>1624.6153846153845</v>
      </c>
      <c r="AP107">
        <f t="shared" si="125"/>
        <v>162.46153846153845</v>
      </c>
      <c r="AQ107">
        <f t="shared" si="126"/>
        <v>32.853333333333332</v>
      </c>
      <c r="AR107">
        <f t="shared" si="115"/>
        <v>3.2853333333333334</v>
      </c>
      <c r="AS107">
        <f t="shared" si="127"/>
        <v>1.4</v>
      </c>
      <c r="AT107">
        <f t="shared" si="128"/>
        <v>2</v>
      </c>
      <c r="AU107">
        <f t="shared" si="129"/>
        <v>6</v>
      </c>
      <c r="AV107">
        <f t="shared" si="130"/>
        <v>5021</v>
      </c>
      <c r="AW107" s="1">
        <v>2</v>
      </c>
      <c r="AX107">
        <v>3</v>
      </c>
      <c r="AY107">
        <v>0</v>
      </c>
      <c r="BA107">
        <v>5</v>
      </c>
      <c r="BB107">
        <v>1</v>
      </c>
      <c r="CH107" t="str">
        <f t="shared" si="116"/>
        <v>DATA_Class_Base15</v>
      </c>
      <c r="CI107" s="6" t="s">
        <v>306</v>
      </c>
    </row>
    <row r="108" spans="1:87">
      <c r="A108">
        <f t="shared" si="113"/>
        <v>3082201</v>
      </c>
      <c r="B108" s="6" t="s">
        <v>296</v>
      </c>
      <c r="C108">
        <v>8</v>
      </c>
      <c r="D108">
        <v>2</v>
      </c>
      <c r="E108">
        <v>2</v>
      </c>
      <c r="F108" s="3" t="s">
        <v>297</v>
      </c>
      <c r="G108" s="3" t="s">
        <v>297</v>
      </c>
      <c r="H108" s="3">
        <v>0</v>
      </c>
      <c r="I108">
        <v>40</v>
      </c>
      <c r="J108">
        <v>0</v>
      </c>
      <c r="K108" s="8" t="s">
        <v>298</v>
      </c>
      <c r="L108" s="2">
        <f t="shared" si="114"/>
        <v>3</v>
      </c>
      <c r="M108" s="2">
        <f t="shared" si="132"/>
        <v>1.8</v>
      </c>
      <c r="N108" s="2">
        <f t="shared" si="133"/>
        <v>1.8</v>
      </c>
      <c r="O108" s="2">
        <v>10</v>
      </c>
      <c r="P108" s="2">
        <f t="shared" si="134"/>
        <v>147.84</v>
      </c>
      <c r="Q108" s="2">
        <f t="shared" si="135"/>
        <v>14.78</v>
      </c>
      <c r="R108" s="2">
        <f t="shared" si="136"/>
        <v>3017.14</v>
      </c>
      <c r="S108" s="2">
        <f t="shared" si="137"/>
        <v>301.70999999999998</v>
      </c>
      <c r="T108" s="2">
        <f t="shared" si="138"/>
        <v>49.28</v>
      </c>
      <c r="U108" s="2">
        <f t="shared" si="139"/>
        <v>4.93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7">
        <v>322012</v>
      </c>
      <c r="AB108" s="14" t="s">
        <v>452</v>
      </c>
      <c r="AC108" s="15" t="s">
        <v>889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/>
      <c r="AJ108">
        <v>1</v>
      </c>
      <c r="AK108" s="1">
        <f t="shared" si="140"/>
        <v>95.487253810916442</v>
      </c>
      <c r="AL108">
        <v>8</v>
      </c>
      <c r="AM108">
        <f t="shared" si="122"/>
        <v>147.84000000000003</v>
      </c>
      <c r="AN108">
        <f t="shared" si="123"/>
        <v>14.784000000000004</v>
      </c>
      <c r="AO108">
        <f t="shared" si="124"/>
        <v>3017.1428571428578</v>
      </c>
      <c r="AP108">
        <f t="shared" si="125"/>
        <v>301.71428571428578</v>
      </c>
      <c r="AQ108">
        <f t="shared" si="126"/>
        <v>49.280000000000008</v>
      </c>
      <c r="AR108">
        <f t="shared" si="115"/>
        <v>4.9280000000000008</v>
      </c>
      <c r="AS108">
        <f t="shared" si="127"/>
        <v>1.8</v>
      </c>
      <c r="AT108">
        <f t="shared" si="128"/>
        <v>1.8</v>
      </c>
      <c r="AU108">
        <f t="shared" si="129"/>
        <v>3</v>
      </c>
      <c r="AV108">
        <f t="shared" si="130"/>
        <v>2012</v>
      </c>
      <c r="AW108" s="1">
        <v>1</v>
      </c>
      <c r="AX108">
        <v>3</v>
      </c>
      <c r="AY108">
        <v>0</v>
      </c>
      <c r="BA108">
        <v>2</v>
      </c>
      <c r="BB108">
        <v>2</v>
      </c>
      <c r="BD108" t="s">
        <v>409</v>
      </c>
      <c r="BE108">
        <v>1</v>
      </c>
      <c r="BF108" s="2">
        <v>2</v>
      </c>
      <c r="BG108" s="2">
        <v>3</v>
      </c>
      <c r="BH108" s="2">
        <v>4</v>
      </c>
      <c r="BI108" s="2">
        <v>5</v>
      </c>
      <c r="BJ108" s="2">
        <v>6</v>
      </c>
      <c r="BK108" s="2">
        <v>7</v>
      </c>
      <c r="BL108" s="2">
        <v>8</v>
      </c>
      <c r="BM108" s="2">
        <v>9</v>
      </c>
      <c r="BN108" s="2">
        <v>10</v>
      </c>
      <c r="BO108" s="2">
        <v>11</v>
      </c>
      <c r="BP108" s="2">
        <v>12</v>
      </c>
      <c r="BQ108" s="2">
        <v>13</v>
      </c>
      <c r="BR108" s="2">
        <v>14</v>
      </c>
      <c r="CH108" t="str">
        <f t="shared" si="116"/>
        <v>DATA_Class_Base16</v>
      </c>
      <c r="CI108" s="6" t="s">
        <v>312</v>
      </c>
    </row>
    <row r="109" spans="1:87">
      <c r="A109">
        <f t="shared" ref="A109:A163" si="141">AX109*1000000+C109*10000+E109*1000+D109*100+AW109</f>
        <v>3082500</v>
      </c>
      <c r="B109" s="6" t="s">
        <v>301</v>
      </c>
      <c r="C109">
        <v>8</v>
      </c>
      <c r="D109">
        <v>5</v>
      </c>
      <c r="E109">
        <v>2</v>
      </c>
      <c r="F109" s="3" t="s">
        <v>302</v>
      </c>
      <c r="G109" s="3" t="s">
        <v>302</v>
      </c>
      <c r="H109" s="3">
        <v>0</v>
      </c>
      <c r="I109">
        <v>45</v>
      </c>
      <c r="J109" s="2">
        <v>0</v>
      </c>
      <c r="K109" s="2" t="s">
        <v>303</v>
      </c>
      <c r="L109" s="2">
        <f t="shared" ref="L109:L163" si="142">AU109</f>
        <v>6</v>
      </c>
      <c r="M109" s="2">
        <f t="shared" si="132"/>
        <v>1.5</v>
      </c>
      <c r="N109" s="2">
        <f t="shared" si="133"/>
        <v>2</v>
      </c>
      <c r="O109" s="2">
        <v>10</v>
      </c>
      <c r="P109" s="2">
        <f t="shared" si="134"/>
        <v>264</v>
      </c>
      <c r="Q109" s="2">
        <f t="shared" si="135"/>
        <v>26.4</v>
      </c>
      <c r="R109" s="2">
        <f t="shared" si="136"/>
        <v>1408</v>
      </c>
      <c r="S109" s="2">
        <f t="shared" si="137"/>
        <v>140.80000000000001</v>
      </c>
      <c r="T109" s="2">
        <f t="shared" si="138"/>
        <v>29.33</v>
      </c>
      <c r="U109" s="2">
        <f t="shared" si="139"/>
        <v>2.93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7">
        <v>325002</v>
      </c>
      <c r="AB109" s="14" t="s">
        <v>453</v>
      </c>
      <c r="AC109" s="15" t="s">
        <v>889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/>
      <c r="AJ109">
        <v>1</v>
      </c>
      <c r="AK109" s="1">
        <f t="shared" si="140"/>
        <v>95.065508615599327</v>
      </c>
      <c r="AL109">
        <v>8</v>
      </c>
      <c r="AM109">
        <f t="shared" si="122"/>
        <v>264</v>
      </c>
      <c r="AN109">
        <f t="shared" si="123"/>
        <v>26.400000000000002</v>
      </c>
      <c r="AO109">
        <f t="shared" si="124"/>
        <v>1408</v>
      </c>
      <c r="AP109">
        <f t="shared" si="125"/>
        <v>140.80000000000001</v>
      </c>
      <c r="AQ109">
        <f t="shared" si="126"/>
        <v>29.333333333333332</v>
      </c>
      <c r="AR109">
        <f t="shared" si="115"/>
        <v>2.9333333333333336</v>
      </c>
      <c r="AS109">
        <f t="shared" si="127"/>
        <v>1.5</v>
      </c>
      <c r="AT109">
        <f t="shared" si="128"/>
        <v>2</v>
      </c>
      <c r="AU109">
        <f t="shared" si="129"/>
        <v>6</v>
      </c>
      <c r="AV109">
        <f t="shared" si="130"/>
        <v>5002</v>
      </c>
      <c r="AW109" s="1">
        <v>0</v>
      </c>
      <c r="AX109">
        <v>3</v>
      </c>
      <c r="AY109">
        <v>0</v>
      </c>
      <c r="BA109">
        <v>5</v>
      </c>
      <c r="BB109">
        <v>2</v>
      </c>
      <c r="BE109">
        <v>1</v>
      </c>
      <c r="BF109" s="2">
        <v>1.1000000000000001</v>
      </c>
      <c r="BG109">
        <v>1.2</v>
      </c>
      <c r="BH109" s="2">
        <v>1.4</v>
      </c>
      <c r="BI109">
        <v>1.6</v>
      </c>
      <c r="BJ109" s="2">
        <v>1.8</v>
      </c>
      <c r="BK109">
        <v>2</v>
      </c>
      <c r="BL109" s="2">
        <v>2.2000000000000002</v>
      </c>
      <c r="BM109">
        <v>2.4</v>
      </c>
      <c r="BN109" s="2">
        <v>2.6</v>
      </c>
      <c r="BO109">
        <v>2.8</v>
      </c>
      <c r="BP109" s="2">
        <v>3</v>
      </c>
      <c r="BQ109">
        <v>3.2</v>
      </c>
      <c r="BR109" s="2">
        <v>3.4</v>
      </c>
      <c r="CH109" t="str">
        <f t="shared" si="116"/>
        <v>DATA_Class_Base17</v>
      </c>
      <c r="CI109" s="6" t="s">
        <v>318</v>
      </c>
    </row>
    <row r="110" spans="1:87">
      <c r="A110">
        <f t="shared" si="141"/>
        <v>3082601</v>
      </c>
      <c r="B110" s="6" t="s">
        <v>307</v>
      </c>
      <c r="C110">
        <v>8</v>
      </c>
      <c r="D110">
        <v>6</v>
      </c>
      <c r="E110">
        <v>2</v>
      </c>
      <c r="F110" s="3" t="s">
        <v>308</v>
      </c>
      <c r="G110" s="3" t="s">
        <v>308</v>
      </c>
      <c r="H110" s="3">
        <v>-10</v>
      </c>
      <c r="I110">
        <v>50</v>
      </c>
      <c r="J110" s="2">
        <v>0</v>
      </c>
      <c r="K110" s="2" t="s">
        <v>309</v>
      </c>
      <c r="L110" s="2">
        <f t="shared" si="142"/>
        <v>6</v>
      </c>
      <c r="M110" s="2">
        <f t="shared" si="132"/>
        <v>1.5</v>
      </c>
      <c r="N110" s="2">
        <f t="shared" si="133"/>
        <v>2</v>
      </c>
      <c r="O110" s="2">
        <v>10</v>
      </c>
      <c r="P110" s="2">
        <f t="shared" si="134"/>
        <v>193.6</v>
      </c>
      <c r="Q110" s="2">
        <f t="shared" si="135"/>
        <v>19.36</v>
      </c>
      <c r="R110" s="2">
        <f t="shared" si="136"/>
        <v>1920</v>
      </c>
      <c r="S110" s="2">
        <f t="shared" si="137"/>
        <v>192</v>
      </c>
      <c r="T110" s="2">
        <f t="shared" si="138"/>
        <v>38.72</v>
      </c>
      <c r="U110" s="2">
        <f t="shared" si="139"/>
        <v>3.87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7">
        <v>326012</v>
      </c>
      <c r="AB110" s="14" t="s">
        <v>454</v>
      </c>
      <c r="AC110" s="15" t="s">
        <v>889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/>
      <c r="AJ110">
        <v>1</v>
      </c>
      <c r="AK110" s="1">
        <f t="shared" si="140"/>
        <v>95.263511899767039</v>
      </c>
      <c r="AL110">
        <v>8</v>
      </c>
      <c r="AM110">
        <f t="shared" si="122"/>
        <v>193.60000000000002</v>
      </c>
      <c r="AN110">
        <f t="shared" si="123"/>
        <v>19.360000000000003</v>
      </c>
      <c r="AO110">
        <f t="shared" si="124"/>
        <v>1920.0000000000002</v>
      </c>
      <c r="AP110">
        <f t="shared" si="125"/>
        <v>192.00000000000003</v>
      </c>
      <c r="AQ110">
        <f t="shared" si="126"/>
        <v>38.720000000000006</v>
      </c>
      <c r="AR110">
        <f t="shared" ref="AR110:AR164" si="143">AQ110*0.1</f>
        <v>3.8720000000000008</v>
      </c>
      <c r="AS110">
        <f t="shared" si="127"/>
        <v>1.5</v>
      </c>
      <c r="AT110">
        <f t="shared" si="128"/>
        <v>2</v>
      </c>
      <c r="AU110">
        <f t="shared" si="129"/>
        <v>6</v>
      </c>
      <c r="AV110">
        <f t="shared" si="130"/>
        <v>6012</v>
      </c>
      <c r="AW110" s="1">
        <v>1</v>
      </c>
      <c r="AX110">
        <v>3</v>
      </c>
      <c r="AY110">
        <v>0</v>
      </c>
      <c r="BA110">
        <v>6</v>
      </c>
      <c r="BB110">
        <v>2</v>
      </c>
      <c r="BF110" s="2"/>
      <c r="BJ110" s="2"/>
      <c r="CH110" t="str">
        <f t="shared" si="116"/>
        <v>DATA_Class_Base18</v>
      </c>
      <c r="CI110" s="6" t="s">
        <v>324</v>
      </c>
    </row>
    <row r="111" spans="1:87">
      <c r="A111">
        <f t="shared" si="141"/>
        <v>3083200</v>
      </c>
      <c r="B111" s="6" t="s">
        <v>294</v>
      </c>
      <c r="C111">
        <v>8</v>
      </c>
      <c r="D111">
        <v>2</v>
      </c>
      <c r="E111">
        <v>3</v>
      </c>
      <c r="F111" s="3" t="s">
        <v>313</v>
      </c>
      <c r="G111" s="3" t="s">
        <v>313</v>
      </c>
      <c r="H111" s="3">
        <v>0</v>
      </c>
      <c r="I111">
        <v>55</v>
      </c>
      <c r="J111">
        <v>0</v>
      </c>
      <c r="K111" s="2" t="s">
        <v>314</v>
      </c>
      <c r="L111" s="2">
        <f t="shared" si="142"/>
        <v>3</v>
      </c>
      <c r="M111" s="2">
        <f t="shared" si="132"/>
        <v>1.5</v>
      </c>
      <c r="N111" s="2">
        <f t="shared" si="133"/>
        <v>1.2</v>
      </c>
      <c r="O111" s="2">
        <v>10</v>
      </c>
      <c r="P111" s="2">
        <f t="shared" si="134"/>
        <v>123.2</v>
      </c>
      <c r="Q111" s="2">
        <f t="shared" si="135"/>
        <v>12.32</v>
      </c>
      <c r="R111" s="2">
        <f t="shared" si="136"/>
        <v>3017.14</v>
      </c>
      <c r="S111" s="2">
        <f t="shared" si="137"/>
        <v>301.70999999999998</v>
      </c>
      <c r="T111" s="2">
        <f t="shared" si="138"/>
        <v>61.6</v>
      </c>
      <c r="U111" s="2">
        <f t="shared" si="139"/>
        <v>6.16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7">
        <v>332002</v>
      </c>
      <c r="AB111" s="14" t="s">
        <v>455</v>
      </c>
      <c r="AC111" s="15" t="s">
        <v>889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/>
      <c r="AJ111">
        <v>1</v>
      </c>
      <c r="AK111" s="1">
        <f t="shared" si="140"/>
        <v>95.749618023453849</v>
      </c>
      <c r="AL111">
        <v>8</v>
      </c>
      <c r="AM111">
        <f t="shared" si="122"/>
        <v>123.19999999999997</v>
      </c>
      <c r="AN111">
        <f t="shared" si="123"/>
        <v>12.319999999999999</v>
      </c>
      <c r="AO111">
        <f t="shared" si="124"/>
        <v>3017.1428571428578</v>
      </c>
      <c r="AP111">
        <f t="shared" si="125"/>
        <v>301.71428571428578</v>
      </c>
      <c r="AQ111">
        <f t="shared" si="126"/>
        <v>61.599999999999987</v>
      </c>
      <c r="AR111">
        <f t="shared" si="143"/>
        <v>6.1599999999999993</v>
      </c>
      <c r="AS111">
        <f t="shared" si="127"/>
        <v>1.5</v>
      </c>
      <c r="AT111">
        <f t="shared" si="128"/>
        <v>1.2</v>
      </c>
      <c r="AU111">
        <f t="shared" si="129"/>
        <v>3</v>
      </c>
      <c r="AV111">
        <f t="shared" si="130"/>
        <v>2003</v>
      </c>
      <c r="AW111" s="1">
        <v>0</v>
      </c>
      <c r="AX111">
        <v>3</v>
      </c>
      <c r="AY111">
        <v>0</v>
      </c>
      <c r="BA111">
        <v>2</v>
      </c>
      <c r="BB111">
        <v>3</v>
      </c>
      <c r="BJ111" s="2"/>
      <c r="CH111" t="str">
        <f t="shared" si="116"/>
        <v>DATA_Class_Base19</v>
      </c>
      <c r="CI111" s="6" t="s">
        <v>331</v>
      </c>
    </row>
    <row r="112" spans="1:87">
      <c r="A112">
        <f t="shared" si="141"/>
        <v>3081401</v>
      </c>
      <c r="B112" s="6" t="s">
        <v>317</v>
      </c>
      <c r="C112">
        <v>8</v>
      </c>
      <c r="D112">
        <v>4</v>
      </c>
      <c r="E112">
        <v>1</v>
      </c>
      <c r="F112" s="3" t="s">
        <v>319</v>
      </c>
      <c r="G112" s="3" t="s">
        <v>319</v>
      </c>
      <c r="H112" s="3">
        <v>10</v>
      </c>
      <c r="I112">
        <v>45</v>
      </c>
      <c r="J112">
        <v>0</v>
      </c>
      <c r="K112" s="2" t="s">
        <v>161</v>
      </c>
      <c r="L112" s="2">
        <f t="shared" si="142"/>
        <v>6</v>
      </c>
      <c r="M112" s="2">
        <f t="shared" si="132"/>
        <v>1.6</v>
      </c>
      <c r="N112" s="2">
        <f t="shared" si="133"/>
        <v>1.5</v>
      </c>
      <c r="O112" s="2">
        <v>10</v>
      </c>
      <c r="P112" s="2">
        <f t="shared" si="134"/>
        <v>225.28</v>
      </c>
      <c r="Q112" s="2">
        <f t="shared" si="135"/>
        <v>22.53</v>
      </c>
      <c r="R112" s="2">
        <f t="shared" si="136"/>
        <v>1760</v>
      </c>
      <c r="S112" s="2">
        <f t="shared" si="137"/>
        <v>176</v>
      </c>
      <c r="T112" s="2">
        <f t="shared" si="138"/>
        <v>37.549999999999997</v>
      </c>
      <c r="U112" s="2">
        <f t="shared" si="139"/>
        <v>3.75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7">
        <v>334012</v>
      </c>
      <c r="AB112" s="14" t="s">
        <v>456</v>
      </c>
      <c r="AC112" s="15" t="s">
        <v>889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/>
      <c r="AJ112">
        <v>1</v>
      </c>
      <c r="AK112" s="1">
        <f t="shared" si="140"/>
        <v>95.238716394408911</v>
      </c>
      <c r="AL112">
        <v>8</v>
      </c>
      <c r="AM112">
        <f t="shared" si="122"/>
        <v>225.28000000000003</v>
      </c>
      <c r="AN112">
        <f t="shared" si="123"/>
        <v>22.528000000000006</v>
      </c>
      <c r="AO112">
        <f t="shared" si="124"/>
        <v>1760.0000000000002</v>
      </c>
      <c r="AP112">
        <f t="shared" si="125"/>
        <v>176.00000000000003</v>
      </c>
      <c r="AQ112">
        <f t="shared" si="126"/>
        <v>37.546666666666674</v>
      </c>
      <c r="AR112">
        <f t="shared" si="143"/>
        <v>3.7546666666666675</v>
      </c>
      <c r="AS112">
        <f t="shared" si="127"/>
        <v>1.6</v>
      </c>
      <c r="AT112">
        <f t="shared" si="128"/>
        <v>1.5</v>
      </c>
      <c r="AU112">
        <f t="shared" si="129"/>
        <v>6</v>
      </c>
      <c r="AV112">
        <f t="shared" si="130"/>
        <v>4013</v>
      </c>
      <c r="AW112" s="1">
        <v>1</v>
      </c>
      <c r="AX112">
        <v>3</v>
      </c>
      <c r="AY112">
        <v>0</v>
      </c>
      <c r="BA112">
        <v>4</v>
      </c>
      <c r="BB112">
        <v>3</v>
      </c>
      <c r="BE112" s="3" t="s">
        <v>45</v>
      </c>
      <c r="BF112" s="3" t="s">
        <v>75</v>
      </c>
      <c r="BG112" s="3" t="s">
        <v>416</v>
      </c>
      <c r="BH112" s="3" t="s">
        <v>417</v>
      </c>
      <c r="BI112" s="3" t="s">
        <v>418</v>
      </c>
      <c r="BJ112" s="3" t="s">
        <v>419</v>
      </c>
      <c r="BK112" s="24" t="s">
        <v>420</v>
      </c>
      <c r="BL112" s="3" t="s">
        <v>417</v>
      </c>
      <c r="BM112" s="3" t="s">
        <v>418</v>
      </c>
      <c r="BN112" s="3" t="s">
        <v>419</v>
      </c>
      <c r="BU112" t="s">
        <v>415</v>
      </c>
      <c r="CH112" t="str">
        <f t="shared" si="116"/>
        <v>DATA_Class_Base20</v>
      </c>
      <c r="CI112" s="6" t="s">
        <v>336</v>
      </c>
    </row>
    <row r="113" spans="1:87">
      <c r="A113">
        <f t="shared" si="141"/>
        <v>3083402</v>
      </c>
      <c r="B113" s="6" t="s">
        <v>323</v>
      </c>
      <c r="C113">
        <v>8</v>
      </c>
      <c r="D113">
        <v>4</v>
      </c>
      <c r="E113">
        <v>3</v>
      </c>
      <c r="F113" s="3" t="s">
        <v>325</v>
      </c>
      <c r="G113" s="3" t="s">
        <v>325</v>
      </c>
      <c r="H113" s="3">
        <v>10</v>
      </c>
      <c r="I113">
        <v>50</v>
      </c>
      <c r="J113" s="2">
        <v>0</v>
      </c>
      <c r="K113" s="2" t="s">
        <v>250</v>
      </c>
      <c r="L113" s="2">
        <f t="shared" si="142"/>
        <v>6</v>
      </c>
      <c r="M113" s="2">
        <f t="shared" si="132"/>
        <v>1.5</v>
      </c>
      <c r="N113" s="2">
        <f t="shared" si="133"/>
        <v>1.5</v>
      </c>
      <c r="O113" s="2">
        <v>10</v>
      </c>
      <c r="P113" s="2">
        <f t="shared" si="134"/>
        <v>228.8</v>
      </c>
      <c r="Q113" s="2">
        <f t="shared" si="135"/>
        <v>22.88</v>
      </c>
      <c r="R113" s="2">
        <f t="shared" si="136"/>
        <v>1624.62</v>
      </c>
      <c r="S113" s="2">
        <f t="shared" si="137"/>
        <v>162.46</v>
      </c>
      <c r="T113" s="2">
        <f t="shared" si="138"/>
        <v>32.69</v>
      </c>
      <c r="U113" s="2">
        <f t="shared" si="139"/>
        <v>3.27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7">
        <v>334022</v>
      </c>
      <c r="AB113" s="14" t="s">
        <v>457</v>
      </c>
      <c r="AC113" s="15" t="s">
        <v>889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/>
      <c r="AJ113">
        <v>1</v>
      </c>
      <c r="AK113" s="1">
        <f t="shared" si="140"/>
        <v>95.136129516477354</v>
      </c>
      <c r="AL113">
        <v>8</v>
      </c>
      <c r="AM113">
        <f t="shared" si="122"/>
        <v>228.8</v>
      </c>
      <c r="AN113">
        <f t="shared" si="123"/>
        <v>22.880000000000003</v>
      </c>
      <c r="AO113">
        <f t="shared" si="124"/>
        <v>1624.6153846153845</v>
      </c>
      <c r="AP113">
        <f t="shared" si="125"/>
        <v>162.46153846153845</v>
      </c>
      <c r="AQ113">
        <f t="shared" si="126"/>
        <v>32.68571428571429</v>
      </c>
      <c r="AR113">
        <f t="shared" si="143"/>
        <v>3.2685714285714291</v>
      </c>
      <c r="AS113">
        <f t="shared" si="127"/>
        <v>1.5</v>
      </c>
      <c r="AT113">
        <f t="shared" si="128"/>
        <v>1.5</v>
      </c>
      <c r="AU113">
        <f t="shared" si="129"/>
        <v>6</v>
      </c>
      <c r="AV113">
        <f t="shared" si="130"/>
        <v>4023</v>
      </c>
      <c r="AW113" s="1">
        <v>2</v>
      </c>
      <c r="AX113">
        <v>3</v>
      </c>
      <c r="AY113">
        <v>0</v>
      </c>
      <c r="BA113">
        <v>4</v>
      </c>
      <c r="BB113">
        <v>3</v>
      </c>
      <c r="BD113" s="3" t="s">
        <v>421</v>
      </c>
      <c r="BE113">
        <v>3</v>
      </c>
      <c r="BF113">
        <v>1</v>
      </c>
      <c r="BG113">
        <v>0</v>
      </c>
      <c r="BH113">
        <f t="shared" ref="BH113:BJ123" si="144">((BI$4*INDEX($BE$109:$BR$109,MATCH($BE113,$BE$108:$BR$108,0)))+BI$4*INDEX($BE$109:$BR$109,MATCH($BE113,$BE$108:$BR$108,0))*0.1*$BF113)*(1+$BG113*0.2)</f>
        <v>105.6</v>
      </c>
      <c r="BI113">
        <f t="shared" si="144"/>
        <v>1267.2</v>
      </c>
      <c r="BJ113">
        <f t="shared" si="144"/>
        <v>26.4</v>
      </c>
      <c r="BL113">
        <f>BH113*0.2</f>
        <v>21.12</v>
      </c>
      <c r="BM113">
        <f>BI113*0.2</f>
        <v>253.44000000000003</v>
      </c>
      <c r="BN113">
        <f>BJ113*0.2</f>
        <v>5.28</v>
      </c>
      <c r="BU113" t="e">
        <f>#REF!/#REF!</f>
        <v>#REF!</v>
      </c>
      <c r="CH113" t="str">
        <f t="shared" si="116"/>
        <v>DATA_Class_Base21</v>
      </c>
      <c r="CI113" s="6" t="s">
        <v>342</v>
      </c>
    </row>
    <row r="114" spans="1:87">
      <c r="A114">
        <f t="shared" si="141"/>
        <v>3083501</v>
      </c>
      <c r="B114" s="6" t="s">
        <v>332</v>
      </c>
      <c r="C114">
        <v>8</v>
      </c>
      <c r="D114">
        <v>5</v>
      </c>
      <c r="E114">
        <v>3</v>
      </c>
      <c r="F114" s="3" t="s">
        <v>333</v>
      </c>
      <c r="G114" s="3" t="s">
        <v>333</v>
      </c>
      <c r="H114" s="3">
        <v>0</v>
      </c>
      <c r="I114">
        <v>45</v>
      </c>
      <c r="J114">
        <v>0</v>
      </c>
      <c r="K114" s="2" t="s">
        <v>334</v>
      </c>
      <c r="L114" s="2">
        <f t="shared" si="142"/>
        <v>6</v>
      </c>
      <c r="M114" s="2">
        <f t="shared" si="132"/>
        <v>1.6</v>
      </c>
      <c r="N114" s="2">
        <f t="shared" si="133"/>
        <v>2</v>
      </c>
      <c r="O114" s="2">
        <v>10</v>
      </c>
      <c r="P114" s="2">
        <f t="shared" si="134"/>
        <v>244.05</v>
      </c>
      <c r="Q114" s="2">
        <f t="shared" si="135"/>
        <v>24.41</v>
      </c>
      <c r="R114" s="2">
        <f t="shared" si="136"/>
        <v>1624.62</v>
      </c>
      <c r="S114" s="2">
        <f t="shared" si="137"/>
        <v>162.46</v>
      </c>
      <c r="T114" s="2">
        <f t="shared" si="138"/>
        <v>27.12</v>
      </c>
      <c r="U114" s="2">
        <f t="shared" si="139"/>
        <v>2.71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7">
        <v>345012</v>
      </c>
      <c r="AB114" s="14" t="s">
        <v>458</v>
      </c>
      <c r="AC114" s="15" t="s">
        <v>889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/>
      <c r="AJ114">
        <v>1</v>
      </c>
      <c r="AK114" s="1">
        <f t="shared" si="140"/>
        <v>95.018877894840259</v>
      </c>
      <c r="AL114">
        <v>8</v>
      </c>
      <c r="AM114">
        <f t="shared" si="122"/>
        <v>244.05333333333337</v>
      </c>
      <c r="AN114">
        <f t="shared" si="123"/>
        <v>24.405333333333338</v>
      </c>
      <c r="AO114">
        <f t="shared" si="124"/>
        <v>1624.6153846153845</v>
      </c>
      <c r="AP114">
        <f t="shared" si="125"/>
        <v>162.46153846153845</v>
      </c>
      <c r="AQ114">
        <f t="shared" si="126"/>
        <v>27.11703703703704</v>
      </c>
      <c r="AR114">
        <f t="shared" si="143"/>
        <v>2.7117037037037042</v>
      </c>
      <c r="AS114">
        <f t="shared" si="127"/>
        <v>1.6</v>
      </c>
      <c r="AT114">
        <f t="shared" si="128"/>
        <v>2</v>
      </c>
      <c r="AU114">
        <f t="shared" si="129"/>
        <v>6</v>
      </c>
      <c r="AV114">
        <f t="shared" si="130"/>
        <v>5014</v>
      </c>
      <c r="AW114" s="1">
        <v>1</v>
      </c>
      <c r="AX114">
        <v>3</v>
      </c>
      <c r="AY114">
        <v>0</v>
      </c>
      <c r="BA114">
        <v>5</v>
      </c>
      <c r="BB114">
        <v>4</v>
      </c>
      <c r="BE114">
        <v>4</v>
      </c>
      <c r="BF114">
        <v>1</v>
      </c>
      <c r="BG114">
        <v>0</v>
      </c>
      <c r="BH114">
        <f t="shared" si="144"/>
        <v>123.2</v>
      </c>
      <c r="BI114">
        <f t="shared" si="144"/>
        <v>1478.4</v>
      </c>
      <c r="BJ114">
        <f t="shared" si="144"/>
        <v>30.8</v>
      </c>
      <c r="BL114">
        <f t="shared" ref="BL114:BL123" si="145">BH114*0.2</f>
        <v>24.64</v>
      </c>
      <c r="BM114">
        <f t="shared" ref="BM114:BM123" si="146">BI114*0.2</f>
        <v>295.68</v>
      </c>
      <c r="BN114">
        <f t="shared" ref="BN114:BN123" si="147">BJ114*0.2</f>
        <v>6.16</v>
      </c>
      <c r="CH114" t="str">
        <f t="shared" si="116"/>
        <v>DATA_Class_Base13</v>
      </c>
      <c r="CI114" s="6" t="s">
        <v>295</v>
      </c>
    </row>
    <row r="115" spans="1:87">
      <c r="A115">
        <f t="shared" si="141"/>
        <v>3083600</v>
      </c>
      <c r="B115" s="6" t="s">
        <v>337</v>
      </c>
      <c r="C115">
        <v>8</v>
      </c>
      <c r="D115">
        <v>6</v>
      </c>
      <c r="E115">
        <v>3</v>
      </c>
      <c r="F115" s="3" t="s">
        <v>338</v>
      </c>
      <c r="G115" s="3" t="s">
        <v>338</v>
      </c>
      <c r="H115" s="3">
        <v>0</v>
      </c>
      <c r="I115">
        <v>35</v>
      </c>
      <c r="J115" s="2">
        <v>0</v>
      </c>
      <c r="K115" s="2" t="s">
        <v>339</v>
      </c>
      <c r="L115" s="2">
        <f t="shared" si="142"/>
        <v>3</v>
      </c>
      <c r="M115" s="2">
        <f t="shared" si="132"/>
        <v>1.4000000000000001</v>
      </c>
      <c r="N115" s="2">
        <f t="shared" si="133"/>
        <v>1.9000000000000001</v>
      </c>
      <c r="O115" s="2">
        <v>10</v>
      </c>
      <c r="P115" s="2">
        <f t="shared" si="134"/>
        <v>180.69</v>
      </c>
      <c r="Q115" s="2">
        <f t="shared" si="135"/>
        <v>18.07</v>
      </c>
      <c r="R115" s="2">
        <f t="shared" si="136"/>
        <v>1920</v>
      </c>
      <c r="S115" s="2">
        <f t="shared" si="137"/>
        <v>192</v>
      </c>
      <c r="T115" s="2">
        <f t="shared" si="138"/>
        <v>45.17</v>
      </c>
      <c r="U115" s="2">
        <f t="shared" si="139"/>
        <v>4.5199999999999996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7">
        <v>346002</v>
      </c>
      <c r="AB115" s="14" t="s">
        <v>459</v>
      </c>
      <c r="AC115" s="15" t="s">
        <v>889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/>
      <c r="AJ115">
        <v>1</v>
      </c>
      <c r="AK115" s="1">
        <f t="shared" si="140"/>
        <v>95.400118295637895</v>
      </c>
      <c r="AL115">
        <v>8</v>
      </c>
      <c r="AM115">
        <f t="shared" si="122"/>
        <v>180.69333333333333</v>
      </c>
      <c r="AN115">
        <f t="shared" si="123"/>
        <v>18.069333333333333</v>
      </c>
      <c r="AO115">
        <f t="shared" si="124"/>
        <v>1920.0000000000002</v>
      </c>
      <c r="AP115">
        <f t="shared" si="125"/>
        <v>192.00000000000003</v>
      </c>
      <c r="AQ115">
        <f t="shared" si="126"/>
        <v>45.173333333333332</v>
      </c>
      <c r="AR115">
        <f t="shared" si="143"/>
        <v>4.5173333333333332</v>
      </c>
      <c r="AS115">
        <f t="shared" si="127"/>
        <v>1.4</v>
      </c>
      <c r="AT115">
        <f t="shared" si="128"/>
        <v>1.9</v>
      </c>
      <c r="AU115">
        <f t="shared" si="129"/>
        <v>3</v>
      </c>
      <c r="AV115">
        <f t="shared" si="130"/>
        <v>6004</v>
      </c>
      <c r="AW115" s="1">
        <v>0</v>
      </c>
      <c r="AX115">
        <v>3</v>
      </c>
      <c r="AY115">
        <v>0</v>
      </c>
      <c r="BA115">
        <v>6</v>
      </c>
      <c r="BB115">
        <v>4</v>
      </c>
      <c r="BE115">
        <v>5</v>
      </c>
      <c r="BF115">
        <v>46</v>
      </c>
      <c r="BG115">
        <v>3</v>
      </c>
      <c r="BH115">
        <f t="shared" si="144"/>
        <v>1146.8800000000001</v>
      </c>
      <c r="BI115">
        <f t="shared" si="144"/>
        <v>13762.560000000005</v>
      </c>
      <c r="BJ115">
        <f t="shared" si="144"/>
        <v>286.72000000000003</v>
      </c>
      <c r="BL115">
        <f t="shared" si="145"/>
        <v>229.37600000000003</v>
      </c>
      <c r="BM115">
        <f t="shared" si="146"/>
        <v>2752.5120000000011</v>
      </c>
      <c r="BN115">
        <f t="shared" si="147"/>
        <v>57.344000000000008</v>
      </c>
      <c r="CH115" t="str">
        <f t="shared" si="116"/>
        <v>DATA_Class_Base14</v>
      </c>
      <c r="CI115" s="6" t="s">
        <v>300</v>
      </c>
    </row>
    <row r="116" spans="1:87">
      <c r="A116">
        <f t="shared" si="141"/>
        <v>3081602</v>
      </c>
      <c r="B116" s="6" t="s">
        <v>343</v>
      </c>
      <c r="C116">
        <v>8</v>
      </c>
      <c r="D116">
        <v>6</v>
      </c>
      <c r="E116">
        <v>1</v>
      </c>
      <c r="F116" s="3" t="s">
        <v>344</v>
      </c>
      <c r="G116" s="3" t="s">
        <v>344</v>
      </c>
      <c r="H116" s="3">
        <v>0</v>
      </c>
      <c r="I116">
        <v>50</v>
      </c>
      <c r="J116" t="s">
        <v>345</v>
      </c>
      <c r="K116" s="2" t="s">
        <v>346</v>
      </c>
      <c r="L116" s="2">
        <f t="shared" si="142"/>
        <v>6</v>
      </c>
      <c r="M116" s="2">
        <f t="shared" si="132"/>
        <v>1.8</v>
      </c>
      <c r="N116" s="2">
        <f t="shared" si="133"/>
        <v>2</v>
      </c>
      <c r="O116" s="2">
        <v>10</v>
      </c>
      <c r="P116" s="2">
        <f t="shared" si="134"/>
        <v>211.2</v>
      </c>
      <c r="Q116" s="2">
        <f t="shared" si="135"/>
        <v>21.12</v>
      </c>
      <c r="R116" s="2">
        <f t="shared" si="136"/>
        <v>2112</v>
      </c>
      <c r="S116" s="2">
        <f t="shared" si="137"/>
        <v>211.2</v>
      </c>
      <c r="T116" s="2">
        <f t="shared" si="138"/>
        <v>42.24</v>
      </c>
      <c r="U116" s="2">
        <f t="shared" si="139"/>
        <v>4.22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7">
        <v>346022</v>
      </c>
      <c r="AB116" s="14" t="s">
        <v>460</v>
      </c>
      <c r="AC116" s="15" t="s">
        <v>889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/>
      <c r="AJ116">
        <v>1</v>
      </c>
      <c r="AK116" s="1">
        <f t="shared" si="140"/>
        <v>95.337975942841638</v>
      </c>
      <c r="AL116">
        <v>8</v>
      </c>
      <c r="AM116">
        <f t="shared" si="122"/>
        <v>211.20000000000002</v>
      </c>
      <c r="AN116">
        <f t="shared" si="123"/>
        <v>21.120000000000005</v>
      </c>
      <c r="AO116">
        <f t="shared" si="124"/>
        <v>2112</v>
      </c>
      <c r="AP116">
        <f t="shared" si="125"/>
        <v>211.20000000000002</v>
      </c>
      <c r="AQ116">
        <f t="shared" si="126"/>
        <v>42.24</v>
      </c>
      <c r="AR116">
        <f t="shared" si="143"/>
        <v>4.2240000000000002</v>
      </c>
      <c r="AS116">
        <f t="shared" si="127"/>
        <v>1.8</v>
      </c>
      <c r="AT116">
        <f t="shared" si="128"/>
        <v>2</v>
      </c>
      <c r="AU116">
        <f t="shared" si="129"/>
        <v>6</v>
      </c>
      <c r="AV116">
        <f t="shared" si="130"/>
        <v>6024</v>
      </c>
      <c r="AW116" s="1">
        <v>2</v>
      </c>
      <c r="AX116">
        <v>3</v>
      </c>
      <c r="AY116">
        <v>0</v>
      </c>
      <c r="BA116">
        <v>6</v>
      </c>
      <c r="BB116">
        <v>4</v>
      </c>
      <c r="BE116">
        <v>6</v>
      </c>
      <c r="BF116">
        <v>1</v>
      </c>
      <c r="BG116">
        <v>0</v>
      </c>
      <c r="BH116">
        <f t="shared" si="144"/>
        <v>158.4</v>
      </c>
      <c r="BI116">
        <f t="shared" si="144"/>
        <v>1900.8</v>
      </c>
      <c r="BJ116">
        <f t="shared" si="144"/>
        <v>39.6</v>
      </c>
      <c r="BL116">
        <f t="shared" si="145"/>
        <v>31.680000000000003</v>
      </c>
      <c r="BM116">
        <f t="shared" si="146"/>
        <v>380.16</v>
      </c>
      <c r="BN116">
        <f t="shared" si="147"/>
        <v>7.9200000000000008</v>
      </c>
      <c r="CH116" t="str">
        <f t="shared" si="116"/>
        <v>DATA_Class_Base15</v>
      </c>
      <c r="CI116" s="6" t="s">
        <v>306</v>
      </c>
    </row>
    <row r="117" spans="1:87">
      <c r="A117">
        <f t="shared" si="141"/>
        <v>3082300</v>
      </c>
      <c r="B117" s="6" t="s">
        <v>350</v>
      </c>
      <c r="C117">
        <v>8</v>
      </c>
      <c r="D117">
        <v>3</v>
      </c>
      <c r="E117">
        <v>2</v>
      </c>
      <c r="F117" s="3" t="s">
        <v>351</v>
      </c>
      <c r="G117" s="3" t="s">
        <v>351</v>
      </c>
      <c r="H117" s="3">
        <v>20</v>
      </c>
      <c r="I117">
        <v>35</v>
      </c>
      <c r="J117" s="2">
        <v>0</v>
      </c>
      <c r="K117" s="2" t="s">
        <v>352</v>
      </c>
      <c r="L117" s="2">
        <v>6</v>
      </c>
      <c r="M117" s="2">
        <f t="shared" si="132"/>
        <v>1.3</v>
      </c>
      <c r="N117" s="2">
        <f t="shared" si="133"/>
        <v>2</v>
      </c>
      <c r="O117" s="2">
        <v>10</v>
      </c>
      <c r="P117" s="2">
        <f t="shared" si="134"/>
        <v>175.41</v>
      </c>
      <c r="Q117" s="2">
        <f t="shared" si="135"/>
        <v>17.54</v>
      </c>
      <c r="R117" s="2">
        <f t="shared" si="136"/>
        <v>1836.52</v>
      </c>
      <c r="S117" s="2">
        <f t="shared" si="137"/>
        <v>183.65</v>
      </c>
      <c r="T117" s="2">
        <f t="shared" si="138"/>
        <v>21.93</v>
      </c>
      <c r="U117" s="2">
        <f t="shared" si="139"/>
        <v>2.19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7">
        <v>353002</v>
      </c>
      <c r="AB117" s="14" t="s">
        <v>461</v>
      </c>
      <c r="AC117" s="15" t="s">
        <v>889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/>
      <c r="AJ117">
        <v>1</v>
      </c>
      <c r="AK117" s="1">
        <f t="shared" si="140"/>
        <v>94.90985166980829</v>
      </c>
      <c r="AL117">
        <v>8</v>
      </c>
      <c r="AM117">
        <f t="shared" si="122"/>
        <v>175.41333333333333</v>
      </c>
      <c r="AN117">
        <f t="shared" si="123"/>
        <v>17.541333333333334</v>
      </c>
      <c r="AO117">
        <f t="shared" si="124"/>
        <v>1836.521739130435</v>
      </c>
      <c r="AP117">
        <f t="shared" si="125"/>
        <v>183.6521739130435</v>
      </c>
      <c r="AQ117">
        <f t="shared" si="126"/>
        <v>21.926666666666666</v>
      </c>
      <c r="AR117">
        <f t="shared" si="143"/>
        <v>2.1926666666666668</v>
      </c>
      <c r="AS117">
        <f t="shared" si="127"/>
        <v>1.3</v>
      </c>
      <c r="AT117">
        <f t="shared" si="128"/>
        <v>2</v>
      </c>
      <c r="AU117">
        <f t="shared" si="129"/>
        <v>3</v>
      </c>
      <c r="AV117">
        <f t="shared" si="130"/>
        <v>3005</v>
      </c>
      <c r="AW117" s="1">
        <v>0</v>
      </c>
      <c r="AX117">
        <v>3</v>
      </c>
      <c r="AY117">
        <v>0</v>
      </c>
      <c r="BA117">
        <v>3</v>
      </c>
      <c r="BB117">
        <v>5</v>
      </c>
      <c r="BE117">
        <v>7</v>
      </c>
      <c r="BF117">
        <v>1</v>
      </c>
      <c r="BG117">
        <v>0</v>
      </c>
      <c r="BH117">
        <f t="shared" si="144"/>
        <v>176</v>
      </c>
      <c r="BI117">
        <f t="shared" si="144"/>
        <v>2112</v>
      </c>
      <c r="BJ117">
        <f t="shared" si="144"/>
        <v>44</v>
      </c>
      <c r="BL117">
        <f t="shared" si="145"/>
        <v>35.200000000000003</v>
      </c>
      <c r="BM117">
        <f t="shared" si="146"/>
        <v>422.40000000000003</v>
      </c>
      <c r="BN117">
        <f t="shared" si="147"/>
        <v>8.8000000000000007</v>
      </c>
      <c r="CH117" t="str">
        <f t="shared" si="116"/>
        <v>DATA_Class_Base16</v>
      </c>
      <c r="CI117" s="6" t="s">
        <v>312</v>
      </c>
    </row>
    <row r="118" spans="1:87">
      <c r="A118">
        <f t="shared" si="141"/>
        <v>3083302</v>
      </c>
      <c r="B118" s="6" t="s">
        <v>356</v>
      </c>
      <c r="C118">
        <v>8</v>
      </c>
      <c r="D118">
        <v>3</v>
      </c>
      <c r="E118">
        <v>3</v>
      </c>
      <c r="F118" s="3" t="s">
        <v>357</v>
      </c>
      <c r="G118" s="3" t="s">
        <v>357</v>
      </c>
      <c r="H118" s="3">
        <v>0</v>
      </c>
      <c r="I118">
        <v>40</v>
      </c>
      <c r="J118" s="2">
        <v>0</v>
      </c>
      <c r="K118" s="2" t="s">
        <v>358</v>
      </c>
      <c r="L118" s="2">
        <f t="shared" si="142"/>
        <v>3</v>
      </c>
      <c r="M118" s="2">
        <f t="shared" si="132"/>
        <v>1.4000000000000001</v>
      </c>
      <c r="N118" s="2">
        <f t="shared" si="133"/>
        <v>2</v>
      </c>
      <c r="O118" s="2">
        <v>10</v>
      </c>
      <c r="P118" s="2">
        <f t="shared" si="134"/>
        <v>197.12</v>
      </c>
      <c r="Q118" s="2">
        <f t="shared" si="135"/>
        <v>19.71</v>
      </c>
      <c r="R118" s="2">
        <f t="shared" si="136"/>
        <v>1760</v>
      </c>
      <c r="S118" s="2">
        <f t="shared" si="137"/>
        <v>176</v>
      </c>
      <c r="T118" s="2">
        <f t="shared" si="138"/>
        <v>28.16</v>
      </c>
      <c r="U118" s="2">
        <f t="shared" si="139"/>
        <v>2.82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7">
        <v>353022</v>
      </c>
      <c r="AB118" s="14" t="s">
        <v>462</v>
      </c>
      <c r="AC118" s="15" t="s">
        <v>889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/>
      <c r="AJ118">
        <v>1</v>
      </c>
      <c r="AK118" s="1">
        <f t="shared" si="140"/>
        <v>95.040816063677724</v>
      </c>
      <c r="AL118">
        <v>8</v>
      </c>
      <c r="AM118">
        <f t="shared" si="122"/>
        <v>197.12</v>
      </c>
      <c r="AN118">
        <f t="shared" si="123"/>
        <v>19.712000000000003</v>
      </c>
      <c r="AO118">
        <f t="shared" si="124"/>
        <v>1760.0000000000002</v>
      </c>
      <c r="AP118">
        <f t="shared" si="125"/>
        <v>176.00000000000003</v>
      </c>
      <c r="AQ118">
        <f t="shared" si="126"/>
        <v>28.16</v>
      </c>
      <c r="AR118">
        <f t="shared" si="143"/>
        <v>2.8160000000000003</v>
      </c>
      <c r="AS118">
        <f t="shared" si="127"/>
        <v>1.4</v>
      </c>
      <c r="AT118">
        <f t="shared" si="128"/>
        <v>2</v>
      </c>
      <c r="AU118">
        <f t="shared" si="129"/>
        <v>3</v>
      </c>
      <c r="AV118">
        <f t="shared" si="130"/>
        <v>3025</v>
      </c>
      <c r="AW118" s="1">
        <v>2</v>
      </c>
      <c r="AX118">
        <v>3</v>
      </c>
      <c r="AY118">
        <v>0</v>
      </c>
      <c r="BA118">
        <v>3</v>
      </c>
      <c r="BB118">
        <v>5</v>
      </c>
      <c r="BE118">
        <v>8</v>
      </c>
      <c r="BF118">
        <v>1</v>
      </c>
      <c r="BG118">
        <v>0</v>
      </c>
      <c r="BH118">
        <f t="shared" si="144"/>
        <v>193.6</v>
      </c>
      <c r="BI118">
        <f t="shared" si="144"/>
        <v>2323.1999999999998</v>
      </c>
      <c r="BJ118">
        <f t="shared" si="144"/>
        <v>48.4</v>
      </c>
      <c r="BL118">
        <f t="shared" si="145"/>
        <v>38.72</v>
      </c>
      <c r="BM118">
        <f t="shared" si="146"/>
        <v>464.64</v>
      </c>
      <c r="BN118">
        <f t="shared" si="147"/>
        <v>9.68</v>
      </c>
      <c r="CH118" t="str">
        <f t="shared" si="116"/>
        <v>DATA_Class_Base17</v>
      </c>
      <c r="CI118" s="6" t="s">
        <v>318</v>
      </c>
    </row>
    <row r="119" spans="1:87">
      <c r="A119">
        <f t="shared" si="141"/>
        <v>3082400</v>
      </c>
      <c r="B119" s="6" t="s">
        <v>362</v>
      </c>
      <c r="C119">
        <v>8</v>
      </c>
      <c r="D119">
        <v>4</v>
      </c>
      <c r="E119">
        <v>2</v>
      </c>
      <c r="F119" s="3" t="s">
        <v>363</v>
      </c>
      <c r="G119" s="3" t="s">
        <v>363</v>
      </c>
      <c r="H119" s="3">
        <v>0</v>
      </c>
      <c r="I119">
        <v>50</v>
      </c>
      <c r="J119">
        <v>0</v>
      </c>
      <c r="K119" s="2" t="s">
        <v>364</v>
      </c>
      <c r="L119" s="2">
        <f t="shared" si="142"/>
        <v>6</v>
      </c>
      <c r="M119" s="2">
        <f t="shared" si="132"/>
        <v>1.4000000000000001</v>
      </c>
      <c r="N119" s="2">
        <f t="shared" si="133"/>
        <v>2</v>
      </c>
      <c r="O119" s="2">
        <v>10</v>
      </c>
      <c r="P119" s="2">
        <f t="shared" si="134"/>
        <v>205.33</v>
      </c>
      <c r="Q119" s="2">
        <f t="shared" si="135"/>
        <v>20.53</v>
      </c>
      <c r="R119" s="2">
        <f t="shared" si="136"/>
        <v>1689.6</v>
      </c>
      <c r="S119" s="2">
        <f t="shared" si="137"/>
        <v>168.96</v>
      </c>
      <c r="T119" s="2">
        <f t="shared" si="138"/>
        <v>34.22</v>
      </c>
      <c r="U119" s="2">
        <f t="shared" si="139"/>
        <v>3.42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7">
        <v>354002</v>
      </c>
      <c r="AB119" s="14" t="s">
        <v>463</v>
      </c>
      <c r="AC119" s="15" t="s">
        <v>889</v>
      </c>
      <c r="AD119" s="2">
        <v>0</v>
      </c>
      <c r="AE119" s="8">
        <v>0</v>
      </c>
      <c r="AF119" s="2">
        <v>0</v>
      </c>
      <c r="AG119" s="2">
        <v>0</v>
      </c>
      <c r="AH119" s="2">
        <v>0</v>
      </c>
      <c r="AI119" s="2"/>
      <c r="AJ119">
        <v>1</v>
      </c>
      <c r="AK119" s="1">
        <f t="shared" si="140"/>
        <v>95.168532506963601</v>
      </c>
      <c r="AL119">
        <v>8</v>
      </c>
      <c r="AM119">
        <f t="shared" si="122"/>
        <v>205.33333333333337</v>
      </c>
      <c r="AN119">
        <f t="shared" si="123"/>
        <v>20.533333333333339</v>
      </c>
      <c r="AO119">
        <f t="shared" si="124"/>
        <v>1689.6000000000001</v>
      </c>
      <c r="AP119">
        <f t="shared" si="125"/>
        <v>168.96000000000004</v>
      </c>
      <c r="AQ119">
        <f t="shared" si="126"/>
        <v>34.222222222222229</v>
      </c>
      <c r="AR119">
        <f t="shared" si="143"/>
        <v>3.4222222222222229</v>
      </c>
      <c r="AS119">
        <f t="shared" si="127"/>
        <v>1.4</v>
      </c>
      <c r="AT119">
        <f t="shared" si="128"/>
        <v>2</v>
      </c>
      <c r="AU119">
        <f t="shared" si="129"/>
        <v>6</v>
      </c>
      <c r="AV119">
        <f t="shared" si="130"/>
        <v>4005</v>
      </c>
      <c r="AW119" s="1">
        <v>0</v>
      </c>
      <c r="AX119">
        <v>3</v>
      </c>
      <c r="AY119">
        <v>0</v>
      </c>
      <c r="BA119">
        <v>4</v>
      </c>
      <c r="BB119">
        <v>5</v>
      </c>
      <c r="BE119">
        <v>9</v>
      </c>
      <c r="BF119">
        <v>1</v>
      </c>
      <c r="BG119">
        <v>0</v>
      </c>
      <c r="BH119">
        <f t="shared" si="144"/>
        <v>211.2</v>
      </c>
      <c r="BI119">
        <f t="shared" si="144"/>
        <v>2534.4</v>
      </c>
      <c r="BJ119">
        <f t="shared" si="144"/>
        <v>52.8</v>
      </c>
      <c r="BL119">
        <f t="shared" si="145"/>
        <v>42.24</v>
      </c>
      <c r="BM119">
        <f t="shared" si="146"/>
        <v>506.88000000000005</v>
      </c>
      <c r="BN119">
        <f t="shared" si="147"/>
        <v>10.56</v>
      </c>
      <c r="CH119" t="str">
        <f t="shared" si="116"/>
        <v>DATA_Class_Base18</v>
      </c>
      <c r="CI119" s="6" t="s">
        <v>324</v>
      </c>
    </row>
    <row r="120" spans="1:87">
      <c r="A120">
        <f t="shared" si="141"/>
        <v>5051200</v>
      </c>
      <c r="B120" s="2" t="s">
        <v>464</v>
      </c>
      <c r="C120">
        <v>5</v>
      </c>
      <c r="D120">
        <v>2</v>
      </c>
      <c r="E120">
        <v>1</v>
      </c>
      <c r="F120" s="3" t="s">
        <v>466</v>
      </c>
      <c r="G120" s="3" t="s">
        <v>466</v>
      </c>
      <c r="H120">
        <v>0</v>
      </c>
      <c r="I120">
        <v>0</v>
      </c>
      <c r="J120" s="2">
        <v>0</v>
      </c>
      <c r="K120" s="8" t="s">
        <v>467</v>
      </c>
      <c r="L120" s="2">
        <f t="shared" si="142"/>
        <v>3</v>
      </c>
      <c r="M120" s="2">
        <f t="shared" si="132"/>
        <v>1.5</v>
      </c>
      <c r="N120" s="2">
        <f t="shared" si="133"/>
        <v>1.2</v>
      </c>
      <c r="O120" s="2">
        <v>10</v>
      </c>
      <c r="P120" s="2">
        <f t="shared" si="134"/>
        <v>112.64</v>
      </c>
      <c r="Q120" s="2">
        <f t="shared" si="135"/>
        <v>11.26</v>
      </c>
      <c r="R120" s="2">
        <f t="shared" si="136"/>
        <v>2112</v>
      </c>
      <c r="S120" s="2">
        <f t="shared" si="137"/>
        <v>211.2</v>
      </c>
      <c r="T120" s="2">
        <f t="shared" si="138"/>
        <v>37.549999999999997</v>
      </c>
      <c r="U120" s="2">
        <f t="shared" si="139"/>
        <v>3.75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6">
        <v>512001</v>
      </c>
      <c r="AB120" s="14" t="s">
        <v>468</v>
      </c>
      <c r="AC120" s="15" t="s">
        <v>890</v>
      </c>
      <c r="AD120" s="2">
        <v>5061200</v>
      </c>
      <c r="AE120" s="2">
        <v>5</v>
      </c>
      <c r="AF120" s="2">
        <v>1</v>
      </c>
      <c r="AG120" s="2">
        <f>A120</f>
        <v>5051200</v>
      </c>
      <c r="AH120" s="2">
        <v>1</v>
      </c>
      <c r="AI120" s="2"/>
      <c r="AJ120">
        <v>1</v>
      </c>
      <c r="AK120" s="1">
        <f t="shared" si="140"/>
        <v>50.336083227650867</v>
      </c>
      <c r="AL120">
        <v>5</v>
      </c>
      <c r="AM120">
        <f t="shared" si="122"/>
        <v>102.40000000000003</v>
      </c>
      <c r="AN120">
        <f t="shared" si="123"/>
        <v>10.240000000000004</v>
      </c>
      <c r="AO120">
        <f t="shared" si="124"/>
        <v>1920</v>
      </c>
      <c r="AP120">
        <f t="shared" si="125"/>
        <v>192</v>
      </c>
      <c r="AQ120">
        <f t="shared" si="126"/>
        <v>34.133333333333347</v>
      </c>
      <c r="AR120">
        <f t="shared" si="143"/>
        <v>3.4133333333333349</v>
      </c>
      <c r="AS120">
        <f t="shared" si="127"/>
        <v>1.5</v>
      </c>
      <c r="AT120">
        <f t="shared" si="128"/>
        <v>1.2</v>
      </c>
      <c r="AU120">
        <f t="shared" si="129"/>
        <v>3</v>
      </c>
      <c r="AV120">
        <f t="shared" si="130"/>
        <v>2001</v>
      </c>
      <c r="AW120" s="1">
        <v>0</v>
      </c>
      <c r="AX120">
        <v>5</v>
      </c>
      <c r="AY120">
        <v>0.1</v>
      </c>
      <c r="BA120">
        <v>2</v>
      </c>
      <c r="BB120">
        <v>1</v>
      </c>
      <c r="BE120">
        <v>10</v>
      </c>
      <c r="BF120">
        <v>1</v>
      </c>
      <c r="BG120">
        <v>0</v>
      </c>
      <c r="BH120">
        <f t="shared" si="144"/>
        <v>228.8</v>
      </c>
      <c r="BI120">
        <f t="shared" si="144"/>
        <v>2745.6</v>
      </c>
      <c r="BJ120">
        <f t="shared" si="144"/>
        <v>57.2</v>
      </c>
      <c r="BL120">
        <f t="shared" si="145"/>
        <v>45.760000000000005</v>
      </c>
      <c r="BM120">
        <f t="shared" si="146"/>
        <v>549.12</v>
      </c>
      <c r="BN120">
        <f t="shared" si="147"/>
        <v>11.440000000000001</v>
      </c>
      <c r="CH120" t="str">
        <f t="shared" si="116"/>
        <v>DATA_Class_Base19</v>
      </c>
      <c r="CI120" s="6" t="s">
        <v>331</v>
      </c>
    </row>
    <row r="121" spans="1:87">
      <c r="A121">
        <f t="shared" si="141"/>
        <v>5051201</v>
      </c>
      <c r="B121" s="2" t="s">
        <v>470</v>
      </c>
      <c r="C121">
        <v>5</v>
      </c>
      <c r="D121">
        <v>2</v>
      </c>
      <c r="E121">
        <v>1</v>
      </c>
      <c r="F121" s="3" t="s">
        <v>472</v>
      </c>
      <c r="G121" s="3" t="s">
        <v>472</v>
      </c>
      <c r="H121">
        <v>0</v>
      </c>
      <c r="I121">
        <v>0</v>
      </c>
      <c r="J121" s="2">
        <v>0</v>
      </c>
      <c r="K121" s="8" t="s">
        <v>298</v>
      </c>
      <c r="L121" s="2">
        <f t="shared" si="142"/>
        <v>3</v>
      </c>
      <c r="M121" s="2">
        <f t="shared" si="132"/>
        <v>1.8</v>
      </c>
      <c r="N121" s="2">
        <f t="shared" si="133"/>
        <v>1.8</v>
      </c>
      <c r="O121" s="2">
        <v>10</v>
      </c>
      <c r="P121" s="2">
        <f t="shared" si="134"/>
        <v>84.48</v>
      </c>
      <c r="Q121" s="2">
        <f t="shared" si="135"/>
        <v>8.4499999999999993</v>
      </c>
      <c r="R121" s="2">
        <f t="shared" si="136"/>
        <v>3379.2</v>
      </c>
      <c r="S121" s="2">
        <f t="shared" si="137"/>
        <v>337.92</v>
      </c>
      <c r="T121" s="2">
        <f t="shared" si="138"/>
        <v>42.24</v>
      </c>
      <c r="U121" s="2">
        <f t="shared" si="139"/>
        <v>4.22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6">
        <v>512011</v>
      </c>
      <c r="AB121" s="14" t="s">
        <v>473</v>
      </c>
      <c r="AC121" s="15" t="s">
        <v>890</v>
      </c>
      <c r="AD121" s="2">
        <v>5061201</v>
      </c>
      <c r="AE121" s="2">
        <v>1</v>
      </c>
      <c r="AF121" s="2">
        <v>1</v>
      </c>
      <c r="AG121" s="2">
        <f t="shared" ref="AG121:AG150" si="148">A121</f>
        <v>5051201</v>
      </c>
      <c r="AH121" s="2">
        <v>1</v>
      </c>
      <c r="AI121" s="2"/>
      <c r="AJ121">
        <v>1</v>
      </c>
      <c r="AK121" s="1">
        <f t="shared" si="140"/>
        <v>50.383734589814772</v>
      </c>
      <c r="AL121">
        <v>5</v>
      </c>
      <c r="AM121">
        <f t="shared" si="122"/>
        <v>76.800000000000011</v>
      </c>
      <c r="AN121">
        <f t="shared" si="123"/>
        <v>7.6800000000000015</v>
      </c>
      <c r="AO121">
        <f t="shared" si="124"/>
        <v>3072</v>
      </c>
      <c r="AP121">
        <f t="shared" si="125"/>
        <v>307.20000000000005</v>
      </c>
      <c r="AQ121">
        <f t="shared" si="126"/>
        <v>38.400000000000006</v>
      </c>
      <c r="AR121">
        <f t="shared" si="143"/>
        <v>3.8400000000000007</v>
      </c>
      <c r="AS121">
        <f t="shared" si="127"/>
        <v>1.8</v>
      </c>
      <c r="AT121">
        <f t="shared" si="128"/>
        <v>1.8</v>
      </c>
      <c r="AU121">
        <f t="shared" si="129"/>
        <v>3</v>
      </c>
      <c r="AV121">
        <f t="shared" si="130"/>
        <v>2011</v>
      </c>
      <c r="AW121" s="1">
        <v>1</v>
      </c>
      <c r="AX121">
        <v>5</v>
      </c>
      <c r="AY121">
        <v>0.1</v>
      </c>
      <c r="BA121">
        <v>2</v>
      </c>
      <c r="BB121">
        <v>1</v>
      </c>
      <c r="BE121">
        <v>11</v>
      </c>
      <c r="BF121">
        <v>1</v>
      </c>
      <c r="BG121">
        <v>0</v>
      </c>
      <c r="BH121">
        <f t="shared" si="144"/>
        <v>246.4</v>
      </c>
      <c r="BI121">
        <f t="shared" si="144"/>
        <v>2956.8</v>
      </c>
      <c r="BJ121">
        <f t="shared" si="144"/>
        <v>61.6</v>
      </c>
      <c r="BL121">
        <f t="shared" si="145"/>
        <v>49.28</v>
      </c>
      <c r="BM121">
        <f t="shared" si="146"/>
        <v>591.36</v>
      </c>
      <c r="BN121">
        <f t="shared" si="147"/>
        <v>12.32</v>
      </c>
      <c r="BU121" t="s">
        <v>415</v>
      </c>
      <c r="CH121" t="str">
        <f t="shared" si="116"/>
        <v>DATA_Class_Base20</v>
      </c>
      <c r="CI121" s="6" t="s">
        <v>336</v>
      </c>
    </row>
    <row r="122" spans="1:87">
      <c r="A122">
        <f t="shared" si="141"/>
        <v>5051202</v>
      </c>
      <c r="B122" s="2" t="s">
        <v>474</v>
      </c>
      <c r="C122">
        <v>5</v>
      </c>
      <c r="D122">
        <v>2</v>
      </c>
      <c r="E122">
        <v>1</v>
      </c>
      <c r="F122" s="3" t="s">
        <v>476</v>
      </c>
      <c r="G122" s="3" t="s">
        <v>476</v>
      </c>
      <c r="H122">
        <v>0</v>
      </c>
      <c r="I122">
        <v>0</v>
      </c>
      <c r="J122">
        <v>0</v>
      </c>
      <c r="K122" s="8" t="s">
        <v>477</v>
      </c>
      <c r="L122" s="2">
        <f t="shared" si="142"/>
        <v>3</v>
      </c>
      <c r="M122" s="2">
        <f t="shared" si="132"/>
        <v>1.8</v>
      </c>
      <c r="N122" s="2">
        <f t="shared" si="133"/>
        <v>2</v>
      </c>
      <c r="O122" s="2">
        <v>10</v>
      </c>
      <c r="P122" s="2">
        <f t="shared" si="134"/>
        <v>135.16999999999999</v>
      </c>
      <c r="Q122" s="2">
        <f t="shared" si="135"/>
        <v>13.52</v>
      </c>
      <c r="R122" s="2">
        <f t="shared" si="136"/>
        <v>2112</v>
      </c>
      <c r="S122" s="2">
        <f t="shared" si="137"/>
        <v>211.2</v>
      </c>
      <c r="T122" s="2">
        <f t="shared" si="138"/>
        <v>33.79</v>
      </c>
      <c r="U122" s="2">
        <f t="shared" si="139"/>
        <v>3.38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6">
        <v>512021</v>
      </c>
      <c r="AB122" s="14" t="s">
        <v>478</v>
      </c>
      <c r="AC122" s="15" t="s">
        <v>890</v>
      </c>
      <c r="AD122" s="2">
        <v>5061202</v>
      </c>
      <c r="AE122" s="2">
        <v>5</v>
      </c>
      <c r="AF122" s="2">
        <v>1</v>
      </c>
      <c r="AG122" s="2">
        <f t="shared" si="148"/>
        <v>5051202</v>
      </c>
      <c r="AH122" s="2">
        <v>1</v>
      </c>
      <c r="AI122" s="2"/>
      <c r="AJ122">
        <v>1</v>
      </c>
      <c r="AK122" s="1">
        <f t="shared" si="140"/>
        <v>50.298026985579355</v>
      </c>
      <c r="AL122">
        <v>5</v>
      </c>
      <c r="AM122">
        <f t="shared" si="122"/>
        <v>122.88000000000002</v>
      </c>
      <c r="AN122">
        <f t="shared" si="123"/>
        <v>12.288000000000004</v>
      </c>
      <c r="AO122">
        <f t="shared" si="124"/>
        <v>1920</v>
      </c>
      <c r="AP122">
        <f t="shared" si="125"/>
        <v>192</v>
      </c>
      <c r="AQ122">
        <f t="shared" si="126"/>
        <v>30.720000000000006</v>
      </c>
      <c r="AR122">
        <f t="shared" si="143"/>
        <v>3.072000000000001</v>
      </c>
      <c r="AS122">
        <f t="shared" si="127"/>
        <v>1.8</v>
      </c>
      <c r="AT122">
        <f t="shared" si="128"/>
        <v>2</v>
      </c>
      <c r="AU122">
        <f t="shared" si="129"/>
        <v>3</v>
      </c>
      <c r="AV122">
        <f t="shared" si="130"/>
        <v>2021</v>
      </c>
      <c r="AW122" s="1">
        <v>2</v>
      </c>
      <c r="AX122">
        <v>5</v>
      </c>
      <c r="AY122">
        <v>0.1</v>
      </c>
      <c r="BA122">
        <v>2</v>
      </c>
      <c r="BB122">
        <v>1</v>
      </c>
      <c r="BE122">
        <v>12</v>
      </c>
      <c r="BF122">
        <v>1</v>
      </c>
      <c r="BG122">
        <v>0</v>
      </c>
      <c r="BH122">
        <f t="shared" si="144"/>
        <v>264</v>
      </c>
      <c r="BI122">
        <f t="shared" si="144"/>
        <v>3168</v>
      </c>
      <c r="BJ122">
        <f t="shared" si="144"/>
        <v>66</v>
      </c>
      <c r="BL122">
        <f t="shared" si="145"/>
        <v>52.800000000000004</v>
      </c>
      <c r="BM122">
        <f t="shared" si="146"/>
        <v>633.6</v>
      </c>
      <c r="BN122">
        <f t="shared" si="147"/>
        <v>13.200000000000001</v>
      </c>
      <c r="BU122" t="e">
        <f>#REF!/#REF!</f>
        <v>#REF!</v>
      </c>
      <c r="CH122" t="str">
        <f t="shared" si="116"/>
        <v>DATA_Class_Base21</v>
      </c>
      <c r="CI122" s="6" t="s">
        <v>342</v>
      </c>
    </row>
    <row r="123" spans="1:87">
      <c r="A123">
        <f t="shared" si="141"/>
        <v>5051301</v>
      </c>
      <c r="B123" s="2" t="s">
        <v>479</v>
      </c>
      <c r="C123">
        <v>5</v>
      </c>
      <c r="D123">
        <v>3</v>
      </c>
      <c r="E123">
        <v>1</v>
      </c>
      <c r="F123" s="3" t="s">
        <v>481</v>
      </c>
      <c r="G123" s="3" t="s">
        <v>481</v>
      </c>
      <c r="H123">
        <v>0</v>
      </c>
      <c r="I123">
        <v>0</v>
      </c>
      <c r="J123" s="2">
        <v>0</v>
      </c>
      <c r="K123" s="8" t="s">
        <v>482</v>
      </c>
      <c r="L123" s="2">
        <f t="shared" si="142"/>
        <v>3</v>
      </c>
      <c r="M123" s="2">
        <f t="shared" si="132"/>
        <v>1.2</v>
      </c>
      <c r="N123" s="2">
        <f t="shared" si="133"/>
        <v>2</v>
      </c>
      <c r="O123" s="2">
        <v>10</v>
      </c>
      <c r="P123" s="2">
        <f t="shared" si="134"/>
        <v>123.9</v>
      </c>
      <c r="Q123" s="2">
        <f t="shared" si="135"/>
        <v>12.39</v>
      </c>
      <c r="R123" s="2">
        <f t="shared" si="136"/>
        <v>1536</v>
      </c>
      <c r="S123" s="2">
        <f t="shared" si="137"/>
        <v>153.6</v>
      </c>
      <c r="T123" s="2">
        <f t="shared" si="138"/>
        <v>20.65</v>
      </c>
      <c r="U123" s="2">
        <f t="shared" si="139"/>
        <v>2.0699999999999998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6">
        <v>513011</v>
      </c>
      <c r="AB123" s="14" t="s">
        <v>483</v>
      </c>
      <c r="AC123" s="15" t="s">
        <v>890</v>
      </c>
      <c r="AD123" s="2">
        <v>5061301</v>
      </c>
      <c r="AE123" s="2">
        <v>5</v>
      </c>
      <c r="AF123" s="2">
        <v>1</v>
      </c>
      <c r="AG123" s="2">
        <f t="shared" si="148"/>
        <v>5051301</v>
      </c>
      <c r="AH123" s="2">
        <v>1</v>
      </c>
      <c r="AI123" s="2"/>
      <c r="AJ123">
        <v>1</v>
      </c>
      <c r="AK123" s="1">
        <f t="shared" si="140"/>
        <v>50.165282103792968</v>
      </c>
      <c r="AL123">
        <v>5</v>
      </c>
      <c r="AM123">
        <f t="shared" si="122"/>
        <v>112.64000000000001</v>
      </c>
      <c r="AN123">
        <f t="shared" si="123"/>
        <v>11.264000000000003</v>
      </c>
      <c r="AO123">
        <f t="shared" si="124"/>
        <v>1396.3636363636365</v>
      </c>
      <c r="AP123">
        <f t="shared" si="125"/>
        <v>139.63636363636365</v>
      </c>
      <c r="AQ123">
        <f t="shared" si="126"/>
        <v>18.773333333333337</v>
      </c>
      <c r="AR123">
        <f t="shared" si="143"/>
        <v>1.8773333333333337</v>
      </c>
      <c r="AS123">
        <f t="shared" si="127"/>
        <v>1.2</v>
      </c>
      <c r="AT123">
        <f t="shared" si="128"/>
        <v>2</v>
      </c>
      <c r="AU123">
        <f t="shared" si="129"/>
        <v>3</v>
      </c>
      <c r="AV123">
        <f t="shared" si="130"/>
        <v>3011</v>
      </c>
      <c r="AW123" s="1">
        <v>1</v>
      </c>
      <c r="AX123">
        <v>5</v>
      </c>
      <c r="AY123">
        <v>0.1</v>
      </c>
      <c r="BA123">
        <v>3</v>
      </c>
      <c r="BB123">
        <v>1</v>
      </c>
      <c r="BE123">
        <v>13</v>
      </c>
      <c r="BF123">
        <v>260</v>
      </c>
      <c r="BG123">
        <v>6</v>
      </c>
      <c r="BH123">
        <f t="shared" si="144"/>
        <v>15206.400000000001</v>
      </c>
      <c r="BI123">
        <f t="shared" si="144"/>
        <v>182476.80000000005</v>
      </c>
      <c r="BJ123">
        <f t="shared" si="144"/>
        <v>3801.6000000000004</v>
      </c>
      <c r="BL123">
        <f t="shared" si="145"/>
        <v>3041.2800000000007</v>
      </c>
      <c r="BM123">
        <f t="shared" si="146"/>
        <v>36495.360000000008</v>
      </c>
      <c r="BN123">
        <f t="shared" si="147"/>
        <v>760.32000000000016</v>
      </c>
      <c r="CH123" t="str">
        <f t="shared" si="116"/>
        <v>DATA_Class_Base22</v>
      </c>
      <c r="CI123" s="6" t="s">
        <v>349</v>
      </c>
    </row>
    <row r="124" spans="1:87">
      <c r="A124">
        <f t="shared" si="141"/>
        <v>5051401</v>
      </c>
      <c r="B124" s="2" t="s">
        <v>484</v>
      </c>
      <c r="C124">
        <v>5</v>
      </c>
      <c r="D124">
        <v>4</v>
      </c>
      <c r="E124">
        <v>1</v>
      </c>
      <c r="F124" s="3" t="s">
        <v>486</v>
      </c>
      <c r="G124" s="3" t="s">
        <v>486</v>
      </c>
      <c r="H124">
        <v>0</v>
      </c>
      <c r="I124">
        <v>0</v>
      </c>
      <c r="J124" s="2">
        <v>0</v>
      </c>
      <c r="K124" s="2" t="s">
        <v>161</v>
      </c>
      <c r="L124" s="2">
        <f t="shared" si="142"/>
        <v>6</v>
      </c>
      <c r="M124" s="2">
        <f t="shared" si="132"/>
        <v>1.6</v>
      </c>
      <c r="N124" s="2">
        <f t="shared" si="133"/>
        <v>2</v>
      </c>
      <c r="O124" s="2">
        <v>10</v>
      </c>
      <c r="P124" s="2">
        <f t="shared" si="134"/>
        <v>165.21</v>
      </c>
      <c r="Q124" s="2">
        <f t="shared" si="135"/>
        <v>16.52</v>
      </c>
      <c r="R124" s="2">
        <f t="shared" si="136"/>
        <v>1536</v>
      </c>
      <c r="S124" s="2">
        <f t="shared" si="137"/>
        <v>153.6</v>
      </c>
      <c r="T124" s="2">
        <f t="shared" si="138"/>
        <v>33.04</v>
      </c>
      <c r="U124" s="2">
        <f t="shared" si="139"/>
        <v>3.3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6">
        <v>514011</v>
      </c>
      <c r="AB124" s="14" t="s">
        <v>487</v>
      </c>
      <c r="AC124" s="15" t="s">
        <v>890</v>
      </c>
      <c r="AD124" s="2">
        <v>5061401</v>
      </c>
      <c r="AE124" s="2">
        <v>5</v>
      </c>
      <c r="AF124" s="2">
        <v>1</v>
      </c>
      <c r="AG124" s="2">
        <f t="shared" si="148"/>
        <v>5051401</v>
      </c>
      <c r="AH124" s="2">
        <v>1</v>
      </c>
      <c r="AI124" s="2"/>
      <c r="AJ124">
        <v>1</v>
      </c>
      <c r="AK124" s="1">
        <f t="shared" si="140"/>
        <v>50.290422641438141</v>
      </c>
      <c r="AL124">
        <v>5</v>
      </c>
      <c r="AM124">
        <f t="shared" ref="AM124:AM183" si="149">INDEX($BE$5:$BE$58,MATCH($AV124,$BC$5:$BC$58,0))*$AS124/1.5*$BI$4*INDEX($BE$109:$BR$109,MATCH($AL124,$BE$108:$BR$108,0))</f>
        <v>150.1866666666667</v>
      </c>
      <c r="AN124">
        <f t="shared" ref="AN124:AN183" si="150">(INDEX($BE$5:$BE$58,MATCH($AV124,$BC$5:$BC$58,0))*$AS124/1.5*$BI$4*INDEX($BE$109:$BR$109,MATCH($AL124,$BE$108:$BR$108,0)))*0.1</f>
        <v>15.01866666666667</v>
      </c>
      <c r="AO124">
        <f t="shared" ref="AO124:AO183" si="151">INDEX($BF$5:$BF$58,MATCH($AV124,$BC$5:$BC$58,0))*$BJ$4*INDEX($BE$109:$BR$109,MATCH($AL124,$BE$108:$BR$108,0))</f>
        <v>1396.3636363636365</v>
      </c>
      <c r="AP124">
        <f t="shared" ref="AP124:AP183" si="152">(INDEX($BF$5:$BF$58,MATCH($AV124,$BC$5:$BC$58,0))*$BJ$4*INDEX($BE$109:$BR$109,MATCH($AL124,$BE$108:$BR$108,0)))*0.1</f>
        <v>139.63636363636365</v>
      </c>
      <c r="AQ124">
        <f t="shared" ref="AQ124:AQ183" si="153">$AM124/INDEX($BG$5:$BG$58,MATCH($AV124,$BC$5:$BC$58,0))</f>
        <v>30.03733333333334</v>
      </c>
      <c r="AR124">
        <f t="shared" si="143"/>
        <v>3.0037333333333343</v>
      </c>
      <c r="AS124">
        <f t="shared" ref="AS124:AS183" si="154">INDEX($BH$5:$BH$58,MATCH($AV124,$BC$5:$BC$58,0))</f>
        <v>1.6</v>
      </c>
      <c r="AT124">
        <f t="shared" ref="AT124:AT183" si="155">ROUND(IF(INDEX($BP$5:$BP$58,MATCH($AV124,$BC$5:$BC$58,0))&lt;2,INDEX($BP$5:$BP$58,MATCH($AV124,$BC$5:$BC$58,0))+0.2,2),1)</f>
        <v>2</v>
      </c>
      <c r="AU124">
        <f t="shared" ref="AU124:AU183" si="156">INDEX($BL$5:$BL$58,MATCH($AV124,$BC$5:$BC$58,0))</f>
        <v>6</v>
      </c>
      <c r="AV124">
        <f t="shared" si="130"/>
        <v>4011</v>
      </c>
      <c r="AW124" s="1">
        <v>1</v>
      </c>
      <c r="AX124">
        <v>5</v>
      </c>
      <c r="AY124">
        <v>0.1</v>
      </c>
      <c r="BA124">
        <v>4</v>
      </c>
      <c r="BB124">
        <v>1</v>
      </c>
      <c r="CH124" t="str">
        <f t="shared" si="116"/>
        <v>DATA_Class_Base23</v>
      </c>
      <c r="CI124" s="6" t="s">
        <v>355</v>
      </c>
    </row>
    <row r="125" spans="1:87">
      <c r="A125">
        <f t="shared" si="141"/>
        <v>5051402</v>
      </c>
      <c r="B125" s="2" t="s">
        <v>488</v>
      </c>
      <c r="C125">
        <v>5</v>
      </c>
      <c r="D125">
        <v>4</v>
      </c>
      <c r="E125">
        <v>1</v>
      </c>
      <c r="F125" s="3" t="s">
        <v>490</v>
      </c>
      <c r="G125" s="3" t="s">
        <v>490</v>
      </c>
      <c r="H125">
        <v>0</v>
      </c>
      <c r="I125">
        <v>0</v>
      </c>
      <c r="J125">
        <v>0</v>
      </c>
      <c r="K125" s="8" t="s">
        <v>161</v>
      </c>
      <c r="L125" s="2">
        <f t="shared" si="142"/>
        <v>6</v>
      </c>
      <c r="M125" s="2">
        <f t="shared" si="132"/>
        <v>1.5</v>
      </c>
      <c r="N125" s="2">
        <f t="shared" si="133"/>
        <v>1.5</v>
      </c>
      <c r="O125" s="2">
        <v>10</v>
      </c>
      <c r="P125" s="2">
        <f t="shared" si="134"/>
        <v>168.96</v>
      </c>
      <c r="Q125" s="2">
        <f t="shared" si="135"/>
        <v>16.899999999999999</v>
      </c>
      <c r="R125" s="2">
        <f t="shared" si="136"/>
        <v>1408</v>
      </c>
      <c r="S125" s="2">
        <f t="shared" si="137"/>
        <v>140.80000000000001</v>
      </c>
      <c r="T125" s="2">
        <f t="shared" si="138"/>
        <v>28.16</v>
      </c>
      <c r="U125" s="2">
        <f t="shared" si="139"/>
        <v>2.82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6">
        <v>514021</v>
      </c>
      <c r="AB125" s="14" t="s">
        <v>491</v>
      </c>
      <c r="AC125" s="15" t="s">
        <v>890</v>
      </c>
      <c r="AD125" s="2">
        <v>5061402</v>
      </c>
      <c r="AE125" s="2">
        <v>1</v>
      </c>
      <c r="AF125" s="2">
        <v>1</v>
      </c>
      <c r="AG125" s="2">
        <f t="shared" si="148"/>
        <v>5051402</v>
      </c>
      <c r="AH125" s="2">
        <v>1</v>
      </c>
      <c r="AI125" s="2"/>
      <c r="AJ125">
        <v>1</v>
      </c>
      <c r="AK125" s="1">
        <f t="shared" si="140"/>
        <v>50.241050395829319</v>
      </c>
      <c r="AL125">
        <v>5</v>
      </c>
      <c r="AM125">
        <f t="shared" si="149"/>
        <v>153.60000000000002</v>
      </c>
      <c r="AN125">
        <f t="shared" si="150"/>
        <v>15.360000000000003</v>
      </c>
      <c r="AO125">
        <f t="shared" si="151"/>
        <v>1280</v>
      </c>
      <c r="AP125">
        <f t="shared" si="152"/>
        <v>128</v>
      </c>
      <c r="AQ125">
        <f t="shared" si="153"/>
        <v>25.600000000000005</v>
      </c>
      <c r="AR125">
        <f t="shared" si="143"/>
        <v>2.5600000000000005</v>
      </c>
      <c r="AS125">
        <f t="shared" si="154"/>
        <v>1.5</v>
      </c>
      <c r="AT125">
        <f t="shared" si="155"/>
        <v>1.5</v>
      </c>
      <c r="AU125">
        <f t="shared" si="156"/>
        <v>6</v>
      </c>
      <c r="AV125">
        <f t="shared" si="130"/>
        <v>4021</v>
      </c>
      <c r="AW125" s="1">
        <v>2</v>
      </c>
      <c r="AX125">
        <v>5</v>
      </c>
      <c r="AY125">
        <v>0.1</v>
      </c>
      <c r="BA125">
        <v>4</v>
      </c>
      <c r="BB125">
        <v>1</v>
      </c>
      <c r="BE125" s="3" t="s">
        <v>422</v>
      </c>
      <c r="BF125" s="3" t="s">
        <v>423</v>
      </c>
      <c r="BG125" s="3" t="s">
        <v>424</v>
      </c>
      <c r="BH125" s="3" t="s">
        <v>425</v>
      </c>
      <c r="BI125" s="3" t="s">
        <v>426</v>
      </c>
      <c r="BJ125" s="3" t="s">
        <v>427</v>
      </c>
      <c r="BL125" s="3" t="s">
        <v>417</v>
      </c>
      <c r="BM125" s="3" t="s">
        <v>418</v>
      </c>
      <c r="BN125" s="3" t="s">
        <v>419</v>
      </c>
      <c r="BU125">
        <v>20</v>
      </c>
      <c r="CH125" t="str">
        <f t="shared" si="116"/>
        <v>DATA_Class_Base24</v>
      </c>
      <c r="CI125" s="6" t="s">
        <v>361</v>
      </c>
    </row>
    <row r="126" spans="1:87">
      <c r="A126">
        <f t="shared" si="141"/>
        <v>5051500</v>
      </c>
      <c r="B126" s="2" t="s">
        <v>492</v>
      </c>
      <c r="C126">
        <v>5</v>
      </c>
      <c r="D126">
        <v>5</v>
      </c>
      <c r="E126">
        <v>1</v>
      </c>
      <c r="F126" s="3" t="s">
        <v>494</v>
      </c>
      <c r="G126" s="3" t="s">
        <v>494</v>
      </c>
      <c r="H126">
        <v>0</v>
      </c>
      <c r="I126">
        <v>0</v>
      </c>
      <c r="J126">
        <v>0</v>
      </c>
      <c r="K126" s="2" t="s">
        <v>303</v>
      </c>
      <c r="L126" s="2">
        <f t="shared" si="142"/>
        <v>6</v>
      </c>
      <c r="M126" s="2">
        <f t="shared" si="132"/>
        <v>1.5</v>
      </c>
      <c r="N126" s="2">
        <f t="shared" si="133"/>
        <v>1.5</v>
      </c>
      <c r="O126" s="2">
        <v>10</v>
      </c>
      <c r="P126" s="2">
        <f t="shared" si="134"/>
        <v>197.12</v>
      </c>
      <c r="Q126" s="2">
        <f t="shared" si="135"/>
        <v>19.71</v>
      </c>
      <c r="R126" s="2">
        <f t="shared" si="136"/>
        <v>1206.8599999999999</v>
      </c>
      <c r="S126" s="2">
        <f t="shared" si="137"/>
        <v>120.69</v>
      </c>
      <c r="T126" s="2">
        <f t="shared" si="138"/>
        <v>28.16</v>
      </c>
      <c r="U126" s="2">
        <f t="shared" si="139"/>
        <v>2.82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6">
        <v>515001</v>
      </c>
      <c r="AB126" s="14" t="s">
        <v>495</v>
      </c>
      <c r="AC126" s="15" t="s">
        <v>890</v>
      </c>
      <c r="AD126" s="2">
        <v>5061500</v>
      </c>
      <c r="AE126" s="2">
        <v>5</v>
      </c>
      <c r="AF126" s="2">
        <v>1</v>
      </c>
      <c r="AG126" s="2">
        <f t="shared" si="148"/>
        <v>5051500</v>
      </c>
      <c r="AH126" s="2">
        <v>1</v>
      </c>
      <c r="AI126" s="2"/>
      <c r="AJ126">
        <v>1</v>
      </c>
      <c r="AK126" s="1">
        <f t="shared" si="140"/>
        <v>50.241050395829312</v>
      </c>
      <c r="AL126">
        <v>5</v>
      </c>
      <c r="AM126">
        <f t="shared" si="149"/>
        <v>179.19999999999996</v>
      </c>
      <c r="AN126">
        <f t="shared" si="150"/>
        <v>17.919999999999998</v>
      </c>
      <c r="AO126">
        <f t="shared" si="151"/>
        <v>1097.1428571428573</v>
      </c>
      <c r="AP126">
        <f t="shared" si="152"/>
        <v>109.71428571428574</v>
      </c>
      <c r="AQ126">
        <f t="shared" si="153"/>
        <v>25.599999999999994</v>
      </c>
      <c r="AR126">
        <f t="shared" si="143"/>
        <v>2.5599999999999996</v>
      </c>
      <c r="AS126">
        <f t="shared" si="154"/>
        <v>1.5</v>
      </c>
      <c r="AT126">
        <f t="shared" si="155"/>
        <v>1.5</v>
      </c>
      <c r="AU126">
        <f t="shared" si="156"/>
        <v>6</v>
      </c>
      <c r="AV126">
        <f t="shared" si="130"/>
        <v>5001</v>
      </c>
      <c r="AW126" s="1">
        <v>0</v>
      </c>
      <c r="AX126">
        <v>5</v>
      </c>
      <c r="AY126">
        <v>0.1</v>
      </c>
      <c r="BA126">
        <v>5</v>
      </c>
      <c r="BB126">
        <v>1</v>
      </c>
      <c r="BD126" s="3" t="s">
        <v>428</v>
      </c>
      <c r="BE126">
        <v>4</v>
      </c>
      <c r="BF126">
        <v>260</v>
      </c>
      <c r="BG126">
        <v>0</v>
      </c>
      <c r="BH126">
        <f>((BI$4*INDEX($BE$106:$BR$106,MATCH($BE126,$BE$105:$BR$105,0)))+BI$4*INDEX($BE$106:$BR$106,MATCH($BE126,$BE$105:$BR$105,0))*0.1*$BF126)</f>
        <v>3024.0000000000005</v>
      </c>
      <c r="BI126">
        <f>((BJ$4*INDEX($BE$106:$BR$106,MATCH($BE126,$BE$105:$BR$105,0)))+BJ$4*INDEX($BE$106:$BR$106,MATCH($BE126,$BE$105:$BR$105,0))*0.1*$BF126)</f>
        <v>36288</v>
      </c>
      <c r="BJ126">
        <f>((BK$4*INDEX($BE$106:$BR$106,MATCH($BE126,$BE$105:$BR$105,0)))+BK$4*INDEX($BE$106:$BR$106,MATCH($BE126,$BE$105:$BR$105,0))*0.1*$BF126)</f>
        <v>756.00000000000011</v>
      </c>
      <c r="BL126">
        <f>BH126+IF($BE129&lt;&gt;"",INDEX($BL$113:$BL$123,MATCH($BE129,$BE$113:$BE$123,0)),0)+IF($BF129&lt;&gt;"",INDEX($BL$113:$BL$123,MATCH($BF129,$BE$113:$BE$123,0)),0)+IF($BG129&lt;&gt;"",INDEX($BL$113:$BL$123,MATCH($BG129,$BE$113:$BE$123,0)),0)+IF($BH129&lt;&gt;"",INDEX($BL$113:$BL$123,MATCH($BH129,$BE$113:$BE$123,0)),0)+IF($BI129&lt;&gt;"",INDEX($BL$113:$BL$123,MATCH($BI129,$BE$113:$BE$123,0)),0)</f>
        <v>18230.400000000001</v>
      </c>
      <c r="BM126">
        <f>BI126+IF($BE129&lt;&gt;"",INDEX($BM$113:$BM$123,MATCH($BE129,$BE$113:$BE$123,0)),0)+IF($BF129&lt;&gt;"",INDEX($BM$113:$BM$123,MATCH($BF129,$BE$113:$BE$123,0)),0)+IF($BG129&lt;&gt;"",INDEX($BM$113:$BM$123,MATCH($BG129,$BE$113:$BE$123,0)),0)+IF($BH129&lt;&gt;"",INDEX($BM$113:$BM$123,MATCH($BH129,$BE$113:$BE$123,0)),0)+IF($BI129&lt;&gt;"",INDEX($BM$113:$BM$123,MATCH($BI129,$BE$113:$BE$123,0)),0)</f>
        <v>218764.80000000008</v>
      </c>
      <c r="BN126">
        <f>BJ126+IF($BE129&lt;&gt;"",INDEX($BN$113:$BN$123,MATCH($BE129,$BE$113:$BE$123,0)),0)+IF($BF129&lt;&gt;"",INDEX($BN$113:$BN$123,MATCH($BF129,$BE$113:$BE$123,0)),0)+IF($BG129&lt;&gt;"",INDEX($BN$113:$BN$123,MATCH($BG129,$BE$113:$BE$123,0)),0)+IF($BH129&lt;&gt;"",INDEX($BN$113:$BN$123,MATCH($BH129,$BE$113:$BE$123,0)),0)+IF($BI129&lt;&gt;"",INDEX($BN$113:$BN$123,MATCH($BI129,$BE$113:$BE$123,0)),0)</f>
        <v>4557.6000000000004</v>
      </c>
      <c r="CH126" t="str">
        <f t="shared" si="116"/>
        <v>DATA_Class_Base25</v>
      </c>
      <c r="CI126" s="6" t="s">
        <v>366</v>
      </c>
    </row>
    <row r="127" spans="1:87">
      <c r="A127">
        <f t="shared" si="141"/>
        <v>5051502</v>
      </c>
      <c r="B127" s="2" t="s">
        <v>496</v>
      </c>
      <c r="C127">
        <v>5</v>
      </c>
      <c r="D127">
        <v>5</v>
      </c>
      <c r="E127">
        <v>1</v>
      </c>
      <c r="F127" s="3" t="s">
        <v>498</v>
      </c>
      <c r="G127" s="3" t="s">
        <v>498</v>
      </c>
      <c r="H127">
        <v>0</v>
      </c>
      <c r="I127">
        <v>0</v>
      </c>
      <c r="J127" s="2">
        <v>0</v>
      </c>
      <c r="K127" s="8" t="s">
        <v>352</v>
      </c>
      <c r="L127" s="2">
        <f t="shared" si="142"/>
        <v>6</v>
      </c>
      <c r="M127" s="2">
        <f t="shared" si="132"/>
        <v>1.4000000000000001</v>
      </c>
      <c r="N127" s="2">
        <f t="shared" si="133"/>
        <v>2</v>
      </c>
      <c r="O127" s="2">
        <v>10</v>
      </c>
      <c r="P127" s="2">
        <f t="shared" si="134"/>
        <v>170.84</v>
      </c>
      <c r="Q127" s="2">
        <f t="shared" si="135"/>
        <v>17.079999999999998</v>
      </c>
      <c r="R127" s="2">
        <f t="shared" si="136"/>
        <v>1299.69</v>
      </c>
      <c r="S127" s="2">
        <f t="shared" si="137"/>
        <v>129.97</v>
      </c>
      <c r="T127" s="2">
        <f t="shared" si="138"/>
        <v>26.28</v>
      </c>
      <c r="U127" s="2">
        <f t="shared" si="139"/>
        <v>2.63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6">
        <v>515021</v>
      </c>
      <c r="AB127" s="14" t="s">
        <v>499</v>
      </c>
      <c r="AC127" s="15" t="s">
        <v>890</v>
      </c>
      <c r="AD127" s="2">
        <v>5061502</v>
      </c>
      <c r="AE127" s="2">
        <v>5</v>
      </c>
      <c r="AF127" s="2">
        <v>1</v>
      </c>
      <c r="AG127" s="2">
        <f t="shared" si="148"/>
        <v>5051502</v>
      </c>
      <c r="AH127" s="2">
        <v>1</v>
      </c>
      <c r="AI127" s="2"/>
      <c r="AJ127">
        <v>1</v>
      </c>
      <c r="AK127" s="1">
        <f t="shared" si="140"/>
        <v>50.222086873721281</v>
      </c>
      <c r="AL127">
        <v>5</v>
      </c>
      <c r="AM127">
        <f t="shared" si="149"/>
        <v>155.30666666666664</v>
      </c>
      <c r="AN127">
        <f t="shared" si="150"/>
        <v>15.530666666666665</v>
      </c>
      <c r="AO127">
        <f t="shared" si="151"/>
        <v>1181.5384615384614</v>
      </c>
      <c r="AP127">
        <f t="shared" si="152"/>
        <v>118.15384615384615</v>
      </c>
      <c r="AQ127">
        <f t="shared" si="153"/>
        <v>23.893333333333331</v>
      </c>
      <c r="AR127">
        <f t="shared" si="143"/>
        <v>2.3893333333333331</v>
      </c>
      <c r="AS127">
        <f t="shared" si="154"/>
        <v>1.4</v>
      </c>
      <c r="AT127">
        <f t="shared" si="155"/>
        <v>2</v>
      </c>
      <c r="AU127">
        <f t="shared" si="156"/>
        <v>6</v>
      </c>
      <c r="AV127">
        <f t="shared" si="130"/>
        <v>5021</v>
      </c>
      <c r="AW127" s="1">
        <v>2</v>
      </c>
      <c r="AX127">
        <v>5</v>
      </c>
      <c r="AY127">
        <v>0.1</v>
      </c>
      <c r="BA127">
        <v>5</v>
      </c>
      <c r="BB127">
        <v>1</v>
      </c>
      <c r="CH127" t="str">
        <f t="shared" si="116"/>
        <v>DATA_Class_Base26</v>
      </c>
      <c r="CI127" s="6" t="s">
        <v>369</v>
      </c>
    </row>
    <row r="128" spans="1:87">
      <c r="A128">
        <f t="shared" si="141"/>
        <v>5051601</v>
      </c>
      <c r="B128" s="2" t="s">
        <v>500</v>
      </c>
      <c r="C128">
        <v>5</v>
      </c>
      <c r="D128">
        <v>6</v>
      </c>
      <c r="E128">
        <v>1</v>
      </c>
      <c r="F128" s="3" t="s">
        <v>502</v>
      </c>
      <c r="G128" s="3" t="s">
        <v>502</v>
      </c>
      <c r="H128">
        <v>0</v>
      </c>
      <c r="I128">
        <v>0</v>
      </c>
      <c r="J128">
        <v>0</v>
      </c>
      <c r="K128" s="2" t="s">
        <v>309</v>
      </c>
      <c r="L128" s="2">
        <f t="shared" si="142"/>
        <v>6</v>
      </c>
      <c r="M128" s="2">
        <f t="shared" si="132"/>
        <v>1.5</v>
      </c>
      <c r="N128" s="2">
        <f t="shared" si="133"/>
        <v>2</v>
      </c>
      <c r="O128" s="2">
        <v>10</v>
      </c>
      <c r="P128" s="2">
        <f t="shared" si="134"/>
        <v>140.80000000000001</v>
      </c>
      <c r="Q128" s="2">
        <f t="shared" si="135"/>
        <v>14.08</v>
      </c>
      <c r="R128" s="2">
        <f t="shared" si="136"/>
        <v>1689.6</v>
      </c>
      <c r="S128" s="2">
        <f t="shared" si="137"/>
        <v>168.96</v>
      </c>
      <c r="T128" s="2">
        <f t="shared" si="138"/>
        <v>35.200000000000003</v>
      </c>
      <c r="U128" s="2">
        <f t="shared" si="139"/>
        <v>3.52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6">
        <v>516011</v>
      </c>
      <c r="AB128" s="14" t="s">
        <v>503</v>
      </c>
      <c r="AC128" s="15" t="s">
        <v>890</v>
      </c>
      <c r="AD128" s="2">
        <v>5061601</v>
      </c>
      <c r="AE128" s="2">
        <v>5</v>
      </c>
      <c r="AF128" s="2">
        <v>1</v>
      </c>
      <c r="AG128" s="2">
        <f t="shared" si="148"/>
        <v>5051601</v>
      </c>
      <c r="AH128" s="2">
        <v>1</v>
      </c>
      <c r="AI128" s="2"/>
      <c r="AJ128">
        <v>1</v>
      </c>
      <c r="AK128" s="1">
        <f t="shared" si="140"/>
        <v>50.312291330970041</v>
      </c>
      <c r="AL128">
        <v>5</v>
      </c>
      <c r="AM128">
        <f t="shared" si="149"/>
        <v>128</v>
      </c>
      <c r="AN128">
        <f t="shared" si="150"/>
        <v>12.8</v>
      </c>
      <c r="AO128">
        <f t="shared" si="151"/>
        <v>1536</v>
      </c>
      <c r="AP128">
        <f t="shared" si="152"/>
        <v>153.60000000000002</v>
      </c>
      <c r="AQ128">
        <f t="shared" si="153"/>
        <v>32</v>
      </c>
      <c r="AR128">
        <f t="shared" si="143"/>
        <v>3.2</v>
      </c>
      <c r="AS128">
        <f t="shared" si="154"/>
        <v>1.5</v>
      </c>
      <c r="AT128">
        <f t="shared" si="155"/>
        <v>2</v>
      </c>
      <c r="AU128">
        <f t="shared" si="156"/>
        <v>6</v>
      </c>
      <c r="AV128">
        <f t="shared" si="130"/>
        <v>6011</v>
      </c>
      <c r="AW128" s="1">
        <v>1</v>
      </c>
      <c r="AX128">
        <v>5</v>
      </c>
      <c r="AY128">
        <v>0.1</v>
      </c>
      <c r="BA128">
        <v>6</v>
      </c>
      <c r="BB128">
        <v>1</v>
      </c>
      <c r="BE128" s="3" t="s">
        <v>429</v>
      </c>
      <c r="BF128" s="3" t="s">
        <v>430</v>
      </c>
      <c r="BG128" s="3" t="s">
        <v>431</v>
      </c>
      <c r="BH128" s="3" t="s">
        <v>432</v>
      </c>
      <c r="BI128" s="3" t="s">
        <v>433</v>
      </c>
      <c r="BP128" s="24"/>
      <c r="BU128">
        <v>30</v>
      </c>
      <c r="CH128" t="str">
        <f t="shared" si="116"/>
        <v>DATA_Class_Base27</v>
      </c>
      <c r="CI128" s="6" t="s">
        <v>371</v>
      </c>
    </row>
    <row r="129" spans="1:87">
      <c r="A129">
        <f t="shared" si="141"/>
        <v>5052200</v>
      </c>
      <c r="B129" s="2" t="s">
        <v>504</v>
      </c>
      <c r="C129">
        <v>5</v>
      </c>
      <c r="D129">
        <v>2</v>
      </c>
      <c r="E129">
        <v>2</v>
      </c>
      <c r="F129" s="3" t="s">
        <v>506</v>
      </c>
      <c r="G129" s="3" t="s">
        <v>506</v>
      </c>
      <c r="H129">
        <v>0</v>
      </c>
      <c r="I129">
        <v>0</v>
      </c>
      <c r="J129">
        <v>0</v>
      </c>
      <c r="K129" s="8" t="s">
        <v>507</v>
      </c>
      <c r="L129" s="2">
        <f t="shared" si="142"/>
        <v>3</v>
      </c>
      <c r="M129" s="2">
        <f t="shared" si="132"/>
        <v>1.5</v>
      </c>
      <c r="N129" s="2">
        <f t="shared" si="133"/>
        <v>1.2</v>
      </c>
      <c r="O129" s="2">
        <v>10</v>
      </c>
      <c r="P129" s="2">
        <f t="shared" si="134"/>
        <v>140.80000000000001</v>
      </c>
      <c r="Q129" s="2">
        <f t="shared" si="135"/>
        <v>14.08</v>
      </c>
      <c r="R129" s="2">
        <f t="shared" si="136"/>
        <v>1689.6</v>
      </c>
      <c r="S129" s="2">
        <f t="shared" si="137"/>
        <v>168.96</v>
      </c>
      <c r="T129" s="2">
        <f t="shared" si="138"/>
        <v>35.200000000000003</v>
      </c>
      <c r="U129" s="2">
        <f t="shared" si="139"/>
        <v>3.52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6">
        <v>522001</v>
      </c>
      <c r="AB129" s="14" t="s">
        <v>508</v>
      </c>
      <c r="AC129" s="15" t="s">
        <v>890</v>
      </c>
      <c r="AD129" s="2">
        <v>5062200</v>
      </c>
      <c r="AE129" s="2">
        <v>5</v>
      </c>
      <c r="AF129" s="2">
        <v>1</v>
      </c>
      <c r="AG129" s="2">
        <f t="shared" si="148"/>
        <v>5052200</v>
      </c>
      <c r="AH129" s="2">
        <v>1</v>
      </c>
      <c r="AI129" s="2"/>
      <c r="AJ129">
        <v>1</v>
      </c>
      <c r="AK129" s="1">
        <f t="shared" si="140"/>
        <v>50.312291330970041</v>
      </c>
      <c r="AL129">
        <v>5</v>
      </c>
      <c r="AM129">
        <f t="shared" si="149"/>
        <v>128</v>
      </c>
      <c r="AN129">
        <f t="shared" si="150"/>
        <v>12.8</v>
      </c>
      <c r="AO129">
        <f t="shared" si="151"/>
        <v>1536</v>
      </c>
      <c r="AP129">
        <f t="shared" si="152"/>
        <v>153.60000000000002</v>
      </c>
      <c r="AQ129">
        <f t="shared" si="153"/>
        <v>32</v>
      </c>
      <c r="AR129">
        <f t="shared" si="143"/>
        <v>3.2</v>
      </c>
      <c r="AS129">
        <f t="shared" si="154"/>
        <v>1.5</v>
      </c>
      <c r="AT129">
        <f t="shared" si="155"/>
        <v>1.2</v>
      </c>
      <c r="AU129">
        <f t="shared" si="156"/>
        <v>3</v>
      </c>
      <c r="AV129">
        <f t="shared" si="130"/>
        <v>2002</v>
      </c>
      <c r="AW129" s="1">
        <v>0</v>
      </c>
      <c r="AX129">
        <v>5</v>
      </c>
      <c r="AY129">
        <v>0.1</v>
      </c>
      <c r="BA129">
        <v>2</v>
      </c>
      <c r="BB129">
        <v>2</v>
      </c>
      <c r="BE129">
        <v>13</v>
      </c>
      <c r="BF129">
        <v>13</v>
      </c>
      <c r="BG129">
        <v>13</v>
      </c>
      <c r="BH129">
        <v>13</v>
      </c>
      <c r="BI129">
        <v>13</v>
      </c>
      <c r="BJ129" s="2"/>
      <c r="BP129" s="24"/>
      <c r="BS129" s="29"/>
      <c r="BT129" s="29"/>
      <c r="BU129">
        <v>1</v>
      </c>
      <c r="CH129" t="str">
        <f t="shared" si="116"/>
        <v>DATA_Class_Base13</v>
      </c>
      <c r="CI129" s="6" t="s">
        <v>295</v>
      </c>
    </row>
    <row r="130" spans="1:87">
      <c r="A130">
        <f t="shared" si="141"/>
        <v>5052201</v>
      </c>
      <c r="B130" s="2" t="s">
        <v>509</v>
      </c>
      <c r="C130">
        <v>5</v>
      </c>
      <c r="D130">
        <v>2</v>
      </c>
      <c r="E130">
        <v>2</v>
      </c>
      <c r="F130" s="3" t="s">
        <v>511</v>
      </c>
      <c r="G130" s="3" t="s">
        <v>511</v>
      </c>
      <c r="H130">
        <v>0</v>
      </c>
      <c r="I130">
        <v>0</v>
      </c>
      <c r="J130">
        <v>0</v>
      </c>
      <c r="K130" s="8" t="s">
        <v>512</v>
      </c>
      <c r="L130" s="2">
        <f t="shared" si="142"/>
        <v>3</v>
      </c>
      <c r="M130" s="2">
        <f t="shared" si="132"/>
        <v>1.8</v>
      </c>
      <c r="N130" s="2">
        <f t="shared" si="133"/>
        <v>1.8</v>
      </c>
      <c r="O130" s="2">
        <v>10</v>
      </c>
      <c r="P130" s="2">
        <f t="shared" si="134"/>
        <v>118.27</v>
      </c>
      <c r="Q130" s="2">
        <f t="shared" si="135"/>
        <v>11.83</v>
      </c>
      <c r="R130" s="2">
        <f t="shared" si="136"/>
        <v>2413.71</v>
      </c>
      <c r="S130" s="2">
        <f t="shared" si="137"/>
        <v>241.37</v>
      </c>
      <c r="T130" s="2">
        <f t="shared" si="138"/>
        <v>39.42</v>
      </c>
      <c r="U130" s="2">
        <f t="shared" si="139"/>
        <v>3.94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6">
        <v>522011</v>
      </c>
      <c r="AB130" s="14" t="s">
        <v>513</v>
      </c>
      <c r="AC130" s="15" t="s">
        <v>890</v>
      </c>
      <c r="AD130" s="2">
        <v>5062201</v>
      </c>
      <c r="AE130" s="2">
        <v>1</v>
      </c>
      <c r="AF130" s="2">
        <v>1</v>
      </c>
      <c r="AG130" s="2">
        <f t="shared" si="148"/>
        <v>5052201</v>
      </c>
      <c r="AH130" s="2">
        <v>1</v>
      </c>
      <c r="AI130" s="2"/>
      <c r="AJ130">
        <v>1</v>
      </c>
      <c r="AK130" s="1">
        <f t="shared" si="140"/>
        <v>50.355132952302334</v>
      </c>
      <c r="AL130">
        <v>5</v>
      </c>
      <c r="AM130">
        <f t="shared" si="149"/>
        <v>107.52000000000001</v>
      </c>
      <c r="AN130">
        <f t="shared" si="150"/>
        <v>10.752000000000002</v>
      </c>
      <c r="AO130">
        <f t="shared" si="151"/>
        <v>2194.2857142857147</v>
      </c>
      <c r="AP130">
        <f t="shared" si="152"/>
        <v>219.42857142857147</v>
      </c>
      <c r="AQ130">
        <f t="shared" si="153"/>
        <v>35.840000000000003</v>
      </c>
      <c r="AR130">
        <f t="shared" si="143"/>
        <v>3.5840000000000005</v>
      </c>
      <c r="AS130">
        <f t="shared" si="154"/>
        <v>1.8</v>
      </c>
      <c r="AT130">
        <f t="shared" si="155"/>
        <v>1.8</v>
      </c>
      <c r="AU130">
        <f t="shared" si="156"/>
        <v>3</v>
      </c>
      <c r="AV130">
        <f t="shared" si="130"/>
        <v>2012</v>
      </c>
      <c r="AW130" s="1">
        <v>1</v>
      </c>
      <c r="AX130">
        <v>5</v>
      </c>
      <c r="AY130">
        <v>0.1</v>
      </c>
      <c r="BA130">
        <v>2</v>
      </c>
      <c r="BB130">
        <v>2</v>
      </c>
      <c r="BN130" s="3"/>
      <c r="BO130" s="3"/>
      <c r="BU130">
        <v>120</v>
      </c>
      <c r="CH130" t="str">
        <f t="shared" si="116"/>
        <v>DATA_Class_Base14</v>
      </c>
      <c r="CI130" s="6" t="s">
        <v>300</v>
      </c>
    </row>
    <row r="131" spans="1:87">
      <c r="A131">
        <f t="shared" si="141"/>
        <v>5052202</v>
      </c>
      <c r="B131" s="2" t="s">
        <v>514</v>
      </c>
      <c r="C131">
        <v>5</v>
      </c>
      <c r="D131">
        <v>2</v>
      </c>
      <c r="E131">
        <v>2</v>
      </c>
      <c r="F131" s="3" t="s">
        <v>516</v>
      </c>
      <c r="G131" s="3" t="s">
        <v>516</v>
      </c>
      <c r="H131">
        <v>0</v>
      </c>
      <c r="I131">
        <v>0</v>
      </c>
      <c r="J131" s="2">
        <v>0</v>
      </c>
      <c r="K131" s="2" t="s">
        <v>280</v>
      </c>
      <c r="L131" s="2">
        <f t="shared" si="142"/>
        <v>3</v>
      </c>
      <c r="M131" s="2">
        <f t="shared" si="132"/>
        <v>1.8</v>
      </c>
      <c r="N131" s="2">
        <f t="shared" si="133"/>
        <v>2</v>
      </c>
      <c r="O131" s="2">
        <v>10</v>
      </c>
      <c r="P131" s="2">
        <f t="shared" si="134"/>
        <v>194.3</v>
      </c>
      <c r="Q131" s="2">
        <f t="shared" si="135"/>
        <v>19.43</v>
      </c>
      <c r="R131" s="2">
        <f t="shared" si="136"/>
        <v>1469.22</v>
      </c>
      <c r="S131" s="2">
        <f t="shared" si="137"/>
        <v>146.91999999999999</v>
      </c>
      <c r="T131" s="2">
        <f t="shared" si="138"/>
        <v>38.86</v>
      </c>
      <c r="U131" s="2">
        <f t="shared" si="139"/>
        <v>3.89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6">
        <v>522021</v>
      </c>
      <c r="AB131" s="14" t="s">
        <v>517</v>
      </c>
      <c r="AC131" s="15" t="s">
        <v>890</v>
      </c>
      <c r="AD131" s="2">
        <v>5062202</v>
      </c>
      <c r="AE131" s="2">
        <v>5</v>
      </c>
      <c r="AF131" s="2">
        <v>1</v>
      </c>
      <c r="AG131" s="2">
        <f t="shared" si="148"/>
        <v>5052202</v>
      </c>
      <c r="AH131" s="2">
        <v>1</v>
      </c>
      <c r="AI131" s="2"/>
      <c r="AJ131">
        <v>1</v>
      </c>
      <c r="AK131" s="1">
        <f t="shared" si="140"/>
        <v>50.349416521108708</v>
      </c>
      <c r="AL131">
        <v>5</v>
      </c>
      <c r="AM131">
        <f t="shared" si="149"/>
        <v>176.64</v>
      </c>
      <c r="AN131">
        <f t="shared" si="150"/>
        <v>17.663999999999998</v>
      </c>
      <c r="AO131">
        <f t="shared" si="151"/>
        <v>1335.6521739130437</v>
      </c>
      <c r="AP131">
        <f t="shared" si="152"/>
        <v>133.56521739130437</v>
      </c>
      <c r="AQ131">
        <f t="shared" si="153"/>
        <v>35.327999999999996</v>
      </c>
      <c r="AR131">
        <f t="shared" si="143"/>
        <v>3.5327999999999999</v>
      </c>
      <c r="AS131">
        <f t="shared" si="154"/>
        <v>1.8</v>
      </c>
      <c r="AT131">
        <f t="shared" si="155"/>
        <v>2</v>
      </c>
      <c r="AU131">
        <f t="shared" si="156"/>
        <v>3</v>
      </c>
      <c r="AV131">
        <f t="shared" si="130"/>
        <v>2022</v>
      </c>
      <c r="AW131" s="1">
        <v>2</v>
      </c>
      <c r="AX131">
        <v>5</v>
      </c>
      <c r="AY131">
        <v>0.1</v>
      </c>
      <c r="BA131">
        <v>2</v>
      </c>
      <c r="BB131">
        <v>2</v>
      </c>
      <c r="BP131" s="24"/>
      <c r="CH131" t="str">
        <f t="shared" si="116"/>
        <v>DATA_Class_Base15</v>
      </c>
      <c r="CI131" s="6" t="s">
        <v>306</v>
      </c>
    </row>
    <row r="132" spans="1:87">
      <c r="A132">
        <f t="shared" si="141"/>
        <v>5052301</v>
      </c>
      <c r="B132" s="2" t="s">
        <v>518</v>
      </c>
      <c r="C132">
        <v>5</v>
      </c>
      <c r="D132">
        <v>3</v>
      </c>
      <c r="E132">
        <v>2</v>
      </c>
      <c r="F132" s="3" t="s">
        <v>520</v>
      </c>
      <c r="G132" s="3" t="s">
        <v>520</v>
      </c>
      <c r="H132">
        <v>0</v>
      </c>
      <c r="I132">
        <v>0</v>
      </c>
      <c r="J132">
        <v>0</v>
      </c>
      <c r="K132" s="2" t="s">
        <v>285</v>
      </c>
      <c r="L132" s="2">
        <f t="shared" si="142"/>
        <v>3</v>
      </c>
      <c r="M132" s="2">
        <f t="shared" si="132"/>
        <v>1.2</v>
      </c>
      <c r="N132" s="2">
        <f t="shared" si="133"/>
        <v>1.7</v>
      </c>
      <c r="O132" s="2">
        <v>10</v>
      </c>
      <c r="P132" s="2">
        <f t="shared" si="134"/>
        <v>146.43</v>
      </c>
      <c r="Q132" s="2">
        <f t="shared" si="135"/>
        <v>14.64</v>
      </c>
      <c r="R132" s="2">
        <f t="shared" si="136"/>
        <v>1299.69</v>
      </c>
      <c r="S132" s="2">
        <f t="shared" si="137"/>
        <v>129.97</v>
      </c>
      <c r="T132" s="2">
        <f t="shared" si="138"/>
        <v>24.41</v>
      </c>
      <c r="U132" s="2">
        <f t="shared" si="139"/>
        <v>2.44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6">
        <v>523011</v>
      </c>
      <c r="AB132" s="14" t="s">
        <v>521</v>
      </c>
      <c r="AC132" s="15" t="s">
        <v>890</v>
      </c>
      <c r="AD132" s="2">
        <v>5062301</v>
      </c>
      <c r="AE132" s="2">
        <v>5</v>
      </c>
      <c r="AF132" s="2">
        <v>1</v>
      </c>
      <c r="AG132" s="2">
        <f t="shared" si="148"/>
        <v>5052301</v>
      </c>
      <c r="AH132" s="2">
        <v>1</v>
      </c>
      <c r="AI132" s="2"/>
      <c r="AJ132">
        <v>1</v>
      </c>
      <c r="AK132" s="1">
        <f t="shared" si="140"/>
        <v>50.203137661803119</v>
      </c>
      <c r="AL132">
        <v>5</v>
      </c>
      <c r="AM132">
        <f t="shared" si="149"/>
        <v>133.12</v>
      </c>
      <c r="AN132">
        <f t="shared" si="150"/>
        <v>13.312000000000001</v>
      </c>
      <c r="AO132">
        <f t="shared" si="151"/>
        <v>1181.5384615384614</v>
      </c>
      <c r="AP132">
        <f t="shared" si="152"/>
        <v>118.15384615384615</v>
      </c>
      <c r="AQ132">
        <f t="shared" si="153"/>
        <v>22.186666666666667</v>
      </c>
      <c r="AR132">
        <f t="shared" si="143"/>
        <v>2.218666666666667</v>
      </c>
      <c r="AS132">
        <f t="shared" si="154"/>
        <v>1.2</v>
      </c>
      <c r="AT132">
        <f t="shared" si="155"/>
        <v>1.7</v>
      </c>
      <c r="AU132">
        <f t="shared" si="156"/>
        <v>3</v>
      </c>
      <c r="AV132">
        <f t="shared" si="130"/>
        <v>3012</v>
      </c>
      <c r="AW132" s="1">
        <v>1</v>
      </c>
      <c r="AX132">
        <v>5</v>
      </c>
      <c r="AY132">
        <v>0.1</v>
      </c>
      <c r="BA132">
        <v>3</v>
      </c>
      <c r="BB132">
        <v>2</v>
      </c>
      <c r="BF132" s="2"/>
      <c r="BJ132" s="2"/>
      <c r="CH132" t="str">
        <f t="shared" si="116"/>
        <v>DATA_Class_Base16</v>
      </c>
      <c r="CI132" s="6" t="s">
        <v>312</v>
      </c>
    </row>
    <row r="133" spans="1:87">
      <c r="A133">
        <f t="shared" si="141"/>
        <v>5052401</v>
      </c>
      <c r="B133" s="2" t="s">
        <v>522</v>
      </c>
      <c r="C133">
        <v>5</v>
      </c>
      <c r="D133">
        <v>4</v>
      </c>
      <c r="E133">
        <v>2</v>
      </c>
      <c r="F133" s="3" t="s">
        <v>524</v>
      </c>
      <c r="G133" s="3" t="s">
        <v>524</v>
      </c>
      <c r="H133">
        <v>0</v>
      </c>
      <c r="I133">
        <v>0</v>
      </c>
      <c r="J133" s="2">
        <v>0</v>
      </c>
      <c r="K133" s="8" t="s">
        <v>250</v>
      </c>
      <c r="L133" s="2">
        <f t="shared" si="142"/>
        <v>6</v>
      </c>
      <c r="M133" s="2">
        <f t="shared" si="132"/>
        <v>1.6</v>
      </c>
      <c r="N133" s="2">
        <f t="shared" si="133"/>
        <v>1.5</v>
      </c>
      <c r="O133" s="2">
        <v>10</v>
      </c>
      <c r="P133" s="2">
        <f t="shared" si="134"/>
        <v>195.24</v>
      </c>
      <c r="Q133" s="2">
        <f t="shared" si="135"/>
        <v>19.52</v>
      </c>
      <c r="R133" s="2">
        <f t="shared" si="136"/>
        <v>1299.69</v>
      </c>
      <c r="S133" s="2">
        <f t="shared" si="137"/>
        <v>129.97</v>
      </c>
      <c r="T133" s="2">
        <f t="shared" si="138"/>
        <v>21.69</v>
      </c>
      <c r="U133" s="2">
        <f t="shared" si="139"/>
        <v>2.17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6">
        <v>524011</v>
      </c>
      <c r="AB133" s="14" t="s">
        <v>525</v>
      </c>
      <c r="AC133" s="15" t="s">
        <v>890</v>
      </c>
      <c r="AD133" s="2">
        <v>5062401</v>
      </c>
      <c r="AE133" s="2">
        <v>5</v>
      </c>
      <c r="AF133" s="2">
        <v>1</v>
      </c>
      <c r="AG133" s="2">
        <f t="shared" si="148"/>
        <v>5052401</v>
      </c>
      <c r="AH133" s="2">
        <v>1</v>
      </c>
      <c r="AI133" s="2"/>
      <c r="AJ133">
        <v>1</v>
      </c>
      <c r="AK133" s="1">
        <f t="shared" si="140"/>
        <v>50.175791808774598</v>
      </c>
      <c r="AL133">
        <v>5</v>
      </c>
      <c r="AM133">
        <f t="shared" si="149"/>
        <v>177.49333333333334</v>
      </c>
      <c r="AN133">
        <f t="shared" si="150"/>
        <v>17.749333333333336</v>
      </c>
      <c r="AO133">
        <f t="shared" si="151"/>
        <v>1181.5384615384614</v>
      </c>
      <c r="AP133">
        <f t="shared" si="152"/>
        <v>118.15384615384615</v>
      </c>
      <c r="AQ133">
        <f t="shared" si="153"/>
        <v>19.721481481481483</v>
      </c>
      <c r="AR133">
        <f t="shared" si="143"/>
        <v>1.9721481481481484</v>
      </c>
      <c r="AS133">
        <f t="shared" si="154"/>
        <v>1.6</v>
      </c>
      <c r="AT133">
        <f t="shared" si="155"/>
        <v>1.5</v>
      </c>
      <c r="AU133">
        <f t="shared" si="156"/>
        <v>6</v>
      </c>
      <c r="AV133">
        <f t="shared" si="130"/>
        <v>4012</v>
      </c>
      <c r="AW133" s="1">
        <v>1</v>
      </c>
      <c r="AX133">
        <v>5</v>
      </c>
      <c r="AY133">
        <v>0.1</v>
      </c>
      <c r="BA133">
        <v>4</v>
      </c>
      <c r="BB133">
        <v>2</v>
      </c>
      <c r="CH133" t="str">
        <f t="shared" si="116"/>
        <v>DATA_Class_Base17</v>
      </c>
      <c r="CI133" s="6" t="s">
        <v>318</v>
      </c>
    </row>
    <row r="134" spans="1:87">
      <c r="A134">
        <f t="shared" si="141"/>
        <v>5052402</v>
      </c>
      <c r="B134" s="2" t="s">
        <v>526</v>
      </c>
      <c r="C134">
        <v>5</v>
      </c>
      <c r="D134">
        <v>4</v>
      </c>
      <c r="E134">
        <v>2</v>
      </c>
      <c r="F134" s="3" t="s">
        <v>528</v>
      </c>
      <c r="G134" s="3" t="s">
        <v>528</v>
      </c>
      <c r="H134">
        <v>0</v>
      </c>
      <c r="I134">
        <v>0</v>
      </c>
      <c r="J134">
        <v>0</v>
      </c>
      <c r="K134" s="2" t="s">
        <v>250</v>
      </c>
      <c r="L134" s="2">
        <f t="shared" si="142"/>
        <v>6</v>
      </c>
      <c r="M134" s="2">
        <f t="shared" si="132"/>
        <v>1.5</v>
      </c>
      <c r="N134" s="2">
        <f t="shared" si="133"/>
        <v>1.5</v>
      </c>
      <c r="O134" s="2">
        <v>10</v>
      </c>
      <c r="P134" s="2">
        <f t="shared" si="134"/>
        <v>197.12</v>
      </c>
      <c r="Q134" s="2">
        <f t="shared" si="135"/>
        <v>19.71</v>
      </c>
      <c r="R134" s="2">
        <f t="shared" si="136"/>
        <v>1206.8599999999999</v>
      </c>
      <c r="S134" s="2">
        <f t="shared" si="137"/>
        <v>120.69</v>
      </c>
      <c r="T134" s="2">
        <f t="shared" si="138"/>
        <v>24.64</v>
      </c>
      <c r="U134" s="2">
        <f t="shared" si="139"/>
        <v>2.46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6">
        <v>524021</v>
      </c>
      <c r="AB134" s="14" t="s">
        <v>529</v>
      </c>
      <c r="AC134" s="15" t="s">
        <v>890</v>
      </c>
      <c r="AD134" s="2">
        <v>5062402</v>
      </c>
      <c r="AE134" s="2">
        <v>5</v>
      </c>
      <c r="AF134" s="2">
        <v>1</v>
      </c>
      <c r="AG134" s="2">
        <f t="shared" si="148"/>
        <v>5052402</v>
      </c>
      <c r="AH134" s="2">
        <v>1</v>
      </c>
      <c r="AI134" s="2"/>
      <c r="AJ134">
        <v>1</v>
      </c>
      <c r="AK134" s="1">
        <f t="shared" si="140"/>
        <v>50.205505531258048</v>
      </c>
      <c r="AL134">
        <v>5</v>
      </c>
      <c r="AM134">
        <f t="shared" si="149"/>
        <v>179.19999999999996</v>
      </c>
      <c r="AN134">
        <f t="shared" si="150"/>
        <v>17.919999999999998</v>
      </c>
      <c r="AO134">
        <f t="shared" si="151"/>
        <v>1097.1428571428573</v>
      </c>
      <c r="AP134">
        <f t="shared" si="152"/>
        <v>109.71428571428574</v>
      </c>
      <c r="AQ134">
        <f t="shared" si="153"/>
        <v>22.399999999999995</v>
      </c>
      <c r="AR134">
        <f t="shared" si="143"/>
        <v>2.2399999999999998</v>
      </c>
      <c r="AS134">
        <f t="shared" si="154"/>
        <v>1.5</v>
      </c>
      <c r="AT134">
        <f t="shared" si="155"/>
        <v>1.5</v>
      </c>
      <c r="AU134">
        <f t="shared" si="156"/>
        <v>6</v>
      </c>
      <c r="AV134">
        <f t="shared" si="130"/>
        <v>4022</v>
      </c>
      <c r="AW134" s="1">
        <v>2</v>
      </c>
      <c r="AX134">
        <v>5</v>
      </c>
      <c r="AY134">
        <v>0.1</v>
      </c>
      <c r="BA134">
        <v>4</v>
      </c>
      <c r="BB134">
        <v>2</v>
      </c>
      <c r="CH134" t="str">
        <f t="shared" si="116"/>
        <v>DATA_Class_Base18</v>
      </c>
      <c r="CI134" s="6" t="s">
        <v>324</v>
      </c>
    </row>
    <row r="135" spans="1:87">
      <c r="A135">
        <f t="shared" si="141"/>
        <v>5052502</v>
      </c>
      <c r="B135" s="2" t="s">
        <v>535</v>
      </c>
      <c r="C135">
        <v>5</v>
      </c>
      <c r="D135">
        <v>5</v>
      </c>
      <c r="E135">
        <v>2</v>
      </c>
      <c r="F135" s="3" t="s">
        <v>537</v>
      </c>
      <c r="G135" s="3" t="s">
        <v>537</v>
      </c>
      <c r="H135">
        <v>0</v>
      </c>
      <c r="I135">
        <v>0</v>
      </c>
      <c r="J135" s="2">
        <v>0</v>
      </c>
      <c r="K135" s="2" t="s">
        <v>291</v>
      </c>
      <c r="L135" s="2">
        <f t="shared" si="142"/>
        <v>6</v>
      </c>
      <c r="M135" s="2">
        <f t="shared" si="132"/>
        <v>1.4000000000000001</v>
      </c>
      <c r="N135" s="2">
        <f t="shared" si="133"/>
        <v>2</v>
      </c>
      <c r="O135" s="2">
        <v>10</v>
      </c>
      <c r="P135" s="2">
        <f t="shared" si="134"/>
        <v>203.69</v>
      </c>
      <c r="Q135" s="2">
        <f t="shared" si="135"/>
        <v>20.37</v>
      </c>
      <c r="R135" s="2">
        <f t="shared" si="136"/>
        <v>1090.06</v>
      </c>
      <c r="S135" s="2">
        <f t="shared" si="137"/>
        <v>109.01</v>
      </c>
      <c r="T135" s="2">
        <f t="shared" si="138"/>
        <v>20.37</v>
      </c>
      <c r="U135" s="2">
        <f t="shared" si="139"/>
        <v>2.04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6">
        <v>525021</v>
      </c>
      <c r="AB135" s="14" t="s">
        <v>538</v>
      </c>
      <c r="AC135" s="15" t="s">
        <v>890</v>
      </c>
      <c r="AD135" s="2">
        <v>5062502</v>
      </c>
      <c r="AE135" s="2">
        <v>1</v>
      </c>
      <c r="AF135" s="2">
        <v>1</v>
      </c>
      <c r="AG135" s="2">
        <f t="shared" si="148"/>
        <v>5052502</v>
      </c>
      <c r="AH135" s="2">
        <v>1</v>
      </c>
      <c r="AI135" s="2"/>
      <c r="AJ135">
        <v>1</v>
      </c>
      <c r="AK135" s="1">
        <f t="shared" si="140"/>
        <v>50.162445238244167</v>
      </c>
      <c r="AL135">
        <v>5</v>
      </c>
      <c r="AM135">
        <f t="shared" si="149"/>
        <v>185.17333333333332</v>
      </c>
      <c r="AN135">
        <f t="shared" si="150"/>
        <v>18.517333333333333</v>
      </c>
      <c r="AO135">
        <f t="shared" si="151"/>
        <v>990.9677419354839</v>
      </c>
      <c r="AP135">
        <f t="shared" si="152"/>
        <v>99.096774193548399</v>
      </c>
      <c r="AQ135">
        <f t="shared" si="153"/>
        <v>18.517333333333333</v>
      </c>
      <c r="AR135">
        <f t="shared" si="143"/>
        <v>1.8517333333333335</v>
      </c>
      <c r="AS135">
        <f t="shared" si="154"/>
        <v>1.4</v>
      </c>
      <c r="AT135">
        <f t="shared" si="155"/>
        <v>2</v>
      </c>
      <c r="AU135">
        <f t="shared" si="156"/>
        <v>6</v>
      </c>
      <c r="AV135">
        <f t="shared" si="130"/>
        <v>5022</v>
      </c>
      <c r="AW135" s="1">
        <v>2</v>
      </c>
      <c r="AX135">
        <v>5</v>
      </c>
      <c r="AY135">
        <v>0.1</v>
      </c>
      <c r="BA135">
        <v>5</v>
      </c>
      <c r="BB135">
        <v>2</v>
      </c>
      <c r="CH135" t="str">
        <f t="shared" si="116"/>
        <v>DATA_Class_Base19</v>
      </c>
      <c r="CI135" s="6" t="s">
        <v>331</v>
      </c>
    </row>
    <row r="136" spans="1:87">
      <c r="A136">
        <f t="shared" si="141"/>
        <v>5053200</v>
      </c>
      <c r="B136" s="2" t="s">
        <v>544</v>
      </c>
      <c r="C136">
        <v>5</v>
      </c>
      <c r="D136">
        <v>2</v>
      </c>
      <c r="E136">
        <v>3</v>
      </c>
      <c r="F136" s="3" t="s">
        <v>546</v>
      </c>
      <c r="G136" s="3" t="s">
        <v>546</v>
      </c>
      <c r="H136">
        <v>0</v>
      </c>
      <c r="I136">
        <v>0</v>
      </c>
      <c r="J136">
        <v>0</v>
      </c>
      <c r="K136" s="2" t="s">
        <v>314</v>
      </c>
      <c r="L136" s="2">
        <f t="shared" si="142"/>
        <v>3</v>
      </c>
      <c r="M136" s="2">
        <f t="shared" si="132"/>
        <v>1.5</v>
      </c>
      <c r="N136" s="2">
        <f t="shared" si="133"/>
        <v>1.2</v>
      </c>
      <c r="O136" s="2">
        <v>10</v>
      </c>
      <c r="P136" s="2">
        <f t="shared" si="134"/>
        <v>98.56</v>
      </c>
      <c r="Q136" s="2">
        <f t="shared" si="135"/>
        <v>9.86</v>
      </c>
      <c r="R136" s="2">
        <f t="shared" si="136"/>
        <v>2413.71</v>
      </c>
      <c r="S136" s="2">
        <f t="shared" si="137"/>
        <v>241.37</v>
      </c>
      <c r="T136" s="2">
        <f t="shared" si="138"/>
        <v>49.28</v>
      </c>
      <c r="U136" s="2">
        <f t="shared" si="139"/>
        <v>4.93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6">
        <v>532001</v>
      </c>
      <c r="AB136" s="14" t="s">
        <v>547</v>
      </c>
      <c r="AC136" s="15" t="s">
        <v>890</v>
      </c>
      <c r="AD136" s="2">
        <v>5063200</v>
      </c>
      <c r="AE136" s="2">
        <v>1</v>
      </c>
      <c r="AF136" s="2">
        <v>1</v>
      </c>
      <c r="AG136" s="2">
        <f t="shared" si="148"/>
        <v>5053200</v>
      </c>
      <c r="AH136" s="2">
        <v>1</v>
      </c>
      <c r="AI136" s="2"/>
      <c r="AJ136">
        <v>1</v>
      </c>
      <c r="AK136" s="1">
        <f t="shared" si="140"/>
        <v>50.45538103548575</v>
      </c>
      <c r="AL136">
        <v>5</v>
      </c>
      <c r="AM136">
        <f t="shared" si="149"/>
        <v>89.59999999999998</v>
      </c>
      <c r="AN136">
        <f t="shared" si="150"/>
        <v>8.9599999999999991</v>
      </c>
      <c r="AO136">
        <f t="shared" si="151"/>
        <v>2194.2857142857147</v>
      </c>
      <c r="AP136">
        <f t="shared" si="152"/>
        <v>219.42857142857147</v>
      </c>
      <c r="AQ136">
        <f t="shared" si="153"/>
        <v>44.79999999999999</v>
      </c>
      <c r="AR136">
        <f t="shared" si="143"/>
        <v>4.4799999999999995</v>
      </c>
      <c r="AS136">
        <f t="shared" si="154"/>
        <v>1.5</v>
      </c>
      <c r="AT136">
        <f t="shared" si="155"/>
        <v>1.2</v>
      </c>
      <c r="AU136">
        <f t="shared" si="156"/>
        <v>3</v>
      </c>
      <c r="AV136">
        <f t="shared" si="130"/>
        <v>2003</v>
      </c>
      <c r="AW136" s="1">
        <v>0</v>
      </c>
      <c r="AX136">
        <v>5</v>
      </c>
      <c r="AY136">
        <v>0.1</v>
      </c>
      <c r="BA136">
        <v>2</v>
      </c>
      <c r="BB136">
        <v>3</v>
      </c>
      <c r="BF136" s="3"/>
      <c r="CH136" t="str">
        <f t="shared" si="116"/>
        <v>DATA_Class_Base20</v>
      </c>
      <c r="CI136" s="6" t="s">
        <v>336</v>
      </c>
    </row>
    <row r="137" spans="1:87">
      <c r="A137">
        <f t="shared" si="141"/>
        <v>5053202</v>
      </c>
      <c r="B137" s="2" t="s">
        <v>552</v>
      </c>
      <c r="C137">
        <v>5</v>
      </c>
      <c r="D137">
        <v>2</v>
      </c>
      <c r="E137">
        <v>3</v>
      </c>
      <c r="F137" s="3" t="s">
        <v>554</v>
      </c>
      <c r="G137" s="3" t="s">
        <v>554</v>
      </c>
      <c r="H137">
        <v>0</v>
      </c>
      <c r="I137">
        <v>0</v>
      </c>
      <c r="J137">
        <v>0</v>
      </c>
      <c r="K137" s="8" t="s">
        <v>555</v>
      </c>
      <c r="L137" s="2">
        <f t="shared" si="142"/>
        <v>3</v>
      </c>
      <c r="M137" s="2">
        <f t="shared" si="132"/>
        <v>1.8</v>
      </c>
      <c r="N137" s="2">
        <f t="shared" si="133"/>
        <v>2</v>
      </c>
      <c r="O137" s="2">
        <v>10</v>
      </c>
      <c r="P137" s="2">
        <f t="shared" si="134"/>
        <v>152.06</v>
      </c>
      <c r="Q137" s="2">
        <f t="shared" si="135"/>
        <v>15.21</v>
      </c>
      <c r="R137" s="2">
        <f t="shared" si="136"/>
        <v>1877.33</v>
      </c>
      <c r="S137" s="2">
        <f t="shared" si="137"/>
        <v>187.73</v>
      </c>
      <c r="T137" s="2">
        <f t="shared" si="138"/>
        <v>50.69</v>
      </c>
      <c r="U137" s="2">
        <f t="shared" si="139"/>
        <v>5.07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6">
        <v>532021</v>
      </c>
      <c r="AB137" s="14" t="s">
        <v>556</v>
      </c>
      <c r="AC137" s="15" t="s">
        <v>890</v>
      </c>
      <c r="AD137" s="2">
        <v>5063202</v>
      </c>
      <c r="AE137" s="2">
        <v>5</v>
      </c>
      <c r="AF137" s="2">
        <v>1</v>
      </c>
      <c r="AG137" s="2">
        <f t="shared" si="148"/>
        <v>5053202</v>
      </c>
      <c r="AH137" s="2">
        <v>1</v>
      </c>
      <c r="AI137" s="2"/>
      <c r="AJ137">
        <v>1</v>
      </c>
      <c r="AK137" s="1">
        <f t="shared" si="140"/>
        <v>50.469734783339604</v>
      </c>
      <c r="AL137">
        <v>5</v>
      </c>
      <c r="AM137">
        <f t="shared" si="149"/>
        <v>138.24</v>
      </c>
      <c r="AN137">
        <f t="shared" si="150"/>
        <v>13.824000000000002</v>
      </c>
      <c r="AO137">
        <f t="shared" si="151"/>
        <v>1706.666666666667</v>
      </c>
      <c r="AP137">
        <f t="shared" si="152"/>
        <v>170.66666666666671</v>
      </c>
      <c r="AQ137">
        <f t="shared" si="153"/>
        <v>46.080000000000005</v>
      </c>
      <c r="AR137">
        <f t="shared" si="143"/>
        <v>4.6080000000000005</v>
      </c>
      <c r="AS137">
        <f t="shared" si="154"/>
        <v>1.8</v>
      </c>
      <c r="AT137">
        <f t="shared" si="155"/>
        <v>2</v>
      </c>
      <c r="AU137">
        <f t="shared" si="156"/>
        <v>3</v>
      </c>
      <c r="AV137">
        <f t="shared" si="130"/>
        <v>2023</v>
      </c>
      <c r="AW137" s="1">
        <v>2</v>
      </c>
      <c r="AX137">
        <v>5</v>
      </c>
      <c r="AY137">
        <v>0.1</v>
      </c>
      <c r="BA137">
        <v>2</v>
      </c>
      <c r="BB137">
        <v>3</v>
      </c>
      <c r="BF137" s="3"/>
      <c r="CH137" t="str">
        <f t="shared" si="116"/>
        <v>DATA_Class_Base21</v>
      </c>
      <c r="CI137" s="6" t="s">
        <v>342</v>
      </c>
    </row>
    <row r="138" spans="1:87">
      <c r="A138">
        <f t="shared" si="141"/>
        <v>5053301</v>
      </c>
      <c r="B138" s="2" t="s">
        <v>557</v>
      </c>
      <c r="C138">
        <v>5</v>
      </c>
      <c r="D138">
        <v>3</v>
      </c>
      <c r="E138">
        <v>3</v>
      </c>
      <c r="F138" s="3" t="s">
        <v>559</v>
      </c>
      <c r="G138" s="3" t="s">
        <v>559</v>
      </c>
      <c r="H138">
        <v>0</v>
      </c>
      <c r="I138">
        <v>0</v>
      </c>
      <c r="J138" s="2">
        <v>0</v>
      </c>
      <c r="K138" s="8" t="s">
        <v>555</v>
      </c>
      <c r="L138" s="2">
        <f t="shared" si="142"/>
        <v>3</v>
      </c>
      <c r="M138" s="2">
        <f t="shared" si="132"/>
        <v>1.2</v>
      </c>
      <c r="N138" s="2">
        <f t="shared" si="133"/>
        <v>1.4000000000000001</v>
      </c>
      <c r="O138" s="2">
        <v>10</v>
      </c>
      <c r="P138" s="2">
        <f t="shared" si="134"/>
        <v>135.16999999999999</v>
      </c>
      <c r="Q138" s="2">
        <f t="shared" si="135"/>
        <v>13.52</v>
      </c>
      <c r="R138" s="2">
        <f t="shared" si="136"/>
        <v>1408</v>
      </c>
      <c r="S138" s="2">
        <f t="shared" si="137"/>
        <v>140.80000000000001</v>
      </c>
      <c r="T138" s="2">
        <f t="shared" si="138"/>
        <v>27.03</v>
      </c>
      <c r="U138" s="2">
        <f t="shared" si="139"/>
        <v>2.7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6">
        <v>533011</v>
      </c>
      <c r="AB138" s="14" t="s">
        <v>560</v>
      </c>
      <c r="AC138" s="15" t="s">
        <v>890</v>
      </c>
      <c r="AD138" s="2">
        <v>5063301</v>
      </c>
      <c r="AE138" s="2">
        <v>1</v>
      </c>
      <c r="AF138" s="2">
        <v>1</v>
      </c>
      <c r="AG138" s="2">
        <f t="shared" si="148"/>
        <v>5053301</v>
      </c>
      <c r="AH138" s="2">
        <v>1</v>
      </c>
      <c r="AI138" s="2"/>
      <c r="AJ138">
        <v>1</v>
      </c>
      <c r="AK138" s="1">
        <f t="shared" si="140"/>
        <v>50.229670564434144</v>
      </c>
      <c r="AL138">
        <v>5</v>
      </c>
      <c r="AM138">
        <f t="shared" si="149"/>
        <v>122.88</v>
      </c>
      <c r="AN138">
        <f t="shared" si="150"/>
        <v>12.288</v>
      </c>
      <c r="AO138">
        <f t="shared" si="151"/>
        <v>1280</v>
      </c>
      <c r="AP138">
        <f t="shared" si="152"/>
        <v>128</v>
      </c>
      <c r="AQ138">
        <f t="shared" si="153"/>
        <v>24.576000000000001</v>
      </c>
      <c r="AR138">
        <f t="shared" si="143"/>
        <v>2.4576000000000002</v>
      </c>
      <c r="AS138">
        <f t="shared" si="154"/>
        <v>1.2</v>
      </c>
      <c r="AT138">
        <f t="shared" si="155"/>
        <v>1.4</v>
      </c>
      <c r="AU138">
        <f t="shared" si="156"/>
        <v>3</v>
      </c>
      <c r="AV138">
        <f t="shared" si="130"/>
        <v>3013</v>
      </c>
      <c r="AW138" s="1">
        <v>1</v>
      </c>
      <c r="AX138">
        <v>5</v>
      </c>
      <c r="AY138">
        <v>0.1</v>
      </c>
      <c r="BA138">
        <v>3</v>
      </c>
      <c r="BB138">
        <v>3</v>
      </c>
      <c r="BF138" s="3"/>
      <c r="CH138" t="str">
        <f t="shared" si="116"/>
        <v>DATA_Class_Base13</v>
      </c>
      <c r="CI138" s="6" t="s">
        <v>295</v>
      </c>
    </row>
    <row r="139" spans="1:87">
      <c r="A139">
        <f t="shared" si="141"/>
        <v>5053401</v>
      </c>
      <c r="B139" s="2" t="s">
        <v>561</v>
      </c>
      <c r="C139">
        <v>5</v>
      </c>
      <c r="D139">
        <v>4</v>
      </c>
      <c r="E139">
        <v>3</v>
      </c>
      <c r="F139" s="3" t="s">
        <v>563</v>
      </c>
      <c r="G139" s="3" t="s">
        <v>563</v>
      </c>
      <c r="H139">
        <v>0</v>
      </c>
      <c r="I139">
        <v>0</v>
      </c>
      <c r="J139">
        <v>0</v>
      </c>
      <c r="K139" s="8" t="s">
        <v>161</v>
      </c>
      <c r="L139" s="2">
        <f t="shared" si="142"/>
        <v>6</v>
      </c>
      <c r="M139" s="2">
        <f t="shared" si="132"/>
        <v>1.6</v>
      </c>
      <c r="N139" s="2">
        <f t="shared" si="133"/>
        <v>1.5</v>
      </c>
      <c r="O139" s="2">
        <v>10</v>
      </c>
      <c r="P139" s="2">
        <f t="shared" si="134"/>
        <v>180.22</v>
      </c>
      <c r="Q139" s="2">
        <f t="shared" si="135"/>
        <v>18.02</v>
      </c>
      <c r="R139" s="2">
        <f t="shared" si="136"/>
        <v>1408</v>
      </c>
      <c r="S139" s="2">
        <f t="shared" si="137"/>
        <v>140.80000000000001</v>
      </c>
      <c r="T139" s="2">
        <f t="shared" si="138"/>
        <v>30.04</v>
      </c>
      <c r="U139" s="2">
        <f t="shared" si="139"/>
        <v>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6">
        <v>534011</v>
      </c>
      <c r="AB139" s="14" t="s">
        <v>564</v>
      </c>
      <c r="AC139" s="15" t="s">
        <v>890</v>
      </c>
      <c r="AD139" s="2">
        <v>5063401</v>
      </c>
      <c r="AE139" s="2">
        <v>5</v>
      </c>
      <c r="AF139" s="2">
        <v>1</v>
      </c>
      <c r="AG139" s="2">
        <f t="shared" si="148"/>
        <v>5053401</v>
      </c>
      <c r="AH139" s="2">
        <v>1</v>
      </c>
      <c r="AI139" s="2"/>
      <c r="AJ139">
        <v>1</v>
      </c>
      <c r="AK139" s="1">
        <f t="shared" si="140"/>
        <v>50.260028244343637</v>
      </c>
      <c r="AL139">
        <v>5</v>
      </c>
      <c r="AM139">
        <f t="shared" si="149"/>
        <v>163.84000000000003</v>
      </c>
      <c r="AN139">
        <f t="shared" si="150"/>
        <v>16.384000000000004</v>
      </c>
      <c r="AO139">
        <f t="shared" si="151"/>
        <v>1280</v>
      </c>
      <c r="AP139">
        <f t="shared" si="152"/>
        <v>128</v>
      </c>
      <c r="AQ139">
        <f t="shared" si="153"/>
        <v>27.306666666666672</v>
      </c>
      <c r="AR139">
        <f t="shared" si="143"/>
        <v>2.7306666666666675</v>
      </c>
      <c r="AS139">
        <f t="shared" si="154"/>
        <v>1.6</v>
      </c>
      <c r="AT139">
        <f t="shared" si="155"/>
        <v>1.5</v>
      </c>
      <c r="AU139">
        <f t="shared" si="156"/>
        <v>6</v>
      </c>
      <c r="AV139">
        <f t="shared" si="130"/>
        <v>4013</v>
      </c>
      <c r="AW139" s="1">
        <v>1</v>
      </c>
      <c r="AX139">
        <v>5</v>
      </c>
      <c r="AY139">
        <v>0.1</v>
      </c>
      <c r="BA139">
        <v>4</v>
      </c>
      <c r="BB139">
        <v>3</v>
      </c>
      <c r="BF139" s="3"/>
      <c r="CH139" t="str">
        <f t="shared" si="116"/>
        <v>DATA_Class_Base14</v>
      </c>
      <c r="CI139" s="6" t="s">
        <v>300</v>
      </c>
    </row>
    <row r="140" spans="1:87">
      <c r="A140">
        <f t="shared" si="141"/>
        <v>5053402</v>
      </c>
      <c r="B140" s="2" t="s">
        <v>565</v>
      </c>
      <c r="C140">
        <v>5</v>
      </c>
      <c r="D140">
        <v>4</v>
      </c>
      <c r="E140">
        <v>3</v>
      </c>
      <c r="F140" s="3" t="s">
        <v>567</v>
      </c>
      <c r="G140" s="3" t="s">
        <v>567</v>
      </c>
      <c r="H140">
        <v>0</v>
      </c>
      <c r="I140">
        <v>0</v>
      </c>
      <c r="J140" s="2">
        <v>0</v>
      </c>
      <c r="K140" s="8" t="s">
        <v>568</v>
      </c>
      <c r="L140" s="2">
        <f t="shared" si="142"/>
        <v>6</v>
      </c>
      <c r="M140" s="2">
        <f t="shared" si="132"/>
        <v>1.5</v>
      </c>
      <c r="N140" s="2">
        <f t="shared" si="133"/>
        <v>1.5</v>
      </c>
      <c r="O140" s="2">
        <v>10</v>
      </c>
      <c r="P140" s="2">
        <f t="shared" si="134"/>
        <v>183.04</v>
      </c>
      <c r="Q140" s="2">
        <f t="shared" si="135"/>
        <v>18.3</v>
      </c>
      <c r="R140" s="2">
        <f t="shared" si="136"/>
        <v>1299.69</v>
      </c>
      <c r="S140" s="2">
        <f t="shared" si="137"/>
        <v>129.97</v>
      </c>
      <c r="T140" s="2">
        <f t="shared" si="138"/>
        <v>26.15</v>
      </c>
      <c r="U140" s="2">
        <f t="shared" si="139"/>
        <v>2.61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6">
        <v>534021</v>
      </c>
      <c r="AB140" s="14" t="s">
        <v>569</v>
      </c>
      <c r="AC140" s="15" t="s">
        <v>890</v>
      </c>
      <c r="AD140" s="2">
        <v>5063402</v>
      </c>
      <c r="AE140" s="2">
        <v>5</v>
      </c>
      <c r="AF140" s="2">
        <v>1</v>
      </c>
      <c r="AG140" s="2">
        <f t="shared" si="148"/>
        <v>5053402</v>
      </c>
      <c r="AH140" s="2">
        <v>1</v>
      </c>
      <c r="AI140" s="2"/>
      <c r="AJ140">
        <v>1</v>
      </c>
      <c r="AK140" s="1">
        <f t="shared" si="140"/>
        <v>50.220732884203571</v>
      </c>
      <c r="AL140">
        <v>5</v>
      </c>
      <c r="AM140">
        <f t="shared" si="149"/>
        <v>166.4</v>
      </c>
      <c r="AN140">
        <f t="shared" si="150"/>
        <v>16.64</v>
      </c>
      <c r="AO140">
        <f t="shared" si="151"/>
        <v>1181.5384615384614</v>
      </c>
      <c r="AP140">
        <f t="shared" si="152"/>
        <v>118.15384615384615</v>
      </c>
      <c r="AQ140">
        <f t="shared" si="153"/>
        <v>23.771428571428572</v>
      </c>
      <c r="AR140">
        <f t="shared" si="143"/>
        <v>2.3771428571428572</v>
      </c>
      <c r="AS140">
        <f t="shared" si="154"/>
        <v>1.5</v>
      </c>
      <c r="AT140">
        <f t="shared" si="155"/>
        <v>1.5</v>
      </c>
      <c r="AU140">
        <f t="shared" si="156"/>
        <v>6</v>
      </c>
      <c r="AV140">
        <f t="shared" si="130"/>
        <v>4023</v>
      </c>
      <c r="AW140" s="1">
        <v>2</v>
      </c>
      <c r="AX140">
        <v>5</v>
      </c>
      <c r="AY140">
        <v>0.1</v>
      </c>
      <c r="BA140">
        <v>4</v>
      </c>
      <c r="BB140">
        <v>3</v>
      </c>
      <c r="BF140" s="3"/>
      <c r="CH140" t="str">
        <f t="shared" si="116"/>
        <v>DATA_Class_Base15</v>
      </c>
      <c r="CI140" s="6" t="s">
        <v>306</v>
      </c>
    </row>
    <row r="141" spans="1:87">
      <c r="A141">
        <f t="shared" si="141"/>
        <v>5053502</v>
      </c>
      <c r="B141" s="2" t="s">
        <v>574</v>
      </c>
      <c r="C141">
        <v>5</v>
      </c>
      <c r="D141">
        <v>5</v>
      </c>
      <c r="E141">
        <v>3</v>
      </c>
      <c r="F141" s="3" t="s">
        <v>576</v>
      </c>
      <c r="G141" s="3" t="s">
        <v>576</v>
      </c>
      <c r="H141">
        <v>0</v>
      </c>
      <c r="I141">
        <v>0</v>
      </c>
      <c r="J141" s="2">
        <v>0</v>
      </c>
      <c r="K141" s="8" t="s">
        <v>577</v>
      </c>
      <c r="L141" s="2">
        <f t="shared" si="142"/>
        <v>6</v>
      </c>
      <c r="M141" s="2">
        <f t="shared" si="132"/>
        <v>1.4000000000000001</v>
      </c>
      <c r="N141" s="2">
        <f t="shared" si="133"/>
        <v>2</v>
      </c>
      <c r="O141" s="2">
        <v>10</v>
      </c>
      <c r="P141" s="2">
        <f t="shared" si="134"/>
        <v>177.41</v>
      </c>
      <c r="Q141" s="2">
        <f t="shared" si="135"/>
        <v>17.739999999999998</v>
      </c>
      <c r="R141" s="2">
        <f t="shared" si="136"/>
        <v>1251.56</v>
      </c>
      <c r="S141" s="2">
        <f t="shared" si="137"/>
        <v>125.16</v>
      </c>
      <c r="T141" s="2">
        <f t="shared" si="138"/>
        <v>25.34</v>
      </c>
      <c r="U141" s="2">
        <f t="shared" si="139"/>
        <v>2.5299999999999998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6">
        <v>535021</v>
      </c>
      <c r="AB141" s="14" t="s">
        <v>578</v>
      </c>
      <c r="AC141" s="15" t="s">
        <v>890</v>
      </c>
      <c r="AD141" s="2">
        <v>5063502</v>
      </c>
      <c r="AE141" s="2">
        <v>5</v>
      </c>
      <c r="AF141" s="2">
        <v>1</v>
      </c>
      <c r="AG141" s="2">
        <f t="shared" si="148"/>
        <v>5053502</v>
      </c>
      <c r="AH141" s="2">
        <v>1</v>
      </c>
      <c r="AI141" s="2"/>
      <c r="AJ141">
        <v>1</v>
      </c>
      <c r="AK141" s="1">
        <f t="shared" si="140"/>
        <v>50.212610480001054</v>
      </c>
      <c r="AL141">
        <v>5</v>
      </c>
      <c r="AM141">
        <f t="shared" si="149"/>
        <v>161.28</v>
      </c>
      <c r="AN141">
        <f t="shared" si="150"/>
        <v>16.128</v>
      </c>
      <c r="AO141">
        <f t="shared" si="151"/>
        <v>1137.7777777777778</v>
      </c>
      <c r="AP141">
        <f t="shared" si="152"/>
        <v>113.77777777777779</v>
      </c>
      <c r="AQ141">
        <f t="shared" si="153"/>
        <v>23.04</v>
      </c>
      <c r="AR141">
        <f t="shared" si="143"/>
        <v>2.3039999999999998</v>
      </c>
      <c r="AS141">
        <f t="shared" si="154"/>
        <v>1.4</v>
      </c>
      <c r="AT141">
        <f t="shared" si="155"/>
        <v>2</v>
      </c>
      <c r="AU141">
        <f t="shared" si="156"/>
        <v>6</v>
      </c>
      <c r="AV141">
        <f t="shared" si="130"/>
        <v>5023</v>
      </c>
      <c r="AW141" s="1">
        <v>2</v>
      </c>
      <c r="AX141">
        <v>5</v>
      </c>
      <c r="AY141">
        <v>0.1</v>
      </c>
      <c r="BA141">
        <v>5</v>
      </c>
      <c r="BB141">
        <v>3</v>
      </c>
      <c r="BF141" s="3"/>
      <c r="CH141" t="str">
        <f t="shared" si="116"/>
        <v>DATA_Class_Base16</v>
      </c>
      <c r="CI141" s="6" t="s">
        <v>312</v>
      </c>
    </row>
    <row r="142" spans="1:87">
      <c r="A142">
        <f t="shared" si="141"/>
        <v>5053601</v>
      </c>
      <c r="B142" s="2" t="s">
        <v>579</v>
      </c>
      <c r="C142">
        <v>5</v>
      </c>
      <c r="D142">
        <v>6</v>
      </c>
      <c r="E142">
        <v>3</v>
      </c>
      <c r="F142" s="3" t="s">
        <v>581</v>
      </c>
      <c r="G142" s="3" t="s">
        <v>581</v>
      </c>
      <c r="H142">
        <v>0</v>
      </c>
      <c r="I142">
        <v>0</v>
      </c>
      <c r="J142">
        <v>0</v>
      </c>
      <c r="K142" s="2" t="s">
        <v>309</v>
      </c>
      <c r="L142" s="2">
        <f t="shared" si="142"/>
        <v>6</v>
      </c>
      <c r="M142" s="2">
        <f t="shared" si="132"/>
        <v>1.5</v>
      </c>
      <c r="N142" s="2">
        <f t="shared" si="133"/>
        <v>2</v>
      </c>
      <c r="O142" s="2">
        <v>10</v>
      </c>
      <c r="P142" s="2">
        <f t="shared" si="134"/>
        <v>126.72</v>
      </c>
      <c r="Q142" s="2">
        <f t="shared" si="135"/>
        <v>12.67</v>
      </c>
      <c r="R142" s="2">
        <f t="shared" si="136"/>
        <v>1877.33</v>
      </c>
      <c r="S142" s="2">
        <f t="shared" si="137"/>
        <v>187.73</v>
      </c>
      <c r="T142" s="2">
        <f t="shared" si="138"/>
        <v>42.24</v>
      </c>
      <c r="U142" s="2">
        <f t="shared" si="139"/>
        <v>4.22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6">
        <v>536011</v>
      </c>
      <c r="AB142" s="15" t="s">
        <v>582</v>
      </c>
      <c r="AC142" s="15" t="s">
        <v>890</v>
      </c>
      <c r="AD142" s="2">
        <v>5063601</v>
      </c>
      <c r="AE142" s="2">
        <v>5</v>
      </c>
      <c r="AF142" s="2">
        <v>1</v>
      </c>
      <c r="AG142" s="2">
        <f t="shared" si="148"/>
        <v>5053601</v>
      </c>
      <c r="AH142" s="2">
        <v>1</v>
      </c>
      <c r="AI142" s="2"/>
      <c r="AJ142">
        <v>1</v>
      </c>
      <c r="AK142" s="1">
        <f t="shared" si="140"/>
        <v>50.383734589814772</v>
      </c>
      <c r="AL142">
        <v>5</v>
      </c>
      <c r="AM142">
        <f t="shared" si="149"/>
        <v>115.2</v>
      </c>
      <c r="AN142">
        <f t="shared" si="150"/>
        <v>11.520000000000001</v>
      </c>
      <c r="AO142">
        <f t="shared" si="151"/>
        <v>1706.666666666667</v>
      </c>
      <c r="AP142">
        <f t="shared" si="152"/>
        <v>170.66666666666671</v>
      </c>
      <c r="AQ142">
        <f t="shared" si="153"/>
        <v>38.4</v>
      </c>
      <c r="AR142">
        <f t="shared" si="143"/>
        <v>3.84</v>
      </c>
      <c r="AS142">
        <f t="shared" si="154"/>
        <v>1.5</v>
      </c>
      <c r="AT142">
        <f t="shared" si="155"/>
        <v>2</v>
      </c>
      <c r="AU142">
        <f t="shared" si="156"/>
        <v>6</v>
      </c>
      <c r="AV142">
        <f t="shared" si="130"/>
        <v>6013</v>
      </c>
      <c r="AW142" s="1">
        <v>1</v>
      </c>
      <c r="AX142">
        <v>5</v>
      </c>
      <c r="AY142">
        <v>0.1</v>
      </c>
      <c r="BA142">
        <v>6</v>
      </c>
      <c r="BB142">
        <v>3</v>
      </c>
      <c r="BF142" s="3"/>
      <c r="CH142" t="str">
        <f t="shared" si="116"/>
        <v>DATA_Class_Base17</v>
      </c>
      <c r="CI142" s="6" t="s">
        <v>318</v>
      </c>
    </row>
    <row r="143" spans="1:87">
      <c r="A143">
        <f t="shared" si="141"/>
        <v>5054201</v>
      </c>
      <c r="B143" s="2" t="s">
        <v>583</v>
      </c>
      <c r="C143">
        <v>5</v>
      </c>
      <c r="D143">
        <v>2</v>
      </c>
      <c r="E143">
        <v>4</v>
      </c>
      <c r="F143" s="3" t="s">
        <v>585</v>
      </c>
      <c r="G143" s="3" t="s">
        <v>585</v>
      </c>
      <c r="H143">
        <v>0</v>
      </c>
      <c r="I143">
        <v>0</v>
      </c>
      <c r="J143" s="30">
        <v>0</v>
      </c>
      <c r="K143" s="8" t="s">
        <v>555</v>
      </c>
      <c r="L143" s="2">
        <f t="shared" ref="L143:L146" si="157">AU143</f>
        <v>3</v>
      </c>
      <c r="M143" s="2">
        <f t="shared" ref="M143:M146" si="158">FLOOR(AS143/1,0.01)</f>
        <v>1.8</v>
      </c>
      <c r="N143" s="2">
        <f t="shared" ref="N143:N146" si="159">FLOOR(AT143/1,0.01)</f>
        <v>1.8</v>
      </c>
      <c r="O143" s="2">
        <v>10</v>
      </c>
      <c r="P143" s="2">
        <f t="shared" si="134"/>
        <v>135.16999999999999</v>
      </c>
      <c r="Q143" s="2">
        <f t="shared" si="135"/>
        <v>13.52</v>
      </c>
      <c r="R143" s="2">
        <f t="shared" si="136"/>
        <v>2112</v>
      </c>
      <c r="S143" s="2">
        <f t="shared" si="137"/>
        <v>211.2</v>
      </c>
      <c r="T143" s="2">
        <f t="shared" si="138"/>
        <v>51.99</v>
      </c>
      <c r="U143" s="2">
        <f t="shared" si="139"/>
        <v>5.2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6">
        <v>542011</v>
      </c>
      <c r="AB143" s="15" t="s">
        <v>586</v>
      </c>
      <c r="AC143" s="15" t="s">
        <v>890</v>
      </c>
      <c r="AD143" s="2">
        <v>5064201</v>
      </c>
      <c r="AE143" s="2">
        <v>2</v>
      </c>
      <c r="AF143" s="2">
        <v>1</v>
      </c>
      <c r="AG143" s="2">
        <f t="shared" si="148"/>
        <v>5054201</v>
      </c>
      <c r="AH143" s="2">
        <v>1</v>
      </c>
      <c r="AI143" s="2"/>
      <c r="AJ143">
        <v>1</v>
      </c>
      <c r="AK143" s="1">
        <f t="shared" si="140"/>
        <v>50.482991647306406</v>
      </c>
      <c r="AL143">
        <v>5</v>
      </c>
      <c r="AM143">
        <f t="shared" si="149"/>
        <v>122.88000000000002</v>
      </c>
      <c r="AN143">
        <f t="shared" si="150"/>
        <v>12.288000000000004</v>
      </c>
      <c r="AO143">
        <f t="shared" si="151"/>
        <v>1920</v>
      </c>
      <c r="AP143">
        <f t="shared" si="152"/>
        <v>192</v>
      </c>
      <c r="AQ143">
        <f t="shared" si="153"/>
        <v>47.261538461538471</v>
      </c>
      <c r="AR143">
        <f t="shared" ref="AR143" si="160">AQ143*0.1</f>
        <v>4.7261538461538475</v>
      </c>
      <c r="AS143">
        <f t="shared" si="154"/>
        <v>1.8</v>
      </c>
      <c r="AT143">
        <f t="shared" si="155"/>
        <v>1.8</v>
      </c>
      <c r="AU143">
        <f t="shared" si="156"/>
        <v>3</v>
      </c>
      <c r="AV143">
        <f t="shared" si="130"/>
        <v>2014</v>
      </c>
      <c r="AW143" s="1">
        <v>1</v>
      </c>
      <c r="AX143">
        <v>5</v>
      </c>
      <c r="AY143">
        <v>0.1</v>
      </c>
      <c r="BA143">
        <v>2</v>
      </c>
      <c r="BB143">
        <v>4</v>
      </c>
      <c r="CH143" t="str">
        <f t="shared" si="116"/>
        <v>DATA_Class_Base18</v>
      </c>
      <c r="CI143" s="6" t="s">
        <v>324</v>
      </c>
    </row>
    <row r="144" spans="1:87">
      <c r="A144">
        <f t="shared" si="141"/>
        <v>5054501</v>
      </c>
      <c r="B144" s="2" t="s">
        <v>592</v>
      </c>
      <c r="C144">
        <v>5</v>
      </c>
      <c r="D144">
        <v>5</v>
      </c>
      <c r="E144">
        <v>4</v>
      </c>
      <c r="F144" s="3" t="s">
        <v>594</v>
      </c>
      <c r="G144" s="3" t="s">
        <v>594</v>
      </c>
      <c r="H144">
        <v>0</v>
      </c>
      <c r="I144">
        <v>0</v>
      </c>
      <c r="J144">
        <v>0</v>
      </c>
      <c r="K144" s="2" t="s">
        <v>334</v>
      </c>
      <c r="L144" s="2">
        <f t="shared" si="157"/>
        <v>6</v>
      </c>
      <c r="M144" s="2">
        <f t="shared" si="158"/>
        <v>1.6</v>
      </c>
      <c r="N144" s="2">
        <f t="shared" si="159"/>
        <v>2</v>
      </c>
      <c r="O144" s="2">
        <v>10</v>
      </c>
      <c r="P144" s="2">
        <f t="shared" si="134"/>
        <v>195.24</v>
      </c>
      <c r="Q144" s="2">
        <f t="shared" si="135"/>
        <v>19.52</v>
      </c>
      <c r="R144" s="2">
        <f t="shared" si="136"/>
        <v>1299.69</v>
      </c>
      <c r="S144" s="2">
        <f t="shared" si="137"/>
        <v>129.97</v>
      </c>
      <c r="T144" s="2">
        <f t="shared" si="138"/>
        <v>21.69</v>
      </c>
      <c r="U144" s="2">
        <f t="shared" si="139"/>
        <v>2.17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6">
        <v>545011</v>
      </c>
      <c r="AB144" s="14" t="s">
        <v>595</v>
      </c>
      <c r="AC144" s="15" t="s">
        <v>890</v>
      </c>
      <c r="AD144" s="2">
        <v>5064501</v>
      </c>
      <c r="AE144" s="2">
        <v>1</v>
      </c>
      <c r="AF144" s="2">
        <v>1</v>
      </c>
      <c r="AG144" s="2">
        <f t="shared" si="148"/>
        <v>5054501</v>
      </c>
      <c r="AH144" s="2">
        <v>1</v>
      </c>
      <c r="AI144" s="2"/>
      <c r="AJ144">
        <v>1</v>
      </c>
      <c r="AK144" s="1">
        <f t="shared" si="140"/>
        <v>50.175791808774598</v>
      </c>
      <c r="AL144">
        <v>5</v>
      </c>
      <c r="AM144">
        <f t="shared" si="149"/>
        <v>177.49333333333334</v>
      </c>
      <c r="AN144">
        <f t="shared" si="150"/>
        <v>17.749333333333336</v>
      </c>
      <c r="AO144">
        <f t="shared" si="151"/>
        <v>1181.5384615384614</v>
      </c>
      <c r="AP144">
        <f t="shared" si="152"/>
        <v>118.15384615384615</v>
      </c>
      <c r="AQ144">
        <f t="shared" si="153"/>
        <v>19.721481481481483</v>
      </c>
      <c r="AR144">
        <f t="shared" si="143"/>
        <v>1.9721481481481484</v>
      </c>
      <c r="AS144">
        <f t="shared" si="154"/>
        <v>1.6</v>
      </c>
      <c r="AT144">
        <f t="shared" si="155"/>
        <v>2</v>
      </c>
      <c r="AU144">
        <f t="shared" si="156"/>
        <v>6</v>
      </c>
      <c r="AV144">
        <f t="shared" si="130"/>
        <v>5014</v>
      </c>
      <c r="AW144" s="1">
        <v>1</v>
      </c>
      <c r="AX144">
        <v>5</v>
      </c>
      <c r="AY144">
        <v>0.1</v>
      </c>
      <c r="BA144">
        <v>5</v>
      </c>
      <c r="BB144">
        <v>4</v>
      </c>
      <c r="CH144" t="str">
        <f t="shared" si="116"/>
        <v>DATA_Class_Base19</v>
      </c>
      <c r="CI144" s="6" t="s">
        <v>331</v>
      </c>
    </row>
    <row r="145" spans="1:87">
      <c r="A145">
        <f t="shared" si="141"/>
        <v>5054600</v>
      </c>
      <c r="B145" s="2" t="s">
        <v>596</v>
      </c>
      <c r="C145">
        <v>5</v>
      </c>
      <c r="D145">
        <v>6</v>
      </c>
      <c r="E145">
        <v>4</v>
      </c>
      <c r="F145" s="3" t="s">
        <v>598</v>
      </c>
      <c r="G145" s="3" t="s">
        <v>598</v>
      </c>
      <c r="H145">
        <v>0</v>
      </c>
      <c r="I145">
        <v>0</v>
      </c>
      <c r="J145" s="2">
        <v>0</v>
      </c>
      <c r="K145" s="2" t="s">
        <v>339</v>
      </c>
      <c r="L145" s="2">
        <f t="shared" si="157"/>
        <v>3</v>
      </c>
      <c r="M145" s="2">
        <f t="shared" si="158"/>
        <v>1.4000000000000001</v>
      </c>
      <c r="N145" s="2">
        <f t="shared" si="159"/>
        <v>1.9000000000000001</v>
      </c>
      <c r="O145" s="2">
        <v>10</v>
      </c>
      <c r="P145" s="2">
        <f t="shared" si="134"/>
        <v>144.55000000000001</v>
      </c>
      <c r="Q145" s="2">
        <f t="shared" si="135"/>
        <v>14.46</v>
      </c>
      <c r="R145" s="2">
        <f t="shared" si="136"/>
        <v>1536</v>
      </c>
      <c r="S145" s="2">
        <f t="shared" si="137"/>
        <v>153.6</v>
      </c>
      <c r="T145" s="2">
        <f t="shared" si="138"/>
        <v>36.14</v>
      </c>
      <c r="U145" s="2">
        <f t="shared" si="139"/>
        <v>3.61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6">
        <v>546001</v>
      </c>
      <c r="AB145" s="14" t="s">
        <v>599</v>
      </c>
      <c r="AC145" s="15" t="s">
        <v>890</v>
      </c>
      <c r="AD145" s="2">
        <v>5064600</v>
      </c>
      <c r="AE145" s="2">
        <v>1</v>
      </c>
      <c r="AF145" s="2">
        <v>1</v>
      </c>
      <c r="AG145" s="2">
        <f t="shared" si="148"/>
        <v>5054600</v>
      </c>
      <c r="AH145" s="2">
        <v>1</v>
      </c>
      <c r="AI145" s="2"/>
      <c r="AJ145">
        <v>1</v>
      </c>
      <c r="AK145" s="1">
        <f t="shared" si="140"/>
        <v>50.321805390212361</v>
      </c>
      <c r="AL145">
        <v>5</v>
      </c>
      <c r="AM145">
        <f t="shared" si="149"/>
        <v>131.41333333333333</v>
      </c>
      <c r="AN145">
        <f t="shared" si="150"/>
        <v>13.141333333333334</v>
      </c>
      <c r="AO145">
        <f t="shared" si="151"/>
        <v>1396.3636363636365</v>
      </c>
      <c r="AP145">
        <f t="shared" si="152"/>
        <v>139.63636363636365</v>
      </c>
      <c r="AQ145">
        <f t="shared" si="153"/>
        <v>32.853333333333332</v>
      </c>
      <c r="AR145">
        <f t="shared" si="143"/>
        <v>3.2853333333333334</v>
      </c>
      <c r="AS145">
        <f t="shared" si="154"/>
        <v>1.4</v>
      </c>
      <c r="AT145">
        <f t="shared" si="155"/>
        <v>1.9</v>
      </c>
      <c r="AU145">
        <f t="shared" si="156"/>
        <v>3</v>
      </c>
      <c r="AV145">
        <f t="shared" si="130"/>
        <v>6004</v>
      </c>
      <c r="AW145" s="1">
        <v>0</v>
      </c>
      <c r="AX145">
        <v>5</v>
      </c>
      <c r="AY145">
        <v>0.1</v>
      </c>
      <c r="BA145">
        <v>6</v>
      </c>
      <c r="BB145">
        <v>4</v>
      </c>
      <c r="CH145" t="str">
        <f t="shared" si="116"/>
        <v>DATA_Class_Base20</v>
      </c>
      <c r="CI145" s="6" t="s">
        <v>336</v>
      </c>
    </row>
    <row r="146" spans="1:87">
      <c r="A146">
        <f t="shared" si="141"/>
        <v>5054602</v>
      </c>
      <c r="B146" s="2" t="s">
        <v>600</v>
      </c>
      <c r="C146">
        <v>5</v>
      </c>
      <c r="D146">
        <v>6</v>
      </c>
      <c r="E146">
        <v>4</v>
      </c>
      <c r="F146" s="3" t="s">
        <v>602</v>
      </c>
      <c r="G146" s="3" t="s">
        <v>602</v>
      </c>
      <c r="H146">
        <v>0</v>
      </c>
      <c r="I146">
        <v>0</v>
      </c>
      <c r="J146" t="s">
        <v>345</v>
      </c>
      <c r="K146" s="2" t="s">
        <v>346</v>
      </c>
      <c r="L146" s="2">
        <f t="shared" si="157"/>
        <v>6</v>
      </c>
      <c r="M146" s="2">
        <f t="shared" si="158"/>
        <v>1.8</v>
      </c>
      <c r="N146" s="2">
        <f t="shared" si="159"/>
        <v>2</v>
      </c>
      <c r="O146" s="2">
        <v>10</v>
      </c>
      <c r="P146" s="2">
        <f t="shared" si="134"/>
        <v>168.96</v>
      </c>
      <c r="Q146" s="2">
        <f t="shared" si="135"/>
        <v>16.899999999999999</v>
      </c>
      <c r="R146" s="2">
        <f t="shared" si="136"/>
        <v>1689.6</v>
      </c>
      <c r="S146" s="2">
        <f t="shared" si="137"/>
        <v>168.96</v>
      </c>
      <c r="T146" s="2">
        <f t="shared" si="138"/>
        <v>33.79</v>
      </c>
      <c r="U146" s="2">
        <f t="shared" si="139"/>
        <v>3.38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6">
        <v>546021</v>
      </c>
      <c r="AB146" s="14" t="s">
        <v>603</v>
      </c>
      <c r="AC146" s="15" t="s">
        <v>890</v>
      </c>
      <c r="AD146" s="2">
        <v>5064602</v>
      </c>
      <c r="AE146" s="2">
        <v>2</v>
      </c>
      <c r="AF146" s="2">
        <v>1</v>
      </c>
      <c r="AG146" s="2">
        <f t="shared" si="148"/>
        <v>5054602</v>
      </c>
      <c r="AH146" s="2">
        <v>1</v>
      </c>
      <c r="AI146" s="2"/>
      <c r="AJ146">
        <v>1</v>
      </c>
      <c r="AK146" s="1">
        <f t="shared" si="140"/>
        <v>50.298026985579355</v>
      </c>
      <c r="AL146">
        <v>5</v>
      </c>
      <c r="AM146">
        <f t="shared" si="149"/>
        <v>153.60000000000002</v>
      </c>
      <c r="AN146">
        <f t="shared" si="150"/>
        <v>15.360000000000003</v>
      </c>
      <c r="AO146">
        <f t="shared" si="151"/>
        <v>1536</v>
      </c>
      <c r="AP146">
        <f t="shared" si="152"/>
        <v>153.60000000000002</v>
      </c>
      <c r="AQ146">
        <f t="shared" si="153"/>
        <v>30.720000000000006</v>
      </c>
      <c r="AR146">
        <f t="shared" si="143"/>
        <v>3.072000000000001</v>
      </c>
      <c r="AS146">
        <f t="shared" si="154"/>
        <v>1.8</v>
      </c>
      <c r="AT146">
        <f t="shared" si="155"/>
        <v>2</v>
      </c>
      <c r="AU146">
        <f t="shared" si="156"/>
        <v>6</v>
      </c>
      <c r="AV146">
        <f t="shared" si="130"/>
        <v>6024</v>
      </c>
      <c r="AW146" s="1">
        <v>2</v>
      </c>
      <c r="AX146">
        <v>5</v>
      </c>
      <c r="AY146">
        <v>0.1</v>
      </c>
      <c r="BA146">
        <v>6</v>
      </c>
      <c r="BB146">
        <v>4</v>
      </c>
      <c r="CH146" t="str">
        <f t="shared" si="116"/>
        <v>DATA_Class_Base21</v>
      </c>
      <c r="CI146" s="6" t="s">
        <v>342</v>
      </c>
    </row>
    <row r="147" spans="1:87">
      <c r="A147">
        <f t="shared" si="141"/>
        <v>5055300</v>
      </c>
      <c r="B147" s="2" t="s">
        <v>609</v>
      </c>
      <c r="C147">
        <v>5</v>
      </c>
      <c r="D147">
        <v>3</v>
      </c>
      <c r="E147">
        <v>5</v>
      </c>
      <c r="F147" s="3" t="s">
        <v>611</v>
      </c>
      <c r="G147" s="3" t="s">
        <v>611</v>
      </c>
      <c r="H147">
        <v>0</v>
      </c>
      <c r="I147">
        <v>0</v>
      </c>
      <c r="J147" s="2">
        <v>0</v>
      </c>
      <c r="K147" s="8" t="s">
        <v>612</v>
      </c>
      <c r="L147" s="2">
        <f t="shared" si="142"/>
        <v>3</v>
      </c>
      <c r="M147" s="2">
        <f t="shared" si="132"/>
        <v>1.3</v>
      </c>
      <c r="N147" s="2">
        <f t="shared" si="133"/>
        <v>2</v>
      </c>
      <c r="O147" s="2">
        <v>10</v>
      </c>
      <c r="P147" s="2">
        <f t="shared" si="134"/>
        <v>140.33000000000001</v>
      </c>
      <c r="Q147" s="2">
        <f t="shared" si="135"/>
        <v>14.03</v>
      </c>
      <c r="R147" s="2">
        <f t="shared" si="136"/>
        <v>1469.22</v>
      </c>
      <c r="S147" s="2">
        <f t="shared" si="137"/>
        <v>146.91999999999999</v>
      </c>
      <c r="T147" s="2">
        <f t="shared" si="138"/>
        <v>17.54</v>
      </c>
      <c r="U147" s="2">
        <f t="shared" si="139"/>
        <v>1.75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6">
        <v>553001</v>
      </c>
      <c r="AB147" s="14" t="s">
        <v>613</v>
      </c>
      <c r="AC147" s="15" t="s">
        <v>890</v>
      </c>
      <c r="AD147" s="2">
        <v>5065300</v>
      </c>
      <c r="AE147" s="2">
        <v>1</v>
      </c>
      <c r="AF147" s="2">
        <v>1</v>
      </c>
      <c r="AG147" s="2">
        <f t="shared" si="148"/>
        <v>5055300</v>
      </c>
      <c r="AH147" s="2">
        <v>1</v>
      </c>
      <c r="AI147" s="2"/>
      <c r="AJ147">
        <v>1</v>
      </c>
      <c r="AK147" s="1">
        <f t="shared" si="140"/>
        <v>50.133976157420548</v>
      </c>
      <c r="AL147">
        <v>5</v>
      </c>
      <c r="AM147">
        <f t="shared" si="149"/>
        <v>127.57333333333332</v>
      </c>
      <c r="AN147">
        <f t="shared" si="150"/>
        <v>12.757333333333333</v>
      </c>
      <c r="AO147">
        <f t="shared" si="151"/>
        <v>1335.6521739130437</v>
      </c>
      <c r="AP147">
        <f t="shared" si="152"/>
        <v>133.56521739130437</v>
      </c>
      <c r="AQ147">
        <f t="shared" si="153"/>
        <v>15.946666666666665</v>
      </c>
      <c r="AR147">
        <f t="shared" ref="AR147:AR150" si="161">AQ147*0.1</f>
        <v>1.5946666666666667</v>
      </c>
      <c r="AS147">
        <f t="shared" si="154"/>
        <v>1.3</v>
      </c>
      <c r="AT147">
        <f t="shared" si="155"/>
        <v>2</v>
      </c>
      <c r="AU147">
        <f t="shared" si="156"/>
        <v>3</v>
      </c>
      <c r="AV147">
        <f t="shared" si="130"/>
        <v>3005</v>
      </c>
      <c r="AW147" s="1">
        <v>0</v>
      </c>
      <c r="AX147">
        <v>5</v>
      </c>
      <c r="AY147">
        <v>0.1</v>
      </c>
      <c r="BA147">
        <v>3</v>
      </c>
      <c r="BB147">
        <v>5</v>
      </c>
      <c r="CH147" t="str">
        <f t="shared" ref="CH147:CH210" si="162">INDEX($CE$18:$CE$59,MATCH($CI147,$CF$18:$CF$59,0))</f>
        <v>DATA_Class_Base13</v>
      </c>
      <c r="CI147" s="6" t="s">
        <v>295</v>
      </c>
    </row>
    <row r="148" spans="1:87">
      <c r="A148">
        <f t="shared" si="141"/>
        <v>5055302</v>
      </c>
      <c r="B148" s="2" t="s">
        <v>614</v>
      </c>
      <c r="C148">
        <v>5</v>
      </c>
      <c r="D148">
        <v>3</v>
      </c>
      <c r="E148">
        <v>5</v>
      </c>
      <c r="F148" s="3" t="s">
        <v>616</v>
      </c>
      <c r="G148" s="3" t="s">
        <v>616</v>
      </c>
      <c r="H148">
        <v>0</v>
      </c>
      <c r="I148">
        <v>0</v>
      </c>
      <c r="J148" s="2">
        <v>0</v>
      </c>
      <c r="K148" s="2" t="s">
        <v>358</v>
      </c>
      <c r="L148" s="2">
        <f t="shared" si="142"/>
        <v>3</v>
      </c>
      <c r="M148" s="2">
        <f t="shared" si="132"/>
        <v>1.4000000000000001</v>
      </c>
      <c r="N148" s="2">
        <f t="shared" si="133"/>
        <v>2</v>
      </c>
      <c r="O148" s="2">
        <v>10</v>
      </c>
      <c r="P148" s="2">
        <f t="shared" si="134"/>
        <v>157.69999999999999</v>
      </c>
      <c r="Q148" s="2">
        <f t="shared" si="135"/>
        <v>15.77</v>
      </c>
      <c r="R148" s="2">
        <f t="shared" si="136"/>
        <v>1408</v>
      </c>
      <c r="S148" s="2">
        <f t="shared" si="137"/>
        <v>140.80000000000001</v>
      </c>
      <c r="T148" s="2">
        <f t="shared" si="138"/>
        <v>22.53</v>
      </c>
      <c r="U148" s="2">
        <f t="shared" si="139"/>
        <v>2.25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6">
        <v>553021</v>
      </c>
      <c r="AB148" s="14" t="s">
        <v>617</v>
      </c>
      <c r="AC148" s="15" t="s">
        <v>890</v>
      </c>
      <c r="AD148" s="2">
        <v>5065302</v>
      </c>
      <c r="AE148" s="2">
        <v>2</v>
      </c>
      <c r="AF148" s="2">
        <v>1</v>
      </c>
      <c r="AG148" s="2">
        <f t="shared" si="148"/>
        <v>5055302</v>
      </c>
      <c r="AH148" s="2">
        <v>1</v>
      </c>
      <c r="AI148" s="2"/>
      <c r="AJ148">
        <v>1</v>
      </c>
      <c r="AK148" s="1">
        <f t="shared" si="140"/>
        <v>50.184202743882835</v>
      </c>
      <c r="AL148">
        <v>5</v>
      </c>
      <c r="AM148">
        <f t="shared" si="149"/>
        <v>143.35999999999999</v>
      </c>
      <c r="AN148">
        <f t="shared" si="150"/>
        <v>14.335999999999999</v>
      </c>
      <c r="AO148">
        <f t="shared" si="151"/>
        <v>1280</v>
      </c>
      <c r="AP148">
        <f t="shared" si="152"/>
        <v>128</v>
      </c>
      <c r="AQ148">
        <f t="shared" si="153"/>
        <v>20.479999999999997</v>
      </c>
      <c r="AR148">
        <f t="shared" si="161"/>
        <v>2.0479999999999996</v>
      </c>
      <c r="AS148">
        <f t="shared" si="154"/>
        <v>1.4</v>
      </c>
      <c r="AT148">
        <f t="shared" si="155"/>
        <v>2</v>
      </c>
      <c r="AU148">
        <f t="shared" si="156"/>
        <v>3</v>
      </c>
      <c r="AV148">
        <f t="shared" si="130"/>
        <v>3025</v>
      </c>
      <c r="AW148" s="1">
        <v>2</v>
      </c>
      <c r="AX148">
        <v>5</v>
      </c>
      <c r="AY148">
        <v>0.1</v>
      </c>
      <c r="BA148">
        <v>3</v>
      </c>
      <c r="BB148">
        <v>5</v>
      </c>
      <c r="CH148" t="str">
        <f t="shared" si="162"/>
        <v>DATA_Class_Base14</v>
      </c>
      <c r="CI148" s="6" t="s">
        <v>300</v>
      </c>
    </row>
    <row r="149" spans="1:87">
      <c r="A149">
        <f t="shared" si="141"/>
        <v>5055400</v>
      </c>
      <c r="B149" s="2" t="s">
        <v>618</v>
      </c>
      <c r="C149">
        <v>5</v>
      </c>
      <c r="D149">
        <v>4</v>
      </c>
      <c r="E149">
        <v>5</v>
      </c>
      <c r="F149" s="3" t="s">
        <v>620</v>
      </c>
      <c r="G149" s="3" t="s">
        <v>620</v>
      </c>
      <c r="H149">
        <v>0</v>
      </c>
      <c r="I149">
        <v>0</v>
      </c>
      <c r="J149">
        <v>0</v>
      </c>
      <c r="K149" s="2" t="s">
        <v>364</v>
      </c>
      <c r="L149" s="2">
        <f t="shared" si="142"/>
        <v>6</v>
      </c>
      <c r="M149" s="2">
        <f t="shared" si="132"/>
        <v>1.4000000000000001</v>
      </c>
      <c r="N149" s="2">
        <f t="shared" si="133"/>
        <v>2</v>
      </c>
      <c r="O149" s="2">
        <v>10</v>
      </c>
      <c r="P149" s="2">
        <f t="shared" si="134"/>
        <v>164.27</v>
      </c>
      <c r="Q149" s="2">
        <f t="shared" si="135"/>
        <v>16.43</v>
      </c>
      <c r="R149" s="2">
        <f t="shared" si="136"/>
        <v>1351.68</v>
      </c>
      <c r="S149" s="2">
        <f t="shared" si="137"/>
        <v>135.16999999999999</v>
      </c>
      <c r="T149" s="2">
        <f t="shared" si="138"/>
        <v>27.38</v>
      </c>
      <c r="U149" s="2">
        <f t="shared" si="139"/>
        <v>2.74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6">
        <v>554001</v>
      </c>
      <c r="AB149" s="14" t="s">
        <v>621</v>
      </c>
      <c r="AC149" s="15" t="s">
        <v>890</v>
      </c>
      <c r="AD149" s="2">
        <v>5065400</v>
      </c>
      <c r="AE149" s="2">
        <v>1</v>
      </c>
      <c r="AF149" s="2">
        <v>1</v>
      </c>
      <c r="AG149" s="2">
        <f t="shared" si="148"/>
        <v>5055400</v>
      </c>
      <c r="AH149" s="2">
        <v>1</v>
      </c>
      <c r="AI149" s="2"/>
      <c r="AJ149">
        <v>1</v>
      </c>
      <c r="AK149" s="1">
        <f t="shared" si="140"/>
        <v>50.233147188159194</v>
      </c>
      <c r="AL149">
        <v>5</v>
      </c>
      <c r="AM149">
        <f t="shared" si="149"/>
        <v>149.33333333333334</v>
      </c>
      <c r="AN149">
        <f t="shared" si="150"/>
        <v>14.933333333333335</v>
      </c>
      <c r="AO149">
        <f t="shared" si="151"/>
        <v>1228.8000000000002</v>
      </c>
      <c r="AP149">
        <f t="shared" si="152"/>
        <v>122.88000000000002</v>
      </c>
      <c r="AQ149">
        <f t="shared" si="153"/>
        <v>24.888888888888889</v>
      </c>
      <c r="AR149">
        <f t="shared" si="161"/>
        <v>2.4888888888888889</v>
      </c>
      <c r="AS149">
        <f t="shared" si="154"/>
        <v>1.4</v>
      </c>
      <c r="AT149">
        <f t="shared" si="155"/>
        <v>2</v>
      </c>
      <c r="AU149">
        <f t="shared" si="156"/>
        <v>6</v>
      </c>
      <c r="AV149">
        <f t="shared" si="130"/>
        <v>4005</v>
      </c>
      <c r="AW149" s="1">
        <v>0</v>
      </c>
      <c r="AX149">
        <v>5</v>
      </c>
      <c r="AY149">
        <v>0.1</v>
      </c>
      <c r="BA149">
        <v>4</v>
      </c>
      <c r="BB149">
        <v>5</v>
      </c>
      <c r="CH149" t="str">
        <f t="shared" si="162"/>
        <v>DATA_Class_Base15</v>
      </c>
      <c r="CI149" s="6" t="s">
        <v>306</v>
      </c>
    </row>
    <row r="150" spans="1:87">
      <c r="A150">
        <f t="shared" si="141"/>
        <v>5055501</v>
      </c>
      <c r="B150" s="2" t="s">
        <v>622</v>
      </c>
      <c r="C150">
        <v>5</v>
      </c>
      <c r="D150">
        <v>5</v>
      </c>
      <c r="E150">
        <v>5</v>
      </c>
      <c r="F150" s="3" t="s">
        <v>624</v>
      </c>
      <c r="G150" s="3" t="s">
        <v>624</v>
      </c>
      <c r="H150">
        <v>0</v>
      </c>
      <c r="I150">
        <v>0</v>
      </c>
      <c r="J150" s="3">
        <v>0</v>
      </c>
      <c r="K150" s="8" t="s">
        <v>625</v>
      </c>
      <c r="L150" s="2">
        <f t="shared" si="142"/>
        <v>6</v>
      </c>
      <c r="M150" s="2">
        <f t="shared" si="132"/>
        <v>1.6</v>
      </c>
      <c r="N150" s="2">
        <f t="shared" si="133"/>
        <v>2</v>
      </c>
      <c r="O150" s="2">
        <v>10</v>
      </c>
      <c r="P150" s="2">
        <f t="shared" si="134"/>
        <v>217.77</v>
      </c>
      <c r="Q150" s="2">
        <f t="shared" si="135"/>
        <v>21.78</v>
      </c>
      <c r="R150" s="2">
        <f t="shared" si="136"/>
        <v>1165.24</v>
      </c>
      <c r="S150" s="2">
        <f t="shared" si="137"/>
        <v>116.52</v>
      </c>
      <c r="T150" s="2">
        <f t="shared" si="138"/>
        <v>24.2</v>
      </c>
      <c r="U150" s="2">
        <f t="shared" si="139"/>
        <v>2.42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6">
        <v>555011</v>
      </c>
      <c r="AB150" s="15" t="s">
        <v>626</v>
      </c>
      <c r="AC150" s="15" t="s">
        <v>890</v>
      </c>
      <c r="AD150" s="2">
        <v>5065501</v>
      </c>
      <c r="AE150" s="2">
        <v>2</v>
      </c>
      <c r="AF150" s="2">
        <v>1</v>
      </c>
      <c r="AG150" s="2">
        <f t="shared" si="148"/>
        <v>5055501</v>
      </c>
      <c r="AH150" s="2">
        <v>1</v>
      </c>
      <c r="AI150" s="2"/>
      <c r="AJ150">
        <v>1</v>
      </c>
      <c r="AK150" s="1">
        <f t="shared" si="140"/>
        <v>50.201033076453676</v>
      </c>
      <c r="AL150">
        <v>5</v>
      </c>
      <c r="AM150">
        <f t="shared" si="149"/>
        <v>197.97333333333336</v>
      </c>
      <c r="AN150">
        <f t="shared" si="150"/>
        <v>19.797333333333338</v>
      </c>
      <c r="AO150">
        <f t="shared" si="151"/>
        <v>1059.3103448275863</v>
      </c>
      <c r="AP150">
        <f t="shared" si="152"/>
        <v>105.93103448275863</v>
      </c>
      <c r="AQ150">
        <f t="shared" si="153"/>
        <v>21.997037037037039</v>
      </c>
      <c r="AR150">
        <f t="shared" si="161"/>
        <v>2.1997037037037042</v>
      </c>
      <c r="AS150">
        <f t="shared" si="154"/>
        <v>1.6</v>
      </c>
      <c r="AT150">
        <f t="shared" si="155"/>
        <v>2</v>
      </c>
      <c r="AU150">
        <f t="shared" si="156"/>
        <v>6</v>
      </c>
      <c r="AV150">
        <f t="shared" si="130"/>
        <v>5015</v>
      </c>
      <c r="AW150" s="1">
        <v>1</v>
      </c>
      <c r="AX150">
        <v>5</v>
      </c>
      <c r="AY150">
        <v>0.1</v>
      </c>
      <c r="BA150">
        <v>5</v>
      </c>
      <c r="BB150">
        <v>5</v>
      </c>
      <c r="CH150" t="str">
        <f t="shared" si="162"/>
        <v>DATA_Class_Base16</v>
      </c>
      <c r="CI150" s="6" t="s">
        <v>312</v>
      </c>
    </row>
    <row r="151" spans="1:87">
      <c r="A151">
        <f t="shared" si="141"/>
        <v>5061200</v>
      </c>
      <c r="B151" s="2" t="s">
        <v>464</v>
      </c>
      <c r="C151">
        <v>6</v>
      </c>
      <c r="D151">
        <v>2</v>
      </c>
      <c r="E151">
        <v>1</v>
      </c>
      <c r="F151" s="3" t="s">
        <v>466</v>
      </c>
      <c r="G151" s="3" t="s">
        <v>466</v>
      </c>
      <c r="H151">
        <v>0</v>
      </c>
      <c r="I151">
        <v>0</v>
      </c>
      <c r="J151" s="2">
        <v>0</v>
      </c>
      <c r="K151" s="8" t="s">
        <v>467</v>
      </c>
      <c r="L151" s="2">
        <f t="shared" si="142"/>
        <v>3</v>
      </c>
      <c r="M151" s="2">
        <f t="shared" si="132"/>
        <v>1.5</v>
      </c>
      <c r="N151" s="2">
        <f t="shared" si="133"/>
        <v>1.2</v>
      </c>
      <c r="O151" s="2">
        <v>10</v>
      </c>
      <c r="P151" s="2">
        <f t="shared" si="134"/>
        <v>126.72</v>
      </c>
      <c r="Q151" s="2">
        <f t="shared" si="135"/>
        <v>12.67</v>
      </c>
      <c r="R151" s="2">
        <f t="shared" si="136"/>
        <v>2376</v>
      </c>
      <c r="S151" s="2">
        <f t="shared" si="137"/>
        <v>237.6</v>
      </c>
      <c r="T151" s="2">
        <f t="shared" si="138"/>
        <v>42.24</v>
      </c>
      <c r="U151" s="2">
        <f t="shared" si="139"/>
        <v>4.22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512002</v>
      </c>
      <c r="AB151" s="14" t="s">
        <v>468</v>
      </c>
      <c r="AC151" s="15" t="s">
        <v>890</v>
      </c>
      <c r="AD151" s="2">
        <v>5071200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140"/>
        <v>63.76691409023433</v>
      </c>
      <c r="AL151">
        <v>6</v>
      </c>
      <c r="AM151">
        <f t="shared" si="149"/>
        <v>115.20000000000003</v>
      </c>
      <c r="AN151">
        <f t="shared" si="150"/>
        <v>11.520000000000003</v>
      </c>
      <c r="AO151">
        <f t="shared" si="151"/>
        <v>2160</v>
      </c>
      <c r="AP151">
        <f t="shared" si="152"/>
        <v>216</v>
      </c>
      <c r="AQ151">
        <f t="shared" si="153"/>
        <v>38.400000000000013</v>
      </c>
      <c r="AR151">
        <f t="shared" si="143"/>
        <v>3.8400000000000016</v>
      </c>
      <c r="AS151">
        <f t="shared" si="154"/>
        <v>1.5</v>
      </c>
      <c r="AT151">
        <f t="shared" si="155"/>
        <v>1.2</v>
      </c>
      <c r="AU151">
        <f t="shared" si="156"/>
        <v>3</v>
      </c>
      <c r="AV151">
        <f t="shared" si="130"/>
        <v>2001</v>
      </c>
      <c r="AW151" s="1">
        <v>0</v>
      </c>
      <c r="AX151">
        <v>5</v>
      </c>
      <c r="AY151">
        <v>0.1</v>
      </c>
      <c r="BA151">
        <v>2</v>
      </c>
      <c r="BB151">
        <v>1</v>
      </c>
      <c r="CH151" t="str">
        <f t="shared" si="162"/>
        <v>DATA_Class_Base17</v>
      </c>
      <c r="CI151" s="6" t="s">
        <v>318</v>
      </c>
    </row>
    <row r="152" spans="1:87">
      <c r="A152">
        <f t="shared" si="141"/>
        <v>5061201</v>
      </c>
      <c r="B152" s="2" t="s">
        <v>470</v>
      </c>
      <c r="C152">
        <v>6</v>
      </c>
      <c r="D152">
        <v>2</v>
      </c>
      <c r="E152">
        <v>1</v>
      </c>
      <c r="F152" s="3" t="s">
        <v>472</v>
      </c>
      <c r="G152" s="3" t="s">
        <v>472</v>
      </c>
      <c r="H152">
        <v>0</v>
      </c>
      <c r="I152">
        <v>0</v>
      </c>
      <c r="J152" s="2">
        <v>0</v>
      </c>
      <c r="K152" s="8" t="s">
        <v>298</v>
      </c>
      <c r="L152" s="2">
        <f t="shared" si="142"/>
        <v>3</v>
      </c>
      <c r="M152" s="2">
        <f t="shared" si="132"/>
        <v>1.8</v>
      </c>
      <c r="N152" s="2">
        <f t="shared" si="133"/>
        <v>1.8</v>
      </c>
      <c r="O152" s="2">
        <v>10</v>
      </c>
      <c r="P152" s="2">
        <f t="shared" si="134"/>
        <v>95.04</v>
      </c>
      <c r="Q152" s="2">
        <f t="shared" si="135"/>
        <v>9.5</v>
      </c>
      <c r="R152" s="2">
        <f t="shared" si="136"/>
        <v>3801.6</v>
      </c>
      <c r="S152" s="2">
        <f t="shared" si="137"/>
        <v>380.16</v>
      </c>
      <c r="T152" s="2">
        <f t="shared" si="138"/>
        <v>47.52</v>
      </c>
      <c r="U152" s="2">
        <f t="shared" si="139"/>
        <v>4.75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512012</v>
      </c>
      <c r="AB152" s="14" t="s">
        <v>473</v>
      </c>
      <c r="AC152" s="15" t="s">
        <v>890</v>
      </c>
      <c r="AD152" s="2">
        <v>5071201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140"/>
        <v>63.834898071269343</v>
      </c>
      <c r="AL152">
        <v>6</v>
      </c>
      <c r="AM152">
        <f t="shared" si="149"/>
        <v>86.4</v>
      </c>
      <c r="AN152">
        <f t="shared" si="150"/>
        <v>8.64</v>
      </c>
      <c r="AO152">
        <f t="shared" si="151"/>
        <v>3456</v>
      </c>
      <c r="AP152">
        <f t="shared" si="152"/>
        <v>345.6</v>
      </c>
      <c r="AQ152">
        <f t="shared" si="153"/>
        <v>43.2</v>
      </c>
      <c r="AR152">
        <f t="shared" si="143"/>
        <v>4.32</v>
      </c>
      <c r="AS152">
        <f t="shared" si="154"/>
        <v>1.8</v>
      </c>
      <c r="AT152">
        <f t="shared" si="155"/>
        <v>1.8</v>
      </c>
      <c r="AU152">
        <f t="shared" si="156"/>
        <v>3</v>
      </c>
      <c r="AV152">
        <f t="shared" si="130"/>
        <v>2011</v>
      </c>
      <c r="AW152" s="1">
        <v>1</v>
      </c>
      <c r="AX152">
        <v>5</v>
      </c>
      <c r="AY152">
        <v>0.1</v>
      </c>
      <c r="BA152">
        <v>2</v>
      </c>
      <c r="BB152">
        <v>1</v>
      </c>
      <c r="CH152" t="str">
        <f t="shared" si="162"/>
        <v>DATA_Class_Base18</v>
      </c>
      <c r="CI152" s="6" t="s">
        <v>324</v>
      </c>
    </row>
    <row r="153" spans="1:87">
      <c r="A153">
        <f t="shared" si="141"/>
        <v>5061202</v>
      </c>
      <c r="B153" s="2" t="s">
        <v>474</v>
      </c>
      <c r="C153">
        <v>6</v>
      </c>
      <c r="D153">
        <v>2</v>
      </c>
      <c r="E153">
        <v>1</v>
      </c>
      <c r="F153" s="3" t="s">
        <v>476</v>
      </c>
      <c r="G153" s="3" t="s">
        <v>476</v>
      </c>
      <c r="H153">
        <v>0</v>
      </c>
      <c r="I153">
        <v>0</v>
      </c>
      <c r="J153">
        <v>0</v>
      </c>
      <c r="K153" s="8" t="s">
        <v>477</v>
      </c>
      <c r="L153" s="2">
        <f t="shared" si="142"/>
        <v>3</v>
      </c>
      <c r="M153" s="2">
        <f t="shared" ref="M153:M204" si="163">FLOOR(AS153/1,0.01)</f>
        <v>1.8</v>
      </c>
      <c r="N153" s="2">
        <f t="shared" ref="N153:N204" si="164">FLOOR(AT153/1,0.01)</f>
        <v>2</v>
      </c>
      <c r="O153" s="2">
        <v>10</v>
      </c>
      <c r="P153" s="2">
        <f t="shared" ref="P153:P204" si="165">ROUND(AM153*(1+$AY153),2)</f>
        <v>152.06</v>
      </c>
      <c r="Q153" s="2">
        <f t="shared" ref="Q153:Q204" si="166">ROUND(AN153*(1+$AY153),2)</f>
        <v>15.21</v>
      </c>
      <c r="R153" s="2">
        <f t="shared" ref="R153:R204" si="167">ROUND(AO153*(1+$AY153),2)</f>
        <v>2376</v>
      </c>
      <c r="S153" s="2">
        <f t="shared" ref="S153:S204" si="168">ROUND(AP153*(1+$AY153),2)</f>
        <v>237.6</v>
      </c>
      <c r="T153" s="2">
        <f t="shared" ref="T153:T204" si="169">ROUND(AQ153*(1+$AY153),2)</f>
        <v>38.020000000000003</v>
      </c>
      <c r="U153" s="2">
        <f t="shared" ref="U153:U204" si="170">ROUND(AR153*(1+$AY153),2)</f>
        <v>3.8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512022</v>
      </c>
      <c r="AB153" s="14" t="s">
        <v>478</v>
      </c>
      <c r="AC153" s="15" t="s">
        <v>890</v>
      </c>
      <c r="AD153" s="2">
        <v>5071202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ref="AK153:AK204" si="171">(AO153+AP153*AJ153)*(AM153+AN153*AJ153)/AS153*(0.9)*(1+0.5*0.1)*1/1/(1-(AQ153+AR153*AJ153)*0.0002)/3000</f>
        <v>63.712631076601646</v>
      </c>
      <c r="AL153">
        <v>6</v>
      </c>
      <c r="AM153">
        <f t="shared" si="149"/>
        <v>138.24000000000004</v>
      </c>
      <c r="AN153">
        <f t="shared" si="150"/>
        <v>13.824000000000005</v>
      </c>
      <c r="AO153">
        <f t="shared" si="151"/>
        <v>2160</v>
      </c>
      <c r="AP153">
        <f t="shared" si="152"/>
        <v>216</v>
      </c>
      <c r="AQ153">
        <f t="shared" si="153"/>
        <v>34.560000000000009</v>
      </c>
      <c r="AR153">
        <f t="shared" si="143"/>
        <v>3.4560000000000013</v>
      </c>
      <c r="AS153">
        <f t="shared" si="154"/>
        <v>1.8</v>
      </c>
      <c r="AT153">
        <f t="shared" si="155"/>
        <v>2</v>
      </c>
      <c r="AU153">
        <f t="shared" si="156"/>
        <v>3</v>
      </c>
      <c r="AV153">
        <f t="shared" si="130"/>
        <v>2021</v>
      </c>
      <c r="AW153" s="1">
        <v>2</v>
      </c>
      <c r="AX153">
        <v>5</v>
      </c>
      <c r="AY153">
        <v>0.1</v>
      </c>
      <c r="BA153">
        <v>2</v>
      </c>
      <c r="BB153">
        <v>1</v>
      </c>
      <c r="CH153" t="str">
        <f t="shared" si="162"/>
        <v>DATA_Class_Base19</v>
      </c>
      <c r="CI153" s="6" t="s">
        <v>331</v>
      </c>
    </row>
    <row r="154" spans="1:87">
      <c r="A154">
        <f t="shared" si="141"/>
        <v>5061301</v>
      </c>
      <c r="B154" s="2" t="s">
        <v>479</v>
      </c>
      <c r="C154">
        <v>6</v>
      </c>
      <c r="D154">
        <v>3</v>
      </c>
      <c r="E154">
        <v>1</v>
      </c>
      <c r="F154" s="3" t="s">
        <v>481</v>
      </c>
      <c r="G154" s="3" t="s">
        <v>481</v>
      </c>
      <c r="H154">
        <v>0</v>
      </c>
      <c r="I154">
        <v>0</v>
      </c>
      <c r="J154" s="2">
        <v>0</v>
      </c>
      <c r="K154" s="8" t="s">
        <v>482</v>
      </c>
      <c r="L154" s="2">
        <f t="shared" si="142"/>
        <v>3</v>
      </c>
      <c r="M154" s="2">
        <f t="shared" si="163"/>
        <v>1.2</v>
      </c>
      <c r="N154" s="2">
        <f t="shared" si="164"/>
        <v>2</v>
      </c>
      <c r="O154" s="2">
        <v>10</v>
      </c>
      <c r="P154" s="2">
        <f t="shared" si="165"/>
        <v>139.38999999999999</v>
      </c>
      <c r="Q154" s="2">
        <f t="shared" si="166"/>
        <v>13.94</v>
      </c>
      <c r="R154" s="2">
        <f t="shared" si="167"/>
        <v>1728</v>
      </c>
      <c r="S154" s="2">
        <f t="shared" si="168"/>
        <v>172.8</v>
      </c>
      <c r="T154" s="2">
        <f t="shared" si="169"/>
        <v>23.23</v>
      </c>
      <c r="U154" s="2">
        <f t="shared" si="170"/>
        <v>2.3199999999999998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513012</v>
      </c>
      <c r="AB154" s="14" t="s">
        <v>483</v>
      </c>
      <c r="AC154" s="15" t="s">
        <v>890</v>
      </c>
      <c r="AD154" s="2">
        <v>5071301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171"/>
        <v>63.523366168565651</v>
      </c>
      <c r="AL154">
        <v>6</v>
      </c>
      <c r="AM154">
        <f t="shared" si="149"/>
        <v>126.72000000000001</v>
      </c>
      <c r="AN154">
        <f t="shared" si="150"/>
        <v>12.672000000000002</v>
      </c>
      <c r="AO154">
        <f t="shared" si="151"/>
        <v>1570.909090909091</v>
      </c>
      <c r="AP154">
        <f t="shared" si="152"/>
        <v>157.09090909090912</v>
      </c>
      <c r="AQ154">
        <f t="shared" si="153"/>
        <v>21.12</v>
      </c>
      <c r="AR154">
        <f t="shared" si="143"/>
        <v>2.1120000000000001</v>
      </c>
      <c r="AS154">
        <f t="shared" si="154"/>
        <v>1.2</v>
      </c>
      <c r="AT154">
        <f t="shared" si="155"/>
        <v>2</v>
      </c>
      <c r="AU154">
        <f t="shared" si="156"/>
        <v>3</v>
      </c>
      <c r="AV154">
        <f t="shared" si="130"/>
        <v>3011</v>
      </c>
      <c r="AW154" s="1">
        <v>1</v>
      </c>
      <c r="AX154">
        <v>5</v>
      </c>
      <c r="AY154">
        <v>0.1</v>
      </c>
      <c r="BA154">
        <v>3</v>
      </c>
      <c r="BB154">
        <v>1</v>
      </c>
      <c r="CH154" t="str">
        <f t="shared" si="162"/>
        <v>DATA_Class_Base20</v>
      </c>
      <c r="CI154" s="6" t="s">
        <v>336</v>
      </c>
    </row>
    <row r="155" spans="1:87">
      <c r="A155">
        <f t="shared" si="141"/>
        <v>5061401</v>
      </c>
      <c r="B155" s="2" t="s">
        <v>484</v>
      </c>
      <c r="C155">
        <v>6</v>
      </c>
      <c r="D155">
        <v>4</v>
      </c>
      <c r="E155">
        <v>1</v>
      </c>
      <c r="F155" s="3" t="s">
        <v>486</v>
      </c>
      <c r="G155" s="3" t="s">
        <v>486</v>
      </c>
      <c r="H155">
        <v>0</v>
      </c>
      <c r="I155">
        <v>0</v>
      </c>
      <c r="J155" s="2">
        <v>0</v>
      </c>
      <c r="K155" s="2" t="s">
        <v>161</v>
      </c>
      <c r="L155" s="2">
        <f t="shared" si="142"/>
        <v>6</v>
      </c>
      <c r="M155" s="2">
        <f t="shared" si="163"/>
        <v>1.6</v>
      </c>
      <c r="N155" s="2">
        <f t="shared" si="164"/>
        <v>2</v>
      </c>
      <c r="O155" s="2">
        <v>10</v>
      </c>
      <c r="P155" s="2">
        <f t="shared" si="165"/>
        <v>185.86</v>
      </c>
      <c r="Q155" s="2">
        <f t="shared" si="166"/>
        <v>18.59</v>
      </c>
      <c r="R155" s="2">
        <f t="shared" si="167"/>
        <v>1728</v>
      </c>
      <c r="S155" s="2">
        <f t="shared" si="168"/>
        <v>172.8</v>
      </c>
      <c r="T155" s="2">
        <f t="shared" si="169"/>
        <v>37.17</v>
      </c>
      <c r="U155" s="2">
        <f t="shared" si="170"/>
        <v>3.72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514012</v>
      </c>
      <c r="AB155" s="14" t="s">
        <v>487</v>
      </c>
      <c r="AC155" s="15" t="s">
        <v>890</v>
      </c>
      <c r="AD155" s="2">
        <v>5071401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171"/>
        <v>63.701785562298689</v>
      </c>
      <c r="AL155">
        <v>6</v>
      </c>
      <c r="AM155">
        <f t="shared" si="149"/>
        <v>168.96000000000004</v>
      </c>
      <c r="AN155">
        <f t="shared" si="150"/>
        <v>16.896000000000004</v>
      </c>
      <c r="AO155">
        <f t="shared" si="151"/>
        <v>1570.909090909091</v>
      </c>
      <c r="AP155">
        <f t="shared" si="152"/>
        <v>157.09090909090912</v>
      </c>
      <c r="AQ155">
        <f t="shared" si="153"/>
        <v>33.792000000000009</v>
      </c>
      <c r="AR155">
        <f t="shared" si="143"/>
        <v>3.3792000000000009</v>
      </c>
      <c r="AS155">
        <f t="shared" si="154"/>
        <v>1.6</v>
      </c>
      <c r="AT155">
        <f t="shared" si="155"/>
        <v>2</v>
      </c>
      <c r="AU155">
        <f t="shared" si="156"/>
        <v>6</v>
      </c>
      <c r="AV155">
        <f t="shared" si="130"/>
        <v>4011</v>
      </c>
      <c r="AW155" s="1">
        <v>1</v>
      </c>
      <c r="AX155">
        <v>5</v>
      </c>
      <c r="AY155">
        <v>0.1</v>
      </c>
      <c r="BA155">
        <v>4</v>
      </c>
      <c r="BB155">
        <v>1</v>
      </c>
      <c r="CH155" t="str">
        <f t="shared" si="162"/>
        <v>DATA_Class_Base21</v>
      </c>
      <c r="CI155" s="6" t="s">
        <v>342</v>
      </c>
    </row>
    <row r="156" spans="1:87">
      <c r="A156">
        <f t="shared" si="141"/>
        <v>5061402</v>
      </c>
      <c r="B156" s="2" t="s">
        <v>488</v>
      </c>
      <c r="C156">
        <v>6</v>
      </c>
      <c r="D156">
        <v>4</v>
      </c>
      <c r="E156">
        <v>1</v>
      </c>
      <c r="F156" s="3" t="s">
        <v>490</v>
      </c>
      <c r="G156" s="3" t="s">
        <v>490</v>
      </c>
      <c r="H156">
        <v>0</v>
      </c>
      <c r="I156">
        <v>0</v>
      </c>
      <c r="J156">
        <v>0</v>
      </c>
      <c r="K156" s="8" t="s">
        <v>161</v>
      </c>
      <c r="L156" s="2">
        <f t="shared" si="142"/>
        <v>6</v>
      </c>
      <c r="M156" s="2">
        <f t="shared" si="163"/>
        <v>1.5</v>
      </c>
      <c r="N156" s="2">
        <f t="shared" si="164"/>
        <v>1.5</v>
      </c>
      <c r="O156" s="2">
        <v>10</v>
      </c>
      <c r="P156" s="2">
        <f t="shared" si="165"/>
        <v>190.08</v>
      </c>
      <c r="Q156" s="2">
        <f t="shared" si="166"/>
        <v>19.010000000000002</v>
      </c>
      <c r="R156" s="2">
        <f t="shared" si="167"/>
        <v>1584</v>
      </c>
      <c r="S156" s="2">
        <f t="shared" si="168"/>
        <v>158.4</v>
      </c>
      <c r="T156" s="2">
        <f t="shared" si="169"/>
        <v>31.68</v>
      </c>
      <c r="U156" s="2">
        <f t="shared" si="170"/>
        <v>3.17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514022</v>
      </c>
      <c r="AB156" s="14" t="s">
        <v>491</v>
      </c>
      <c r="AC156" s="15" t="s">
        <v>890</v>
      </c>
      <c r="AD156" s="2">
        <v>5071402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171"/>
        <v>63.631379621280438</v>
      </c>
      <c r="AL156">
        <v>6</v>
      </c>
      <c r="AM156">
        <f t="shared" si="149"/>
        <v>172.8</v>
      </c>
      <c r="AN156">
        <f t="shared" si="150"/>
        <v>17.28</v>
      </c>
      <c r="AO156">
        <f t="shared" si="151"/>
        <v>1440</v>
      </c>
      <c r="AP156">
        <f t="shared" si="152"/>
        <v>144</v>
      </c>
      <c r="AQ156">
        <f t="shared" si="153"/>
        <v>28.8</v>
      </c>
      <c r="AR156">
        <f t="shared" si="143"/>
        <v>2.8800000000000003</v>
      </c>
      <c r="AS156">
        <f t="shared" si="154"/>
        <v>1.5</v>
      </c>
      <c r="AT156">
        <f t="shared" si="155"/>
        <v>1.5</v>
      </c>
      <c r="AU156">
        <f t="shared" si="156"/>
        <v>6</v>
      </c>
      <c r="AV156">
        <f t="shared" si="130"/>
        <v>4021</v>
      </c>
      <c r="AW156" s="1">
        <v>2</v>
      </c>
      <c r="AX156">
        <v>5</v>
      </c>
      <c r="AY156">
        <v>0.1</v>
      </c>
      <c r="BA156">
        <v>4</v>
      </c>
      <c r="BB156">
        <v>1</v>
      </c>
      <c r="CH156" t="str">
        <f t="shared" si="162"/>
        <v>DATA_Class_Base22</v>
      </c>
      <c r="CI156" s="6" t="s">
        <v>349</v>
      </c>
    </row>
    <row r="157" spans="1:87">
      <c r="A157">
        <f t="shared" si="141"/>
        <v>5061500</v>
      </c>
      <c r="B157" s="2" t="s">
        <v>492</v>
      </c>
      <c r="C157">
        <v>6</v>
      </c>
      <c r="D157">
        <v>5</v>
      </c>
      <c r="E157">
        <v>1</v>
      </c>
      <c r="F157" s="3" t="s">
        <v>494</v>
      </c>
      <c r="G157" s="3" t="s">
        <v>494</v>
      </c>
      <c r="H157">
        <v>0</v>
      </c>
      <c r="I157">
        <v>0</v>
      </c>
      <c r="J157">
        <v>0</v>
      </c>
      <c r="K157" s="2" t="s">
        <v>303</v>
      </c>
      <c r="L157" s="2">
        <f t="shared" si="142"/>
        <v>6</v>
      </c>
      <c r="M157" s="2">
        <f t="shared" si="163"/>
        <v>1.5</v>
      </c>
      <c r="N157" s="2">
        <f t="shared" si="164"/>
        <v>1.5</v>
      </c>
      <c r="O157" s="2">
        <v>10</v>
      </c>
      <c r="P157" s="2">
        <f t="shared" si="165"/>
        <v>221.76</v>
      </c>
      <c r="Q157" s="2">
        <f t="shared" si="166"/>
        <v>22.18</v>
      </c>
      <c r="R157" s="2">
        <f t="shared" si="167"/>
        <v>1357.71</v>
      </c>
      <c r="S157" s="2">
        <f t="shared" si="168"/>
        <v>135.77000000000001</v>
      </c>
      <c r="T157" s="2">
        <f t="shared" si="169"/>
        <v>31.68</v>
      </c>
      <c r="U157" s="2">
        <f t="shared" si="170"/>
        <v>3.17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515002</v>
      </c>
      <c r="AB157" s="14" t="s">
        <v>495</v>
      </c>
      <c r="AC157" s="15" t="s">
        <v>890</v>
      </c>
      <c r="AD157" s="2">
        <v>5071500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171"/>
        <v>63.631379621280423</v>
      </c>
      <c r="AL157">
        <v>6</v>
      </c>
      <c r="AM157">
        <f t="shared" si="149"/>
        <v>201.59999999999997</v>
      </c>
      <c r="AN157">
        <f t="shared" si="150"/>
        <v>20.159999999999997</v>
      </c>
      <c r="AO157">
        <f t="shared" si="151"/>
        <v>1234.2857142857144</v>
      </c>
      <c r="AP157">
        <f t="shared" si="152"/>
        <v>123.42857142857144</v>
      </c>
      <c r="AQ157">
        <f t="shared" si="153"/>
        <v>28.799999999999994</v>
      </c>
      <c r="AR157">
        <f t="shared" si="143"/>
        <v>2.8799999999999994</v>
      </c>
      <c r="AS157">
        <f t="shared" si="154"/>
        <v>1.5</v>
      </c>
      <c r="AT157">
        <f t="shared" si="155"/>
        <v>1.5</v>
      </c>
      <c r="AU157">
        <f t="shared" si="156"/>
        <v>6</v>
      </c>
      <c r="AV157">
        <f t="shared" si="130"/>
        <v>5001</v>
      </c>
      <c r="AW157" s="1">
        <v>0</v>
      </c>
      <c r="AX157">
        <v>5</v>
      </c>
      <c r="AY157">
        <v>0.1</v>
      </c>
      <c r="BA157">
        <v>5</v>
      </c>
      <c r="BB157">
        <v>1</v>
      </c>
      <c r="CH157" t="str">
        <f t="shared" si="162"/>
        <v>DATA_Class_Base23</v>
      </c>
      <c r="CI157" s="6" t="s">
        <v>355</v>
      </c>
    </row>
    <row r="158" spans="1:87">
      <c r="A158">
        <f t="shared" si="141"/>
        <v>5061502</v>
      </c>
      <c r="B158" s="2" t="s">
        <v>496</v>
      </c>
      <c r="C158">
        <v>6</v>
      </c>
      <c r="D158">
        <v>5</v>
      </c>
      <c r="E158">
        <v>1</v>
      </c>
      <c r="F158" s="3" t="s">
        <v>498</v>
      </c>
      <c r="G158" s="3" t="s">
        <v>498</v>
      </c>
      <c r="H158">
        <v>0</v>
      </c>
      <c r="I158">
        <v>0</v>
      </c>
      <c r="J158" s="2">
        <v>0</v>
      </c>
      <c r="K158" s="8" t="s">
        <v>352</v>
      </c>
      <c r="L158" s="2">
        <f t="shared" si="142"/>
        <v>6</v>
      </c>
      <c r="M158" s="2">
        <f t="shared" si="163"/>
        <v>1.4000000000000001</v>
      </c>
      <c r="N158" s="2">
        <f t="shared" si="164"/>
        <v>2</v>
      </c>
      <c r="O158" s="2">
        <v>10</v>
      </c>
      <c r="P158" s="2">
        <f t="shared" si="165"/>
        <v>192.19</v>
      </c>
      <c r="Q158" s="2">
        <f t="shared" si="166"/>
        <v>19.22</v>
      </c>
      <c r="R158" s="2">
        <f t="shared" si="167"/>
        <v>1462.15</v>
      </c>
      <c r="S158" s="2">
        <f t="shared" si="168"/>
        <v>146.22</v>
      </c>
      <c r="T158" s="2">
        <f t="shared" si="169"/>
        <v>29.57</v>
      </c>
      <c r="U158" s="2">
        <f t="shared" si="170"/>
        <v>2.96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515022</v>
      </c>
      <c r="AB158" s="14" t="s">
        <v>499</v>
      </c>
      <c r="AC158" s="15" t="s">
        <v>890</v>
      </c>
      <c r="AD158" s="2">
        <v>5071502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171"/>
        <v>63.604341835880653</v>
      </c>
      <c r="AL158">
        <v>6</v>
      </c>
      <c r="AM158">
        <f t="shared" si="149"/>
        <v>174.71999999999997</v>
      </c>
      <c r="AN158">
        <f t="shared" si="150"/>
        <v>17.471999999999998</v>
      </c>
      <c r="AO158">
        <f t="shared" si="151"/>
        <v>1329.2307692307691</v>
      </c>
      <c r="AP158">
        <f t="shared" si="152"/>
        <v>132.92307692307691</v>
      </c>
      <c r="AQ158">
        <f t="shared" si="153"/>
        <v>26.879999999999995</v>
      </c>
      <c r="AR158">
        <f t="shared" si="143"/>
        <v>2.6879999999999997</v>
      </c>
      <c r="AS158">
        <f t="shared" si="154"/>
        <v>1.4</v>
      </c>
      <c r="AT158">
        <f t="shared" si="155"/>
        <v>2</v>
      </c>
      <c r="AU158">
        <f t="shared" si="156"/>
        <v>6</v>
      </c>
      <c r="AV158">
        <f t="shared" si="130"/>
        <v>5021</v>
      </c>
      <c r="AW158" s="1">
        <v>2</v>
      </c>
      <c r="AX158">
        <v>5</v>
      </c>
      <c r="AY158">
        <v>0.1</v>
      </c>
      <c r="BA158">
        <v>5</v>
      </c>
      <c r="BB158">
        <v>1</v>
      </c>
      <c r="CH158" t="str">
        <f t="shared" si="162"/>
        <v>DATA_Class_Base24</v>
      </c>
      <c r="CI158" s="6" t="s">
        <v>361</v>
      </c>
    </row>
    <row r="159" spans="1:87">
      <c r="A159">
        <f t="shared" si="141"/>
        <v>5061601</v>
      </c>
      <c r="B159" s="2" t="s">
        <v>500</v>
      </c>
      <c r="C159">
        <v>6</v>
      </c>
      <c r="D159">
        <v>6</v>
      </c>
      <c r="E159">
        <v>1</v>
      </c>
      <c r="F159" s="3" t="s">
        <v>502</v>
      </c>
      <c r="G159" s="3" t="s">
        <v>502</v>
      </c>
      <c r="H159">
        <v>0</v>
      </c>
      <c r="I159">
        <v>0</v>
      </c>
      <c r="J159">
        <v>0</v>
      </c>
      <c r="K159" s="2" t="s">
        <v>309</v>
      </c>
      <c r="L159" s="2">
        <f t="shared" si="142"/>
        <v>6</v>
      </c>
      <c r="M159" s="2">
        <f t="shared" si="163"/>
        <v>1.5</v>
      </c>
      <c r="N159" s="2">
        <f t="shared" si="164"/>
        <v>2</v>
      </c>
      <c r="O159" s="2">
        <v>10</v>
      </c>
      <c r="P159" s="2">
        <f t="shared" si="165"/>
        <v>158.4</v>
      </c>
      <c r="Q159" s="2">
        <f t="shared" si="166"/>
        <v>15.84</v>
      </c>
      <c r="R159" s="2">
        <f t="shared" si="167"/>
        <v>1900.8</v>
      </c>
      <c r="S159" s="2">
        <f t="shared" si="168"/>
        <v>190.08</v>
      </c>
      <c r="T159" s="2">
        <f t="shared" si="169"/>
        <v>39.6</v>
      </c>
      <c r="U159" s="2">
        <f t="shared" si="170"/>
        <v>3.96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516012</v>
      </c>
      <c r="AB159" s="14" t="s">
        <v>503</v>
      </c>
      <c r="AC159" s="15" t="s">
        <v>890</v>
      </c>
      <c r="AD159" s="2">
        <v>5071601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171"/>
        <v>63.732976372873161</v>
      </c>
      <c r="AL159">
        <v>6</v>
      </c>
      <c r="AM159">
        <f t="shared" si="149"/>
        <v>144</v>
      </c>
      <c r="AN159">
        <f t="shared" si="150"/>
        <v>14.4</v>
      </c>
      <c r="AO159">
        <f t="shared" si="151"/>
        <v>1728</v>
      </c>
      <c r="AP159">
        <f t="shared" si="152"/>
        <v>172.8</v>
      </c>
      <c r="AQ159">
        <f t="shared" si="153"/>
        <v>36</v>
      </c>
      <c r="AR159">
        <f t="shared" si="143"/>
        <v>3.6</v>
      </c>
      <c r="AS159">
        <f t="shared" si="154"/>
        <v>1.5</v>
      </c>
      <c r="AT159">
        <f t="shared" si="155"/>
        <v>2</v>
      </c>
      <c r="AU159">
        <f t="shared" si="156"/>
        <v>6</v>
      </c>
      <c r="AV159">
        <f t="shared" ref="AV159:AV222" si="172">BA159*1000+AW159*10+BB159</f>
        <v>6011</v>
      </c>
      <c r="AW159" s="1">
        <v>1</v>
      </c>
      <c r="AX159">
        <v>5</v>
      </c>
      <c r="AY159">
        <v>0.1</v>
      </c>
      <c r="BA159">
        <v>6</v>
      </c>
      <c r="BB159">
        <v>1</v>
      </c>
      <c r="CH159" t="str">
        <f t="shared" si="162"/>
        <v>DATA_Class_Base25</v>
      </c>
      <c r="CI159" s="6" t="s">
        <v>366</v>
      </c>
    </row>
    <row r="160" spans="1:87">
      <c r="A160">
        <f t="shared" si="141"/>
        <v>5062200</v>
      </c>
      <c r="B160" s="2" t="s">
        <v>504</v>
      </c>
      <c r="C160">
        <v>6</v>
      </c>
      <c r="D160">
        <v>2</v>
      </c>
      <c r="E160">
        <v>2</v>
      </c>
      <c r="F160" s="3" t="s">
        <v>506</v>
      </c>
      <c r="G160" s="3" t="s">
        <v>506</v>
      </c>
      <c r="H160">
        <v>0</v>
      </c>
      <c r="I160">
        <v>0</v>
      </c>
      <c r="J160">
        <v>0</v>
      </c>
      <c r="K160" s="8" t="s">
        <v>507</v>
      </c>
      <c r="L160" s="2">
        <f t="shared" si="142"/>
        <v>3</v>
      </c>
      <c r="M160" s="2">
        <f t="shared" si="163"/>
        <v>1.5</v>
      </c>
      <c r="N160" s="2">
        <f t="shared" si="164"/>
        <v>1.2</v>
      </c>
      <c r="O160" s="2">
        <v>10</v>
      </c>
      <c r="P160" s="2">
        <f t="shared" si="165"/>
        <v>158.4</v>
      </c>
      <c r="Q160" s="2">
        <f t="shared" si="166"/>
        <v>15.84</v>
      </c>
      <c r="R160" s="2">
        <f t="shared" si="167"/>
        <v>1900.8</v>
      </c>
      <c r="S160" s="2">
        <f t="shared" si="168"/>
        <v>190.08</v>
      </c>
      <c r="T160" s="2">
        <f t="shared" si="169"/>
        <v>39.6</v>
      </c>
      <c r="U160" s="2">
        <f t="shared" si="170"/>
        <v>3.96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522002</v>
      </c>
      <c r="AB160" s="14" t="s">
        <v>508</v>
      </c>
      <c r="AC160" s="15" t="s">
        <v>890</v>
      </c>
      <c r="AD160" s="2">
        <v>5072200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171"/>
        <v>63.732976372873161</v>
      </c>
      <c r="AL160">
        <v>6</v>
      </c>
      <c r="AM160">
        <f t="shared" si="149"/>
        <v>144</v>
      </c>
      <c r="AN160">
        <f t="shared" si="150"/>
        <v>14.4</v>
      </c>
      <c r="AO160">
        <f t="shared" si="151"/>
        <v>1728</v>
      </c>
      <c r="AP160">
        <f t="shared" si="152"/>
        <v>172.8</v>
      </c>
      <c r="AQ160">
        <f t="shared" si="153"/>
        <v>36</v>
      </c>
      <c r="AR160">
        <f t="shared" si="143"/>
        <v>3.6</v>
      </c>
      <c r="AS160">
        <f t="shared" si="154"/>
        <v>1.5</v>
      </c>
      <c r="AT160">
        <f t="shared" si="155"/>
        <v>1.2</v>
      </c>
      <c r="AU160">
        <f t="shared" si="156"/>
        <v>3</v>
      </c>
      <c r="AV160">
        <f t="shared" si="172"/>
        <v>2002</v>
      </c>
      <c r="AW160" s="1">
        <v>0</v>
      </c>
      <c r="AX160">
        <v>5</v>
      </c>
      <c r="AY160">
        <v>0.1</v>
      </c>
      <c r="BA160">
        <v>2</v>
      </c>
      <c r="BB160">
        <v>2</v>
      </c>
      <c r="CH160" t="str">
        <f t="shared" si="162"/>
        <v>DATA_Class_Base26</v>
      </c>
      <c r="CI160" s="6" t="s">
        <v>369</v>
      </c>
    </row>
    <row r="161" spans="1:87">
      <c r="A161">
        <f t="shared" si="141"/>
        <v>5062201</v>
      </c>
      <c r="B161" s="2" t="s">
        <v>509</v>
      </c>
      <c r="C161">
        <v>6</v>
      </c>
      <c r="D161">
        <v>2</v>
      </c>
      <c r="E161">
        <v>2</v>
      </c>
      <c r="F161" s="3" t="s">
        <v>511</v>
      </c>
      <c r="G161" s="3" t="s">
        <v>511</v>
      </c>
      <c r="H161">
        <v>0</v>
      </c>
      <c r="I161">
        <v>0</v>
      </c>
      <c r="J161">
        <v>0</v>
      </c>
      <c r="K161" s="8" t="s">
        <v>512</v>
      </c>
      <c r="L161" s="2">
        <f t="shared" si="142"/>
        <v>3</v>
      </c>
      <c r="M161" s="2">
        <f t="shared" si="163"/>
        <v>1.8</v>
      </c>
      <c r="N161" s="2">
        <f t="shared" si="164"/>
        <v>1.8</v>
      </c>
      <c r="O161" s="2">
        <v>10</v>
      </c>
      <c r="P161" s="2">
        <f t="shared" si="165"/>
        <v>133.06</v>
      </c>
      <c r="Q161" s="2">
        <f t="shared" si="166"/>
        <v>13.31</v>
      </c>
      <c r="R161" s="2">
        <f t="shared" si="167"/>
        <v>2715.43</v>
      </c>
      <c r="S161" s="2">
        <f t="shared" si="168"/>
        <v>271.54000000000002</v>
      </c>
      <c r="T161" s="2">
        <f t="shared" si="169"/>
        <v>44.35</v>
      </c>
      <c r="U161" s="2">
        <f t="shared" si="170"/>
        <v>4.4400000000000004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522012</v>
      </c>
      <c r="AB161" s="14" t="s">
        <v>513</v>
      </c>
      <c r="AC161" s="15" t="s">
        <v>890</v>
      </c>
      <c r="AD161" s="2">
        <v>5072201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171"/>
        <v>63.794090298584585</v>
      </c>
      <c r="AL161">
        <v>6</v>
      </c>
      <c r="AM161">
        <f t="shared" si="149"/>
        <v>120.96000000000001</v>
      </c>
      <c r="AN161">
        <f t="shared" si="150"/>
        <v>12.096000000000002</v>
      </c>
      <c r="AO161">
        <f t="shared" si="151"/>
        <v>2468.5714285714289</v>
      </c>
      <c r="AP161">
        <f t="shared" si="152"/>
        <v>246.85714285714289</v>
      </c>
      <c r="AQ161">
        <f t="shared" si="153"/>
        <v>40.32</v>
      </c>
      <c r="AR161">
        <f t="shared" si="143"/>
        <v>4.032</v>
      </c>
      <c r="AS161">
        <f t="shared" si="154"/>
        <v>1.8</v>
      </c>
      <c r="AT161">
        <f t="shared" si="155"/>
        <v>1.8</v>
      </c>
      <c r="AU161">
        <f t="shared" si="156"/>
        <v>3</v>
      </c>
      <c r="AV161">
        <f t="shared" si="172"/>
        <v>2012</v>
      </c>
      <c r="AW161" s="1">
        <v>1</v>
      </c>
      <c r="AX161">
        <v>5</v>
      </c>
      <c r="AY161">
        <v>0.1</v>
      </c>
      <c r="BA161">
        <v>2</v>
      </c>
      <c r="BB161">
        <v>2</v>
      </c>
      <c r="CH161" t="str">
        <f t="shared" si="162"/>
        <v>DATA_Class_Base27</v>
      </c>
      <c r="CI161" s="6" t="s">
        <v>371</v>
      </c>
    </row>
    <row r="162" spans="1:87">
      <c r="A162">
        <f t="shared" si="141"/>
        <v>5062202</v>
      </c>
      <c r="B162" s="2" t="s">
        <v>514</v>
      </c>
      <c r="C162">
        <v>6</v>
      </c>
      <c r="D162">
        <v>2</v>
      </c>
      <c r="E162">
        <v>2</v>
      </c>
      <c r="F162" s="3" t="s">
        <v>516</v>
      </c>
      <c r="G162" s="3" t="s">
        <v>516</v>
      </c>
      <c r="H162">
        <v>0</v>
      </c>
      <c r="I162">
        <v>0</v>
      </c>
      <c r="J162" s="2">
        <v>0</v>
      </c>
      <c r="K162" s="2" t="s">
        <v>280</v>
      </c>
      <c r="L162" s="2">
        <f t="shared" si="142"/>
        <v>3</v>
      </c>
      <c r="M162" s="2">
        <f t="shared" si="163"/>
        <v>1.8</v>
      </c>
      <c r="N162" s="2">
        <f t="shared" si="164"/>
        <v>2</v>
      </c>
      <c r="O162" s="2">
        <v>10</v>
      </c>
      <c r="P162" s="2">
        <f t="shared" si="165"/>
        <v>218.59</v>
      </c>
      <c r="Q162" s="2">
        <f t="shared" si="166"/>
        <v>21.86</v>
      </c>
      <c r="R162" s="2">
        <f t="shared" si="167"/>
        <v>1652.87</v>
      </c>
      <c r="S162" s="2">
        <f t="shared" si="168"/>
        <v>165.29</v>
      </c>
      <c r="T162" s="2">
        <f t="shared" si="169"/>
        <v>43.72</v>
      </c>
      <c r="U162" s="2">
        <f t="shared" si="170"/>
        <v>4.37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522022</v>
      </c>
      <c r="AB162" s="14" t="s">
        <v>517</v>
      </c>
      <c r="AC162" s="15" t="s">
        <v>890</v>
      </c>
      <c r="AD162" s="2">
        <v>5072202</v>
      </c>
      <c r="AE162" s="2">
        <v>0</v>
      </c>
      <c r="AF162" s="2">
        <v>2</v>
      </c>
      <c r="AG162" s="2">
        <v>6</v>
      </c>
      <c r="AH162" s="2">
        <v>2</v>
      </c>
      <c r="AI162" s="2"/>
      <c r="AJ162">
        <v>1</v>
      </c>
      <c r="AK162" s="1">
        <f t="shared" si="171"/>
        <v>63.785935004177325</v>
      </c>
      <c r="AL162">
        <v>6</v>
      </c>
      <c r="AM162">
        <f t="shared" si="149"/>
        <v>198.72</v>
      </c>
      <c r="AN162">
        <f t="shared" si="150"/>
        <v>19.872</v>
      </c>
      <c r="AO162">
        <f t="shared" si="151"/>
        <v>1502.608695652174</v>
      </c>
      <c r="AP162">
        <f t="shared" si="152"/>
        <v>150.2608695652174</v>
      </c>
      <c r="AQ162">
        <f t="shared" si="153"/>
        <v>39.744</v>
      </c>
      <c r="AR162">
        <f t="shared" si="143"/>
        <v>3.9744000000000002</v>
      </c>
      <c r="AS162">
        <f t="shared" si="154"/>
        <v>1.8</v>
      </c>
      <c r="AT162">
        <f t="shared" si="155"/>
        <v>2</v>
      </c>
      <c r="AU162">
        <f t="shared" si="156"/>
        <v>3</v>
      </c>
      <c r="AV162">
        <f t="shared" si="172"/>
        <v>2022</v>
      </c>
      <c r="AW162" s="1">
        <v>2</v>
      </c>
      <c r="AX162">
        <v>5</v>
      </c>
      <c r="AY162">
        <v>0.1</v>
      </c>
      <c r="BA162">
        <v>2</v>
      </c>
      <c r="BB162">
        <v>2</v>
      </c>
      <c r="CH162" t="str">
        <f t="shared" si="162"/>
        <v>DATA_Class_Base13</v>
      </c>
      <c r="CI162" s="6" t="s">
        <v>295</v>
      </c>
    </row>
    <row r="163" spans="1:87">
      <c r="A163">
        <f t="shared" si="141"/>
        <v>5062301</v>
      </c>
      <c r="B163" s="2" t="s">
        <v>518</v>
      </c>
      <c r="C163">
        <v>6</v>
      </c>
      <c r="D163">
        <v>3</v>
      </c>
      <c r="E163">
        <v>2</v>
      </c>
      <c r="F163" s="3" t="s">
        <v>520</v>
      </c>
      <c r="G163" s="3" t="s">
        <v>520</v>
      </c>
      <c r="H163">
        <v>0</v>
      </c>
      <c r="I163">
        <v>0</v>
      </c>
      <c r="J163">
        <v>0</v>
      </c>
      <c r="K163" s="2" t="s">
        <v>285</v>
      </c>
      <c r="L163" s="2">
        <f t="shared" si="142"/>
        <v>3</v>
      </c>
      <c r="M163" s="2">
        <f t="shared" si="163"/>
        <v>1.2</v>
      </c>
      <c r="N163" s="2">
        <f t="shared" si="164"/>
        <v>1.7</v>
      </c>
      <c r="O163" s="2">
        <v>10</v>
      </c>
      <c r="P163" s="2">
        <f t="shared" si="165"/>
        <v>164.74</v>
      </c>
      <c r="Q163" s="2">
        <f t="shared" si="166"/>
        <v>16.47</v>
      </c>
      <c r="R163" s="2">
        <f t="shared" si="167"/>
        <v>1462.15</v>
      </c>
      <c r="S163" s="2">
        <f t="shared" si="168"/>
        <v>146.22</v>
      </c>
      <c r="T163" s="2">
        <f t="shared" si="169"/>
        <v>27.46</v>
      </c>
      <c r="U163" s="2">
        <f t="shared" si="170"/>
        <v>2.75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523012</v>
      </c>
      <c r="AB163" s="14" t="s">
        <v>521</v>
      </c>
      <c r="AC163" s="15" t="s">
        <v>890</v>
      </c>
      <c r="AD163" s="2">
        <v>5072301</v>
      </c>
      <c r="AE163" s="2">
        <v>0</v>
      </c>
      <c r="AF163" s="2">
        <v>2</v>
      </c>
      <c r="AG163" s="2">
        <v>6</v>
      </c>
      <c r="AH163" s="2">
        <v>2</v>
      </c>
      <c r="AI163" s="2"/>
      <c r="AJ163">
        <v>1</v>
      </c>
      <c r="AK163" s="1">
        <f t="shared" si="171"/>
        <v>63.57732701812192</v>
      </c>
      <c r="AL163">
        <v>6</v>
      </c>
      <c r="AM163">
        <f t="shared" si="149"/>
        <v>149.76000000000002</v>
      </c>
      <c r="AN163">
        <f t="shared" si="150"/>
        <v>14.976000000000003</v>
      </c>
      <c r="AO163">
        <f t="shared" si="151"/>
        <v>1329.2307692307691</v>
      </c>
      <c r="AP163">
        <f t="shared" si="152"/>
        <v>132.92307692307691</v>
      </c>
      <c r="AQ163">
        <f t="shared" si="153"/>
        <v>24.960000000000004</v>
      </c>
      <c r="AR163">
        <f t="shared" si="143"/>
        <v>2.4960000000000004</v>
      </c>
      <c r="AS163">
        <f t="shared" si="154"/>
        <v>1.2</v>
      </c>
      <c r="AT163">
        <f t="shared" si="155"/>
        <v>1.7</v>
      </c>
      <c r="AU163">
        <f t="shared" si="156"/>
        <v>3</v>
      </c>
      <c r="AV163">
        <f t="shared" si="172"/>
        <v>3012</v>
      </c>
      <c r="AW163" s="1">
        <v>1</v>
      </c>
      <c r="AX163">
        <v>5</v>
      </c>
      <c r="AY163">
        <v>0.1</v>
      </c>
      <c r="BA163">
        <v>3</v>
      </c>
      <c r="BB163">
        <v>2</v>
      </c>
      <c r="CH163" t="str">
        <f t="shared" si="162"/>
        <v>DATA_Class_Base14</v>
      </c>
      <c r="CI163" s="6" t="s">
        <v>300</v>
      </c>
    </row>
    <row r="164" spans="1:87">
      <c r="A164">
        <f t="shared" ref="A164:A223" si="173">AX164*1000000+C164*10000+E164*1000+D164*100+AW164</f>
        <v>5062401</v>
      </c>
      <c r="B164" s="2" t="s">
        <v>522</v>
      </c>
      <c r="C164">
        <v>6</v>
      </c>
      <c r="D164">
        <v>4</v>
      </c>
      <c r="E164">
        <v>2</v>
      </c>
      <c r="F164" s="3" t="s">
        <v>524</v>
      </c>
      <c r="G164" s="3" t="s">
        <v>524</v>
      </c>
      <c r="H164">
        <v>0</v>
      </c>
      <c r="I164">
        <v>0</v>
      </c>
      <c r="J164" s="2">
        <v>0</v>
      </c>
      <c r="K164" s="8" t="s">
        <v>250</v>
      </c>
      <c r="L164" s="2">
        <f t="shared" ref="L164:L223" si="174">AU164</f>
        <v>6</v>
      </c>
      <c r="M164" s="2">
        <f t="shared" si="163"/>
        <v>1.6</v>
      </c>
      <c r="N164" s="2">
        <f t="shared" si="164"/>
        <v>1.5</v>
      </c>
      <c r="O164" s="2">
        <v>10</v>
      </c>
      <c r="P164" s="2">
        <f t="shared" si="165"/>
        <v>219.65</v>
      </c>
      <c r="Q164" s="2">
        <f t="shared" si="166"/>
        <v>21.96</v>
      </c>
      <c r="R164" s="2">
        <f t="shared" si="167"/>
        <v>1462.15</v>
      </c>
      <c r="S164" s="2">
        <f t="shared" si="168"/>
        <v>146.22</v>
      </c>
      <c r="T164" s="2">
        <f t="shared" si="169"/>
        <v>24.41</v>
      </c>
      <c r="U164" s="2">
        <f t="shared" si="170"/>
        <v>2.44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524012</v>
      </c>
      <c r="AB164" s="14" t="s">
        <v>525</v>
      </c>
      <c r="AC164" s="15" t="s">
        <v>890</v>
      </c>
      <c r="AD164" s="2">
        <v>5072401</v>
      </c>
      <c r="AE164" s="2">
        <v>0</v>
      </c>
      <c r="AF164" s="2">
        <v>2</v>
      </c>
      <c r="AG164" s="2">
        <v>6</v>
      </c>
      <c r="AH164" s="2">
        <v>2</v>
      </c>
      <c r="AI164" s="2"/>
      <c r="AJ164">
        <v>1</v>
      </c>
      <c r="AK164" s="1">
        <f t="shared" si="171"/>
        <v>63.538346103219546</v>
      </c>
      <c r="AL164">
        <v>6</v>
      </c>
      <c r="AM164">
        <f t="shared" si="149"/>
        <v>199.68</v>
      </c>
      <c r="AN164">
        <f t="shared" si="150"/>
        <v>19.968000000000004</v>
      </c>
      <c r="AO164">
        <f t="shared" si="151"/>
        <v>1329.2307692307691</v>
      </c>
      <c r="AP164">
        <f t="shared" si="152"/>
        <v>132.92307692307691</v>
      </c>
      <c r="AQ164">
        <f t="shared" si="153"/>
        <v>22.186666666666667</v>
      </c>
      <c r="AR164">
        <f t="shared" si="143"/>
        <v>2.218666666666667</v>
      </c>
      <c r="AS164">
        <f t="shared" si="154"/>
        <v>1.6</v>
      </c>
      <c r="AT164">
        <f t="shared" si="155"/>
        <v>1.5</v>
      </c>
      <c r="AU164">
        <f t="shared" si="156"/>
        <v>6</v>
      </c>
      <c r="AV164">
        <f t="shared" si="172"/>
        <v>4012</v>
      </c>
      <c r="AW164" s="1">
        <v>1</v>
      </c>
      <c r="AX164">
        <v>5</v>
      </c>
      <c r="AY164">
        <v>0.1</v>
      </c>
      <c r="BA164">
        <v>4</v>
      </c>
      <c r="BB164">
        <v>2</v>
      </c>
      <c r="CH164" t="str">
        <f t="shared" si="162"/>
        <v>DATA_Class_Base15</v>
      </c>
      <c r="CI164" s="6" t="s">
        <v>306</v>
      </c>
    </row>
    <row r="165" spans="1:87">
      <c r="A165">
        <f t="shared" si="173"/>
        <v>5062402</v>
      </c>
      <c r="B165" s="2" t="s">
        <v>526</v>
      </c>
      <c r="C165">
        <v>6</v>
      </c>
      <c r="D165">
        <v>4</v>
      </c>
      <c r="E165">
        <v>2</v>
      </c>
      <c r="F165" s="3" t="s">
        <v>528</v>
      </c>
      <c r="G165" s="3" t="s">
        <v>528</v>
      </c>
      <c r="H165">
        <v>0</v>
      </c>
      <c r="I165">
        <v>0</v>
      </c>
      <c r="J165">
        <v>0</v>
      </c>
      <c r="K165" s="2" t="s">
        <v>250</v>
      </c>
      <c r="L165" s="2">
        <f t="shared" si="174"/>
        <v>6</v>
      </c>
      <c r="M165" s="2">
        <f t="shared" si="163"/>
        <v>1.5</v>
      </c>
      <c r="N165" s="2">
        <f t="shared" si="164"/>
        <v>1.5</v>
      </c>
      <c r="O165" s="2">
        <v>10</v>
      </c>
      <c r="P165" s="2">
        <f t="shared" si="165"/>
        <v>221.76</v>
      </c>
      <c r="Q165" s="2">
        <f t="shared" si="166"/>
        <v>22.18</v>
      </c>
      <c r="R165" s="2">
        <f t="shared" si="167"/>
        <v>1357.71</v>
      </c>
      <c r="S165" s="2">
        <f t="shared" si="168"/>
        <v>135.77000000000001</v>
      </c>
      <c r="T165" s="2">
        <f t="shared" si="169"/>
        <v>27.72</v>
      </c>
      <c r="U165" s="2">
        <f t="shared" si="170"/>
        <v>2.77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524022</v>
      </c>
      <c r="AB165" s="14" t="s">
        <v>529</v>
      </c>
      <c r="AC165" s="15" t="s">
        <v>890</v>
      </c>
      <c r="AD165" s="2">
        <v>5072402</v>
      </c>
      <c r="AE165" s="2">
        <v>0</v>
      </c>
      <c r="AF165" s="2">
        <v>2</v>
      </c>
      <c r="AG165" s="2">
        <v>6</v>
      </c>
      <c r="AH165" s="2">
        <v>2</v>
      </c>
      <c r="AI165" s="2"/>
      <c r="AJ165">
        <v>1</v>
      </c>
      <c r="AK165" s="1">
        <f t="shared" si="171"/>
        <v>63.580702615299217</v>
      </c>
      <c r="AL165">
        <v>6</v>
      </c>
      <c r="AM165">
        <f t="shared" si="149"/>
        <v>201.59999999999997</v>
      </c>
      <c r="AN165">
        <f t="shared" si="150"/>
        <v>20.159999999999997</v>
      </c>
      <c r="AO165">
        <f t="shared" si="151"/>
        <v>1234.2857142857144</v>
      </c>
      <c r="AP165">
        <f t="shared" si="152"/>
        <v>123.42857142857144</v>
      </c>
      <c r="AQ165">
        <f t="shared" si="153"/>
        <v>25.199999999999996</v>
      </c>
      <c r="AR165">
        <f t="shared" ref="AR165:AR224" si="175">AQ165*0.1</f>
        <v>2.5199999999999996</v>
      </c>
      <c r="AS165">
        <f t="shared" si="154"/>
        <v>1.5</v>
      </c>
      <c r="AT165">
        <f t="shared" si="155"/>
        <v>1.5</v>
      </c>
      <c r="AU165">
        <f t="shared" si="156"/>
        <v>6</v>
      </c>
      <c r="AV165">
        <f t="shared" si="172"/>
        <v>4022</v>
      </c>
      <c r="AW165" s="1">
        <v>2</v>
      </c>
      <c r="AX165">
        <v>5</v>
      </c>
      <c r="AY165">
        <v>0.1</v>
      </c>
      <c r="BA165">
        <v>4</v>
      </c>
      <c r="BB165">
        <v>2</v>
      </c>
      <c r="CH165" t="str">
        <f t="shared" si="162"/>
        <v>DATA_Class_Base16</v>
      </c>
      <c r="CI165" s="6" t="s">
        <v>312</v>
      </c>
    </row>
    <row r="166" spans="1:87">
      <c r="A166">
        <f t="shared" si="173"/>
        <v>5062502</v>
      </c>
      <c r="B166" s="2" t="s">
        <v>535</v>
      </c>
      <c r="C166">
        <v>6</v>
      </c>
      <c r="D166">
        <v>5</v>
      </c>
      <c r="E166">
        <v>2</v>
      </c>
      <c r="F166" s="3" t="s">
        <v>537</v>
      </c>
      <c r="G166" s="3" t="s">
        <v>537</v>
      </c>
      <c r="H166">
        <v>0</v>
      </c>
      <c r="I166">
        <v>0</v>
      </c>
      <c r="J166" s="2">
        <v>0</v>
      </c>
      <c r="K166" s="2" t="s">
        <v>291</v>
      </c>
      <c r="L166" s="2">
        <f t="shared" si="174"/>
        <v>6</v>
      </c>
      <c r="M166" s="2">
        <f t="shared" si="163"/>
        <v>1.4000000000000001</v>
      </c>
      <c r="N166" s="2">
        <f t="shared" si="164"/>
        <v>2</v>
      </c>
      <c r="O166" s="2">
        <v>10</v>
      </c>
      <c r="P166" s="2">
        <f t="shared" si="165"/>
        <v>229.15</v>
      </c>
      <c r="Q166" s="2">
        <f t="shared" si="166"/>
        <v>22.92</v>
      </c>
      <c r="R166" s="2">
        <f t="shared" si="167"/>
        <v>1226.32</v>
      </c>
      <c r="S166" s="2">
        <f t="shared" si="168"/>
        <v>122.63</v>
      </c>
      <c r="T166" s="2">
        <f t="shared" si="169"/>
        <v>22.92</v>
      </c>
      <c r="U166" s="2">
        <f t="shared" si="170"/>
        <v>2.29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525022</v>
      </c>
      <c r="AB166" s="14" t="s">
        <v>538</v>
      </c>
      <c r="AC166" s="15" t="s">
        <v>890</v>
      </c>
      <c r="AD166" s="2">
        <v>5072502</v>
      </c>
      <c r="AE166" s="2">
        <v>0</v>
      </c>
      <c r="AF166" s="2">
        <v>2</v>
      </c>
      <c r="AG166" s="2">
        <v>6</v>
      </c>
      <c r="AH166" s="2">
        <v>2</v>
      </c>
      <c r="AI166" s="2"/>
      <c r="AJ166">
        <v>1</v>
      </c>
      <c r="AK166" s="1">
        <f t="shared" si="171"/>
        <v>63.519322797152263</v>
      </c>
      <c r="AL166">
        <v>6</v>
      </c>
      <c r="AM166">
        <f t="shared" si="149"/>
        <v>208.32</v>
      </c>
      <c r="AN166">
        <f t="shared" si="150"/>
        <v>20.832000000000001</v>
      </c>
      <c r="AO166">
        <f t="shared" si="151"/>
        <v>1114.8387096774195</v>
      </c>
      <c r="AP166">
        <f t="shared" si="152"/>
        <v>111.48387096774195</v>
      </c>
      <c r="AQ166">
        <f t="shared" si="153"/>
        <v>20.832000000000001</v>
      </c>
      <c r="AR166">
        <f t="shared" si="175"/>
        <v>2.0832000000000002</v>
      </c>
      <c r="AS166">
        <f t="shared" si="154"/>
        <v>1.4</v>
      </c>
      <c r="AT166">
        <f t="shared" si="155"/>
        <v>2</v>
      </c>
      <c r="AU166">
        <f t="shared" si="156"/>
        <v>6</v>
      </c>
      <c r="AV166">
        <f t="shared" si="172"/>
        <v>5022</v>
      </c>
      <c r="AW166" s="1">
        <v>2</v>
      </c>
      <c r="AX166">
        <v>5</v>
      </c>
      <c r="AY166">
        <v>0.1</v>
      </c>
      <c r="BA166">
        <v>5</v>
      </c>
      <c r="BB166">
        <v>2</v>
      </c>
      <c r="CH166" t="str">
        <f t="shared" si="162"/>
        <v>DATA_Class_Base17</v>
      </c>
      <c r="CI166" s="6" t="s">
        <v>318</v>
      </c>
    </row>
    <row r="167" spans="1:87">
      <c r="A167">
        <f t="shared" si="173"/>
        <v>5063200</v>
      </c>
      <c r="B167" s="2" t="s">
        <v>544</v>
      </c>
      <c r="C167">
        <v>6</v>
      </c>
      <c r="D167">
        <v>2</v>
      </c>
      <c r="E167">
        <v>3</v>
      </c>
      <c r="F167" s="3" t="s">
        <v>546</v>
      </c>
      <c r="G167" s="3" t="s">
        <v>546</v>
      </c>
      <c r="H167">
        <v>0</v>
      </c>
      <c r="I167">
        <v>0</v>
      </c>
      <c r="J167">
        <v>0</v>
      </c>
      <c r="K167" s="2" t="s">
        <v>314</v>
      </c>
      <c r="L167" s="2">
        <f t="shared" si="174"/>
        <v>3</v>
      </c>
      <c r="M167" s="2">
        <f t="shared" si="163"/>
        <v>1.5</v>
      </c>
      <c r="N167" s="2">
        <f t="shared" si="164"/>
        <v>1.2</v>
      </c>
      <c r="O167" s="2">
        <v>10</v>
      </c>
      <c r="P167" s="2">
        <f t="shared" si="165"/>
        <v>110.88</v>
      </c>
      <c r="Q167" s="2">
        <f t="shared" si="166"/>
        <v>11.09</v>
      </c>
      <c r="R167" s="2">
        <f t="shared" si="167"/>
        <v>2715.43</v>
      </c>
      <c r="S167" s="2">
        <f t="shared" si="168"/>
        <v>271.54000000000002</v>
      </c>
      <c r="T167" s="2">
        <f t="shared" si="169"/>
        <v>55.44</v>
      </c>
      <c r="U167" s="2">
        <f t="shared" si="170"/>
        <v>5.54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532002</v>
      </c>
      <c r="AB167" s="14" t="s">
        <v>547</v>
      </c>
      <c r="AC167" s="15" t="s">
        <v>890</v>
      </c>
      <c r="AD167" s="2">
        <v>5073200</v>
      </c>
      <c r="AE167" s="2">
        <v>0</v>
      </c>
      <c r="AF167" s="2">
        <v>2</v>
      </c>
      <c r="AG167" s="2">
        <v>6</v>
      </c>
      <c r="AH167" s="2">
        <v>2</v>
      </c>
      <c r="AI167" s="2"/>
      <c r="AJ167">
        <v>1</v>
      </c>
      <c r="AK167" s="1">
        <f t="shared" si="171"/>
        <v>63.937146277929678</v>
      </c>
      <c r="AL167">
        <v>6</v>
      </c>
      <c r="AM167">
        <f t="shared" si="149"/>
        <v>100.79999999999998</v>
      </c>
      <c r="AN167">
        <f t="shared" si="150"/>
        <v>10.079999999999998</v>
      </c>
      <c r="AO167">
        <f t="shared" si="151"/>
        <v>2468.5714285714289</v>
      </c>
      <c r="AP167">
        <f t="shared" si="152"/>
        <v>246.85714285714289</v>
      </c>
      <c r="AQ167">
        <f t="shared" si="153"/>
        <v>50.399999999999991</v>
      </c>
      <c r="AR167">
        <f t="shared" si="175"/>
        <v>5.0399999999999991</v>
      </c>
      <c r="AS167">
        <f t="shared" si="154"/>
        <v>1.5</v>
      </c>
      <c r="AT167">
        <f t="shared" si="155"/>
        <v>1.2</v>
      </c>
      <c r="AU167">
        <f t="shared" si="156"/>
        <v>3</v>
      </c>
      <c r="AV167">
        <f t="shared" si="172"/>
        <v>2003</v>
      </c>
      <c r="AW167" s="1">
        <v>0</v>
      </c>
      <c r="AX167">
        <v>5</v>
      </c>
      <c r="AY167">
        <v>0.1</v>
      </c>
      <c r="BA167">
        <v>2</v>
      </c>
      <c r="BB167">
        <v>3</v>
      </c>
      <c r="CH167" t="str">
        <f t="shared" si="162"/>
        <v>DATA_Class_Base18</v>
      </c>
      <c r="CI167" s="6" t="s">
        <v>324</v>
      </c>
    </row>
    <row r="168" spans="1:87">
      <c r="A168">
        <f t="shared" si="173"/>
        <v>5063202</v>
      </c>
      <c r="B168" s="2" t="s">
        <v>552</v>
      </c>
      <c r="C168">
        <v>6</v>
      </c>
      <c r="D168">
        <v>2</v>
      </c>
      <c r="E168">
        <v>3</v>
      </c>
      <c r="F168" s="3" t="s">
        <v>554</v>
      </c>
      <c r="G168" s="3" t="s">
        <v>554</v>
      </c>
      <c r="H168">
        <v>0</v>
      </c>
      <c r="I168">
        <v>0</v>
      </c>
      <c r="J168">
        <v>0</v>
      </c>
      <c r="K168" s="8" t="s">
        <v>555</v>
      </c>
      <c r="L168" s="2">
        <f t="shared" si="174"/>
        <v>3</v>
      </c>
      <c r="M168" s="2">
        <f t="shared" si="163"/>
        <v>1.8</v>
      </c>
      <c r="N168" s="2">
        <f t="shared" si="164"/>
        <v>2</v>
      </c>
      <c r="O168" s="2">
        <v>10</v>
      </c>
      <c r="P168" s="2">
        <f t="shared" si="165"/>
        <v>171.07</v>
      </c>
      <c r="Q168" s="2">
        <f t="shared" si="166"/>
        <v>17.11</v>
      </c>
      <c r="R168" s="2">
        <f t="shared" si="167"/>
        <v>2112</v>
      </c>
      <c r="S168" s="2">
        <f t="shared" si="168"/>
        <v>211.2</v>
      </c>
      <c r="T168" s="2">
        <f t="shared" si="169"/>
        <v>57.02</v>
      </c>
      <c r="U168" s="2">
        <f t="shared" si="170"/>
        <v>5.7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532022</v>
      </c>
      <c r="AB168" s="14" t="s">
        <v>556</v>
      </c>
      <c r="AC168" s="15" t="s">
        <v>890</v>
      </c>
      <c r="AD168" s="2">
        <v>5073202</v>
      </c>
      <c r="AE168" s="2">
        <v>0</v>
      </c>
      <c r="AF168" s="2">
        <v>2</v>
      </c>
      <c r="AG168" s="2">
        <v>6</v>
      </c>
      <c r="AH168" s="2">
        <v>2</v>
      </c>
      <c r="AI168" s="2"/>
      <c r="AJ168">
        <v>1</v>
      </c>
      <c r="AK168" s="1">
        <f t="shared" si="171"/>
        <v>63.957635238366542</v>
      </c>
      <c r="AL168">
        <v>6</v>
      </c>
      <c r="AM168">
        <f t="shared" si="149"/>
        <v>155.52000000000001</v>
      </c>
      <c r="AN168">
        <f t="shared" si="150"/>
        <v>15.552000000000001</v>
      </c>
      <c r="AO168">
        <f t="shared" si="151"/>
        <v>1920.0000000000002</v>
      </c>
      <c r="AP168">
        <f t="shared" si="152"/>
        <v>192.00000000000003</v>
      </c>
      <c r="AQ168">
        <f t="shared" si="153"/>
        <v>51.84</v>
      </c>
      <c r="AR168">
        <f t="shared" si="175"/>
        <v>5.1840000000000011</v>
      </c>
      <c r="AS168">
        <f t="shared" si="154"/>
        <v>1.8</v>
      </c>
      <c r="AT168">
        <f t="shared" si="155"/>
        <v>2</v>
      </c>
      <c r="AU168">
        <f t="shared" si="156"/>
        <v>3</v>
      </c>
      <c r="AV168">
        <f t="shared" si="172"/>
        <v>2023</v>
      </c>
      <c r="AW168" s="1">
        <v>2</v>
      </c>
      <c r="AX168">
        <v>5</v>
      </c>
      <c r="AY168">
        <v>0.1</v>
      </c>
      <c r="BA168">
        <v>2</v>
      </c>
      <c r="BB168">
        <v>3</v>
      </c>
      <c r="CH168" t="str">
        <f t="shared" si="162"/>
        <v>DATA_Class_Base19</v>
      </c>
      <c r="CI168" s="6" t="s">
        <v>331</v>
      </c>
    </row>
    <row r="169" spans="1:87" ht="14.25" customHeight="1">
      <c r="A169">
        <f t="shared" si="173"/>
        <v>5063301</v>
      </c>
      <c r="B169" s="2" t="s">
        <v>557</v>
      </c>
      <c r="C169">
        <v>6</v>
      </c>
      <c r="D169">
        <v>3</v>
      </c>
      <c r="E169">
        <v>3</v>
      </c>
      <c r="F169" s="3" t="s">
        <v>559</v>
      </c>
      <c r="G169" s="3" t="s">
        <v>559</v>
      </c>
      <c r="H169">
        <v>0</v>
      </c>
      <c r="I169">
        <v>0</v>
      </c>
      <c r="J169" s="2">
        <v>0</v>
      </c>
      <c r="K169" s="8" t="s">
        <v>555</v>
      </c>
      <c r="L169" s="2">
        <f t="shared" si="174"/>
        <v>3</v>
      </c>
      <c r="M169" s="2">
        <f t="shared" si="163"/>
        <v>1.2</v>
      </c>
      <c r="N169" s="2">
        <f t="shared" si="164"/>
        <v>1.4000000000000001</v>
      </c>
      <c r="O169" s="2">
        <v>10</v>
      </c>
      <c r="P169" s="2">
        <f t="shared" si="165"/>
        <v>152.06</v>
      </c>
      <c r="Q169" s="2">
        <f t="shared" si="166"/>
        <v>15.21</v>
      </c>
      <c r="R169" s="2">
        <f t="shared" si="167"/>
        <v>1584</v>
      </c>
      <c r="S169" s="2">
        <f t="shared" si="168"/>
        <v>158.4</v>
      </c>
      <c r="T169" s="2">
        <f t="shared" si="169"/>
        <v>30.41</v>
      </c>
      <c r="U169" s="2">
        <f t="shared" si="170"/>
        <v>3.04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533012</v>
      </c>
      <c r="AB169" s="14" t="s">
        <v>560</v>
      </c>
      <c r="AC169" s="15" t="s">
        <v>890</v>
      </c>
      <c r="AD169" s="2">
        <v>5073301</v>
      </c>
      <c r="AE169" s="2">
        <v>0</v>
      </c>
      <c r="AF169" s="2">
        <v>2</v>
      </c>
      <c r="AG169" s="2">
        <v>6</v>
      </c>
      <c r="AH169" s="2">
        <v>2</v>
      </c>
      <c r="AI169" s="2"/>
      <c r="AJ169">
        <v>1</v>
      </c>
      <c r="AK169" s="1">
        <f t="shared" si="171"/>
        <v>63.615154192283839</v>
      </c>
      <c r="AL169">
        <v>6</v>
      </c>
      <c r="AM169">
        <f t="shared" si="149"/>
        <v>138.24</v>
      </c>
      <c r="AN169">
        <f t="shared" si="150"/>
        <v>13.824000000000002</v>
      </c>
      <c r="AO169">
        <f t="shared" si="151"/>
        <v>1440</v>
      </c>
      <c r="AP169">
        <f t="shared" si="152"/>
        <v>144</v>
      </c>
      <c r="AQ169">
        <f t="shared" si="153"/>
        <v>27.648000000000003</v>
      </c>
      <c r="AR169">
        <f t="shared" si="175"/>
        <v>2.7648000000000006</v>
      </c>
      <c r="AS169">
        <f t="shared" si="154"/>
        <v>1.2</v>
      </c>
      <c r="AT169">
        <f t="shared" si="155"/>
        <v>1.4</v>
      </c>
      <c r="AU169">
        <f t="shared" si="156"/>
        <v>3</v>
      </c>
      <c r="AV169">
        <f t="shared" si="172"/>
        <v>3013</v>
      </c>
      <c r="AW169" s="1">
        <v>1</v>
      </c>
      <c r="AX169">
        <v>5</v>
      </c>
      <c r="AY169">
        <v>0.1</v>
      </c>
      <c r="BA169">
        <v>3</v>
      </c>
      <c r="BB169">
        <v>3</v>
      </c>
      <c r="CH169" t="str">
        <f t="shared" si="162"/>
        <v>DATA_Class_Base20</v>
      </c>
      <c r="CI169" s="6" t="s">
        <v>336</v>
      </c>
    </row>
    <row r="170" spans="1:87">
      <c r="A170">
        <f t="shared" si="173"/>
        <v>5063401</v>
      </c>
      <c r="B170" s="2" t="s">
        <v>561</v>
      </c>
      <c r="C170">
        <v>6</v>
      </c>
      <c r="D170">
        <v>4</v>
      </c>
      <c r="E170">
        <v>3</v>
      </c>
      <c r="F170" s="3" t="s">
        <v>563</v>
      </c>
      <c r="G170" s="3" t="s">
        <v>563</v>
      </c>
      <c r="H170">
        <v>0</v>
      </c>
      <c r="I170">
        <v>0</v>
      </c>
      <c r="J170">
        <v>0</v>
      </c>
      <c r="K170" s="8" t="s">
        <v>161</v>
      </c>
      <c r="L170" s="2">
        <f t="shared" si="174"/>
        <v>6</v>
      </c>
      <c r="M170" s="2">
        <f t="shared" si="163"/>
        <v>1.6</v>
      </c>
      <c r="N170" s="2">
        <f t="shared" si="164"/>
        <v>1.5</v>
      </c>
      <c r="O170" s="2">
        <v>10</v>
      </c>
      <c r="P170" s="2">
        <f t="shared" si="165"/>
        <v>202.75</v>
      </c>
      <c r="Q170" s="2">
        <f t="shared" si="166"/>
        <v>20.28</v>
      </c>
      <c r="R170" s="2">
        <f t="shared" si="167"/>
        <v>1584</v>
      </c>
      <c r="S170" s="2">
        <f t="shared" si="168"/>
        <v>158.4</v>
      </c>
      <c r="T170" s="2">
        <f t="shared" si="169"/>
        <v>33.79</v>
      </c>
      <c r="U170" s="2">
        <f t="shared" si="170"/>
        <v>3.38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534012</v>
      </c>
      <c r="AB170" s="14" t="s">
        <v>564</v>
      </c>
      <c r="AC170" s="15" t="s">
        <v>890</v>
      </c>
      <c r="AD170" s="2">
        <v>5073401</v>
      </c>
      <c r="AE170" s="2">
        <v>0</v>
      </c>
      <c r="AF170" s="2">
        <v>2</v>
      </c>
      <c r="AG170" s="2">
        <v>6</v>
      </c>
      <c r="AH170" s="2">
        <v>2</v>
      </c>
      <c r="AI170" s="2"/>
      <c r="AJ170">
        <v>1</v>
      </c>
      <c r="AK170" s="1">
        <f t="shared" si="171"/>
        <v>63.658440403623842</v>
      </c>
      <c r="AL170">
        <v>6</v>
      </c>
      <c r="AM170">
        <f t="shared" si="149"/>
        <v>184.32000000000002</v>
      </c>
      <c r="AN170">
        <f t="shared" si="150"/>
        <v>18.432000000000002</v>
      </c>
      <c r="AO170">
        <f t="shared" si="151"/>
        <v>1440</v>
      </c>
      <c r="AP170">
        <f t="shared" si="152"/>
        <v>144</v>
      </c>
      <c r="AQ170">
        <f t="shared" si="153"/>
        <v>30.720000000000002</v>
      </c>
      <c r="AR170">
        <f t="shared" si="175"/>
        <v>3.0720000000000005</v>
      </c>
      <c r="AS170">
        <f t="shared" si="154"/>
        <v>1.6</v>
      </c>
      <c r="AT170">
        <f t="shared" si="155"/>
        <v>1.5</v>
      </c>
      <c r="AU170">
        <f t="shared" si="156"/>
        <v>6</v>
      </c>
      <c r="AV170">
        <f t="shared" si="172"/>
        <v>4013</v>
      </c>
      <c r="AW170" s="1">
        <v>1</v>
      </c>
      <c r="AX170">
        <v>5</v>
      </c>
      <c r="AY170">
        <v>0.1</v>
      </c>
      <c r="BA170">
        <v>4</v>
      </c>
      <c r="BB170">
        <v>3</v>
      </c>
      <c r="CH170" t="str">
        <f t="shared" si="162"/>
        <v>DATA_Class_Base21</v>
      </c>
      <c r="CI170" s="6" t="s">
        <v>342</v>
      </c>
    </row>
    <row r="171" spans="1:87">
      <c r="A171">
        <f t="shared" si="173"/>
        <v>5063402</v>
      </c>
      <c r="B171" s="2" t="s">
        <v>565</v>
      </c>
      <c r="C171">
        <v>6</v>
      </c>
      <c r="D171">
        <v>4</v>
      </c>
      <c r="E171">
        <v>3</v>
      </c>
      <c r="F171" s="3" t="s">
        <v>567</v>
      </c>
      <c r="G171" s="3" t="s">
        <v>567</v>
      </c>
      <c r="H171">
        <v>0</v>
      </c>
      <c r="I171">
        <v>0</v>
      </c>
      <c r="J171" s="2">
        <v>0</v>
      </c>
      <c r="K171" s="8" t="s">
        <v>568</v>
      </c>
      <c r="L171" s="2">
        <f t="shared" si="174"/>
        <v>6</v>
      </c>
      <c r="M171" s="2">
        <f t="shared" si="163"/>
        <v>1.5</v>
      </c>
      <c r="N171" s="2">
        <f t="shared" si="164"/>
        <v>1.5</v>
      </c>
      <c r="O171" s="2">
        <v>10</v>
      </c>
      <c r="P171" s="2">
        <f t="shared" si="165"/>
        <v>205.92</v>
      </c>
      <c r="Q171" s="2">
        <f t="shared" si="166"/>
        <v>20.59</v>
      </c>
      <c r="R171" s="2">
        <f t="shared" si="167"/>
        <v>1462.15</v>
      </c>
      <c r="S171" s="2">
        <f t="shared" si="168"/>
        <v>146.22</v>
      </c>
      <c r="T171" s="2">
        <f t="shared" si="169"/>
        <v>29.42</v>
      </c>
      <c r="U171" s="2">
        <f t="shared" si="170"/>
        <v>2.94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534022</v>
      </c>
      <c r="AB171" s="14" t="s">
        <v>569</v>
      </c>
      <c r="AC171" s="15" t="s">
        <v>890</v>
      </c>
      <c r="AD171" s="2">
        <v>5073402</v>
      </c>
      <c r="AE171" s="2">
        <v>0</v>
      </c>
      <c r="AF171" s="2">
        <v>2</v>
      </c>
      <c r="AG171" s="2">
        <v>6</v>
      </c>
      <c r="AH171" s="2">
        <v>2</v>
      </c>
      <c r="AI171" s="2"/>
      <c r="AJ171">
        <v>1</v>
      </c>
      <c r="AK171" s="1">
        <f t="shared" si="171"/>
        <v>63.602411444705524</v>
      </c>
      <c r="AL171">
        <v>6</v>
      </c>
      <c r="AM171">
        <f t="shared" si="149"/>
        <v>187.20000000000002</v>
      </c>
      <c r="AN171">
        <f t="shared" si="150"/>
        <v>18.720000000000002</v>
      </c>
      <c r="AO171">
        <f t="shared" si="151"/>
        <v>1329.2307692307691</v>
      </c>
      <c r="AP171">
        <f t="shared" si="152"/>
        <v>132.92307692307691</v>
      </c>
      <c r="AQ171">
        <f t="shared" si="153"/>
        <v>26.742857142857144</v>
      </c>
      <c r="AR171">
        <f t="shared" si="175"/>
        <v>2.6742857142857144</v>
      </c>
      <c r="AS171">
        <f t="shared" si="154"/>
        <v>1.5</v>
      </c>
      <c r="AT171">
        <f t="shared" si="155"/>
        <v>1.5</v>
      </c>
      <c r="AU171">
        <f t="shared" si="156"/>
        <v>6</v>
      </c>
      <c r="AV171">
        <f t="shared" si="172"/>
        <v>4023</v>
      </c>
      <c r="AW171" s="1">
        <v>2</v>
      </c>
      <c r="AX171">
        <v>5</v>
      </c>
      <c r="AY171">
        <v>0.1</v>
      </c>
      <c r="BA171">
        <v>4</v>
      </c>
      <c r="BB171">
        <v>3</v>
      </c>
      <c r="CH171" t="str">
        <f t="shared" si="162"/>
        <v>DATA_Class_Base13</v>
      </c>
      <c r="CI171" s="6" t="s">
        <v>295</v>
      </c>
    </row>
    <row r="172" spans="1:87">
      <c r="A172">
        <f t="shared" si="173"/>
        <v>5063502</v>
      </c>
      <c r="B172" s="2" t="s">
        <v>574</v>
      </c>
      <c r="C172">
        <v>6</v>
      </c>
      <c r="D172">
        <v>5</v>
      </c>
      <c r="E172">
        <v>3</v>
      </c>
      <c r="F172" s="3" t="s">
        <v>576</v>
      </c>
      <c r="G172" s="3" t="s">
        <v>576</v>
      </c>
      <c r="H172">
        <v>0</v>
      </c>
      <c r="I172">
        <v>0</v>
      </c>
      <c r="J172" s="2">
        <v>0</v>
      </c>
      <c r="K172" s="8" t="s">
        <v>577</v>
      </c>
      <c r="L172" s="2">
        <f t="shared" si="174"/>
        <v>6</v>
      </c>
      <c r="M172" s="2">
        <f t="shared" si="163"/>
        <v>1.4000000000000001</v>
      </c>
      <c r="N172" s="2">
        <f t="shared" si="164"/>
        <v>2</v>
      </c>
      <c r="O172" s="2">
        <v>10</v>
      </c>
      <c r="P172" s="2">
        <f t="shared" si="165"/>
        <v>199.58</v>
      </c>
      <c r="Q172" s="2">
        <f t="shared" si="166"/>
        <v>19.96</v>
      </c>
      <c r="R172" s="2">
        <f t="shared" si="167"/>
        <v>1408</v>
      </c>
      <c r="S172" s="2">
        <f t="shared" si="168"/>
        <v>140.80000000000001</v>
      </c>
      <c r="T172" s="2">
        <f t="shared" si="169"/>
        <v>28.51</v>
      </c>
      <c r="U172" s="2">
        <f t="shared" si="170"/>
        <v>2.85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535022</v>
      </c>
      <c r="AB172" s="14" t="s">
        <v>578</v>
      </c>
      <c r="AC172" s="15" t="s">
        <v>890</v>
      </c>
      <c r="AD172" s="2">
        <v>5073502</v>
      </c>
      <c r="AE172" s="2">
        <v>0</v>
      </c>
      <c r="AF172" s="2">
        <v>2</v>
      </c>
      <c r="AG172" s="2">
        <v>6</v>
      </c>
      <c r="AH172" s="2">
        <v>2</v>
      </c>
      <c r="AI172" s="2"/>
      <c r="AJ172">
        <v>1</v>
      </c>
      <c r="AK172" s="1">
        <f t="shared" si="171"/>
        <v>63.590831557875632</v>
      </c>
      <c r="AL172">
        <v>6</v>
      </c>
      <c r="AM172">
        <f t="shared" si="149"/>
        <v>181.44</v>
      </c>
      <c r="AN172">
        <f t="shared" si="150"/>
        <v>18.144000000000002</v>
      </c>
      <c r="AO172">
        <f t="shared" si="151"/>
        <v>1280</v>
      </c>
      <c r="AP172">
        <f t="shared" si="152"/>
        <v>128</v>
      </c>
      <c r="AQ172">
        <f t="shared" si="153"/>
        <v>25.919999999999998</v>
      </c>
      <c r="AR172">
        <f t="shared" si="175"/>
        <v>2.5920000000000001</v>
      </c>
      <c r="AS172">
        <f t="shared" si="154"/>
        <v>1.4</v>
      </c>
      <c r="AT172">
        <f t="shared" si="155"/>
        <v>2</v>
      </c>
      <c r="AU172">
        <f t="shared" si="156"/>
        <v>6</v>
      </c>
      <c r="AV172">
        <f t="shared" si="172"/>
        <v>5023</v>
      </c>
      <c r="AW172" s="1">
        <v>2</v>
      </c>
      <c r="AX172">
        <v>5</v>
      </c>
      <c r="AY172">
        <v>0.1</v>
      </c>
      <c r="BA172">
        <v>5</v>
      </c>
      <c r="BB172">
        <v>3</v>
      </c>
      <c r="CH172" t="str">
        <f t="shared" si="162"/>
        <v>DATA_Class_Base14</v>
      </c>
      <c r="CI172" s="6" t="s">
        <v>300</v>
      </c>
    </row>
    <row r="173" spans="1:87">
      <c r="A173">
        <f t="shared" si="173"/>
        <v>5063601</v>
      </c>
      <c r="B173" s="2" t="s">
        <v>579</v>
      </c>
      <c r="C173">
        <v>6</v>
      </c>
      <c r="D173">
        <v>6</v>
      </c>
      <c r="E173">
        <v>3</v>
      </c>
      <c r="F173" s="3" t="s">
        <v>581</v>
      </c>
      <c r="G173" s="3" t="s">
        <v>581</v>
      </c>
      <c r="H173">
        <v>0</v>
      </c>
      <c r="I173">
        <v>0</v>
      </c>
      <c r="J173">
        <v>0</v>
      </c>
      <c r="K173" s="2" t="s">
        <v>309</v>
      </c>
      <c r="L173" s="2">
        <f t="shared" si="174"/>
        <v>6</v>
      </c>
      <c r="M173" s="2">
        <f t="shared" si="163"/>
        <v>1.5</v>
      </c>
      <c r="N173" s="2">
        <f t="shared" si="164"/>
        <v>2</v>
      </c>
      <c r="O173" s="2">
        <v>10</v>
      </c>
      <c r="P173" s="2">
        <f t="shared" si="165"/>
        <v>142.56</v>
      </c>
      <c r="Q173" s="2">
        <f t="shared" si="166"/>
        <v>14.26</v>
      </c>
      <c r="R173" s="2">
        <f t="shared" si="167"/>
        <v>2112</v>
      </c>
      <c r="S173" s="2">
        <f t="shared" si="168"/>
        <v>211.2</v>
      </c>
      <c r="T173" s="2">
        <f t="shared" si="169"/>
        <v>47.52</v>
      </c>
      <c r="U173" s="2">
        <f t="shared" si="170"/>
        <v>4.75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536012</v>
      </c>
      <c r="AB173" s="14" t="s">
        <v>582</v>
      </c>
      <c r="AC173" s="15" t="s">
        <v>890</v>
      </c>
      <c r="AD173" s="2">
        <v>5073601</v>
      </c>
      <c r="AE173" s="2">
        <v>0</v>
      </c>
      <c r="AF173" s="2">
        <v>2</v>
      </c>
      <c r="AG173" s="2">
        <v>6</v>
      </c>
      <c r="AH173" s="2">
        <v>2</v>
      </c>
      <c r="AI173" s="2"/>
      <c r="AJ173">
        <v>1</v>
      </c>
      <c r="AK173" s="1">
        <f t="shared" si="171"/>
        <v>63.834898071269372</v>
      </c>
      <c r="AL173">
        <v>6</v>
      </c>
      <c r="AM173">
        <f t="shared" si="149"/>
        <v>129.6</v>
      </c>
      <c r="AN173">
        <f t="shared" si="150"/>
        <v>12.96</v>
      </c>
      <c r="AO173">
        <f t="shared" si="151"/>
        <v>1920.0000000000002</v>
      </c>
      <c r="AP173">
        <f t="shared" si="152"/>
        <v>192.00000000000003</v>
      </c>
      <c r="AQ173">
        <f t="shared" si="153"/>
        <v>43.199999999999996</v>
      </c>
      <c r="AR173">
        <f t="shared" si="175"/>
        <v>4.3199999999999994</v>
      </c>
      <c r="AS173">
        <f t="shared" si="154"/>
        <v>1.5</v>
      </c>
      <c r="AT173">
        <f t="shared" si="155"/>
        <v>2</v>
      </c>
      <c r="AU173">
        <f t="shared" si="156"/>
        <v>6</v>
      </c>
      <c r="AV173">
        <f t="shared" si="172"/>
        <v>6013</v>
      </c>
      <c r="AW173" s="1">
        <v>1</v>
      </c>
      <c r="AX173">
        <v>5</v>
      </c>
      <c r="AY173">
        <v>0.1</v>
      </c>
      <c r="BA173">
        <v>6</v>
      </c>
      <c r="BB173">
        <v>3</v>
      </c>
      <c r="CH173" t="str">
        <f t="shared" si="162"/>
        <v>DATA_Class_Base15</v>
      </c>
      <c r="CI173" s="6" t="s">
        <v>306</v>
      </c>
    </row>
    <row r="174" spans="1:87">
      <c r="A174">
        <f t="shared" si="173"/>
        <v>5064201</v>
      </c>
      <c r="B174" s="2" t="s">
        <v>583</v>
      </c>
      <c r="C174">
        <v>6</v>
      </c>
      <c r="D174">
        <v>2</v>
      </c>
      <c r="E174">
        <v>4</v>
      </c>
      <c r="F174" s="3" t="s">
        <v>585</v>
      </c>
      <c r="G174" s="3" t="s">
        <v>585</v>
      </c>
      <c r="H174">
        <v>0</v>
      </c>
      <c r="I174">
        <v>0</v>
      </c>
      <c r="J174" s="30">
        <v>0</v>
      </c>
      <c r="K174" s="8" t="s">
        <v>555</v>
      </c>
      <c r="L174" s="2">
        <f t="shared" si="174"/>
        <v>3</v>
      </c>
      <c r="M174" s="2">
        <f t="shared" si="163"/>
        <v>1.8</v>
      </c>
      <c r="N174" s="2">
        <f t="shared" si="164"/>
        <v>1.8</v>
      </c>
      <c r="O174" s="2">
        <v>10</v>
      </c>
      <c r="P174" s="2">
        <f t="shared" si="165"/>
        <v>152.06</v>
      </c>
      <c r="Q174" s="2">
        <f t="shared" si="166"/>
        <v>15.21</v>
      </c>
      <c r="R174" s="2">
        <f t="shared" si="167"/>
        <v>2376</v>
      </c>
      <c r="S174" s="2">
        <f t="shared" si="168"/>
        <v>237.6</v>
      </c>
      <c r="T174" s="2">
        <f t="shared" si="169"/>
        <v>58.49</v>
      </c>
      <c r="U174" s="2">
        <f t="shared" si="170"/>
        <v>5.85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542012</v>
      </c>
      <c r="AB174" s="15" t="s">
        <v>586</v>
      </c>
      <c r="AC174" s="15" t="s">
        <v>890</v>
      </c>
      <c r="AD174" s="2">
        <v>5074201</v>
      </c>
      <c r="AE174" s="2">
        <v>0</v>
      </c>
      <c r="AF174" s="2">
        <v>1</v>
      </c>
      <c r="AG174" s="2">
        <v>5064201</v>
      </c>
      <c r="AH174" s="2">
        <v>1</v>
      </c>
      <c r="AI174" s="2"/>
      <c r="AJ174">
        <v>1</v>
      </c>
      <c r="AK174" s="1">
        <f t="shared" si="171"/>
        <v>63.976559783610412</v>
      </c>
      <c r="AL174">
        <v>6</v>
      </c>
      <c r="AM174">
        <f t="shared" si="149"/>
        <v>138.24000000000004</v>
      </c>
      <c r="AN174">
        <f t="shared" si="150"/>
        <v>13.824000000000005</v>
      </c>
      <c r="AO174">
        <f t="shared" si="151"/>
        <v>2160</v>
      </c>
      <c r="AP174">
        <f t="shared" si="152"/>
        <v>216</v>
      </c>
      <c r="AQ174">
        <f t="shared" si="153"/>
        <v>53.169230769230779</v>
      </c>
      <c r="AR174">
        <f t="shared" si="175"/>
        <v>5.3169230769230786</v>
      </c>
      <c r="AS174">
        <f t="shared" si="154"/>
        <v>1.8</v>
      </c>
      <c r="AT174">
        <f t="shared" si="155"/>
        <v>1.8</v>
      </c>
      <c r="AU174">
        <f t="shared" si="156"/>
        <v>3</v>
      </c>
      <c r="AV174">
        <f t="shared" si="172"/>
        <v>2014</v>
      </c>
      <c r="AW174" s="1">
        <v>1</v>
      </c>
      <c r="AX174">
        <v>5</v>
      </c>
      <c r="AY174">
        <v>0.1</v>
      </c>
      <c r="BA174">
        <v>2</v>
      </c>
      <c r="BB174">
        <v>4</v>
      </c>
      <c r="CH174" t="str">
        <f t="shared" si="162"/>
        <v>DATA_Class_Base16</v>
      </c>
      <c r="CI174" s="6" t="s">
        <v>312</v>
      </c>
    </row>
    <row r="175" spans="1:87">
      <c r="A175">
        <f t="shared" si="173"/>
        <v>5064501</v>
      </c>
      <c r="B175" s="2" t="s">
        <v>592</v>
      </c>
      <c r="C175">
        <v>6</v>
      </c>
      <c r="D175">
        <v>5</v>
      </c>
      <c r="E175">
        <v>4</v>
      </c>
      <c r="F175" s="3" t="s">
        <v>594</v>
      </c>
      <c r="G175" s="3" t="s">
        <v>594</v>
      </c>
      <c r="H175">
        <v>0</v>
      </c>
      <c r="I175">
        <v>0</v>
      </c>
      <c r="J175">
        <v>0</v>
      </c>
      <c r="K175" s="2" t="s">
        <v>334</v>
      </c>
      <c r="L175" s="2">
        <f t="shared" si="174"/>
        <v>6</v>
      </c>
      <c r="M175" s="2">
        <f t="shared" si="163"/>
        <v>1.6</v>
      </c>
      <c r="N175" s="2">
        <f t="shared" si="164"/>
        <v>2</v>
      </c>
      <c r="O175" s="2">
        <v>10</v>
      </c>
      <c r="P175" s="2">
        <f t="shared" si="165"/>
        <v>219.65</v>
      </c>
      <c r="Q175" s="2">
        <f t="shared" si="166"/>
        <v>21.96</v>
      </c>
      <c r="R175" s="2">
        <f t="shared" si="167"/>
        <v>1462.15</v>
      </c>
      <c r="S175" s="2">
        <f t="shared" si="168"/>
        <v>146.22</v>
      </c>
      <c r="T175" s="2">
        <f t="shared" si="169"/>
        <v>24.41</v>
      </c>
      <c r="U175" s="2">
        <f t="shared" si="170"/>
        <v>2.44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545012</v>
      </c>
      <c r="AB175" s="14" t="s">
        <v>595</v>
      </c>
      <c r="AC175" s="15" t="s">
        <v>890</v>
      </c>
      <c r="AD175" s="2">
        <v>5074501</v>
      </c>
      <c r="AE175" s="2">
        <v>0</v>
      </c>
      <c r="AF175" s="2">
        <v>1</v>
      </c>
      <c r="AG175" s="2">
        <v>5064501</v>
      </c>
      <c r="AH175" s="2">
        <v>1</v>
      </c>
      <c r="AI175" s="2"/>
      <c r="AJ175">
        <v>1</v>
      </c>
      <c r="AK175" s="1">
        <f t="shared" si="171"/>
        <v>63.538346103219546</v>
      </c>
      <c r="AL175">
        <v>6</v>
      </c>
      <c r="AM175">
        <f t="shared" si="149"/>
        <v>199.68</v>
      </c>
      <c r="AN175">
        <f t="shared" si="150"/>
        <v>19.968000000000004</v>
      </c>
      <c r="AO175">
        <f t="shared" si="151"/>
        <v>1329.2307692307691</v>
      </c>
      <c r="AP175">
        <f t="shared" si="152"/>
        <v>132.92307692307691</v>
      </c>
      <c r="AQ175">
        <f t="shared" si="153"/>
        <v>22.186666666666667</v>
      </c>
      <c r="AR175">
        <f t="shared" si="175"/>
        <v>2.218666666666667</v>
      </c>
      <c r="AS175">
        <f t="shared" si="154"/>
        <v>1.6</v>
      </c>
      <c r="AT175">
        <f t="shared" si="155"/>
        <v>2</v>
      </c>
      <c r="AU175">
        <f t="shared" si="156"/>
        <v>6</v>
      </c>
      <c r="AV175">
        <f t="shared" si="172"/>
        <v>5014</v>
      </c>
      <c r="AW175" s="1">
        <v>1</v>
      </c>
      <c r="AX175">
        <v>5</v>
      </c>
      <c r="AY175">
        <v>0.1</v>
      </c>
      <c r="BA175">
        <v>5</v>
      </c>
      <c r="BB175">
        <v>4</v>
      </c>
      <c r="CH175" t="str">
        <f t="shared" si="162"/>
        <v>DATA_Class_Base17</v>
      </c>
      <c r="CI175" s="6" t="s">
        <v>318</v>
      </c>
    </row>
    <row r="176" spans="1:87">
      <c r="A176">
        <f t="shared" si="173"/>
        <v>5064600</v>
      </c>
      <c r="B176" s="2" t="s">
        <v>596</v>
      </c>
      <c r="C176">
        <v>6</v>
      </c>
      <c r="D176">
        <v>6</v>
      </c>
      <c r="E176">
        <v>4</v>
      </c>
      <c r="F176" s="3" t="s">
        <v>598</v>
      </c>
      <c r="G176" s="3" t="s">
        <v>598</v>
      </c>
      <c r="H176">
        <v>0</v>
      </c>
      <c r="I176">
        <v>0</v>
      </c>
      <c r="J176" s="2">
        <v>0</v>
      </c>
      <c r="K176" s="2" t="s">
        <v>339</v>
      </c>
      <c r="L176" s="2">
        <f t="shared" si="174"/>
        <v>3</v>
      </c>
      <c r="M176" s="2">
        <f t="shared" si="163"/>
        <v>1.4000000000000001</v>
      </c>
      <c r="N176" s="2">
        <f t="shared" si="164"/>
        <v>1.9000000000000001</v>
      </c>
      <c r="O176" s="2">
        <v>10</v>
      </c>
      <c r="P176" s="2">
        <f t="shared" si="165"/>
        <v>162.62</v>
      </c>
      <c r="Q176" s="2">
        <f t="shared" si="166"/>
        <v>16.260000000000002</v>
      </c>
      <c r="R176" s="2">
        <f t="shared" si="167"/>
        <v>1728</v>
      </c>
      <c r="S176" s="2">
        <f t="shared" si="168"/>
        <v>172.8</v>
      </c>
      <c r="T176" s="2">
        <f t="shared" si="169"/>
        <v>40.659999999999997</v>
      </c>
      <c r="U176" s="2">
        <f t="shared" si="170"/>
        <v>4.07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546002</v>
      </c>
      <c r="AB176" s="14" t="s">
        <v>599</v>
      </c>
      <c r="AC176" s="15" t="s">
        <v>890</v>
      </c>
      <c r="AD176" s="2">
        <v>5074600</v>
      </c>
      <c r="AE176" s="2">
        <v>0</v>
      </c>
      <c r="AF176" s="2">
        <v>1</v>
      </c>
      <c r="AG176" s="2">
        <v>5064600</v>
      </c>
      <c r="AH176" s="2">
        <v>1</v>
      </c>
      <c r="AI176" s="2"/>
      <c r="AJ176">
        <v>1</v>
      </c>
      <c r="AK176" s="1">
        <f t="shared" si="171"/>
        <v>63.746547123974459</v>
      </c>
      <c r="AL176">
        <v>6</v>
      </c>
      <c r="AM176">
        <f t="shared" si="149"/>
        <v>147.84</v>
      </c>
      <c r="AN176">
        <f t="shared" si="150"/>
        <v>14.784000000000001</v>
      </c>
      <c r="AO176">
        <f t="shared" si="151"/>
        <v>1570.909090909091</v>
      </c>
      <c r="AP176">
        <f t="shared" si="152"/>
        <v>157.09090909090912</v>
      </c>
      <c r="AQ176">
        <f t="shared" si="153"/>
        <v>36.96</v>
      </c>
      <c r="AR176">
        <f t="shared" si="175"/>
        <v>3.6960000000000002</v>
      </c>
      <c r="AS176">
        <f t="shared" si="154"/>
        <v>1.4</v>
      </c>
      <c r="AT176">
        <f t="shared" si="155"/>
        <v>1.9</v>
      </c>
      <c r="AU176">
        <f t="shared" si="156"/>
        <v>3</v>
      </c>
      <c r="AV176">
        <f t="shared" si="172"/>
        <v>6004</v>
      </c>
      <c r="AW176" s="1">
        <v>0</v>
      </c>
      <c r="AX176">
        <v>5</v>
      </c>
      <c r="AY176">
        <v>0.1</v>
      </c>
      <c r="BA176">
        <v>6</v>
      </c>
      <c r="BB176">
        <v>4</v>
      </c>
      <c r="CH176" t="str">
        <f t="shared" si="162"/>
        <v>DATA_Class_Base18</v>
      </c>
      <c r="CI176" s="6" t="s">
        <v>324</v>
      </c>
    </row>
    <row r="177" spans="1:87">
      <c r="A177">
        <f t="shared" si="173"/>
        <v>5064602</v>
      </c>
      <c r="B177" s="2" t="s">
        <v>600</v>
      </c>
      <c r="C177">
        <v>6</v>
      </c>
      <c r="D177">
        <v>6</v>
      </c>
      <c r="E177">
        <v>4</v>
      </c>
      <c r="F177" s="3" t="s">
        <v>602</v>
      </c>
      <c r="G177" s="3" t="s">
        <v>602</v>
      </c>
      <c r="H177">
        <v>0</v>
      </c>
      <c r="I177">
        <v>0</v>
      </c>
      <c r="J177" t="s">
        <v>345</v>
      </c>
      <c r="K177" s="2" t="s">
        <v>346</v>
      </c>
      <c r="L177" s="2">
        <f t="shared" si="174"/>
        <v>6</v>
      </c>
      <c r="M177" s="2">
        <f t="shared" si="163"/>
        <v>1.8</v>
      </c>
      <c r="N177" s="2">
        <f t="shared" si="164"/>
        <v>2</v>
      </c>
      <c r="O177" s="2">
        <v>10</v>
      </c>
      <c r="P177" s="2">
        <f t="shared" si="165"/>
        <v>190.08</v>
      </c>
      <c r="Q177" s="2">
        <f t="shared" si="166"/>
        <v>19.010000000000002</v>
      </c>
      <c r="R177" s="2">
        <f t="shared" si="167"/>
        <v>1900.8</v>
      </c>
      <c r="S177" s="2">
        <f t="shared" si="168"/>
        <v>190.08</v>
      </c>
      <c r="T177" s="2">
        <f t="shared" si="169"/>
        <v>38.020000000000003</v>
      </c>
      <c r="U177" s="2">
        <f t="shared" si="170"/>
        <v>3.8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546022</v>
      </c>
      <c r="AB177" s="14" t="s">
        <v>603</v>
      </c>
      <c r="AC177" s="15" t="s">
        <v>890</v>
      </c>
      <c r="AD177" s="2">
        <v>5074602</v>
      </c>
      <c r="AE177" s="2">
        <v>0</v>
      </c>
      <c r="AF177" s="2">
        <v>1</v>
      </c>
      <c r="AG177" s="2">
        <v>5064602</v>
      </c>
      <c r="AH177" s="2">
        <v>1</v>
      </c>
      <c r="AI177" s="2"/>
      <c r="AJ177">
        <v>1</v>
      </c>
      <c r="AK177" s="1">
        <f t="shared" si="171"/>
        <v>63.712631076601618</v>
      </c>
      <c r="AL177">
        <v>6</v>
      </c>
      <c r="AM177">
        <f t="shared" si="149"/>
        <v>172.8</v>
      </c>
      <c r="AN177">
        <f t="shared" si="150"/>
        <v>17.28</v>
      </c>
      <c r="AO177">
        <f t="shared" si="151"/>
        <v>1728</v>
      </c>
      <c r="AP177">
        <f t="shared" si="152"/>
        <v>172.8</v>
      </c>
      <c r="AQ177">
        <f t="shared" si="153"/>
        <v>34.56</v>
      </c>
      <c r="AR177">
        <f t="shared" si="175"/>
        <v>3.4560000000000004</v>
      </c>
      <c r="AS177">
        <f t="shared" si="154"/>
        <v>1.8</v>
      </c>
      <c r="AT177">
        <f t="shared" si="155"/>
        <v>2</v>
      </c>
      <c r="AU177">
        <f t="shared" si="156"/>
        <v>6</v>
      </c>
      <c r="AV177">
        <f t="shared" si="172"/>
        <v>6024</v>
      </c>
      <c r="AW177" s="1">
        <v>2</v>
      </c>
      <c r="AX177">
        <v>5</v>
      </c>
      <c r="AY177">
        <v>0.1</v>
      </c>
      <c r="BA177">
        <v>6</v>
      </c>
      <c r="BB177">
        <v>4</v>
      </c>
      <c r="CH177" t="str">
        <f t="shared" si="162"/>
        <v>DATA_Class_Base19</v>
      </c>
      <c r="CI177" s="6" t="s">
        <v>331</v>
      </c>
    </row>
    <row r="178" spans="1:87">
      <c r="A178">
        <f t="shared" si="173"/>
        <v>5065300</v>
      </c>
      <c r="B178" s="2" t="s">
        <v>609</v>
      </c>
      <c r="C178">
        <v>6</v>
      </c>
      <c r="D178">
        <v>3</v>
      </c>
      <c r="E178">
        <v>5</v>
      </c>
      <c r="F178" s="3" t="s">
        <v>611</v>
      </c>
      <c r="G178" s="3" t="s">
        <v>611</v>
      </c>
      <c r="H178">
        <v>0</v>
      </c>
      <c r="I178">
        <v>0</v>
      </c>
      <c r="J178" s="2">
        <v>0</v>
      </c>
      <c r="K178" s="8" t="s">
        <v>612</v>
      </c>
      <c r="L178" s="2">
        <f t="shared" si="174"/>
        <v>3</v>
      </c>
      <c r="M178" s="2">
        <f t="shared" si="163"/>
        <v>1.3</v>
      </c>
      <c r="N178" s="2">
        <f t="shared" si="164"/>
        <v>2</v>
      </c>
      <c r="O178" s="2">
        <v>10</v>
      </c>
      <c r="P178" s="2">
        <f t="shared" si="165"/>
        <v>157.87</v>
      </c>
      <c r="Q178" s="2">
        <f t="shared" si="166"/>
        <v>15.79</v>
      </c>
      <c r="R178" s="2">
        <f t="shared" si="167"/>
        <v>1652.87</v>
      </c>
      <c r="S178" s="2">
        <f t="shared" si="168"/>
        <v>165.29</v>
      </c>
      <c r="T178" s="2">
        <f t="shared" si="169"/>
        <v>19.73</v>
      </c>
      <c r="U178" s="2">
        <f t="shared" si="170"/>
        <v>1.97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553002</v>
      </c>
      <c r="AB178" s="14" t="s">
        <v>613</v>
      </c>
      <c r="AC178" s="15" t="s">
        <v>890</v>
      </c>
      <c r="AD178" s="2">
        <v>5075300</v>
      </c>
      <c r="AE178" s="2">
        <v>0</v>
      </c>
      <c r="AF178" s="2">
        <v>1</v>
      </c>
      <c r="AG178" s="2">
        <v>5065300</v>
      </c>
      <c r="AH178" s="2">
        <v>1</v>
      </c>
      <c r="AI178" s="2"/>
      <c r="AJ178">
        <v>1</v>
      </c>
      <c r="AK178" s="1">
        <f t="shared" si="171"/>
        <v>63.478749127054655</v>
      </c>
      <c r="AL178">
        <v>6</v>
      </c>
      <c r="AM178">
        <f t="shared" si="149"/>
        <v>143.51999999999998</v>
      </c>
      <c r="AN178">
        <f t="shared" si="150"/>
        <v>14.351999999999999</v>
      </c>
      <c r="AO178">
        <f t="shared" si="151"/>
        <v>1502.608695652174</v>
      </c>
      <c r="AP178">
        <f t="shared" si="152"/>
        <v>150.2608695652174</v>
      </c>
      <c r="AQ178">
        <f t="shared" si="153"/>
        <v>17.939999999999998</v>
      </c>
      <c r="AR178">
        <f t="shared" si="175"/>
        <v>1.7939999999999998</v>
      </c>
      <c r="AS178">
        <f t="shared" si="154"/>
        <v>1.3</v>
      </c>
      <c r="AT178">
        <f t="shared" si="155"/>
        <v>2</v>
      </c>
      <c r="AU178">
        <f t="shared" si="156"/>
        <v>3</v>
      </c>
      <c r="AV178">
        <f t="shared" si="172"/>
        <v>3005</v>
      </c>
      <c r="AW178" s="1">
        <v>0</v>
      </c>
      <c r="AX178">
        <v>5</v>
      </c>
      <c r="AY178">
        <v>0.1</v>
      </c>
      <c r="BA178">
        <v>3</v>
      </c>
      <c r="BB178">
        <v>5</v>
      </c>
      <c r="CH178" t="str">
        <f t="shared" si="162"/>
        <v>DATA_Class_Base20</v>
      </c>
      <c r="CI178" s="6" t="s">
        <v>336</v>
      </c>
    </row>
    <row r="179" spans="1:87">
      <c r="A179">
        <f t="shared" si="173"/>
        <v>5065302</v>
      </c>
      <c r="B179" s="2" t="s">
        <v>614</v>
      </c>
      <c r="C179">
        <v>6</v>
      </c>
      <c r="D179">
        <v>3</v>
      </c>
      <c r="E179">
        <v>5</v>
      </c>
      <c r="F179" s="3" t="s">
        <v>616</v>
      </c>
      <c r="G179" s="3" t="s">
        <v>616</v>
      </c>
      <c r="H179">
        <v>0</v>
      </c>
      <c r="I179">
        <v>0</v>
      </c>
      <c r="J179" s="2">
        <v>0</v>
      </c>
      <c r="K179" s="2" t="s">
        <v>358</v>
      </c>
      <c r="L179" s="2">
        <f t="shared" si="174"/>
        <v>3</v>
      </c>
      <c r="M179" s="2">
        <f t="shared" si="163"/>
        <v>1.4000000000000001</v>
      </c>
      <c r="N179" s="2">
        <f t="shared" si="164"/>
        <v>2</v>
      </c>
      <c r="O179" s="2">
        <v>10</v>
      </c>
      <c r="P179" s="2">
        <f t="shared" si="165"/>
        <v>177.41</v>
      </c>
      <c r="Q179" s="2">
        <f t="shared" si="166"/>
        <v>17.739999999999998</v>
      </c>
      <c r="R179" s="2">
        <f t="shared" si="167"/>
        <v>1584</v>
      </c>
      <c r="S179" s="2">
        <f t="shared" si="168"/>
        <v>158.4</v>
      </c>
      <c r="T179" s="2">
        <f t="shared" si="169"/>
        <v>25.34</v>
      </c>
      <c r="U179" s="2">
        <f t="shared" si="170"/>
        <v>2.5299999999999998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553022</v>
      </c>
      <c r="AB179" s="14" t="s">
        <v>617</v>
      </c>
      <c r="AC179" s="15" t="s">
        <v>890</v>
      </c>
      <c r="AD179" s="2">
        <v>5075302</v>
      </c>
      <c r="AE179" s="2">
        <v>0</v>
      </c>
      <c r="AF179" s="2">
        <v>1</v>
      </c>
      <c r="AG179" s="2">
        <v>5065302</v>
      </c>
      <c r="AH179" s="2">
        <v>1</v>
      </c>
      <c r="AI179" s="2"/>
      <c r="AJ179">
        <v>1</v>
      </c>
      <c r="AK179" s="1">
        <f t="shared" si="171"/>
        <v>63.550335138751301</v>
      </c>
      <c r="AL179">
        <v>6</v>
      </c>
      <c r="AM179">
        <f t="shared" si="149"/>
        <v>161.28</v>
      </c>
      <c r="AN179">
        <f t="shared" si="150"/>
        <v>16.128</v>
      </c>
      <c r="AO179">
        <f t="shared" si="151"/>
        <v>1440</v>
      </c>
      <c r="AP179">
        <f t="shared" si="152"/>
        <v>144</v>
      </c>
      <c r="AQ179">
        <f t="shared" si="153"/>
        <v>23.04</v>
      </c>
      <c r="AR179">
        <f t="shared" si="175"/>
        <v>2.3039999999999998</v>
      </c>
      <c r="AS179">
        <f t="shared" si="154"/>
        <v>1.4</v>
      </c>
      <c r="AT179">
        <f t="shared" si="155"/>
        <v>2</v>
      </c>
      <c r="AU179">
        <f t="shared" si="156"/>
        <v>3</v>
      </c>
      <c r="AV179">
        <f t="shared" si="172"/>
        <v>3025</v>
      </c>
      <c r="AW179" s="1">
        <v>2</v>
      </c>
      <c r="AX179">
        <v>5</v>
      </c>
      <c r="AY179">
        <v>0.1</v>
      </c>
      <c r="BA179">
        <v>3</v>
      </c>
      <c r="BB179">
        <v>5</v>
      </c>
      <c r="CH179" t="str">
        <f t="shared" si="162"/>
        <v>DATA_Class_Base21</v>
      </c>
      <c r="CI179" s="6" t="s">
        <v>342</v>
      </c>
    </row>
    <row r="180" spans="1:87">
      <c r="A180">
        <f t="shared" si="173"/>
        <v>5065400</v>
      </c>
      <c r="B180" s="2" t="s">
        <v>618</v>
      </c>
      <c r="C180">
        <v>6</v>
      </c>
      <c r="D180">
        <v>4</v>
      </c>
      <c r="E180">
        <v>5</v>
      </c>
      <c r="F180" s="3" t="s">
        <v>620</v>
      </c>
      <c r="G180" s="3" t="s">
        <v>620</v>
      </c>
      <c r="H180">
        <v>0</v>
      </c>
      <c r="I180">
        <v>0</v>
      </c>
      <c r="J180">
        <v>0</v>
      </c>
      <c r="K180" s="2" t="s">
        <v>364</v>
      </c>
      <c r="L180" s="2">
        <f t="shared" si="174"/>
        <v>6</v>
      </c>
      <c r="M180" s="2">
        <f t="shared" si="163"/>
        <v>1.4000000000000001</v>
      </c>
      <c r="N180" s="2">
        <f t="shared" si="164"/>
        <v>2</v>
      </c>
      <c r="O180" s="2">
        <v>10</v>
      </c>
      <c r="P180" s="2">
        <f t="shared" si="165"/>
        <v>184.8</v>
      </c>
      <c r="Q180" s="2">
        <f t="shared" si="166"/>
        <v>18.48</v>
      </c>
      <c r="R180" s="2">
        <f t="shared" si="167"/>
        <v>1520.64</v>
      </c>
      <c r="S180" s="2">
        <f t="shared" si="168"/>
        <v>152.06</v>
      </c>
      <c r="T180" s="2">
        <f t="shared" si="169"/>
        <v>30.8</v>
      </c>
      <c r="U180" s="2">
        <f t="shared" si="170"/>
        <v>3.08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554002</v>
      </c>
      <c r="AB180" s="14" t="s">
        <v>621</v>
      </c>
      <c r="AC180" s="15" t="s">
        <v>890</v>
      </c>
      <c r="AD180" s="2">
        <v>5075400</v>
      </c>
      <c r="AE180" s="2">
        <v>0</v>
      </c>
      <c r="AF180" s="2">
        <v>1</v>
      </c>
      <c r="AG180" s="2">
        <v>5065400</v>
      </c>
      <c r="AH180" s="2">
        <v>1</v>
      </c>
      <c r="AI180" s="2"/>
      <c r="AJ180">
        <v>1</v>
      </c>
      <c r="AK180" s="1">
        <f t="shared" si="171"/>
        <v>63.620111084279188</v>
      </c>
      <c r="AL180">
        <v>6</v>
      </c>
      <c r="AM180">
        <f t="shared" si="149"/>
        <v>168.00000000000003</v>
      </c>
      <c r="AN180">
        <f t="shared" si="150"/>
        <v>16.800000000000004</v>
      </c>
      <c r="AO180">
        <f t="shared" si="151"/>
        <v>1382.4</v>
      </c>
      <c r="AP180">
        <f t="shared" si="152"/>
        <v>138.24</v>
      </c>
      <c r="AQ180">
        <f t="shared" si="153"/>
        <v>28.000000000000004</v>
      </c>
      <c r="AR180">
        <f t="shared" si="175"/>
        <v>2.8000000000000007</v>
      </c>
      <c r="AS180">
        <f t="shared" si="154"/>
        <v>1.4</v>
      </c>
      <c r="AT180">
        <f t="shared" si="155"/>
        <v>2</v>
      </c>
      <c r="AU180">
        <f t="shared" si="156"/>
        <v>6</v>
      </c>
      <c r="AV180">
        <f t="shared" si="172"/>
        <v>4005</v>
      </c>
      <c r="AW180" s="1">
        <v>0</v>
      </c>
      <c r="AX180">
        <v>5</v>
      </c>
      <c r="AY180">
        <v>0.1</v>
      </c>
      <c r="BA180">
        <v>4</v>
      </c>
      <c r="BB180">
        <v>5</v>
      </c>
      <c r="CH180" t="str">
        <f t="shared" si="162"/>
        <v>DATA_Class_Base13</v>
      </c>
      <c r="CI180" s="6" t="s">
        <v>295</v>
      </c>
    </row>
    <row r="181" spans="1:87">
      <c r="A181">
        <f t="shared" si="173"/>
        <v>5065501</v>
      </c>
      <c r="B181" s="2" t="s">
        <v>622</v>
      </c>
      <c r="C181">
        <v>6</v>
      </c>
      <c r="D181">
        <v>5</v>
      </c>
      <c r="E181">
        <v>5</v>
      </c>
      <c r="F181" s="3" t="s">
        <v>624</v>
      </c>
      <c r="G181" s="3" t="s">
        <v>624</v>
      </c>
      <c r="H181">
        <v>0</v>
      </c>
      <c r="I181">
        <v>0</v>
      </c>
      <c r="J181" s="3">
        <v>0</v>
      </c>
      <c r="K181" s="8" t="s">
        <v>625</v>
      </c>
      <c r="L181" s="2">
        <f t="shared" si="174"/>
        <v>6</v>
      </c>
      <c r="M181" s="2">
        <f t="shared" si="163"/>
        <v>1.6</v>
      </c>
      <c r="N181" s="2">
        <f t="shared" si="164"/>
        <v>2</v>
      </c>
      <c r="O181" s="2">
        <v>10</v>
      </c>
      <c r="P181" s="2">
        <f t="shared" si="165"/>
        <v>244.99</v>
      </c>
      <c r="Q181" s="2">
        <f t="shared" si="166"/>
        <v>24.5</v>
      </c>
      <c r="R181" s="2">
        <f t="shared" si="167"/>
        <v>1310.9</v>
      </c>
      <c r="S181" s="2">
        <f t="shared" si="168"/>
        <v>131.09</v>
      </c>
      <c r="T181" s="2">
        <f t="shared" si="169"/>
        <v>27.22</v>
      </c>
      <c r="U181" s="2">
        <f t="shared" si="170"/>
        <v>2.72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555012</v>
      </c>
      <c r="AB181" s="15" t="s">
        <v>626</v>
      </c>
      <c r="AC181" s="15" t="s">
        <v>890</v>
      </c>
      <c r="AD181" s="2">
        <v>5075501</v>
      </c>
      <c r="AE181" s="2">
        <v>0</v>
      </c>
      <c r="AF181" s="2">
        <v>1</v>
      </c>
      <c r="AG181" s="2">
        <v>5065501</v>
      </c>
      <c r="AH181" s="2">
        <v>1</v>
      </c>
      <c r="AI181" s="2"/>
      <c r="AJ181">
        <v>1</v>
      </c>
      <c r="AK181" s="1">
        <f t="shared" si="171"/>
        <v>63.574326788188728</v>
      </c>
      <c r="AL181">
        <v>6</v>
      </c>
      <c r="AM181">
        <f t="shared" si="149"/>
        <v>222.72</v>
      </c>
      <c r="AN181">
        <f t="shared" si="150"/>
        <v>22.272000000000002</v>
      </c>
      <c r="AO181">
        <f t="shared" si="151"/>
        <v>1191.7241379310346</v>
      </c>
      <c r="AP181">
        <f t="shared" si="152"/>
        <v>119.17241379310347</v>
      </c>
      <c r="AQ181">
        <f t="shared" si="153"/>
        <v>24.746666666666666</v>
      </c>
      <c r="AR181">
        <f t="shared" si="175"/>
        <v>2.4746666666666668</v>
      </c>
      <c r="AS181">
        <f t="shared" si="154"/>
        <v>1.6</v>
      </c>
      <c r="AT181">
        <f t="shared" si="155"/>
        <v>2</v>
      </c>
      <c r="AU181">
        <f t="shared" si="156"/>
        <v>6</v>
      </c>
      <c r="AV181">
        <f t="shared" si="172"/>
        <v>5015</v>
      </c>
      <c r="AW181" s="1">
        <v>1</v>
      </c>
      <c r="AX181">
        <v>5</v>
      </c>
      <c r="AY181">
        <v>0.1</v>
      </c>
      <c r="BA181">
        <v>5</v>
      </c>
      <c r="BB181">
        <v>5</v>
      </c>
      <c r="CH181" t="str">
        <f t="shared" si="162"/>
        <v>DATA_Class_Base14</v>
      </c>
      <c r="CI181" s="6" t="s">
        <v>300</v>
      </c>
    </row>
    <row r="182" spans="1:87">
      <c r="A182">
        <f t="shared" si="173"/>
        <v>5071200</v>
      </c>
      <c r="B182" s="2" t="s">
        <v>464</v>
      </c>
      <c r="C182">
        <v>7</v>
      </c>
      <c r="D182">
        <v>2</v>
      </c>
      <c r="E182">
        <v>1</v>
      </c>
      <c r="F182" s="3" t="s">
        <v>466</v>
      </c>
      <c r="G182" s="3" t="s">
        <v>466</v>
      </c>
      <c r="H182">
        <v>0</v>
      </c>
      <c r="I182">
        <v>0</v>
      </c>
      <c r="J182" s="2">
        <v>0</v>
      </c>
      <c r="K182" s="8" t="s">
        <v>467</v>
      </c>
      <c r="L182" s="2">
        <f t="shared" si="174"/>
        <v>3</v>
      </c>
      <c r="M182" s="2">
        <f t="shared" si="163"/>
        <v>1.5</v>
      </c>
      <c r="N182" s="2">
        <f t="shared" si="164"/>
        <v>1.2</v>
      </c>
      <c r="O182" s="2">
        <v>10</v>
      </c>
      <c r="P182" s="2">
        <f t="shared" si="165"/>
        <v>140.80000000000001</v>
      </c>
      <c r="Q182" s="2">
        <f t="shared" si="166"/>
        <v>14.08</v>
      </c>
      <c r="R182" s="2">
        <f t="shared" si="167"/>
        <v>2640</v>
      </c>
      <c r="S182" s="2">
        <f t="shared" si="168"/>
        <v>264</v>
      </c>
      <c r="T182" s="2">
        <f t="shared" si="169"/>
        <v>46.93</v>
      </c>
      <c r="U182" s="2">
        <f t="shared" si="170"/>
        <v>4.6900000000000004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512002</v>
      </c>
      <c r="AB182" s="14" t="s">
        <v>627</v>
      </c>
      <c r="AC182" s="15" t="s">
        <v>890</v>
      </c>
      <c r="AD182" s="2">
        <v>5081200</v>
      </c>
      <c r="AE182" s="2">
        <v>0</v>
      </c>
      <c r="AF182" s="2">
        <v>1</v>
      </c>
      <c r="AG182" s="2">
        <f t="shared" ref="AG182:AG212" si="176">A151</f>
        <v>5061200</v>
      </c>
      <c r="AH182" s="2">
        <v>1</v>
      </c>
      <c r="AI182" s="2"/>
      <c r="AJ182">
        <v>1</v>
      </c>
      <c r="AK182" s="1">
        <f t="shared" si="171"/>
        <v>78.79918165177132</v>
      </c>
      <c r="AL182">
        <v>7</v>
      </c>
      <c r="AM182">
        <f t="shared" si="149"/>
        <v>128.00000000000003</v>
      </c>
      <c r="AN182">
        <f t="shared" si="150"/>
        <v>12.800000000000004</v>
      </c>
      <c r="AO182">
        <f t="shared" si="151"/>
        <v>2400</v>
      </c>
      <c r="AP182">
        <f t="shared" si="152"/>
        <v>240</v>
      </c>
      <c r="AQ182">
        <f t="shared" si="153"/>
        <v>42.666666666666679</v>
      </c>
      <c r="AR182">
        <f t="shared" si="175"/>
        <v>4.2666666666666684</v>
      </c>
      <c r="AS182">
        <f t="shared" si="154"/>
        <v>1.5</v>
      </c>
      <c r="AT182">
        <f t="shared" si="155"/>
        <v>1.2</v>
      </c>
      <c r="AU182">
        <f t="shared" si="156"/>
        <v>3</v>
      </c>
      <c r="AV182">
        <f t="shared" si="172"/>
        <v>2001</v>
      </c>
      <c r="AW182" s="1">
        <v>0</v>
      </c>
      <c r="AX182">
        <v>5</v>
      </c>
      <c r="AY182">
        <v>0.1</v>
      </c>
      <c r="BA182">
        <v>2</v>
      </c>
      <c r="BB182">
        <v>1</v>
      </c>
      <c r="CH182" t="str">
        <f t="shared" si="162"/>
        <v>DATA_Class_Base15</v>
      </c>
      <c r="CI182" s="6" t="s">
        <v>306</v>
      </c>
    </row>
    <row r="183" spans="1:87">
      <c r="A183">
        <f t="shared" si="173"/>
        <v>5071201</v>
      </c>
      <c r="B183" s="2" t="s">
        <v>470</v>
      </c>
      <c r="C183">
        <v>7</v>
      </c>
      <c r="D183">
        <v>2</v>
      </c>
      <c r="E183">
        <v>1</v>
      </c>
      <c r="F183" s="3" t="s">
        <v>472</v>
      </c>
      <c r="G183" s="3" t="s">
        <v>472</v>
      </c>
      <c r="H183">
        <v>0</v>
      </c>
      <c r="I183">
        <v>0</v>
      </c>
      <c r="J183" s="2">
        <v>0</v>
      </c>
      <c r="K183" s="8" t="s">
        <v>298</v>
      </c>
      <c r="L183" s="2">
        <f t="shared" si="174"/>
        <v>3</v>
      </c>
      <c r="M183" s="2">
        <f t="shared" si="163"/>
        <v>1.8</v>
      </c>
      <c r="N183" s="2">
        <f t="shared" si="164"/>
        <v>1.8</v>
      </c>
      <c r="O183" s="2">
        <v>10</v>
      </c>
      <c r="P183" s="2">
        <f t="shared" si="165"/>
        <v>105.6</v>
      </c>
      <c r="Q183" s="2">
        <f t="shared" si="166"/>
        <v>10.56</v>
      </c>
      <c r="R183" s="2">
        <f t="shared" si="167"/>
        <v>4224</v>
      </c>
      <c r="S183" s="2">
        <f t="shared" si="168"/>
        <v>422.4</v>
      </c>
      <c r="T183" s="2">
        <f t="shared" si="169"/>
        <v>52.8</v>
      </c>
      <c r="U183" s="2">
        <f t="shared" si="170"/>
        <v>5.28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512012</v>
      </c>
      <c r="AB183" s="14" t="s">
        <v>628</v>
      </c>
      <c r="AC183" s="15" t="s">
        <v>890</v>
      </c>
      <c r="AD183" s="2">
        <v>5081201</v>
      </c>
      <c r="AE183" s="2">
        <v>0</v>
      </c>
      <c r="AF183" s="2">
        <v>1</v>
      </c>
      <c r="AG183" s="2">
        <f t="shared" si="176"/>
        <v>5061201</v>
      </c>
      <c r="AH183" s="2">
        <v>1</v>
      </c>
      <c r="AI183" s="2"/>
      <c r="AJ183">
        <v>1</v>
      </c>
      <c r="AK183" s="1">
        <f t="shared" si="171"/>
        <v>78.892626131953435</v>
      </c>
      <c r="AL183">
        <v>7</v>
      </c>
      <c r="AM183">
        <f t="shared" si="149"/>
        <v>96</v>
      </c>
      <c r="AN183">
        <f t="shared" si="150"/>
        <v>9.6000000000000014</v>
      </c>
      <c r="AO183">
        <f t="shared" si="151"/>
        <v>3840</v>
      </c>
      <c r="AP183">
        <f t="shared" si="152"/>
        <v>384</v>
      </c>
      <c r="AQ183">
        <f t="shared" si="153"/>
        <v>48</v>
      </c>
      <c r="AR183">
        <f t="shared" si="175"/>
        <v>4.8000000000000007</v>
      </c>
      <c r="AS183">
        <f t="shared" si="154"/>
        <v>1.8</v>
      </c>
      <c r="AT183">
        <f t="shared" si="155"/>
        <v>1.8</v>
      </c>
      <c r="AU183">
        <f t="shared" si="156"/>
        <v>3</v>
      </c>
      <c r="AV183">
        <f t="shared" si="172"/>
        <v>2011</v>
      </c>
      <c r="AW183" s="1">
        <v>1</v>
      </c>
      <c r="AX183">
        <v>5</v>
      </c>
      <c r="AY183">
        <v>0.1</v>
      </c>
      <c r="BA183">
        <v>2</v>
      </c>
      <c r="BB183">
        <v>1</v>
      </c>
      <c r="CH183" t="str">
        <f t="shared" si="162"/>
        <v>DATA_Class_Base16</v>
      </c>
      <c r="CI183" s="6" t="s">
        <v>312</v>
      </c>
    </row>
    <row r="184" spans="1:87">
      <c r="A184">
        <f t="shared" si="173"/>
        <v>5071202</v>
      </c>
      <c r="B184" s="2" t="s">
        <v>474</v>
      </c>
      <c r="C184">
        <v>7</v>
      </c>
      <c r="D184">
        <v>2</v>
      </c>
      <c r="E184">
        <v>1</v>
      </c>
      <c r="F184" s="3" t="s">
        <v>476</v>
      </c>
      <c r="G184" s="3" t="s">
        <v>476</v>
      </c>
      <c r="H184">
        <v>0</v>
      </c>
      <c r="I184">
        <v>0</v>
      </c>
      <c r="J184">
        <v>0</v>
      </c>
      <c r="K184" s="8" t="s">
        <v>477</v>
      </c>
      <c r="L184" s="2">
        <f t="shared" si="174"/>
        <v>3</v>
      </c>
      <c r="M184" s="2">
        <f t="shared" si="163"/>
        <v>1.8</v>
      </c>
      <c r="N184" s="2">
        <f t="shared" si="164"/>
        <v>2</v>
      </c>
      <c r="O184" s="2">
        <v>10</v>
      </c>
      <c r="P184" s="2">
        <f t="shared" si="165"/>
        <v>168.96</v>
      </c>
      <c r="Q184" s="2">
        <f t="shared" si="166"/>
        <v>16.899999999999999</v>
      </c>
      <c r="R184" s="2">
        <f t="shared" si="167"/>
        <v>2640</v>
      </c>
      <c r="S184" s="2">
        <f t="shared" si="168"/>
        <v>264</v>
      </c>
      <c r="T184" s="2">
        <f t="shared" si="169"/>
        <v>42.24</v>
      </c>
      <c r="U184" s="2">
        <f t="shared" si="170"/>
        <v>4.22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512022</v>
      </c>
      <c r="AB184" s="14" t="s">
        <v>629</v>
      </c>
      <c r="AC184" s="15" t="s">
        <v>890</v>
      </c>
      <c r="AD184" s="2">
        <v>5081202</v>
      </c>
      <c r="AE184" s="2">
        <v>0</v>
      </c>
      <c r="AF184" s="2">
        <v>1</v>
      </c>
      <c r="AG184" s="2">
        <f t="shared" si="176"/>
        <v>5061202</v>
      </c>
      <c r="AH184" s="2">
        <v>1</v>
      </c>
      <c r="AI184" s="2"/>
      <c r="AJ184">
        <v>1</v>
      </c>
      <c r="AK184" s="1">
        <f t="shared" si="171"/>
        <v>78.724585296585573</v>
      </c>
      <c r="AL184">
        <v>7</v>
      </c>
      <c r="AM184">
        <f t="shared" ref="AM184:AM243" si="177">INDEX($BE$5:$BE$58,MATCH($AV184,$BC$5:$BC$58,0))*$AS184/1.5*$BI$4*INDEX($BE$109:$BR$109,MATCH($AL184,$BE$108:$BR$108,0))</f>
        <v>153.60000000000002</v>
      </c>
      <c r="AN184">
        <f t="shared" ref="AN184:AN243" si="178">(INDEX($BE$5:$BE$58,MATCH($AV184,$BC$5:$BC$58,0))*$AS184/1.5*$BI$4*INDEX($BE$109:$BR$109,MATCH($AL184,$BE$108:$BR$108,0)))*0.1</f>
        <v>15.360000000000003</v>
      </c>
      <c r="AO184">
        <f t="shared" ref="AO184:AO243" si="179">INDEX($BF$5:$BF$58,MATCH($AV184,$BC$5:$BC$58,0))*$BJ$4*INDEX($BE$109:$BR$109,MATCH($AL184,$BE$108:$BR$108,0))</f>
        <v>2400</v>
      </c>
      <c r="AP184">
        <f t="shared" ref="AP184:AP243" si="180">(INDEX($BF$5:$BF$58,MATCH($AV184,$BC$5:$BC$58,0))*$BJ$4*INDEX($BE$109:$BR$109,MATCH($AL184,$BE$108:$BR$108,0)))*0.1</f>
        <v>240</v>
      </c>
      <c r="AQ184">
        <f t="shared" ref="AQ184:AQ243" si="181">$AM184/INDEX($BG$5:$BG$58,MATCH($AV184,$BC$5:$BC$58,0))</f>
        <v>38.400000000000006</v>
      </c>
      <c r="AR184">
        <f t="shared" si="175"/>
        <v>3.8400000000000007</v>
      </c>
      <c r="AS184">
        <f t="shared" ref="AS184:AS243" si="182">INDEX($BH$5:$BH$58,MATCH($AV184,$BC$5:$BC$58,0))</f>
        <v>1.8</v>
      </c>
      <c r="AT184">
        <f t="shared" ref="AT184:AT243" si="183">ROUND(IF(INDEX($BP$5:$BP$58,MATCH($AV184,$BC$5:$BC$58,0))&lt;2,INDEX($BP$5:$BP$58,MATCH($AV184,$BC$5:$BC$58,0))+0.2,2),1)</f>
        <v>2</v>
      </c>
      <c r="AU184">
        <f t="shared" ref="AU184:AU243" si="184">INDEX($BL$5:$BL$58,MATCH($AV184,$BC$5:$BC$58,0))</f>
        <v>3</v>
      </c>
      <c r="AV184">
        <f t="shared" si="172"/>
        <v>2021</v>
      </c>
      <c r="AW184" s="1">
        <v>2</v>
      </c>
      <c r="AX184">
        <v>5</v>
      </c>
      <c r="AY184">
        <v>0.1</v>
      </c>
      <c r="BA184">
        <v>2</v>
      </c>
      <c r="BB184">
        <v>1</v>
      </c>
      <c r="CH184" t="str">
        <f t="shared" si="162"/>
        <v>DATA_Class_Base17</v>
      </c>
      <c r="CI184" s="6" t="s">
        <v>318</v>
      </c>
    </row>
    <row r="185" spans="1:87">
      <c r="A185">
        <f t="shared" si="173"/>
        <v>5071301</v>
      </c>
      <c r="B185" s="2" t="s">
        <v>479</v>
      </c>
      <c r="C185">
        <v>7</v>
      </c>
      <c r="D185">
        <v>3</v>
      </c>
      <c r="E185">
        <v>1</v>
      </c>
      <c r="F185" s="3" t="s">
        <v>481</v>
      </c>
      <c r="G185" s="3" t="s">
        <v>481</v>
      </c>
      <c r="H185">
        <v>0</v>
      </c>
      <c r="I185">
        <v>0</v>
      </c>
      <c r="J185" s="2">
        <v>0</v>
      </c>
      <c r="K185" s="8" t="s">
        <v>482</v>
      </c>
      <c r="L185" s="2">
        <f t="shared" si="174"/>
        <v>3</v>
      </c>
      <c r="M185" s="2">
        <f t="shared" si="163"/>
        <v>1.2</v>
      </c>
      <c r="N185" s="2">
        <f t="shared" si="164"/>
        <v>2</v>
      </c>
      <c r="O185" s="2">
        <v>10</v>
      </c>
      <c r="P185" s="2">
        <f t="shared" si="165"/>
        <v>154.88</v>
      </c>
      <c r="Q185" s="2">
        <f t="shared" si="166"/>
        <v>15.49</v>
      </c>
      <c r="R185" s="2">
        <f t="shared" si="167"/>
        <v>1920</v>
      </c>
      <c r="S185" s="2">
        <f t="shared" si="168"/>
        <v>192</v>
      </c>
      <c r="T185" s="2">
        <f t="shared" si="169"/>
        <v>25.81</v>
      </c>
      <c r="U185" s="2">
        <f t="shared" si="170"/>
        <v>2.58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513012</v>
      </c>
      <c r="AB185" s="14" t="s">
        <v>630</v>
      </c>
      <c r="AC185" s="15" t="s">
        <v>890</v>
      </c>
      <c r="AD185" s="2">
        <v>5081301</v>
      </c>
      <c r="AE185" s="2">
        <v>0</v>
      </c>
      <c r="AF185" s="2">
        <v>1</v>
      </c>
      <c r="AG185" s="2">
        <f t="shared" si="176"/>
        <v>5061301</v>
      </c>
      <c r="AH185" s="2">
        <v>1</v>
      </c>
      <c r="AI185" s="2"/>
      <c r="AJ185">
        <v>1</v>
      </c>
      <c r="AK185" s="1">
        <f t="shared" si="171"/>
        <v>78.464606609053703</v>
      </c>
      <c r="AL185">
        <v>7</v>
      </c>
      <c r="AM185">
        <f t="shared" si="177"/>
        <v>140.80000000000001</v>
      </c>
      <c r="AN185">
        <f t="shared" si="178"/>
        <v>14.080000000000002</v>
      </c>
      <c r="AO185">
        <f t="shared" si="179"/>
        <v>1745.4545454545455</v>
      </c>
      <c r="AP185">
        <f t="shared" si="180"/>
        <v>174.54545454545456</v>
      </c>
      <c r="AQ185">
        <f t="shared" si="181"/>
        <v>23.466666666666669</v>
      </c>
      <c r="AR185">
        <f t="shared" si="175"/>
        <v>2.3466666666666671</v>
      </c>
      <c r="AS185">
        <f t="shared" si="182"/>
        <v>1.2</v>
      </c>
      <c r="AT185">
        <f t="shared" si="183"/>
        <v>2</v>
      </c>
      <c r="AU185">
        <f t="shared" si="184"/>
        <v>3</v>
      </c>
      <c r="AV185">
        <f t="shared" si="172"/>
        <v>3011</v>
      </c>
      <c r="AW185" s="1">
        <v>1</v>
      </c>
      <c r="AX185">
        <v>5</v>
      </c>
      <c r="AY185">
        <v>0.1</v>
      </c>
      <c r="BA185">
        <v>3</v>
      </c>
      <c r="BB185">
        <v>1</v>
      </c>
      <c r="CH185" t="str">
        <f t="shared" si="162"/>
        <v>DATA_Class_Base18</v>
      </c>
      <c r="CI185" s="6" t="s">
        <v>324</v>
      </c>
    </row>
    <row r="186" spans="1:87">
      <c r="A186">
        <f t="shared" si="173"/>
        <v>5071401</v>
      </c>
      <c r="B186" s="2" t="s">
        <v>484</v>
      </c>
      <c r="C186">
        <v>7</v>
      </c>
      <c r="D186">
        <v>4</v>
      </c>
      <c r="E186">
        <v>1</v>
      </c>
      <c r="F186" s="3" t="s">
        <v>486</v>
      </c>
      <c r="G186" s="3" t="s">
        <v>486</v>
      </c>
      <c r="H186">
        <v>0</v>
      </c>
      <c r="I186">
        <v>0</v>
      </c>
      <c r="J186" s="2">
        <v>0</v>
      </c>
      <c r="K186" s="2" t="s">
        <v>161</v>
      </c>
      <c r="L186" s="2">
        <f t="shared" si="174"/>
        <v>6</v>
      </c>
      <c r="M186" s="2">
        <f t="shared" si="163"/>
        <v>1.6</v>
      </c>
      <c r="N186" s="2">
        <f t="shared" si="164"/>
        <v>2</v>
      </c>
      <c r="O186" s="2">
        <v>10</v>
      </c>
      <c r="P186" s="2">
        <f t="shared" si="165"/>
        <v>206.51</v>
      </c>
      <c r="Q186" s="2">
        <f t="shared" si="166"/>
        <v>20.65</v>
      </c>
      <c r="R186" s="2">
        <f t="shared" si="167"/>
        <v>1920</v>
      </c>
      <c r="S186" s="2">
        <f t="shared" si="168"/>
        <v>192</v>
      </c>
      <c r="T186" s="2">
        <f t="shared" si="169"/>
        <v>41.3</v>
      </c>
      <c r="U186" s="2">
        <f t="shared" si="170"/>
        <v>4.13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514012</v>
      </c>
      <c r="AB186" s="14" t="s">
        <v>631</v>
      </c>
      <c r="AC186" s="15" t="s">
        <v>890</v>
      </c>
      <c r="AD186" s="2">
        <v>5081401</v>
      </c>
      <c r="AE186" s="2">
        <v>0</v>
      </c>
      <c r="AF186" s="2">
        <v>1</v>
      </c>
      <c r="AG186" s="2">
        <f t="shared" si="176"/>
        <v>5061401</v>
      </c>
      <c r="AH186" s="2">
        <v>1</v>
      </c>
      <c r="AI186" s="2"/>
      <c r="AJ186">
        <v>1</v>
      </c>
      <c r="AK186" s="1">
        <f t="shared" si="171"/>
        <v>78.70968297058586</v>
      </c>
      <c r="AL186">
        <v>7</v>
      </c>
      <c r="AM186">
        <f t="shared" si="177"/>
        <v>187.73333333333338</v>
      </c>
      <c r="AN186">
        <f t="shared" si="178"/>
        <v>18.773333333333337</v>
      </c>
      <c r="AO186">
        <f t="shared" si="179"/>
        <v>1745.4545454545455</v>
      </c>
      <c r="AP186">
        <f t="shared" si="180"/>
        <v>174.54545454545456</v>
      </c>
      <c r="AQ186">
        <f t="shared" si="181"/>
        <v>37.546666666666674</v>
      </c>
      <c r="AR186">
        <f t="shared" si="175"/>
        <v>3.7546666666666675</v>
      </c>
      <c r="AS186">
        <f t="shared" si="182"/>
        <v>1.6</v>
      </c>
      <c r="AT186">
        <f t="shared" si="183"/>
        <v>2</v>
      </c>
      <c r="AU186">
        <f t="shared" si="184"/>
        <v>6</v>
      </c>
      <c r="AV186">
        <f t="shared" si="172"/>
        <v>4011</v>
      </c>
      <c r="AW186" s="1">
        <v>1</v>
      </c>
      <c r="AX186">
        <v>5</v>
      </c>
      <c r="AY186">
        <v>0.1</v>
      </c>
      <c r="BA186">
        <v>4</v>
      </c>
      <c r="BB186">
        <v>1</v>
      </c>
      <c r="CH186" t="str">
        <f t="shared" si="162"/>
        <v>DATA_Class_Base19</v>
      </c>
      <c r="CI186" s="6" t="s">
        <v>331</v>
      </c>
    </row>
    <row r="187" spans="1:87">
      <c r="A187">
        <f t="shared" si="173"/>
        <v>5071402</v>
      </c>
      <c r="B187" s="2" t="s">
        <v>488</v>
      </c>
      <c r="C187">
        <v>7</v>
      </c>
      <c r="D187">
        <v>4</v>
      </c>
      <c r="E187">
        <v>1</v>
      </c>
      <c r="F187" s="3" t="s">
        <v>490</v>
      </c>
      <c r="G187" s="3" t="s">
        <v>490</v>
      </c>
      <c r="H187">
        <v>0</v>
      </c>
      <c r="I187">
        <v>0</v>
      </c>
      <c r="J187">
        <v>0</v>
      </c>
      <c r="K187" s="8" t="s">
        <v>161</v>
      </c>
      <c r="L187" s="2">
        <f t="shared" si="174"/>
        <v>6</v>
      </c>
      <c r="M187" s="2">
        <f t="shared" si="163"/>
        <v>1.5</v>
      </c>
      <c r="N187" s="2">
        <f t="shared" si="164"/>
        <v>1.5</v>
      </c>
      <c r="O187" s="2">
        <v>10</v>
      </c>
      <c r="P187" s="2">
        <f t="shared" si="165"/>
        <v>211.2</v>
      </c>
      <c r="Q187" s="2">
        <f t="shared" si="166"/>
        <v>21.12</v>
      </c>
      <c r="R187" s="2">
        <f t="shared" si="167"/>
        <v>1760</v>
      </c>
      <c r="S187" s="2">
        <f t="shared" si="168"/>
        <v>176</v>
      </c>
      <c r="T187" s="2">
        <f t="shared" si="169"/>
        <v>35.200000000000003</v>
      </c>
      <c r="U187" s="2">
        <f t="shared" si="170"/>
        <v>3.52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514022</v>
      </c>
      <c r="AB187" s="14" t="s">
        <v>632</v>
      </c>
      <c r="AC187" s="15" t="s">
        <v>890</v>
      </c>
      <c r="AD187" s="2">
        <v>5081402</v>
      </c>
      <c r="AE187" s="2">
        <v>0</v>
      </c>
      <c r="AF187" s="2">
        <v>1</v>
      </c>
      <c r="AG187" s="2">
        <f t="shared" si="176"/>
        <v>5061402</v>
      </c>
      <c r="AH187" s="2">
        <v>1</v>
      </c>
      <c r="AI187" s="2"/>
      <c r="AJ187">
        <v>1</v>
      </c>
      <c r="AK187" s="1">
        <f t="shared" si="171"/>
        <v>78.612955204640684</v>
      </c>
      <c r="AL187">
        <v>7</v>
      </c>
      <c r="AM187">
        <f t="shared" si="177"/>
        <v>192</v>
      </c>
      <c r="AN187">
        <f t="shared" si="178"/>
        <v>19.200000000000003</v>
      </c>
      <c r="AO187">
        <f t="shared" si="179"/>
        <v>1600</v>
      </c>
      <c r="AP187">
        <f t="shared" si="180"/>
        <v>160</v>
      </c>
      <c r="AQ187">
        <f t="shared" si="181"/>
        <v>32</v>
      </c>
      <c r="AR187">
        <f t="shared" si="175"/>
        <v>3.2</v>
      </c>
      <c r="AS187">
        <f t="shared" si="182"/>
        <v>1.5</v>
      </c>
      <c r="AT187">
        <f t="shared" si="183"/>
        <v>1.5</v>
      </c>
      <c r="AU187">
        <f t="shared" si="184"/>
        <v>6</v>
      </c>
      <c r="AV187">
        <f t="shared" si="172"/>
        <v>4021</v>
      </c>
      <c r="AW187" s="1">
        <v>2</v>
      </c>
      <c r="AX187">
        <v>5</v>
      </c>
      <c r="AY187">
        <v>0.1</v>
      </c>
      <c r="BA187">
        <v>4</v>
      </c>
      <c r="BB187">
        <v>1</v>
      </c>
      <c r="CH187" t="str">
        <f t="shared" si="162"/>
        <v>DATA_Class_Base20</v>
      </c>
      <c r="CI187" s="6" t="s">
        <v>336</v>
      </c>
    </row>
    <row r="188" spans="1:87">
      <c r="A188">
        <f t="shared" si="173"/>
        <v>5071500</v>
      </c>
      <c r="B188" s="2" t="s">
        <v>492</v>
      </c>
      <c r="C188">
        <v>7</v>
      </c>
      <c r="D188">
        <v>5</v>
      </c>
      <c r="E188">
        <v>1</v>
      </c>
      <c r="F188" s="3" t="s">
        <v>494</v>
      </c>
      <c r="G188" s="3" t="s">
        <v>494</v>
      </c>
      <c r="H188">
        <v>0</v>
      </c>
      <c r="I188">
        <v>0</v>
      </c>
      <c r="J188">
        <v>0</v>
      </c>
      <c r="K188" s="2" t="s">
        <v>303</v>
      </c>
      <c r="L188" s="2">
        <f t="shared" si="174"/>
        <v>6</v>
      </c>
      <c r="M188" s="2">
        <f t="shared" si="163"/>
        <v>1.5</v>
      </c>
      <c r="N188" s="2">
        <f t="shared" si="164"/>
        <v>1.5</v>
      </c>
      <c r="O188" s="2">
        <v>10</v>
      </c>
      <c r="P188" s="2">
        <f t="shared" si="165"/>
        <v>246.4</v>
      </c>
      <c r="Q188" s="2">
        <f t="shared" si="166"/>
        <v>24.64</v>
      </c>
      <c r="R188" s="2">
        <f t="shared" si="167"/>
        <v>1508.57</v>
      </c>
      <c r="S188" s="2">
        <f t="shared" si="168"/>
        <v>150.86000000000001</v>
      </c>
      <c r="T188" s="2">
        <f t="shared" si="169"/>
        <v>35.200000000000003</v>
      </c>
      <c r="U188" s="2">
        <f t="shared" si="170"/>
        <v>3.52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515002</v>
      </c>
      <c r="AB188" s="14" t="s">
        <v>633</v>
      </c>
      <c r="AC188" s="15" t="s">
        <v>890</v>
      </c>
      <c r="AD188" s="2">
        <v>5081500</v>
      </c>
      <c r="AE188" s="2">
        <v>0</v>
      </c>
      <c r="AF188" s="2">
        <v>1</v>
      </c>
      <c r="AG188" s="2">
        <f t="shared" si="176"/>
        <v>5061500</v>
      </c>
      <c r="AH188" s="2">
        <v>1</v>
      </c>
      <c r="AI188" s="2"/>
      <c r="AJ188">
        <v>1</v>
      </c>
      <c r="AK188" s="1">
        <f t="shared" si="171"/>
        <v>78.61295520464067</v>
      </c>
      <c r="AL188">
        <v>7</v>
      </c>
      <c r="AM188">
        <f t="shared" si="177"/>
        <v>223.99999999999994</v>
      </c>
      <c r="AN188">
        <f t="shared" si="178"/>
        <v>22.399999999999995</v>
      </c>
      <c r="AO188">
        <f t="shared" si="179"/>
        <v>1371.4285714285716</v>
      </c>
      <c r="AP188">
        <f t="shared" si="180"/>
        <v>137.14285714285717</v>
      </c>
      <c r="AQ188">
        <f t="shared" si="181"/>
        <v>31.999999999999993</v>
      </c>
      <c r="AR188">
        <f t="shared" si="175"/>
        <v>3.1999999999999993</v>
      </c>
      <c r="AS188">
        <f t="shared" si="182"/>
        <v>1.5</v>
      </c>
      <c r="AT188">
        <f t="shared" si="183"/>
        <v>1.5</v>
      </c>
      <c r="AU188">
        <f t="shared" si="184"/>
        <v>6</v>
      </c>
      <c r="AV188">
        <f t="shared" si="172"/>
        <v>5001</v>
      </c>
      <c r="AW188" s="1">
        <v>0</v>
      </c>
      <c r="AX188">
        <v>5</v>
      </c>
      <c r="AY188">
        <v>0.1</v>
      </c>
      <c r="BA188">
        <v>5</v>
      </c>
      <c r="BB188">
        <v>1</v>
      </c>
      <c r="CH188" t="str">
        <f t="shared" si="162"/>
        <v>DATA_Class_Base21</v>
      </c>
      <c r="CI188" s="6" t="s">
        <v>342</v>
      </c>
    </row>
    <row r="189" spans="1:87">
      <c r="A189">
        <f t="shared" si="173"/>
        <v>5071502</v>
      </c>
      <c r="B189" s="2" t="s">
        <v>496</v>
      </c>
      <c r="C189">
        <v>7</v>
      </c>
      <c r="D189">
        <v>5</v>
      </c>
      <c r="E189">
        <v>1</v>
      </c>
      <c r="F189" s="3" t="s">
        <v>498</v>
      </c>
      <c r="G189" s="3" t="s">
        <v>498</v>
      </c>
      <c r="H189">
        <v>0</v>
      </c>
      <c r="I189">
        <v>0</v>
      </c>
      <c r="J189" s="2">
        <v>0</v>
      </c>
      <c r="K189" s="8" t="s">
        <v>352</v>
      </c>
      <c r="L189" s="2">
        <f t="shared" si="174"/>
        <v>6</v>
      </c>
      <c r="M189" s="2">
        <f t="shared" si="163"/>
        <v>1.4000000000000001</v>
      </c>
      <c r="N189" s="2">
        <f t="shared" si="164"/>
        <v>2</v>
      </c>
      <c r="O189" s="2">
        <v>10</v>
      </c>
      <c r="P189" s="2">
        <f t="shared" si="165"/>
        <v>213.55</v>
      </c>
      <c r="Q189" s="2">
        <f t="shared" si="166"/>
        <v>21.35</v>
      </c>
      <c r="R189" s="2">
        <f t="shared" si="167"/>
        <v>1624.62</v>
      </c>
      <c r="S189" s="2">
        <f t="shared" si="168"/>
        <v>162.46</v>
      </c>
      <c r="T189" s="2">
        <f t="shared" si="169"/>
        <v>32.85</v>
      </c>
      <c r="U189" s="2">
        <f t="shared" si="170"/>
        <v>3.29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515022</v>
      </c>
      <c r="AB189" s="14" t="s">
        <v>634</v>
      </c>
      <c r="AC189" s="15" t="s">
        <v>890</v>
      </c>
      <c r="AD189" s="2">
        <v>5081502</v>
      </c>
      <c r="AE189" s="2">
        <v>0</v>
      </c>
      <c r="AF189" s="2">
        <v>1</v>
      </c>
      <c r="AG189" s="2">
        <f t="shared" si="176"/>
        <v>5061502</v>
      </c>
      <c r="AH189" s="2">
        <v>1</v>
      </c>
      <c r="AI189" s="2"/>
      <c r="AJ189">
        <v>1</v>
      </c>
      <c r="AK189" s="1">
        <f t="shared" si="171"/>
        <v>78.575815491657167</v>
      </c>
      <c r="AL189">
        <v>7</v>
      </c>
      <c r="AM189">
        <f t="shared" si="177"/>
        <v>194.1333333333333</v>
      </c>
      <c r="AN189">
        <f t="shared" si="178"/>
        <v>19.41333333333333</v>
      </c>
      <c r="AO189">
        <f t="shared" si="179"/>
        <v>1476.9230769230767</v>
      </c>
      <c r="AP189">
        <f t="shared" si="180"/>
        <v>147.69230769230768</v>
      </c>
      <c r="AQ189">
        <f t="shared" si="181"/>
        <v>29.86666666666666</v>
      </c>
      <c r="AR189">
        <f t="shared" si="175"/>
        <v>2.9866666666666664</v>
      </c>
      <c r="AS189">
        <f t="shared" si="182"/>
        <v>1.4</v>
      </c>
      <c r="AT189">
        <f t="shared" si="183"/>
        <v>2</v>
      </c>
      <c r="AU189">
        <f t="shared" si="184"/>
        <v>6</v>
      </c>
      <c r="AV189">
        <f t="shared" si="172"/>
        <v>5021</v>
      </c>
      <c r="AW189" s="1">
        <v>2</v>
      </c>
      <c r="AX189">
        <v>5</v>
      </c>
      <c r="AY189">
        <v>0.1</v>
      </c>
      <c r="BA189">
        <v>5</v>
      </c>
      <c r="BB189">
        <v>1</v>
      </c>
      <c r="CH189" t="str">
        <f t="shared" si="162"/>
        <v>DATA_Class_Base22</v>
      </c>
      <c r="CI189" s="6" t="s">
        <v>349</v>
      </c>
    </row>
    <row r="190" spans="1:87">
      <c r="A190">
        <f t="shared" si="173"/>
        <v>5071601</v>
      </c>
      <c r="B190" s="2" t="s">
        <v>500</v>
      </c>
      <c r="C190">
        <v>7</v>
      </c>
      <c r="D190">
        <v>6</v>
      </c>
      <c r="E190">
        <v>1</v>
      </c>
      <c r="F190" s="3" t="s">
        <v>502</v>
      </c>
      <c r="G190" s="3" t="s">
        <v>502</v>
      </c>
      <c r="H190">
        <v>0</v>
      </c>
      <c r="I190">
        <v>0</v>
      </c>
      <c r="J190">
        <v>0</v>
      </c>
      <c r="K190" s="2" t="s">
        <v>309</v>
      </c>
      <c r="L190" s="2">
        <f t="shared" si="174"/>
        <v>6</v>
      </c>
      <c r="M190" s="2">
        <f t="shared" si="163"/>
        <v>1.5</v>
      </c>
      <c r="N190" s="2">
        <f t="shared" si="164"/>
        <v>2</v>
      </c>
      <c r="O190" s="2">
        <v>10</v>
      </c>
      <c r="P190" s="2">
        <f t="shared" si="165"/>
        <v>176</v>
      </c>
      <c r="Q190" s="2">
        <f t="shared" si="166"/>
        <v>17.600000000000001</v>
      </c>
      <c r="R190" s="2">
        <f t="shared" si="167"/>
        <v>2112</v>
      </c>
      <c r="S190" s="2">
        <f t="shared" si="168"/>
        <v>211.2</v>
      </c>
      <c r="T190" s="2">
        <f t="shared" si="169"/>
        <v>44</v>
      </c>
      <c r="U190" s="2">
        <f t="shared" si="170"/>
        <v>4.4000000000000004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516012</v>
      </c>
      <c r="AB190" s="14" t="s">
        <v>635</v>
      </c>
      <c r="AC190" s="15" t="s">
        <v>890</v>
      </c>
      <c r="AD190" s="2">
        <v>5081601</v>
      </c>
      <c r="AE190" s="2">
        <v>0</v>
      </c>
      <c r="AF190" s="2">
        <v>1</v>
      </c>
      <c r="AG190" s="2">
        <f t="shared" si="176"/>
        <v>5061601</v>
      </c>
      <c r="AH190" s="2">
        <v>1</v>
      </c>
      <c r="AI190" s="2"/>
      <c r="AJ190">
        <v>1</v>
      </c>
      <c r="AK190" s="1">
        <f t="shared" si="171"/>
        <v>78.752542372881365</v>
      </c>
      <c r="AL190">
        <v>7</v>
      </c>
      <c r="AM190">
        <f t="shared" si="177"/>
        <v>160</v>
      </c>
      <c r="AN190">
        <f t="shared" si="178"/>
        <v>16</v>
      </c>
      <c r="AO190">
        <f t="shared" si="179"/>
        <v>1920</v>
      </c>
      <c r="AP190">
        <f t="shared" si="180"/>
        <v>192</v>
      </c>
      <c r="AQ190">
        <f t="shared" si="181"/>
        <v>40</v>
      </c>
      <c r="AR190">
        <f t="shared" si="175"/>
        <v>4</v>
      </c>
      <c r="AS190">
        <f t="shared" si="182"/>
        <v>1.5</v>
      </c>
      <c r="AT190">
        <f t="shared" si="183"/>
        <v>2</v>
      </c>
      <c r="AU190">
        <f t="shared" si="184"/>
        <v>6</v>
      </c>
      <c r="AV190">
        <f t="shared" si="172"/>
        <v>6011</v>
      </c>
      <c r="AW190" s="1">
        <v>1</v>
      </c>
      <c r="AX190">
        <v>5</v>
      </c>
      <c r="AY190">
        <v>0.1</v>
      </c>
      <c r="BA190">
        <v>6</v>
      </c>
      <c r="BB190">
        <v>1</v>
      </c>
      <c r="CH190" t="str">
        <f t="shared" si="162"/>
        <v>DATA_Class_Base23</v>
      </c>
      <c r="CI190" s="6" t="s">
        <v>355</v>
      </c>
    </row>
    <row r="191" spans="1:87">
      <c r="A191">
        <f t="shared" si="173"/>
        <v>5072200</v>
      </c>
      <c r="B191" s="2" t="s">
        <v>504</v>
      </c>
      <c r="C191">
        <v>7</v>
      </c>
      <c r="D191">
        <v>2</v>
      </c>
      <c r="E191">
        <v>2</v>
      </c>
      <c r="F191" s="3" t="s">
        <v>506</v>
      </c>
      <c r="G191" s="3" t="s">
        <v>506</v>
      </c>
      <c r="H191">
        <v>0</v>
      </c>
      <c r="I191">
        <v>0</v>
      </c>
      <c r="J191">
        <v>0</v>
      </c>
      <c r="K191" s="8" t="s">
        <v>507</v>
      </c>
      <c r="L191" s="2">
        <f t="shared" si="174"/>
        <v>3</v>
      </c>
      <c r="M191" s="2">
        <f t="shared" si="163"/>
        <v>1.5</v>
      </c>
      <c r="N191" s="2">
        <f t="shared" si="164"/>
        <v>1.2</v>
      </c>
      <c r="O191" s="2">
        <v>10</v>
      </c>
      <c r="P191" s="2">
        <f t="shared" si="165"/>
        <v>176</v>
      </c>
      <c r="Q191" s="2">
        <f t="shared" si="166"/>
        <v>17.600000000000001</v>
      </c>
      <c r="R191" s="2">
        <f t="shared" si="167"/>
        <v>2112</v>
      </c>
      <c r="S191" s="2">
        <f t="shared" si="168"/>
        <v>211.2</v>
      </c>
      <c r="T191" s="2">
        <f t="shared" si="169"/>
        <v>44</v>
      </c>
      <c r="U191" s="2">
        <f t="shared" si="170"/>
        <v>4.4000000000000004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522002</v>
      </c>
      <c r="AB191" s="14" t="s">
        <v>636</v>
      </c>
      <c r="AC191" s="15" t="s">
        <v>890</v>
      </c>
      <c r="AD191" s="2">
        <v>5082200</v>
      </c>
      <c r="AE191" s="2">
        <v>0</v>
      </c>
      <c r="AF191" s="2">
        <v>1</v>
      </c>
      <c r="AG191" s="2">
        <f t="shared" si="176"/>
        <v>5062200</v>
      </c>
      <c r="AH191" s="2">
        <v>1</v>
      </c>
      <c r="AI191" s="2"/>
      <c r="AJ191">
        <v>1</v>
      </c>
      <c r="AK191" s="1">
        <f t="shared" si="171"/>
        <v>78.752542372881365</v>
      </c>
      <c r="AL191">
        <v>7</v>
      </c>
      <c r="AM191">
        <f t="shared" si="177"/>
        <v>160</v>
      </c>
      <c r="AN191">
        <f t="shared" si="178"/>
        <v>16</v>
      </c>
      <c r="AO191">
        <f t="shared" si="179"/>
        <v>1920</v>
      </c>
      <c r="AP191">
        <f t="shared" si="180"/>
        <v>192</v>
      </c>
      <c r="AQ191">
        <f t="shared" si="181"/>
        <v>40</v>
      </c>
      <c r="AR191">
        <f t="shared" si="175"/>
        <v>4</v>
      </c>
      <c r="AS191">
        <f t="shared" si="182"/>
        <v>1.5</v>
      </c>
      <c r="AT191">
        <f t="shared" si="183"/>
        <v>1.2</v>
      </c>
      <c r="AU191">
        <f t="shared" si="184"/>
        <v>3</v>
      </c>
      <c r="AV191">
        <f t="shared" si="172"/>
        <v>2002</v>
      </c>
      <c r="AW191" s="1">
        <v>0</v>
      </c>
      <c r="AX191">
        <v>5</v>
      </c>
      <c r="AY191">
        <v>0.1</v>
      </c>
      <c r="BA191">
        <v>2</v>
      </c>
      <c r="BB191">
        <v>2</v>
      </c>
      <c r="CH191" t="str">
        <f t="shared" si="162"/>
        <v>DATA_Class_Base24</v>
      </c>
      <c r="CI191" s="6" t="s">
        <v>361</v>
      </c>
    </row>
    <row r="192" spans="1:87">
      <c r="A192">
        <f t="shared" si="173"/>
        <v>5072201</v>
      </c>
      <c r="B192" s="2" t="s">
        <v>509</v>
      </c>
      <c r="C192">
        <v>7</v>
      </c>
      <c r="D192">
        <v>2</v>
      </c>
      <c r="E192">
        <v>2</v>
      </c>
      <c r="F192" s="3" t="s">
        <v>511</v>
      </c>
      <c r="G192" s="3" t="s">
        <v>511</v>
      </c>
      <c r="H192">
        <v>0</v>
      </c>
      <c r="I192">
        <v>0</v>
      </c>
      <c r="J192">
        <v>0</v>
      </c>
      <c r="K192" s="8" t="s">
        <v>512</v>
      </c>
      <c r="L192" s="2">
        <f t="shared" si="174"/>
        <v>3</v>
      </c>
      <c r="M192" s="2">
        <f t="shared" si="163"/>
        <v>1.8</v>
      </c>
      <c r="N192" s="2">
        <f t="shared" si="164"/>
        <v>1.8</v>
      </c>
      <c r="O192" s="2">
        <v>10</v>
      </c>
      <c r="P192" s="2">
        <f t="shared" si="165"/>
        <v>147.84</v>
      </c>
      <c r="Q192" s="2">
        <f t="shared" si="166"/>
        <v>14.78</v>
      </c>
      <c r="R192" s="2">
        <f t="shared" si="167"/>
        <v>3017.14</v>
      </c>
      <c r="S192" s="2">
        <f t="shared" si="168"/>
        <v>301.70999999999998</v>
      </c>
      <c r="T192" s="2">
        <f t="shared" si="169"/>
        <v>49.28</v>
      </c>
      <c r="U192" s="2">
        <f t="shared" si="170"/>
        <v>4.93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522012</v>
      </c>
      <c r="AB192" s="14" t="s">
        <v>637</v>
      </c>
      <c r="AC192" s="15" t="s">
        <v>890</v>
      </c>
      <c r="AD192" s="2">
        <v>5082201</v>
      </c>
      <c r="AE192" s="2">
        <v>0</v>
      </c>
      <c r="AF192" s="2">
        <v>1</v>
      </c>
      <c r="AG192" s="2">
        <f t="shared" si="176"/>
        <v>5062201</v>
      </c>
      <c r="AH192" s="2">
        <v>1</v>
      </c>
      <c r="AI192" s="2"/>
      <c r="AJ192">
        <v>1</v>
      </c>
      <c r="AK192" s="1">
        <f t="shared" si="171"/>
        <v>78.836532867946488</v>
      </c>
      <c r="AL192">
        <v>7</v>
      </c>
      <c r="AM192">
        <f t="shared" si="177"/>
        <v>134.4</v>
      </c>
      <c r="AN192">
        <f t="shared" si="178"/>
        <v>13.440000000000001</v>
      </c>
      <c r="AO192">
        <f t="shared" si="179"/>
        <v>2742.8571428571431</v>
      </c>
      <c r="AP192">
        <f t="shared" si="180"/>
        <v>274.28571428571433</v>
      </c>
      <c r="AQ192">
        <f t="shared" si="181"/>
        <v>44.800000000000004</v>
      </c>
      <c r="AR192">
        <f t="shared" si="175"/>
        <v>4.4800000000000004</v>
      </c>
      <c r="AS192">
        <f t="shared" si="182"/>
        <v>1.8</v>
      </c>
      <c r="AT192">
        <f t="shared" si="183"/>
        <v>1.8</v>
      </c>
      <c r="AU192">
        <f t="shared" si="184"/>
        <v>3</v>
      </c>
      <c r="AV192">
        <f t="shared" si="172"/>
        <v>2012</v>
      </c>
      <c r="AW192" s="1">
        <v>1</v>
      </c>
      <c r="AX192">
        <v>5</v>
      </c>
      <c r="AY192">
        <v>0.1</v>
      </c>
      <c r="BA192">
        <v>2</v>
      </c>
      <c r="BB192">
        <v>2</v>
      </c>
      <c r="CH192" t="str">
        <f t="shared" si="162"/>
        <v>DATA_Class_Base25</v>
      </c>
      <c r="CI192" s="6" t="s">
        <v>366</v>
      </c>
    </row>
    <row r="193" spans="1:87">
      <c r="A193">
        <f t="shared" si="173"/>
        <v>5072202</v>
      </c>
      <c r="B193" s="2" t="s">
        <v>514</v>
      </c>
      <c r="C193">
        <v>7</v>
      </c>
      <c r="D193">
        <v>2</v>
      </c>
      <c r="E193">
        <v>2</v>
      </c>
      <c r="F193" s="3" t="s">
        <v>516</v>
      </c>
      <c r="G193" s="3" t="s">
        <v>516</v>
      </c>
      <c r="H193">
        <v>0</v>
      </c>
      <c r="I193">
        <v>0</v>
      </c>
      <c r="J193" s="2">
        <v>0</v>
      </c>
      <c r="K193" s="2" t="s">
        <v>280</v>
      </c>
      <c r="L193" s="2">
        <f t="shared" si="174"/>
        <v>3</v>
      </c>
      <c r="M193" s="2">
        <f t="shared" si="163"/>
        <v>1.8</v>
      </c>
      <c r="N193" s="2">
        <f t="shared" si="164"/>
        <v>2</v>
      </c>
      <c r="O193" s="2">
        <v>10</v>
      </c>
      <c r="P193" s="2">
        <f t="shared" si="165"/>
        <v>242.88</v>
      </c>
      <c r="Q193" s="2">
        <f t="shared" si="166"/>
        <v>24.29</v>
      </c>
      <c r="R193" s="2">
        <f t="shared" si="167"/>
        <v>1836.52</v>
      </c>
      <c r="S193" s="2">
        <f t="shared" si="168"/>
        <v>183.65</v>
      </c>
      <c r="T193" s="2">
        <f t="shared" si="169"/>
        <v>48.58</v>
      </c>
      <c r="U193" s="2">
        <f t="shared" si="170"/>
        <v>4.8600000000000003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522022</v>
      </c>
      <c r="AB193" s="14" t="s">
        <v>638</v>
      </c>
      <c r="AC193" s="15" t="s">
        <v>890</v>
      </c>
      <c r="AD193" s="2">
        <v>5082202</v>
      </c>
      <c r="AE193" s="2">
        <v>0</v>
      </c>
      <c r="AF193" s="2">
        <v>1</v>
      </c>
      <c r="AG193" s="2">
        <f t="shared" si="176"/>
        <v>5062202</v>
      </c>
      <c r="AH193" s="2">
        <v>1</v>
      </c>
      <c r="AI193" s="2"/>
      <c r="AJ193">
        <v>1</v>
      </c>
      <c r="AK193" s="1">
        <f t="shared" si="171"/>
        <v>78.825323785642283</v>
      </c>
      <c r="AL193">
        <v>7</v>
      </c>
      <c r="AM193">
        <f t="shared" si="177"/>
        <v>220.79999999999998</v>
      </c>
      <c r="AN193">
        <f t="shared" si="178"/>
        <v>22.08</v>
      </c>
      <c r="AO193">
        <f t="shared" si="179"/>
        <v>1669.5652173913045</v>
      </c>
      <c r="AP193">
        <f t="shared" si="180"/>
        <v>166.95652173913047</v>
      </c>
      <c r="AQ193">
        <f t="shared" si="181"/>
        <v>44.16</v>
      </c>
      <c r="AR193">
        <f t="shared" si="175"/>
        <v>4.4159999999999995</v>
      </c>
      <c r="AS193">
        <f t="shared" si="182"/>
        <v>1.8</v>
      </c>
      <c r="AT193">
        <f t="shared" si="183"/>
        <v>2</v>
      </c>
      <c r="AU193">
        <f t="shared" si="184"/>
        <v>3</v>
      </c>
      <c r="AV193">
        <f t="shared" si="172"/>
        <v>2022</v>
      </c>
      <c r="AW193" s="1">
        <v>2</v>
      </c>
      <c r="AX193">
        <v>5</v>
      </c>
      <c r="AY193">
        <v>0.1</v>
      </c>
      <c r="BA193">
        <v>2</v>
      </c>
      <c r="BB193">
        <v>2</v>
      </c>
      <c r="CH193" t="str">
        <f t="shared" si="162"/>
        <v>DATA_Class_Base26</v>
      </c>
      <c r="CI193" s="6" t="s">
        <v>369</v>
      </c>
    </row>
    <row r="194" spans="1:87">
      <c r="A194">
        <f t="shared" si="173"/>
        <v>5072301</v>
      </c>
      <c r="B194" s="2" t="s">
        <v>518</v>
      </c>
      <c r="C194">
        <v>7</v>
      </c>
      <c r="D194">
        <v>3</v>
      </c>
      <c r="E194">
        <v>2</v>
      </c>
      <c r="F194" s="3" t="s">
        <v>520</v>
      </c>
      <c r="G194" s="3" t="s">
        <v>520</v>
      </c>
      <c r="H194">
        <v>0</v>
      </c>
      <c r="I194">
        <v>0</v>
      </c>
      <c r="J194">
        <v>0</v>
      </c>
      <c r="K194" s="2" t="s">
        <v>285</v>
      </c>
      <c r="L194" s="2">
        <f t="shared" si="174"/>
        <v>3</v>
      </c>
      <c r="M194" s="2">
        <f t="shared" si="163"/>
        <v>1.2</v>
      </c>
      <c r="N194" s="2">
        <f t="shared" si="164"/>
        <v>1.7</v>
      </c>
      <c r="O194" s="2">
        <v>10</v>
      </c>
      <c r="P194" s="2">
        <f t="shared" si="165"/>
        <v>183.04</v>
      </c>
      <c r="Q194" s="2">
        <f t="shared" si="166"/>
        <v>18.3</v>
      </c>
      <c r="R194" s="2">
        <f t="shared" si="167"/>
        <v>1624.62</v>
      </c>
      <c r="S194" s="2">
        <f t="shared" si="168"/>
        <v>162.46</v>
      </c>
      <c r="T194" s="2">
        <f t="shared" si="169"/>
        <v>30.51</v>
      </c>
      <c r="U194" s="2">
        <f t="shared" si="170"/>
        <v>3.05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523012</v>
      </c>
      <c r="AB194" s="14" t="s">
        <v>639</v>
      </c>
      <c r="AC194" s="15" t="s">
        <v>890</v>
      </c>
      <c r="AD194" s="2">
        <v>5082301</v>
      </c>
      <c r="AE194" s="2">
        <v>0</v>
      </c>
      <c r="AF194" s="2">
        <v>1</v>
      </c>
      <c r="AG194" s="2">
        <f t="shared" si="176"/>
        <v>5062301</v>
      </c>
      <c r="AH194" s="2">
        <v>1</v>
      </c>
      <c r="AI194" s="2"/>
      <c r="AJ194">
        <v>1</v>
      </c>
      <c r="AK194" s="1">
        <f t="shared" si="171"/>
        <v>78.538710854493559</v>
      </c>
      <c r="AL194">
        <v>7</v>
      </c>
      <c r="AM194">
        <f t="shared" si="177"/>
        <v>166.4</v>
      </c>
      <c r="AN194">
        <f t="shared" si="178"/>
        <v>16.64</v>
      </c>
      <c r="AO194">
        <f t="shared" si="179"/>
        <v>1476.9230769230767</v>
      </c>
      <c r="AP194">
        <f t="shared" si="180"/>
        <v>147.69230769230768</v>
      </c>
      <c r="AQ194">
        <f t="shared" si="181"/>
        <v>27.733333333333334</v>
      </c>
      <c r="AR194">
        <f t="shared" si="175"/>
        <v>2.7733333333333334</v>
      </c>
      <c r="AS194">
        <f t="shared" si="182"/>
        <v>1.2</v>
      </c>
      <c r="AT194">
        <f t="shared" si="183"/>
        <v>1.7</v>
      </c>
      <c r="AU194">
        <f t="shared" si="184"/>
        <v>3</v>
      </c>
      <c r="AV194">
        <f t="shared" si="172"/>
        <v>3012</v>
      </c>
      <c r="AW194" s="1">
        <v>1</v>
      </c>
      <c r="AX194">
        <v>5</v>
      </c>
      <c r="AY194">
        <v>0.1</v>
      </c>
      <c r="BA194">
        <v>3</v>
      </c>
      <c r="BB194">
        <v>2</v>
      </c>
      <c r="CE194" s="13"/>
      <c r="CF194" s="13"/>
      <c r="CH194" t="str">
        <f t="shared" si="162"/>
        <v>DATA_Class_Base27</v>
      </c>
      <c r="CI194" s="6" t="s">
        <v>371</v>
      </c>
    </row>
    <row r="195" spans="1:87">
      <c r="A195">
        <f t="shared" si="173"/>
        <v>5072401</v>
      </c>
      <c r="B195" s="2" t="s">
        <v>522</v>
      </c>
      <c r="C195">
        <v>7</v>
      </c>
      <c r="D195">
        <v>4</v>
      </c>
      <c r="E195">
        <v>2</v>
      </c>
      <c r="F195" s="3" t="s">
        <v>524</v>
      </c>
      <c r="G195" s="3" t="s">
        <v>524</v>
      </c>
      <c r="H195">
        <v>0</v>
      </c>
      <c r="I195">
        <v>0</v>
      </c>
      <c r="J195" s="2">
        <v>0</v>
      </c>
      <c r="K195" s="8" t="s">
        <v>250</v>
      </c>
      <c r="L195" s="2">
        <f t="shared" si="174"/>
        <v>6</v>
      </c>
      <c r="M195" s="2">
        <f t="shared" si="163"/>
        <v>1.6</v>
      </c>
      <c r="N195" s="2">
        <f t="shared" si="164"/>
        <v>1.5</v>
      </c>
      <c r="O195" s="2">
        <v>10</v>
      </c>
      <c r="P195" s="2">
        <f t="shared" si="165"/>
        <v>244.05</v>
      </c>
      <c r="Q195" s="2">
        <f t="shared" si="166"/>
        <v>24.41</v>
      </c>
      <c r="R195" s="2">
        <f t="shared" si="167"/>
        <v>1624.62</v>
      </c>
      <c r="S195" s="2">
        <f t="shared" si="168"/>
        <v>162.46</v>
      </c>
      <c r="T195" s="2">
        <f t="shared" si="169"/>
        <v>27.12</v>
      </c>
      <c r="U195" s="2">
        <f t="shared" si="170"/>
        <v>2.71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524012</v>
      </c>
      <c r="AB195" s="14" t="s">
        <v>640</v>
      </c>
      <c r="AC195" s="15" t="s">
        <v>890</v>
      </c>
      <c r="AD195" s="2">
        <v>5082401</v>
      </c>
      <c r="AE195" s="2">
        <v>0</v>
      </c>
      <c r="AF195" s="2">
        <v>1</v>
      </c>
      <c r="AG195" s="2">
        <f t="shared" si="176"/>
        <v>5062401</v>
      </c>
      <c r="AH195" s="2">
        <v>1</v>
      </c>
      <c r="AI195" s="2"/>
      <c r="AJ195">
        <v>1</v>
      </c>
      <c r="AK195" s="1">
        <f t="shared" si="171"/>
        <v>78.485177090805962</v>
      </c>
      <c r="AL195">
        <v>7</v>
      </c>
      <c r="AM195">
        <f t="shared" si="177"/>
        <v>221.86666666666667</v>
      </c>
      <c r="AN195">
        <f t="shared" si="178"/>
        <v>22.186666666666667</v>
      </c>
      <c r="AO195">
        <f t="shared" si="179"/>
        <v>1476.9230769230767</v>
      </c>
      <c r="AP195">
        <f t="shared" si="180"/>
        <v>147.69230769230768</v>
      </c>
      <c r="AQ195">
        <f t="shared" si="181"/>
        <v>24.651851851851852</v>
      </c>
      <c r="AR195">
        <f t="shared" si="175"/>
        <v>2.4651851851851854</v>
      </c>
      <c r="AS195">
        <f t="shared" si="182"/>
        <v>1.6</v>
      </c>
      <c r="AT195">
        <f t="shared" si="183"/>
        <v>1.5</v>
      </c>
      <c r="AU195">
        <f t="shared" si="184"/>
        <v>6</v>
      </c>
      <c r="AV195">
        <f t="shared" si="172"/>
        <v>4012</v>
      </c>
      <c r="AW195" s="1">
        <v>1</v>
      </c>
      <c r="AX195">
        <v>5</v>
      </c>
      <c r="AY195">
        <v>0.1</v>
      </c>
      <c r="BA195">
        <v>4</v>
      </c>
      <c r="BB195">
        <v>2</v>
      </c>
      <c r="CA195" t="str">
        <f>CB195&amp;","&amp;CC195</f>
        <v>1312002,2312001</v>
      </c>
      <c r="CB195">
        <v>1312002</v>
      </c>
      <c r="CC195">
        <v>2312001</v>
      </c>
      <c r="CE195" s="13"/>
      <c r="CF195" s="13"/>
      <c r="CH195" t="str">
        <f t="shared" si="162"/>
        <v>DATA_Class_Base13</v>
      </c>
      <c r="CI195" s="6" t="s">
        <v>295</v>
      </c>
    </row>
    <row r="196" spans="1:87">
      <c r="A196">
        <f t="shared" si="173"/>
        <v>5072402</v>
      </c>
      <c r="B196" s="2" t="s">
        <v>526</v>
      </c>
      <c r="C196">
        <v>7</v>
      </c>
      <c r="D196">
        <v>4</v>
      </c>
      <c r="E196">
        <v>2</v>
      </c>
      <c r="F196" s="3" t="s">
        <v>528</v>
      </c>
      <c r="G196" s="3" t="s">
        <v>528</v>
      </c>
      <c r="H196">
        <v>0</v>
      </c>
      <c r="I196">
        <v>0</v>
      </c>
      <c r="J196">
        <v>0</v>
      </c>
      <c r="K196" s="2" t="s">
        <v>250</v>
      </c>
      <c r="L196" s="2">
        <f t="shared" si="174"/>
        <v>6</v>
      </c>
      <c r="M196" s="2">
        <f t="shared" si="163"/>
        <v>1.5</v>
      </c>
      <c r="N196" s="2">
        <f t="shared" si="164"/>
        <v>1.5</v>
      </c>
      <c r="O196" s="2">
        <v>10</v>
      </c>
      <c r="P196" s="2">
        <f t="shared" si="165"/>
        <v>246.4</v>
      </c>
      <c r="Q196" s="2">
        <f t="shared" si="166"/>
        <v>24.64</v>
      </c>
      <c r="R196" s="2">
        <f t="shared" si="167"/>
        <v>1508.57</v>
      </c>
      <c r="S196" s="2">
        <f t="shared" si="168"/>
        <v>150.86000000000001</v>
      </c>
      <c r="T196" s="2">
        <f t="shared" si="169"/>
        <v>30.8</v>
      </c>
      <c r="U196" s="2">
        <f t="shared" si="170"/>
        <v>3.08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524022</v>
      </c>
      <c r="AB196" s="14" t="s">
        <v>641</v>
      </c>
      <c r="AC196" s="15" t="s">
        <v>890</v>
      </c>
      <c r="AD196" s="2">
        <v>5082402</v>
      </c>
      <c r="AE196" s="2">
        <v>0</v>
      </c>
      <c r="AF196" s="2">
        <v>1</v>
      </c>
      <c r="AG196" s="2">
        <f t="shared" si="176"/>
        <v>5062402</v>
      </c>
      <c r="AH196" s="2">
        <v>1</v>
      </c>
      <c r="AI196" s="2"/>
      <c r="AJ196">
        <v>1</v>
      </c>
      <c r="AK196" s="1">
        <f t="shared" si="171"/>
        <v>78.543347017628591</v>
      </c>
      <c r="AL196">
        <v>7</v>
      </c>
      <c r="AM196">
        <f t="shared" si="177"/>
        <v>223.99999999999994</v>
      </c>
      <c r="AN196">
        <f t="shared" si="178"/>
        <v>22.399999999999995</v>
      </c>
      <c r="AO196">
        <f t="shared" si="179"/>
        <v>1371.4285714285716</v>
      </c>
      <c r="AP196">
        <f t="shared" si="180"/>
        <v>137.14285714285717</v>
      </c>
      <c r="AQ196">
        <f t="shared" si="181"/>
        <v>27.999999999999993</v>
      </c>
      <c r="AR196">
        <f t="shared" si="175"/>
        <v>2.7999999999999994</v>
      </c>
      <c r="AS196">
        <f t="shared" si="182"/>
        <v>1.5</v>
      </c>
      <c r="AT196">
        <f t="shared" si="183"/>
        <v>1.5</v>
      </c>
      <c r="AU196">
        <f t="shared" si="184"/>
        <v>6</v>
      </c>
      <c r="AV196">
        <f t="shared" si="172"/>
        <v>4022</v>
      </c>
      <c r="AW196" s="1">
        <v>2</v>
      </c>
      <c r="AX196">
        <v>5</v>
      </c>
      <c r="AY196">
        <v>0.1</v>
      </c>
      <c r="BA196">
        <v>4</v>
      </c>
      <c r="BB196">
        <v>2</v>
      </c>
      <c r="CA196" t="str">
        <f t="shared" ref="CA196:CA227" si="185">CB196&amp;","&amp;CC196</f>
        <v>1312012,2312011</v>
      </c>
      <c r="CB196">
        <v>1312012</v>
      </c>
      <c r="CC196">
        <v>2312011</v>
      </c>
      <c r="CE196" s="13"/>
      <c r="CF196" s="13"/>
      <c r="CH196" t="str">
        <f t="shared" si="162"/>
        <v>DATA_Class_Base14</v>
      </c>
      <c r="CI196" s="6" t="s">
        <v>300</v>
      </c>
    </row>
    <row r="197" spans="1:87">
      <c r="A197">
        <f t="shared" si="173"/>
        <v>5072502</v>
      </c>
      <c r="B197" s="2" t="s">
        <v>535</v>
      </c>
      <c r="C197">
        <v>7</v>
      </c>
      <c r="D197">
        <v>5</v>
      </c>
      <c r="E197">
        <v>2</v>
      </c>
      <c r="F197" s="3" t="s">
        <v>537</v>
      </c>
      <c r="G197" s="3" t="s">
        <v>537</v>
      </c>
      <c r="H197">
        <v>0</v>
      </c>
      <c r="I197">
        <v>0</v>
      </c>
      <c r="J197" s="2">
        <v>0</v>
      </c>
      <c r="K197" s="2" t="s">
        <v>291</v>
      </c>
      <c r="L197" s="2">
        <f t="shared" si="174"/>
        <v>6</v>
      </c>
      <c r="M197" s="2">
        <f t="shared" si="163"/>
        <v>1.4000000000000001</v>
      </c>
      <c r="N197" s="2">
        <f t="shared" si="164"/>
        <v>2</v>
      </c>
      <c r="O197" s="2">
        <v>10</v>
      </c>
      <c r="P197" s="2">
        <f t="shared" si="165"/>
        <v>254.61</v>
      </c>
      <c r="Q197" s="2">
        <f t="shared" si="166"/>
        <v>25.46</v>
      </c>
      <c r="R197" s="2">
        <f t="shared" si="167"/>
        <v>1362.58</v>
      </c>
      <c r="S197" s="2">
        <f t="shared" si="168"/>
        <v>136.26</v>
      </c>
      <c r="T197" s="2">
        <f t="shared" si="169"/>
        <v>25.46</v>
      </c>
      <c r="U197" s="2">
        <f t="shared" si="170"/>
        <v>2.5499999999999998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525022</v>
      </c>
      <c r="AB197" s="14" t="s">
        <v>643</v>
      </c>
      <c r="AC197" s="15" t="s">
        <v>890</v>
      </c>
      <c r="AD197" s="2">
        <v>5082502</v>
      </c>
      <c r="AE197" s="2">
        <v>0</v>
      </c>
      <c r="AF197" s="2">
        <v>1</v>
      </c>
      <c r="AG197" s="2">
        <f t="shared" si="176"/>
        <v>5062502</v>
      </c>
      <c r="AH197" s="2">
        <v>1</v>
      </c>
      <c r="AI197" s="2"/>
      <c r="AJ197">
        <v>1</v>
      </c>
      <c r="AK197" s="1">
        <f t="shared" si="171"/>
        <v>78.459054427559636</v>
      </c>
      <c r="AL197">
        <v>7</v>
      </c>
      <c r="AM197">
        <f t="shared" si="177"/>
        <v>231.46666666666664</v>
      </c>
      <c r="AN197">
        <f t="shared" si="178"/>
        <v>23.146666666666665</v>
      </c>
      <c r="AO197">
        <f t="shared" si="179"/>
        <v>1238.7096774193549</v>
      </c>
      <c r="AP197">
        <f t="shared" si="180"/>
        <v>123.87096774193549</v>
      </c>
      <c r="AQ197">
        <f t="shared" si="181"/>
        <v>23.146666666666665</v>
      </c>
      <c r="AR197">
        <f t="shared" si="175"/>
        <v>2.3146666666666667</v>
      </c>
      <c r="AS197">
        <f t="shared" si="182"/>
        <v>1.4</v>
      </c>
      <c r="AT197">
        <f t="shared" si="183"/>
        <v>2</v>
      </c>
      <c r="AU197">
        <f t="shared" si="184"/>
        <v>6</v>
      </c>
      <c r="AV197">
        <f t="shared" si="172"/>
        <v>5022</v>
      </c>
      <c r="AW197" s="1">
        <v>2</v>
      </c>
      <c r="AX197">
        <v>5</v>
      </c>
      <c r="AY197">
        <v>0.1</v>
      </c>
      <c r="BA197">
        <v>5</v>
      </c>
      <c r="BB197">
        <v>2</v>
      </c>
      <c r="CA197" t="str">
        <f t="shared" si="185"/>
        <v>1312022,2312021</v>
      </c>
      <c r="CB197">
        <v>1312022</v>
      </c>
      <c r="CC197">
        <v>2312021</v>
      </c>
      <c r="CE197" s="13"/>
      <c r="CF197" s="13"/>
      <c r="CH197" t="str">
        <f t="shared" si="162"/>
        <v>DATA_Class_Base15</v>
      </c>
      <c r="CI197" s="6" t="s">
        <v>306</v>
      </c>
    </row>
    <row r="198" spans="1:87">
      <c r="A198">
        <f t="shared" si="173"/>
        <v>5073200</v>
      </c>
      <c r="B198" s="2" t="s">
        <v>544</v>
      </c>
      <c r="C198">
        <v>7</v>
      </c>
      <c r="D198">
        <v>2</v>
      </c>
      <c r="E198">
        <v>3</v>
      </c>
      <c r="F198" s="3" t="s">
        <v>546</v>
      </c>
      <c r="G198" s="3" t="s">
        <v>546</v>
      </c>
      <c r="H198">
        <v>0</v>
      </c>
      <c r="I198">
        <v>0</v>
      </c>
      <c r="J198">
        <v>0</v>
      </c>
      <c r="K198" s="2" t="s">
        <v>314</v>
      </c>
      <c r="L198" s="2">
        <f t="shared" si="174"/>
        <v>3</v>
      </c>
      <c r="M198" s="2">
        <f t="shared" si="163"/>
        <v>1.5</v>
      </c>
      <c r="N198" s="2">
        <f t="shared" si="164"/>
        <v>1.2</v>
      </c>
      <c r="O198" s="2">
        <v>10</v>
      </c>
      <c r="P198" s="2">
        <f t="shared" si="165"/>
        <v>123.2</v>
      </c>
      <c r="Q198" s="2">
        <f t="shared" si="166"/>
        <v>12.32</v>
      </c>
      <c r="R198" s="2">
        <f t="shared" si="167"/>
        <v>3017.14</v>
      </c>
      <c r="S198" s="2">
        <f t="shared" si="168"/>
        <v>301.70999999999998</v>
      </c>
      <c r="T198" s="2">
        <f t="shared" si="169"/>
        <v>61.6</v>
      </c>
      <c r="U198" s="2">
        <f t="shared" si="170"/>
        <v>6.16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532002</v>
      </c>
      <c r="AB198" s="14" t="s">
        <v>645</v>
      </c>
      <c r="AC198" s="15" t="s">
        <v>890</v>
      </c>
      <c r="AD198" s="2">
        <v>5083200</v>
      </c>
      <c r="AE198" s="2">
        <v>0</v>
      </c>
      <c r="AF198" s="2">
        <v>1</v>
      </c>
      <c r="AG198" s="2">
        <f t="shared" si="176"/>
        <v>5063200</v>
      </c>
      <c r="AH198" s="2">
        <v>1</v>
      </c>
      <c r="AI198" s="2"/>
      <c r="AJ198">
        <v>1</v>
      </c>
      <c r="AK198" s="1">
        <f t="shared" si="171"/>
        <v>79.033209136562448</v>
      </c>
      <c r="AL198">
        <v>7</v>
      </c>
      <c r="AM198">
        <f t="shared" si="177"/>
        <v>111.99999999999997</v>
      </c>
      <c r="AN198">
        <f t="shared" si="178"/>
        <v>11.199999999999998</v>
      </c>
      <c r="AO198">
        <f t="shared" si="179"/>
        <v>2742.8571428571431</v>
      </c>
      <c r="AP198">
        <f t="shared" si="180"/>
        <v>274.28571428571433</v>
      </c>
      <c r="AQ198">
        <f t="shared" si="181"/>
        <v>55.999999999999986</v>
      </c>
      <c r="AR198">
        <f t="shared" si="175"/>
        <v>5.5999999999999988</v>
      </c>
      <c r="AS198">
        <f t="shared" si="182"/>
        <v>1.5</v>
      </c>
      <c r="AT198">
        <f t="shared" si="183"/>
        <v>1.2</v>
      </c>
      <c r="AU198">
        <f t="shared" si="184"/>
        <v>3</v>
      </c>
      <c r="AV198">
        <f t="shared" si="172"/>
        <v>2003</v>
      </c>
      <c r="AW198" s="1">
        <v>0</v>
      </c>
      <c r="AX198">
        <v>5</v>
      </c>
      <c r="AY198">
        <v>0.1</v>
      </c>
      <c r="BA198">
        <v>2</v>
      </c>
      <c r="BB198">
        <v>3</v>
      </c>
      <c r="CA198" t="str">
        <f t="shared" si="185"/>
        <v>1313012,2313011</v>
      </c>
      <c r="CB198">
        <v>1313012</v>
      </c>
      <c r="CC198">
        <v>2313011</v>
      </c>
      <c r="CE198" s="13"/>
      <c r="CF198" s="13"/>
      <c r="CH198" t="str">
        <f t="shared" si="162"/>
        <v>DATA_Class_Base16</v>
      </c>
      <c r="CI198" s="6" t="s">
        <v>312</v>
      </c>
    </row>
    <row r="199" spans="1:87">
      <c r="A199">
        <f t="shared" si="173"/>
        <v>5073202</v>
      </c>
      <c r="B199" s="2" t="s">
        <v>552</v>
      </c>
      <c r="C199">
        <v>7</v>
      </c>
      <c r="D199">
        <v>2</v>
      </c>
      <c r="E199">
        <v>3</v>
      </c>
      <c r="F199" s="3" t="s">
        <v>554</v>
      </c>
      <c r="G199" s="3" t="s">
        <v>554</v>
      </c>
      <c r="H199">
        <v>0</v>
      </c>
      <c r="I199">
        <v>0</v>
      </c>
      <c r="J199">
        <v>0</v>
      </c>
      <c r="K199" s="8" t="s">
        <v>555</v>
      </c>
      <c r="L199" s="2">
        <f t="shared" si="174"/>
        <v>3</v>
      </c>
      <c r="M199" s="2">
        <f t="shared" si="163"/>
        <v>1.8</v>
      </c>
      <c r="N199" s="2">
        <f t="shared" si="164"/>
        <v>2</v>
      </c>
      <c r="O199" s="2">
        <v>10</v>
      </c>
      <c r="P199" s="2">
        <f t="shared" si="165"/>
        <v>190.08</v>
      </c>
      <c r="Q199" s="2">
        <f t="shared" si="166"/>
        <v>19.010000000000002</v>
      </c>
      <c r="R199" s="2">
        <f t="shared" si="167"/>
        <v>2346.67</v>
      </c>
      <c r="S199" s="2">
        <f t="shared" si="168"/>
        <v>234.67</v>
      </c>
      <c r="T199" s="2">
        <f t="shared" si="169"/>
        <v>63.36</v>
      </c>
      <c r="U199" s="2">
        <f t="shared" si="170"/>
        <v>6.34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532022</v>
      </c>
      <c r="AB199" s="14" t="s">
        <v>647</v>
      </c>
      <c r="AC199" s="15" t="s">
        <v>890</v>
      </c>
      <c r="AD199" s="2">
        <v>5083202</v>
      </c>
      <c r="AE199" s="2">
        <v>0</v>
      </c>
      <c r="AF199" s="2">
        <v>1</v>
      </c>
      <c r="AG199" s="2">
        <f t="shared" si="176"/>
        <v>5063202</v>
      </c>
      <c r="AH199" s="2">
        <v>1</v>
      </c>
      <c r="AI199" s="2"/>
      <c r="AJ199">
        <v>1</v>
      </c>
      <c r="AK199" s="1">
        <f t="shared" si="171"/>
        <v>79.061385881895404</v>
      </c>
      <c r="AL199">
        <v>7</v>
      </c>
      <c r="AM199">
        <f t="shared" si="177"/>
        <v>172.8</v>
      </c>
      <c r="AN199">
        <f t="shared" si="178"/>
        <v>17.28</v>
      </c>
      <c r="AO199">
        <f t="shared" si="179"/>
        <v>2133.3333333333335</v>
      </c>
      <c r="AP199">
        <f t="shared" si="180"/>
        <v>213.33333333333337</v>
      </c>
      <c r="AQ199">
        <f t="shared" si="181"/>
        <v>57.6</v>
      </c>
      <c r="AR199">
        <f t="shared" si="175"/>
        <v>5.7600000000000007</v>
      </c>
      <c r="AS199">
        <f t="shared" si="182"/>
        <v>1.8</v>
      </c>
      <c r="AT199">
        <f t="shared" si="183"/>
        <v>2</v>
      </c>
      <c r="AU199">
        <f t="shared" si="184"/>
        <v>3</v>
      </c>
      <c r="AV199">
        <f t="shared" si="172"/>
        <v>2023</v>
      </c>
      <c r="AW199" s="1">
        <v>2</v>
      </c>
      <c r="AX199">
        <v>5</v>
      </c>
      <c r="AY199">
        <v>0.1</v>
      </c>
      <c r="BA199">
        <v>2</v>
      </c>
      <c r="BB199">
        <v>3</v>
      </c>
      <c r="CA199" t="str">
        <f t="shared" si="185"/>
        <v>1314012,2314011</v>
      </c>
      <c r="CB199">
        <v>1314012</v>
      </c>
      <c r="CC199">
        <v>2314011</v>
      </c>
      <c r="CE199" s="13"/>
      <c r="CF199" s="13"/>
      <c r="CH199" t="str">
        <f t="shared" si="162"/>
        <v>DATA_Class_Base17</v>
      </c>
      <c r="CI199" s="6" t="s">
        <v>318</v>
      </c>
    </row>
    <row r="200" spans="1:87">
      <c r="A200">
        <f t="shared" si="173"/>
        <v>5073301</v>
      </c>
      <c r="B200" s="2" t="s">
        <v>557</v>
      </c>
      <c r="C200">
        <v>7</v>
      </c>
      <c r="D200">
        <v>3</v>
      </c>
      <c r="E200">
        <v>3</v>
      </c>
      <c r="F200" s="3" t="s">
        <v>559</v>
      </c>
      <c r="G200" s="3" t="s">
        <v>559</v>
      </c>
      <c r="H200">
        <v>0</v>
      </c>
      <c r="I200">
        <v>0</v>
      </c>
      <c r="J200" s="2">
        <v>0</v>
      </c>
      <c r="K200" s="8" t="s">
        <v>555</v>
      </c>
      <c r="L200" s="2">
        <f t="shared" si="174"/>
        <v>3</v>
      </c>
      <c r="M200" s="2">
        <f t="shared" si="163"/>
        <v>1.2</v>
      </c>
      <c r="N200" s="2">
        <f t="shared" si="164"/>
        <v>1.4000000000000001</v>
      </c>
      <c r="O200" s="2">
        <v>10</v>
      </c>
      <c r="P200" s="2">
        <f t="shared" si="165"/>
        <v>168.96</v>
      </c>
      <c r="Q200" s="2">
        <f t="shared" si="166"/>
        <v>16.899999999999999</v>
      </c>
      <c r="R200" s="2">
        <f t="shared" si="167"/>
        <v>1760</v>
      </c>
      <c r="S200" s="2">
        <f t="shared" si="168"/>
        <v>176</v>
      </c>
      <c r="T200" s="2">
        <f t="shared" si="169"/>
        <v>33.79</v>
      </c>
      <c r="U200" s="2">
        <f t="shared" si="170"/>
        <v>3.38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533012</v>
      </c>
      <c r="AB200" s="14" t="s">
        <v>648</v>
      </c>
      <c r="AC200" s="15" t="s">
        <v>890</v>
      </c>
      <c r="AD200" s="2">
        <v>5083301</v>
      </c>
      <c r="AE200" s="2">
        <v>0</v>
      </c>
      <c r="AF200" s="2">
        <v>1</v>
      </c>
      <c r="AG200" s="2">
        <f t="shared" si="176"/>
        <v>5063301</v>
      </c>
      <c r="AH200" s="2">
        <v>1</v>
      </c>
      <c r="AI200" s="2"/>
      <c r="AJ200">
        <v>1</v>
      </c>
      <c r="AK200" s="1">
        <f t="shared" si="171"/>
        <v>78.590667164967741</v>
      </c>
      <c r="AL200">
        <v>7</v>
      </c>
      <c r="AM200">
        <f t="shared" si="177"/>
        <v>153.6</v>
      </c>
      <c r="AN200">
        <f t="shared" si="178"/>
        <v>15.36</v>
      </c>
      <c r="AO200">
        <f t="shared" si="179"/>
        <v>1600</v>
      </c>
      <c r="AP200">
        <f t="shared" si="180"/>
        <v>160</v>
      </c>
      <c r="AQ200">
        <f t="shared" si="181"/>
        <v>30.72</v>
      </c>
      <c r="AR200">
        <f t="shared" si="175"/>
        <v>3.0720000000000001</v>
      </c>
      <c r="AS200">
        <f t="shared" si="182"/>
        <v>1.2</v>
      </c>
      <c r="AT200">
        <f t="shared" si="183"/>
        <v>1.4</v>
      </c>
      <c r="AU200">
        <f t="shared" si="184"/>
        <v>3</v>
      </c>
      <c r="AV200">
        <f t="shared" si="172"/>
        <v>3013</v>
      </c>
      <c r="AW200" s="1">
        <v>1</v>
      </c>
      <c r="AX200">
        <v>5</v>
      </c>
      <c r="AY200">
        <v>0.1</v>
      </c>
      <c r="BA200">
        <v>3</v>
      </c>
      <c r="BB200">
        <v>3</v>
      </c>
      <c r="CA200" t="str">
        <f t="shared" si="185"/>
        <v>1314022,2314021</v>
      </c>
      <c r="CB200">
        <v>1314022</v>
      </c>
      <c r="CC200">
        <v>2314021</v>
      </c>
      <c r="CE200" s="13"/>
      <c r="CF200" s="13"/>
      <c r="CH200" t="str">
        <f t="shared" si="162"/>
        <v>DATA_Class_Base18</v>
      </c>
      <c r="CI200" s="6" t="s">
        <v>324</v>
      </c>
    </row>
    <row r="201" spans="1:87">
      <c r="A201">
        <f t="shared" si="173"/>
        <v>5073401</v>
      </c>
      <c r="B201" s="2" t="s">
        <v>561</v>
      </c>
      <c r="C201">
        <v>7</v>
      </c>
      <c r="D201">
        <v>4</v>
      </c>
      <c r="E201">
        <v>3</v>
      </c>
      <c r="F201" s="3" t="s">
        <v>563</v>
      </c>
      <c r="G201" s="3" t="s">
        <v>563</v>
      </c>
      <c r="H201">
        <v>0</v>
      </c>
      <c r="I201">
        <v>0</v>
      </c>
      <c r="J201">
        <v>0</v>
      </c>
      <c r="K201" s="8" t="s">
        <v>161</v>
      </c>
      <c r="L201" s="2">
        <f t="shared" si="174"/>
        <v>6</v>
      </c>
      <c r="M201" s="2">
        <f t="shared" si="163"/>
        <v>1.6</v>
      </c>
      <c r="N201" s="2">
        <f t="shared" si="164"/>
        <v>1.5</v>
      </c>
      <c r="O201" s="2">
        <v>10</v>
      </c>
      <c r="P201" s="2">
        <f t="shared" si="165"/>
        <v>225.28</v>
      </c>
      <c r="Q201" s="2">
        <f t="shared" si="166"/>
        <v>22.53</v>
      </c>
      <c r="R201" s="2">
        <f t="shared" si="167"/>
        <v>1760</v>
      </c>
      <c r="S201" s="2">
        <f t="shared" si="168"/>
        <v>176</v>
      </c>
      <c r="T201" s="2">
        <f t="shared" si="169"/>
        <v>37.549999999999997</v>
      </c>
      <c r="U201" s="2">
        <f t="shared" si="170"/>
        <v>3.75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534012</v>
      </c>
      <c r="AB201" s="14" t="s">
        <v>649</v>
      </c>
      <c r="AC201" s="15" t="s">
        <v>890</v>
      </c>
      <c r="AD201" s="2">
        <v>5083401</v>
      </c>
      <c r="AE201" s="2">
        <v>0</v>
      </c>
      <c r="AF201" s="2">
        <v>1</v>
      </c>
      <c r="AG201" s="2">
        <f t="shared" si="176"/>
        <v>5063401</v>
      </c>
      <c r="AH201" s="2">
        <v>1</v>
      </c>
      <c r="AI201" s="2"/>
      <c r="AJ201">
        <v>1</v>
      </c>
      <c r="AK201" s="1">
        <f t="shared" si="171"/>
        <v>78.650130043204456</v>
      </c>
      <c r="AL201">
        <v>7</v>
      </c>
      <c r="AM201">
        <f t="shared" si="177"/>
        <v>204.8</v>
      </c>
      <c r="AN201">
        <f t="shared" si="178"/>
        <v>20.480000000000004</v>
      </c>
      <c r="AO201">
        <f t="shared" si="179"/>
        <v>1600</v>
      </c>
      <c r="AP201">
        <f t="shared" si="180"/>
        <v>160</v>
      </c>
      <c r="AQ201">
        <f t="shared" si="181"/>
        <v>34.133333333333333</v>
      </c>
      <c r="AR201">
        <f t="shared" si="175"/>
        <v>3.4133333333333336</v>
      </c>
      <c r="AS201">
        <f t="shared" si="182"/>
        <v>1.6</v>
      </c>
      <c r="AT201">
        <f t="shared" si="183"/>
        <v>1.5</v>
      </c>
      <c r="AU201">
        <f t="shared" si="184"/>
        <v>6</v>
      </c>
      <c r="AV201">
        <f t="shared" si="172"/>
        <v>4013</v>
      </c>
      <c r="AW201" s="1">
        <v>1</v>
      </c>
      <c r="AX201">
        <v>5</v>
      </c>
      <c r="AY201">
        <v>0.1</v>
      </c>
      <c r="BA201">
        <v>4</v>
      </c>
      <c r="BB201">
        <v>3</v>
      </c>
      <c r="CA201" t="str">
        <f t="shared" si="185"/>
        <v>1315002,2315001</v>
      </c>
      <c r="CB201">
        <v>1315002</v>
      </c>
      <c r="CC201">
        <v>2315001</v>
      </c>
      <c r="CE201" s="13"/>
      <c r="CF201" s="13"/>
      <c r="CH201" t="str">
        <f t="shared" si="162"/>
        <v>DATA_Class_Base19</v>
      </c>
      <c r="CI201" s="6" t="s">
        <v>331</v>
      </c>
    </row>
    <row r="202" spans="1:87">
      <c r="A202">
        <f t="shared" si="173"/>
        <v>5073402</v>
      </c>
      <c r="B202" s="2" t="s">
        <v>565</v>
      </c>
      <c r="C202">
        <v>7</v>
      </c>
      <c r="D202">
        <v>4</v>
      </c>
      <c r="E202">
        <v>3</v>
      </c>
      <c r="F202" s="3" t="s">
        <v>567</v>
      </c>
      <c r="G202" s="3" t="s">
        <v>567</v>
      </c>
      <c r="H202">
        <v>0</v>
      </c>
      <c r="I202">
        <v>0</v>
      </c>
      <c r="J202" s="2">
        <v>0</v>
      </c>
      <c r="K202" s="8" t="s">
        <v>568</v>
      </c>
      <c r="L202" s="2">
        <f t="shared" si="174"/>
        <v>6</v>
      </c>
      <c r="M202" s="2">
        <f t="shared" si="163"/>
        <v>1.5</v>
      </c>
      <c r="N202" s="2">
        <f t="shared" si="164"/>
        <v>1.5</v>
      </c>
      <c r="O202" s="2">
        <v>10</v>
      </c>
      <c r="P202" s="2">
        <f t="shared" si="165"/>
        <v>228.8</v>
      </c>
      <c r="Q202" s="2">
        <f t="shared" si="166"/>
        <v>22.88</v>
      </c>
      <c r="R202" s="2">
        <f t="shared" si="167"/>
        <v>1624.62</v>
      </c>
      <c r="S202" s="2">
        <f t="shared" si="168"/>
        <v>162.46</v>
      </c>
      <c r="T202" s="2">
        <f t="shared" si="169"/>
        <v>32.69</v>
      </c>
      <c r="U202" s="2">
        <f t="shared" si="170"/>
        <v>3.27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534022</v>
      </c>
      <c r="AB202" s="14" t="s">
        <v>650</v>
      </c>
      <c r="AC202" s="15" t="s">
        <v>890</v>
      </c>
      <c r="AD202" s="2">
        <v>5083402</v>
      </c>
      <c r="AE202" s="2">
        <v>0</v>
      </c>
      <c r="AF202" s="2">
        <v>1</v>
      </c>
      <c r="AG202" s="2">
        <f t="shared" si="176"/>
        <v>5063402</v>
      </c>
      <c r="AH202" s="2">
        <v>1</v>
      </c>
      <c r="AI202" s="2"/>
      <c r="AJ202">
        <v>1</v>
      </c>
      <c r="AK202" s="1">
        <f t="shared" si="171"/>
        <v>78.573163997791283</v>
      </c>
      <c r="AL202">
        <v>7</v>
      </c>
      <c r="AM202">
        <f t="shared" si="177"/>
        <v>208</v>
      </c>
      <c r="AN202">
        <f t="shared" si="178"/>
        <v>20.8</v>
      </c>
      <c r="AO202">
        <f t="shared" si="179"/>
        <v>1476.9230769230767</v>
      </c>
      <c r="AP202">
        <f t="shared" si="180"/>
        <v>147.69230769230768</v>
      </c>
      <c r="AQ202">
        <f t="shared" si="181"/>
        <v>29.714285714285715</v>
      </c>
      <c r="AR202">
        <f t="shared" si="175"/>
        <v>2.9714285714285715</v>
      </c>
      <c r="AS202">
        <f t="shared" si="182"/>
        <v>1.5</v>
      </c>
      <c r="AT202">
        <f t="shared" si="183"/>
        <v>1.5</v>
      </c>
      <c r="AU202">
        <f t="shared" si="184"/>
        <v>6</v>
      </c>
      <c r="AV202">
        <f t="shared" si="172"/>
        <v>4023</v>
      </c>
      <c r="AW202" s="1">
        <v>2</v>
      </c>
      <c r="AX202">
        <v>5</v>
      </c>
      <c r="AY202">
        <v>0.1</v>
      </c>
      <c r="BA202">
        <v>4</v>
      </c>
      <c r="BB202">
        <v>3</v>
      </c>
      <c r="CA202" t="str">
        <f t="shared" si="185"/>
        <v>1315022,2315021</v>
      </c>
      <c r="CB202">
        <v>1315022</v>
      </c>
      <c r="CC202">
        <v>2315021</v>
      </c>
      <c r="CE202" s="13"/>
      <c r="CF202" s="13"/>
      <c r="CH202" t="str">
        <f t="shared" si="162"/>
        <v>DATA_Class_Base20</v>
      </c>
      <c r="CI202" s="6" t="s">
        <v>336</v>
      </c>
    </row>
    <row r="203" spans="1:87">
      <c r="A203">
        <f t="shared" si="173"/>
        <v>5073502</v>
      </c>
      <c r="B203" s="2" t="s">
        <v>574</v>
      </c>
      <c r="C203">
        <v>7</v>
      </c>
      <c r="D203">
        <v>5</v>
      </c>
      <c r="E203">
        <v>3</v>
      </c>
      <c r="F203" s="3" t="s">
        <v>576</v>
      </c>
      <c r="G203" s="3" t="s">
        <v>576</v>
      </c>
      <c r="H203">
        <v>0</v>
      </c>
      <c r="I203">
        <v>0</v>
      </c>
      <c r="J203" s="2">
        <v>0</v>
      </c>
      <c r="K203" s="8" t="s">
        <v>577</v>
      </c>
      <c r="L203" s="2">
        <f t="shared" si="174"/>
        <v>6</v>
      </c>
      <c r="M203" s="2">
        <f t="shared" si="163"/>
        <v>1.4000000000000001</v>
      </c>
      <c r="N203" s="2">
        <f t="shared" si="164"/>
        <v>2</v>
      </c>
      <c r="O203" s="2">
        <v>10</v>
      </c>
      <c r="P203" s="2">
        <f t="shared" si="165"/>
        <v>221.76</v>
      </c>
      <c r="Q203" s="2">
        <f t="shared" si="166"/>
        <v>22.18</v>
      </c>
      <c r="R203" s="2">
        <f t="shared" si="167"/>
        <v>1564.44</v>
      </c>
      <c r="S203" s="2">
        <f t="shared" si="168"/>
        <v>156.44</v>
      </c>
      <c r="T203" s="2">
        <f t="shared" si="169"/>
        <v>31.68</v>
      </c>
      <c r="U203" s="2">
        <f t="shared" si="170"/>
        <v>3.17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535022</v>
      </c>
      <c r="AB203" s="14" t="s">
        <v>652</v>
      </c>
      <c r="AC203" s="15" t="s">
        <v>890</v>
      </c>
      <c r="AD203" s="2">
        <v>5083502</v>
      </c>
      <c r="AE203" s="2">
        <v>0</v>
      </c>
      <c r="AF203" s="2">
        <v>1</v>
      </c>
      <c r="AG203" s="2">
        <f t="shared" si="176"/>
        <v>5063502</v>
      </c>
      <c r="AH203" s="2">
        <v>1</v>
      </c>
      <c r="AI203" s="2"/>
      <c r="AJ203">
        <v>1</v>
      </c>
      <c r="AK203" s="1">
        <f t="shared" si="171"/>
        <v>78.557258791704228</v>
      </c>
      <c r="AL203">
        <v>7</v>
      </c>
      <c r="AM203">
        <f t="shared" si="177"/>
        <v>201.6</v>
      </c>
      <c r="AN203">
        <f t="shared" si="178"/>
        <v>20.16</v>
      </c>
      <c r="AO203">
        <f t="shared" si="179"/>
        <v>1422.2222222222222</v>
      </c>
      <c r="AP203">
        <f t="shared" si="180"/>
        <v>142.22222222222223</v>
      </c>
      <c r="AQ203">
        <f t="shared" si="181"/>
        <v>28.8</v>
      </c>
      <c r="AR203">
        <f t="shared" si="175"/>
        <v>2.8800000000000003</v>
      </c>
      <c r="AS203">
        <f t="shared" si="182"/>
        <v>1.4</v>
      </c>
      <c r="AT203">
        <f t="shared" si="183"/>
        <v>2</v>
      </c>
      <c r="AU203">
        <f t="shared" si="184"/>
        <v>6</v>
      </c>
      <c r="AV203">
        <f t="shared" si="172"/>
        <v>5023</v>
      </c>
      <c r="AW203" s="1">
        <v>2</v>
      </c>
      <c r="AX203">
        <v>5</v>
      </c>
      <c r="AY203">
        <v>0.1</v>
      </c>
      <c r="BA203">
        <v>5</v>
      </c>
      <c r="BB203">
        <v>3</v>
      </c>
      <c r="CA203" t="str">
        <f t="shared" si="185"/>
        <v>1316012,2316011</v>
      </c>
      <c r="CB203">
        <v>1316012</v>
      </c>
      <c r="CC203">
        <v>2316011</v>
      </c>
      <c r="CE203" s="13"/>
      <c r="CF203" s="13"/>
      <c r="CH203" t="str">
        <f t="shared" si="162"/>
        <v>DATA_Class_Base21</v>
      </c>
      <c r="CI203" s="6" t="s">
        <v>342</v>
      </c>
    </row>
    <row r="204" spans="1:87">
      <c r="A204">
        <f t="shared" si="173"/>
        <v>5073601</v>
      </c>
      <c r="B204" s="2" t="s">
        <v>579</v>
      </c>
      <c r="C204">
        <v>7</v>
      </c>
      <c r="D204">
        <v>6</v>
      </c>
      <c r="E204">
        <v>3</v>
      </c>
      <c r="F204" s="3" t="s">
        <v>581</v>
      </c>
      <c r="G204" s="3" t="s">
        <v>581</v>
      </c>
      <c r="H204">
        <v>0</v>
      </c>
      <c r="I204">
        <v>0</v>
      </c>
      <c r="J204">
        <v>0</v>
      </c>
      <c r="K204" s="2" t="s">
        <v>309</v>
      </c>
      <c r="L204" s="2">
        <f t="shared" si="174"/>
        <v>6</v>
      </c>
      <c r="M204" s="2">
        <f t="shared" si="163"/>
        <v>1.5</v>
      </c>
      <c r="N204" s="2">
        <f t="shared" si="164"/>
        <v>2</v>
      </c>
      <c r="O204" s="2">
        <v>10</v>
      </c>
      <c r="P204" s="2">
        <f t="shared" si="165"/>
        <v>158.4</v>
      </c>
      <c r="Q204" s="2">
        <f t="shared" si="166"/>
        <v>15.84</v>
      </c>
      <c r="R204" s="2">
        <f t="shared" si="167"/>
        <v>2346.67</v>
      </c>
      <c r="S204" s="2">
        <f t="shared" si="168"/>
        <v>234.67</v>
      </c>
      <c r="T204" s="2">
        <f t="shared" si="169"/>
        <v>52.8</v>
      </c>
      <c r="U204" s="2">
        <f t="shared" si="170"/>
        <v>5.28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536012</v>
      </c>
      <c r="AB204" s="14" t="s">
        <v>653</v>
      </c>
      <c r="AC204" s="15" t="s">
        <v>890</v>
      </c>
      <c r="AD204" s="2">
        <v>5083601</v>
      </c>
      <c r="AE204" s="2">
        <v>0</v>
      </c>
      <c r="AF204" s="2">
        <v>1</v>
      </c>
      <c r="AG204" s="2">
        <f t="shared" si="176"/>
        <v>5063601</v>
      </c>
      <c r="AH204" s="2">
        <v>1</v>
      </c>
      <c r="AI204" s="2"/>
      <c r="AJ204">
        <v>1</v>
      </c>
      <c r="AK204" s="1">
        <f t="shared" si="171"/>
        <v>78.892626131953449</v>
      </c>
      <c r="AL204">
        <v>7</v>
      </c>
      <c r="AM204">
        <f t="shared" si="177"/>
        <v>144</v>
      </c>
      <c r="AN204">
        <f t="shared" si="178"/>
        <v>14.4</v>
      </c>
      <c r="AO204">
        <f t="shared" si="179"/>
        <v>2133.3333333333335</v>
      </c>
      <c r="AP204">
        <f t="shared" si="180"/>
        <v>213.33333333333337</v>
      </c>
      <c r="AQ204">
        <f t="shared" si="181"/>
        <v>48</v>
      </c>
      <c r="AR204">
        <f t="shared" si="175"/>
        <v>4.8000000000000007</v>
      </c>
      <c r="AS204">
        <f t="shared" si="182"/>
        <v>1.5</v>
      </c>
      <c r="AT204">
        <f t="shared" si="183"/>
        <v>2</v>
      </c>
      <c r="AU204">
        <f t="shared" si="184"/>
        <v>6</v>
      </c>
      <c r="AV204">
        <f t="shared" si="172"/>
        <v>6013</v>
      </c>
      <c r="AW204" s="1">
        <v>1</v>
      </c>
      <c r="AX204">
        <v>5</v>
      </c>
      <c r="AY204">
        <v>0.1</v>
      </c>
      <c r="BA204">
        <v>6</v>
      </c>
      <c r="BB204">
        <v>3</v>
      </c>
      <c r="CA204" t="str">
        <f t="shared" si="185"/>
        <v>1322002,2322001</v>
      </c>
      <c r="CB204">
        <v>1322002</v>
      </c>
      <c r="CC204">
        <v>2322001</v>
      </c>
      <c r="CE204" s="13"/>
      <c r="CF204" s="13"/>
      <c r="CH204" t="str">
        <f t="shared" si="162"/>
        <v>DATA_Class_Base13</v>
      </c>
      <c r="CI204" s="6" t="s">
        <v>295</v>
      </c>
    </row>
    <row r="205" spans="1:87">
      <c r="A205">
        <f t="shared" ref="A205:A212" si="186">AX205*1000000+C205*10000+E205*1000+D205*100+AW205</f>
        <v>5074201</v>
      </c>
      <c r="B205" s="2" t="s">
        <v>583</v>
      </c>
      <c r="C205">
        <v>7</v>
      </c>
      <c r="D205">
        <v>2</v>
      </c>
      <c r="E205">
        <v>4</v>
      </c>
      <c r="F205" s="3" t="s">
        <v>585</v>
      </c>
      <c r="G205" s="3" t="s">
        <v>585</v>
      </c>
      <c r="H205">
        <v>0</v>
      </c>
      <c r="I205">
        <v>0</v>
      </c>
      <c r="J205" s="30">
        <v>0</v>
      </c>
      <c r="K205" s="8" t="s">
        <v>555</v>
      </c>
      <c r="L205" s="2">
        <f t="shared" ref="L205:L212" si="187">AU205</f>
        <v>3</v>
      </c>
      <c r="M205" s="2">
        <f t="shared" ref="M205:M212" si="188">FLOOR(AS205/1,0.01)</f>
        <v>1.8</v>
      </c>
      <c r="N205" s="2">
        <f t="shared" ref="N205:N212" si="189">FLOOR(AT205/1,0.01)</f>
        <v>1.8</v>
      </c>
      <c r="O205" s="2">
        <v>10</v>
      </c>
      <c r="P205" s="2">
        <f t="shared" ref="P205:P212" si="190">ROUND(AM205*(1+$AY205),2)</f>
        <v>168.96</v>
      </c>
      <c r="Q205" s="2">
        <f t="shared" ref="Q205:Q212" si="191">ROUND(AN205*(1+$AY205),2)</f>
        <v>16.899999999999999</v>
      </c>
      <c r="R205" s="2">
        <f t="shared" ref="R205:R212" si="192">ROUND(AO205*(1+$AY205),2)</f>
        <v>2640</v>
      </c>
      <c r="S205" s="2">
        <f t="shared" ref="S205:S212" si="193">ROUND(AP205*(1+$AY205),2)</f>
        <v>264</v>
      </c>
      <c r="T205" s="2">
        <f t="shared" ref="T205:T212" si="194">ROUND(AQ205*(1+$AY205),2)</f>
        <v>64.98</v>
      </c>
      <c r="U205" s="2">
        <f t="shared" ref="U205:U212" si="195">ROUND(AR205*(1+$AY205),2)</f>
        <v>6.5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542012</v>
      </c>
      <c r="AB205" s="15" t="s">
        <v>654</v>
      </c>
      <c r="AC205" s="15" t="s">
        <v>890</v>
      </c>
      <c r="AD205" s="2">
        <v>5084201</v>
      </c>
      <c r="AE205" s="2">
        <v>0</v>
      </c>
      <c r="AF205" s="2">
        <v>1</v>
      </c>
      <c r="AG205" s="2">
        <f t="shared" si="176"/>
        <v>5064201</v>
      </c>
      <c r="AH205" s="2">
        <v>1</v>
      </c>
      <c r="AI205" s="2"/>
      <c r="AJ205">
        <v>1</v>
      </c>
      <c r="AK205" s="1">
        <f t="shared" ref="AK205:AK212" si="196">(AO205+AP205*AJ205)*(AM205+AN205*AJ205)/AS205*(0.9)*(1+0.5*0.1)*1/1/(1-(AQ205+AR205*AJ205)*0.0002)/3000</f>
        <v>79.087413023418236</v>
      </c>
      <c r="AL205">
        <v>7</v>
      </c>
      <c r="AM205">
        <f t="shared" si="177"/>
        <v>153.60000000000002</v>
      </c>
      <c r="AN205">
        <f t="shared" si="178"/>
        <v>15.360000000000003</v>
      </c>
      <c r="AO205">
        <f t="shared" si="179"/>
        <v>2400</v>
      </c>
      <c r="AP205">
        <f t="shared" si="180"/>
        <v>240</v>
      </c>
      <c r="AQ205">
        <f t="shared" si="181"/>
        <v>59.07692307692308</v>
      </c>
      <c r="AR205">
        <f t="shared" ref="AR205:AR212" si="197">AQ205*0.1</f>
        <v>5.907692307692308</v>
      </c>
      <c r="AS205">
        <f t="shared" si="182"/>
        <v>1.8</v>
      </c>
      <c r="AT205">
        <f t="shared" si="183"/>
        <v>1.8</v>
      </c>
      <c r="AU205">
        <f t="shared" si="184"/>
        <v>3</v>
      </c>
      <c r="AV205">
        <f t="shared" si="172"/>
        <v>2014</v>
      </c>
      <c r="AW205" s="1">
        <v>1</v>
      </c>
      <c r="AX205">
        <v>5</v>
      </c>
      <c r="AY205">
        <v>0.1</v>
      </c>
      <c r="BA205">
        <v>2</v>
      </c>
      <c r="BB205">
        <v>4</v>
      </c>
      <c r="CA205" t="str">
        <f t="shared" si="185"/>
        <v>1322012,2322011</v>
      </c>
      <c r="CB205">
        <v>1322012</v>
      </c>
      <c r="CC205">
        <v>2322011</v>
      </c>
      <c r="CE205" s="13"/>
      <c r="CF205" s="13"/>
      <c r="CH205" t="str">
        <f t="shared" si="162"/>
        <v>DATA_Class_Base14</v>
      </c>
      <c r="CI205" s="6" t="s">
        <v>300</v>
      </c>
    </row>
    <row r="206" spans="1:87">
      <c r="A206">
        <f t="shared" si="186"/>
        <v>5074501</v>
      </c>
      <c r="B206" s="2" t="s">
        <v>592</v>
      </c>
      <c r="C206">
        <v>7</v>
      </c>
      <c r="D206">
        <v>5</v>
      </c>
      <c r="E206">
        <v>4</v>
      </c>
      <c r="F206" s="3" t="s">
        <v>594</v>
      </c>
      <c r="G206" s="3" t="s">
        <v>594</v>
      </c>
      <c r="H206">
        <v>0</v>
      </c>
      <c r="I206">
        <v>0</v>
      </c>
      <c r="J206">
        <v>0</v>
      </c>
      <c r="K206" s="2" t="s">
        <v>334</v>
      </c>
      <c r="L206" s="2">
        <f t="shared" si="187"/>
        <v>6</v>
      </c>
      <c r="M206" s="2">
        <f t="shared" si="188"/>
        <v>1.6</v>
      </c>
      <c r="N206" s="2">
        <f t="shared" si="189"/>
        <v>2</v>
      </c>
      <c r="O206" s="2">
        <v>10</v>
      </c>
      <c r="P206" s="2">
        <f t="shared" si="190"/>
        <v>244.05</v>
      </c>
      <c r="Q206" s="2">
        <f t="shared" si="191"/>
        <v>24.41</v>
      </c>
      <c r="R206" s="2">
        <f t="shared" si="192"/>
        <v>1624.62</v>
      </c>
      <c r="S206" s="2">
        <f t="shared" si="193"/>
        <v>162.46</v>
      </c>
      <c r="T206" s="2">
        <f t="shared" si="194"/>
        <v>27.12</v>
      </c>
      <c r="U206" s="2">
        <f t="shared" si="195"/>
        <v>2.71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545012</v>
      </c>
      <c r="AB206" s="14" t="s">
        <v>656</v>
      </c>
      <c r="AC206" s="15" t="s">
        <v>890</v>
      </c>
      <c r="AD206" s="2">
        <v>5084501</v>
      </c>
      <c r="AE206" s="2">
        <v>0</v>
      </c>
      <c r="AF206" s="2">
        <v>1</v>
      </c>
      <c r="AG206" s="2">
        <f t="shared" si="176"/>
        <v>5064501</v>
      </c>
      <c r="AH206" s="2">
        <v>1</v>
      </c>
      <c r="AI206" s="2"/>
      <c r="AJ206">
        <v>1</v>
      </c>
      <c r="AK206" s="1">
        <f t="shared" si="196"/>
        <v>78.485177090805962</v>
      </c>
      <c r="AL206">
        <v>7</v>
      </c>
      <c r="AM206">
        <f t="shared" si="177"/>
        <v>221.86666666666667</v>
      </c>
      <c r="AN206">
        <f t="shared" si="178"/>
        <v>22.186666666666667</v>
      </c>
      <c r="AO206">
        <f t="shared" si="179"/>
        <v>1476.9230769230767</v>
      </c>
      <c r="AP206">
        <f t="shared" si="180"/>
        <v>147.69230769230768</v>
      </c>
      <c r="AQ206">
        <f t="shared" si="181"/>
        <v>24.651851851851852</v>
      </c>
      <c r="AR206">
        <f t="shared" si="197"/>
        <v>2.4651851851851854</v>
      </c>
      <c r="AS206">
        <f t="shared" si="182"/>
        <v>1.6</v>
      </c>
      <c r="AT206">
        <f t="shared" si="183"/>
        <v>2</v>
      </c>
      <c r="AU206">
        <f t="shared" si="184"/>
        <v>6</v>
      </c>
      <c r="AV206">
        <f t="shared" si="172"/>
        <v>5014</v>
      </c>
      <c r="AW206" s="1">
        <v>1</v>
      </c>
      <c r="AX206">
        <v>5</v>
      </c>
      <c r="AY206">
        <v>0.1</v>
      </c>
      <c r="BA206">
        <v>5</v>
      </c>
      <c r="BB206">
        <v>4</v>
      </c>
      <c r="CA206" t="str">
        <f t="shared" si="185"/>
        <v>1322022,2322021</v>
      </c>
      <c r="CB206">
        <v>1322022</v>
      </c>
      <c r="CC206">
        <v>2322021</v>
      </c>
      <c r="CE206" s="13"/>
      <c r="CF206" s="13"/>
      <c r="CH206" t="str">
        <f t="shared" si="162"/>
        <v>DATA_Class_Base15</v>
      </c>
      <c r="CI206" s="6" t="s">
        <v>306</v>
      </c>
    </row>
    <row r="207" spans="1:87">
      <c r="A207">
        <f t="shared" si="186"/>
        <v>5074600</v>
      </c>
      <c r="B207" s="2" t="s">
        <v>596</v>
      </c>
      <c r="C207">
        <v>7</v>
      </c>
      <c r="D207">
        <v>6</v>
      </c>
      <c r="E207">
        <v>4</v>
      </c>
      <c r="F207" s="3" t="s">
        <v>598</v>
      </c>
      <c r="G207" s="3" t="s">
        <v>598</v>
      </c>
      <c r="H207">
        <v>0</v>
      </c>
      <c r="I207">
        <v>0</v>
      </c>
      <c r="J207" s="2">
        <v>0</v>
      </c>
      <c r="K207" s="2" t="s">
        <v>339</v>
      </c>
      <c r="L207" s="2">
        <f t="shared" si="187"/>
        <v>3</v>
      </c>
      <c r="M207" s="2">
        <f t="shared" si="188"/>
        <v>1.4000000000000001</v>
      </c>
      <c r="N207" s="2">
        <f t="shared" si="189"/>
        <v>1.9000000000000001</v>
      </c>
      <c r="O207" s="2">
        <v>10</v>
      </c>
      <c r="P207" s="2">
        <f t="shared" si="190"/>
        <v>180.69</v>
      </c>
      <c r="Q207" s="2">
        <f t="shared" si="191"/>
        <v>18.07</v>
      </c>
      <c r="R207" s="2">
        <f t="shared" si="192"/>
        <v>1920</v>
      </c>
      <c r="S207" s="2">
        <f t="shared" si="193"/>
        <v>192</v>
      </c>
      <c r="T207" s="2">
        <f t="shared" si="194"/>
        <v>45.17</v>
      </c>
      <c r="U207" s="2">
        <f t="shared" si="195"/>
        <v>4.5199999999999996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546002</v>
      </c>
      <c r="AB207" s="14" t="s">
        <v>657</v>
      </c>
      <c r="AC207" s="15" t="s">
        <v>890</v>
      </c>
      <c r="AD207" s="2">
        <v>5084600</v>
      </c>
      <c r="AE207" s="2">
        <v>0</v>
      </c>
      <c r="AF207" s="2">
        <v>1</v>
      </c>
      <c r="AG207" s="2">
        <f t="shared" si="176"/>
        <v>5064600</v>
      </c>
      <c r="AH207" s="2">
        <v>1</v>
      </c>
      <c r="AI207" s="2"/>
      <c r="AJ207">
        <v>1</v>
      </c>
      <c r="AK207" s="1">
        <f t="shared" si="196"/>
        <v>78.771191457757027</v>
      </c>
      <c r="AL207">
        <v>7</v>
      </c>
      <c r="AM207">
        <f t="shared" si="177"/>
        <v>164.26666666666665</v>
      </c>
      <c r="AN207">
        <f t="shared" si="178"/>
        <v>16.426666666666666</v>
      </c>
      <c r="AO207">
        <f t="shared" si="179"/>
        <v>1745.4545454545455</v>
      </c>
      <c r="AP207">
        <f t="shared" si="180"/>
        <v>174.54545454545456</v>
      </c>
      <c r="AQ207">
        <f t="shared" si="181"/>
        <v>41.066666666666663</v>
      </c>
      <c r="AR207">
        <f t="shared" si="197"/>
        <v>4.1066666666666665</v>
      </c>
      <c r="AS207">
        <f t="shared" si="182"/>
        <v>1.4</v>
      </c>
      <c r="AT207">
        <f t="shared" si="183"/>
        <v>1.9</v>
      </c>
      <c r="AU207">
        <f t="shared" si="184"/>
        <v>3</v>
      </c>
      <c r="AV207">
        <f t="shared" si="172"/>
        <v>6004</v>
      </c>
      <c r="AW207" s="1">
        <v>0</v>
      </c>
      <c r="AX207">
        <v>5</v>
      </c>
      <c r="AY207">
        <v>0.1</v>
      </c>
      <c r="BA207">
        <v>6</v>
      </c>
      <c r="BB207">
        <v>4</v>
      </c>
      <c r="CA207" t="str">
        <f t="shared" si="185"/>
        <v>1323012,2323011</v>
      </c>
      <c r="CB207">
        <v>1323012</v>
      </c>
      <c r="CC207">
        <v>2323011</v>
      </c>
      <c r="CE207" s="13"/>
      <c r="CF207" s="13"/>
      <c r="CH207" t="str">
        <f t="shared" si="162"/>
        <v>DATA_Class_Base16</v>
      </c>
      <c r="CI207" s="6" t="s">
        <v>312</v>
      </c>
    </row>
    <row r="208" spans="1:87">
      <c r="A208">
        <f t="shared" si="186"/>
        <v>5074602</v>
      </c>
      <c r="B208" s="2" t="s">
        <v>600</v>
      </c>
      <c r="C208">
        <v>7</v>
      </c>
      <c r="D208">
        <v>6</v>
      </c>
      <c r="E208">
        <v>4</v>
      </c>
      <c r="F208" s="3" t="s">
        <v>602</v>
      </c>
      <c r="G208" s="3" t="s">
        <v>602</v>
      </c>
      <c r="H208">
        <v>0</v>
      </c>
      <c r="I208">
        <v>0</v>
      </c>
      <c r="J208" t="s">
        <v>345</v>
      </c>
      <c r="K208" s="2" t="s">
        <v>346</v>
      </c>
      <c r="L208" s="2">
        <f t="shared" si="187"/>
        <v>6</v>
      </c>
      <c r="M208" s="2">
        <f t="shared" si="188"/>
        <v>1.8</v>
      </c>
      <c r="N208" s="2">
        <f t="shared" si="189"/>
        <v>2</v>
      </c>
      <c r="O208" s="2">
        <v>10</v>
      </c>
      <c r="P208" s="2">
        <f t="shared" si="190"/>
        <v>211.2</v>
      </c>
      <c r="Q208" s="2">
        <f t="shared" si="191"/>
        <v>21.12</v>
      </c>
      <c r="R208" s="2">
        <f t="shared" si="192"/>
        <v>2112</v>
      </c>
      <c r="S208" s="2">
        <f t="shared" si="193"/>
        <v>211.2</v>
      </c>
      <c r="T208" s="2">
        <f t="shared" si="194"/>
        <v>42.24</v>
      </c>
      <c r="U208" s="2">
        <f t="shared" si="195"/>
        <v>4.22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546022</v>
      </c>
      <c r="AB208" s="14" t="s">
        <v>658</v>
      </c>
      <c r="AC208" s="15" t="s">
        <v>890</v>
      </c>
      <c r="AD208" s="2">
        <v>5084602</v>
      </c>
      <c r="AE208" s="2">
        <v>0</v>
      </c>
      <c r="AF208" s="2">
        <v>1</v>
      </c>
      <c r="AG208" s="2">
        <f t="shared" si="176"/>
        <v>5064602</v>
      </c>
      <c r="AH208" s="2">
        <v>1</v>
      </c>
      <c r="AI208" s="2"/>
      <c r="AJ208">
        <v>1</v>
      </c>
      <c r="AK208" s="1">
        <f t="shared" si="196"/>
        <v>78.724585296585559</v>
      </c>
      <c r="AL208">
        <v>7</v>
      </c>
      <c r="AM208">
        <f t="shared" si="177"/>
        <v>192</v>
      </c>
      <c r="AN208">
        <f t="shared" si="178"/>
        <v>19.200000000000003</v>
      </c>
      <c r="AO208">
        <f t="shared" si="179"/>
        <v>1920</v>
      </c>
      <c r="AP208">
        <f t="shared" si="180"/>
        <v>192</v>
      </c>
      <c r="AQ208">
        <f t="shared" si="181"/>
        <v>38.4</v>
      </c>
      <c r="AR208">
        <f t="shared" si="197"/>
        <v>3.84</v>
      </c>
      <c r="AS208">
        <f t="shared" si="182"/>
        <v>1.8</v>
      </c>
      <c r="AT208">
        <f t="shared" si="183"/>
        <v>2</v>
      </c>
      <c r="AU208">
        <f t="shared" si="184"/>
        <v>6</v>
      </c>
      <c r="AV208">
        <f t="shared" si="172"/>
        <v>6024</v>
      </c>
      <c r="AW208" s="1">
        <v>2</v>
      </c>
      <c r="AX208">
        <v>5</v>
      </c>
      <c r="AY208">
        <v>0.1</v>
      </c>
      <c r="BA208">
        <v>6</v>
      </c>
      <c r="BB208">
        <v>4</v>
      </c>
      <c r="CA208" t="str">
        <f t="shared" si="185"/>
        <v>1324012,2324011</v>
      </c>
      <c r="CB208">
        <v>1324012</v>
      </c>
      <c r="CC208">
        <v>2324011</v>
      </c>
      <c r="CE208" s="13"/>
      <c r="CF208" s="13"/>
      <c r="CH208" t="str">
        <f t="shared" si="162"/>
        <v>DATA_Class_Base17</v>
      </c>
      <c r="CI208" s="6" t="s">
        <v>318</v>
      </c>
    </row>
    <row r="209" spans="1:87">
      <c r="A209">
        <f t="shared" si="186"/>
        <v>5075300</v>
      </c>
      <c r="B209" s="2" t="s">
        <v>609</v>
      </c>
      <c r="C209">
        <v>7</v>
      </c>
      <c r="D209">
        <v>3</v>
      </c>
      <c r="E209">
        <v>5</v>
      </c>
      <c r="F209" s="3" t="s">
        <v>611</v>
      </c>
      <c r="G209" s="3" t="s">
        <v>611</v>
      </c>
      <c r="H209">
        <v>0</v>
      </c>
      <c r="I209">
        <v>0</v>
      </c>
      <c r="J209" s="2">
        <v>0</v>
      </c>
      <c r="K209" s="8" t="s">
        <v>612</v>
      </c>
      <c r="L209" s="2">
        <f t="shared" si="187"/>
        <v>3</v>
      </c>
      <c r="M209" s="2">
        <f t="shared" si="188"/>
        <v>1.3</v>
      </c>
      <c r="N209" s="2">
        <f t="shared" si="189"/>
        <v>2</v>
      </c>
      <c r="O209" s="2">
        <v>10</v>
      </c>
      <c r="P209" s="2">
        <f t="shared" si="190"/>
        <v>175.41</v>
      </c>
      <c r="Q209" s="2">
        <f t="shared" si="191"/>
        <v>17.54</v>
      </c>
      <c r="R209" s="2">
        <f t="shared" si="192"/>
        <v>1836.52</v>
      </c>
      <c r="S209" s="2">
        <f t="shared" si="193"/>
        <v>183.65</v>
      </c>
      <c r="T209" s="2">
        <f t="shared" si="194"/>
        <v>21.93</v>
      </c>
      <c r="U209" s="2">
        <f t="shared" si="195"/>
        <v>2.19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553002</v>
      </c>
      <c r="AB209" s="14" t="s">
        <v>660</v>
      </c>
      <c r="AC209" s="15" t="s">
        <v>890</v>
      </c>
      <c r="AD209" s="2">
        <v>5085300</v>
      </c>
      <c r="AE209" s="2">
        <v>0</v>
      </c>
      <c r="AF209" s="2">
        <v>1</v>
      </c>
      <c r="AG209" s="2">
        <f t="shared" si="176"/>
        <v>5065300</v>
      </c>
      <c r="AH209" s="2">
        <v>1</v>
      </c>
      <c r="AI209" s="2"/>
      <c r="AJ209">
        <v>1</v>
      </c>
      <c r="AK209" s="1">
        <f t="shared" si="196"/>
        <v>78.403344801402412</v>
      </c>
      <c r="AL209">
        <v>7</v>
      </c>
      <c r="AM209">
        <f t="shared" si="177"/>
        <v>159.46666666666664</v>
      </c>
      <c r="AN209">
        <f t="shared" si="178"/>
        <v>15.946666666666665</v>
      </c>
      <c r="AO209">
        <f t="shared" si="179"/>
        <v>1669.5652173913045</v>
      </c>
      <c r="AP209">
        <f t="shared" si="180"/>
        <v>166.95652173913047</v>
      </c>
      <c r="AQ209">
        <f t="shared" si="181"/>
        <v>19.93333333333333</v>
      </c>
      <c r="AR209">
        <f t="shared" si="197"/>
        <v>1.9933333333333332</v>
      </c>
      <c r="AS209">
        <f t="shared" si="182"/>
        <v>1.3</v>
      </c>
      <c r="AT209">
        <f t="shared" si="183"/>
        <v>2</v>
      </c>
      <c r="AU209">
        <f t="shared" si="184"/>
        <v>3</v>
      </c>
      <c r="AV209">
        <f t="shared" si="172"/>
        <v>3005</v>
      </c>
      <c r="AW209" s="1">
        <v>0</v>
      </c>
      <c r="AX209">
        <v>5</v>
      </c>
      <c r="AY209">
        <v>0.1</v>
      </c>
      <c r="BA209">
        <v>3</v>
      </c>
      <c r="BB209">
        <v>5</v>
      </c>
      <c r="CA209" t="str">
        <f t="shared" si="185"/>
        <v>1324022,2324021</v>
      </c>
      <c r="CB209">
        <v>1324022</v>
      </c>
      <c r="CC209">
        <v>2324021</v>
      </c>
      <c r="CE209" s="13"/>
      <c r="CF209" s="13"/>
      <c r="CH209" t="str">
        <f t="shared" si="162"/>
        <v>DATA_Class_Base18</v>
      </c>
      <c r="CI209" s="6" t="s">
        <v>324</v>
      </c>
    </row>
    <row r="210" spans="1:87">
      <c r="A210">
        <f t="shared" si="186"/>
        <v>5075302</v>
      </c>
      <c r="B210" s="2" t="s">
        <v>614</v>
      </c>
      <c r="C210">
        <v>7</v>
      </c>
      <c r="D210">
        <v>3</v>
      </c>
      <c r="E210">
        <v>5</v>
      </c>
      <c r="F210" s="3" t="s">
        <v>616</v>
      </c>
      <c r="G210" s="3" t="s">
        <v>616</v>
      </c>
      <c r="H210">
        <v>0</v>
      </c>
      <c r="I210">
        <v>0</v>
      </c>
      <c r="J210" s="2">
        <v>0</v>
      </c>
      <c r="K210" s="2" t="s">
        <v>358</v>
      </c>
      <c r="L210" s="2">
        <f t="shared" si="187"/>
        <v>3</v>
      </c>
      <c r="M210" s="2">
        <f t="shared" si="188"/>
        <v>1.4000000000000001</v>
      </c>
      <c r="N210" s="2">
        <f t="shared" si="189"/>
        <v>2</v>
      </c>
      <c r="O210" s="2">
        <v>10</v>
      </c>
      <c r="P210" s="2">
        <f t="shared" si="190"/>
        <v>197.12</v>
      </c>
      <c r="Q210" s="2">
        <f t="shared" si="191"/>
        <v>19.71</v>
      </c>
      <c r="R210" s="2">
        <f t="shared" si="192"/>
        <v>1760</v>
      </c>
      <c r="S210" s="2">
        <f t="shared" si="193"/>
        <v>176</v>
      </c>
      <c r="T210" s="2">
        <f t="shared" si="194"/>
        <v>28.16</v>
      </c>
      <c r="U210" s="2">
        <f t="shared" si="195"/>
        <v>2.82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553022</v>
      </c>
      <c r="AB210" s="14" t="s">
        <v>661</v>
      </c>
      <c r="AC210" s="15" t="s">
        <v>890</v>
      </c>
      <c r="AD210" s="2">
        <v>5085302</v>
      </c>
      <c r="AE210" s="2">
        <v>0</v>
      </c>
      <c r="AF210" s="2">
        <v>1</v>
      </c>
      <c r="AG210" s="2">
        <f t="shared" si="176"/>
        <v>5065302</v>
      </c>
      <c r="AH210" s="2">
        <v>1</v>
      </c>
      <c r="AI210" s="2"/>
      <c r="AJ210">
        <v>1</v>
      </c>
      <c r="AK210" s="1">
        <f t="shared" si="196"/>
        <v>78.501641243483306</v>
      </c>
      <c r="AL210">
        <v>7</v>
      </c>
      <c r="AM210">
        <f t="shared" si="177"/>
        <v>179.2</v>
      </c>
      <c r="AN210">
        <f t="shared" si="178"/>
        <v>17.919999999999998</v>
      </c>
      <c r="AO210">
        <f t="shared" si="179"/>
        <v>1600</v>
      </c>
      <c r="AP210">
        <f t="shared" si="180"/>
        <v>160</v>
      </c>
      <c r="AQ210">
        <f t="shared" si="181"/>
        <v>25.599999999999998</v>
      </c>
      <c r="AR210">
        <f t="shared" si="197"/>
        <v>2.56</v>
      </c>
      <c r="AS210">
        <f t="shared" si="182"/>
        <v>1.4</v>
      </c>
      <c r="AT210">
        <f t="shared" si="183"/>
        <v>2</v>
      </c>
      <c r="AU210">
        <f t="shared" si="184"/>
        <v>3</v>
      </c>
      <c r="AV210">
        <f t="shared" si="172"/>
        <v>3025</v>
      </c>
      <c r="AW210" s="1">
        <v>2</v>
      </c>
      <c r="AX210">
        <v>5</v>
      </c>
      <c r="AY210">
        <v>0.1</v>
      </c>
      <c r="BA210">
        <v>3</v>
      </c>
      <c r="BB210">
        <v>5</v>
      </c>
      <c r="CA210" t="str">
        <f t="shared" si="185"/>
        <v>1325002,2325001</v>
      </c>
      <c r="CB210">
        <v>1325002</v>
      </c>
      <c r="CC210">
        <v>2325001</v>
      </c>
      <c r="CE210" s="13"/>
      <c r="CF210" s="13"/>
      <c r="CH210" t="str">
        <f t="shared" si="162"/>
        <v>DATA_Class_Base19</v>
      </c>
      <c r="CI210" s="6" t="s">
        <v>331</v>
      </c>
    </row>
    <row r="211" spans="1:87">
      <c r="A211">
        <f t="shared" si="186"/>
        <v>5075400</v>
      </c>
      <c r="B211" s="2" t="s">
        <v>618</v>
      </c>
      <c r="C211">
        <v>7</v>
      </c>
      <c r="D211">
        <v>4</v>
      </c>
      <c r="E211">
        <v>5</v>
      </c>
      <c r="F211" s="3" t="s">
        <v>620</v>
      </c>
      <c r="G211" s="3" t="s">
        <v>620</v>
      </c>
      <c r="H211">
        <v>0</v>
      </c>
      <c r="I211">
        <v>0</v>
      </c>
      <c r="J211">
        <v>0</v>
      </c>
      <c r="K211" s="2" t="s">
        <v>364</v>
      </c>
      <c r="L211" s="2">
        <f t="shared" si="187"/>
        <v>6</v>
      </c>
      <c r="M211" s="2">
        <f t="shared" si="188"/>
        <v>1.4000000000000001</v>
      </c>
      <c r="N211" s="2">
        <f t="shared" si="189"/>
        <v>2</v>
      </c>
      <c r="O211" s="2">
        <v>10</v>
      </c>
      <c r="P211" s="2">
        <f t="shared" si="190"/>
        <v>205.33</v>
      </c>
      <c r="Q211" s="2">
        <f t="shared" si="191"/>
        <v>20.53</v>
      </c>
      <c r="R211" s="2">
        <f t="shared" si="192"/>
        <v>1689.6</v>
      </c>
      <c r="S211" s="2">
        <f t="shared" si="193"/>
        <v>168.96</v>
      </c>
      <c r="T211" s="2">
        <f t="shared" si="194"/>
        <v>34.22</v>
      </c>
      <c r="U211" s="2">
        <f t="shared" si="195"/>
        <v>3.42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554002</v>
      </c>
      <c r="AB211" s="14" t="s">
        <v>662</v>
      </c>
      <c r="AC211" s="15" t="s">
        <v>890</v>
      </c>
      <c r="AD211" s="2">
        <v>5085400</v>
      </c>
      <c r="AE211" s="2">
        <v>0</v>
      </c>
      <c r="AF211" s="2">
        <v>1</v>
      </c>
      <c r="AG211" s="2">
        <f t="shared" si="176"/>
        <v>5065400</v>
      </c>
      <c r="AH211" s="2">
        <v>1</v>
      </c>
      <c r="AI211" s="2"/>
      <c r="AJ211">
        <v>1</v>
      </c>
      <c r="AK211" s="1">
        <f t="shared" si="196"/>
        <v>78.597476058354985</v>
      </c>
      <c r="AL211">
        <v>7</v>
      </c>
      <c r="AM211">
        <f t="shared" si="177"/>
        <v>186.66666666666669</v>
      </c>
      <c r="AN211">
        <f t="shared" si="178"/>
        <v>18.666666666666668</v>
      </c>
      <c r="AO211">
        <f t="shared" si="179"/>
        <v>1536</v>
      </c>
      <c r="AP211">
        <f t="shared" si="180"/>
        <v>153.60000000000002</v>
      </c>
      <c r="AQ211">
        <f t="shared" si="181"/>
        <v>31.111111111111114</v>
      </c>
      <c r="AR211">
        <f t="shared" si="197"/>
        <v>3.1111111111111116</v>
      </c>
      <c r="AS211">
        <f t="shared" si="182"/>
        <v>1.4</v>
      </c>
      <c r="AT211">
        <f t="shared" si="183"/>
        <v>2</v>
      </c>
      <c r="AU211">
        <f t="shared" si="184"/>
        <v>6</v>
      </c>
      <c r="AV211">
        <f t="shared" si="172"/>
        <v>4005</v>
      </c>
      <c r="AW211" s="1">
        <v>0</v>
      </c>
      <c r="AX211">
        <v>5</v>
      </c>
      <c r="AY211">
        <v>0.1</v>
      </c>
      <c r="BA211">
        <v>4</v>
      </c>
      <c r="BB211">
        <v>5</v>
      </c>
      <c r="CA211" t="str">
        <f t="shared" si="185"/>
        <v>1325022,2325021</v>
      </c>
      <c r="CB211">
        <v>1325022</v>
      </c>
      <c r="CC211">
        <v>2325021</v>
      </c>
      <c r="CE211" s="13"/>
      <c r="CF211" s="13"/>
      <c r="CH211" t="str">
        <f t="shared" ref="CH211:CH278" si="198">INDEX($CE$18:$CE$59,MATCH($CI211,$CF$18:$CF$59,0))</f>
        <v>DATA_Class_Base20</v>
      </c>
      <c r="CI211" s="6" t="s">
        <v>336</v>
      </c>
    </row>
    <row r="212" spans="1:87">
      <c r="A212">
        <f t="shared" si="186"/>
        <v>5075501</v>
      </c>
      <c r="B212" s="2" t="s">
        <v>622</v>
      </c>
      <c r="C212">
        <v>7</v>
      </c>
      <c r="D212">
        <v>5</v>
      </c>
      <c r="E212">
        <v>5</v>
      </c>
      <c r="F212" s="3" t="s">
        <v>624</v>
      </c>
      <c r="G212" s="3" t="s">
        <v>624</v>
      </c>
      <c r="H212">
        <v>0</v>
      </c>
      <c r="I212">
        <v>0</v>
      </c>
      <c r="J212" s="3">
        <v>0</v>
      </c>
      <c r="K212" s="8" t="s">
        <v>625</v>
      </c>
      <c r="L212" s="2">
        <f t="shared" si="187"/>
        <v>6</v>
      </c>
      <c r="M212" s="2">
        <f t="shared" si="188"/>
        <v>1.6</v>
      </c>
      <c r="N212" s="2">
        <f t="shared" si="189"/>
        <v>2</v>
      </c>
      <c r="O212" s="2">
        <v>10</v>
      </c>
      <c r="P212" s="2">
        <f t="shared" si="190"/>
        <v>272.20999999999998</v>
      </c>
      <c r="Q212" s="2">
        <f t="shared" si="191"/>
        <v>27.22</v>
      </c>
      <c r="R212" s="2">
        <f t="shared" si="192"/>
        <v>1456.55</v>
      </c>
      <c r="S212" s="2">
        <f t="shared" si="193"/>
        <v>145.66</v>
      </c>
      <c r="T212" s="2">
        <f t="shared" si="194"/>
        <v>30.25</v>
      </c>
      <c r="U212" s="2">
        <f t="shared" si="195"/>
        <v>3.02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555012</v>
      </c>
      <c r="AB212" s="15" t="s">
        <v>663</v>
      </c>
      <c r="AC212" s="15" t="s">
        <v>890</v>
      </c>
      <c r="AD212" s="2">
        <v>5085501</v>
      </c>
      <c r="AE212" s="2">
        <v>0</v>
      </c>
      <c r="AF212" s="2">
        <v>1</v>
      </c>
      <c r="AG212" s="2">
        <f t="shared" si="176"/>
        <v>5065501</v>
      </c>
      <c r="AH212" s="2">
        <v>1</v>
      </c>
      <c r="AI212" s="2"/>
      <c r="AJ212">
        <v>1</v>
      </c>
      <c r="AK212" s="1">
        <f t="shared" si="196"/>
        <v>78.534590280046672</v>
      </c>
      <c r="AL212">
        <v>7</v>
      </c>
      <c r="AM212">
        <f t="shared" si="177"/>
        <v>247.46666666666667</v>
      </c>
      <c r="AN212">
        <f t="shared" si="178"/>
        <v>24.74666666666667</v>
      </c>
      <c r="AO212">
        <f t="shared" si="179"/>
        <v>1324.1379310344828</v>
      </c>
      <c r="AP212">
        <f t="shared" si="180"/>
        <v>132.41379310344828</v>
      </c>
      <c r="AQ212">
        <f t="shared" si="181"/>
        <v>27.496296296296297</v>
      </c>
      <c r="AR212">
        <f t="shared" si="197"/>
        <v>2.7496296296296299</v>
      </c>
      <c r="AS212">
        <f t="shared" si="182"/>
        <v>1.6</v>
      </c>
      <c r="AT212">
        <f t="shared" si="183"/>
        <v>2</v>
      </c>
      <c r="AU212">
        <f t="shared" si="184"/>
        <v>6</v>
      </c>
      <c r="AV212">
        <f t="shared" si="172"/>
        <v>5015</v>
      </c>
      <c r="AW212" s="1">
        <v>1</v>
      </c>
      <c r="AX212">
        <v>5</v>
      </c>
      <c r="AY212">
        <v>0.1</v>
      </c>
      <c r="BA212">
        <v>5</v>
      </c>
      <c r="BB212">
        <v>5</v>
      </c>
      <c r="CA212" t="str">
        <f t="shared" si="185"/>
        <v>1326012,2326011</v>
      </c>
      <c r="CB212">
        <v>1326012</v>
      </c>
      <c r="CC212">
        <v>2326011</v>
      </c>
      <c r="CE212" s="13"/>
      <c r="CF212" s="13"/>
      <c r="CH212" t="str">
        <f t="shared" si="198"/>
        <v>DATA_Class_Base21</v>
      </c>
      <c r="CI212" s="6" t="s">
        <v>342</v>
      </c>
    </row>
    <row r="213" spans="1:87">
      <c r="A213">
        <f t="shared" si="173"/>
        <v>5081200</v>
      </c>
      <c r="B213" s="2" t="s">
        <v>464</v>
      </c>
      <c r="C213">
        <v>8</v>
      </c>
      <c r="D213">
        <v>2</v>
      </c>
      <c r="E213">
        <v>1</v>
      </c>
      <c r="F213" s="3" t="s">
        <v>466</v>
      </c>
      <c r="G213" s="3" t="s">
        <v>466</v>
      </c>
      <c r="H213">
        <v>0</v>
      </c>
      <c r="I213">
        <v>0</v>
      </c>
      <c r="J213" s="2">
        <v>0</v>
      </c>
      <c r="K213" s="8" t="s">
        <v>467</v>
      </c>
      <c r="L213" s="2">
        <f t="shared" si="174"/>
        <v>3</v>
      </c>
      <c r="M213" s="2">
        <f t="shared" ref="M213:M266" si="199">FLOOR(AS213/1,0.01)</f>
        <v>1.5</v>
      </c>
      <c r="N213" s="2">
        <f t="shared" ref="N213:N266" si="200">FLOOR(AT213/1,0.01)</f>
        <v>1.2</v>
      </c>
      <c r="O213" s="2">
        <v>10</v>
      </c>
      <c r="P213" s="2">
        <f t="shared" ref="P213:P266" si="201">ROUND(AM213*(1+$AY213),2)</f>
        <v>154.88</v>
      </c>
      <c r="Q213" s="2">
        <f t="shared" ref="Q213:Q266" si="202">ROUND(AN213*(1+$AY213),2)</f>
        <v>15.49</v>
      </c>
      <c r="R213" s="2">
        <f t="shared" ref="R213:R266" si="203">ROUND(AO213*(1+$AY213),2)</f>
        <v>2904</v>
      </c>
      <c r="S213" s="2">
        <f t="shared" ref="S213:S266" si="204">ROUND(AP213*(1+$AY213),2)</f>
        <v>290.39999999999998</v>
      </c>
      <c r="T213" s="2">
        <f t="shared" ref="T213:T266" si="205">ROUND(AQ213*(1+$AY213),2)</f>
        <v>51.63</v>
      </c>
      <c r="U213" s="2">
        <f t="shared" ref="U213:U266" si="206">ROUND(AR213*(1+$AY213),2)</f>
        <v>5.16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512002</v>
      </c>
      <c r="AB213" s="14" t="s">
        <v>664</v>
      </c>
      <c r="AC213" s="15" t="s">
        <v>890</v>
      </c>
      <c r="AD213" s="2">
        <v>5091200</v>
      </c>
      <c r="AE213" s="2">
        <v>0</v>
      </c>
      <c r="AF213" s="2">
        <v>2</v>
      </c>
      <c r="AG213" s="2">
        <v>8</v>
      </c>
      <c r="AH213" s="2">
        <v>1</v>
      </c>
      <c r="AI213" s="2"/>
      <c r="AJ213">
        <v>1</v>
      </c>
      <c r="AK213" s="1">
        <f t="shared" ref="AK213:AK266" si="207">(AO213+AP213*AJ213)*(AM213+AN213*AJ213)/AS213*(0.9)*(1+0.5*0.1)*1/1/(1-(AQ213+AR213*AJ213)*0.0002)/3000</f>
        <v>95.43744260740236</v>
      </c>
      <c r="AL213">
        <v>8</v>
      </c>
      <c r="AM213">
        <f t="shared" si="177"/>
        <v>140.80000000000004</v>
      </c>
      <c r="AN213">
        <f t="shared" si="178"/>
        <v>14.080000000000005</v>
      </c>
      <c r="AO213">
        <f t="shared" si="179"/>
        <v>2640</v>
      </c>
      <c r="AP213">
        <f t="shared" si="180"/>
        <v>264</v>
      </c>
      <c r="AQ213">
        <f t="shared" si="181"/>
        <v>46.933333333333344</v>
      </c>
      <c r="AR213">
        <f t="shared" si="175"/>
        <v>4.6933333333333342</v>
      </c>
      <c r="AS213">
        <f t="shared" si="182"/>
        <v>1.5</v>
      </c>
      <c r="AT213">
        <f t="shared" si="183"/>
        <v>1.2</v>
      </c>
      <c r="AU213">
        <f t="shared" si="184"/>
        <v>3</v>
      </c>
      <c r="AV213">
        <f t="shared" si="172"/>
        <v>2001</v>
      </c>
      <c r="AW213" s="1">
        <v>0</v>
      </c>
      <c r="AX213">
        <v>5</v>
      </c>
      <c r="AY213">
        <v>0.1</v>
      </c>
      <c r="BA213">
        <v>2</v>
      </c>
      <c r="BB213">
        <v>1</v>
      </c>
      <c r="CA213" t="str">
        <f t="shared" si="185"/>
        <v>1332002,2332001</v>
      </c>
      <c r="CB213">
        <v>1332002</v>
      </c>
      <c r="CC213">
        <v>2332001</v>
      </c>
      <c r="CE213" s="13"/>
      <c r="CF213" s="13"/>
      <c r="CH213" t="str">
        <f t="shared" si="198"/>
        <v>DATA_Class_Base13</v>
      </c>
      <c r="CI213" s="6" t="s">
        <v>295</v>
      </c>
    </row>
    <row r="214" spans="1:87">
      <c r="A214">
        <f t="shared" si="173"/>
        <v>5081201</v>
      </c>
      <c r="B214" s="2" t="s">
        <v>470</v>
      </c>
      <c r="C214">
        <v>8</v>
      </c>
      <c r="D214">
        <v>2</v>
      </c>
      <c r="E214">
        <v>1</v>
      </c>
      <c r="F214" s="3" t="s">
        <v>472</v>
      </c>
      <c r="G214" s="3" t="s">
        <v>472</v>
      </c>
      <c r="H214">
        <v>0</v>
      </c>
      <c r="I214">
        <v>0</v>
      </c>
      <c r="J214" s="2">
        <v>0</v>
      </c>
      <c r="K214" s="8" t="s">
        <v>298</v>
      </c>
      <c r="L214" s="2">
        <f t="shared" si="174"/>
        <v>3</v>
      </c>
      <c r="M214" s="2">
        <f t="shared" si="199"/>
        <v>1.8</v>
      </c>
      <c r="N214" s="2">
        <f t="shared" si="200"/>
        <v>1.8</v>
      </c>
      <c r="O214" s="2">
        <v>10</v>
      </c>
      <c r="P214" s="2">
        <f t="shared" si="201"/>
        <v>116.16</v>
      </c>
      <c r="Q214" s="2">
        <f t="shared" si="202"/>
        <v>11.62</v>
      </c>
      <c r="R214" s="2">
        <f t="shared" si="203"/>
        <v>4646.3999999999996</v>
      </c>
      <c r="S214" s="2">
        <f t="shared" si="204"/>
        <v>464.64</v>
      </c>
      <c r="T214" s="2">
        <f t="shared" si="205"/>
        <v>58.08</v>
      </c>
      <c r="U214" s="2">
        <f t="shared" si="206"/>
        <v>5.81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512012</v>
      </c>
      <c r="AB214" s="14" t="s">
        <v>665</v>
      </c>
      <c r="AC214" s="15" t="s">
        <v>890</v>
      </c>
      <c r="AD214" s="2">
        <v>5091201</v>
      </c>
      <c r="AE214" s="2">
        <v>0</v>
      </c>
      <c r="AF214" s="2">
        <v>2</v>
      </c>
      <c r="AG214" s="2">
        <v>8</v>
      </c>
      <c r="AH214" s="2">
        <v>1</v>
      </c>
      <c r="AI214" s="2"/>
      <c r="AJ214">
        <v>1</v>
      </c>
      <c r="AK214" s="1">
        <f t="shared" si="207"/>
        <v>95.562068184025648</v>
      </c>
      <c r="AL214">
        <v>8</v>
      </c>
      <c r="AM214">
        <f t="shared" si="177"/>
        <v>105.60000000000001</v>
      </c>
      <c r="AN214">
        <f t="shared" si="178"/>
        <v>10.560000000000002</v>
      </c>
      <c r="AO214">
        <f t="shared" si="179"/>
        <v>4224</v>
      </c>
      <c r="AP214">
        <f t="shared" si="180"/>
        <v>422.40000000000003</v>
      </c>
      <c r="AQ214">
        <f t="shared" si="181"/>
        <v>52.800000000000004</v>
      </c>
      <c r="AR214">
        <f t="shared" si="175"/>
        <v>5.2800000000000011</v>
      </c>
      <c r="AS214">
        <f t="shared" si="182"/>
        <v>1.8</v>
      </c>
      <c r="AT214">
        <f t="shared" si="183"/>
        <v>1.8</v>
      </c>
      <c r="AU214">
        <f t="shared" si="184"/>
        <v>3</v>
      </c>
      <c r="AV214">
        <f t="shared" si="172"/>
        <v>2011</v>
      </c>
      <c r="AW214" s="1">
        <v>1</v>
      </c>
      <c r="AX214">
        <v>5</v>
      </c>
      <c r="AY214">
        <v>0.1</v>
      </c>
      <c r="BA214">
        <v>2</v>
      </c>
      <c r="BB214">
        <v>1</v>
      </c>
      <c r="CA214" t="str">
        <f t="shared" si="185"/>
        <v>1332012,2332011</v>
      </c>
      <c r="CB214">
        <v>1332012</v>
      </c>
      <c r="CC214">
        <v>2332011</v>
      </c>
      <c r="CE214" s="13"/>
      <c r="CF214" s="13"/>
      <c r="CH214" t="str">
        <f t="shared" si="198"/>
        <v>DATA_Class_Base14</v>
      </c>
      <c r="CI214" s="6" t="s">
        <v>300</v>
      </c>
    </row>
    <row r="215" spans="1:87">
      <c r="A215">
        <f t="shared" si="173"/>
        <v>5081202</v>
      </c>
      <c r="B215" s="2" t="s">
        <v>474</v>
      </c>
      <c r="C215">
        <v>8</v>
      </c>
      <c r="D215">
        <v>2</v>
      </c>
      <c r="E215">
        <v>1</v>
      </c>
      <c r="F215" s="3" t="s">
        <v>476</v>
      </c>
      <c r="G215" s="3" t="s">
        <v>476</v>
      </c>
      <c r="H215">
        <v>0</v>
      </c>
      <c r="I215">
        <v>0</v>
      </c>
      <c r="J215">
        <v>0</v>
      </c>
      <c r="K215" s="8" t="s">
        <v>477</v>
      </c>
      <c r="L215" s="2">
        <f t="shared" si="174"/>
        <v>3</v>
      </c>
      <c r="M215" s="2">
        <f t="shared" si="199"/>
        <v>1.8</v>
      </c>
      <c r="N215" s="2">
        <f t="shared" si="200"/>
        <v>2</v>
      </c>
      <c r="O215" s="2">
        <v>10</v>
      </c>
      <c r="P215" s="2">
        <f t="shared" si="201"/>
        <v>185.86</v>
      </c>
      <c r="Q215" s="2">
        <f t="shared" si="202"/>
        <v>18.59</v>
      </c>
      <c r="R215" s="2">
        <f t="shared" si="203"/>
        <v>2904</v>
      </c>
      <c r="S215" s="2">
        <f t="shared" si="204"/>
        <v>290.39999999999998</v>
      </c>
      <c r="T215" s="2">
        <f t="shared" si="205"/>
        <v>46.46</v>
      </c>
      <c r="U215" s="2">
        <f t="shared" si="206"/>
        <v>4.6500000000000004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512022</v>
      </c>
      <c r="AB215" s="14" t="s">
        <v>666</v>
      </c>
      <c r="AC215" s="15" t="s">
        <v>890</v>
      </c>
      <c r="AD215" s="2">
        <v>5091202</v>
      </c>
      <c r="AE215" s="2">
        <v>0</v>
      </c>
      <c r="AF215" s="2">
        <v>2</v>
      </c>
      <c r="AG215" s="2">
        <v>8</v>
      </c>
      <c r="AH215" s="2">
        <v>1</v>
      </c>
      <c r="AI215" s="2"/>
      <c r="AJ215">
        <v>1</v>
      </c>
      <c r="AK215" s="1">
        <f t="shared" si="207"/>
        <v>95.337975942841652</v>
      </c>
      <c r="AL215">
        <v>8</v>
      </c>
      <c r="AM215">
        <f t="shared" si="177"/>
        <v>168.96000000000004</v>
      </c>
      <c r="AN215">
        <f t="shared" si="178"/>
        <v>16.896000000000004</v>
      </c>
      <c r="AO215">
        <f t="shared" si="179"/>
        <v>2640</v>
      </c>
      <c r="AP215">
        <f t="shared" si="180"/>
        <v>264</v>
      </c>
      <c r="AQ215">
        <f t="shared" si="181"/>
        <v>42.240000000000009</v>
      </c>
      <c r="AR215">
        <f t="shared" si="175"/>
        <v>4.2240000000000011</v>
      </c>
      <c r="AS215">
        <f t="shared" si="182"/>
        <v>1.8</v>
      </c>
      <c r="AT215">
        <f t="shared" si="183"/>
        <v>2</v>
      </c>
      <c r="AU215">
        <f t="shared" si="184"/>
        <v>3</v>
      </c>
      <c r="AV215">
        <f t="shared" si="172"/>
        <v>2021</v>
      </c>
      <c r="AW215" s="1">
        <v>2</v>
      </c>
      <c r="AX215">
        <v>5</v>
      </c>
      <c r="AY215">
        <v>0.1</v>
      </c>
      <c r="BA215">
        <v>2</v>
      </c>
      <c r="BB215">
        <v>1</v>
      </c>
      <c r="CA215" t="str">
        <f t="shared" si="185"/>
        <v>1332022,2332021</v>
      </c>
      <c r="CB215">
        <v>1332022</v>
      </c>
      <c r="CC215">
        <v>2332021</v>
      </c>
      <c r="CE215" s="13"/>
      <c r="CF215" s="13"/>
      <c r="CH215" t="str">
        <f t="shared" si="198"/>
        <v>DATA_Class_Base15</v>
      </c>
      <c r="CI215" s="6" t="s">
        <v>306</v>
      </c>
    </row>
    <row r="216" spans="1:87">
      <c r="A216">
        <f t="shared" si="173"/>
        <v>5081301</v>
      </c>
      <c r="B216" s="2" t="s">
        <v>479</v>
      </c>
      <c r="C216">
        <v>8</v>
      </c>
      <c r="D216">
        <v>3</v>
      </c>
      <c r="E216">
        <v>1</v>
      </c>
      <c r="F216" s="3" t="s">
        <v>481</v>
      </c>
      <c r="G216" s="3" t="s">
        <v>481</v>
      </c>
      <c r="H216">
        <v>0</v>
      </c>
      <c r="I216">
        <v>0</v>
      </c>
      <c r="J216" s="2">
        <v>0</v>
      </c>
      <c r="K216" s="8" t="s">
        <v>482</v>
      </c>
      <c r="L216" s="2">
        <f t="shared" si="174"/>
        <v>3</v>
      </c>
      <c r="M216" s="2">
        <f t="shared" si="199"/>
        <v>1.2</v>
      </c>
      <c r="N216" s="2">
        <f t="shared" si="200"/>
        <v>2</v>
      </c>
      <c r="O216" s="2">
        <v>10</v>
      </c>
      <c r="P216" s="2">
        <f t="shared" si="201"/>
        <v>170.37</v>
      </c>
      <c r="Q216" s="2">
        <f t="shared" si="202"/>
        <v>17.04</v>
      </c>
      <c r="R216" s="2">
        <f t="shared" si="203"/>
        <v>2112</v>
      </c>
      <c r="S216" s="2">
        <f t="shared" si="204"/>
        <v>211.2</v>
      </c>
      <c r="T216" s="2">
        <f t="shared" si="205"/>
        <v>28.39</v>
      </c>
      <c r="U216" s="2">
        <f t="shared" si="206"/>
        <v>2.84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513012</v>
      </c>
      <c r="AB216" s="14" t="s">
        <v>667</v>
      </c>
      <c r="AC216" s="15" t="s">
        <v>890</v>
      </c>
      <c r="AD216" s="2">
        <v>5091301</v>
      </c>
      <c r="AE216" s="2">
        <v>0</v>
      </c>
      <c r="AF216" s="2">
        <v>2</v>
      </c>
      <c r="AG216" s="2">
        <v>8</v>
      </c>
      <c r="AH216" s="2">
        <v>1</v>
      </c>
      <c r="AI216" s="2"/>
      <c r="AJ216">
        <v>1</v>
      </c>
      <c r="AK216" s="1">
        <f t="shared" si="207"/>
        <v>94.991469422083441</v>
      </c>
      <c r="AL216">
        <v>8</v>
      </c>
      <c r="AM216">
        <f t="shared" si="177"/>
        <v>154.88000000000002</v>
      </c>
      <c r="AN216">
        <f t="shared" si="178"/>
        <v>15.488000000000003</v>
      </c>
      <c r="AO216">
        <f t="shared" si="179"/>
        <v>1920.0000000000002</v>
      </c>
      <c r="AP216">
        <f t="shared" si="180"/>
        <v>192.00000000000003</v>
      </c>
      <c r="AQ216">
        <f t="shared" si="181"/>
        <v>25.813333333333336</v>
      </c>
      <c r="AR216">
        <f t="shared" si="175"/>
        <v>2.5813333333333337</v>
      </c>
      <c r="AS216">
        <f t="shared" si="182"/>
        <v>1.2</v>
      </c>
      <c r="AT216">
        <f t="shared" si="183"/>
        <v>2</v>
      </c>
      <c r="AU216">
        <f t="shared" si="184"/>
        <v>3</v>
      </c>
      <c r="AV216">
        <f t="shared" si="172"/>
        <v>3011</v>
      </c>
      <c r="AW216" s="1">
        <v>1</v>
      </c>
      <c r="AX216">
        <v>5</v>
      </c>
      <c r="AY216">
        <v>0.1</v>
      </c>
      <c r="BA216">
        <v>3</v>
      </c>
      <c r="BB216">
        <v>1</v>
      </c>
      <c r="CA216" t="str">
        <f t="shared" si="185"/>
        <v>1333012,2333011</v>
      </c>
      <c r="CB216">
        <v>1333012</v>
      </c>
      <c r="CC216">
        <v>2333011</v>
      </c>
      <c r="CE216" s="13"/>
      <c r="CF216" s="13"/>
      <c r="CH216" t="str">
        <f t="shared" si="198"/>
        <v>DATA_Class_Base16</v>
      </c>
      <c r="CI216" s="6" t="s">
        <v>312</v>
      </c>
    </row>
    <row r="217" spans="1:87">
      <c r="A217">
        <f t="shared" si="173"/>
        <v>5081401</v>
      </c>
      <c r="B217" s="2" t="s">
        <v>484</v>
      </c>
      <c r="C217">
        <v>8</v>
      </c>
      <c r="D217">
        <v>4</v>
      </c>
      <c r="E217">
        <v>1</v>
      </c>
      <c r="F217" s="3" t="s">
        <v>486</v>
      </c>
      <c r="G217" s="3" t="s">
        <v>486</v>
      </c>
      <c r="H217">
        <v>0</v>
      </c>
      <c r="I217">
        <v>0</v>
      </c>
      <c r="J217" s="2">
        <v>0</v>
      </c>
      <c r="K217" s="2" t="s">
        <v>161</v>
      </c>
      <c r="L217" s="2">
        <f t="shared" si="174"/>
        <v>6</v>
      </c>
      <c r="M217" s="2">
        <f t="shared" si="199"/>
        <v>1.6</v>
      </c>
      <c r="N217" s="2">
        <f t="shared" si="200"/>
        <v>2</v>
      </c>
      <c r="O217" s="2">
        <v>10</v>
      </c>
      <c r="P217" s="2">
        <f t="shared" si="201"/>
        <v>227.16</v>
      </c>
      <c r="Q217" s="2">
        <f t="shared" si="202"/>
        <v>22.72</v>
      </c>
      <c r="R217" s="2">
        <f t="shared" si="203"/>
        <v>2112</v>
      </c>
      <c r="S217" s="2">
        <f t="shared" si="204"/>
        <v>211.2</v>
      </c>
      <c r="T217" s="2">
        <f t="shared" si="205"/>
        <v>45.43</v>
      </c>
      <c r="U217" s="2">
        <f t="shared" si="206"/>
        <v>4.54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514012</v>
      </c>
      <c r="AB217" s="14" t="s">
        <v>668</v>
      </c>
      <c r="AC217" s="15" t="s">
        <v>890</v>
      </c>
      <c r="AD217" s="2">
        <v>5091401</v>
      </c>
      <c r="AE217" s="2">
        <v>0</v>
      </c>
      <c r="AF217" s="2">
        <v>2</v>
      </c>
      <c r="AG217" s="2">
        <v>8</v>
      </c>
      <c r="AH217" s="2">
        <v>1</v>
      </c>
      <c r="AI217" s="2"/>
      <c r="AJ217">
        <v>1</v>
      </c>
      <c r="AK217" s="1">
        <f t="shared" si="207"/>
        <v>95.31810748458318</v>
      </c>
      <c r="AL217">
        <v>8</v>
      </c>
      <c r="AM217">
        <f t="shared" si="177"/>
        <v>206.50666666666672</v>
      </c>
      <c r="AN217">
        <f t="shared" si="178"/>
        <v>20.650666666666673</v>
      </c>
      <c r="AO217">
        <f t="shared" si="179"/>
        <v>1920.0000000000002</v>
      </c>
      <c r="AP217">
        <f t="shared" si="180"/>
        <v>192.00000000000003</v>
      </c>
      <c r="AQ217">
        <f t="shared" si="181"/>
        <v>41.301333333333346</v>
      </c>
      <c r="AR217">
        <f t="shared" si="175"/>
        <v>4.130133333333335</v>
      </c>
      <c r="AS217">
        <f t="shared" si="182"/>
        <v>1.6</v>
      </c>
      <c r="AT217">
        <f t="shared" si="183"/>
        <v>2</v>
      </c>
      <c r="AU217">
        <f t="shared" si="184"/>
        <v>6</v>
      </c>
      <c r="AV217">
        <f t="shared" si="172"/>
        <v>4011</v>
      </c>
      <c r="AW217" s="1">
        <v>1</v>
      </c>
      <c r="AX217">
        <v>5</v>
      </c>
      <c r="AY217">
        <v>0.1</v>
      </c>
      <c r="BA217">
        <v>4</v>
      </c>
      <c r="BB217">
        <v>1</v>
      </c>
      <c r="CA217" t="str">
        <f t="shared" si="185"/>
        <v>1334012,2334011</v>
      </c>
      <c r="CB217">
        <v>1334012</v>
      </c>
      <c r="CC217">
        <v>2334011</v>
      </c>
      <c r="CE217" s="13"/>
      <c r="CF217" s="13"/>
      <c r="CH217" t="str">
        <f t="shared" si="198"/>
        <v>DATA_Class_Base17</v>
      </c>
      <c r="CI217" s="6" t="s">
        <v>318</v>
      </c>
    </row>
    <row r="218" spans="1:87">
      <c r="A218">
        <f t="shared" si="173"/>
        <v>5081402</v>
      </c>
      <c r="B218" s="2" t="s">
        <v>488</v>
      </c>
      <c r="C218">
        <v>8</v>
      </c>
      <c r="D218">
        <v>4</v>
      </c>
      <c r="E218">
        <v>1</v>
      </c>
      <c r="F218" s="3" t="s">
        <v>490</v>
      </c>
      <c r="G218" s="3" t="s">
        <v>490</v>
      </c>
      <c r="H218">
        <v>0</v>
      </c>
      <c r="I218">
        <v>0</v>
      </c>
      <c r="J218">
        <v>0</v>
      </c>
      <c r="K218" s="8" t="s">
        <v>161</v>
      </c>
      <c r="L218" s="2">
        <f t="shared" si="174"/>
        <v>6</v>
      </c>
      <c r="M218" s="2">
        <f t="shared" si="199"/>
        <v>1.5</v>
      </c>
      <c r="N218" s="2">
        <f t="shared" si="200"/>
        <v>1.5</v>
      </c>
      <c r="O218" s="2">
        <v>10</v>
      </c>
      <c r="P218" s="2">
        <f t="shared" si="201"/>
        <v>232.32</v>
      </c>
      <c r="Q218" s="2">
        <f t="shared" si="202"/>
        <v>23.23</v>
      </c>
      <c r="R218" s="2">
        <f t="shared" si="203"/>
        <v>1936</v>
      </c>
      <c r="S218" s="2">
        <f t="shared" si="204"/>
        <v>193.6</v>
      </c>
      <c r="T218" s="2">
        <f t="shared" si="205"/>
        <v>38.72</v>
      </c>
      <c r="U218" s="2">
        <f t="shared" si="206"/>
        <v>3.87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514022</v>
      </c>
      <c r="AB218" s="14" t="s">
        <v>669</v>
      </c>
      <c r="AC218" s="15" t="s">
        <v>890</v>
      </c>
      <c r="AD218" s="2">
        <v>5091402</v>
      </c>
      <c r="AE218" s="2">
        <v>0</v>
      </c>
      <c r="AF218" s="2">
        <v>2</v>
      </c>
      <c r="AG218" s="2">
        <v>8</v>
      </c>
      <c r="AH218" s="2">
        <v>1</v>
      </c>
      <c r="AI218" s="2"/>
      <c r="AJ218">
        <v>1</v>
      </c>
      <c r="AK218" s="1">
        <f t="shared" si="207"/>
        <v>95.189164086687327</v>
      </c>
      <c r="AL218">
        <v>8</v>
      </c>
      <c r="AM218">
        <f t="shared" si="177"/>
        <v>211.20000000000002</v>
      </c>
      <c r="AN218">
        <f t="shared" si="178"/>
        <v>21.120000000000005</v>
      </c>
      <c r="AO218">
        <f t="shared" si="179"/>
        <v>1760.0000000000002</v>
      </c>
      <c r="AP218">
        <f t="shared" si="180"/>
        <v>176.00000000000003</v>
      </c>
      <c r="AQ218">
        <f t="shared" si="181"/>
        <v>35.200000000000003</v>
      </c>
      <c r="AR218">
        <f t="shared" si="175"/>
        <v>3.5200000000000005</v>
      </c>
      <c r="AS218">
        <f t="shared" si="182"/>
        <v>1.5</v>
      </c>
      <c r="AT218">
        <f t="shared" si="183"/>
        <v>1.5</v>
      </c>
      <c r="AU218">
        <f t="shared" si="184"/>
        <v>6</v>
      </c>
      <c r="AV218">
        <f t="shared" si="172"/>
        <v>4021</v>
      </c>
      <c r="AW218" s="1">
        <v>2</v>
      </c>
      <c r="AX218">
        <v>5</v>
      </c>
      <c r="AY218">
        <v>0.1</v>
      </c>
      <c r="BA218">
        <v>4</v>
      </c>
      <c r="BB218">
        <v>1</v>
      </c>
      <c r="CA218" t="str">
        <f t="shared" si="185"/>
        <v>1334022,2334021</v>
      </c>
      <c r="CB218">
        <v>1334022</v>
      </c>
      <c r="CC218">
        <v>2334021</v>
      </c>
      <c r="CE218" s="13"/>
      <c r="CF218" s="13"/>
      <c r="CH218" t="str">
        <f t="shared" si="198"/>
        <v>DATA_Class_Base18</v>
      </c>
      <c r="CI218" s="6" t="s">
        <v>324</v>
      </c>
    </row>
    <row r="219" spans="1:87" ht="14.25" customHeight="1">
      <c r="A219">
        <f t="shared" si="173"/>
        <v>5081500</v>
      </c>
      <c r="B219" s="2" t="s">
        <v>492</v>
      </c>
      <c r="C219">
        <v>8</v>
      </c>
      <c r="D219">
        <v>5</v>
      </c>
      <c r="E219">
        <v>1</v>
      </c>
      <c r="F219" s="3" t="s">
        <v>494</v>
      </c>
      <c r="G219" s="3" t="s">
        <v>494</v>
      </c>
      <c r="H219">
        <v>0</v>
      </c>
      <c r="I219">
        <v>0</v>
      </c>
      <c r="J219">
        <v>0</v>
      </c>
      <c r="K219" s="2" t="s">
        <v>303</v>
      </c>
      <c r="L219" s="2">
        <f t="shared" si="174"/>
        <v>6</v>
      </c>
      <c r="M219" s="2">
        <f t="shared" si="199"/>
        <v>1.5</v>
      </c>
      <c r="N219" s="2">
        <f t="shared" si="200"/>
        <v>1.5</v>
      </c>
      <c r="O219" s="2">
        <v>10</v>
      </c>
      <c r="P219" s="2">
        <f t="shared" si="201"/>
        <v>271.04000000000002</v>
      </c>
      <c r="Q219" s="2">
        <f t="shared" si="202"/>
        <v>27.1</v>
      </c>
      <c r="R219" s="2">
        <f t="shared" si="203"/>
        <v>1659.43</v>
      </c>
      <c r="S219" s="2">
        <f t="shared" si="204"/>
        <v>165.94</v>
      </c>
      <c r="T219" s="2">
        <f t="shared" si="205"/>
        <v>38.72</v>
      </c>
      <c r="U219" s="2">
        <f t="shared" si="206"/>
        <v>3.87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515002</v>
      </c>
      <c r="AB219" s="14" t="s">
        <v>670</v>
      </c>
      <c r="AC219" s="15" t="s">
        <v>890</v>
      </c>
      <c r="AD219" s="2">
        <v>5091500</v>
      </c>
      <c r="AE219" s="2">
        <v>0</v>
      </c>
      <c r="AF219" s="2">
        <v>2</v>
      </c>
      <c r="AG219" s="2">
        <v>8</v>
      </c>
      <c r="AH219" s="2">
        <v>1</v>
      </c>
      <c r="AI219" s="2"/>
      <c r="AJ219">
        <v>1</v>
      </c>
      <c r="AK219" s="1">
        <f t="shared" si="207"/>
        <v>95.189164086687299</v>
      </c>
      <c r="AL219">
        <v>8</v>
      </c>
      <c r="AM219">
        <f t="shared" si="177"/>
        <v>246.39999999999995</v>
      </c>
      <c r="AN219">
        <f t="shared" si="178"/>
        <v>24.639999999999997</v>
      </c>
      <c r="AO219">
        <f t="shared" si="179"/>
        <v>1508.5714285714289</v>
      </c>
      <c r="AP219">
        <f t="shared" si="180"/>
        <v>150.85714285714289</v>
      </c>
      <c r="AQ219">
        <f t="shared" si="181"/>
        <v>35.199999999999996</v>
      </c>
      <c r="AR219">
        <f t="shared" si="175"/>
        <v>3.5199999999999996</v>
      </c>
      <c r="AS219">
        <f t="shared" si="182"/>
        <v>1.5</v>
      </c>
      <c r="AT219">
        <f t="shared" si="183"/>
        <v>1.5</v>
      </c>
      <c r="AU219">
        <f t="shared" si="184"/>
        <v>6</v>
      </c>
      <c r="AV219">
        <f t="shared" si="172"/>
        <v>5001</v>
      </c>
      <c r="AW219" s="1">
        <v>0</v>
      </c>
      <c r="AX219">
        <v>5</v>
      </c>
      <c r="AY219">
        <v>0.1</v>
      </c>
      <c r="BA219">
        <v>5</v>
      </c>
      <c r="BB219">
        <v>1</v>
      </c>
      <c r="CA219" t="str">
        <f t="shared" si="185"/>
        <v>1335002,2335001</v>
      </c>
      <c r="CB219">
        <v>1335002</v>
      </c>
      <c r="CC219">
        <v>2335001</v>
      </c>
      <c r="CE219" s="13"/>
      <c r="CF219" s="13"/>
      <c r="CH219" t="str">
        <f t="shared" si="198"/>
        <v>DATA_Class_Base19</v>
      </c>
      <c r="CI219" s="6" t="s">
        <v>331</v>
      </c>
    </row>
    <row r="220" spans="1:87">
      <c r="A220">
        <f t="shared" si="173"/>
        <v>5081502</v>
      </c>
      <c r="B220" s="2" t="s">
        <v>496</v>
      </c>
      <c r="C220">
        <v>8</v>
      </c>
      <c r="D220">
        <v>5</v>
      </c>
      <c r="E220">
        <v>1</v>
      </c>
      <c r="F220" s="3" t="s">
        <v>498</v>
      </c>
      <c r="G220" s="3" t="s">
        <v>498</v>
      </c>
      <c r="H220">
        <v>0</v>
      </c>
      <c r="I220">
        <v>0</v>
      </c>
      <c r="J220" s="2">
        <v>0</v>
      </c>
      <c r="K220" s="8" t="s">
        <v>352</v>
      </c>
      <c r="L220" s="2">
        <f t="shared" si="174"/>
        <v>6</v>
      </c>
      <c r="M220" s="2">
        <f t="shared" si="199"/>
        <v>1.4000000000000001</v>
      </c>
      <c r="N220" s="2">
        <f t="shared" si="200"/>
        <v>2</v>
      </c>
      <c r="O220" s="2">
        <v>10</v>
      </c>
      <c r="P220" s="2">
        <f t="shared" si="201"/>
        <v>234.9</v>
      </c>
      <c r="Q220" s="2">
        <f t="shared" si="202"/>
        <v>23.49</v>
      </c>
      <c r="R220" s="2">
        <f t="shared" si="203"/>
        <v>1787.08</v>
      </c>
      <c r="S220" s="2">
        <f t="shared" si="204"/>
        <v>178.71</v>
      </c>
      <c r="T220" s="2">
        <f t="shared" si="205"/>
        <v>36.14</v>
      </c>
      <c r="U220" s="2">
        <f t="shared" si="206"/>
        <v>3.61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515022</v>
      </c>
      <c r="AB220" s="14" t="s">
        <v>671</v>
      </c>
      <c r="AC220" s="15" t="s">
        <v>890</v>
      </c>
      <c r="AD220" s="2">
        <v>5091502</v>
      </c>
      <c r="AE220" s="2">
        <v>0</v>
      </c>
      <c r="AF220" s="2">
        <v>2</v>
      </c>
      <c r="AG220" s="2">
        <v>8</v>
      </c>
      <c r="AH220" s="2">
        <v>1</v>
      </c>
      <c r="AI220" s="2"/>
      <c r="AJ220">
        <v>1</v>
      </c>
      <c r="AK220" s="1">
        <f t="shared" si="207"/>
        <v>95.139663315870223</v>
      </c>
      <c r="AL220">
        <v>8</v>
      </c>
      <c r="AM220">
        <f t="shared" si="177"/>
        <v>213.54666666666665</v>
      </c>
      <c r="AN220">
        <f t="shared" si="178"/>
        <v>21.354666666666667</v>
      </c>
      <c r="AO220">
        <f t="shared" si="179"/>
        <v>1624.6153846153845</v>
      </c>
      <c r="AP220">
        <f t="shared" si="180"/>
        <v>162.46153846153845</v>
      </c>
      <c r="AQ220">
        <f t="shared" si="181"/>
        <v>32.853333333333332</v>
      </c>
      <c r="AR220">
        <f t="shared" si="175"/>
        <v>3.2853333333333334</v>
      </c>
      <c r="AS220">
        <f t="shared" si="182"/>
        <v>1.4</v>
      </c>
      <c r="AT220">
        <f t="shared" si="183"/>
        <v>2</v>
      </c>
      <c r="AU220">
        <f t="shared" si="184"/>
        <v>6</v>
      </c>
      <c r="AV220">
        <f t="shared" si="172"/>
        <v>5021</v>
      </c>
      <c r="AW220" s="1">
        <v>2</v>
      </c>
      <c r="AX220">
        <v>5</v>
      </c>
      <c r="AY220">
        <v>0.1</v>
      </c>
      <c r="BA220">
        <v>5</v>
      </c>
      <c r="BB220">
        <v>1</v>
      </c>
      <c r="CA220" t="str">
        <f t="shared" si="185"/>
        <v>1335022,2335021</v>
      </c>
      <c r="CB220">
        <v>1335022</v>
      </c>
      <c r="CC220">
        <v>2335021</v>
      </c>
      <c r="CE220" s="13"/>
      <c r="CF220" s="13"/>
      <c r="CH220" t="str">
        <f t="shared" si="198"/>
        <v>DATA_Class_Base20</v>
      </c>
      <c r="CI220" s="6" t="s">
        <v>336</v>
      </c>
    </row>
    <row r="221" spans="1:87">
      <c r="A221">
        <f t="shared" si="173"/>
        <v>5081601</v>
      </c>
      <c r="B221" s="2" t="s">
        <v>500</v>
      </c>
      <c r="C221">
        <v>8</v>
      </c>
      <c r="D221">
        <v>6</v>
      </c>
      <c r="E221">
        <v>1</v>
      </c>
      <c r="F221" s="3" t="s">
        <v>502</v>
      </c>
      <c r="G221" s="3" t="s">
        <v>502</v>
      </c>
      <c r="H221">
        <v>0</v>
      </c>
      <c r="I221">
        <v>0</v>
      </c>
      <c r="J221">
        <v>0</v>
      </c>
      <c r="K221" s="2" t="s">
        <v>309</v>
      </c>
      <c r="L221" s="2">
        <f t="shared" si="174"/>
        <v>6</v>
      </c>
      <c r="M221" s="2">
        <f t="shared" si="199"/>
        <v>1.5</v>
      </c>
      <c r="N221" s="2">
        <f t="shared" si="200"/>
        <v>2</v>
      </c>
      <c r="O221" s="2">
        <v>10</v>
      </c>
      <c r="P221" s="2">
        <f t="shared" si="201"/>
        <v>193.6</v>
      </c>
      <c r="Q221" s="2">
        <f t="shared" si="202"/>
        <v>19.36</v>
      </c>
      <c r="R221" s="2">
        <f t="shared" si="203"/>
        <v>2323.1999999999998</v>
      </c>
      <c r="S221" s="2">
        <f t="shared" si="204"/>
        <v>232.32</v>
      </c>
      <c r="T221" s="2">
        <f t="shared" si="205"/>
        <v>48.4</v>
      </c>
      <c r="U221" s="2">
        <f t="shared" si="206"/>
        <v>4.84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516012</v>
      </c>
      <c r="AB221" s="14" t="s">
        <v>672</v>
      </c>
      <c r="AC221" s="15" t="s">
        <v>890</v>
      </c>
      <c r="AD221" s="2">
        <v>5091601</v>
      </c>
      <c r="AE221" s="2">
        <v>0</v>
      </c>
      <c r="AF221" s="2">
        <v>2</v>
      </c>
      <c r="AG221" s="2">
        <v>8</v>
      </c>
      <c r="AH221" s="2">
        <v>1</v>
      </c>
      <c r="AI221" s="2"/>
      <c r="AJ221">
        <v>1</v>
      </c>
      <c r="AK221" s="1">
        <f t="shared" si="207"/>
        <v>95.375251635834886</v>
      </c>
      <c r="AL221">
        <v>8</v>
      </c>
      <c r="AM221">
        <f t="shared" si="177"/>
        <v>176</v>
      </c>
      <c r="AN221">
        <f t="shared" si="178"/>
        <v>17.600000000000001</v>
      </c>
      <c r="AO221">
        <f t="shared" si="179"/>
        <v>2112</v>
      </c>
      <c r="AP221">
        <f t="shared" si="180"/>
        <v>211.20000000000002</v>
      </c>
      <c r="AQ221">
        <f t="shared" si="181"/>
        <v>44</v>
      </c>
      <c r="AR221">
        <f t="shared" si="175"/>
        <v>4.4000000000000004</v>
      </c>
      <c r="AS221">
        <f t="shared" si="182"/>
        <v>1.5</v>
      </c>
      <c r="AT221">
        <f t="shared" si="183"/>
        <v>2</v>
      </c>
      <c r="AU221">
        <f t="shared" si="184"/>
        <v>6</v>
      </c>
      <c r="AV221">
        <f t="shared" si="172"/>
        <v>6011</v>
      </c>
      <c r="AW221" s="1">
        <v>1</v>
      </c>
      <c r="AX221">
        <v>5</v>
      </c>
      <c r="AY221">
        <v>0.1</v>
      </c>
      <c r="BA221">
        <v>6</v>
      </c>
      <c r="BB221">
        <v>1</v>
      </c>
      <c r="CA221" t="str">
        <f t="shared" si="185"/>
        <v>1336012,2336011</v>
      </c>
      <c r="CB221">
        <v>1336012</v>
      </c>
      <c r="CC221">
        <v>2336011</v>
      </c>
      <c r="CE221" s="13"/>
      <c r="CF221" s="13"/>
      <c r="CH221" t="str">
        <f t="shared" si="198"/>
        <v>DATA_Class_Base21</v>
      </c>
      <c r="CI221" s="6" t="s">
        <v>342</v>
      </c>
    </row>
    <row r="222" spans="1:87">
      <c r="A222">
        <f t="shared" si="173"/>
        <v>5082200</v>
      </c>
      <c r="B222" s="2" t="s">
        <v>504</v>
      </c>
      <c r="C222">
        <v>8</v>
      </c>
      <c r="D222">
        <v>2</v>
      </c>
      <c r="E222">
        <v>2</v>
      </c>
      <c r="F222" s="3" t="s">
        <v>506</v>
      </c>
      <c r="G222" s="3" t="s">
        <v>506</v>
      </c>
      <c r="H222">
        <v>0</v>
      </c>
      <c r="I222">
        <v>0</v>
      </c>
      <c r="J222">
        <v>0</v>
      </c>
      <c r="K222" s="8" t="s">
        <v>507</v>
      </c>
      <c r="L222" s="2">
        <f t="shared" si="174"/>
        <v>3</v>
      </c>
      <c r="M222" s="2">
        <f t="shared" si="199"/>
        <v>1.5</v>
      </c>
      <c r="N222" s="2">
        <f t="shared" si="200"/>
        <v>1.2</v>
      </c>
      <c r="O222" s="2">
        <v>10</v>
      </c>
      <c r="P222" s="2">
        <f t="shared" si="201"/>
        <v>193.6</v>
      </c>
      <c r="Q222" s="2">
        <f t="shared" si="202"/>
        <v>19.36</v>
      </c>
      <c r="R222" s="2">
        <f t="shared" si="203"/>
        <v>2323.1999999999998</v>
      </c>
      <c r="S222" s="2">
        <f t="shared" si="204"/>
        <v>232.32</v>
      </c>
      <c r="T222" s="2">
        <f t="shared" si="205"/>
        <v>48.4</v>
      </c>
      <c r="U222" s="2">
        <f t="shared" si="206"/>
        <v>4.84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522002</v>
      </c>
      <c r="AB222" s="14" t="s">
        <v>673</v>
      </c>
      <c r="AC222" s="15" t="s">
        <v>890</v>
      </c>
      <c r="AD222" s="2">
        <v>5092200</v>
      </c>
      <c r="AE222" s="2">
        <v>0</v>
      </c>
      <c r="AF222" s="2">
        <v>2</v>
      </c>
      <c r="AG222" s="2">
        <v>8</v>
      </c>
      <c r="AH222" s="2">
        <v>1</v>
      </c>
      <c r="AI222" s="2"/>
      <c r="AJ222">
        <v>1</v>
      </c>
      <c r="AK222" s="1">
        <f t="shared" si="207"/>
        <v>95.375251635834886</v>
      </c>
      <c r="AL222">
        <v>8</v>
      </c>
      <c r="AM222">
        <f t="shared" si="177"/>
        <v>176</v>
      </c>
      <c r="AN222">
        <f t="shared" si="178"/>
        <v>17.600000000000001</v>
      </c>
      <c r="AO222">
        <f t="shared" si="179"/>
        <v>2112</v>
      </c>
      <c r="AP222">
        <f t="shared" si="180"/>
        <v>211.20000000000002</v>
      </c>
      <c r="AQ222">
        <f t="shared" si="181"/>
        <v>44</v>
      </c>
      <c r="AR222">
        <f t="shared" si="175"/>
        <v>4.4000000000000004</v>
      </c>
      <c r="AS222">
        <f t="shared" si="182"/>
        <v>1.5</v>
      </c>
      <c r="AT222">
        <f t="shared" si="183"/>
        <v>1.2</v>
      </c>
      <c r="AU222">
        <f t="shared" si="184"/>
        <v>3</v>
      </c>
      <c r="AV222">
        <f t="shared" si="172"/>
        <v>2002</v>
      </c>
      <c r="AW222" s="1">
        <v>0</v>
      </c>
      <c r="AX222">
        <v>5</v>
      </c>
      <c r="AY222">
        <v>0.1</v>
      </c>
      <c r="BA222">
        <v>2</v>
      </c>
      <c r="BB222">
        <v>2</v>
      </c>
      <c r="CA222" t="str">
        <f t="shared" si="185"/>
        <v>1345012,2345011</v>
      </c>
      <c r="CB222">
        <v>1345012</v>
      </c>
      <c r="CC222">
        <v>2345011</v>
      </c>
      <c r="CE222" s="13"/>
      <c r="CF222" s="13"/>
      <c r="CH222" t="str">
        <f t="shared" si="198"/>
        <v>DATA_Class_Base22</v>
      </c>
      <c r="CI222" s="6" t="s">
        <v>349</v>
      </c>
    </row>
    <row r="223" spans="1:87">
      <c r="A223">
        <f t="shared" si="173"/>
        <v>5082201</v>
      </c>
      <c r="B223" s="2" t="s">
        <v>509</v>
      </c>
      <c r="C223">
        <v>8</v>
      </c>
      <c r="D223">
        <v>2</v>
      </c>
      <c r="E223">
        <v>2</v>
      </c>
      <c r="F223" s="3" t="s">
        <v>511</v>
      </c>
      <c r="G223" s="3" t="s">
        <v>511</v>
      </c>
      <c r="H223">
        <v>0</v>
      </c>
      <c r="I223">
        <v>0</v>
      </c>
      <c r="J223">
        <v>0</v>
      </c>
      <c r="K223" s="8" t="s">
        <v>512</v>
      </c>
      <c r="L223" s="2">
        <f t="shared" si="174"/>
        <v>3</v>
      </c>
      <c r="M223" s="2">
        <f t="shared" si="199"/>
        <v>1.8</v>
      </c>
      <c r="N223" s="2">
        <f t="shared" si="200"/>
        <v>1.8</v>
      </c>
      <c r="O223" s="2">
        <v>10</v>
      </c>
      <c r="P223" s="2">
        <f t="shared" si="201"/>
        <v>162.62</v>
      </c>
      <c r="Q223" s="2">
        <f t="shared" si="202"/>
        <v>16.260000000000002</v>
      </c>
      <c r="R223" s="2">
        <f t="shared" si="203"/>
        <v>3318.86</v>
      </c>
      <c r="S223" s="2">
        <f t="shared" si="204"/>
        <v>331.89</v>
      </c>
      <c r="T223" s="2">
        <f t="shared" si="205"/>
        <v>54.21</v>
      </c>
      <c r="U223" s="2">
        <f t="shared" si="206"/>
        <v>5.42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522012</v>
      </c>
      <c r="AB223" s="14" t="s">
        <v>674</v>
      </c>
      <c r="AC223" s="15" t="s">
        <v>890</v>
      </c>
      <c r="AD223" s="2">
        <v>5092201</v>
      </c>
      <c r="AE223" s="2">
        <v>0</v>
      </c>
      <c r="AF223" s="2">
        <v>2</v>
      </c>
      <c r="AG223" s="2">
        <v>8</v>
      </c>
      <c r="AH223" s="2">
        <v>1</v>
      </c>
      <c r="AI223" s="2"/>
      <c r="AJ223">
        <v>1</v>
      </c>
      <c r="AK223" s="1">
        <f t="shared" si="207"/>
        <v>95.487253810916442</v>
      </c>
      <c r="AL223">
        <v>8</v>
      </c>
      <c r="AM223">
        <f t="shared" si="177"/>
        <v>147.84000000000003</v>
      </c>
      <c r="AN223">
        <f t="shared" si="178"/>
        <v>14.784000000000004</v>
      </c>
      <c r="AO223">
        <f t="shared" si="179"/>
        <v>3017.1428571428578</v>
      </c>
      <c r="AP223">
        <f t="shared" si="180"/>
        <v>301.71428571428578</v>
      </c>
      <c r="AQ223">
        <f t="shared" si="181"/>
        <v>49.280000000000008</v>
      </c>
      <c r="AR223">
        <f t="shared" si="175"/>
        <v>4.9280000000000008</v>
      </c>
      <c r="AS223">
        <f t="shared" si="182"/>
        <v>1.8</v>
      </c>
      <c r="AT223">
        <f t="shared" si="183"/>
        <v>1.8</v>
      </c>
      <c r="AU223">
        <f t="shared" si="184"/>
        <v>3</v>
      </c>
      <c r="AV223">
        <f t="shared" ref="AV223:AV286" si="208">BA223*1000+AW223*10+BB223</f>
        <v>2012</v>
      </c>
      <c r="AW223" s="1">
        <v>1</v>
      </c>
      <c r="AX223">
        <v>5</v>
      </c>
      <c r="AY223">
        <v>0.1</v>
      </c>
      <c r="BA223">
        <v>2</v>
      </c>
      <c r="BB223">
        <v>2</v>
      </c>
      <c r="CA223" t="str">
        <f t="shared" si="185"/>
        <v>1346002,2346001</v>
      </c>
      <c r="CB223">
        <v>1346002</v>
      </c>
      <c r="CC223">
        <v>2346001</v>
      </c>
      <c r="CE223" s="13"/>
      <c r="CF223" s="13"/>
      <c r="CH223" t="str">
        <f t="shared" si="198"/>
        <v>DATA_Class_Base23</v>
      </c>
      <c r="CI223" s="6" t="s">
        <v>355</v>
      </c>
    </row>
    <row r="224" spans="1:87">
      <c r="A224">
        <f t="shared" ref="A224:A283" si="209">AX224*1000000+C224*10000+E224*1000+D224*100+AW224</f>
        <v>5082202</v>
      </c>
      <c r="B224" s="2" t="s">
        <v>514</v>
      </c>
      <c r="C224">
        <v>8</v>
      </c>
      <c r="D224">
        <v>2</v>
      </c>
      <c r="E224">
        <v>2</v>
      </c>
      <c r="F224" s="3" t="s">
        <v>516</v>
      </c>
      <c r="G224" s="3" t="s">
        <v>516</v>
      </c>
      <c r="H224">
        <v>0</v>
      </c>
      <c r="I224">
        <v>0</v>
      </c>
      <c r="J224" s="2">
        <v>0</v>
      </c>
      <c r="K224" s="2" t="s">
        <v>280</v>
      </c>
      <c r="L224" s="2">
        <f t="shared" ref="L224:L283" si="210">AU224</f>
        <v>3</v>
      </c>
      <c r="M224" s="2">
        <f t="shared" si="199"/>
        <v>1.8</v>
      </c>
      <c r="N224" s="2">
        <f t="shared" si="200"/>
        <v>2</v>
      </c>
      <c r="O224" s="2">
        <v>10</v>
      </c>
      <c r="P224" s="2">
        <f t="shared" si="201"/>
        <v>267.17</v>
      </c>
      <c r="Q224" s="2">
        <f t="shared" si="202"/>
        <v>26.72</v>
      </c>
      <c r="R224" s="2">
        <f t="shared" si="203"/>
        <v>2020.17</v>
      </c>
      <c r="S224" s="2">
        <f t="shared" si="204"/>
        <v>202.02</v>
      </c>
      <c r="T224" s="2">
        <f t="shared" si="205"/>
        <v>53.43</v>
      </c>
      <c r="U224" s="2">
        <f t="shared" si="206"/>
        <v>5.34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522022</v>
      </c>
      <c r="AB224" s="14" t="s">
        <v>675</v>
      </c>
      <c r="AC224" s="15" t="s">
        <v>890</v>
      </c>
      <c r="AD224" s="2">
        <v>5092202</v>
      </c>
      <c r="AE224" s="2">
        <v>0</v>
      </c>
      <c r="AF224" s="2">
        <v>2</v>
      </c>
      <c r="AG224" s="2">
        <v>8</v>
      </c>
      <c r="AH224" s="2">
        <v>1</v>
      </c>
      <c r="AI224" s="2"/>
      <c r="AJ224">
        <v>1</v>
      </c>
      <c r="AK224" s="1">
        <f t="shared" si="207"/>
        <v>95.472304991195529</v>
      </c>
      <c r="AL224">
        <v>8</v>
      </c>
      <c r="AM224">
        <f t="shared" si="177"/>
        <v>242.88</v>
      </c>
      <c r="AN224">
        <f t="shared" si="178"/>
        <v>24.288</v>
      </c>
      <c r="AO224">
        <f t="shared" si="179"/>
        <v>1836.521739130435</v>
      </c>
      <c r="AP224">
        <f t="shared" si="180"/>
        <v>183.6521739130435</v>
      </c>
      <c r="AQ224">
        <f t="shared" si="181"/>
        <v>48.576000000000001</v>
      </c>
      <c r="AR224">
        <f t="shared" si="175"/>
        <v>4.8576000000000006</v>
      </c>
      <c r="AS224">
        <f t="shared" si="182"/>
        <v>1.8</v>
      </c>
      <c r="AT224">
        <f t="shared" si="183"/>
        <v>2</v>
      </c>
      <c r="AU224">
        <f t="shared" si="184"/>
        <v>3</v>
      </c>
      <c r="AV224">
        <f t="shared" si="208"/>
        <v>2022</v>
      </c>
      <c r="AW224" s="1">
        <v>2</v>
      </c>
      <c r="AX224">
        <v>5</v>
      </c>
      <c r="AY224">
        <v>0.1</v>
      </c>
      <c r="BA224">
        <v>2</v>
      </c>
      <c r="BB224">
        <v>2</v>
      </c>
      <c r="CA224" t="str">
        <f t="shared" si="185"/>
        <v>1346022,2346021</v>
      </c>
      <c r="CB224">
        <v>1346022</v>
      </c>
      <c r="CC224">
        <v>2346021</v>
      </c>
      <c r="CE224" s="13"/>
      <c r="CF224" s="13"/>
      <c r="CH224" t="str">
        <f t="shared" si="198"/>
        <v>DATA_Class_Base24</v>
      </c>
      <c r="CI224" s="6" t="s">
        <v>361</v>
      </c>
    </row>
    <row r="225" spans="1:87">
      <c r="A225">
        <f t="shared" si="209"/>
        <v>5082301</v>
      </c>
      <c r="B225" s="2" t="s">
        <v>518</v>
      </c>
      <c r="C225">
        <v>8</v>
      </c>
      <c r="D225">
        <v>3</v>
      </c>
      <c r="E225">
        <v>2</v>
      </c>
      <c r="F225" s="3" t="s">
        <v>520</v>
      </c>
      <c r="G225" s="3" t="s">
        <v>520</v>
      </c>
      <c r="H225">
        <v>0</v>
      </c>
      <c r="I225">
        <v>0</v>
      </c>
      <c r="J225">
        <v>0</v>
      </c>
      <c r="K225" s="2" t="s">
        <v>285</v>
      </c>
      <c r="L225" s="2">
        <f t="shared" si="210"/>
        <v>3</v>
      </c>
      <c r="M225" s="2">
        <f t="shared" si="199"/>
        <v>1.2</v>
      </c>
      <c r="N225" s="2">
        <f t="shared" si="200"/>
        <v>1.7</v>
      </c>
      <c r="O225" s="2">
        <v>10</v>
      </c>
      <c r="P225" s="2">
        <f t="shared" si="201"/>
        <v>201.34</v>
      </c>
      <c r="Q225" s="2">
        <f t="shared" si="202"/>
        <v>20.13</v>
      </c>
      <c r="R225" s="2">
        <f t="shared" si="203"/>
        <v>1787.08</v>
      </c>
      <c r="S225" s="2">
        <f t="shared" si="204"/>
        <v>178.71</v>
      </c>
      <c r="T225" s="2">
        <f t="shared" si="205"/>
        <v>33.56</v>
      </c>
      <c r="U225" s="2">
        <f t="shared" si="206"/>
        <v>3.36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523012</v>
      </c>
      <c r="AB225" s="14" t="s">
        <v>676</v>
      </c>
      <c r="AC225" s="15" t="s">
        <v>890</v>
      </c>
      <c r="AD225" s="2">
        <v>5092301</v>
      </c>
      <c r="AE225" s="2">
        <v>0</v>
      </c>
      <c r="AF225" s="2">
        <v>2</v>
      </c>
      <c r="AG225" s="2">
        <v>8</v>
      </c>
      <c r="AH225" s="2">
        <v>1</v>
      </c>
      <c r="AI225" s="2"/>
      <c r="AJ225">
        <v>1</v>
      </c>
      <c r="AK225" s="1">
        <f t="shared" si="207"/>
        <v>95.090214001597957</v>
      </c>
      <c r="AL225">
        <v>8</v>
      </c>
      <c r="AM225">
        <f t="shared" si="177"/>
        <v>183.04000000000002</v>
      </c>
      <c r="AN225">
        <f t="shared" si="178"/>
        <v>18.304000000000002</v>
      </c>
      <c r="AO225">
        <f t="shared" si="179"/>
        <v>1624.6153846153845</v>
      </c>
      <c r="AP225">
        <f t="shared" si="180"/>
        <v>162.46153846153845</v>
      </c>
      <c r="AQ225">
        <f t="shared" si="181"/>
        <v>30.506666666666671</v>
      </c>
      <c r="AR225">
        <f t="shared" ref="AR225:AR284" si="211">AQ225*0.1</f>
        <v>3.0506666666666673</v>
      </c>
      <c r="AS225">
        <f t="shared" si="182"/>
        <v>1.2</v>
      </c>
      <c r="AT225">
        <f t="shared" si="183"/>
        <v>1.7</v>
      </c>
      <c r="AU225">
        <f t="shared" si="184"/>
        <v>3</v>
      </c>
      <c r="AV225">
        <f t="shared" si="208"/>
        <v>3012</v>
      </c>
      <c r="AW225" s="1">
        <v>1</v>
      </c>
      <c r="AX225">
        <v>5</v>
      </c>
      <c r="AY225">
        <v>0.1</v>
      </c>
      <c r="BA225">
        <v>3</v>
      </c>
      <c r="BB225">
        <v>2</v>
      </c>
      <c r="CA225" t="str">
        <f t="shared" si="185"/>
        <v>1353002,2353001</v>
      </c>
      <c r="CB225">
        <v>1353002</v>
      </c>
      <c r="CC225">
        <v>2353001</v>
      </c>
      <c r="CE225" s="13"/>
      <c r="CF225" s="13"/>
      <c r="CH225" t="str">
        <f t="shared" si="198"/>
        <v>DATA_Class_Base25</v>
      </c>
      <c r="CI225" s="6" t="s">
        <v>366</v>
      </c>
    </row>
    <row r="226" spans="1:87">
      <c r="A226">
        <f t="shared" si="209"/>
        <v>5082401</v>
      </c>
      <c r="B226" s="2" t="s">
        <v>522</v>
      </c>
      <c r="C226">
        <v>8</v>
      </c>
      <c r="D226">
        <v>4</v>
      </c>
      <c r="E226">
        <v>2</v>
      </c>
      <c r="F226" s="3" t="s">
        <v>524</v>
      </c>
      <c r="G226" s="3" t="s">
        <v>524</v>
      </c>
      <c r="H226">
        <v>0</v>
      </c>
      <c r="I226">
        <v>0</v>
      </c>
      <c r="J226" s="2">
        <v>0</v>
      </c>
      <c r="K226" s="8" t="s">
        <v>250</v>
      </c>
      <c r="L226" s="2">
        <f t="shared" si="210"/>
        <v>6</v>
      </c>
      <c r="M226" s="2">
        <f t="shared" si="199"/>
        <v>1.6</v>
      </c>
      <c r="N226" s="2">
        <f t="shared" si="200"/>
        <v>1.5</v>
      </c>
      <c r="O226" s="2">
        <v>10</v>
      </c>
      <c r="P226" s="2">
        <f t="shared" si="201"/>
        <v>268.45999999999998</v>
      </c>
      <c r="Q226" s="2">
        <f t="shared" si="202"/>
        <v>26.85</v>
      </c>
      <c r="R226" s="2">
        <f t="shared" si="203"/>
        <v>1787.08</v>
      </c>
      <c r="S226" s="2">
        <f t="shared" si="204"/>
        <v>178.71</v>
      </c>
      <c r="T226" s="2">
        <f t="shared" si="205"/>
        <v>29.83</v>
      </c>
      <c r="U226" s="2">
        <f t="shared" si="206"/>
        <v>2.98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524012</v>
      </c>
      <c r="AB226" s="14" t="s">
        <v>677</v>
      </c>
      <c r="AC226" s="15" t="s">
        <v>890</v>
      </c>
      <c r="AD226" s="2">
        <v>5092401</v>
      </c>
      <c r="AE226" s="2">
        <v>0</v>
      </c>
      <c r="AF226" s="2">
        <v>2</v>
      </c>
      <c r="AG226" s="2">
        <v>8</v>
      </c>
      <c r="AH226" s="2">
        <v>1</v>
      </c>
      <c r="AI226" s="2"/>
      <c r="AJ226">
        <v>1</v>
      </c>
      <c r="AK226" s="1">
        <f t="shared" si="207"/>
        <v>95.018877894840259</v>
      </c>
      <c r="AL226">
        <v>8</v>
      </c>
      <c r="AM226">
        <f t="shared" si="177"/>
        <v>244.05333333333337</v>
      </c>
      <c r="AN226">
        <f t="shared" si="178"/>
        <v>24.405333333333338</v>
      </c>
      <c r="AO226">
        <f t="shared" si="179"/>
        <v>1624.6153846153845</v>
      </c>
      <c r="AP226">
        <f t="shared" si="180"/>
        <v>162.46153846153845</v>
      </c>
      <c r="AQ226">
        <f t="shared" si="181"/>
        <v>27.11703703703704</v>
      </c>
      <c r="AR226">
        <f t="shared" si="211"/>
        <v>2.7117037037037042</v>
      </c>
      <c r="AS226">
        <f t="shared" si="182"/>
        <v>1.6</v>
      </c>
      <c r="AT226">
        <f t="shared" si="183"/>
        <v>1.5</v>
      </c>
      <c r="AU226">
        <f t="shared" si="184"/>
        <v>6</v>
      </c>
      <c r="AV226">
        <f t="shared" si="208"/>
        <v>4012</v>
      </c>
      <c r="AW226" s="1">
        <v>1</v>
      </c>
      <c r="AX226">
        <v>5</v>
      </c>
      <c r="AY226">
        <v>0.1</v>
      </c>
      <c r="BA226">
        <v>4</v>
      </c>
      <c r="BB226">
        <v>2</v>
      </c>
      <c r="CA226" t="str">
        <f t="shared" si="185"/>
        <v>1353022,2353021</v>
      </c>
      <c r="CB226">
        <v>1353022</v>
      </c>
      <c r="CC226">
        <v>2353021</v>
      </c>
      <c r="CE226" s="13"/>
      <c r="CF226" s="13"/>
      <c r="CH226" t="str">
        <f t="shared" si="198"/>
        <v>DATA_Class_Base26</v>
      </c>
      <c r="CI226" s="6" t="s">
        <v>369</v>
      </c>
    </row>
    <row r="227" spans="1:87">
      <c r="A227">
        <f t="shared" si="209"/>
        <v>5082402</v>
      </c>
      <c r="B227" s="2" t="s">
        <v>526</v>
      </c>
      <c r="C227">
        <v>8</v>
      </c>
      <c r="D227">
        <v>4</v>
      </c>
      <c r="E227">
        <v>2</v>
      </c>
      <c r="F227" s="3" t="s">
        <v>528</v>
      </c>
      <c r="G227" s="3" t="s">
        <v>528</v>
      </c>
      <c r="H227">
        <v>0</v>
      </c>
      <c r="I227">
        <v>0</v>
      </c>
      <c r="J227">
        <v>0</v>
      </c>
      <c r="K227" s="2" t="s">
        <v>250</v>
      </c>
      <c r="L227" s="2">
        <f t="shared" si="210"/>
        <v>6</v>
      </c>
      <c r="M227" s="2">
        <f t="shared" si="199"/>
        <v>1.5</v>
      </c>
      <c r="N227" s="2">
        <f t="shared" si="200"/>
        <v>1.5</v>
      </c>
      <c r="O227" s="2">
        <v>10</v>
      </c>
      <c r="P227" s="2">
        <f t="shared" si="201"/>
        <v>271.04000000000002</v>
      </c>
      <c r="Q227" s="2">
        <f t="shared" si="202"/>
        <v>27.1</v>
      </c>
      <c r="R227" s="2">
        <f t="shared" si="203"/>
        <v>1659.43</v>
      </c>
      <c r="S227" s="2">
        <f t="shared" si="204"/>
        <v>165.94</v>
      </c>
      <c r="T227" s="2">
        <f t="shared" si="205"/>
        <v>33.880000000000003</v>
      </c>
      <c r="U227" s="2">
        <f t="shared" si="206"/>
        <v>3.39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524022</v>
      </c>
      <c r="AB227" s="14" t="s">
        <v>678</v>
      </c>
      <c r="AC227" s="15" t="s">
        <v>890</v>
      </c>
      <c r="AD227" s="2">
        <v>5092402</v>
      </c>
      <c r="AE227" s="2">
        <v>0</v>
      </c>
      <c r="AF227" s="2">
        <v>2</v>
      </c>
      <c r="AG227" s="2">
        <v>8</v>
      </c>
      <c r="AH227" s="2">
        <v>1</v>
      </c>
      <c r="AI227" s="2"/>
      <c r="AJ227">
        <v>1</v>
      </c>
      <c r="AK227" s="1">
        <f t="shared" si="207"/>
        <v>95.096392354594741</v>
      </c>
      <c r="AL227">
        <v>8</v>
      </c>
      <c r="AM227">
        <f t="shared" si="177"/>
        <v>246.39999999999995</v>
      </c>
      <c r="AN227">
        <f t="shared" si="178"/>
        <v>24.639999999999997</v>
      </c>
      <c r="AO227">
        <f t="shared" si="179"/>
        <v>1508.5714285714289</v>
      </c>
      <c r="AP227">
        <f t="shared" si="180"/>
        <v>150.85714285714289</v>
      </c>
      <c r="AQ227">
        <f t="shared" si="181"/>
        <v>30.799999999999994</v>
      </c>
      <c r="AR227">
        <f t="shared" si="211"/>
        <v>3.0799999999999996</v>
      </c>
      <c r="AS227">
        <f t="shared" si="182"/>
        <v>1.5</v>
      </c>
      <c r="AT227">
        <f t="shared" si="183"/>
        <v>1.5</v>
      </c>
      <c r="AU227">
        <f t="shared" si="184"/>
        <v>6</v>
      </c>
      <c r="AV227">
        <f t="shared" si="208"/>
        <v>4022</v>
      </c>
      <c r="AW227" s="1">
        <v>2</v>
      </c>
      <c r="AX227">
        <v>5</v>
      </c>
      <c r="AY227">
        <v>0.1</v>
      </c>
      <c r="BA227">
        <v>4</v>
      </c>
      <c r="BB227">
        <v>2</v>
      </c>
      <c r="CA227" t="str">
        <f t="shared" si="185"/>
        <v>1354002,2354001</v>
      </c>
      <c r="CB227">
        <v>1354002</v>
      </c>
      <c r="CC227">
        <v>2354001</v>
      </c>
      <c r="CH227" t="str">
        <f t="shared" si="198"/>
        <v>DATA_Class_Base27</v>
      </c>
      <c r="CI227" s="6" t="s">
        <v>371</v>
      </c>
    </row>
    <row r="228" spans="1:87">
      <c r="A228">
        <f t="shared" si="209"/>
        <v>5082502</v>
      </c>
      <c r="B228" s="2" t="s">
        <v>535</v>
      </c>
      <c r="C228">
        <v>8</v>
      </c>
      <c r="D228">
        <v>5</v>
      </c>
      <c r="E228">
        <v>2</v>
      </c>
      <c r="F228" s="3" t="s">
        <v>537</v>
      </c>
      <c r="G228" s="3" t="s">
        <v>537</v>
      </c>
      <c r="H228">
        <v>0</v>
      </c>
      <c r="I228">
        <v>0</v>
      </c>
      <c r="J228" s="2">
        <v>0</v>
      </c>
      <c r="K228" s="2" t="s">
        <v>291</v>
      </c>
      <c r="L228" s="2">
        <f t="shared" si="210"/>
        <v>6</v>
      </c>
      <c r="M228" s="2">
        <f t="shared" si="199"/>
        <v>1.4000000000000001</v>
      </c>
      <c r="N228" s="2">
        <f t="shared" si="200"/>
        <v>2</v>
      </c>
      <c r="O228" s="2">
        <v>10</v>
      </c>
      <c r="P228" s="2">
        <f t="shared" si="201"/>
        <v>280.07</v>
      </c>
      <c r="Q228" s="2">
        <f t="shared" si="202"/>
        <v>28.01</v>
      </c>
      <c r="R228" s="2">
        <f t="shared" si="203"/>
        <v>1498.84</v>
      </c>
      <c r="S228" s="2">
        <f t="shared" si="204"/>
        <v>149.88</v>
      </c>
      <c r="T228" s="2">
        <f t="shared" si="205"/>
        <v>28.01</v>
      </c>
      <c r="U228" s="2">
        <f t="shared" si="206"/>
        <v>2.8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7">
        <v>525022</v>
      </c>
      <c r="AB228" s="14" t="s">
        <v>680</v>
      </c>
      <c r="AC228" s="15" t="s">
        <v>890</v>
      </c>
      <c r="AD228" s="2">
        <v>5092502</v>
      </c>
      <c r="AE228" s="2">
        <v>0</v>
      </c>
      <c r="AF228" s="2">
        <v>2</v>
      </c>
      <c r="AG228" s="2">
        <v>8</v>
      </c>
      <c r="AH228" s="2">
        <v>1</v>
      </c>
      <c r="AI228" s="2"/>
      <c r="AJ228">
        <v>1</v>
      </c>
      <c r="AK228" s="1">
        <f t="shared" si="207"/>
        <v>94.984071845213819</v>
      </c>
      <c r="AL228">
        <v>8</v>
      </c>
      <c r="AM228">
        <f t="shared" si="177"/>
        <v>254.61333333333332</v>
      </c>
      <c r="AN228">
        <f t="shared" si="178"/>
        <v>25.461333333333332</v>
      </c>
      <c r="AO228">
        <f t="shared" si="179"/>
        <v>1362.5806451612905</v>
      </c>
      <c r="AP228">
        <f t="shared" si="180"/>
        <v>136.25806451612905</v>
      </c>
      <c r="AQ228">
        <f t="shared" si="181"/>
        <v>25.461333333333332</v>
      </c>
      <c r="AR228">
        <f t="shared" si="211"/>
        <v>2.5461333333333336</v>
      </c>
      <c r="AS228">
        <f t="shared" si="182"/>
        <v>1.4</v>
      </c>
      <c r="AT228">
        <f t="shared" si="183"/>
        <v>2</v>
      </c>
      <c r="AU228">
        <f t="shared" si="184"/>
        <v>6</v>
      </c>
      <c r="AV228">
        <f t="shared" si="208"/>
        <v>5022</v>
      </c>
      <c r="AW228" s="1">
        <v>2</v>
      </c>
      <c r="AX228">
        <v>5</v>
      </c>
      <c r="AY228">
        <v>0.1</v>
      </c>
      <c r="BA228">
        <v>5</v>
      </c>
      <c r="BB228">
        <v>2</v>
      </c>
      <c r="BY228">
        <v>1</v>
      </c>
      <c r="CA228" t="str">
        <f t="shared" ref="CA228:CA264" si="212">CB228&amp;","&amp;CC228&amp;","&amp;CD228</f>
        <v>1512003,2512003,3512003</v>
      </c>
      <c r="CB228">
        <v>1512003</v>
      </c>
      <c r="CC228">
        <v>2512003</v>
      </c>
      <c r="CD228">
        <v>3512003</v>
      </c>
      <c r="CH228" t="str">
        <f t="shared" si="198"/>
        <v>DATA_Class_Base28</v>
      </c>
      <c r="CI228" s="3" t="s">
        <v>374</v>
      </c>
    </row>
    <row r="229" spans="1:87">
      <c r="A229">
        <f t="shared" si="209"/>
        <v>5083200</v>
      </c>
      <c r="B229" s="2" t="s">
        <v>544</v>
      </c>
      <c r="C229">
        <v>8</v>
      </c>
      <c r="D229">
        <v>2</v>
      </c>
      <c r="E229">
        <v>3</v>
      </c>
      <c r="F229" s="3" t="s">
        <v>546</v>
      </c>
      <c r="G229" s="3" t="s">
        <v>546</v>
      </c>
      <c r="H229">
        <v>0</v>
      </c>
      <c r="I229">
        <v>0</v>
      </c>
      <c r="J229">
        <v>0</v>
      </c>
      <c r="K229" s="2" t="s">
        <v>314</v>
      </c>
      <c r="L229" s="2">
        <f t="shared" si="210"/>
        <v>3</v>
      </c>
      <c r="M229" s="2">
        <f t="shared" si="199"/>
        <v>1.5</v>
      </c>
      <c r="N229" s="2">
        <f t="shared" si="200"/>
        <v>1.2</v>
      </c>
      <c r="O229" s="2">
        <v>10</v>
      </c>
      <c r="P229" s="2">
        <f t="shared" si="201"/>
        <v>135.52000000000001</v>
      </c>
      <c r="Q229" s="2">
        <f t="shared" si="202"/>
        <v>13.55</v>
      </c>
      <c r="R229" s="2">
        <f t="shared" si="203"/>
        <v>3318.86</v>
      </c>
      <c r="S229" s="2">
        <f t="shared" si="204"/>
        <v>331.89</v>
      </c>
      <c r="T229" s="2">
        <f t="shared" si="205"/>
        <v>67.760000000000005</v>
      </c>
      <c r="U229" s="2">
        <f t="shared" si="206"/>
        <v>6.78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7">
        <v>532002</v>
      </c>
      <c r="AB229" s="14" t="s">
        <v>682</v>
      </c>
      <c r="AC229" s="15" t="s">
        <v>890</v>
      </c>
      <c r="AD229" s="2">
        <v>5093200</v>
      </c>
      <c r="AE229" s="2">
        <v>0</v>
      </c>
      <c r="AF229" s="2">
        <v>2</v>
      </c>
      <c r="AG229" s="2">
        <v>8</v>
      </c>
      <c r="AH229" s="2">
        <v>1</v>
      </c>
      <c r="AI229" s="2"/>
      <c r="AJ229">
        <v>1</v>
      </c>
      <c r="AK229" s="1">
        <f t="shared" si="207"/>
        <v>95.749618023453849</v>
      </c>
      <c r="AL229">
        <v>8</v>
      </c>
      <c r="AM229">
        <f t="shared" si="177"/>
        <v>123.19999999999997</v>
      </c>
      <c r="AN229">
        <f t="shared" si="178"/>
        <v>12.319999999999999</v>
      </c>
      <c r="AO229">
        <f t="shared" si="179"/>
        <v>3017.1428571428578</v>
      </c>
      <c r="AP229">
        <f t="shared" si="180"/>
        <v>301.71428571428578</v>
      </c>
      <c r="AQ229">
        <f t="shared" si="181"/>
        <v>61.599999999999987</v>
      </c>
      <c r="AR229">
        <f t="shared" si="211"/>
        <v>6.1599999999999993</v>
      </c>
      <c r="AS229">
        <f t="shared" si="182"/>
        <v>1.5</v>
      </c>
      <c r="AT229">
        <f t="shared" si="183"/>
        <v>1.2</v>
      </c>
      <c r="AU229">
        <f t="shared" si="184"/>
        <v>3</v>
      </c>
      <c r="AV229">
        <f t="shared" si="208"/>
        <v>2003</v>
      </c>
      <c r="AW229" s="1">
        <v>0</v>
      </c>
      <c r="AX229">
        <v>5</v>
      </c>
      <c r="AY229">
        <v>0.1</v>
      </c>
      <c r="BA229">
        <v>2</v>
      </c>
      <c r="BB229">
        <v>3</v>
      </c>
      <c r="CA229" t="str">
        <f t="shared" si="212"/>
        <v>1512013,2512013,3512013</v>
      </c>
      <c r="CB229">
        <v>1512013</v>
      </c>
      <c r="CC229">
        <v>2512013</v>
      </c>
      <c r="CD229">
        <v>3512013</v>
      </c>
      <c r="CH229" t="str">
        <f t="shared" si="198"/>
        <v>DATA_Class_Base29</v>
      </c>
      <c r="CI229" s="3" t="s">
        <v>378</v>
      </c>
    </row>
    <row r="230" spans="1:87">
      <c r="A230">
        <f t="shared" si="209"/>
        <v>5083202</v>
      </c>
      <c r="B230" s="2" t="s">
        <v>552</v>
      </c>
      <c r="C230">
        <v>8</v>
      </c>
      <c r="D230">
        <v>2</v>
      </c>
      <c r="E230">
        <v>3</v>
      </c>
      <c r="F230" s="3" t="s">
        <v>554</v>
      </c>
      <c r="G230" s="3" t="s">
        <v>554</v>
      </c>
      <c r="H230">
        <v>0</v>
      </c>
      <c r="I230">
        <v>0</v>
      </c>
      <c r="J230">
        <v>0</v>
      </c>
      <c r="K230" s="8" t="s">
        <v>555</v>
      </c>
      <c r="L230" s="2">
        <f t="shared" si="210"/>
        <v>3</v>
      </c>
      <c r="M230" s="2">
        <f t="shared" si="199"/>
        <v>1.8</v>
      </c>
      <c r="N230" s="2">
        <f t="shared" si="200"/>
        <v>2</v>
      </c>
      <c r="O230" s="2">
        <v>10</v>
      </c>
      <c r="P230" s="2">
        <f t="shared" si="201"/>
        <v>209.09</v>
      </c>
      <c r="Q230" s="2">
        <f t="shared" si="202"/>
        <v>20.91</v>
      </c>
      <c r="R230" s="2">
        <f t="shared" si="203"/>
        <v>2581.33</v>
      </c>
      <c r="S230" s="2">
        <f t="shared" si="204"/>
        <v>258.13</v>
      </c>
      <c r="T230" s="2">
        <f t="shared" si="205"/>
        <v>69.7</v>
      </c>
      <c r="U230" s="2">
        <f t="shared" si="206"/>
        <v>6.97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7">
        <v>532022</v>
      </c>
      <c r="AB230" s="14" t="s">
        <v>684</v>
      </c>
      <c r="AC230" s="15" t="s">
        <v>890</v>
      </c>
      <c r="AD230" s="2">
        <v>5093202</v>
      </c>
      <c r="AE230" s="2">
        <v>0</v>
      </c>
      <c r="AF230" s="2">
        <v>2</v>
      </c>
      <c r="AG230" s="2">
        <v>8</v>
      </c>
      <c r="AH230" s="2">
        <v>1</v>
      </c>
      <c r="AI230" s="2"/>
      <c r="AJ230">
        <v>1</v>
      </c>
      <c r="AK230" s="1">
        <f t="shared" si="207"/>
        <v>95.787216366374182</v>
      </c>
      <c r="AL230">
        <v>8</v>
      </c>
      <c r="AM230">
        <f t="shared" si="177"/>
        <v>190.08000000000004</v>
      </c>
      <c r="AN230">
        <f t="shared" si="178"/>
        <v>19.008000000000006</v>
      </c>
      <c r="AO230">
        <f t="shared" si="179"/>
        <v>2346.666666666667</v>
      </c>
      <c r="AP230">
        <f t="shared" si="180"/>
        <v>234.66666666666671</v>
      </c>
      <c r="AQ230">
        <f t="shared" si="181"/>
        <v>63.360000000000014</v>
      </c>
      <c r="AR230">
        <f t="shared" si="211"/>
        <v>6.3360000000000021</v>
      </c>
      <c r="AS230">
        <f t="shared" si="182"/>
        <v>1.8</v>
      </c>
      <c r="AT230">
        <f t="shared" si="183"/>
        <v>2</v>
      </c>
      <c r="AU230">
        <f t="shared" si="184"/>
        <v>3</v>
      </c>
      <c r="AV230">
        <f t="shared" si="208"/>
        <v>2023</v>
      </c>
      <c r="AW230" s="1">
        <v>2</v>
      </c>
      <c r="AX230">
        <v>5</v>
      </c>
      <c r="AY230">
        <v>0.1</v>
      </c>
      <c r="BA230">
        <v>2</v>
      </c>
      <c r="BB230">
        <v>3</v>
      </c>
      <c r="CA230" t="str">
        <f t="shared" si="212"/>
        <v>1512023,2512023,3512023</v>
      </c>
      <c r="CB230">
        <v>1512023</v>
      </c>
      <c r="CC230">
        <v>2512023</v>
      </c>
      <c r="CD230">
        <v>3512023</v>
      </c>
      <c r="CH230" t="str">
        <f t="shared" si="198"/>
        <v>DATA_Class_Base30</v>
      </c>
      <c r="CI230" s="3" t="s">
        <v>381</v>
      </c>
    </row>
    <row r="231" spans="1:87">
      <c r="A231">
        <f t="shared" si="209"/>
        <v>5083301</v>
      </c>
      <c r="B231" s="2" t="s">
        <v>557</v>
      </c>
      <c r="C231">
        <v>8</v>
      </c>
      <c r="D231">
        <v>3</v>
      </c>
      <c r="E231">
        <v>3</v>
      </c>
      <c r="F231" s="3" t="s">
        <v>559</v>
      </c>
      <c r="G231" s="3" t="s">
        <v>559</v>
      </c>
      <c r="H231">
        <v>0</v>
      </c>
      <c r="I231">
        <v>0</v>
      </c>
      <c r="J231" s="2">
        <v>0</v>
      </c>
      <c r="K231" s="8" t="s">
        <v>555</v>
      </c>
      <c r="L231" s="2">
        <f t="shared" si="210"/>
        <v>3</v>
      </c>
      <c r="M231" s="2">
        <f t="shared" si="199"/>
        <v>1.2</v>
      </c>
      <c r="N231" s="2">
        <f t="shared" si="200"/>
        <v>1.4000000000000001</v>
      </c>
      <c r="O231" s="2">
        <v>10</v>
      </c>
      <c r="P231" s="2">
        <f t="shared" si="201"/>
        <v>185.86</v>
      </c>
      <c r="Q231" s="2">
        <f t="shared" si="202"/>
        <v>18.59</v>
      </c>
      <c r="R231" s="2">
        <f t="shared" si="203"/>
        <v>1936</v>
      </c>
      <c r="S231" s="2">
        <f t="shared" si="204"/>
        <v>193.6</v>
      </c>
      <c r="T231" s="2">
        <f t="shared" si="205"/>
        <v>37.17</v>
      </c>
      <c r="U231" s="2">
        <f t="shared" si="206"/>
        <v>3.72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7">
        <v>533012</v>
      </c>
      <c r="AB231" s="14" t="s">
        <v>685</v>
      </c>
      <c r="AC231" s="15" t="s">
        <v>890</v>
      </c>
      <c r="AD231" s="2">
        <v>5093301</v>
      </c>
      <c r="AE231" s="2">
        <v>0</v>
      </c>
      <c r="AF231" s="2">
        <v>2</v>
      </c>
      <c r="AG231" s="2">
        <v>8</v>
      </c>
      <c r="AH231" s="2">
        <v>1</v>
      </c>
      <c r="AI231" s="2"/>
      <c r="AJ231">
        <v>1</v>
      </c>
      <c r="AK231" s="1">
        <f t="shared" si="207"/>
        <v>95.159457444915319</v>
      </c>
      <c r="AL231">
        <v>8</v>
      </c>
      <c r="AM231">
        <f t="shared" si="177"/>
        <v>168.96</v>
      </c>
      <c r="AN231">
        <f t="shared" si="178"/>
        <v>16.896000000000001</v>
      </c>
      <c r="AO231">
        <f t="shared" si="179"/>
        <v>1760.0000000000002</v>
      </c>
      <c r="AP231">
        <f t="shared" si="180"/>
        <v>176.00000000000003</v>
      </c>
      <c r="AQ231">
        <f t="shared" si="181"/>
        <v>33.792000000000002</v>
      </c>
      <c r="AR231">
        <f t="shared" si="211"/>
        <v>3.3792000000000004</v>
      </c>
      <c r="AS231">
        <f t="shared" si="182"/>
        <v>1.2</v>
      </c>
      <c r="AT231">
        <f t="shared" si="183"/>
        <v>1.4</v>
      </c>
      <c r="AU231">
        <f t="shared" si="184"/>
        <v>3</v>
      </c>
      <c r="AV231">
        <f t="shared" si="208"/>
        <v>3013</v>
      </c>
      <c r="AW231" s="1">
        <v>1</v>
      </c>
      <c r="AX231">
        <v>5</v>
      </c>
      <c r="AY231">
        <v>0.1</v>
      </c>
      <c r="BA231">
        <v>3</v>
      </c>
      <c r="BB231">
        <v>3</v>
      </c>
      <c r="CA231" t="str">
        <f t="shared" si="212"/>
        <v>1513013,2513013,3513013</v>
      </c>
      <c r="CB231">
        <v>1513013</v>
      </c>
      <c r="CC231">
        <v>2513013</v>
      </c>
      <c r="CD231">
        <v>3513013</v>
      </c>
      <c r="CH231" t="str">
        <f t="shared" si="198"/>
        <v>DATA_Class_Base31</v>
      </c>
      <c r="CI231" s="3" t="s">
        <v>384</v>
      </c>
    </row>
    <row r="232" spans="1:87">
      <c r="A232">
        <f t="shared" si="209"/>
        <v>5083401</v>
      </c>
      <c r="B232" s="2" t="s">
        <v>561</v>
      </c>
      <c r="C232">
        <v>8</v>
      </c>
      <c r="D232">
        <v>4</v>
      </c>
      <c r="E232">
        <v>3</v>
      </c>
      <c r="F232" s="3" t="s">
        <v>563</v>
      </c>
      <c r="G232" s="3" t="s">
        <v>563</v>
      </c>
      <c r="H232">
        <v>0</v>
      </c>
      <c r="I232">
        <v>0</v>
      </c>
      <c r="J232">
        <v>0</v>
      </c>
      <c r="K232" s="8" t="s">
        <v>161</v>
      </c>
      <c r="L232" s="2">
        <f t="shared" si="210"/>
        <v>6</v>
      </c>
      <c r="M232" s="2">
        <f t="shared" si="199"/>
        <v>1.6</v>
      </c>
      <c r="N232" s="2">
        <f t="shared" si="200"/>
        <v>1.5</v>
      </c>
      <c r="O232" s="2">
        <v>10</v>
      </c>
      <c r="P232" s="2">
        <f t="shared" si="201"/>
        <v>247.81</v>
      </c>
      <c r="Q232" s="2">
        <f t="shared" si="202"/>
        <v>24.78</v>
      </c>
      <c r="R232" s="2">
        <f t="shared" si="203"/>
        <v>1936</v>
      </c>
      <c r="S232" s="2">
        <f t="shared" si="204"/>
        <v>193.6</v>
      </c>
      <c r="T232" s="2">
        <f t="shared" si="205"/>
        <v>41.3</v>
      </c>
      <c r="U232" s="2">
        <f t="shared" si="206"/>
        <v>4.13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7">
        <v>534012</v>
      </c>
      <c r="AB232" s="14" t="s">
        <v>686</v>
      </c>
      <c r="AC232" s="15" t="s">
        <v>890</v>
      </c>
      <c r="AD232" s="2">
        <v>5093401</v>
      </c>
      <c r="AE232" s="2">
        <v>0</v>
      </c>
      <c r="AF232" s="2">
        <v>2</v>
      </c>
      <c r="AG232" s="2">
        <v>8</v>
      </c>
      <c r="AH232" s="2">
        <v>1</v>
      </c>
      <c r="AI232" s="2"/>
      <c r="AJ232">
        <v>1</v>
      </c>
      <c r="AK232" s="1">
        <f t="shared" si="207"/>
        <v>95.238716394408911</v>
      </c>
      <c r="AL232">
        <v>8</v>
      </c>
      <c r="AM232">
        <f t="shared" si="177"/>
        <v>225.28000000000003</v>
      </c>
      <c r="AN232">
        <f t="shared" si="178"/>
        <v>22.528000000000006</v>
      </c>
      <c r="AO232">
        <f t="shared" si="179"/>
        <v>1760.0000000000002</v>
      </c>
      <c r="AP232">
        <f t="shared" si="180"/>
        <v>176.00000000000003</v>
      </c>
      <c r="AQ232">
        <f t="shared" si="181"/>
        <v>37.546666666666674</v>
      </c>
      <c r="AR232">
        <f t="shared" si="211"/>
        <v>3.7546666666666675</v>
      </c>
      <c r="AS232">
        <f t="shared" si="182"/>
        <v>1.6</v>
      </c>
      <c r="AT232">
        <f t="shared" si="183"/>
        <v>1.5</v>
      </c>
      <c r="AU232">
        <f t="shared" si="184"/>
        <v>6</v>
      </c>
      <c r="AV232">
        <f t="shared" si="208"/>
        <v>4013</v>
      </c>
      <c r="AW232" s="1">
        <v>1</v>
      </c>
      <c r="AX232">
        <v>5</v>
      </c>
      <c r="AY232">
        <v>0.1</v>
      </c>
      <c r="BA232">
        <v>4</v>
      </c>
      <c r="BB232">
        <v>3</v>
      </c>
      <c r="CA232" t="str">
        <f t="shared" si="212"/>
        <v>1514013,2514013,3514013</v>
      </c>
      <c r="CB232">
        <v>1514013</v>
      </c>
      <c r="CC232">
        <v>2514013</v>
      </c>
      <c r="CD232">
        <v>3514013</v>
      </c>
      <c r="CH232" t="str">
        <f t="shared" si="198"/>
        <v>DATA_Class_Base32</v>
      </c>
      <c r="CI232" s="3" t="s">
        <v>388</v>
      </c>
    </row>
    <row r="233" spans="1:87">
      <c r="A233">
        <f t="shared" si="209"/>
        <v>5083402</v>
      </c>
      <c r="B233" s="2" t="s">
        <v>565</v>
      </c>
      <c r="C233">
        <v>8</v>
      </c>
      <c r="D233">
        <v>4</v>
      </c>
      <c r="E233">
        <v>3</v>
      </c>
      <c r="F233" s="3" t="s">
        <v>567</v>
      </c>
      <c r="G233" s="3" t="s">
        <v>567</v>
      </c>
      <c r="H233">
        <v>0</v>
      </c>
      <c r="I233">
        <v>0</v>
      </c>
      <c r="J233" s="2">
        <v>0</v>
      </c>
      <c r="K233" s="8" t="s">
        <v>568</v>
      </c>
      <c r="L233" s="2">
        <f t="shared" si="210"/>
        <v>6</v>
      </c>
      <c r="M233" s="2">
        <f t="shared" si="199"/>
        <v>1.5</v>
      </c>
      <c r="N233" s="2">
        <f t="shared" si="200"/>
        <v>1.5</v>
      </c>
      <c r="O233" s="2">
        <v>10</v>
      </c>
      <c r="P233" s="2">
        <f t="shared" si="201"/>
        <v>251.68</v>
      </c>
      <c r="Q233" s="2">
        <f t="shared" si="202"/>
        <v>25.17</v>
      </c>
      <c r="R233" s="2">
        <f t="shared" si="203"/>
        <v>1787.08</v>
      </c>
      <c r="S233" s="2">
        <f t="shared" si="204"/>
        <v>178.71</v>
      </c>
      <c r="T233" s="2">
        <f t="shared" si="205"/>
        <v>35.950000000000003</v>
      </c>
      <c r="U233" s="2">
        <f t="shared" si="206"/>
        <v>3.6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7">
        <v>534022</v>
      </c>
      <c r="AB233" s="14" t="s">
        <v>687</v>
      </c>
      <c r="AC233" s="15" t="s">
        <v>890</v>
      </c>
      <c r="AD233" s="2">
        <v>5093402</v>
      </c>
      <c r="AE233" s="2">
        <v>0</v>
      </c>
      <c r="AF233" s="2">
        <v>2</v>
      </c>
      <c r="AG233" s="2">
        <v>8</v>
      </c>
      <c r="AH233" s="2">
        <v>1</v>
      </c>
      <c r="AI233" s="2"/>
      <c r="AJ233">
        <v>1</v>
      </c>
      <c r="AK233" s="1">
        <f t="shared" si="207"/>
        <v>95.136129516477354</v>
      </c>
      <c r="AL233">
        <v>8</v>
      </c>
      <c r="AM233">
        <f t="shared" si="177"/>
        <v>228.8</v>
      </c>
      <c r="AN233">
        <f t="shared" si="178"/>
        <v>22.880000000000003</v>
      </c>
      <c r="AO233">
        <f t="shared" si="179"/>
        <v>1624.6153846153845</v>
      </c>
      <c r="AP233">
        <f t="shared" si="180"/>
        <v>162.46153846153845</v>
      </c>
      <c r="AQ233">
        <f t="shared" si="181"/>
        <v>32.68571428571429</v>
      </c>
      <c r="AR233">
        <f t="shared" si="211"/>
        <v>3.2685714285714291</v>
      </c>
      <c r="AS233">
        <f t="shared" si="182"/>
        <v>1.5</v>
      </c>
      <c r="AT233">
        <f t="shared" si="183"/>
        <v>1.5</v>
      </c>
      <c r="AU233">
        <f t="shared" si="184"/>
        <v>6</v>
      </c>
      <c r="AV233">
        <f t="shared" si="208"/>
        <v>4023</v>
      </c>
      <c r="AW233" s="1">
        <v>2</v>
      </c>
      <c r="AX233">
        <v>5</v>
      </c>
      <c r="AY233">
        <v>0.1</v>
      </c>
      <c r="BA233">
        <v>4</v>
      </c>
      <c r="BB233">
        <v>3</v>
      </c>
      <c r="CA233" t="str">
        <f t="shared" si="212"/>
        <v>1514023,2514023,3514023</v>
      </c>
      <c r="CB233">
        <v>1514023</v>
      </c>
      <c r="CC233">
        <v>2514023</v>
      </c>
      <c r="CD233">
        <v>3514023</v>
      </c>
      <c r="CH233" t="str">
        <f t="shared" si="198"/>
        <v>DATA_Class_Base33</v>
      </c>
      <c r="CI233" s="3" t="s">
        <v>391</v>
      </c>
    </row>
    <row r="234" spans="1:87" ht="14.25" customHeight="1">
      <c r="A234">
        <f t="shared" si="209"/>
        <v>5083502</v>
      </c>
      <c r="B234" s="2" t="s">
        <v>574</v>
      </c>
      <c r="C234">
        <v>8</v>
      </c>
      <c r="D234">
        <v>5</v>
      </c>
      <c r="E234">
        <v>3</v>
      </c>
      <c r="F234" s="3" t="s">
        <v>576</v>
      </c>
      <c r="G234" s="3" t="s">
        <v>576</v>
      </c>
      <c r="H234">
        <v>0</v>
      </c>
      <c r="I234">
        <v>0</v>
      </c>
      <c r="J234" s="2">
        <v>0</v>
      </c>
      <c r="K234" s="8" t="s">
        <v>577</v>
      </c>
      <c r="L234" s="2">
        <f t="shared" si="210"/>
        <v>6</v>
      </c>
      <c r="M234" s="2">
        <f t="shared" si="199"/>
        <v>1.4000000000000001</v>
      </c>
      <c r="N234" s="2">
        <f t="shared" si="200"/>
        <v>2</v>
      </c>
      <c r="O234" s="2">
        <v>10</v>
      </c>
      <c r="P234" s="2">
        <f t="shared" si="201"/>
        <v>243.94</v>
      </c>
      <c r="Q234" s="2">
        <f t="shared" si="202"/>
        <v>24.39</v>
      </c>
      <c r="R234" s="2">
        <f t="shared" si="203"/>
        <v>1720.89</v>
      </c>
      <c r="S234" s="2">
        <f t="shared" si="204"/>
        <v>172.09</v>
      </c>
      <c r="T234" s="2">
        <f t="shared" si="205"/>
        <v>34.85</v>
      </c>
      <c r="U234" s="2">
        <f t="shared" si="206"/>
        <v>3.48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7">
        <v>535022</v>
      </c>
      <c r="AB234" s="14" t="s">
        <v>689</v>
      </c>
      <c r="AC234" s="15" t="s">
        <v>890</v>
      </c>
      <c r="AD234" s="2">
        <v>5093502</v>
      </c>
      <c r="AE234" s="2">
        <v>0</v>
      </c>
      <c r="AF234" s="2">
        <v>2</v>
      </c>
      <c r="AG234" s="2">
        <v>8</v>
      </c>
      <c r="AH234" s="2">
        <v>1</v>
      </c>
      <c r="AI234" s="2"/>
      <c r="AJ234">
        <v>1</v>
      </c>
      <c r="AK234" s="1">
        <f t="shared" si="207"/>
        <v>95.114932231681991</v>
      </c>
      <c r="AL234">
        <v>8</v>
      </c>
      <c r="AM234">
        <f t="shared" si="177"/>
        <v>221.76000000000002</v>
      </c>
      <c r="AN234">
        <f t="shared" si="178"/>
        <v>22.176000000000002</v>
      </c>
      <c r="AO234">
        <f t="shared" si="179"/>
        <v>1564.4444444444446</v>
      </c>
      <c r="AP234">
        <f t="shared" si="180"/>
        <v>156.44444444444446</v>
      </c>
      <c r="AQ234">
        <f t="shared" si="181"/>
        <v>31.680000000000003</v>
      </c>
      <c r="AR234">
        <f t="shared" si="211"/>
        <v>3.1680000000000006</v>
      </c>
      <c r="AS234">
        <f t="shared" si="182"/>
        <v>1.4</v>
      </c>
      <c r="AT234">
        <f t="shared" si="183"/>
        <v>2</v>
      </c>
      <c r="AU234">
        <f t="shared" si="184"/>
        <v>6</v>
      </c>
      <c r="AV234">
        <f t="shared" si="208"/>
        <v>5023</v>
      </c>
      <c r="AW234" s="1">
        <v>2</v>
      </c>
      <c r="AX234">
        <v>5</v>
      </c>
      <c r="AY234">
        <v>0.1</v>
      </c>
      <c r="BA234">
        <v>5</v>
      </c>
      <c r="BB234">
        <v>3</v>
      </c>
      <c r="CA234" t="str">
        <f t="shared" si="212"/>
        <v>1515003,2515003,3515003</v>
      </c>
      <c r="CB234">
        <v>1515003</v>
      </c>
      <c r="CC234">
        <v>2515003</v>
      </c>
      <c r="CD234">
        <v>3515003</v>
      </c>
      <c r="CH234" t="str">
        <f t="shared" si="198"/>
        <v>DATA_Class_Base34</v>
      </c>
      <c r="CI234" s="3" t="s">
        <v>184</v>
      </c>
    </row>
    <row r="235" spans="1:87">
      <c r="A235">
        <f t="shared" si="209"/>
        <v>5083601</v>
      </c>
      <c r="B235" s="2" t="s">
        <v>579</v>
      </c>
      <c r="C235">
        <v>8</v>
      </c>
      <c r="D235">
        <v>6</v>
      </c>
      <c r="E235">
        <v>3</v>
      </c>
      <c r="F235" s="3" t="s">
        <v>581</v>
      </c>
      <c r="G235" s="3" t="s">
        <v>581</v>
      </c>
      <c r="H235">
        <v>0</v>
      </c>
      <c r="I235">
        <v>0</v>
      </c>
      <c r="J235">
        <v>0</v>
      </c>
      <c r="K235" s="2" t="s">
        <v>309</v>
      </c>
      <c r="L235" s="2">
        <f t="shared" si="210"/>
        <v>6</v>
      </c>
      <c r="M235" s="2">
        <f t="shared" si="199"/>
        <v>1.5</v>
      </c>
      <c r="N235" s="2">
        <f t="shared" si="200"/>
        <v>2</v>
      </c>
      <c r="O235" s="2">
        <v>10</v>
      </c>
      <c r="P235" s="2">
        <f t="shared" si="201"/>
        <v>174.24</v>
      </c>
      <c r="Q235" s="2">
        <f t="shared" si="202"/>
        <v>17.420000000000002</v>
      </c>
      <c r="R235" s="2">
        <f t="shared" si="203"/>
        <v>2581.33</v>
      </c>
      <c r="S235" s="2">
        <f t="shared" si="204"/>
        <v>258.13</v>
      </c>
      <c r="T235" s="2">
        <f t="shared" si="205"/>
        <v>58.08</v>
      </c>
      <c r="U235" s="2">
        <f t="shared" si="206"/>
        <v>5.81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7">
        <v>536012</v>
      </c>
      <c r="AB235" s="14" t="s">
        <v>690</v>
      </c>
      <c r="AC235" s="15" t="s">
        <v>890</v>
      </c>
      <c r="AD235" s="2">
        <v>5093601</v>
      </c>
      <c r="AE235" s="2">
        <v>0</v>
      </c>
      <c r="AF235" s="2">
        <v>2</v>
      </c>
      <c r="AG235" s="2">
        <v>8</v>
      </c>
      <c r="AH235" s="2">
        <v>1</v>
      </c>
      <c r="AI235" s="2"/>
      <c r="AJ235">
        <v>1</v>
      </c>
      <c r="AK235" s="1">
        <f t="shared" si="207"/>
        <v>95.562068184025662</v>
      </c>
      <c r="AL235">
        <v>8</v>
      </c>
      <c r="AM235">
        <f t="shared" si="177"/>
        <v>158.4</v>
      </c>
      <c r="AN235">
        <f t="shared" si="178"/>
        <v>15.840000000000002</v>
      </c>
      <c r="AO235">
        <f t="shared" si="179"/>
        <v>2346.666666666667</v>
      </c>
      <c r="AP235">
        <f t="shared" si="180"/>
        <v>234.66666666666671</v>
      </c>
      <c r="AQ235">
        <f t="shared" si="181"/>
        <v>52.800000000000004</v>
      </c>
      <c r="AR235">
        <f t="shared" si="211"/>
        <v>5.2800000000000011</v>
      </c>
      <c r="AS235">
        <f t="shared" si="182"/>
        <v>1.5</v>
      </c>
      <c r="AT235">
        <f t="shared" si="183"/>
        <v>2</v>
      </c>
      <c r="AU235">
        <f t="shared" si="184"/>
        <v>6</v>
      </c>
      <c r="AV235">
        <f t="shared" si="208"/>
        <v>6013</v>
      </c>
      <c r="AW235" s="1">
        <v>1</v>
      </c>
      <c r="AX235">
        <v>5</v>
      </c>
      <c r="AY235">
        <v>0.1</v>
      </c>
      <c r="BA235">
        <v>6</v>
      </c>
      <c r="BB235">
        <v>3</v>
      </c>
      <c r="CA235" t="str">
        <f t="shared" si="212"/>
        <v>1515023,2515023,3515023</v>
      </c>
      <c r="CB235">
        <v>1515023</v>
      </c>
      <c r="CC235">
        <v>2515023</v>
      </c>
      <c r="CD235">
        <v>3515023</v>
      </c>
      <c r="CH235" t="str">
        <f t="shared" si="198"/>
        <v>DATA_Class_Base35</v>
      </c>
      <c r="CI235" s="3" t="s">
        <v>195</v>
      </c>
    </row>
    <row r="236" spans="1:87">
      <c r="A236">
        <f t="shared" si="209"/>
        <v>5084201</v>
      </c>
      <c r="B236" s="2" t="s">
        <v>583</v>
      </c>
      <c r="C236">
        <v>8</v>
      </c>
      <c r="D236">
        <v>2</v>
      </c>
      <c r="E236">
        <v>4</v>
      </c>
      <c r="F236" s="3" t="s">
        <v>585</v>
      </c>
      <c r="G236" s="3" t="s">
        <v>585</v>
      </c>
      <c r="H236">
        <v>0</v>
      </c>
      <c r="I236">
        <v>0</v>
      </c>
      <c r="J236" s="30">
        <v>0</v>
      </c>
      <c r="K236" s="8" t="s">
        <v>555</v>
      </c>
      <c r="L236" s="2">
        <f t="shared" si="210"/>
        <v>3</v>
      </c>
      <c r="M236" s="2">
        <f t="shared" si="199"/>
        <v>1.8</v>
      </c>
      <c r="N236" s="2">
        <f t="shared" si="200"/>
        <v>1.8</v>
      </c>
      <c r="O236" s="2">
        <v>10</v>
      </c>
      <c r="P236" s="2">
        <f t="shared" si="201"/>
        <v>185.86</v>
      </c>
      <c r="Q236" s="2">
        <f t="shared" si="202"/>
        <v>18.59</v>
      </c>
      <c r="R236" s="2">
        <f t="shared" si="203"/>
        <v>2904</v>
      </c>
      <c r="S236" s="2">
        <f t="shared" si="204"/>
        <v>290.39999999999998</v>
      </c>
      <c r="T236" s="2">
        <f t="shared" si="205"/>
        <v>71.48</v>
      </c>
      <c r="U236" s="2">
        <f t="shared" si="206"/>
        <v>7.15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7">
        <v>542012</v>
      </c>
      <c r="AB236" s="15" t="s">
        <v>691</v>
      </c>
      <c r="AC236" s="15" t="s">
        <v>890</v>
      </c>
      <c r="AD236" s="2">
        <v>5094201</v>
      </c>
      <c r="AE236" s="2">
        <v>0</v>
      </c>
      <c r="AF236" s="2">
        <v>1</v>
      </c>
      <c r="AG236" s="2">
        <v>5064201</v>
      </c>
      <c r="AH236" s="2">
        <v>1</v>
      </c>
      <c r="AI236" s="2"/>
      <c r="AJ236">
        <v>1</v>
      </c>
      <c r="AK236" s="1">
        <f t="shared" si="207"/>
        <v>95.821948746634973</v>
      </c>
      <c r="AL236">
        <v>8</v>
      </c>
      <c r="AM236">
        <f t="shared" si="177"/>
        <v>168.96000000000004</v>
      </c>
      <c r="AN236">
        <f t="shared" si="178"/>
        <v>16.896000000000004</v>
      </c>
      <c r="AO236">
        <f t="shared" si="179"/>
        <v>2640</v>
      </c>
      <c r="AP236">
        <f t="shared" si="180"/>
        <v>264</v>
      </c>
      <c r="AQ236">
        <f t="shared" si="181"/>
        <v>64.984615384615395</v>
      </c>
      <c r="AR236">
        <f t="shared" si="211"/>
        <v>6.4984615384615401</v>
      </c>
      <c r="AS236">
        <f t="shared" si="182"/>
        <v>1.8</v>
      </c>
      <c r="AT236">
        <f t="shared" si="183"/>
        <v>1.8</v>
      </c>
      <c r="AU236">
        <f t="shared" si="184"/>
        <v>3</v>
      </c>
      <c r="AV236">
        <f t="shared" si="208"/>
        <v>2014</v>
      </c>
      <c r="AW236" s="1">
        <v>1</v>
      </c>
      <c r="AX236">
        <v>5</v>
      </c>
      <c r="AY236">
        <v>0.1</v>
      </c>
      <c r="BA236">
        <v>2</v>
      </c>
      <c r="BB236">
        <v>4</v>
      </c>
      <c r="CA236" t="str">
        <f t="shared" si="212"/>
        <v>1516013,2516013,3516013</v>
      </c>
      <c r="CB236">
        <v>1516013</v>
      </c>
      <c r="CC236">
        <v>2516013</v>
      </c>
      <c r="CD236">
        <v>3516013</v>
      </c>
      <c r="CH236" t="str">
        <f t="shared" si="198"/>
        <v>DATA_Class_Base36</v>
      </c>
      <c r="CI236" s="3" t="s">
        <v>201</v>
      </c>
    </row>
    <row r="237" spans="1:87">
      <c r="A237">
        <f t="shared" si="209"/>
        <v>5084501</v>
      </c>
      <c r="B237" s="2" t="s">
        <v>592</v>
      </c>
      <c r="C237">
        <v>8</v>
      </c>
      <c r="D237">
        <v>5</v>
      </c>
      <c r="E237">
        <v>4</v>
      </c>
      <c r="F237" s="3" t="s">
        <v>594</v>
      </c>
      <c r="G237" s="3" t="s">
        <v>594</v>
      </c>
      <c r="H237">
        <v>0</v>
      </c>
      <c r="I237">
        <v>0</v>
      </c>
      <c r="J237">
        <v>0</v>
      </c>
      <c r="K237" s="2" t="s">
        <v>334</v>
      </c>
      <c r="L237" s="2">
        <f t="shared" si="210"/>
        <v>6</v>
      </c>
      <c r="M237" s="2">
        <f t="shared" si="199"/>
        <v>1.6</v>
      </c>
      <c r="N237" s="2">
        <f t="shared" si="200"/>
        <v>2</v>
      </c>
      <c r="O237" s="2">
        <v>10</v>
      </c>
      <c r="P237" s="2">
        <f t="shared" si="201"/>
        <v>268.45999999999998</v>
      </c>
      <c r="Q237" s="2">
        <f t="shared" si="202"/>
        <v>26.85</v>
      </c>
      <c r="R237" s="2">
        <f t="shared" si="203"/>
        <v>1787.08</v>
      </c>
      <c r="S237" s="2">
        <f t="shared" si="204"/>
        <v>178.71</v>
      </c>
      <c r="T237" s="2">
        <f t="shared" si="205"/>
        <v>29.83</v>
      </c>
      <c r="U237" s="2">
        <f t="shared" si="206"/>
        <v>2.98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7">
        <v>545012</v>
      </c>
      <c r="AB237" s="14" t="s">
        <v>693</v>
      </c>
      <c r="AC237" s="15" t="s">
        <v>890</v>
      </c>
      <c r="AD237" s="2">
        <v>5094501</v>
      </c>
      <c r="AE237" s="2">
        <v>0</v>
      </c>
      <c r="AF237" s="2">
        <v>1</v>
      </c>
      <c r="AG237" s="2">
        <v>5064501</v>
      </c>
      <c r="AH237" s="2">
        <v>1</v>
      </c>
      <c r="AI237" s="2"/>
      <c r="AJ237">
        <v>1</v>
      </c>
      <c r="AK237" s="1">
        <f t="shared" si="207"/>
        <v>95.018877894840259</v>
      </c>
      <c r="AL237">
        <v>8</v>
      </c>
      <c r="AM237">
        <f t="shared" si="177"/>
        <v>244.05333333333337</v>
      </c>
      <c r="AN237">
        <f t="shared" si="178"/>
        <v>24.405333333333338</v>
      </c>
      <c r="AO237">
        <f t="shared" si="179"/>
        <v>1624.6153846153845</v>
      </c>
      <c r="AP237">
        <f t="shared" si="180"/>
        <v>162.46153846153845</v>
      </c>
      <c r="AQ237">
        <f t="shared" si="181"/>
        <v>27.11703703703704</v>
      </c>
      <c r="AR237">
        <f t="shared" si="211"/>
        <v>2.7117037037037042</v>
      </c>
      <c r="AS237">
        <f t="shared" si="182"/>
        <v>1.6</v>
      </c>
      <c r="AT237">
        <f t="shared" si="183"/>
        <v>2</v>
      </c>
      <c r="AU237">
        <f t="shared" si="184"/>
        <v>6</v>
      </c>
      <c r="AV237">
        <f t="shared" si="208"/>
        <v>5014</v>
      </c>
      <c r="AW237" s="1">
        <v>1</v>
      </c>
      <c r="AX237">
        <v>5</v>
      </c>
      <c r="AY237">
        <v>0.1</v>
      </c>
      <c r="BA237">
        <v>5</v>
      </c>
      <c r="BB237">
        <v>4</v>
      </c>
      <c r="CA237" t="str">
        <f t="shared" si="212"/>
        <v>1522003,2522003,3522003</v>
      </c>
      <c r="CB237">
        <v>1522003</v>
      </c>
      <c r="CC237">
        <v>2522003</v>
      </c>
      <c r="CD237">
        <v>3522003</v>
      </c>
      <c r="CH237" t="str">
        <f t="shared" si="198"/>
        <v>DATA_Class_Base28</v>
      </c>
      <c r="CI237" s="3" t="s">
        <v>374</v>
      </c>
    </row>
    <row r="238" spans="1:87">
      <c r="A238">
        <f t="shared" si="209"/>
        <v>5084600</v>
      </c>
      <c r="B238" s="2" t="s">
        <v>596</v>
      </c>
      <c r="C238">
        <v>8</v>
      </c>
      <c r="D238">
        <v>6</v>
      </c>
      <c r="E238">
        <v>4</v>
      </c>
      <c r="F238" s="3" t="s">
        <v>598</v>
      </c>
      <c r="G238" s="3" t="s">
        <v>598</v>
      </c>
      <c r="H238">
        <v>0</v>
      </c>
      <c r="I238">
        <v>0</v>
      </c>
      <c r="J238" s="2">
        <v>0</v>
      </c>
      <c r="K238" s="2" t="s">
        <v>339</v>
      </c>
      <c r="L238" s="2">
        <f t="shared" si="210"/>
        <v>3</v>
      </c>
      <c r="M238" s="2">
        <f t="shared" si="199"/>
        <v>1.4000000000000001</v>
      </c>
      <c r="N238" s="2">
        <f t="shared" si="200"/>
        <v>1.9000000000000001</v>
      </c>
      <c r="O238" s="2">
        <v>10</v>
      </c>
      <c r="P238" s="2">
        <f t="shared" si="201"/>
        <v>198.76</v>
      </c>
      <c r="Q238" s="2">
        <f t="shared" si="202"/>
        <v>19.88</v>
      </c>
      <c r="R238" s="2">
        <f t="shared" si="203"/>
        <v>2112</v>
      </c>
      <c r="S238" s="2">
        <f t="shared" si="204"/>
        <v>211.2</v>
      </c>
      <c r="T238" s="2">
        <f t="shared" si="205"/>
        <v>49.69</v>
      </c>
      <c r="U238" s="2">
        <f t="shared" si="206"/>
        <v>4.97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7">
        <v>546002</v>
      </c>
      <c r="AB238" s="14" t="s">
        <v>694</v>
      </c>
      <c r="AC238" s="15" t="s">
        <v>890</v>
      </c>
      <c r="AD238" s="2">
        <v>5094600</v>
      </c>
      <c r="AE238" s="2">
        <v>0</v>
      </c>
      <c r="AF238" s="2">
        <v>1</v>
      </c>
      <c r="AG238" s="2">
        <v>5064600</v>
      </c>
      <c r="AH238" s="2">
        <v>1</v>
      </c>
      <c r="AI238" s="2"/>
      <c r="AJ238">
        <v>1</v>
      </c>
      <c r="AK238" s="1">
        <f t="shared" si="207"/>
        <v>95.400118295637895</v>
      </c>
      <c r="AL238">
        <v>8</v>
      </c>
      <c r="AM238">
        <f t="shared" si="177"/>
        <v>180.69333333333333</v>
      </c>
      <c r="AN238">
        <f t="shared" si="178"/>
        <v>18.069333333333333</v>
      </c>
      <c r="AO238">
        <f t="shared" si="179"/>
        <v>1920.0000000000002</v>
      </c>
      <c r="AP238">
        <f t="shared" si="180"/>
        <v>192.00000000000003</v>
      </c>
      <c r="AQ238">
        <f t="shared" si="181"/>
        <v>45.173333333333332</v>
      </c>
      <c r="AR238">
        <f t="shared" si="211"/>
        <v>4.5173333333333332</v>
      </c>
      <c r="AS238">
        <f t="shared" si="182"/>
        <v>1.4</v>
      </c>
      <c r="AT238">
        <f t="shared" si="183"/>
        <v>1.9</v>
      </c>
      <c r="AU238">
        <f t="shared" si="184"/>
        <v>3</v>
      </c>
      <c r="AV238">
        <f t="shared" si="208"/>
        <v>6004</v>
      </c>
      <c r="AW238" s="1">
        <v>0</v>
      </c>
      <c r="AX238">
        <v>5</v>
      </c>
      <c r="AY238">
        <v>0.1</v>
      </c>
      <c r="BA238">
        <v>6</v>
      </c>
      <c r="BB238">
        <v>4</v>
      </c>
      <c r="CA238" t="str">
        <f t="shared" si="212"/>
        <v>1522013,2522013,3522013</v>
      </c>
      <c r="CB238">
        <v>1522013</v>
      </c>
      <c r="CC238">
        <v>2522013</v>
      </c>
      <c r="CD238">
        <v>3522013</v>
      </c>
      <c r="CH238" t="str">
        <f t="shared" si="198"/>
        <v>DATA_Class_Base29</v>
      </c>
      <c r="CI238" s="3" t="s">
        <v>378</v>
      </c>
    </row>
    <row r="239" spans="1:87">
      <c r="A239">
        <f t="shared" si="209"/>
        <v>5084602</v>
      </c>
      <c r="B239" s="2" t="s">
        <v>600</v>
      </c>
      <c r="C239">
        <v>8</v>
      </c>
      <c r="D239">
        <v>6</v>
      </c>
      <c r="E239">
        <v>4</v>
      </c>
      <c r="F239" s="3" t="s">
        <v>602</v>
      </c>
      <c r="G239" s="3" t="s">
        <v>602</v>
      </c>
      <c r="H239">
        <v>0</v>
      </c>
      <c r="I239">
        <v>0</v>
      </c>
      <c r="J239" t="s">
        <v>345</v>
      </c>
      <c r="K239" s="2" t="s">
        <v>346</v>
      </c>
      <c r="L239" s="2">
        <f t="shared" si="210"/>
        <v>6</v>
      </c>
      <c r="M239" s="2">
        <f t="shared" si="199"/>
        <v>1.8</v>
      </c>
      <c r="N239" s="2">
        <f t="shared" si="200"/>
        <v>2</v>
      </c>
      <c r="O239" s="2">
        <v>10</v>
      </c>
      <c r="P239" s="2">
        <f t="shared" si="201"/>
        <v>232.32</v>
      </c>
      <c r="Q239" s="2">
        <f t="shared" si="202"/>
        <v>23.23</v>
      </c>
      <c r="R239" s="2">
        <f t="shared" si="203"/>
        <v>2323.1999999999998</v>
      </c>
      <c r="S239" s="2">
        <f t="shared" si="204"/>
        <v>232.32</v>
      </c>
      <c r="T239" s="2">
        <f t="shared" si="205"/>
        <v>46.46</v>
      </c>
      <c r="U239" s="2">
        <f t="shared" si="206"/>
        <v>4.6500000000000004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7">
        <v>546022</v>
      </c>
      <c r="AB239" s="14" t="s">
        <v>695</v>
      </c>
      <c r="AC239" s="15" t="s">
        <v>890</v>
      </c>
      <c r="AD239" s="2">
        <v>5094602</v>
      </c>
      <c r="AE239" s="2">
        <v>0</v>
      </c>
      <c r="AF239" s="2">
        <v>1</v>
      </c>
      <c r="AG239" s="2">
        <v>5064602</v>
      </c>
      <c r="AH239" s="2">
        <v>1</v>
      </c>
      <c r="AI239" s="2"/>
      <c r="AJ239">
        <v>1</v>
      </c>
      <c r="AK239" s="1">
        <f t="shared" si="207"/>
        <v>95.337975942841638</v>
      </c>
      <c r="AL239">
        <v>8</v>
      </c>
      <c r="AM239">
        <f t="shared" si="177"/>
        <v>211.20000000000002</v>
      </c>
      <c r="AN239">
        <f t="shared" si="178"/>
        <v>21.120000000000005</v>
      </c>
      <c r="AO239">
        <f t="shared" si="179"/>
        <v>2112</v>
      </c>
      <c r="AP239">
        <f t="shared" si="180"/>
        <v>211.20000000000002</v>
      </c>
      <c r="AQ239">
        <f t="shared" si="181"/>
        <v>42.24</v>
      </c>
      <c r="AR239">
        <f t="shared" si="211"/>
        <v>4.2240000000000002</v>
      </c>
      <c r="AS239">
        <f t="shared" si="182"/>
        <v>1.8</v>
      </c>
      <c r="AT239">
        <f t="shared" si="183"/>
        <v>2</v>
      </c>
      <c r="AU239">
        <f t="shared" si="184"/>
        <v>6</v>
      </c>
      <c r="AV239">
        <f t="shared" si="208"/>
        <v>6024</v>
      </c>
      <c r="AW239" s="1">
        <v>2</v>
      </c>
      <c r="AX239">
        <v>5</v>
      </c>
      <c r="AY239">
        <v>0.1</v>
      </c>
      <c r="BA239">
        <v>6</v>
      </c>
      <c r="BB239">
        <v>4</v>
      </c>
      <c r="CA239" t="str">
        <f t="shared" si="212"/>
        <v>1522023,2522023,3522023</v>
      </c>
      <c r="CB239">
        <v>1522023</v>
      </c>
      <c r="CC239">
        <v>2522023</v>
      </c>
      <c r="CD239">
        <v>3522023</v>
      </c>
      <c r="CH239" t="str">
        <f t="shared" si="198"/>
        <v>DATA_Class_Base30</v>
      </c>
      <c r="CI239" s="3" t="s">
        <v>381</v>
      </c>
    </row>
    <row r="240" spans="1:87">
      <c r="A240">
        <f t="shared" si="209"/>
        <v>5085300</v>
      </c>
      <c r="B240" s="2" t="s">
        <v>609</v>
      </c>
      <c r="C240">
        <v>8</v>
      </c>
      <c r="D240">
        <v>3</v>
      </c>
      <c r="E240">
        <v>5</v>
      </c>
      <c r="F240" s="3" t="s">
        <v>611</v>
      </c>
      <c r="G240" s="3" t="s">
        <v>611</v>
      </c>
      <c r="H240">
        <v>0</v>
      </c>
      <c r="I240">
        <v>0</v>
      </c>
      <c r="J240" s="2">
        <v>0</v>
      </c>
      <c r="K240" s="8" t="s">
        <v>612</v>
      </c>
      <c r="L240" s="2">
        <f t="shared" si="210"/>
        <v>3</v>
      </c>
      <c r="M240" s="2">
        <f t="shared" si="199"/>
        <v>1.3</v>
      </c>
      <c r="N240" s="2">
        <f t="shared" si="200"/>
        <v>2</v>
      </c>
      <c r="O240" s="2">
        <v>10</v>
      </c>
      <c r="P240" s="2">
        <f t="shared" si="201"/>
        <v>192.95</v>
      </c>
      <c r="Q240" s="2">
        <f t="shared" si="202"/>
        <v>19.3</v>
      </c>
      <c r="R240" s="2">
        <f t="shared" si="203"/>
        <v>2020.17</v>
      </c>
      <c r="S240" s="2">
        <f t="shared" si="204"/>
        <v>202.02</v>
      </c>
      <c r="T240" s="2">
        <f t="shared" si="205"/>
        <v>24.12</v>
      </c>
      <c r="U240" s="2">
        <f t="shared" si="206"/>
        <v>2.41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7">
        <v>553002</v>
      </c>
      <c r="AB240" s="14" t="s">
        <v>697</v>
      </c>
      <c r="AC240" s="15" t="s">
        <v>890</v>
      </c>
      <c r="AD240" s="2">
        <v>5095300</v>
      </c>
      <c r="AE240" s="2">
        <v>0</v>
      </c>
      <c r="AF240" s="2">
        <v>1</v>
      </c>
      <c r="AG240" s="2">
        <v>5065300</v>
      </c>
      <c r="AH240" s="2">
        <v>1</v>
      </c>
      <c r="AI240" s="2"/>
      <c r="AJ240">
        <v>1</v>
      </c>
      <c r="AK240" s="1">
        <f t="shared" si="207"/>
        <v>94.90985166980829</v>
      </c>
      <c r="AL240">
        <v>8</v>
      </c>
      <c r="AM240">
        <f t="shared" si="177"/>
        <v>175.41333333333333</v>
      </c>
      <c r="AN240">
        <f t="shared" si="178"/>
        <v>17.541333333333334</v>
      </c>
      <c r="AO240">
        <f t="shared" si="179"/>
        <v>1836.521739130435</v>
      </c>
      <c r="AP240">
        <f t="shared" si="180"/>
        <v>183.6521739130435</v>
      </c>
      <c r="AQ240">
        <f t="shared" si="181"/>
        <v>21.926666666666666</v>
      </c>
      <c r="AR240">
        <f t="shared" si="211"/>
        <v>2.1926666666666668</v>
      </c>
      <c r="AS240">
        <f t="shared" si="182"/>
        <v>1.3</v>
      </c>
      <c r="AT240">
        <f t="shared" si="183"/>
        <v>2</v>
      </c>
      <c r="AU240">
        <f t="shared" si="184"/>
        <v>3</v>
      </c>
      <c r="AV240">
        <f t="shared" si="208"/>
        <v>3005</v>
      </c>
      <c r="AW240" s="1">
        <v>0</v>
      </c>
      <c r="AX240">
        <v>5</v>
      </c>
      <c r="AY240">
        <v>0.1</v>
      </c>
      <c r="BA240">
        <v>3</v>
      </c>
      <c r="BB240">
        <v>5</v>
      </c>
      <c r="CA240" t="str">
        <f t="shared" si="212"/>
        <v>1523013,2523013,3523013</v>
      </c>
      <c r="CB240">
        <v>1523013</v>
      </c>
      <c r="CC240">
        <v>2523013</v>
      </c>
      <c r="CD240">
        <v>3523013</v>
      </c>
      <c r="CH240" t="str">
        <f t="shared" si="198"/>
        <v>DATA_Class_Base31</v>
      </c>
      <c r="CI240" s="3" t="s">
        <v>384</v>
      </c>
    </row>
    <row r="241" spans="1:87">
      <c r="A241">
        <f t="shared" si="209"/>
        <v>5085302</v>
      </c>
      <c r="B241" s="2" t="s">
        <v>614</v>
      </c>
      <c r="C241">
        <v>8</v>
      </c>
      <c r="D241">
        <v>3</v>
      </c>
      <c r="E241">
        <v>5</v>
      </c>
      <c r="F241" s="3" t="s">
        <v>616</v>
      </c>
      <c r="G241" s="3" t="s">
        <v>616</v>
      </c>
      <c r="H241">
        <v>0</v>
      </c>
      <c r="I241">
        <v>0</v>
      </c>
      <c r="J241" s="2">
        <v>0</v>
      </c>
      <c r="K241" s="2" t="s">
        <v>358</v>
      </c>
      <c r="L241" s="2">
        <f t="shared" si="210"/>
        <v>3</v>
      </c>
      <c r="M241" s="2">
        <f t="shared" si="199"/>
        <v>1.4000000000000001</v>
      </c>
      <c r="N241" s="2">
        <f t="shared" si="200"/>
        <v>2</v>
      </c>
      <c r="O241" s="2">
        <v>10</v>
      </c>
      <c r="P241" s="2">
        <f t="shared" si="201"/>
        <v>216.83</v>
      </c>
      <c r="Q241" s="2">
        <f t="shared" si="202"/>
        <v>21.68</v>
      </c>
      <c r="R241" s="2">
        <f t="shared" si="203"/>
        <v>1936</v>
      </c>
      <c r="S241" s="2">
        <f t="shared" si="204"/>
        <v>193.6</v>
      </c>
      <c r="T241" s="2">
        <f t="shared" si="205"/>
        <v>30.98</v>
      </c>
      <c r="U241" s="2">
        <f t="shared" si="206"/>
        <v>3.1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7">
        <v>553022</v>
      </c>
      <c r="AB241" s="14" t="s">
        <v>698</v>
      </c>
      <c r="AC241" s="15" t="s">
        <v>890</v>
      </c>
      <c r="AD241" s="2">
        <v>5095302</v>
      </c>
      <c r="AE241" s="2">
        <v>0</v>
      </c>
      <c r="AF241" s="2">
        <v>1</v>
      </c>
      <c r="AG241" s="2">
        <v>5065302</v>
      </c>
      <c r="AH241" s="2">
        <v>1</v>
      </c>
      <c r="AI241" s="2"/>
      <c r="AJ241">
        <v>1</v>
      </c>
      <c r="AK241" s="1">
        <f t="shared" si="207"/>
        <v>95.040816063677724</v>
      </c>
      <c r="AL241">
        <v>8</v>
      </c>
      <c r="AM241">
        <f t="shared" si="177"/>
        <v>197.12</v>
      </c>
      <c r="AN241">
        <f t="shared" si="178"/>
        <v>19.712000000000003</v>
      </c>
      <c r="AO241">
        <f t="shared" si="179"/>
        <v>1760.0000000000002</v>
      </c>
      <c r="AP241">
        <f t="shared" si="180"/>
        <v>176.00000000000003</v>
      </c>
      <c r="AQ241">
        <f t="shared" si="181"/>
        <v>28.16</v>
      </c>
      <c r="AR241">
        <f t="shared" si="211"/>
        <v>2.8160000000000003</v>
      </c>
      <c r="AS241">
        <f t="shared" si="182"/>
        <v>1.4</v>
      </c>
      <c r="AT241">
        <f t="shared" si="183"/>
        <v>2</v>
      </c>
      <c r="AU241">
        <f t="shared" si="184"/>
        <v>3</v>
      </c>
      <c r="AV241">
        <f t="shared" si="208"/>
        <v>3025</v>
      </c>
      <c r="AW241" s="1">
        <v>2</v>
      </c>
      <c r="AX241">
        <v>5</v>
      </c>
      <c r="AY241">
        <v>0.1</v>
      </c>
      <c r="BA241">
        <v>3</v>
      </c>
      <c r="BB241">
        <v>5</v>
      </c>
      <c r="CA241" t="str">
        <f t="shared" si="212"/>
        <v>1524013,2524013,3524013</v>
      </c>
      <c r="CB241">
        <v>1524013</v>
      </c>
      <c r="CC241">
        <v>2524013</v>
      </c>
      <c r="CD241">
        <v>3524013</v>
      </c>
      <c r="CH241" t="str">
        <f t="shared" si="198"/>
        <v>DATA_Class_Base32</v>
      </c>
      <c r="CI241" s="3" t="s">
        <v>388</v>
      </c>
    </row>
    <row r="242" spans="1:87">
      <c r="A242">
        <f t="shared" si="209"/>
        <v>5085400</v>
      </c>
      <c r="B242" s="2" t="s">
        <v>618</v>
      </c>
      <c r="C242">
        <v>8</v>
      </c>
      <c r="D242">
        <v>4</v>
      </c>
      <c r="E242">
        <v>5</v>
      </c>
      <c r="F242" s="3" t="s">
        <v>620</v>
      </c>
      <c r="G242" s="3" t="s">
        <v>620</v>
      </c>
      <c r="H242">
        <v>0</v>
      </c>
      <c r="I242">
        <v>0</v>
      </c>
      <c r="J242">
        <v>0</v>
      </c>
      <c r="K242" s="2" t="s">
        <v>364</v>
      </c>
      <c r="L242" s="2">
        <f t="shared" si="210"/>
        <v>6</v>
      </c>
      <c r="M242" s="2">
        <f t="shared" si="199"/>
        <v>1.4000000000000001</v>
      </c>
      <c r="N242" s="2">
        <f t="shared" si="200"/>
        <v>2</v>
      </c>
      <c r="O242" s="2">
        <v>10</v>
      </c>
      <c r="P242" s="2">
        <f t="shared" si="201"/>
        <v>225.87</v>
      </c>
      <c r="Q242" s="2">
        <f t="shared" si="202"/>
        <v>22.59</v>
      </c>
      <c r="R242" s="2">
        <f t="shared" si="203"/>
        <v>1858.56</v>
      </c>
      <c r="S242" s="2">
        <f t="shared" si="204"/>
        <v>185.86</v>
      </c>
      <c r="T242" s="2">
        <f t="shared" si="205"/>
        <v>37.64</v>
      </c>
      <c r="U242" s="2">
        <f t="shared" si="206"/>
        <v>3.76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7">
        <v>554002</v>
      </c>
      <c r="AB242" s="14" t="s">
        <v>699</v>
      </c>
      <c r="AC242" s="15" t="s">
        <v>890</v>
      </c>
      <c r="AD242" s="2">
        <v>5095400</v>
      </c>
      <c r="AE242" s="2">
        <v>0</v>
      </c>
      <c r="AF242" s="2">
        <v>1</v>
      </c>
      <c r="AG242" s="2">
        <v>5065400</v>
      </c>
      <c r="AH242" s="2">
        <v>1</v>
      </c>
      <c r="AI242" s="2"/>
      <c r="AJ242">
        <v>1</v>
      </c>
      <c r="AK242" s="1">
        <f t="shared" si="207"/>
        <v>95.168532506963601</v>
      </c>
      <c r="AL242">
        <v>8</v>
      </c>
      <c r="AM242">
        <f t="shared" si="177"/>
        <v>205.33333333333337</v>
      </c>
      <c r="AN242">
        <f t="shared" si="178"/>
        <v>20.533333333333339</v>
      </c>
      <c r="AO242">
        <f t="shared" si="179"/>
        <v>1689.6000000000001</v>
      </c>
      <c r="AP242">
        <f t="shared" si="180"/>
        <v>168.96000000000004</v>
      </c>
      <c r="AQ242">
        <f t="shared" si="181"/>
        <v>34.222222222222229</v>
      </c>
      <c r="AR242">
        <f t="shared" si="211"/>
        <v>3.4222222222222229</v>
      </c>
      <c r="AS242">
        <f t="shared" si="182"/>
        <v>1.4</v>
      </c>
      <c r="AT242">
        <f t="shared" si="183"/>
        <v>2</v>
      </c>
      <c r="AU242">
        <f t="shared" si="184"/>
        <v>6</v>
      </c>
      <c r="AV242">
        <f t="shared" si="208"/>
        <v>4005</v>
      </c>
      <c r="AW242" s="1">
        <v>0</v>
      </c>
      <c r="AX242">
        <v>5</v>
      </c>
      <c r="AY242">
        <v>0.1</v>
      </c>
      <c r="BA242">
        <v>4</v>
      </c>
      <c r="BB242">
        <v>5</v>
      </c>
      <c r="CA242" t="str">
        <f t="shared" si="212"/>
        <v>1524023,2524023,3524023</v>
      </c>
      <c r="CB242">
        <v>1524023</v>
      </c>
      <c r="CC242">
        <v>2524023</v>
      </c>
      <c r="CD242">
        <v>3524023</v>
      </c>
      <c r="CH242" t="str">
        <f t="shared" si="198"/>
        <v>DATA_Class_Base33</v>
      </c>
      <c r="CI242" s="3" t="s">
        <v>391</v>
      </c>
    </row>
    <row r="243" spans="1:87">
      <c r="A243">
        <f t="shared" si="209"/>
        <v>5085501</v>
      </c>
      <c r="B243" s="2" t="s">
        <v>622</v>
      </c>
      <c r="C243">
        <v>8</v>
      </c>
      <c r="D243">
        <v>5</v>
      </c>
      <c r="E243">
        <v>5</v>
      </c>
      <c r="F243" s="3" t="s">
        <v>624</v>
      </c>
      <c r="G243" s="3" t="s">
        <v>624</v>
      </c>
      <c r="H243">
        <v>0</v>
      </c>
      <c r="I243">
        <v>0</v>
      </c>
      <c r="J243" s="3">
        <v>0</v>
      </c>
      <c r="K243" s="8" t="s">
        <v>625</v>
      </c>
      <c r="L243" s="2">
        <f t="shared" si="210"/>
        <v>6</v>
      </c>
      <c r="M243" s="2">
        <f t="shared" si="199"/>
        <v>1.6</v>
      </c>
      <c r="N243" s="2">
        <f t="shared" si="200"/>
        <v>2</v>
      </c>
      <c r="O243" s="2">
        <v>10</v>
      </c>
      <c r="P243" s="2">
        <f t="shared" si="201"/>
        <v>299.43</v>
      </c>
      <c r="Q243" s="2">
        <f t="shared" si="202"/>
        <v>29.94</v>
      </c>
      <c r="R243" s="2">
        <f t="shared" si="203"/>
        <v>1602.21</v>
      </c>
      <c r="S243" s="2">
        <f t="shared" si="204"/>
        <v>160.22</v>
      </c>
      <c r="T243" s="2">
        <f t="shared" si="205"/>
        <v>33.270000000000003</v>
      </c>
      <c r="U243" s="2">
        <f t="shared" si="206"/>
        <v>3.33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7">
        <v>555012</v>
      </c>
      <c r="AB243" s="15" t="s">
        <v>700</v>
      </c>
      <c r="AC243" s="15" t="s">
        <v>890</v>
      </c>
      <c r="AD243" s="2">
        <v>5095501</v>
      </c>
      <c r="AE243" s="2">
        <v>0</v>
      </c>
      <c r="AF243" s="2">
        <v>1</v>
      </c>
      <c r="AG243" s="2">
        <v>5065501</v>
      </c>
      <c r="AH243" s="2">
        <v>1</v>
      </c>
      <c r="AI243" s="2"/>
      <c r="AJ243">
        <v>1</v>
      </c>
      <c r="AK243" s="1">
        <f t="shared" si="207"/>
        <v>95.084722806190328</v>
      </c>
      <c r="AL243">
        <v>8</v>
      </c>
      <c r="AM243">
        <f t="shared" si="177"/>
        <v>272.21333333333337</v>
      </c>
      <c r="AN243">
        <f t="shared" si="178"/>
        <v>27.221333333333337</v>
      </c>
      <c r="AO243">
        <f t="shared" si="179"/>
        <v>1456.5517241379312</v>
      </c>
      <c r="AP243">
        <f t="shared" si="180"/>
        <v>145.65517241379311</v>
      </c>
      <c r="AQ243">
        <f t="shared" si="181"/>
        <v>30.245925925925931</v>
      </c>
      <c r="AR243">
        <f t="shared" si="211"/>
        <v>3.0245925925925934</v>
      </c>
      <c r="AS243">
        <f t="shared" si="182"/>
        <v>1.6</v>
      </c>
      <c r="AT243">
        <f t="shared" si="183"/>
        <v>2</v>
      </c>
      <c r="AU243">
        <f t="shared" si="184"/>
        <v>6</v>
      </c>
      <c r="AV243">
        <f t="shared" si="208"/>
        <v>5015</v>
      </c>
      <c r="AW243" s="1">
        <v>1</v>
      </c>
      <c r="AX243">
        <v>5</v>
      </c>
      <c r="AY243">
        <v>0.1</v>
      </c>
      <c r="BA243">
        <v>5</v>
      </c>
      <c r="BB243">
        <v>5</v>
      </c>
      <c r="CA243" t="str">
        <f t="shared" si="212"/>
        <v>1525003,2525003,3525003</v>
      </c>
      <c r="CB243">
        <v>1525003</v>
      </c>
      <c r="CC243">
        <v>2525003</v>
      </c>
      <c r="CD243">
        <v>3525003</v>
      </c>
      <c r="CH243" t="str">
        <f t="shared" si="198"/>
        <v>DATA_Class_Base34</v>
      </c>
      <c r="CI243" s="3" t="s">
        <v>184</v>
      </c>
    </row>
    <row r="244" spans="1:87">
      <c r="A244">
        <f t="shared" si="209"/>
        <v>5091200</v>
      </c>
      <c r="B244" s="2" t="s">
        <v>464</v>
      </c>
      <c r="C244">
        <v>9</v>
      </c>
      <c r="D244">
        <v>2</v>
      </c>
      <c r="E244">
        <v>1</v>
      </c>
      <c r="F244" s="3" t="s">
        <v>466</v>
      </c>
      <c r="G244" s="3" t="s">
        <v>466</v>
      </c>
      <c r="H244">
        <v>0</v>
      </c>
      <c r="I244">
        <v>0</v>
      </c>
      <c r="J244" s="2">
        <v>0</v>
      </c>
      <c r="K244" s="8" t="s">
        <v>467</v>
      </c>
      <c r="L244" s="2">
        <f t="shared" si="210"/>
        <v>3</v>
      </c>
      <c r="M244" s="2">
        <f t="shared" si="199"/>
        <v>1.5</v>
      </c>
      <c r="N244" s="2">
        <f t="shared" si="200"/>
        <v>1.2</v>
      </c>
      <c r="O244" s="2">
        <v>10</v>
      </c>
      <c r="P244" s="2">
        <f t="shared" si="201"/>
        <v>168.96</v>
      </c>
      <c r="Q244" s="2">
        <f t="shared" si="202"/>
        <v>16.899999999999999</v>
      </c>
      <c r="R244" s="2">
        <f t="shared" si="203"/>
        <v>3168</v>
      </c>
      <c r="S244" s="2">
        <f t="shared" si="204"/>
        <v>316.8</v>
      </c>
      <c r="T244" s="2">
        <f t="shared" si="205"/>
        <v>56.32</v>
      </c>
      <c r="U244" s="2">
        <f t="shared" si="206"/>
        <v>5.63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7">
        <v>512002</v>
      </c>
      <c r="AB244" s="14" t="s">
        <v>701</v>
      </c>
      <c r="AC244" s="15" t="s">
        <v>890</v>
      </c>
      <c r="AD244" s="2">
        <v>5101200</v>
      </c>
      <c r="AE244" s="2">
        <v>0</v>
      </c>
      <c r="AF244" s="2">
        <v>2</v>
      </c>
      <c r="AG244" s="2">
        <v>8</v>
      </c>
      <c r="AH244" s="2">
        <v>1</v>
      </c>
      <c r="AI244" s="2"/>
      <c r="AJ244">
        <v>1</v>
      </c>
      <c r="AK244" s="1">
        <f t="shared" si="207"/>
        <v>113.68627095604896</v>
      </c>
      <c r="AL244">
        <v>9</v>
      </c>
      <c r="AM244">
        <f t="shared" ref="AM244:AM305" si="213">INDEX($BE$5:$BE$58,MATCH($AV244,$BC$5:$BC$58,0))*$AS244/1.5*$BI$4*INDEX($BE$109:$BR$109,MATCH($AL244,$BE$108:$BR$108,0))</f>
        <v>153.60000000000002</v>
      </c>
      <c r="AN244">
        <f t="shared" ref="AN244:AN305" si="214">(INDEX($BE$5:$BE$58,MATCH($AV244,$BC$5:$BC$58,0))*$AS244/1.5*$BI$4*INDEX($BE$109:$BR$109,MATCH($AL244,$BE$108:$BR$108,0)))*0.1</f>
        <v>15.360000000000003</v>
      </c>
      <c r="AO244">
        <f t="shared" ref="AO244:AO305" si="215">INDEX($BF$5:$BF$58,MATCH($AV244,$BC$5:$BC$58,0))*$BJ$4*INDEX($BE$109:$BR$109,MATCH($AL244,$BE$108:$BR$108,0))</f>
        <v>2880</v>
      </c>
      <c r="AP244">
        <f t="shared" ref="AP244:AP305" si="216">(INDEX($BF$5:$BF$58,MATCH($AV244,$BC$5:$BC$58,0))*$BJ$4*INDEX($BE$109:$BR$109,MATCH($AL244,$BE$108:$BR$108,0)))*0.1</f>
        <v>288</v>
      </c>
      <c r="AQ244">
        <f t="shared" ref="AQ244:AQ305" si="217">$AM244/INDEX($BG$5:$BG$58,MATCH($AV244,$BC$5:$BC$58,0))</f>
        <v>51.20000000000001</v>
      </c>
      <c r="AR244">
        <f t="shared" si="211"/>
        <v>5.120000000000001</v>
      </c>
      <c r="AS244">
        <f t="shared" ref="AS244:AS305" si="218">INDEX($BH$5:$BH$58,MATCH($AV244,$BC$5:$BC$58,0))</f>
        <v>1.5</v>
      </c>
      <c r="AT244">
        <f t="shared" ref="AT244:AT305" si="219">ROUND(IF(INDEX($BP$5:$BP$58,MATCH($AV244,$BC$5:$BC$58,0))&lt;2,INDEX($BP$5:$BP$58,MATCH($AV244,$BC$5:$BC$58,0))+0.2,2),1)</f>
        <v>1.2</v>
      </c>
      <c r="AU244">
        <f t="shared" ref="AU244:AU305" si="220">INDEX($BL$5:$BL$58,MATCH($AV244,$BC$5:$BC$58,0))</f>
        <v>3</v>
      </c>
      <c r="AV244">
        <f t="shared" si="208"/>
        <v>2001</v>
      </c>
      <c r="AW244" s="1">
        <v>0</v>
      </c>
      <c r="AX244">
        <v>5</v>
      </c>
      <c r="AY244">
        <v>0.1</v>
      </c>
      <c r="BA244">
        <v>2</v>
      </c>
      <c r="BB244">
        <v>1</v>
      </c>
      <c r="CA244" t="str">
        <f t="shared" si="212"/>
        <v>1525023,2525023,3525023</v>
      </c>
      <c r="CB244">
        <v>1525023</v>
      </c>
      <c r="CC244">
        <v>2525023</v>
      </c>
      <c r="CD244">
        <v>3525023</v>
      </c>
      <c r="CH244" t="str">
        <f t="shared" si="198"/>
        <v>DATA_Class_Base35</v>
      </c>
      <c r="CI244" s="3" t="s">
        <v>195</v>
      </c>
    </row>
    <row r="245" spans="1:87">
      <c r="A245">
        <f t="shared" si="209"/>
        <v>5091201</v>
      </c>
      <c r="B245" s="2" t="s">
        <v>470</v>
      </c>
      <c r="C245">
        <v>9</v>
      </c>
      <c r="D245">
        <v>2</v>
      </c>
      <c r="E245">
        <v>1</v>
      </c>
      <c r="F245" s="3" t="s">
        <v>472</v>
      </c>
      <c r="G245" s="3" t="s">
        <v>472</v>
      </c>
      <c r="H245">
        <v>0</v>
      </c>
      <c r="I245">
        <v>0</v>
      </c>
      <c r="J245" s="2">
        <v>0</v>
      </c>
      <c r="K245" s="8" t="s">
        <v>298</v>
      </c>
      <c r="L245" s="2">
        <f t="shared" si="210"/>
        <v>3</v>
      </c>
      <c r="M245" s="2">
        <f t="shared" si="199"/>
        <v>1.8</v>
      </c>
      <c r="N245" s="2">
        <f t="shared" si="200"/>
        <v>1.8</v>
      </c>
      <c r="O245" s="2">
        <v>10</v>
      </c>
      <c r="P245" s="2">
        <f t="shared" si="201"/>
        <v>126.72</v>
      </c>
      <c r="Q245" s="2">
        <f t="shared" si="202"/>
        <v>12.67</v>
      </c>
      <c r="R245" s="2">
        <f t="shared" si="203"/>
        <v>5068.8</v>
      </c>
      <c r="S245" s="2">
        <f t="shared" si="204"/>
        <v>506.88</v>
      </c>
      <c r="T245" s="2">
        <f t="shared" si="205"/>
        <v>63.36</v>
      </c>
      <c r="U245" s="2">
        <f t="shared" si="206"/>
        <v>6.34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7">
        <v>512012</v>
      </c>
      <c r="AB245" s="14" t="s">
        <v>702</v>
      </c>
      <c r="AC245" s="15" t="s">
        <v>890</v>
      </c>
      <c r="AD245" s="2">
        <v>5101201</v>
      </c>
      <c r="AE245" s="2">
        <v>0</v>
      </c>
      <c r="AF245" s="2">
        <v>2</v>
      </c>
      <c r="AG245" s="2">
        <v>8</v>
      </c>
      <c r="AH245" s="2">
        <v>1</v>
      </c>
      <c r="AI245" s="2"/>
      <c r="AJ245">
        <v>1</v>
      </c>
      <c r="AK245" s="1">
        <f t="shared" si="207"/>
        <v>113.84839566992933</v>
      </c>
      <c r="AL245">
        <v>9</v>
      </c>
      <c r="AM245">
        <f t="shared" si="213"/>
        <v>115.19999999999999</v>
      </c>
      <c r="AN245">
        <f t="shared" si="214"/>
        <v>11.52</v>
      </c>
      <c r="AO245">
        <f t="shared" si="215"/>
        <v>4608</v>
      </c>
      <c r="AP245">
        <f t="shared" si="216"/>
        <v>460.8</v>
      </c>
      <c r="AQ245">
        <f t="shared" si="217"/>
        <v>57.599999999999994</v>
      </c>
      <c r="AR245">
        <f t="shared" si="211"/>
        <v>5.76</v>
      </c>
      <c r="AS245">
        <f t="shared" si="218"/>
        <v>1.8</v>
      </c>
      <c r="AT245">
        <f t="shared" si="219"/>
        <v>1.8</v>
      </c>
      <c r="AU245">
        <f t="shared" si="220"/>
        <v>3</v>
      </c>
      <c r="AV245">
        <f t="shared" si="208"/>
        <v>2011</v>
      </c>
      <c r="AW245" s="1">
        <v>1</v>
      </c>
      <c r="AX245">
        <v>5</v>
      </c>
      <c r="AY245">
        <v>0.1</v>
      </c>
      <c r="BA245">
        <v>2</v>
      </c>
      <c r="BB245">
        <v>1</v>
      </c>
      <c r="CA245" t="str">
        <f t="shared" si="212"/>
        <v>1526013,2526013,3526013</v>
      </c>
      <c r="CB245">
        <v>1526013</v>
      </c>
      <c r="CC245">
        <v>2526013</v>
      </c>
      <c r="CD245">
        <v>3526013</v>
      </c>
      <c r="CH245" t="str">
        <f t="shared" si="198"/>
        <v>DATA_Class_Base36</v>
      </c>
      <c r="CI245" s="3" t="s">
        <v>201</v>
      </c>
    </row>
    <row r="246" spans="1:87">
      <c r="A246">
        <f t="shared" si="209"/>
        <v>5091202</v>
      </c>
      <c r="B246" s="2" t="s">
        <v>474</v>
      </c>
      <c r="C246">
        <v>9</v>
      </c>
      <c r="D246">
        <v>2</v>
      </c>
      <c r="E246">
        <v>1</v>
      </c>
      <c r="F246" s="3" t="s">
        <v>476</v>
      </c>
      <c r="G246" s="3" t="s">
        <v>476</v>
      </c>
      <c r="H246">
        <v>0</v>
      </c>
      <c r="I246">
        <v>0</v>
      </c>
      <c r="J246">
        <v>0</v>
      </c>
      <c r="K246" s="8" t="s">
        <v>477</v>
      </c>
      <c r="L246" s="2">
        <f t="shared" si="210"/>
        <v>3</v>
      </c>
      <c r="M246" s="2">
        <f t="shared" si="199"/>
        <v>1.8</v>
      </c>
      <c r="N246" s="2">
        <f t="shared" si="200"/>
        <v>2</v>
      </c>
      <c r="O246" s="2">
        <v>10</v>
      </c>
      <c r="P246" s="2">
        <f t="shared" si="201"/>
        <v>202.75</v>
      </c>
      <c r="Q246" s="2">
        <f t="shared" si="202"/>
        <v>20.28</v>
      </c>
      <c r="R246" s="2">
        <f t="shared" si="203"/>
        <v>3168</v>
      </c>
      <c r="S246" s="2">
        <f t="shared" si="204"/>
        <v>316.8</v>
      </c>
      <c r="T246" s="2">
        <f t="shared" si="205"/>
        <v>50.69</v>
      </c>
      <c r="U246" s="2">
        <f t="shared" si="206"/>
        <v>5.07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7">
        <v>512022</v>
      </c>
      <c r="AB246" s="14" t="s">
        <v>703</v>
      </c>
      <c r="AC246" s="15" t="s">
        <v>890</v>
      </c>
      <c r="AD246" s="2">
        <v>5101202</v>
      </c>
      <c r="AE246" s="2">
        <v>0</v>
      </c>
      <c r="AF246" s="2">
        <v>2</v>
      </c>
      <c r="AG246" s="2">
        <v>8</v>
      </c>
      <c r="AH246" s="2">
        <v>1</v>
      </c>
      <c r="AI246" s="2"/>
      <c r="AJ246">
        <v>1</v>
      </c>
      <c r="AK246" s="1">
        <f t="shared" si="207"/>
        <v>113.55690326251406</v>
      </c>
      <c r="AL246">
        <v>9</v>
      </c>
      <c r="AM246">
        <f t="shared" si="213"/>
        <v>184.32000000000002</v>
      </c>
      <c r="AN246">
        <f t="shared" si="214"/>
        <v>18.432000000000002</v>
      </c>
      <c r="AO246">
        <f t="shared" si="215"/>
        <v>2880</v>
      </c>
      <c r="AP246">
        <f t="shared" si="216"/>
        <v>288</v>
      </c>
      <c r="AQ246">
        <f t="shared" si="217"/>
        <v>46.080000000000005</v>
      </c>
      <c r="AR246">
        <f t="shared" si="211"/>
        <v>4.6080000000000005</v>
      </c>
      <c r="AS246">
        <f t="shared" si="218"/>
        <v>1.8</v>
      </c>
      <c r="AT246">
        <f t="shared" si="219"/>
        <v>2</v>
      </c>
      <c r="AU246">
        <f t="shared" si="220"/>
        <v>3</v>
      </c>
      <c r="AV246">
        <f t="shared" si="208"/>
        <v>2021</v>
      </c>
      <c r="AW246" s="1">
        <v>2</v>
      </c>
      <c r="AX246">
        <v>5</v>
      </c>
      <c r="AY246">
        <v>0.1</v>
      </c>
      <c r="BA246">
        <v>2</v>
      </c>
      <c r="BB246">
        <v>1</v>
      </c>
      <c r="CA246" t="str">
        <f t="shared" si="212"/>
        <v>1532003,2532003,3532003</v>
      </c>
      <c r="CB246">
        <v>1532003</v>
      </c>
      <c r="CC246">
        <v>2532003</v>
      </c>
      <c r="CD246">
        <v>3532003</v>
      </c>
      <c r="CH246" t="str">
        <f t="shared" si="198"/>
        <v>DATA_Class_Base28</v>
      </c>
      <c r="CI246" s="3" t="s">
        <v>374</v>
      </c>
    </row>
    <row r="247" spans="1:87">
      <c r="A247">
        <f t="shared" si="209"/>
        <v>5091301</v>
      </c>
      <c r="B247" s="2" t="s">
        <v>479</v>
      </c>
      <c r="C247">
        <v>9</v>
      </c>
      <c r="D247">
        <v>3</v>
      </c>
      <c r="E247">
        <v>1</v>
      </c>
      <c r="F247" s="3" t="s">
        <v>481</v>
      </c>
      <c r="G247" s="3" t="s">
        <v>481</v>
      </c>
      <c r="H247">
        <v>0</v>
      </c>
      <c r="I247">
        <v>0</v>
      </c>
      <c r="J247" s="2">
        <v>0</v>
      </c>
      <c r="K247" s="8" t="s">
        <v>482</v>
      </c>
      <c r="L247" s="2">
        <f t="shared" si="210"/>
        <v>3</v>
      </c>
      <c r="M247" s="2">
        <f t="shared" si="199"/>
        <v>1.2</v>
      </c>
      <c r="N247" s="2">
        <f t="shared" si="200"/>
        <v>2</v>
      </c>
      <c r="O247" s="2">
        <v>10</v>
      </c>
      <c r="P247" s="2">
        <f t="shared" si="201"/>
        <v>185.86</v>
      </c>
      <c r="Q247" s="2">
        <f t="shared" si="202"/>
        <v>18.59</v>
      </c>
      <c r="R247" s="2">
        <f t="shared" si="203"/>
        <v>2304</v>
      </c>
      <c r="S247" s="2">
        <f t="shared" si="204"/>
        <v>230.4</v>
      </c>
      <c r="T247" s="2">
        <f t="shared" si="205"/>
        <v>30.98</v>
      </c>
      <c r="U247" s="2">
        <f t="shared" si="206"/>
        <v>3.1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7">
        <v>513012</v>
      </c>
      <c r="AB247" s="14" t="s">
        <v>704</v>
      </c>
      <c r="AC247" s="15" t="s">
        <v>890</v>
      </c>
      <c r="AD247" s="2">
        <v>5101301</v>
      </c>
      <c r="AE247" s="2">
        <v>0</v>
      </c>
      <c r="AF247" s="2">
        <v>2</v>
      </c>
      <c r="AG247" s="2">
        <v>8</v>
      </c>
      <c r="AH247" s="2">
        <v>1</v>
      </c>
      <c r="AI247" s="2"/>
      <c r="AJ247">
        <v>1</v>
      </c>
      <c r="AK247" s="1">
        <f t="shared" si="207"/>
        <v>113.10642572867428</v>
      </c>
      <c r="AL247">
        <v>9</v>
      </c>
      <c r="AM247">
        <f t="shared" si="213"/>
        <v>168.96</v>
      </c>
      <c r="AN247">
        <f t="shared" si="214"/>
        <v>16.896000000000001</v>
      </c>
      <c r="AO247">
        <f t="shared" si="215"/>
        <v>2094.5454545454545</v>
      </c>
      <c r="AP247">
        <f t="shared" si="216"/>
        <v>209.45454545454547</v>
      </c>
      <c r="AQ247">
        <f t="shared" si="217"/>
        <v>28.16</v>
      </c>
      <c r="AR247">
        <f t="shared" si="211"/>
        <v>2.8160000000000003</v>
      </c>
      <c r="AS247">
        <f t="shared" si="218"/>
        <v>1.2</v>
      </c>
      <c r="AT247">
        <f t="shared" si="219"/>
        <v>2</v>
      </c>
      <c r="AU247">
        <f t="shared" si="220"/>
        <v>3</v>
      </c>
      <c r="AV247">
        <f t="shared" si="208"/>
        <v>3011</v>
      </c>
      <c r="AW247" s="1">
        <v>1</v>
      </c>
      <c r="AX247">
        <v>5</v>
      </c>
      <c r="AY247">
        <v>0.1</v>
      </c>
      <c r="BA247">
        <v>3</v>
      </c>
      <c r="BB247">
        <v>1</v>
      </c>
      <c r="CA247" t="str">
        <f t="shared" si="212"/>
        <v>1532013,2532013,3532013</v>
      </c>
      <c r="CB247">
        <v>1532013</v>
      </c>
      <c r="CC247">
        <v>2532013</v>
      </c>
      <c r="CD247">
        <v>3532013</v>
      </c>
      <c r="CH247" t="str">
        <f t="shared" si="198"/>
        <v>DATA_Class_Base29</v>
      </c>
      <c r="CI247" s="3" t="s">
        <v>378</v>
      </c>
    </row>
    <row r="248" spans="1:87">
      <c r="A248">
        <f t="shared" si="209"/>
        <v>5091401</v>
      </c>
      <c r="B248" s="2" t="s">
        <v>484</v>
      </c>
      <c r="C248">
        <v>9</v>
      </c>
      <c r="D248">
        <v>4</v>
      </c>
      <c r="E248">
        <v>1</v>
      </c>
      <c r="F248" s="3" t="s">
        <v>486</v>
      </c>
      <c r="G248" s="3" t="s">
        <v>486</v>
      </c>
      <c r="H248">
        <v>0</v>
      </c>
      <c r="I248">
        <v>0</v>
      </c>
      <c r="J248" s="2">
        <v>0</v>
      </c>
      <c r="K248" s="2" t="s">
        <v>161</v>
      </c>
      <c r="L248" s="2">
        <f t="shared" si="210"/>
        <v>6</v>
      </c>
      <c r="M248" s="2">
        <f t="shared" si="199"/>
        <v>1.6</v>
      </c>
      <c r="N248" s="2">
        <f t="shared" si="200"/>
        <v>2</v>
      </c>
      <c r="O248" s="2">
        <v>10</v>
      </c>
      <c r="P248" s="2">
        <f t="shared" si="201"/>
        <v>247.81</v>
      </c>
      <c r="Q248" s="2">
        <f t="shared" si="202"/>
        <v>24.78</v>
      </c>
      <c r="R248" s="2">
        <f t="shared" si="203"/>
        <v>2304</v>
      </c>
      <c r="S248" s="2">
        <f t="shared" si="204"/>
        <v>230.4</v>
      </c>
      <c r="T248" s="2">
        <f t="shared" si="205"/>
        <v>49.56</v>
      </c>
      <c r="U248" s="2">
        <f t="shared" si="206"/>
        <v>4.96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7">
        <v>514012</v>
      </c>
      <c r="AB248" s="14" t="s">
        <v>705</v>
      </c>
      <c r="AC248" s="15" t="s">
        <v>890</v>
      </c>
      <c r="AD248" s="2">
        <v>5101401</v>
      </c>
      <c r="AE248" s="2">
        <v>0</v>
      </c>
      <c r="AF248" s="2">
        <v>2</v>
      </c>
      <c r="AG248" s="2">
        <v>8</v>
      </c>
      <c r="AH248" s="2">
        <v>1</v>
      </c>
      <c r="AI248" s="2"/>
      <c r="AJ248">
        <v>1</v>
      </c>
      <c r="AK248" s="1">
        <f t="shared" si="207"/>
        <v>113.53106504668354</v>
      </c>
      <c r="AL248">
        <v>9</v>
      </c>
      <c r="AM248">
        <f t="shared" si="213"/>
        <v>225.28000000000006</v>
      </c>
      <c r="AN248">
        <f t="shared" si="214"/>
        <v>22.528000000000006</v>
      </c>
      <c r="AO248">
        <f t="shared" si="215"/>
        <v>2094.5454545454545</v>
      </c>
      <c r="AP248">
        <f t="shared" si="216"/>
        <v>209.45454545454547</v>
      </c>
      <c r="AQ248">
        <f t="shared" si="217"/>
        <v>45.056000000000012</v>
      </c>
      <c r="AR248">
        <f t="shared" si="211"/>
        <v>4.5056000000000012</v>
      </c>
      <c r="AS248">
        <f t="shared" si="218"/>
        <v>1.6</v>
      </c>
      <c r="AT248">
        <f t="shared" si="219"/>
        <v>2</v>
      </c>
      <c r="AU248">
        <f t="shared" si="220"/>
        <v>6</v>
      </c>
      <c r="AV248">
        <f t="shared" si="208"/>
        <v>4011</v>
      </c>
      <c r="AW248" s="1">
        <v>1</v>
      </c>
      <c r="AX248">
        <v>5</v>
      </c>
      <c r="AY248">
        <v>0.1</v>
      </c>
      <c r="BA248">
        <v>4</v>
      </c>
      <c r="BB248">
        <v>1</v>
      </c>
      <c r="CA248" t="str">
        <f t="shared" si="212"/>
        <v>1532023,2532023,3532023</v>
      </c>
      <c r="CB248">
        <v>1532023</v>
      </c>
      <c r="CC248">
        <v>2532023</v>
      </c>
      <c r="CD248">
        <v>3532023</v>
      </c>
      <c r="CH248" t="str">
        <f t="shared" si="198"/>
        <v>DATA_Class_Base30</v>
      </c>
      <c r="CI248" s="3" t="s">
        <v>381</v>
      </c>
    </row>
    <row r="249" spans="1:87">
      <c r="A249">
        <f t="shared" si="209"/>
        <v>5091402</v>
      </c>
      <c r="B249" s="2" t="s">
        <v>488</v>
      </c>
      <c r="C249">
        <v>9</v>
      </c>
      <c r="D249">
        <v>4</v>
      </c>
      <c r="E249">
        <v>1</v>
      </c>
      <c r="F249" s="3" t="s">
        <v>490</v>
      </c>
      <c r="G249" s="3" t="s">
        <v>490</v>
      </c>
      <c r="H249">
        <v>0</v>
      </c>
      <c r="I249">
        <v>0</v>
      </c>
      <c r="J249">
        <v>0</v>
      </c>
      <c r="K249" s="8" t="s">
        <v>161</v>
      </c>
      <c r="L249" s="2">
        <f t="shared" si="210"/>
        <v>6</v>
      </c>
      <c r="M249" s="2">
        <f t="shared" si="199"/>
        <v>1.5</v>
      </c>
      <c r="N249" s="2">
        <f t="shared" si="200"/>
        <v>1.5</v>
      </c>
      <c r="O249" s="2">
        <v>10</v>
      </c>
      <c r="P249" s="2">
        <f t="shared" si="201"/>
        <v>253.44</v>
      </c>
      <c r="Q249" s="2">
        <f t="shared" si="202"/>
        <v>25.34</v>
      </c>
      <c r="R249" s="2">
        <f t="shared" si="203"/>
        <v>2112</v>
      </c>
      <c r="S249" s="2">
        <f t="shared" si="204"/>
        <v>211.2</v>
      </c>
      <c r="T249" s="2">
        <f t="shared" si="205"/>
        <v>42.24</v>
      </c>
      <c r="U249" s="2">
        <f t="shared" si="206"/>
        <v>4.22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7">
        <v>514022</v>
      </c>
      <c r="AB249" s="14" t="s">
        <v>706</v>
      </c>
      <c r="AC249" s="15" t="s">
        <v>890</v>
      </c>
      <c r="AD249" s="2">
        <v>5101402</v>
      </c>
      <c r="AE249" s="2">
        <v>0</v>
      </c>
      <c r="AF249" s="2">
        <v>2</v>
      </c>
      <c r="AG249" s="2">
        <v>8</v>
      </c>
      <c r="AH249" s="2">
        <v>1</v>
      </c>
      <c r="AI249" s="2"/>
      <c r="AJ249">
        <v>1</v>
      </c>
      <c r="AK249" s="1">
        <f t="shared" si="207"/>
        <v>113.36340282708319</v>
      </c>
      <c r="AL249">
        <v>9</v>
      </c>
      <c r="AM249">
        <f t="shared" si="213"/>
        <v>230.39999999999998</v>
      </c>
      <c r="AN249">
        <f t="shared" si="214"/>
        <v>23.04</v>
      </c>
      <c r="AO249">
        <f t="shared" si="215"/>
        <v>1920</v>
      </c>
      <c r="AP249">
        <f t="shared" si="216"/>
        <v>192</v>
      </c>
      <c r="AQ249">
        <f t="shared" si="217"/>
        <v>38.4</v>
      </c>
      <c r="AR249">
        <f t="shared" si="211"/>
        <v>3.84</v>
      </c>
      <c r="AS249">
        <f t="shared" si="218"/>
        <v>1.5</v>
      </c>
      <c r="AT249">
        <f t="shared" si="219"/>
        <v>1.5</v>
      </c>
      <c r="AU249">
        <f t="shared" si="220"/>
        <v>6</v>
      </c>
      <c r="AV249">
        <f t="shared" si="208"/>
        <v>4021</v>
      </c>
      <c r="AW249" s="1">
        <v>2</v>
      </c>
      <c r="AX249">
        <v>5</v>
      </c>
      <c r="AY249">
        <v>0.1</v>
      </c>
      <c r="BA249">
        <v>4</v>
      </c>
      <c r="BB249">
        <v>1</v>
      </c>
      <c r="CA249" t="str">
        <f t="shared" si="212"/>
        <v>1533013,2533013,3533013</v>
      </c>
      <c r="CB249">
        <v>1533013</v>
      </c>
      <c r="CC249">
        <v>2533013</v>
      </c>
      <c r="CD249">
        <v>3533013</v>
      </c>
      <c r="CH249" t="str">
        <f t="shared" si="198"/>
        <v>DATA_Class_Base31</v>
      </c>
      <c r="CI249" s="3" t="s">
        <v>384</v>
      </c>
    </row>
    <row r="250" spans="1:87">
      <c r="A250">
        <f t="shared" si="209"/>
        <v>5091500</v>
      </c>
      <c r="B250" s="2" t="s">
        <v>492</v>
      </c>
      <c r="C250">
        <v>9</v>
      </c>
      <c r="D250">
        <v>5</v>
      </c>
      <c r="E250">
        <v>1</v>
      </c>
      <c r="F250" s="3" t="s">
        <v>494</v>
      </c>
      <c r="G250" s="3" t="s">
        <v>494</v>
      </c>
      <c r="H250">
        <v>0</v>
      </c>
      <c r="I250">
        <v>0</v>
      </c>
      <c r="J250">
        <v>0</v>
      </c>
      <c r="K250" s="2" t="s">
        <v>303</v>
      </c>
      <c r="L250" s="2">
        <f t="shared" si="210"/>
        <v>6</v>
      </c>
      <c r="M250" s="2">
        <f t="shared" si="199"/>
        <v>1.5</v>
      </c>
      <c r="N250" s="2">
        <f t="shared" si="200"/>
        <v>1.5</v>
      </c>
      <c r="O250" s="2">
        <v>10</v>
      </c>
      <c r="P250" s="2">
        <f t="shared" si="201"/>
        <v>295.68</v>
      </c>
      <c r="Q250" s="2">
        <f t="shared" si="202"/>
        <v>29.57</v>
      </c>
      <c r="R250" s="2">
        <f t="shared" si="203"/>
        <v>1810.29</v>
      </c>
      <c r="S250" s="2">
        <f t="shared" si="204"/>
        <v>181.03</v>
      </c>
      <c r="T250" s="2">
        <f t="shared" si="205"/>
        <v>42.24</v>
      </c>
      <c r="U250" s="2">
        <f t="shared" si="206"/>
        <v>4.22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7">
        <v>515002</v>
      </c>
      <c r="AB250" s="14" t="s">
        <v>707</v>
      </c>
      <c r="AC250" s="15" t="s">
        <v>890</v>
      </c>
      <c r="AD250" s="2">
        <v>5101500</v>
      </c>
      <c r="AE250" s="2">
        <v>0</v>
      </c>
      <c r="AF250" s="2">
        <v>2</v>
      </c>
      <c r="AG250" s="2">
        <v>8</v>
      </c>
      <c r="AH250" s="2">
        <v>1</v>
      </c>
      <c r="AI250" s="2"/>
      <c r="AJ250">
        <v>1</v>
      </c>
      <c r="AK250" s="1">
        <f t="shared" si="207"/>
        <v>113.36340282708319</v>
      </c>
      <c r="AL250">
        <v>9</v>
      </c>
      <c r="AM250">
        <f t="shared" si="213"/>
        <v>268.7999999999999</v>
      </c>
      <c r="AN250">
        <f t="shared" si="214"/>
        <v>26.879999999999992</v>
      </c>
      <c r="AO250">
        <f t="shared" si="215"/>
        <v>1645.7142857142858</v>
      </c>
      <c r="AP250">
        <f t="shared" si="216"/>
        <v>164.57142857142858</v>
      </c>
      <c r="AQ250">
        <f t="shared" si="217"/>
        <v>38.399999999999984</v>
      </c>
      <c r="AR250">
        <f t="shared" si="211"/>
        <v>3.8399999999999985</v>
      </c>
      <c r="AS250">
        <f t="shared" si="218"/>
        <v>1.5</v>
      </c>
      <c r="AT250">
        <f t="shared" si="219"/>
        <v>1.5</v>
      </c>
      <c r="AU250">
        <f t="shared" si="220"/>
        <v>6</v>
      </c>
      <c r="AV250">
        <f t="shared" si="208"/>
        <v>5001</v>
      </c>
      <c r="AW250" s="1">
        <v>0</v>
      </c>
      <c r="AX250">
        <v>5</v>
      </c>
      <c r="AY250">
        <v>0.1</v>
      </c>
      <c r="BA250">
        <v>5</v>
      </c>
      <c r="BB250">
        <v>1</v>
      </c>
      <c r="CA250" t="str">
        <f t="shared" si="212"/>
        <v>1534013,2534013,3534013</v>
      </c>
      <c r="CB250">
        <v>1534013</v>
      </c>
      <c r="CC250">
        <v>2534013</v>
      </c>
      <c r="CD250">
        <v>3534013</v>
      </c>
      <c r="CH250" t="str">
        <f t="shared" si="198"/>
        <v>DATA_Class_Base32</v>
      </c>
      <c r="CI250" s="3" t="s">
        <v>388</v>
      </c>
    </row>
    <row r="251" spans="1:87">
      <c r="A251">
        <f t="shared" si="209"/>
        <v>5091502</v>
      </c>
      <c r="B251" s="2" t="s">
        <v>496</v>
      </c>
      <c r="C251">
        <v>9</v>
      </c>
      <c r="D251">
        <v>5</v>
      </c>
      <c r="E251">
        <v>1</v>
      </c>
      <c r="F251" s="3" t="s">
        <v>498</v>
      </c>
      <c r="G251" s="3" t="s">
        <v>498</v>
      </c>
      <c r="H251">
        <v>0</v>
      </c>
      <c r="I251">
        <v>0</v>
      </c>
      <c r="J251" s="2">
        <v>0</v>
      </c>
      <c r="K251" s="8" t="s">
        <v>352</v>
      </c>
      <c r="L251" s="2">
        <f t="shared" si="210"/>
        <v>6</v>
      </c>
      <c r="M251" s="2">
        <f t="shared" si="199"/>
        <v>1.4000000000000001</v>
      </c>
      <c r="N251" s="2">
        <f t="shared" si="200"/>
        <v>2</v>
      </c>
      <c r="O251" s="2">
        <v>10</v>
      </c>
      <c r="P251" s="2">
        <f t="shared" si="201"/>
        <v>256.26</v>
      </c>
      <c r="Q251" s="2">
        <f t="shared" si="202"/>
        <v>25.63</v>
      </c>
      <c r="R251" s="2">
        <f t="shared" si="203"/>
        <v>1949.54</v>
      </c>
      <c r="S251" s="2">
        <f t="shared" si="204"/>
        <v>194.95</v>
      </c>
      <c r="T251" s="2">
        <f t="shared" si="205"/>
        <v>39.42</v>
      </c>
      <c r="U251" s="2">
        <f t="shared" si="206"/>
        <v>3.94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7">
        <v>515022</v>
      </c>
      <c r="AB251" s="14" t="s">
        <v>708</v>
      </c>
      <c r="AC251" s="15" t="s">
        <v>890</v>
      </c>
      <c r="AD251" s="2">
        <v>5101502</v>
      </c>
      <c r="AE251" s="2">
        <v>0</v>
      </c>
      <c r="AF251" s="2">
        <v>2</v>
      </c>
      <c r="AG251" s="2">
        <v>8</v>
      </c>
      <c r="AH251" s="2">
        <v>1</v>
      </c>
      <c r="AI251" s="2"/>
      <c r="AJ251">
        <v>1</v>
      </c>
      <c r="AK251" s="1">
        <f t="shared" si="207"/>
        <v>113.29904914268019</v>
      </c>
      <c r="AL251">
        <v>9</v>
      </c>
      <c r="AM251">
        <f t="shared" si="213"/>
        <v>232.95999999999995</v>
      </c>
      <c r="AN251">
        <f t="shared" si="214"/>
        <v>23.295999999999996</v>
      </c>
      <c r="AO251">
        <f t="shared" si="215"/>
        <v>1772.3076923076919</v>
      </c>
      <c r="AP251">
        <f t="shared" si="216"/>
        <v>177.2307692307692</v>
      </c>
      <c r="AQ251">
        <f t="shared" si="217"/>
        <v>35.839999999999989</v>
      </c>
      <c r="AR251">
        <f t="shared" si="211"/>
        <v>3.5839999999999992</v>
      </c>
      <c r="AS251">
        <f t="shared" si="218"/>
        <v>1.4</v>
      </c>
      <c r="AT251">
        <f t="shared" si="219"/>
        <v>2</v>
      </c>
      <c r="AU251">
        <f t="shared" si="220"/>
        <v>6</v>
      </c>
      <c r="AV251">
        <f t="shared" si="208"/>
        <v>5021</v>
      </c>
      <c r="AW251" s="1">
        <v>2</v>
      </c>
      <c r="AX251">
        <v>5</v>
      </c>
      <c r="AY251">
        <v>0.1</v>
      </c>
      <c r="BA251">
        <v>5</v>
      </c>
      <c r="BB251">
        <v>1</v>
      </c>
      <c r="CA251" t="str">
        <f t="shared" si="212"/>
        <v>1534023,2534023,3534023</v>
      </c>
      <c r="CB251">
        <v>1534023</v>
      </c>
      <c r="CC251">
        <v>2534023</v>
      </c>
      <c r="CD251">
        <v>3534023</v>
      </c>
      <c r="CH251" t="str">
        <f t="shared" si="198"/>
        <v>DATA_Class_Base33</v>
      </c>
      <c r="CI251" s="3" t="s">
        <v>391</v>
      </c>
    </row>
    <row r="252" spans="1:87">
      <c r="A252">
        <f t="shared" si="209"/>
        <v>5091601</v>
      </c>
      <c r="B252" s="2" t="s">
        <v>500</v>
      </c>
      <c r="C252">
        <v>9</v>
      </c>
      <c r="D252">
        <v>6</v>
      </c>
      <c r="E252">
        <v>1</v>
      </c>
      <c r="F252" s="3" t="s">
        <v>502</v>
      </c>
      <c r="G252" s="3" t="s">
        <v>502</v>
      </c>
      <c r="H252">
        <v>0</v>
      </c>
      <c r="I252">
        <v>0</v>
      </c>
      <c r="J252">
        <v>0</v>
      </c>
      <c r="K252" s="2" t="s">
        <v>309</v>
      </c>
      <c r="L252" s="2">
        <f t="shared" si="210"/>
        <v>6</v>
      </c>
      <c r="M252" s="2">
        <f t="shared" si="199"/>
        <v>1.5</v>
      </c>
      <c r="N252" s="2">
        <f t="shared" si="200"/>
        <v>2</v>
      </c>
      <c r="O252" s="2">
        <v>10</v>
      </c>
      <c r="P252" s="2">
        <f t="shared" si="201"/>
        <v>211.2</v>
      </c>
      <c r="Q252" s="2">
        <f t="shared" si="202"/>
        <v>21.12</v>
      </c>
      <c r="R252" s="2">
        <f t="shared" si="203"/>
        <v>2534.4</v>
      </c>
      <c r="S252" s="2">
        <f t="shared" si="204"/>
        <v>253.44</v>
      </c>
      <c r="T252" s="2">
        <f t="shared" si="205"/>
        <v>52.8</v>
      </c>
      <c r="U252" s="2">
        <f t="shared" si="206"/>
        <v>5.28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7">
        <v>516012</v>
      </c>
      <c r="AB252" s="14" t="s">
        <v>709</v>
      </c>
      <c r="AC252" s="15" t="s">
        <v>890</v>
      </c>
      <c r="AD252" s="2">
        <v>5101601</v>
      </c>
      <c r="AE252" s="2">
        <v>0</v>
      </c>
      <c r="AF252" s="2">
        <v>2</v>
      </c>
      <c r="AG252" s="2">
        <v>8</v>
      </c>
      <c r="AH252" s="2">
        <v>1</v>
      </c>
      <c r="AI252" s="2"/>
      <c r="AJ252">
        <v>1</v>
      </c>
      <c r="AK252" s="1">
        <f t="shared" si="207"/>
        <v>113.60538163001294</v>
      </c>
      <c r="AL252">
        <v>9</v>
      </c>
      <c r="AM252">
        <f t="shared" si="213"/>
        <v>192</v>
      </c>
      <c r="AN252">
        <f t="shared" si="214"/>
        <v>19.200000000000003</v>
      </c>
      <c r="AO252">
        <f t="shared" si="215"/>
        <v>2304</v>
      </c>
      <c r="AP252">
        <f t="shared" si="216"/>
        <v>230.4</v>
      </c>
      <c r="AQ252">
        <f t="shared" si="217"/>
        <v>48</v>
      </c>
      <c r="AR252">
        <f t="shared" si="211"/>
        <v>4.8000000000000007</v>
      </c>
      <c r="AS252">
        <f t="shared" si="218"/>
        <v>1.5</v>
      </c>
      <c r="AT252">
        <f t="shared" si="219"/>
        <v>2</v>
      </c>
      <c r="AU252">
        <f t="shared" si="220"/>
        <v>6</v>
      </c>
      <c r="AV252">
        <f t="shared" si="208"/>
        <v>6011</v>
      </c>
      <c r="AW252" s="1">
        <v>1</v>
      </c>
      <c r="AX252">
        <v>5</v>
      </c>
      <c r="AY252">
        <v>0.1</v>
      </c>
      <c r="BA252">
        <v>6</v>
      </c>
      <c r="BB252">
        <v>1</v>
      </c>
      <c r="CA252" t="str">
        <f t="shared" si="212"/>
        <v>1535003,2535003,3535003</v>
      </c>
      <c r="CB252">
        <v>1535003</v>
      </c>
      <c r="CC252">
        <v>2535003</v>
      </c>
      <c r="CD252">
        <v>3535003</v>
      </c>
      <c r="CH252" t="str">
        <f t="shared" si="198"/>
        <v>DATA_Class_Base34</v>
      </c>
      <c r="CI252" s="3" t="s">
        <v>184</v>
      </c>
    </row>
    <row r="253" spans="1:87">
      <c r="A253">
        <f t="shared" si="209"/>
        <v>5092200</v>
      </c>
      <c r="B253" s="2" t="s">
        <v>504</v>
      </c>
      <c r="C253">
        <v>9</v>
      </c>
      <c r="D253">
        <v>2</v>
      </c>
      <c r="E253">
        <v>2</v>
      </c>
      <c r="F253" s="3" t="s">
        <v>506</v>
      </c>
      <c r="G253" s="3" t="s">
        <v>506</v>
      </c>
      <c r="H253">
        <v>0</v>
      </c>
      <c r="I253">
        <v>0</v>
      </c>
      <c r="J253">
        <v>0</v>
      </c>
      <c r="K253" s="8" t="s">
        <v>507</v>
      </c>
      <c r="L253" s="2">
        <f t="shared" si="210"/>
        <v>3</v>
      </c>
      <c r="M253" s="2">
        <f t="shared" si="199"/>
        <v>1.5</v>
      </c>
      <c r="N253" s="2">
        <f t="shared" si="200"/>
        <v>1.2</v>
      </c>
      <c r="O253" s="2">
        <v>10</v>
      </c>
      <c r="P253" s="2">
        <f t="shared" si="201"/>
        <v>211.2</v>
      </c>
      <c r="Q253" s="2">
        <f t="shared" si="202"/>
        <v>21.12</v>
      </c>
      <c r="R253" s="2">
        <f t="shared" si="203"/>
        <v>2534.4</v>
      </c>
      <c r="S253" s="2">
        <f t="shared" si="204"/>
        <v>253.44</v>
      </c>
      <c r="T253" s="2">
        <f t="shared" si="205"/>
        <v>52.8</v>
      </c>
      <c r="U253" s="2">
        <f t="shared" si="206"/>
        <v>5.28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7">
        <v>522002</v>
      </c>
      <c r="AB253" s="14" t="s">
        <v>710</v>
      </c>
      <c r="AC253" s="15" t="s">
        <v>890</v>
      </c>
      <c r="AD253" s="2">
        <v>5102200</v>
      </c>
      <c r="AE253" s="2">
        <v>0</v>
      </c>
      <c r="AF253" s="2">
        <v>2</v>
      </c>
      <c r="AG253" s="2">
        <v>8</v>
      </c>
      <c r="AH253" s="2">
        <v>1</v>
      </c>
      <c r="AI253" s="2"/>
      <c r="AJ253">
        <v>1</v>
      </c>
      <c r="AK253" s="1">
        <f t="shared" si="207"/>
        <v>113.60538163001294</v>
      </c>
      <c r="AL253">
        <v>9</v>
      </c>
      <c r="AM253">
        <f t="shared" si="213"/>
        <v>192</v>
      </c>
      <c r="AN253">
        <f t="shared" si="214"/>
        <v>19.200000000000003</v>
      </c>
      <c r="AO253">
        <f t="shared" si="215"/>
        <v>2304</v>
      </c>
      <c r="AP253">
        <f t="shared" si="216"/>
        <v>230.4</v>
      </c>
      <c r="AQ253">
        <f t="shared" si="217"/>
        <v>48</v>
      </c>
      <c r="AR253">
        <f t="shared" si="211"/>
        <v>4.8000000000000007</v>
      </c>
      <c r="AS253">
        <f t="shared" si="218"/>
        <v>1.5</v>
      </c>
      <c r="AT253">
        <f t="shared" si="219"/>
        <v>1.2</v>
      </c>
      <c r="AU253">
        <f t="shared" si="220"/>
        <v>3</v>
      </c>
      <c r="AV253">
        <f t="shared" si="208"/>
        <v>2002</v>
      </c>
      <c r="AW253" s="1">
        <v>0</v>
      </c>
      <c r="AX253">
        <v>5</v>
      </c>
      <c r="AY253">
        <v>0.1</v>
      </c>
      <c r="BA253">
        <v>2</v>
      </c>
      <c r="BB253">
        <v>2</v>
      </c>
      <c r="CA253" t="str">
        <f t="shared" si="212"/>
        <v>1535023,2535023,3535023</v>
      </c>
      <c r="CB253">
        <v>1535023</v>
      </c>
      <c r="CC253">
        <v>2535023</v>
      </c>
      <c r="CD253">
        <v>3535023</v>
      </c>
      <c r="CH253" t="str">
        <f t="shared" si="198"/>
        <v>DATA_Class_Base35</v>
      </c>
      <c r="CI253" s="3" t="s">
        <v>195</v>
      </c>
    </row>
    <row r="254" spans="1:87">
      <c r="A254">
        <f t="shared" si="209"/>
        <v>5092201</v>
      </c>
      <c r="B254" s="2" t="s">
        <v>509</v>
      </c>
      <c r="C254">
        <v>9</v>
      </c>
      <c r="D254">
        <v>2</v>
      </c>
      <c r="E254">
        <v>2</v>
      </c>
      <c r="F254" s="3" t="s">
        <v>511</v>
      </c>
      <c r="G254" s="3" t="s">
        <v>511</v>
      </c>
      <c r="H254">
        <v>0</v>
      </c>
      <c r="I254">
        <v>0</v>
      </c>
      <c r="J254">
        <v>0</v>
      </c>
      <c r="K254" s="8" t="s">
        <v>512</v>
      </c>
      <c r="L254" s="2">
        <f t="shared" si="210"/>
        <v>3</v>
      </c>
      <c r="M254" s="2">
        <f t="shared" si="199"/>
        <v>1.8</v>
      </c>
      <c r="N254" s="2">
        <f t="shared" si="200"/>
        <v>1.8</v>
      </c>
      <c r="O254" s="2">
        <v>10</v>
      </c>
      <c r="P254" s="2">
        <f t="shared" si="201"/>
        <v>177.41</v>
      </c>
      <c r="Q254" s="2">
        <f t="shared" si="202"/>
        <v>17.739999999999998</v>
      </c>
      <c r="R254" s="2">
        <f t="shared" si="203"/>
        <v>3620.57</v>
      </c>
      <c r="S254" s="2">
        <f t="shared" si="204"/>
        <v>362.06</v>
      </c>
      <c r="T254" s="2">
        <f t="shared" si="205"/>
        <v>59.14</v>
      </c>
      <c r="U254" s="2">
        <f t="shared" si="206"/>
        <v>5.91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7">
        <v>522012</v>
      </c>
      <c r="AB254" s="14" t="s">
        <v>711</v>
      </c>
      <c r="AC254" s="15" t="s">
        <v>890</v>
      </c>
      <c r="AD254" s="2">
        <v>5102201</v>
      </c>
      <c r="AE254" s="2">
        <v>0</v>
      </c>
      <c r="AF254" s="2">
        <v>2</v>
      </c>
      <c r="AG254" s="2">
        <v>8</v>
      </c>
      <c r="AH254" s="2">
        <v>1</v>
      </c>
      <c r="AI254" s="2"/>
      <c r="AJ254">
        <v>1</v>
      </c>
      <c r="AK254" s="1">
        <f t="shared" si="207"/>
        <v>113.75106540070726</v>
      </c>
      <c r="AL254">
        <v>9</v>
      </c>
      <c r="AM254">
        <f t="shared" si="213"/>
        <v>161.28</v>
      </c>
      <c r="AN254">
        <f t="shared" si="214"/>
        <v>16.128</v>
      </c>
      <c r="AO254">
        <f t="shared" si="215"/>
        <v>3291.4285714285716</v>
      </c>
      <c r="AP254">
        <f t="shared" si="216"/>
        <v>329.14285714285717</v>
      </c>
      <c r="AQ254">
        <f t="shared" si="217"/>
        <v>53.76</v>
      </c>
      <c r="AR254">
        <f t="shared" si="211"/>
        <v>5.3760000000000003</v>
      </c>
      <c r="AS254">
        <f t="shared" si="218"/>
        <v>1.8</v>
      </c>
      <c r="AT254">
        <f t="shared" si="219"/>
        <v>1.8</v>
      </c>
      <c r="AU254">
        <f t="shared" si="220"/>
        <v>3</v>
      </c>
      <c r="AV254">
        <f t="shared" si="208"/>
        <v>2012</v>
      </c>
      <c r="AW254" s="1">
        <v>1</v>
      </c>
      <c r="AX254">
        <v>5</v>
      </c>
      <c r="AY254">
        <v>0.1</v>
      </c>
      <c r="BA254">
        <v>2</v>
      </c>
      <c r="BB254">
        <v>2</v>
      </c>
      <c r="CA254" t="str">
        <f t="shared" si="212"/>
        <v>1536013,2536013,3536013</v>
      </c>
      <c r="CB254">
        <v>1536013</v>
      </c>
      <c r="CC254">
        <v>2536013</v>
      </c>
      <c r="CD254">
        <v>3536013</v>
      </c>
      <c r="CH254" t="str">
        <f t="shared" si="198"/>
        <v>DATA_Class_Base36</v>
      </c>
      <c r="CI254" s="3" t="s">
        <v>201</v>
      </c>
    </row>
    <row r="255" spans="1:87">
      <c r="A255">
        <f t="shared" si="209"/>
        <v>5092202</v>
      </c>
      <c r="B255" s="2" t="s">
        <v>514</v>
      </c>
      <c r="C255">
        <v>9</v>
      </c>
      <c r="D255">
        <v>2</v>
      </c>
      <c r="E255">
        <v>2</v>
      </c>
      <c r="F255" s="3" t="s">
        <v>516</v>
      </c>
      <c r="G255" s="3" t="s">
        <v>516</v>
      </c>
      <c r="H255">
        <v>0</v>
      </c>
      <c r="I255">
        <v>0</v>
      </c>
      <c r="J255" s="2">
        <v>0</v>
      </c>
      <c r="K255" s="2" t="s">
        <v>280</v>
      </c>
      <c r="L255" s="2">
        <f t="shared" si="210"/>
        <v>3</v>
      </c>
      <c r="M255" s="2">
        <f t="shared" si="199"/>
        <v>1.8</v>
      </c>
      <c r="N255" s="2">
        <f t="shared" si="200"/>
        <v>2</v>
      </c>
      <c r="O255" s="2">
        <v>10</v>
      </c>
      <c r="P255" s="2">
        <f t="shared" si="201"/>
        <v>291.45999999999998</v>
      </c>
      <c r="Q255" s="2">
        <f t="shared" si="202"/>
        <v>29.15</v>
      </c>
      <c r="R255" s="2">
        <f t="shared" si="203"/>
        <v>2203.83</v>
      </c>
      <c r="S255" s="2">
        <f t="shared" si="204"/>
        <v>220.38</v>
      </c>
      <c r="T255" s="2">
        <f t="shared" si="205"/>
        <v>58.29</v>
      </c>
      <c r="U255" s="2">
        <f t="shared" si="206"/>
        <v>5.83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7">
        <v>522022</v>
      </c>
      <c r="AB255" s="14" t="s">
        <v>712</v>
      </c>
      <c r="AC255" s="15" t="s">
        <v>890</v>
      </c>
      <c r="AD255" s="2">
        <v>5102202</v>
      </c>
      <c r="AE255" s="2">
        <v>0</v>
      </c>
      <c r="AF255" s="2">
        <v>2</v>
      </c>
      <c r="AG255" s="2">
        <v>8</v>
      </c>
      <c r="AH255" s="2">
        <v>1</v>
      </c>
      <c r="AI255" s="2"/>
      <c r="AJ255">
        <v>1</v>
      </c>
      <c r="AK255" s="1">
        <f t="shared" si="207"/>
        <v>113.73161931354595</v>
      </c>
      <c r="AL255">
        <v>9</v>
      </c>
      <c r="AM255">
        <f t="shared" si="213"/>
        <v>264.95999999999998</v>
      </c>
      <c r="AN255">
        <f t="shared" si="214"/>
        <v>26.495999999999999</v>
      </c>
      <c r="AO255">
        <f t="shared" si="215"/>
        <v>2003.4782608695652</v>
      </c>
      <c r="AP255">
        <f t="shared" si="216"/>
        <v>200.34782608695653</v>
      </c>
      <c r="AQ255">
        <f t="shared" si="217"/>
        <v>52.991999999999997</v>
      </c>
      <c r="AR255">
        <f t="shared" si="211"/>
        <v>5.2991999999999999</v>
      </c>
      <c r="AS255">
        <f t="shared" si="218"/>
        <v>1.8</v>
      </c>
      <c r="AT255">
        <f t="shared" si="219"/>
        <v>2</v>
      </c>
      <c r="AU255">
        <f t="shared" si="220"/>
        <v>3</v>
      </c>
      <c r="AV255">
        <f t="shared" si="208"/>
        <v>2022</v>
      </c>
      <c r="AW255" s="1">
        <v>2</v>
      </c>
      <c r="AX255">
        <v>5</v>
      </c>
      <c r="AY255">
        <v>0.1</v>
      </c>
      <c r="BA255">
        <v>2</v>
      </c>
      <c r="BB255">
        <v>2</v>
      </c>
      <c r="CA255" t="str">
        <f t="shared" si="212"/>
        <v>1542013,2542013,3542013</v>
      </c>
      <c r="CB255">
        <v>1542013</v>
      </c>
      <c r="CC255">
        <v>2542013</v>
      </c>
      <c r="CD255">
        <v>3542013</v>
      </c>
      <c r="CH255" t="str">
        <f t="shared" si="198"/>
        <v>DATA_Class_Base29</v>
      </c>
      <c r="CI255" s="3" t="s">
        <v>378</v>
      </c>
    </row>
    <row r="256" spans="1:87">
      <c r="A256">
        <f t="shared" si="209"/>
        <v>5092301</v>
      </c>
      <c r="B256" s="2" t="s">
        <v>518</v>
      </c>
      <c r="C256">
        <v>9</v>
      </c>
      <c r="D256">
        <v>3</v>
      </c>
      <c r="E256">
        <v>2</v>
      </c>
      <c r="F256" s="3" t="s">
        <v>520</v>
      </c>
      <c r="G256" s="3" t="s">
        <v>520</v>
      </c>
      <c r="H256">
        <v>0</v>
      </c>
      <c r="I256">
        <v>0</v>
      </c>
      <c r="J256">
        <v>0</v>
      </c>
      <c r="K256" s="2" t="s">
        <v>285</v>
      </c>
      <c r="L256" s="2">
        <f t="shared" si="210"/>
        <v>3</v>
      </c>
      <c r="M256" s="2">
        <f t="shared" si="199"/>
        <v>1.2</v>
      </c>
      <c r="N256" s="2">
        <f t="shared" si="200"/>
        <v>1.7</v>
      </c>
      <c r="O256" s="2">
        <v>10</v>
      </c>
      <c r="P256" s="2">
        <f t="shared" si="201"/>
        <v>219.65</v>
      </c>
      <c r="Q256" s="2">
        <f t="shared" si="202"/>
        <v>21.96</v>
      </c>
      <c r="R256" s="2">
        <f t="shared" si="203"/>
        <v>1949.54</v>
      </c>
      <c r="S256" s="2">
        <f t="shared" si="204"/>
        <v>194.95</v>
      </c>
      <c r="T256" s="2">
        <f t="shared" si="205"/>
        <v>36.61</v>
      </c>
      <c r="U256" s="2">
        <f t="shared" si="206"/>
        <v>3.66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7">
        <v>523012</v>
      </c>
      <c r="AB256" s="14" t="s">
        <v>713</v>
      </c>
      <c r="AC256" s="15" t="s">
        <v>890</v>
      </c>
      <c r="AD256" s="2">
        <v>5102301</v>
      </c>
      <c r="AE256" s="2">
        <v>0</v>
      </c>
      <c r="AF256" s="2">
        <v>2</v>
      </c>
      <c r="AG256" s="2">
        <v>8</v>
      </c>
      <c r="AH256" s="2">
        <v>1</v>
      </c>
      <c r="AI256" s="2"/>
      <c r="AJ256">
        <v>1</v>
      </c>
      <c r="AK256" s="1">
        <f t="shared" si="207"/>
        <v>113.23476848090984</v>
      </c>
      <c r="AL256">
        <v>9</v>
      </c>
      <c r="AM256">
        <f t="shared" si="213"/>
        <v>199.68</v>
      </c>
      <c r="AN256">
        <f t="shared" si="214"/>
        <v>19.968000000000004</v>
      </c>
      <c r="AO256">
        <f t="shared" si="215"/>
        <v>1772.3076923076919</v>
      </c>
      <c r="AP256">
        <f t="shared" si="216"/>
        <v>177.2307692307692</v>
      </c>
      <c r="AQ256">
        <f t="shared" si="217"/>
        <v>33.28</v>
      </c>
      <c r="AR256">
        <f t="shared" si="211"/>
        <v>3.3280000000000003</v>
      </c>
      <c r="AS256">
        <f t="shared" si="218"/>
        <v>1.2</v>
      </c>
      <c r="AT256">
        <f t="shared" si="219"/>
        <v>1.7</v>
      </c>
      <c r="AU256">
        <f t="shared" si="220"/>
        <v>3</v>
      </c>
      <c r="AV256">
        <f t="shared" si="208"/>
        <v>3012</v>
      </c>
      <c r="AW256" s="1">
        <v>1</v>
      </c>
      <c r="AX256">
        <v>5</v>
      </c>
      <c r="AY256">
        <v>0.1</v>
      </c>
      <c r="BA256">
        <v>3</v>
      </c>
      <c r="BB256">
        <v>2</v>
      </c>
      <c r="CA256" t="str">
        <f t="shared" si="212"/>
        <v>1543023,2543023,3543023</v>
      </c>
      <c r="CB256">
        <v>1543023</v>
      </c>
      <c r="CC256">
        <v>2543023</v>
      </c>
      <c r="CD256">
        <v>3543023</v>
      </c>
      <c r="CH256" t="str">
        <f t="shared" si="198"/>
        <v>DATA_Class_Base41</v>
      </c>
      <c r="CI256" s="3" t="s">
        <v>413</v>
      </c>
    </row>
    <row r="257" spans="1:87">
      <c r="A257">
        <f t="shared" si="209"/>
        <v>5092401</v>
      </c>
      <c r="B257" s="2" t="s">
        <v>522</v>
      </c>
      <c r="C257">
        <v>9</v>
      </c>
      <c r="D257">
        <v>4</v>
      </c>
      <c r="E257">
        <v>2</v>
      </c>
      <c r="F257" s="3" t="s">
        <v>524</v>
      </c>
      <c r="G257" s="3" t="s">
        <v>524</v>
      </c>
      <c r="H257">
        <v>0</v>
      </c>
      <c r="I257">
        <v>0</v>
      </c>
      <c r="J257" s="2">
        <v>0</v>
      </c>
      <c r="K257" s="8" t="s">
        <v>250</v>
      </c>
      <c r="L257" s="2">
        <f t="shared" si="210"/>
        <v>6</v>
      </c>
      <c r="M257" s="2">
        <f t="shared" si="199"/>
        <v>1.6</v>
      </c>
      <c r="N257" s="2">
        <f t="shared" si="200"/>
        <v>1.5</v>
      </c>
      <c r="O257" s="2">
        <v>10</v>
      </c>
      <c r="P257" s="2">
        <f t="shared" si="201"/>
        <v>292.86</v>
      </c>
      <c r="Q257" s="2">
        <f t="shared" si="202"/>
        <v>29.29</v>
      </c>
      <c r="R257" s="2">
        <f t="shared" si="203"/>
        <v>1949.54</v>
      </c>
      <c r="S257" s="2">
        <f t="shared" si="204"/>
        <v>194.95</v>
      </c>
      <c r="T257" s="2">
        <f t="shared" si="205"/>
        <v>32.54</v>
      </c>
      <c r="U257" s="2">
        <f t="shared" si="206"/>
        <v>3.25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7">
        <v>524012</v>
      </c>
      <c r="AB257" s="14" t="s">
        <v>714</v>
      </c>
      <c r="AC257" s="15" t="s">
        <v>890</v>
      </c>
      <c r="AD257" s="2">
        <v>5102401</v>
      </c>
      <c r="AE257" s="2">
        <v>0</v>
      </c>
      <c r="AF257" s="2">
        <v>2</v>
      </c>
      <c r="AG257" s="2">
        <v>8</v>
      </c>
      <c r="AH257" s="2">
        <v>1</v>
      </c>
      <c r="AI257" s="2"/>
      <c r="AJ257">
        <v>1</v>
      </c>
      <c r="AK257" s="1">
        <f t="shared" si="207"/>
        <v>113.14204730090515</v>
      </c>
      <c r="AL257">
        <v>9</v>
      </c>
      <c r="AM257">
        <f t="shared" si="213"/>
        <v>266.24</v>
      </c>
      <c r="AN257">
        <f t="shared" si="214"/>
        <v>26.624000000000002</v>
      </c>
      <c r="AO257">
        <f t="shared" si="215"/>
        <v>1772.3076923076919</v>
      </c>
      <c r="AP257">
        <f t="shared" si="216"/>
        <v>177.2307692307692</v>
      </c>
      <c r="AQ257">
        <f t="shared" si="217"/>
        <v>29.582222222222224</v>
      </c>
      <c r="AR257">
        <f t="shared" si="211"/>
        <v>2.9582222222222225</v>
      </c>
      <c r="AS257">
        <f t="shared" si="218"/>
        <v>1.6</v>
      </c>
      <c r="AT257">
        <f t="shared" si="219"/>
        <v>1.5</v>
      </c>
      <c r="AU257">
        <f t="shared" si="220"/>
        <v>6</v>
      </c>
      <c r="AV257">
        <f t="shared" si="208"/>
        <v>4012</v>
      </c>
      <c r="AW257" s="1">
        <v>1</v>
      </c>
      <c r="AX257">
        <v>5</v>
      </c>
      <c r="AY257">
        <v>0.1</v>
      </c>
      <c r="BA257">
        <v>4</v>
      </c>
      <c r="BB257">
        <v>2</v>
      </c>
      <c r="CA257" t="str">
        <f t="shared" si="212"/>
        <v>1545013,2545013,3545013</v>
      </c>
      <c r="CB257">
        <v>1545013</v>
      </c>
      <c r="CC257">
        <v>2545013</v>
      </c>
      <c r="CD257">
        <v>3545013</v>
      </c>
      <c r="CH257" t="str">
        <f t="shared" si="198"/>
        <v>DATA_Class_Base37</v>
      </c>
      <c r="CI257" s="3" t="s">
        <v>402</v>
      </c>
    </row>
    <row r="258" spans="1:87">
      <c r="A258">
        <f t="shared" si="209"/>
        <v>5092402</v>
      </c>
      <c r="B258" s="2" t="s">
        <v>526</v>
      </c>
      <c r="C258">
        <v>9</v>
      </c>
      <c r="D258">
        <v>4</v>
      </c>
      <c r="E258">
        <v>2</v>
      </c>
      <c r="F258" s="3" t="s">
        <v>528</v>
      </c>
      <c r="G258" s="3" t="s">
        <v>528</v>
      </c>
      <c r="H258">
        <v>0</v>
      </c>
      <c r="I258">
        <v>0</v>
      </c>
      <c r="J258">
        <v>0</v>
      </c>
      <c r="K258" s="2" t="s">
        <v>250</v>
      </c>
      <c r="L258" s="2">
        <f t="shared" si="210"/>
        <v>6</v>
      </c>
      <c r="M258" s="2">
        <f t="shared" si="199"/>
        <v>1.5</v>
      </c>
      <c r="N258" s="2">
        <f t="shared" si="200"/>
        <v>1.5</v>
      </c>
      <c r="O258" s="2">
        <v>10</v>
      </c>
      <c r="P258" s="2">
        <f t="shared" si="201"/>
        <v>295.68</v>
      </c>
      <c r="Q258" s="2">
        <f t="shared" si="202"/>
        <v>29.57</v>
      </c>
      <c r="R258" s="2">
        <f t="shared" si="203"/>
        <v>1810.29</v>
      </c>
      <c r="S258" s="2">
        <f t="shared" si="204"/>
        <v>181.03</v>
      </c>
      <c r="T258" s="2">
        <f t="shared" si="205"/>
        <v>36.96</v>
      </c>
      <c r="U258" s="2">
        <f t="shared" si="206"/>
        <v>3.7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7">
        <v>524022</v>
      </c>
      <c r="AB258" s="14" t="s">
        <v>715</v>
      </c>
      <c r="AC258" s="15" t="s">
        <v>890</v>
      </c>
      <c r="AD258" s="2">
        <v>5102402</v>
      </c>
      <c r="AE258" s="2">
        <v>0</v>
      </c>
      <c r="AF258" s="2">
        <v>2</v>
      </c>
      <c r="AG258" s="2">
        <v>8</v>
      </c>
      <c r="AH258" s="2">
        <v>1</v>
      </c>
      <c r="AI258" s="2"/>
      <c r="AJ258">
        <v>1</v>
      </c>
      <c r="AK258" s="1">
        <f t="shared" si="207"/>
        <v>113.24279957445435</v>
      </c>
      <c r="AL258">
        <v>9</v>
      </c>
      <c r="AM258">
        <f t="shared" si="213"/>
        <v>268.7999999999999</v>
      </c>
      <c r="AN258">
        <f t="shared" si="214"/>
        <v>26.879999999999992</v>
      </c>
      <c r="AO258">
        <f t="shared" si="215"/>
        <v>1645.7142857142858</v>
      </c>
      <c r="AP258">
        <f t="shared" si="216"/>
        <v>164.57142857142858</v>
      </c>
      <c r="AQ258">
        <f t="shared" si="217"/>
        <v>33.599999999999987</v>
      </c>
      <c r="AR258">
        <f t="shared" si="211"/>
        <v>3.359999999999999</v>
      </c>
      <c r="AS258">
        <f t="shared" si="218"/>
        <v>1.5</v>
      </c>
      <c r="AT258">
        <f t="shared" si="219"/>
        <v>1.5</v>
      </c>
      <c r="AU258">
        <f t="shared" si="220"/>
        <v>6</v>
      </c>
      <c r="AV258">
        <f t="shared" si="208"/>
        <v>4022</v>
      </c>
      <c r="AW258" s="1">
        <v>2</v>
      </c>
      <c r="AX258">
        <v>5</v>
      </c>
      <c r="AY258">
        <v>0.1</v>
      </c>
      <c r="BA258">
        <v>4</v>
      </c>
      <c r="BB258">
        <v>2</v>
      </c>
      <c r="CA258" t="str">
        <f t="shared" si="212"/>
        <v>1546003,2546003,3546003</v>
      </c>
      <c r="CB258">
        <v>1546003</v>
      </c>
      <c r="CC258">
        <v>2546003</v>
      </c>
      <c r="CD258">
        <v>3546003</v>
      </c>
      <c r="CH258" t="str">
        <f t="shared" si="198"/>
        <v>DATA_Class_Base38</v>
      </c>
      <c r="CI258" s="3" t="s">
        <v>198</v>
      </c>
    </row>
    <row r="259" spans="1:87">
      <c r="A259">
        <f t="shared" si="209"/>
        <v>5092502</v>
      </c>
      <c r="B259" s="2" t="s">
        <v>535</v>
      </c>
      <c r="C259">
        <v>9</v>
      </c>
      <c r="D259">
        <v>5</v>
      </c>
      <c r="E259">
        <v>2</v>
      </c>
      <c r="F259" s="3" t="s">
        <v>537</v>
      </c>
      <c r="G259" s="3" t="s">
        <v>537</v>
      </c>
      <c r="H259">
        <v>0</v>
      </c>
      <c r="I259">
        <v>0</v>
      </c>
      <c r="J259" s="2">
        <v>0</v>
      </c>
      <c r="K259" s="2" t="s">
        <v>291</v>
      </c>
      <c r="L259" s="2">
        <f t="shared" si="210"/>
        <v>6</v>
      </c>
      <c r="M259" s="2">
        <f t="shared" si="199"/>
        <v>1.4000000000000001</v>
      </c>
      <c r="N259" s="2">
        <f t="shared" si="200"/>
        <v>2</v>
      </c>
      <c r="O259" s="2">
        <v>10</v>
      </c>
      <c r="P259" s="2">
        <f t="shared" si="201"/>
        <v>305.54000000000002</v>
      </c>
      <c r="Q259" s="2">
        <f t="shared" si="202"/>
        <v>30.55</v>
      </c>
      <c r="R259" s="2">
        <f t="shared" si="203"/>
        <v>1635.1</v>
      </c>
      <c r="S259" s="2">
        <f t="shared" si="204"/>
        <v>163.51</v>
      </c>
      <c r="T259" s="2">
        <f t="shared" si="205"/>
        <v>30.55</v>
      </c>
      <c r="U259" s="2">
        <f t="shared" si="206"/>
        <v>3.06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7">
        <v>525022</v>
      </c>
      <c r="AB259" s="14" t="s">
        <v>717</v>
      </c>
      <c r="AC259" s="15" t="s">
        <v>890</v>
      </c>
      <c r="AD259" s="2">
        <v>5102502</v>
      </c>
      <c r="AE259" s="2">
        <v>0</v>
      </c>
      <c r="AF259" s="2">
        <v>2</v>
      </c>
      <c r="AG259" s="2">
        <v>8</v>
      </c>
      <c r="AH259" s="2">
        <v>1</v>
      </c>
      <c r="AI259" s="2"/>
      <c r="AJ259">
        <v>1</v>
      </c>
      <c r="AK259" s="1">
        <f t="shared" si="207"/>
        <v>113.09681174949388</v>
      </c>
      <c r="AL259">
        <v>9</v>
      </c>
      <c r="AM259">
        <f t="shared" si="213"/>
        <v>277.75999999999993</v>
      </c>
      <c r="AN259">
        <f t="shared" si="214"/>
        <v>27.775999999999996</v>
      </c>
      <c r="AO259">
        <f t="shared" si="215"/>
        <v>1486.4516129032259</v>
      </c>
      <c r="AP259">
        <f t="shared" si="216"/>
        <v>148.64516129032259</v>
      </c>
      <c r="AQ259">
        <f t="shared" si="217"/>
        <v>27.775999999999993</v>
      </c>
      <c r="AR259">
        <f t="shared" si="211"/>
        <v>2.7775999999999996</v>
      </c>
      <c r="AS259">
        <f t="shared" si="218"/>
        <v>1.4</v>
      </c>
      <c r="AT259">
        <f t="shared" si="219"/>
        <v>2</v>
      </c>
      <c r="AU259">
        <f t="shared" si="220"/>
        <v>6</v>
      </c>
      <c r="AV259">
        <f t="shared" si="208"/>
        <v>5022</v>
      </c>
      <c r="AW259" s="1">
        <v>2</v>
      </c>
      <c r="AX259">
        <v>5</v>
      </c>
      <c r="AY259">
        <v>0.1</v>
      </c>
      <c r="BA259">
        <v>5</v>
      </c>
      <c r="BB259">
        <v>2</v>
      </c>
      <c r="CA259" t="str">
        <f t="shared" si="212"/>
        <v>1546023,2546023,3546023</v>
      </c>
      <c r="CB259">
        <v>1546023</v>
      </c>
      <c r="CC259">
        <v>2546023</v>
      </c>
      <c r="CD259">
        <v>3546023</v>
      </c>
      <c r="CH259" t="str">
        <f t="shared" si="198"/>
        <v>DATA_Class_Base39</v>
      </c>
      <c r="CI259" s="3" t="s">
        <v>407</v>
      </c>
    </row>
    <row r="260" spans="1:87">
      <c r="A260">
        <f t="shared" si="209"/>
        <v>5093200</v>
      </c>
      <c r="B260" s="2" t="s">
        <v>544</v>
      </c>
      <c r="C260">
        <v>9</v>
      </c>
      <c r="D260">
        <v>2</v>
      </c>
      <c r="E260">
        <v>3</v>
      </c>
      <c r="F260" s="3" t="s">
        <v>546</v>
      </c>
      <c r="G260" s="3" t="s">
        <v>546</v>
      </c>
      <c r="H260">
        <v>0</v>
      </c>
      <c r="I260">
        <v>0</v>
      </c>
      <c r="J260">
        <v>0</v>
      </c>
      <c r="K260" s="2" t="s">
        <v>314</v>
      </c>
      <c r="L260" s="2">
        <f t="shared" si="210"/>
        <v>3</v>
      </c>
      <c r="M260" s="2">
        <f t="shared" si="199"/>
        <v>1.5</v>
      </c>
      <c r="N260" s="2">
        <f t="shared" si="200"/>
        <v>1.2</v>
      </c>
      <c r="O260" s="2">
        <v>10</v>
      </c>
      <c r="P260" s="2">
        <f t="shared" si="201"/>
        <v>147.84</v>
      </c>
      <c r="Q260" s="2">
        <f t="shared" si="202"/>
        <v>14.78</v>
      </c>
      <c r="R260" s="2">
        <f t="shared" si="203"/>
        <v>3620.57</v>
      </c>
      <c r="S260" s="2">
        <f t="shared" si="204"/>
        <v>362.06</v>
      </c>
      <c r="T260" s="2">
        <f t="shared" si="205"/>
        <v>73.92</v>
      </c>
      <c r="U260" s="2">
        <f t="shared" si="206"/>
        <v>7.39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7">
        <v>532002</v>
      </c>
      <c r="AB260" s="14" t="s">
        <v>719</v>
      </c>
      <c r="AC260" s="15" t="s">
        <v>890</v>
      </c>
      <c r="AD260" s="2">
        <v>5103200</v>
      </c>
      <c r="AE260" s="2">
        <v>0</v>
      </c>
      <c r="AF260" s="2">
        <v>2</v>
      </c>
      <c r="AG260" s="2">
        <v>8</v>
      </c>
      <c r="AH260" s="2">
        <v>1</v>
      </c>
      <c r="AI260" s="2"/>
      <c r="AJ260">
        <v>1</v>
      </c>
      <c r="AK260" s="1">
        <f t="shared" si="207"/>
        <v>114.09245160452123</v>
      </c>
      <c r="AL260">
        <v>9</v>
      </c>
      <c r="AM260">
        <f t="shared" si="213"/>
        <v>134.39999999999995</v>
      </c>
      <c r="AN260">
        <f t="shared" si="214"/>
        <v>13.439999999999996</v>
      </c>
      <c r="AO260">
        <f t="shared" si="215"/>
        <v>3291.4285714285716</v>
      </c>
      <c r="AP260">
        <f t="shared" si="216"/>
        <v>329.14285714285717</v>
      </c>
      <c r="AQ260">
        <f t="shared" si="217"/>
        <v>67.199999999999974</v>
      </c>
      <c r="AR260">
        <f t="shared" si="211"/>
        <v>6.719999999999998</v>
      </c>
      <c r="AS260">
        <f t="shared" si="218"/>
        <v>1.5</v>
      </c>
      <c r="AT260">
        <f t="shared" si="219"/>
        <v>1.2</v>
      </c>
      <c r="AU260">
        <f t="shared" si="220"/>
        <v>3</v>
      </c>
      <c r="AV260">
        <f t="shared" si="208"/>
        <v>2003</v>
      </c>
      <c r="AW260" s="1">
        <v>0</v>
      </c>
      <c r="AX260">
        <v>5</v>
      </c>
      <c r="AY260">
        <v>0.1</v>
      </c>
      <c r="BA260">
        <v>2</v>
      </c>
      <c r="BB260">
        <v>3</v>
      </c>
      <c r="CA260" t="str">
        <f t="shared" si="212"/>
        <v>1552023,2552023,3552023</v>
      </c>
      <c r="CB260">
        <v>1552023</v>
      </c>
      <c r="CC260">
        <v>2552023</v>
      </c>
      <c r="CD260">
        <v>3552023</v>
      </c>
      <c r="CH260" t="str">
        <f t="shared" si="198"/>
        <v>DATA_Class_Base30</v>
      </c>
      <c r="CI260" s="3" t="s">
        <v>381</v>
      </c>
    </row>
    <row r="261" spans="1:87">
      <c r="A261">
        <f t="shared" si="209"/>
        <v>5093202</v>
      </c>
      <c r="B261" s="2" t="s">
        <v>552</v>
      </c>
      <c r="C261">
        <v>9</v>
      </c>
      <c r="D261">
        <v>2</v>
      </c>
      <c r="E261">
        <v>3</v>
      </c>
      <c r="F261" s="3" t="s">
        <v>554</v>
      </c>
      <c r="G261" s="3" t="s">
        <v>554</v>
      </c>
      <c r="H261">
        <v>0</v>
      </c>
      <c r="I261">
        <v>0</v>
      </c>
      <c r="J261">
        <v>0</v>
      </c>
      <c r="K261" s="8" t="s">
        <v>555</v>
      </c>
      <c r="L261" s="2">
        <f t="shared" si="210"/>
        <v>3</v>
      </c>
      <c r="M261" s="2">
        <f t="shared" si="199"/>
        <v>1.8</v>
      </c>
      <c r="N261" s="2">
        <f t="shared" si="200"/>
        <v>2</v>
      </c>
      <c r="O261" s="2">
        <v>10</v>
      </c>
      <c r="P261" s="2">
        <f t="shared" si="201"/>
        <v>228.1</v>
      </c>
      <c r="Q261" s="2">
        <f t="shared" si="202"/>
        <v>22.81</v>
      </c>
      <c r="R261" s="2">
        <f t="shared" si="203"/>
        <v>2816</v>
      </c>
      <c r="S261" s="2">
        <f t="shared" si="204"/>
        <v>281.60000000000002</v>
      </c>
      <c r="T261" s="2">
        <f t="shared" si="205"/>
        <v>76.03</v>
      </c>
      <c r="U261" s="2">
        <f t="shared" si="206"/>
        <v>7.6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7">
        <v>532022</v>
      </c>
      <c r="AB261" s="14" t="s">
        <v>721</v>
      </c>
      <c r="AC261" s="15" t="s">
        <v>890</v>
      </c>
      <c r="AD261" s="2">
        <v>5103202</v>
      </c>
      <c r="AE261" s="2">
        <v>0</v>
      </c>
      <c r="AF261" s="2">
        <v>2</v>
      </c>
      <c r="AG261" s="2">
        <v>8</v>
      </c>
      <c r="AH261" s="2">
        <v>1</v>
      </c>
      <c r="AI261" s="2"/>
      <c r="AJ261">
        <v>1</v>
      </c>
      <c r="AK261" s="1">
        <f t="shared" si="207"/>
        <v>114.14138840869802</v>
      </c>
      <c r="AL261">
        <v>9</v>
      </c>
      <c r="AM261">
        <f t="shared" si="213"/>
        <v>207.36</v>
      </c>
      <c r="AN261">
        <f t="shared" si="214"/>
        <v>20.736000000000004</v>
      </c>
      <c r="AO261">
        <f t="shared" si="215"/>
        <v>2560</v>
      </c>
      <c r="AP261">
        <f t="shared" si="216"/>
        <v>256</v>
      </c>
      <c r="AQ261">
        <f t="shared" si="217"/>
        <v>69.12</v>
      </c>
      <c r="AR261">
        <f t="shared" si="211"/>
        <v>6.9120000000000008</v>
      </c>
      <c r="AS261">
        <f t="shared" si="218"/>
        <v>1.8</v>
      </c>
      <c r="AT261">
        <f t="shared" si="219"/>
        <v>2</v>
      </c>
      <c r="AU261">
        <f t="shared" si="220"/>
        <v>3</v>
      </c>
      <c r="AV261">
        <f t="shared" si="208"/>
        <v>2023</v>
      </c>
      <c r="AW261" s="1">
        <v>2</v>
      </c>
      <c r="AX261">
        <v>5</v>
      </c>
      <c r="AY261">
        <v>0.1</v>
      </c>
      <c r="BA261">
        <v>2</v>
      </c>
      <c r="BB261">
        <v>3</v>
      </c>
      <c r="CA261" t="str">
        <f t="shared" si="212"/>
        <v>1553003,2553003,3553003</v>
      </c>
      <c r="CB261">
        <v>1553003</v>
      </c>
      <c r="CC261">
        <v>2553003</v>
      </c>
      <c r="CD261">
        <v>3553003</v>
      </c>
      <c r="CH261" t="str">
        <f t="shared" si="198"/>
        <v>DATA_Class_Base40</v>
      </c>
      <c r="CI261" s="3" t="s">
        <v>411</v>
      </c>
    </row>
    <row r="262" spans="1:87">
      <c r="A262">
        <f t="shared" si="209"/>
        <v>5093301</v>
      </c>
      <c r="B262" s="2" t="s">
        <v>557</v>
      </c>
      <c r="C262">
        <v>9</v>
      </c>
      <c r="D262">
        <v>3</v>
      </c>
      <c r="E262">
        <v>3</v>
      </c>
      <c r="F262" s="3" t="s">
        <v>559</v>
      </c>
      <c r="G262" s="3" t="s">
        <v>559</v>
      </c>
      <c r="H262">
        <v>0</v>
      </c>
      <c r="I262">
        <v>0</v>
      </c>
      <c r="J262" s="2">
        <v>0</v>
      </c>
      <c r="K262" s="8" t="s">
        <v>555</v>
      </c>
      <c r="L262" s="2">
        <f t="shared" si="210"/>
        <v>3</v>
      </c>
      <c r="M262" s="2">
        <f t="shared" si="199"/>
        <v>1.2</v>
      </c>
      <c r="N262" s="2">
        <f t="shared" si="200"/>
        <v>1.4000000000000001</v>
      </c>
      <c r="O262" s="2">
        <v>10</v>
      </c>
      <c r="P262" s="2">
        <f t="shared" si="201"/>
        <v>202.75</v>
      </c>
      <c r="Q262" s="2">
        <f t="shared" si="202"/>
        <v>20.28</v>
      </c>
      <c r="R262" s="2">
        <f t="shared" si="203"/>
        <v>2112</v>
      </c>
      <c r="S262" s="2">
        <f t="shared" si="204"/>
        <v>211.2</v>
      </c>
      <c r="T262" s="2">
        <f t="shared" si="205"/>
        <v>40.549999999999997</v>
      </c>
      <c r="U262" s="2">
        <f t="shared" si="206"/>
        <v>4.0599999999999996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7">
        <v>533012</v>
      </c>
      <c r="AB262" s="14" t="s">
        <v>722</v>
      </c>
      <c r="AC262" s="15" t="s">
        <v>890</v>
      </c>
      <c r="AD262" s="2">
        <v>5103301</v>
      </c>
      <c r="AE262" s="2">
        <v>0</v>
      </c>
      <c r="AF262" s="2">
        <v>2</v>
      </c>
      <c r="AG262" s="2">
        <v>8</v>
      </c>
      <c r="AH262" s="2">
        <v>1</v>
      </c>
      <c r="AI262" s="2"/>
      <c r="AJ262">
        <v>1</v>
      </c>
      <c r="AK262" s="1">
        <f t="shared" si="207"/>
        <v>113.32478184675978</v>
      </c>
      <c r="AL262">
        <v>9</v>
      </c>
      <c r="AM262">
        <f t="shared" si="213"/>
        <v>184.32</v>
      </c>
      <c r="AN262">
        <f t="shared" si="214"/>
        <v>18.431999999999999</v>
      </c>
      <c r="AO262">
        <f t="shared" si="215"/>
        <v>1920</v>
      </c>
      <c r="AP262">
        <f t="shared" si="216"/>
        <v>192</v>
      </c>
      <c r="AQ262">
        <f t="shared" si="217"/>
        <v>36.863999999999997</v>
      </c>
      <c r="AR262">
        <f t="shared" si="211"/>
        <v>3.6863999999999999</v>
      </c>
      <c r="AS262">
        <f t="shared" si="218"/>
        <v>1.2</v>
      </c>
      <c r="AT262">
        <f t="shared" si="219"/>
        <v>1.4</v>
      </c>
      <c r="AU262">
        <f t="shared" si="220"/>
        <v>3</v>
      </c>
      <c r="AV262">
        <f t="shared" si="208"/>
        <v>3013</v>
      </c>
      <c r="AW262" s="1">
        <v>1</v>
      </c>
      <c r="AX262">
        <v>5</v>
      </c>
      <c r="AY262">
        <v>0.1</v>
      </c>
      <c r="BA262">
        <v>3</v>
      </c>
      <c r="BB262">
        <v>3</v>
      </c>
      <c r="CA262" t="str">
        <f t="shared" si="212"/>
        <v>1553023,2553023,3553023</v>
      </c>
      <c r="CB262">
        <v>1553023</v>
      </c>
      <c r="CC262">
        <v>2553023</v>
      </c>
      <c r="CD262">
        <v>3553023</v>
      </c>
      <c r="CH262" t="str">
        <f t="shared" si="198"/>
        <v>DATA_Class_Base41</v>
      </c>
      <c r="CI262" s="3" t="s">
        <v>413</v>
      </c>
    </row>
    <row r="263" spans="1:87">
      <c r="A263">
        <f t="shared" si="209"/>
        <v>5093401</v>
      </c>
      <c r="B263" s="2" t="s">
        <v>561</v>
      </c>
      <c r="C263">
        <v>9</v>
      </c>
      <c r="D263">
        <v>4</v>
      </c>
      <c r="E263">
        <v>3</v>
      </c>
      <c r="F263" s="3" t="s">
        <v>563</v>
      </c>
      <c r="G263" s="3" t="s">
        <v>563</v>
      </c>
      <c r="H263">
        <v>0</v>
      </c>
      <c r="I263">
        <v>0</v>
      </c>
      <c r="J263">
        <v>0</v>
      </c>
      <c r="K263" s="8" t="s">
        <v>161</v>
      </c>
      <c r="L263" s="2">
        <f t="shared" si="210"/>
        <v>6</v>
      </c>
      <c r="M263" s="2">
        <f t="shared" si="199"/>
        <v>1.6</v>
      </c>
      <c r="N263" s="2">
        <f t="shared" si="200"/>
        <v>1.5</v>
      </c>
      <c r="O263" s="2">
        <v>10</v>
      </c>
      <c r="P263" s="2">
        <f t="shared" si="201"/>
        <v>270.33999999999997</v>
      </c>
      <c r="Q263" s="2">
        <f t="shared" si="202"/>
        <v>27.03</v>
      </c>
      <c r="R263" s="2">
        <f t="shared" si="203"/>
        <v>2112</v>
      </c>
      <c r="S263" s="2">
        <f t="shared" si="204"/>
        <v>211.2</v>
      </c>
      <c r="T263" s="2">
        <f t="shared" si="205"/>
        <v>45.06</v>
      </c>
      <c r="U263" s="2">
        <f t="shared" si="206"/>
        <v>4.51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7">
        <v>534012</v>
      </c>
      <c r="AB263" s="14" t="s">
        <v>723</v>
      </c>
      <c r="AC263" s="15" t="s">
        <v>890</v>
      </c>
      <c r="AD263" s="2">
        <v>5103401</v>
      </c>
      <c r="AE263" s="2">
        <v>0</v>
      </c>
      <c r="AF263" s="2">
        <v>2</v>
      </c>
      <c r="AG263" s="2">
        <v>8</v>
      </c>
      <c r="AH263" s="2">
        <v>1</v>
      </c>
      <c r="AI263" s="2"/>
      <c r="AJ263">
        <v>1</v>
      </c>
      <c r="AK263" s="1">
        <f t="shared" si="207"/>
        <v>113.42782965861973</v>
      </c>
      <c r="AL263">
        <v>9</v>
      </c>
      <c r="AM263">
        <f t="shared" si="213"/>
        <v>245.76</v>
      </c>
      <c r="AN263">
        <f t="shared" si="214"/>
        <v>24.576000000000001</v>
      </c>
      <c r="AO263">
        <f t="shared" si="215"/>
        <v>1920</v>
      </c>
      <c r="AP263">
        <f t="shared" si="216"/>
        <v>192</v>
      </c>
      <c r="AQ263">
        <f t="shared" si="217"/>
        <v>40.96</v>
      </c>
      <c r="AR263">
        <f t="shared" si="211"/>
        <v>4.0960000000000001</v>
      </c>
      <c r="AS263">
        <f t="shared" si="218"/>
        <v>1.6</v>
      </c>
      <c r="AT263">
        <f t="shared" si="219"/>
        <v>1.5</v>
      </c>
      <c r="AU263">
        <f t="shared" si="220"/>
        <v>6</v>
      </c>
      <c r="AV263">
        <f t="shared" si="208"/>
        <v>4013</v>
      </c>
      <c r="AW263" s="1">
        <v>1</v>
      </c>
      <c r="AX263">
        <v>5</v>
      </c>
      <c r="AY263">
        <v>0.1</v>
      </c>
      <c r="BA263">
        <v>4</v>
      </c>
      <c r="BB263">
        <v>3</v>
      </c>
      <c r="CA263" t="str">
        <f t="shared" si="212"/>
        <v>1554003,2554003,3554003</v>
      </c>
      <c r="CB263">
        <v>1554003</v>
      </c>
      <c r="CC263">
        <v>2554003</v>
      </c>
      <c r="CD263">
        <v>3554003</v>
      </c>
      <c r="CH263" t="str">
        <f t="shared" si="198"/>
        <v>DATA_Class_Base42</v>
      </c>
      <c r="CI263" s="3" t="s">
        <v>174</v>
      </c>
    </row>
    <row r="264" spans="1:87">
      <c r="A264">
        <f t="shared" si="209"/>
        <v>5093402</v>
      </c>
      <c r="B264" s="2" t="s">
        <v>565</v>
      </c>
      <c r="C264">
        <v>9</v>
      </c>
      <c r="D264">
        <v>4</v>
      </c>
      <c r="E264">
        <v>3</v>
      </c>
      <c r="F264" s="3" t="s">
        <v>567</v>
      </c>
      <c r="G264" s="3" t="s">
        <v>567</v>
      </c>
      <c r="H264">
        <v>0</v>
      </c>
      <c r="I264">
        <v>0</v>
      </c>
      <c r="J264" s="2">
        <v>0</v>
      </c>
      <c r="K264" s="8" t="s">
        <v>568</v>
      </c>
      <c r="L264" s="2">
        <f t="shared" si="210"/>
        <v>6</v>
      </c>
      <c r="M264" s="2">
        <f t="shared" si="199"/>
        <v>1.5</v>
      </c>
      <c r="N264" s="2">
        <f t="shared" si="200"/>
        <v>1.5</v>
      </c>
      <c r="O264" s="2">
        <v>10</v>
      </c>
      <c r="P264" s="2">
        <f t="shared" si="201"/>
        <v>274.56</v>
      </c>
      <c r="Q264" s="2">
        <f t="shared" si="202"/>
        <v>27.46</v>
      </c>
      <c r="R264" s="2">
        <f t="shared" si="203"/>
        <v>1949.54</v>
      </c>
      <c r="S264" s="2">
        <f t="shared" si="204"/>
        <v>194.95</v>
      </c>
      <c r="T264" s="2">
        <f t="shared" si="205"/>
        <v>39.22</v>
      </c>
      <c r="U264" s="2">
        <f t="shared" si="206"/>
        <v>3.92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7">
        <v>534022</v>
      </c>
      <c r="AB264" s="14" t="s">
        <v>724</v>
      </c>
      <c r="AC264" s="15" t="s">
        <v>890</v>
      </c>
      <c r="AD264" s="2">
        <v>5103402</v>
      </c>
      <c r="AE264" s="2">
        <v>0</v>
      </c>
      <c r="AF264" s="2">
        <v>2</v>
      </c>
      <c r="AG264" s="2">
        <v>8</v>
      </c>
      <c r="AH264" s="2">
        <v>1</v>
      </c>
      <c r="AI264" s="2"/>
      <c r="AJ264">
        <v>1</v>
      </c>
      <c r="AK264" s="1">
        <f t="shared" si="207"/>
        <v>113.29445524664335</v>
      </c>
      <c r="AL264">
        <v>9</v>
      </c>
      <c r="AM264">
        <f t="shared" si="213"/>
        <v>249.6</v>
      </c>
      <c r="AN264">
        <f t="shared" si="214"/>
        <v>24.96</v>
      </c>
      <c r="AO264">
        <f t="shared" si="215"/>
        <v>1772.3076923076919</v>
      </c>
      <c r="AP264">
        <f t="shared" si="216"/>
        <v>177.2307692307692</v>
      </c>
      <c r="AQ264">
        <f t="shared" si="217"/>
        <v>35.657142857142858</v>
      </c>
      <c r="AR264">
        <f t="shared" si="211"/>
        <v>3.5657142857142858</v>
      </c>
      <c r="AS264">
        <f t="shared" si="218"/>
        <v>1.5</v>
      </c>
      <c r="AT264">
        <f t="shared" si="219"/>
        <v>1.5</v>
      </c>
      <c r="AU264">
        <f t="shared" si="220"/>
        <v>6</v>
      </c>
      <c r="AV264">
        <f t="shared" si="208"/>
        <v>4023</v>
      </c>
      <c r="AW264" s="1">
        <v>2</v>
      </c>
      <c r="AX264">
        <v>5</v>
      </c>
      <c r="AY264">
        <v>0.1</v>
      </c>
      <c r="BA264">
        <v>4</v>
      </c>
      <c r="BB264">
        <v>3</v>
      </c>
      <c r="CA264" t="str">
        <f t="shared" si="212"/>
        <v>1555013,2555013,3555013</v>
      </c>
      <c r="CB264">
        <v>1555013</v>
      </c>
      <c r="CC264">
        <v>2555013</v>
      </c>
      <c r="CD264">
        <v>3555013</v>
      </c>
      <c r="CH264" t="str">
        <f t="shared" si="198"/>
        <v>DATA_Class_Base37</v>
      </c>
      <c r="CI264" s="3" t="s">
        <v>402</v>
      </c>
    </row>
    <row r="265" spans="1:87">
      <c r="A265">
        <f t="shared" si="209"/>
        <v>5093502</v>
      </c>
      <c r="B265" s="2" t="s">
        <v>574</v>
      </c>
      <c r="C265">
        <v>9</v>
      </c>
      <c r="D265">
        <v>5</v>
      </c>
      <c r="E265">
        <v>3</v>
      </c>
      <c r="F265" s="3" t="s">
        <v>576</v>
      </c>
      <c r="G265" s="3" t="s">
        <v>576</v>
      </c>
      <c r="H265">
        <v>0</v>
      </c>
      <c r="I265">
        <v>0</v>
      </c>
      <c r="J265" s="2">
        <v>0</v>
      </c>
      <c r="K265" s="8" t="s">
        <v>577</v>
      </c>
      <c r="L265" s="2">
        <f t="shared" si="210"/>
        <v>6</v>
      </c>
      <c r="M265" s="2">
        <f t="shared" si="199"/>
        <v>1.4000000000000001</v>
      </c>
      <c r="N265" s="2">
        <f t="shared" si="200"/>
        <v>2</v>
      </c>
      <c r="O265" s="2">
        <v>10</v>
      </c>
      <c r="P265" s="2">
        <f t="shared" si="201"/>
        <v>266.11</v>
      </c>
      <c r="Q265" s="2">
        <f t="shared" si="202"/>
        <v>26.61</v>
      </c>
      <c r="R265" s="2">
        <f t="shared" si="203"/>
        <v>1877.33</v>
      </c>
      <c r="S265" s="2">
        <f t="shared" si="204"/>
        <v>187.73</v>
      </c>
      <c r="T265" s="2">
        <f t="shared" si="205"/>
        <v>38.020000000000003</v>
      </c>
      <c r="U265" s="2">
        <f t="shared" si="206"/>
        <v>3.8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535022</v>
      </c>
      <c r="AB265" s="14" t="s">
        <v>726</v>
      </c>
      <c r="AC265" s="15" t="s">
        <v>890</v>
      </c>
      <c r="AD265" s="2">
        <v>5103502</v>
      </c>
      <c r="AE265" s="2">
        <v>0</v>
      </c>
      <c r="AF265" s="2">
        <v>2</v>
      </c>
      <c r="AG265" s="2">
        <v>8</v>
      </c>
      <c r="AH265" s="2">
        <v>1</v>
      </c>
      <c r="AJ265">
        <v>1</v>
      </c>
      <c r="AK265" s="1">
        <f t="shared" si="207"/>
        <v>113.26689969173619</v>
      </c>
      <c r="AL265">
        <v>9</v>
      </c>
      <c r="AM265">
        <f t="shared" si="213"/>
        <v>241.92</v>
      </c>
      <c r="AN265">
        <f t="shared" si="214"/>
        <v>24.192</v>
      </c>
      <c r="AO265">
        <f t="shared" si="215"/>
        <v>1706.6666666666665</v>
      </c>
      <c r="AP265">
        <f t="shared" si="216"/>
        <v>170.66666666666666</v>
      </c>
      <c r="AQ265">
        <f t="shared" si="217"/>
        <v>34.559999999999995</v>
      </c>
      <c r="AR265">
        <f t="shared" si="211"/>
        <v>3.4559999999999995</v>
      </c>
      <c r="AS265">
        <f t="shared" si="218"/>
        <v>1.4</v>
      </c>
      <c r="AT265">
        <f t="shared" si="219"/>
        <v>2</v>
      </c>
      <c r="AU265">
        <f t="shared" si="220"/>
        <v>6</v>
      </c>
      <c r="AV265">
        <f t="shared" si="208"/>
        <v>5023</v>
      </c>
      <c r="AW265" s="1">
        <v>2</v>
      </c>
      <c r="AX265">
        <v>5</v>
      </c>
      <c r="AY265">
        <v>0.1</v>
      </c>
      <c r="BA265">
        <v>5</v>
      </c>
      <c r="BB265">
        <v>3</v>
      </c>
      <c r="CH265" t="str">
        <f t="shared" si="198"/>
        <v>DATA_Class_Base28</v>
      </c>
      <c r="CI265" s="3" t="s">
        <v>374</v>
      </c>
    </row>
    <row r="266" spans="1:87">
      <c r="A266">
        <f t="shared" si="209"/>
        <v>5093601</v>
      </c>
      <c r="B266" s="2" t="s">
        <v>579</v>
      </c>
      <c r="C266">
        <v>9</v>
      </c>
      <c r="D266">
        <v>6</v>
      </c>
      <c r="E266">
        <v>3</v>
      </c>
      <c r="F266" s="3" t="s">
        <v>581</v>
      </c>
      <c r="G266" s="3" t="s">
        <v>581</v>
      </c>
      <c r="H266">
        <v>0</v>
      </c>
      <c r="I266">
        <v>0</v>
      </c>
      <c r="J266">
        <v>0</v>
      </c>
      <c r="K266" s="2" t="s">
        <v>309</v>
      </c>
      <c r="L266" s="2">
        <f t="shared" si="210"/>
        <v>6</v>
      </c>
      <c r="M266" s="2">
        <f t="shared" si="199"/>
        <v>1.5</v>
      </c>
      <c r="N266" s="2">
        <f t="shared" si="200"/>
        <v>2</v>
      </c>
      <c r="O266" s="2">
        <v>10</v>
      </c>
      <c r="P266" s="2">
        <f t="shared" si="201"/>
        <v>190.08</v>
      </c>
      <c r="Q266" s="2">
        <f t="shared" si="202"/>
        <v>19.010000000000002</v>
      </c>
      <c r="R266" s="2">
        <f t="shared" si="203"/>
        <v>2816</v>
      </c>
      <c r="S266" s="2">
        <f t="shared" si="204"/>
        <v>281.60000000000002</v>
      </c>
      <c r="T266" s="2">
        <f t="shared" si="205"/>
        <v>63.36</v>
      </c>
      <c r="U266" s="2">
        <f t="shared" si="206"/>
        <v>6.34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536012</v>
      </c>
      <c r="AB266" s="14" t="s">
        <v>727</v>
      </c>
      <c r="AC266" s="15" t="s">
        <v>890</v>
      </c>
      <c r="AD266" s="2">
        <v>5103601</v>
      </c>
      <c r="AE266" s="2">
        <v>0</v>
      </c>
      <c r="AF266" s="2">
        <v>2</v>
      </c>
      <c r="AG266" s="2">
        <v>8</v>
      </c>
      <c r="AH266" s="2">
        <v>1</v>
      </c>
      <c r="AJ266">
        <v>1</v>
      </c>
      <c r="AK266" s="1">
        <f t="shared" si="207"/>
        <v>113.84839566992933</v>
      </c>
      <c r="AL266">
        <v>9</v>
      </c>
      <c r="AM266">
        <f t="shared" si="213"/>
        <v>172.79999999999998</v>
      </c>
      <c r="AN266">
        <f t="shared" si="214"/>
        <v>17.279999999999998</v>
      </c>
      <c r="AO266">
        <f t="shared" si="215"/>
        <v>2560</v>
      </c>
      <c r="AP266">
        <f t="shared" si="216"/>
        <v>256</v>
      </c>
      <c r="AQ266">
        <f t="shared" si="217"/>
        <v>57.599999999999994</v>
      </c>
      <c r="AR266">
        <f t="shared" si="211"/>
        <v>5.76</v>
      </c>
      <c r="AS266">
        <f t="shared" si="218"/>
        <v>1.5</v>
      </c>
      <c r="AT266">
        <f t="shared" si="219"/>
        <v>2</v>
      </c>
      <c r="AU266">
        <f t="shared" si="220"/>
        <v>6</v>
      </c>
      <c r="AV266">
        <f t="shared" si="208"/>
        <v>6013</v>
      </c>
      <c r="AW266" s="1">
        <v>1</v>
      </c>
      <c r="AX266">
        <v>5</v>
      </c>
      <c r="AY266">
        <v>0.1</v>
      </c>
      <c r="BA266">
        <v>6</v>
      </c>
      <c r="BB266">
        <v>3</v>
      </c>
      <c r="CH266" t="str">
        <f t="shared" si="198"/>
        <v>DATA_Class_Base29</v>
      </c>
      <c r="CI266" s="3" t="s">
        <v>378</v>
      </c>
    </row>
    <row r="267" spans="1:87">
      <c r="A267">
        <f t="shared" ref="A267:A274" si="221">AX267*1000000+C267*10000+E267*1000+D267*100+AW267</f>
        <v>5094201</v>
      </c>
      <c r="B267" s="2" t="s">
        <v>583</v>
      </c>
      <c r="C267">
        <v>9</v>
      </c>
      <c r="D267">
        <v>2</v>
      </c>
      <c r="E267">
        <v>4</v>
      </c>
      <c r="F267" s="3" t="s">
        <v>585</v>
      </c>
      <c r="G267" s="3" t="s">
        <v>585</v>
      </c>
      <c r="H267">
        <v>0</v>
      </c>
      <c r="I267">
        <v>0</v>
      </c>
      <c r="J267" s="30">
        <v>0</v>
      </c>
      <c r="K267" s="8" t="s">
        <v>555</v>
      </c>
      <c r="L267" s="2">
        <f t="shared" ref="L267:L274" si="222">AU267</f>
        <v>3</v>
      </c>
      <c r="M267" s="2">
        <f t="shared" ref="M267:M274" si="223">FLOOR(AS267/1,0.01)</f>
        <v>1.8</v>
      </c>
      <c r="N267" s="2">
        <f t="shared" ref="N267:N274" si="224">FLOOR(AT267/1,0.01)</f>
        <v>1.8</v>
      </c>
      <c r="O267" s="2">
        <v>10</v>
      </c>
      <c r="P267" s="2">
        <f t="shared" ref="P267:P274" si="225">ROUND(AM267*(1+$AY267),2)</f>
        <v>202.75</v>
      </c>
      <c r="Q267" s="2">
        <f t="shared" ref="Q267:Q274" si="226">ROUND(AN267*(1+$AY267),2)</f>
        <v>20.28</v>
      </c>
      <c r="R267" s="2">
        <f t="shared" ref="R267:R274" si="227">ROUND(AO267*(1+$AY267),2)</f>
        <v>3168</v>
      </c>
      <c r="S267" s="2">
        <f t="shared" ref="S267:S274" si="228">ROUND(AP267*(1+$AY267),2)</f>
        <v>316.8</v>
      </c>
      <c r="T267" s="2">
        <f t="shared" ref="T267:T274" si="229">ROUND(AQ267*(1+$AY267),2)</f>
        <v>77.98</v>
      </c>
      <c r="U267" s="2">
        <f t="shared" ref="U267:U274" si="230">ROUND(AR267*(1+$AY267),2)</f>
        <v>7.8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542012</v>
      </c>
      <c r="AB267" s="15" t="s">
        <v>728</v>
      </c>
      <c r="AC267" s="15" t="s">
        <v>890</v>
      </c>
      <c r="AD267" s="2">
        <v>5104201</v>
      </c>
      <c r="AE267" s="2">
        <v>0</v>
      </c>
      <c r="AF267" s="2">
        <v>1</v>
      </c>
      <c r="AG267" s="2">
        <v>5064201</v>
      </c>
      <c r="AH267" s="2">
        <v>1</v>
      </c>
      <c r="AI267" s="2"/>
      <c r="AJ267">
        <v>1</v>
      </c>
      <c r="AK267" s="1">
        <f t="shared" ref="AK267:AK274" si="231">(AO267+AP267*AJ267)*(AM267+AN267*AJ267)/AS267*(0.9)*(1+0.5*0.1)*1/1/(1-(AQ267+AR267*AJ267)*0.0002)/3000</f>
        <v>114.18659811859551</v>
      </c>
      <c r="AL267">
        <v>9</v>
      </c>
      <c r="AM267">
        <f t="shared" si="213"/>
        <v>184.32000000000002</v>
      </c>
      <c r="AN267">
        <f t="shared" si="214"/>
        <v>18.432000000000002</v>
      </c>
      <c r="AO267">
        <f t="shared" si="215"/>
        <v>2880</v>
      </c>
      <c r="AP267">
        <f t="shared" si="216"/>
        <v>288</v>
      </c>
      <c r="AQ267">
        <f t="shared" si="217"/>
        <v>70.892307692307696</v>
      </c>
      <c r="AR267">
        <f t="shared" ref="AR267:AR274" si="232">AQ267*0.1</f>
        <v>7.0892307692307703</v>
      </c>
      <c r="AS267">
        <f t="shared" si="218"/>
        <v>1.8</v>
      </c>
      <c r="AT267">
        <f t="shared" si="219"/>
        <v>1.8</v>
      </c>
      <c r="AU267">
        <f t="shared" si="220"/>
        <v>3</v>
      </c>
      <c r="AV267">
        <f t="shared" si="208"/>
        <v>2014</v>
      </c>
      <c r="AW267" s="1">
        <v>1</v>
      </c>
      <c r="AX267">
        <v>5</v>
      </c>
      <c r="AY267">
        <v>0.1</v>
      </c>
      <c r="BA267">
        <v>2</v>
      </c>
      <c r="BB267">
        <v>4</v>
      </c>
      <c r="CH267" t="str">
        <f t="shared" si="198"/>
        <v>DATA_Class_Base30</v>
      </c>
      <c r="CI267" s="3" t="s">
        <v>381</v>
      </c>
    </row>
    <row r="268" spans="1:87">
      <c r="A268">
        <f t="shared" si="221"/>
        <v>5094501</v>
      </c>
      <c r="B268" s="2" t="s">
        <v>592</v>
      </c>
      <c r="C268">
        <v>9</v>
      </c>
      <c r="D268">
        <v>5</v>
      </c>
      <c r="E268">
        <v>4</v>
      </c>
      <c r="F268" s="3" t="s">
        <v>594</v>
      </c>
      <c r="G268" s="3" t="s">
        <v>594</v>
      </c>
      <c r="H268">
        <v>0</v>
      </c>
      <c r="I268">
        <v>0</v>
      </c>
      <c r="J268">
        <v>0</v>
      </c>
      <c r="K268" s="2" t="s">
        <v>334</v>
      </c>
      <c r="L268" s="2">
        <f t="shared" si="222"/>
        <v>6</v>
      </c>
      <c r="M268" s="2">
        <f t="shared" si="223"/>
        <v>1.6</v>
      </c>
      <c r="N268" s="2">
        <f t="shared" si="224"/>
        <v>2</v>
      </c>
      <c r="O268" s="2">
        <v>10</v>
      </c>
      <c r="P268" s="2">
        <f t="shared" si="225"/>
        <v>292.86</v>
      </c>
      <c r="Q268" s="2">
        <f t="shared" si="226"/>
        <v>29.29</v>
      </c>
      <c r="R268" s="2">
        <f t="shared" si="227"/>
        <v>1949.54</v>
      </c>
      <c r="S268" s="2">
        <f t="shared" si="228"/>
        <v>194.95</v>
      </c>
      <c r="T268" s="2">
        <f t="shared" si="229"/>
        <v>32.54</v>
      </c>
      <c r="U268" s="2">
        <f t="shared" si="230"/>
        <v>3.25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545012</v>
      </c>
      <c r="AB268" s="14" t="s">
        <v>730</v>
      </c>
      <c r="AC268" s="15" t="s">
        <v>890</v>
      </c>
      <c r="AD268" s="2">
        <v>5104501</v>
      </c>
      <c r="AE268" s="2">
        <v>0</v>
      </c>
      <c r="AF268" s="2">
        <v>1</v>
      </c>
      <c r="AG268" s="2">
        <v>5064501</v>
      </c>
      <c r="AH268" s="2">
        <v>1</v>
      </c>
      <c r="AI268" s="2"/>
      <c r="AJ268">
        <v>1</v>
      </c>
      <c r="AK268" s="1">
        <f t="shared" si="231"/>
        <v>113.14204730090515</v>
      </c>
      <c r="AL268">
        <v>9</v>
      </c>
      <c r="AM268">
        <f t="shared" si="213"/>
        <v>266.24</v>
      </c>
      <c r="AN268">
        <f t="shared" si="214"/>
        <v>26.624000000000002</v>
      </c>
      <c r="AO268">
        <f t="shared" si="215"/>
        <v>1772.3076923076919</v>
      </c>
      <c r="AP268">
        <f t="shared" si="216"/>
        <v>177.2307692307692</v>
      </c>
      <c r="AQ268">
        <f t="shared" si="217"/>
        <v>29.582222222222224</v>
      </c>
      <c r="AR268">
        <f t="shared" si="232"/>
        <v>2.9582222222222225</v>
      </c>
      <c r="AS268">
        <f t="shared" si="218"/>
        <v>1.6</v>
      </c>
      <c r="AT268">
        <f t="shared" si="219"/>
        <v>2</v>
      </c>
      <c r="AU268">
        <f t="shared" si="220"/>
        <v>6</v>
      </c>
      <c r="AV268">
        <f t="shared" si="208"/>
        <v>5014</v>
      </c>
      <c r="AW268" s="1">
        <v>1</v>
      </c>
      <c r="AX268">
        <v>5</v>
      </c>
      <c r="AY268">
        <v>0.1</v>
      </c>
      <c r="BA268">
        <v>5</v>
      </c>
      <c r="BB268">
        <v>4</v>
      </c>
      <c r="CH268" t="str">
        <f t="shared" si="198"/>
        <v>DATA_Class_Base31</v>
      </c>
      <c r="CI268" s="3" t="s">
        <v>384</v>
      </c>
    </row>
    <row r="269" spans="1:87">
      <c r="A269">
        <f t="shared" si="221"/>
        <v>5094600</v>
      </c>
      <c r="B269" s="2" t="s">
        <v>596</v>
      </c>
      <c r="C269">
        <v>9</v>
      </c>
      <c r="D269">
        <v>6</v>
      </c>
      <c r="E269">
        <v>4</v>
      </c>
      <c r="F269" s="3" t="s">
        <v>598</v>
      </c>
      <c r="G269" s="3" t="s">
        <v>598</v>
      </c>
      <c r="H269">
        <v>0</v>
      </c>
      <c r="I269">
        <v>0</v>
      </c>
      <c r="J269" s="2">
        <v>0</v>
      </c>
      <c r="K269" s="2" t="s">
        <v>339</v>
      </c>
      <c r="L269" s="2">
        <f t="shared" si="222"/>
        <v>3</v>
      </c>
      <c r="M269" s="2">
        <f t="shared" si="223"/>
        <v>1.4000000000000001</v>
      </c>
      <c r="N269" s="2">
        <f t="shared" si="224"/>
        <v>1.9000000000000001</v>
      </c>
      <c r="O269" s="2">
        <v>10</v>
      </c>
      <c r="P269" s="2">
        <f t="shared" si="225"/>
        <v>216.83</v>
      </c>
      <c r="Q269" s="2">
        <f t="shared" si="226"/>
        <v>21.68</v>
      </c>
      <c r="R269" s="2">
        <f t="shared" si="227"/>
        <v>2304</v>
      </c>
      <c r="S269" s="2">
        <f t="shared" si="228"/>
        <v>230.4</v>
      </c>
      <c r="T269" s="2">
        <f t="shared" si="229"/>
        <v>54.21</v>
      </c>
      <c r="U269" s="2">
        <f t="shared" si="230"/>
        <v>5.42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546002</v>
      </c>
      <c r="AB269" s="14" t="s">
        <v>731</v>
      </c>
      <c r="AC269" s="15" t="s">
        <v>890</v>
      </c>
      <c r="AD269" s="2">
        <v>5104600</v>
      </c>
      <c r="AE269" s="2">
        <v>0</v>
      </c>
      <c r="AF269" s="2">
        <v>1</v>
      </c>
      <c r="AG269" s="2">
        <v>5064600</v>
      </c>
      <c r="AH269" s="2">
        <v>1</v>
      </c>
      <c r="AI269" s="2"/>
      <c r="AJ269">
        <v>1</v>
      </c>
      <c r="AK269" s="1">
        <f t="shared" si="231"/>
        <v>113.63772354356995</v>
      </c>
      <c r="AL269">
        <v>9</v>
      </c>
      <c r="AM269">
        <f t="shared" si="213"/>
        <v>197.11999999999998</v>
      </c>
      <c r="AN269">
        <f t="shared" si="214"/>
        <v>19.712</v>
      </c>
      <c r="AO269">
        <f t="shared" si="215"/>
        <v>2094.5454545454545</v>
      </c>
      <c r="AP269">
        <f t="shared" si="216"/>
        <v>209.45454545454547</v>
      </c>
      <c r="AQ269">
        <f t="shared" si="217"/>
        <v>49.279999999999994</v>
      </c>
      <c r="AR269">
        <f t="shared" si="232"/>
        <v>4.9279999999999999</v>
      </c>
      <c r="AS269">
        <f t="shared" si="218"/>
        <v>1.4</v>
      </c>
      <c r="AT269">
        <f t="shared" si="219"/>
        <v>1.9</v>
      </c>
      <c r="AU269">
        <f t="shared" si="220"/>
        <v>3</v>
      </c>
      <c r="AV269">
        <f t="shared" si="208"/>
        <v>6004</v>
      </c>
      <c r="AW269" s="1">
        <v>0</v>
      </c>
      <c r="AX269">
        <v>5</v>
      </c>
      <c r="AY269">
        <v>0.1</v>
      </c>
      <c r="BA269">
        <v>6</v>
      </c>
      <c r="BB269">
        <v>4</v>
      </c>
      <c r="CH269" t="str">
        <f t="shared" si="198"/>
        <v>DATA_Class_Base32</v>
      </c>
      <c r="CI269" s="3" t="s">
        <v>388</v>
      </c>
    </row>
    <row r="270" spans="1:87">
      <c r="A270">
        <f t="shared" si="221"/>
        <v>5094602</v>
      </c>
      <c r="B270" s="2" t="s">
        <v>600</v>
      </c>
      <c r="C270">
        <v>9</v>
      </c>
      <c r="D270">
        <v>6</v>
      </c>
      <c r="E270">
        <v>4</v>
      </c>
      <c r="F270" s="3" t="s">
        <v>602</v>
      </c>
      <c r="G270" s="3" t="s">
        <v>602</v>
      </c>
      <c r="H270">
        <v>0</v>
      </c>
      <c r="I270">
        <v>0</v>
      </c>
      <c r="J270" t="s">
        <v>345</v>
      </c>
      <c r="K270" s="2" t="s">
        <v>346</v>
      </c>
      <c r="L270" s="2">
        <f t="shared" si="222"/>
        <v>6</v>
      </c>
      <c r="M270" s="2">
        <f t="shared" si="223"/>
        <v>1.8</v>
      </c>
      <c r="N270" s="2">
        <f t="shared" si="224"/>
        <v>2</v>
      </c>
      <c r="O270" s="2">
        <v>10</v>
      </c>
      <c r="P270" s="2">
        <f t="shared" si="225"/>
        <v>253.44</v>
      </c>
      <c r="Q270" s="2">
        <f t="shared" si="226"/>
        <v>25.34</v>
      </c>
      <c r="R270" s="2">
        <f t="shared" si="227"/>
        <v>2534.4</v>
      </c>
      <c r="S270" s="2">
        <f t="shared" si="228"/>
        <v>253.44</v>
      </c>
      <c r="T270" s="2">
        <f t="shared" si="229"/>
        <v>50.69</v>
      </c>
      <c r="U270" s="2">
        <f t="shared" si="230"/>
        <v>5.07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546022</v>
      </c>
      <c r="AB270" s="14" t="s">
        <v>732</v>
      </c>
      <c r="AC270" s="15" t="s">
        <v>890</v>
      </c>
      <c r="AD270" s="2">
        <v>5104602</v>
      </c>
      <c r="AE270" s="2">
        <v>0</v>
      </c>
      <c r="AF270" s="2">
        <v>1</v>
      </c>
      <c r="AG270" s="2">
        <v>5064602</v>
      </c>
      <c r="AH270" s="2">
        <v>1</v>
      </c>
      <c r="AI270" s="2"/>
      <c r="AJ270">
        <v>1</v>
      </c>
      <c r="AK270" s="1">
        <f t="shared" si="231"/>
        <v>113.55690326251404</v>
      </c>
      <c r="AL270">
        <v>9</v>
      </c>
      <c r="AM270">
        <f t="shared" si="213"/>
        <v>230.39999999999998</v>
      </c>
      <c r="AN270">
        <f t="shared" si="214"/>
        <v>23.04</v>
      </c>
      <c r="AO270">
        <f t="shared" si="215"/>
        <v>2304</v>
      </c>
      <c r="AP270">
        <f t="shared" si="216"/>
        <v>230.4</v>
      </c>
      <c r="AQ270">
        <f t="shared" si="217"/>
        <v>46.08</v>
      </c>
      <c r="AR270">
        <f t="shared" si="232"/>
        <v>4.6079999999999997</v>
      </c>
      <c r="AS270">
        <f t="shared" si="218"/>
        <v>1.8</v>
      </c>
      <c r="AT270">
        <f t="shared" si="219"/>
        <v>2</v>
      </c>
      <c r="AU270">
        <f t="shared" si="220"/>
        <v>6</v>
      </c>
      <c r="AV270">
        <f t="shared" si="208"/>
        <v>6024</v>
      </c>
      <c r="AW270" s="1">
        <v>2</v>
      </c>
      <c r="AX270">
        <v>5</v>
      </c>
      <c r="AY270">
        <v>0.1</v>
      </c>
      <c r="BA270">
        <v>6</v>
      </c>
      <c r="BB270">
        <v>4</v>
      </c>
      <c r="CH270" t="str">
        <f t="shared" si="198"/>
        <v>DATA_Class_Base33</v>
      </c>
      <c r="CI270" s="3" t="s">
        <v>391</v>
      </c>
    </row>
    <row r="271" spans="1:87">
      <c r="A271">
        <f t="shared" si="221"/>
        <v>5095300</v>
      </c>
      <c r="B271" s="2" t="s">
        <v>609</v>
      </c>
      <c r="C271">
        <v>9</v>
      </c>
      <c r="D271">
        <v>3</v>
      </c>
      <c r="E271">
        <v>5</v>
      </c>
      <c r="F271" s="3" t="s">
        <v>611</v>
      </c>
      <c r="G271" s="3" t="s">
        <v>611</v>
      </c>
      <c r="H271">
        <v>0</v>
      </c>
      <c r="I271">
        <v>0</v>
      </c>
      <c r="J271" s="2">
        <v>0</v>
      </c>
      <c r="K271" s="8" t="s">
        <v>612</v>
      </c>
      <c r="L271" s="2">
        <f t="shared" si="222"/>
        <v>3</v>
      </c>
      <c r="M271" s="2">
        <f t="shared" si="223"/>
        <v>1.3</v>
      </c>
      <c r="N271" s="2">
        <f t="shared" si="224"/>
        <v>2</v>
      </c>
      <c r="O271" s="2">
        <v>10</v>
      </c>
      <c r="P271" s="2">
        <f t="shared" si="225"/>
        <v>210.5</v>
      </c>
      <c r="Q271" s="2">
        <f t="shared" si="226"/>
        <v>21.05</v>
      </c>
      <c r="R271" s="2">
        <f t="shared" si="227"/>
        <v>2203.83</v>
      </c>
      <c r="S271" s="2">
        <f t="shared" si="228"/>
        <v>220.38</v>
      </c>
      <c r="T271" s="2">
        <f t="shared" si="229"/>
        <v>26.31</v>
      </c>
      <c r="U271" s="2">
        <f t="shared" si="230"/>
        <v>2.63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553002</v>
      </c>
      <c r="AB271" s="14" t="s">
        <v>734</v>
      </c>
      <c r="AC271" s="15" t="s">
        <v>890</v>
      </c>
      <c r="AD271" s="2">
        <v>5105300</v>
      </c>
      <c r="AE271" s="2">
        <v>0</v>
      </c>
      <c r="AF271" s="2">
        <v>1</v>
      </c>
      <c r="AG271" s="2">
        <v>5065300</v>
      </c>
      <c r="AH271" s="2">
        <v>1</v>
      </c>
      <c r="AI271" s="2"/>
      <c r="AJ271">
        <v>1</v>
      </c>
      <c r="AK271" s="1">
        <f t="shared" si="231"/>
        <v>113.00036190448616</v>
      </c>
      <c r="AL271">
        <v>9</v>
      </c>
      <c r="AM271">
        <f t="shared" si="213"/>
        <v>191.35999999999996</v>
      </c>
      <c r="AN271">
        <f t="shared" si="214"/>
        <v>19.135999999999996</v>
      </c>
      <c r="AO271">
        <f t="shared" si="215"/>
        <v>2003.4782608695652</v>
      </c>
      <c r="AP271">
        <f t="shared" si="216"/>
        <v>200.34782608695653</v>
      </c>
      <c r="AQ271">
        <f t="shared" si="217"/>
        <v>23.919999999999995</v>
      </c>
      <c r="AR271">
        <f t="shared" si="232"/>
        <v>2.3919999999999995</v>
      </c>
      <c r="AS271">
        <f t="shared" si="218"/>
        <v>1.3</v>
      </c>
      <c r="AT271">
        <f t="shared" si="219"/>
        <v>2</v>
      </c>
      <c r="AU271">
        <f t="shared" si="220"/>
        <v>3</v>
      </c>
      <c r="AV271">
        <f t="shared" si="208"/>
        <v>3005</v>
      </c>
      <c r="AW271" s="1">
        <v>0</v>
      </c>
      <c r="AX271">
        <v>5</v>
      </c>
      <c r="AY271">
        <v>0.1</v>
      </c>
      <c r="BA271">
        <v>3</v>
      </c>
      <c r="BB271">
        <v>5</v>
      </c>
      <c r="CH271" t="str">
        <f t="shared" si="198"/>
        <v>DATA_Class_Base34</v>
      </c>
      <c r="CI271" s="3" t="s">
        <v>184</v>
      </c>
    </row>
    <row r="272" spans="1:87">
      <c r="A272">
        <f t="shared" si="221"/>
        <v>5095302</v>
      </c>
      <c r="B272" s="2" t="s">
        <v>614</v>
      </c>
      <c r="C272">
        <v>9</v>
      </c>
      <c r="D272">
        <v>3</v>
      </c>
      <c r="E272">
        <v>5</v>
      </c>
      <c r="F272" s="3" t="s">
        <v>616</v>
      </c>
      <c r="G272" s="3" t="s">
        <v>616</v>
      </c>
      <c r="H272">
        <v>0</v>
      </c>
      <c r="I272">
        <v>0</v>
      </c>
      <c r="J272" s="2">
        <v>0</v>
      </c>
      <c r="K272" s="2" t="s">
        <v>358</v>
      </c>
      <c r="L272" s="2">
        <f t="shared" si="222"/>
        <v>3</v>
      </c>
      <c r="M272" s="2">
        <f t="shared" si="223"/>
        <v>1.4000000000000001</v>
      </c>
      <c r="N272" s="2">
        <f t="shared" si="224"/>
        <v>2</v>
      </c>
      <c r="O272" s="2">
        <v>10</v>
      </c>
      <c r="P272" s="2">
        <f t="shared" si="225"/>
        <v>236.54</v>
      </c>
      <c r="Q272" s="2">
        <f t="shared" si="226"/>
        <v>23.65</v>
      </c>
      <c r="R272" s="2">
        <f t="shared" si="227"/>
        <v>2112</v>
      </c>
      <c r="S272" s="2">
        <f t="shared" si="228"/>
        <v>211.2</v>
      </c>
      <c r="T272" s="2">
        <f t="shared" si="229"/>
        <v>33.79</v>
      </c>
      <c r="U272" s="2">
        <f t="shared" si="230"/>
        <v>3.38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553022</v>
      </c>
      <c r="AB272" s="14" t="s">
        <v>735</v>
      </c>
      <c r="AC272" s="15" t="s">
        <v>890</v>
      </c>
      <c r="AD272" s="2">
        <v>5105302</v>
      </c>
      <c r="AE272" s="2">
        <v>0</v>
      </c>
      <c r="AF272" s="2">
        <v>1</v>
      </c>
      <c r="AG272" s="2">
        <v>5065302</v>
      </c>
      <c r="AH272" s="2">
        <v>1</v>
      </c>
      <c r="AI272" s="2"/>
      <c r="AJ272">
        <v>1</v>
      </c>
      <c r="AK272" s="1">
        <f t="shared" si="231"/>
        <v>113.17056071755353</v>
      </c>
      <c r="AL272">
        <v>9</v>
      </c>
      <c r="AM272">
        <f t="shared" si="213"/>
        <v>215.04</v>
      </c>
      <c r="AN272">
        <f t="shared" si="214"/>
        <v>21.504000000000001</v>
      </c>
      <c r="AO272">
        <f t="shared" si="215"/>
        <v>1920</v>
      </c>
      <c r="AP272">
        <f t="shared" si="216"/>
        <v>192</v>
      </c>
      <c r="AQ272">
        <f t="shared" si="217"/>
        <v>30.72</v>
      </c>
      <c r="AR272">
        <f t="shared" si="232"/>
        <v>3.0720000000000001</v>
      </c>
      <c r="AS272">
        <f t="shared" si="218"/>
        <v>1.4</v>
      </c>
      <c r="AT272">
        <f t="shared" si="219"/>
        <v>2</v>
      </c>
      <c r="AU272">
        <f t="shared" si="220"/>
        <v>3</v>
      </c>
      <c r="AV272">
        <f t="shared" si="208"/>
        <v>3025</v>
      </c>
      <c r="AW272" s="1">
        <v>2</v>
      </c>
      <c r="AX272">
        <v>5</v>
      </c>
      <c r="AY272">
        <v>0.1</v>
      </c>
      <c r="BA272">
        <v>3</v>
      </c>
      <c r="BB272">
        <v>5</v>
      </c>
      <c r="CH272" t="str">
        <f t="shared" si="198"/>
        <v>DATA_Class_Base35</v>
      </c>
      <c r="CI272" s="3" t="s">
        <v>195</v>
      </c>
    </row>
    <row r="273" spans="1:87" ht="14.25" customHeight="1">
      <c r="A273">
        <f t="shared" si="221"/>
        <v>5095400</v>
      </c>
      <c r="B273" s="2" t="s">
        <v>618</v>
      </c>
      <c r="C273">
        <v>9</v>
      </c>
      <c r="D273">
        <v>4</v>
      </c>
      <c r="E273">
        <v>5</v>
      </c>
      <c r="F273" s="3" t="s">
        <v>620</v>
      </c>
      <c r="G273" s="3" t="s">
        <v>620</v>
      </c>
      <c r="H273">
        <v>0</v>
      </c>
      <c r="I273">
        <v>0</v>
      </c>
      <c r="J273">
        <v>0</v>
      </c>
      <c r="K273" s="2" t="s">
        <v>364</v>
      </c>
      <c r="L273" s="2">
        <f t="shared" si="222"/>
        <v>6</v>
      </c>
      <c r="M273" s="2">
        <f t="shared" si="223"/>
        <v>1.4000000000000001</v>
      </c>
      <c r="N273" s="2">
        <f t="shared" si="224"/>
        <v>2</v>
      </c>
      <c r="O273" s="2">
        <v>10</v>
      </c>
      <c r="P273" s="2">
        <f t="shared" si="225"/>
        <v>246.4</v>
      </c>
      <c r="Q273" s="2">
        <f t="shared" si="226"/>
        <v>24.64</v>
      </c>
      <c r="R273" s="2">
        <f t="shared" si="227"/>
        <v>2027.52</v>
      </c>
      <c r="S273" s="2">
        <f t="shared" si="228"/>
        <v>202.75</v>
      </c>
      <c r="T273" s="2">
        <f t="shared" si="229"/>
        <v>41.07</v>
      </c>
      <c r="U273" s="2">
        <f t="shared" si="230"/>
        <v>4.1100000000000003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554002</v>
      </c>
      <c r="AB273" s="14" t="s">
        <v>736</v>
      </c>
      <c r="AC273" s="15" t="s">
        <v>890</v>
      </c>
      <c r="AD273" s="2">
        <v>5105400</v>
      </c>
      <c r="AE273" s="2">
        <v>0</v>
      </c>
      <c r="AF273" s="2">
        <v>1</v>
      </c>
      <c r="AG273" s="2">
        <v>5065400</v>
      </c>
      <c r="AH273" s="2">
        <v>1</v>
      </c>
      <c r="AI273" s="2"/>
      <c r="AJ273">
        <v>1</v>
      </c>
      <c r="AK273" s="1">
        <f t="shared" si="231"/>
        <v>113.33657990965798</v>
      </c>
      <c r="AL273">
        <v>9</v>
      </c>
      <c r="AM273">
        <f t="shared" si="213"/>
        <v>224.00000000000003</v>
      </c>
      <c r="AN273">
        <f t="shared" si="214"/>
        <v>22.400000000000006</v>
      </c>
      <c r="AO273">
        <f t="shared" si="215"/>
        <v>1843.1999999999998</v>
      </c>
      <c r="AP273">
        <f t="shared" si="216"/>
        <v>184.32</v>
      </c>
      <c r="AQ273">
        <f t="shared" si="217"/>
        <v>37.333333333333336</v>
      </c>
      <c r="AR273">
        <f t="shared" si="232"/>
        <v>3.7333333333333338</v>
      </c>
      <c r="AS273">
        <f t="shared" si="218"/>
        <v>1.4</v>
      </c>
      <c r="AT273">
        <f t="shared" si="219"/>
        <v>2</v>
      </c>
      <c r="AU273">
        <f t="shared" si="220"/>
        <v>6</v>
      </c>
      <c r="AV273">
        <f t="shared" si="208"/>
        <v>4005</v>
      </c>
      <c r="AW273" s="1">
        <v>0</v>
      </c>
      <c r="AX273">
        <v>5</v>
      </c>
      <c r="AY273">
        <v>0.1</v>
      </c>
      <c r="BA273">
        <v>4</v>
      </c>
      <c r="BB273">
        <v>5</v>
      </c>
      <c r="CH273" t="str">
        <f t="shared" si="198"/>
        <v>DATA_Class_Base36</v>
      </c>
      <c r="CI273" s="3" t="s">
        <v>201</v>
      </c>
    </row>
    <row r="274" spans="1:87">
      <c r="A274">
        <f t="shared" si="221"/>
        <v>5095501</v>
      </c>
      <c r="B274" s="2" t="s">
        <v>622</v>
      </c>
      <c r="C274">
        <v>9</v>
      </c>
      <c r="D274">
        <v>5</v>
      </c>
      <c r="E274">
        <v>5</v>
      </c>
      <c r="F274" s="3" t="s">
        <v>624</v>
      </c>
      <c r="G274" s="3" t="s">
        <v>624</v>
      </c>
      <c r="H274">
        <v>0</v>
      </c>
      <c r="I274">
        <v>0</v>
      </c>
      <c r="J274" s="3">
        <v>0</v>
      </c>
      <c r="K274" s="8" t="s">
        <v>625</v>
      </c>
      <c r="L274" s="2">
        <f t="shared" si="222"/>
        <v>6</v>
      </c>
      <c r="M274" s="2">
        <f t="shared" si="223"/>
        <v>1.6</v>
      </c>
      <c r="N274" s="2">
        <f t="shared" si="224"/>
        <v>2</v>
      </c>
      <c r="O274" s="2">
        <v>10</v>
      </c>
      <c r="P274" s="2">
        <f t="shared" si="225"/>
        <v>326.66000000000003</v>
      </c>
      <c r="Q274" s="2">
        <f t="shared" si="226"/>
        <v>32.67</v>
      </c>
      <c r="R274" s="2">
        <f t="shared" si="227"/>
        <v>1747.86</v>
      </c>
      <c r="S274" s="2">
        <f t="shared" si="228"/>
        <v>174.79</v>
      </c>
      <c r="T274" s="2">
        <f t="shared" si="229"/>
        <v>36.299999999999997</v>
      </c>
      <c r="U274" s="2">
        <f t="shared" si="230"/>
        <v>3.63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555012</v>
      </c>
      <c r="AB274" s="15" t="s">
        <v>737</v>
      </c>
      <c r="AC274" s="15" t="s">
        <v>890</v>
      </c>
      <c r="AD274" s="2">
        <v>5105501</v>
      </c>
      <c r="AE274" s="2">
        <v>0</v>
      </c>
      <c r="AF274" s="2">
        <v>1</v>
      </c>
      <c r="AG274" s="2">
        <v>5065501</v>
      </c>
      <c r="AH274" s="2">
        <v>1</v>
      </c>
      <c r="AI274" s="2"/>
      <c r="AJ274">
        <v>1</v>
      </c>
      <c r="AK274" s="1">
        <f t="shared" si="231"/>
        <v>113.22763068732887</v>
      </c>
      <c r="AL274">
        <v>9</v>
      </c>
      <c r="AM274">
        <f t="shared" si="213"/>
        <v>296.95999999999998</v>
      </c>
      <c r="AN274">
        <f t="shared" si="214"/>
        <v>29.695999999999998</v>
      </c>
      <c r="AO274">
        <f t="shared" si="215"/>
        <v>1588.9655172413793</v>
      </c>
      <c r="AP274">
        <f t="shared" si="216"/>
        <v>158.89655172413794</v>
      </c>
      <c r="AQ274">
        <f t="shared" si="217"/>
        <v>32.995555555555555</v>
      </c>
      <c r="AR274">
        <f t="shared" si="232"/>
        <v>3.2995555555555556</v>
      </c>
      <c r="AS274">
        <f t="shared" si="218"/>
        <v>1.6</v>
      </c>
      <c r="AT274">
        <f t="shared" si="219"/>
        <v>2</v>
      </c>
      <c r="AU274">
        <f t="shared" si="220"/>
        <v>6</v>
      </c>
      <c r="AV274">
        <f t="shared" si="208"/>
        <v>5015</v>
      </c>
      <c r="AW274" s="1">
        <v>1</v>
      </c>
      <c r="AX274">
        <v>5</v>
      </c>
      <c r="AY274">
        <v>0.1</v>
      </c>
      <c r="BA274">
        <v>5</v>
      </c>
      <c r="BB274">
        <v>5</v>
      </c>
      <c r="CH274" t="str">
        <f t="shared" si="198"/>
        <v>DATA_Class_Base28</v>
      </c>
      <c r="CI274" s="3" t="s">
        <v>374</v>
      </c>
    </row>
    <row r="275" spans="1:87">
      <c r="A275">
        <f t="shared" si="209"/>
        <v>5101200</v>
      </c>
      <c r="B275" s="2" t="s">
        <v>464</v>
      </c>
      <c r="C275">
        <v>10</v>
      </c>
      <c r="D275">
        <v>2</v>
      </c>
      <c r="E275">
        <v>1</v>
      </c>
      <c r="F275" s="3" t="s">
        <v>466</v>
      </c>
      <c r="G275" s="3" t="s">
        <v>466</v>
      </c>
      <c r="H275">
        <v>0</v>
      </c>
      <c r="I275">
        <v>0</v>
      </c>
      <c r="J275" s="2">
        <v>0</v>
      </c>
      <c r="K275" s="8" t="s">
        <v>467</v>
      </c>
      <c r="L275" s="2">
        <f t="shared" si="210"/>
        <v>3</v>
      </c>
      <c r="M275" s="2">
        <f t="shared" ref="M275:M328" si="233">FLOOR(AS275/1,0.01)</f>
        <v>1.5</v>
      </c>
      <c r="N275" s="2">
        <f t="shared" ref="N275:N328" si="234">FLOOR(AT275/1,0.01)</f>
        <v>1.2</v>
      </c>
      <c r="O275" s="2">
        <v>10</v>
      </c>
      <c r="P275" s="2">
        <f t="shared" ref="P275:P328" si="235">ROUND(AM275*(1+$AY275),2)</f>
        <v>183.04</v>
      </c>
      <c r="Q275" s="2">
        <f t="shared" ref="Q275:Q328" si="236">ROUND(AN275*(1+$AY275),2)</f>
        <v>18.3</v>
      </c>
      <c r="R275" s="2">
        <f t="shared" ref="R275:R328" si="237">ROUND(AO275*(1+$AY275),2)</f>
        <v>3432</v>
      </c>
      <c r="S275" s="2">
        <f t="shared" ref="S275:S328" si="238">ROUND(AP275*(1+$AY275),2)</f>
        <v>343.2</v>
      </c>
      <c r="T275" s="2">
        <f t="shared" ref="T275:T328" si="239">ROUND(AQ275*(1+$AY275),2)</f>
        <v>61.01</v>
      </c>
      <c r="U275" s="2">
        <f t="shared" ref="U275:U328" si="240">ROUND(AR275*(1+$AY275),2)</f>
        <v>6.1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512003</v>
      </c>
      <c r="AB275" s="14" t="s">
        <v>701</v>
      </c>
      <c r="AC275" s="15" t="s">
        <v>890</v>
      </c>
      <c r="AD275" s="2">
        <v>5111200</v>
      </c>
      <c r="AE275" s="2">
        <v>0</v>
      </c>
      <c r="AF275" s="2">
        <v>1</v>
      </c>
      <c r="AG275" s="2">
        <f t="shared" ref="AG275:AG305" si="241">A151</f>
        <v>5061200</v>
      </c>
      <c r="AH275" s="2">
        <v>2</v>
      </c>
      <c r="AJ275">
        <v>1</v>
      </c>
      <c r="AK275" s="1">
        <f t="shared" ref="AK275:AK328" si="242">(AO275+AP275*AJ275)*(AM275+AN275*AJ275)/AS275*(0.9)*(1+0.5*0.1)*1/1/(1-(AQ275+AR275*AJ275)*0.0002)/3000</f>
        <v>133.55025808262965</v>
      </c>
      <c r="AL275">
        <v>10</v>
      </c>
      <c r="AM275">
        <f t="shared" si="213"/>
        <v>166.40000000000003</v>
      </c>
      <c r="AN275">
        <f t="shared" si="214"/>
        <v>16.640000000000004</v>
      </c>
      <c r="AO275">
        <f t="shared" si="215"/>
        <v>3120</v>
      </c>
      <c r="AP275">
        <f t="shared" si="216"/>
        <v>312</v>
      </c>
      <c r="AQ275">
        <f t="shared" si="217"/>
        <v>55.466666666666676</v>
      </c>
      <c r="AR275">
        <f t="shared" si="211"/>
        <v>5.5466666666666677</v>
      </c>
      <c r="AS275">
        <f t="shared" si="218"/>
        <v>1.5</v>
      </c>
      <c r="AT275">
        <f t="shared" si="219"/>
        <v>1.2</v>
      </c>
      <c r="AU275">
        <f t="shared" si="220"/>
        <v>3</v>
      </c>
      <c r="AV275">
        <f t="shared" si="208"/>
        <v>2001</v>
      </c>
      <c r="AW275" s="1">
        <v>0</v>
      </c>
      <c r="AX275">
        <v>5</v>
      </c>
      <c r="AY275">
        <v>0.1</v>
      </c>
      <c r="BA275">
        <v>2</v>
      </c>
      <c r="BB275">
        <v>1</v>
      </c>
      <c r="CH275" t="str">
        <f t="shared" si="198"/>
        <v>DATA_Class_Base29</v>
      </c>
      <c r="CI275" s="3" t="s">
        <v>378</v>
      </c>
    </row>
    <row r="276" spans="1:87">
      <c r="A276">
        <f t="shared" si="209"/>
        <v>5101201</v>
      </c>
      <c r="B276" s="2" t="s">
        <v>470</v>
      </c>
      <c r="C276">
        <v>10</v>
      </c>
      <c r="D276">
        <v>2</v>
      </c>
      <c r="E276">
        <v>1</v>
      </c>
      <c r="F276" s="3" t="s">
        <v>472</v>
      </c>
      <c r="G276" s="3" t="s">
        <v>472</v>
      </c>
      <c r="H276">
        <v>0</v>
      </c>
      <c r="I276">
        <v>0</v>
      </c>
      <c r="J276" s="2">
        <v>0</v>
      </c>
      <c r="K276" s="8" t="s">
        <v>298</v>
      </c>
      <c r="L276" s="2">
        <f t="shared" si="210"/>
        <v>3</v>
      </c>
      <c r="M276" s="2">
        <f t="shared" si="233"/>
        <v>1.8</v>
      </c>
      <c r="N276" s="2">
        <f t="shared" si="234"/>
        <v>1.8</v>
      </c>
      <c r="O276" s="2">
        <v>10</v>
      </c>
      <c r="P276" s="2">
        <f t="shared" si="235"/>
        <v>137.28</v>
      </c>
      <c r="Q276" s="2">
        <f t="shared" si="236"/>
        <v>13.73</v>
      </c>
      <c r="R276" s="2">
        <f t="shared" si="237"/>
        <v>5491.2</v>
      </c>
      <c r="S276" s="2">
        <f t="shared" si="238"/>
        <v>549.12</v>
      </c>
      <c r="T276" s="2">
        <f t="shared" si="239"/>
        <v>68.64</v>
      </c>
      <c r="U276" s="2">
        <f t="shared" si="240"/>
        <v>6.86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512013</v>
      </c>
      <c r="AB276" s="14" t="s">
        <v>702</v>
      </c>
      <c r="AC276" s="15" t="s">
        <v>890</v>
      </c>
      <c r="AD276" s="2">
        <v>5111201</v>
      </c>
      <c r="AE276" s="2">
        <v>0</v>
      </c>
      <c r="AF276" s="2">
        <v>1</v>
      </c>
      <c r="AG276" s="2">
        <f t="shared" si="241"/>
        <v>5061201</v>
      </c>
      <c r="AH276" s="2">
        <v>2</v>
      </c>
      <c r="AJ276">
        <v>1</v>
      </c>
      <c r="AK276" s="1">
        <f t="shared" si="242"/>
        <v>133.75680218033159</v>
      </c>
      <c r="AL276">
        <v>10</v>
      </c>
      <c r="AM276">
        <f t="shared" si="213"/>
        <v>124.80000000000001</v>
      </c>
      <c r="AN276">
        <f t="shared" si="214"/>
        <v>12.480000000000002</v>
      </c>
      <c r="AO276">
        <f t="shared" si="215"/>
        <v>4992</v>
      </c>
      <c r="AP276">
        <f t="shared" si="216"/>
        <v>499.20000000000005</v>
      </c>
      <c r="AQ276">
        <f t="shared" si="217"/>
        <v>62.400000000000006</v>
      </c>
      <c r="AR276">
        <f t="shared" si="211"/>
        <v>6.2400000000000011</v>
      </c>
      <c r="AS276">
        <f t="shared" si="218"/>
        <v>1.8</v>
      </c>
      <c r="AT276">
        <f t="shared" si="219"/>
        <v>1.8</v>
      </c>
      <c r="AU276">
        <f t="shared" si="220"/>
        <v>3</v>
      </c>
      <c r="AV276">
        <f t="shared" si="208"/>
        <v>2011</v>
      </c>
      <c r="AW276" s="1">
        <v>1</v>
      </c>
      <c r="AX276">
        <v>5</v>
      </c>
      <c r="AY276">
        <v>0.1</v>
      </c>
      <c r="BA276">
        <v>2</v>
      </c>
      <c r="BB276">
        <v>1</v>
      </c>
      <c r="CH276" t="str">
        <f t="shared" si="198"/>
        <v>DATA_Class_Base30</v>
      </c>
      <c r="CI276" s="3" t="s">
        <v>381</v>
      </c>
    </row>
    <row r="277" spans="1:87">
      <c r="A277">
        <f t="shared" si="209"/>
        <v>5101202</v>
      </c>
      <c r="B277" s="2" t="s">
        <v>474</v>
      </c>
      <c r="C277">
        <v>10</v>
      </c>
      <c r="D277">
        <v>2</v>
      </c>
      <c r="E277">
        <v>1</v>
      </c>
      <c r="F277" s="3" t="s">
        <v>476</v>
      </c>
      <c r="G277" s="3" t="s">
        <v>476</v>
      </c>
      <c r="H277">
        <v>0</v>
      </c>
      <c r="I277">
        <v>0</v>
      </c>
      <c r="J277">
        <v>0</v>
      </c>
      <c r="K277" s="8" t="s">
        <v>477</v>
      </c>
      <c r="L277" s="2">
        <f t="shared" si="210"/>
        <v>3</v>
      </c>
      <c r="M277" s="2">
        <f t="shared" si="233"/>
        <v>1.8</v>
      </c>
      <c r="N277" s="2">
        <f t="shared" si="234"/>
        <v>2</v>
      </c>
      <c r="O277" s="2">
        <v>10</v>
      </c>
      <c r="P277" s="2">
        <f t="shared" si="235"/>
        <v>219.65</v>
      </c>
      <c r="Q277" s="2">
        <f t="shared" si="236"/>
        <v>21.96</v>
      </c>
      <c r="R277" s="2">
        <f t="shared" si="237"/>
        <v>3432</v>
      </c>
      <c r="S277" s="2">
        <f t="shared" si="238"/>
        <v>343.2</v>
      </c>
      <c r="T277" s="2">
        <f t="shared" si="239"/>
        <v>54.91</v>
      </c>
      <c r="U277" s="2">
        <f t="shared" si="240"/>
        <v>5.49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512023</v>
      </c>
      <c r="AB277" s="14" t="s">
        <v>703</v>
      </c>
      <c r="AC277" s="15" t="s">
        <v>890</v>
      </c>
      <c r="AD277" s="2">
        <v>5111202</v>
      </c>
      <c r="AE277" s="2">
        <v>0</v>
      </c>
      <c r="AF277" s="2">
        <v>1</v>
      </c>
      <c r="AG277" s="2">
        <f t="shared" si="241"/>
        <v>5061202</v>
      </c>
      <c r="AH277" s="2">
        <v>2</v>
      </c>
      <c r="AJ277">
        <v>1</v>
      </c>
      <c r="AK277" s="1">
        <f t="shared" si="242"/>
        <v>133.38548151215915</v>
      </c>
      <c r="AL277">
        <v>10</v>
      </c>
      <c r="AM277">
        <f t="shared" si="213"/>
        <v>199.68000000000004</v>
      </c>
      <c r="AN277">
        <f t="shared" si="214"/>
        <v>19.968000000000004</v>
      </c>
      <c r="AO277">
        <f t="shared" si="215"/>
        <v>3120</v>
      </c>
      <c r="AP277">
        <f t="shared" si="216"/>
        <v>312</v>
      </c>
      <c r="AQ277">
        <f t="shared" si="217"/>
        <v>49.920000000000009</v>
      </c>
      <c r="AR277">
        <f t="shared" si="211"/>
        <v>4.9920000000000009</v>
      </c>
      <c r="AS277">
        <f t="shared" si="218"/>
        <v>1.8</v>
      </c>
      <c r="AT277">
        <f t="shared" si="219"/>
        <v>2</v>
      </c>
      <c r="AU277">
        <f t="shared" si="220"/>
        <v>3</v>
      </c>
      <c r="AV277">
        <f t="shared" si="208"/>
        <v>2021</v>
      </c>
      <c r="AW277" s="1">
        <v>2</v>
      </c>
      <c r="AX277">
        <v>5</v>
      </c>
      <c r="AY277">
        <v>0.1</v>
      </c>
      <c r="BA277">
        <v>2</v>
      </c>
      <c r="BB277">
        <v>1</v>
      </c>
      <c r="CH277" t="str">
        <f t="shared" si="198"/>
        <v>DATA_Class_Base31</v>
      </c>
      <c r="CI277" s="3" t="s">
        <v>384</v>
      </c>
    </row>
    <row r="278" spans="1:87">
      <c r="A278">
        <f t="shared" si="209"/>
        <v>5101301</v>
      </c>
      <c r="B278" s="2" t="s">
        <v>479</v>
      </c>
      <c r="C278">
        <v>10</v>
      </c>
      <c r="D278">
        <v>3</v>
      </c>
      <c r="E278">
        <v>1</v>
      </c>
      <c r="F278" s="3" t="s">
        <v>481</v>
      </c>
      <c r="G278" s="3" t="s">
        <v>481</v>
      </c>
      <c r="H278">
        <v>0</v>
      </c>
      <c r="I278">
        <v>0</v>
      </c>
      <c r="J278" s="2">
        <v>0</v>
      </c>
      <c r="K278" s="8" t="s">
        <v>482</v>
      </c>
      <c r="L278" s="2">
        <f t="shared" si="210"/>
        <v>3</v>
      </c>
      <c r="M278" s="2">
        <f t="shared" si="233"/>
        <v>1.2</v>
      </c>
      <c r="N278" s="2">
        <f t="shared" si="234"/>
        <v>2</v>
      </c>
      <c r="O278" s="2">
        <v>10</v>
      </c>
      <c r="P278" s="2">
        <f t="shared" si="235"/>
        <v>201.34</v>
      </c>
      <c r="Q278" s="2">
        <f t="shared" si="236"/>
        <v>20.13</v>
      </c>
      <c r="R278" s="2">
        <f t="shared" si="237"/>
        <v>2496</v>
      </c>
      <c r="S278" s="2">
        <f t="shared" si="238"/>
        <v>249.6</v>
      </c>
      <c r="T278" s="2">
        <f t="shared" si="239"/>
        <v>33.56</v>
      </c>
      <c r="U278" s="2">
        <f t="shared" si="240"/>
        <v>3.36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513013</v>
      </c>
      <c r="AB278" s="14" t="s">
        <v>704</v>
      </c>
      <c r="AC278" s="15" t="s">
        <v>890</v>
      </c>
      <c r="AD278" s="2">
        <v>5111301</v>
      </c>
      <c r="AE278" s="2">
        <v>0</v>
      </c>
      <c r="AF278" s="2">
        <v>1</v>
      </c>
      <c r="AG278" s="2">
        <f t="shared" si="241"/>
        <v>5061301</v>
      </c>
      <c r="AH278" s="2">
        <v>2</v>
      </c>
      <c r="AJ278">
        <v>1</v>
      </c>
      <c r="AK278" s="1">
        <f t="shared" si="242"/>
        <v>132.81195178735581</v>
      </c>
      <c r="AL278">
        <v>10</v>
      </c>
      <c r="AM278">
        <f t="shared" si="213"/>
        <v>183.04000000000002</v>
      </c>
      <c r="AN278">
        <f t="shared" si="214"/>
        <v>18.304000000000002</v>
      </c>
      <c r="AO278">
        <f t="shared" si="215"/>
        <v>2269.090909090909</v>
      </c>
      <c r="AP278">
        <f t="shared" si="216"/>
        <v>226.90909090909091</v>
      </c>
      <c r="AQ278">
        <f t="shared" si="217"/>
        <v>30.506666666666671</v>
      </c>
      <c r="AR278">
        <f t="shared" si="211"/>
        <v>3.0506666666666673</v>
      </c>
      <c r="AS278">
        <f t="shared" si="218"/>
        <v>1.2</v>
      </c>
      <c r="AT278">
        <f t="shared" si="219"/>
        <v>2</v>
      </c>
      <c r="AU278">
        <f t="shared" si="220"/>
        <v>3</v>
      </c>
      <c r="AV278">
        <f t="shared" si="208"/>
        <v>3011</v>
      </c>
      <c r="AW278" s="1">
        <v>1</v>
      </c>
      <c r="AX278">
        <v>5</v>
      </c>
      <c r="AY278">
        <v>0.1</v>
      </c>
      <c r="BA278">
        <v>3</v>
      </c>
      <c r="BB278">
        <v>1</v>
      </c>
      <c r="CH278" t="str">
        <f t="shared" si="198"/>
        <v>DATA_Class_Base32</v>
      </c>
      <c r="CI278" s="3" t="s">
        <v>388</v>
      </c>
    </row>
    <row r="279" spans="1:87">
      <c r="A279">
        <f t="shared" si="209"/>
        <v>5101401</v>
      </c>
      <c r="B279" s="2" t="s">
        <v>484</v>
      </c>
      <c r="C279">
        <v>10</v>
      </c>
      <c r="D279">
        <v>4</v>
      </c>
      <c r="E279">
        <v>1</v>
      </c>
      <c r="F279" s="3" t="s">
        <v>486</v>
      </c>
      <c r="G279" s="3" t="s">
        <v>486</v>
      </c>
      <c r="H279">
        <v>0</v>
      </c>
      <c r="I279">
        <v>0</v>
      </c>
      <c r="J279" s="2">
        <v>0</v>
      </c>
      <c r="K279" s="2" t="s">
        <v>161</v>
      </c>
      <c r="L279" s="2">
        <f t="shared" si="210"/>
        <v>6</v>
      </c>
      <c r="M279" s="2">
        <f t="shared" si="233"/>
        <v>1.6</v>
      </c>
      <c r="N279" s="2">
        <f t="shared" si="234"/>
        <v>2</v>
      </c>
      <c r="O279" s="2">
        <v>10</v>
      </c>
      <c r="P279" s="2">
        <f t="shared" si="235"/>
        <v>268.45999999999998</v>
      </c>
      <c r="Q279" s="2">
        <f t="shared" si="236"/>
        <v>26.85</v>
      </c>
      <c r="R279" s="2">
        <f t="shared" si="237"/>
        <v>2496</v>
      </c>
      <c r="S279" s="2">
        <f t="shared" si="238"/>
        <v>249.6</v>
      </c>
      <c r="T279" s="2">
        <f t="shared" si="239"/>
        <v>53.69</v>
      </c>
      <c r="U279" s="2">
        <f t="shared" si="240"/>
        <v>5.37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514013</v>
      </c>
      <c r="AB279" s="14" t="s">
        <v>705</v>
      </c>
      <c r="AC279" s="15" t="s">
        <v>890</v>
      </c>
      <c r="AD279" s="2">
        <v>5111401</v>
      </c>
      <c r="AE279" s="2">
        <v>0</v>
      </c>
      <c r="AF279" s="2">
        <v>1</v>
      </c>
      <c r="AG279" s="2">
        <f t="shared" si="241"/>
        <v>5061401</v>
      </c>
      <c r="AH279" s="2">
        <v>2</v>
      </c>
      <c r="AJ279">
        <v>1</v>
      </c>
      <c r="AK279" s="1">
        <f t="shared" si="242"/>
        <v>133.35257497901736</v>
      </c>
      <c r="AL279">
        <v>10</v>
      </c>
      <c r="AM279">
        <f t="shared" si="213"/>
        <v>244.0533333333334</v>
      </c>
      <c r="AN279">
        <f t="shared" si="214"/>
        <v>24.405333333333342</v>
      </c>
      <c r="AO279">
        <f t="shared" si="215"/>
        <v>2269.090909090909</v>
      </c>
      <c r="AP279">
        <f t="shared" si="216"/>
        <v>226.90909090909091</v>
      </c>
      <c r="AQ279">
        <f t="shared" si="217"/>
        <v>48.810666666666677</v>
      </c>
      <c r="AR279">
        <f t="shared" si="211"/>
        <v>4.8810666666666682</v>
      </c>
      <c r="AS279">
        <f t="shared" si="218"/>
        <v>1.6</v>
      </c>
      <c r="AT279">
        <f t="shared" si="219"/>
        <v>2</v>
      </c>
      <c r="AU279">
        <f t="shared" si="220"/>
        <v>6</v>
      </c>
      <c r="AV279">
        <f t="shared" si="208"/>
        <v>4011</v>
      </c>
      <c r="AW279" s="1">
        <v>1</v>
      </c>
      <c r="AX279">
        <v>5</v>
      </c>
      <c r="AY279">
        <v>0.1</v>
      </c>
      <c r="BA279">
        <v>4</v>
      </c>
      <c r="BB279">
        <v>1</v>
      </c>
      <c r="CH279" t="str">
        <f t="shared" ref="CH279:CH350" si="243">INDEX($CE$18:$CE$59,MATCH($CI279,$CF$18:$CF$59,0))</f>
        <v>DATA_Class_Base33</v>
      </c>
      <c r="CI279" s="3" t="s">
        <v>391</v>
      </c>
    </row>
    <row r="280" spans="1:87">
      <c r="A280">
        <f t="shared" si="209"/>
        <v>5101402</v>
      </c>
      <c r="B280" s="2" t="s">
        <v>488</v>
      </c>
      <c r="C280">
        <v>10</v>
      </c>
      <c r="D280">
        <v>4</v>
      </c>
      <c r="E280">
        <v>1</v>
      </c>
      <c r="F280" s="3" t="s">
        <v>490</v>
      </c>
      <c r="G280" s="3" t="s">
        <v>490</v>
      </c>
      <c r="H280">
        <v>0</v>
      </c>
      <c r="I280">
        <v>0</v>
      </c>
      <c r="J280">
        <v>0</v>
      </c>
      <c r="K280" s="8" t="s">
        <v>161</v>
      </c>
      <c r="L280" s="2">
        <f t="shared" si="210"/>
        <v>6</v>
      </c>
      <c r="M280" s="2">
        <f t="shared" si="233"/>
        <v>1.5</v>
      </c>
      <c r="N280" s="2">
        <f t="shared" si="234"/>
        <v>1.5</v>
      </c>
      <c r="O280" s="2">
        <v>10</v>
      </c>
      <c r="P280" s="2">
        <f t="shared" si="235"/>
        <v>274.56</v>
      </c>
      <c r="Q280" s="2">
        <f t="shared" si="236"/>
        <v>27.46</v>
      </c>
      <c r="R280" s="2">
        <f t="shared" si="237"/>
        <v>2288</v>
      </c>
      <c r="S280" s="2">
        <f t="shared" si="238"/>
        <v>228.8</v>
      </c>
      <c r="T280" s="2">
        <f t="shared" si="239"/>
        <v>45.76</v>
      </c>
      <c r="U280" s="2">
        <f t="shared" si="240"/>
        <v>4.58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514023</v>
      </c>
      <c r="AB280" s="14" t="s">
        <v>706</v>
      </c>
      <c r="AC280" s="15" t="s">
        <v>890</v>
      </c>
      <c r="AD280" s="2">
        <v>5111402</v>
      </c>
      <c r="AE280" s="2">
        <v>0</v>
      </c>
      <c r="AF280" s="2">
        <v>1</v>
      </c>
      <c r="AG280" s="2">
        <f t="shared" si="241"/>
        <v>5061402</v>
      </c>
      <c r="AH280" s="2">
        <v>2</v>
      </c>
      <c r="AJ280">
        <v>1</v>
      </c>
      <c r="AK280" s="1">
        <f t="shared" si="242"/>
        <v>133.13907763854803</v>
      </c>
      <c r="AL280">
        <v>10</v>
      </c>
      <c r="AM280">
        <f t="shared" si="213"/>
        <v>249.60000000000002</v>
      </c>
      <c r="AN280">
        <f t="shared" si="214"/>
        <v>24.960000000000004</v>
      </c>
      <c r="AO280">
        <f t="shared" si="215"/>
        <v>2080</v>
      </c>
      <c r="AP280">
        <f t="shared" si="216"/>
        <v>208</v>
      </c>
      <c r="AQ280">
        <f t="shared" si="217"/>
        <v>41.6</v>
      </c>
      <c r="AR280">
        <f t="shared" si="211"/>
        <v>4.16</v>
      </c>
      <c r="AS280">
        <f t="shared" si="218"/>
        <v>1.5</v>
      </c>
      <c r="AT280">
        <f t="shared" si="219"/>
        <v>1.5</v>
      </c>
      <c r="AU280">
        <f t="shared" si="220"/>
        <v>6</v>
      </c>
      <c r="AV280">
        <f t="shared" si="208"/>
        <v>4021</v>
      </c>
      <c r="AW280" s="1">
        <v>2</v>
      </c>
      <c r="AX280">
        <v>5</v>
      </c>
      <c r="AY280">
        <v>0.1</v>
      </c>
      <c r="BA280">
        <v>4</v>
      </c>
      <c r="BB280">
        <v>1</v>
      </c>
      <c r="CH280" t="str">
        <f t="shared" si="243"/>
        <v>DATA_Class_Base34</v>
      </c>
      <c r="CI280" s="3" t="s">
        <v>184</v>
      </c>
    </row>
    <row r="281" spans="1:87">
      <c r="A281">
        <f t="shared" si="209"/>
        <v>5101500</v>
      </c>
      <c r="B281" s="2" t="s">
        <v>492</v>
      </c>
      <c r="C281">
        <v>10</v>
      </c>
      <c r="D281">
        <v>5</v>
      </c>
      <c r="E281">
        <v>1</v>
      </c>
      <c r="F281" s="3" t="s">
        <v>494</v>
      </c>
      <c r="G281" s="3" t="s">
        <v>494</v>
      </c>
      <c r="H281">
        <v>0</v>
      </c>
      <c r="I281">
        <v>0</v>
      </c>
      <c r="J281">
        <v>0</v>
      </c>
      <c r="K281" s="2" t="s">
        <v>303</v>
      </c>
      <c r="L281" s="2">
        <f t="shared" si="210"/>
        <v>6</v>
      </c>
      <c r="M281" s="2">
        <f t="shared" si="233"/>
        <v>1.5</v>
      </c>
      <c r="N281" s="2">
        <f t="shared" si="234"/>
        <v>1.5</v>
      </c>
      <c r="O281" s="2">
        <v>10</v>
      </c>
      <c r="P281" s="2">
        <f t="shared" si="235"/>
        <v>320.32</v>
      </c>
      <c r="Q281" s="2">
        <f t="shared" si="236"/>
        <v>32.03</v>
      </c>
      <c r="R281" s="2">
        <f t="shared" si="237"/>
        <v>1961.14</v>
      </c>
      <c r="S281" s="2">
        <f t="shared" si="238"/>
        <v>196.11</v>
      </c>
      <c r="T281" s="2">
        <f t="shared" si="239"/>
        <v>45.76</v>
      </c>
      <c r="U281" s="2">
        <f t="shared" si="240"/>
        <v>4.58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515003</v>
      </c>
      <c r="AB281" s="14" t="s">
        <v>707</v>
      </c>
      <c r="AC281" s="15" t="s">
        <v>890</v>
      </c>
      <c r="AD281" s="2">
        <v>5111500</v>
      </c>
      <c r="AE281" s="2">
        <v>0</v>
      </c>
      <c r="AF281" s="2">
        <v>1</v>
      </c>
      <c r="AG281" s="2">
        <f t="shared" si="241"/>
        <v>5061500</v>
      </c>
      <c r="AH281" s="2">
        <v>2</v>
      </c>
      <c r="AJ281">
        <v>1</v>
      </c>
      <c r="AK281" s="1">
        <f t="shared" si="242"/>
        <v>133.139077638548</v>
      </c>
      <c r="AL281">
        <v>10</v>
      </c>
      <c r="AM281">
        <f t="shared" si="213"/>
        <v>291.19999999999993</v>
      </c>
      <c r="AN281">
        <f t="shared" si="214"/>
        <v>29.119999999999994</v>
      </c>
      <c r="AO281">
        <f t="shared" si="215"/>
        <v>1782.8571428571431</v>
      </c>
      <c r="AP281">
        <f t="shared" si="216"/>
        <v>178.28571428571433</v>
      </c>
      <c r="AQ281">
        <f t="shared" si="217"/>
        <v>41.599999999999987</v>
      </c>
      <c r="AR281">
        <f t="shared" si="211"/>
        <v>4.1599999999999993</v>
      </c>
      <c r="AS281">
        <f t="shared" si="218"/>
        <v>1.5</v>
      </c>
      <c r="AT281">
        <f t="shared" si="219"/>
        <v>1.5</v>
      </c>
      <c r="AU281">
        <f t="shared" si="220"/>
        <v>6</v>
      </c>
      <c r="AV281">
        <f t="shared" si="208"/>
        <v>5001</v>
      </c>
      <c r="AW281" s="1">
        <v>0</v>
      </c>
      <c r="AX281">
        <v>5</v>
      </c>
      <c r="AY281">
        <v>0.1</v>
      </c>
      <c r="BA281">
        <v>5</v>
      </c>
      <c r="BB281">
        <v>1</v>
      </c>
      <c r="CH281" t="str">
        <f t="shared" si="243"/>
        <v>DATA_Class_Base35</v>
      </c>
      <c r="CI281" s="3" t="s">
        <v>195</v>
      </c>
    </row>
    <row r="282" spans="1:87">
      <c r="A282">
        <f t="shared" si="209"/>
        <v>5101502</v>
      </c>
      <c r="B282" s="2" t="s">
        <v>496</v>
      </c>
      <c r="C282">
        <v>10</v>
      </c>
      <c r="D282">
        <v>5</v>
      </c>
      <c r="E282">
        <v>1</v>
      </c>
      <c r="F282" s="3" t="s">
        <v>498</v>
      </c>
      <c r="G282" s="3" t="s">
        <v>498</v>
      </c>
      <c r="H282">
        <v>0</v>
      </c>
      <c r="I282">
        <v>0</v>
      </c>
      <c r="J282" s="2">
        <v>0</v>
      </c>
      <c r="K282" s="8" t="s">
        <v>352</v>
      </c>
      <c r="L282" s="2">
        <f t="shared" si="210"/>
        <v>6</v>
      </c>
      <c r="M282" s="2">
        <f t="shared" si="233"/>
        <v>1.4000000000000001</v>
      </c>
      <c r="N282" s="2">
        <f t="shared" si="234"/>
        <v>2</v>
      </c>
      <c r="O282" s="2">
        <v>10</v>
      </c>
      <c r="P282" s="2">
        <f t="shared" si="235"/>
        <v>277.61</v>
      </c>
      <c r="Q282" s="2">
        <f t="shared" si="236"/>
        <v>27.76</v>
      </c>
      <c r="R282" s="2">
        <f t="shared" si="237"/>
        <v>2112</v>
      </c>
      <c r="S282" s="2">
        <f t="shared" si="238"/>
        <v>211.2</v>
      </c>
      <c r="T282" s="2">
        <f t="shared" si="239"/>
        <v>42.71</v>
      </c>
      <c r="U282" s="2">
        <f t="shared" si="240"/>
        <v>4.2699999999999996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515023</v>
      </c>
      <c r="AB282" s="14" t="s">
        <v>708</v>
      </c>
      <c r="AC282" s="15" t="s">
        <v>890</v>
      </c>
      <c r="AD282" s="2">
        <v>5111502</v>
      </c>
      <c r="AE282" s="2">
        <v>0</v>
      </c>
      <c r="AF282" s="2">
        <v>1</v>
      </c>
      <c r="AG282" s="2">
        <f t="shared" si="241"/>
        <v>5061502</v>
      </c>
      <c r="AH282" s="2">
        <v>2</v>
      </c>
      <c r="AJ282">
        <v>1</v>
      </c>
      <c r="AK282" s="1">
        <f t="shared" si="242"/>
        <v>133.05714519328842</v>
      </c>
      <c r="AL282">
        <v>10</v>
      </c>
      <c r="AM282">
        <f t="shared" si="213"/>
        <v>252.37333333333331</v>
      </c>
      <c r="AN282">
        <f t="shared" si="214"/>
        <v>25.237333333333332</v>
      </c>
      <c r="AO282">
        <f t="shared" si="215"/>
        <v>1919.9999999999998</v>
      </c>
      <c r="AP282">
        <f t="shared" si="216"/>
        <v>192</v>
      </c>
      <c r="AQ282">
        <f t="shared" si="217"/>
        <v>38.826666666666661</v>
      </c>
      <c r="AR282">
        <f t="shared" si="211"/>
        <v>3.8826666666666663</v>
      </c>
      <c r="AS282">
        <f t="shared" si="218"/>
        <v>1.4</v>
      </c>
      <c r="AT282">
        <f t="shared" si="219"/>
        <v>2</v>
      </c>
      <c r="AU282">
        <f t="shared" si="220"/>
        <v>6</v>
      </c>
      <c r="AV282">
        <f t="shared" si="208"/>
        <v>5021</v>
      </c>
      <c r="AW282" s="1">
        <v>2</v>
      </c>
      <c r="AX282">
        <v>5</v>
      </c>
      <c r="AY282">
        <v>0.1</v>
      </c>
      <c r="BA282">
        <v>5</v>
      </c>
      <c r="BB282">
        <v>1</v>
      </c>
      <c r="CH282" t="str">
        <f t="shared" si="243"/>
        <v>DATA_Class_Base36</v>
      </c>
      <c r="CI282" s="3" t="s">
        <v>201</v>
      </c>
    </row>
    <row r="283" spans="1:87">
      <c r="A283">
        <f t="shared" si="209"/>
        <v>5101601</v>
      </c>
      <c r="B283" s="2" t="s">
        <v>500</v>
      </c>
      <c r="C283">
        <v>10</v>
      </c>
      <c r="D283">
        <v>6</v>
      </c>
      <c r="E283">
        <v>1</v>
      </c>
      <c r="F283" s="3" t="s">
        <v>502</v>
      </c>
      <c r="G283" s="3" t="s">
        <v>502</v>
      </c>
      <c r="H283">
        <v>0</v>
      </c>
      <c r="I283">
        <v>0</v>
      </c>
      <c r="J283">
        <v>0</v>
      </c>
      <c r="K283" s="2" t="s">
        <v>309</v>
      </c>
      <c r="L283" s="2">
        <f t="shared" si="210"/>
        <v>6</v>
      </c>
      <c r="M283" s="2">
        <f t="shared" si="233"/>
        <v>1.5</v>
      </c>
      <c r="N283" s="2">
        <f t="shared" si="234"/>
        <v>2</v>
      </c>
      <c r="O283" s="2">
        <v>10</v>
      </c>
      <c r="P283" s="2">
        <f t="shared" si="235"/>
        <v>228.8</v>
      </c>
      <c r="Q283" s="2">
        <f t="shared" si="236"/>
        <v>22.88</v>
      </c>
      <c r="R283" s="2">
        <f t="shared" si="237"/>
        <v>2745.6</v>
      </c>
      <c r="S283" s="2">
        <f t="shared" si="238"/>
        <v>274.56</v>
      </c>
      <c r="T283" s="2">
        <f t="shared" si="239"/>
        <v>57.2</v>
      </c>
      <c r="U283" s="2">
        <f t="shared" si="240"/>
        <v>5.72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516013</v>
      </c>
      <c r="AB283" s="14" t="s">
        <v>709</v>
      </c>
      <c r="AC283" s="15" t="s">
        <v>890</v>
      </c>
      <c r="AD283" s="2">
        <v>5111601</v>
      </c>
      <c r="AE283" s="2">
        <v>0</v>
      </c>
      <c r="AF283" s="2">
        <v>1</v>
      </c>
      <c r="AG283" s="2">
        <f t="shared" si="241"/>
        <v>5061601</v>
      </c>
      <c r="AH283" s="2">
        <v>2</v>
      </c>
      <c r="AJ283">
        <v>1</v>
      </c>
      <c r="AK283" s="1">
        <f t="shared" si="242"/>
        <v>133.44722505462494</v>
      </c>
      <c r="AL283">
        <v>10</v>
      </c>
      <c r="AM283">
        <f t="shared" si="213"/>
        <v>208</v>
      </c>
      <c r="AN283">
        <f t="shared" si="214"/>
        <v>20.8</v>
      </c>
      <c r="AO283">
        <f t="shared" si="215"/>
        <v>2496</v>
      </c>
      <c r="AP283">
        <f t="shared" si="216"/>
        <v>249.60000000000002</v>
      </c>
      <c r="AQ283">
        <f t="shared" si="217"/>
        <v>52</v>
      </c>
      <c r="AR283">
        <f t="shared" si="211"/>
        <v>5.2</v>
      </c>
      <c r="AS283">
        <f t="shared" si="218"/>
        <v>1.5</v>
      </c>
      <c r="AT283">
        <f t="shared" si="219"/>
        <v>2</v>
      </c>
      <c r="AU283">
        <f t="shared" si="220"/>
        <v>6</v>
      </c>
      <c r="AV283">
        <f t="shared" si="208"/>
        <v>6011</v>
      </c>
      <c r="AW283" s="1">
        <v>1</v>
      </c>
      <c r="AX283">
        <v>5</v>
      </c>
      <c r="AY283">
        <v>0.1</v>
      </c>
      <c r="BA283">
        <v>6</v>
      </c>
      <c r="BB283">
        <v>1</v>
      </c>
      <c r="CH283" t="str">
        <f t="shared" si="243"/>
        <v>DATA_Class_Base28</v>
      </c>
      <c r="CI283" s="3" t="s">
        <v>374</v>
      </c>
    </row>
    <row r="284" spans="1:87">
      <c r="A284">
        <f t="shared" ref="A284:A343" si="244">AX284*1000000+C284*10000+E284*1000+D284*100+AW284</f>
        <v>5102200</v>
      </c>
      <c r="B284" s="2" t="s">
        <v>504</v>
      </c>
      <c r="C284">
        <v>10</v>
      </c>
      <c r="D284">
        <v>2</v>
      </c>
      <c r="E284">
        <v>2</v>
      </c>
      <c r="F284" s="3" t="s">
        <v>506</v>
      </c>
      <c r="G284" s="3" t="s">
        <v>506</v>
      </c>
      <c r="H284">
        <v>0</v>
      </c>
      <c r="I284">
        <v>0</v>
      </c>
      <c r="J284">
        <v>0</v>
      </c>
      <c r="K284" s="8" t="s">
        <v>507</v>
      </c>
      <c r="L284" s="2">
        <f t="shared" ref="L284:L343" si="245">AU284</f>
        <v>3</v>
      </c>
      <c r="M284" s="2">
        <f t="shared" si="233"/>
        <v>1.5</v>
      </c>
      <c r="N284" s="2">
        <f t="shared" si="234"/>
        <v>1.2</v>
      </c>
      <c r="O284" s="2">
        <v>10</v>
      </c>
      <c r="P284" s="2">
        <f t="shared" si="235"/>
        <v>228.8</v>
      </c>
      <c r="Q284" s="2">
        <f t="shared" si="236"/>
        <v>22.88</v>
      </c>
      <c r="R284" s="2">
        <f t="shared" si="237"/>
        <v>2745.6</v>
      </c>
      <c r="S284" s="2">
        <f t="shared" si="238"/>
        <v>274.56</v>
      </c>
      <c r="T284" s="2">
        <f t="shared" si="239"/>
        <v>57.2</v>
      </c>
      <c r="U284" s="2">
        <f t="shared" si="240"/>
        <v>5.72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522003</v>
      </c>
      <c r="AB284" s="14" t="s">
        <v>710</v>
      </c>
      <c r="AC284" s="15" t="s">
        <v>890</v>
      </c>
      <c r="AD284" s="2">
        <v>5112200</v>
      </c>
      <c r="AE284" s="2">
        <v>0</v>
      </c>
      <c r="AF284" s="2">
        <v>1</v>
      </c>
      <c r="AG284" s="2">
        <f t="shared" si="241"/>
        <v>5062200</v>
      </c>
      <c r="AH284" s="2">
        <v>2</v>
      </c>
      <c r="AJ284">
        <v>1</v>
      </c>
      <c r="AK284" s="1">
        <f t="shared" si="242"/>
        <v>133.44722505462494</v>
      </c>
      <c r="AL284">
        <v>10</v>
      </c>
      <c r="AM284">
        <f t="shared" si="213"/>
        <v>208</v>
      </c>
      <c r="AN284">
        <f t="shared" si="214"/>
        <v>20.8</v>
      </c>
      <c r="AO284">
        <f t="shared" si="215"/>
        <v>2496</v>
      </c>
      <c r="AP284">
        <f t="shared" si="216"/>
        <v>249.60000000000002</v>
      </c>
      <c r="AQ284">
        <f t="shared" si="217"/>
        <v>52</v>
      </c>
      <c r="AR284">
        <f t="shared" si="211"/>
        <v>5.2</v>
      </c>
      <c r="AS284">
        <f t="shared" si="218"/>
        <v>1.5</v>
      </c>
      <c r="AT284">
        <f t="shared" si="219"/>
        <v>1.2</v>
      </c>
      <c r="AU284">
        <f t="shared" si="220"/>
        <v>3</v>
      </c>
      <c r="AV284">
        <f t="shared" si="208"/>
        <v>2002</v>
      </c>
      <c r="AW284" s="1">
        <v>0</v>
      </c>
      <c r="AX284">
        <v>5</v>
      </c>
      <c r="AY284">
        <v>0.1</v>
      </c>
      <c r="BA284">
        <v>2</v>
      </c>
      <c r="BB284">
        <v>2</v>
      </c>
      <c r="CH284" t="str">
        <f t="shared" si="243"/>
        <v>DATA_Class_Base29</v>
      </c>
      <c r="CI284" s="3" t="s">
        <v>378</v>
      </c>
    </row>
    <row r="285" spans="1:87">
      <c r="A285">
        <f t="shared" si="244"/>
        <v>5102201</v>
      </c>
      <c r="B285" s="2" t="s">
        <v>509</v>
      </c>
      <c r="C285">
        <v>10</v>
      </c>
      <c r="D285">
        <v>2</v>
      </c>
      <c r="E285">
        <v>2</v>
      </c>
      <c r="F285" s="3" t="s">
        <v>511</v>
      </c>
      <c r="G285" s="3" t="s">
        <v>511</v>
      </c>
      <c r="H285">
        <v>0</v>
      </c>
      <c r="I285">
        <v>0</v>
      </c>
      <c r="J285">
        <v>0</v>
      </c>
      <c r="K285" s="8" t="s">
        <v>512</v>
      </c>
      <c r="L285" s="2">
        <f t="shared" si="245"/>
        <v>3</v>
      </c>
      <c r="M285" s="2">
        <f t="shared" si="233"/>
        <v>1.8</v>
      </c>
      <c r="N285" s="2">
        <f t="shared" si="234"/>
        <v>1.8</v>
      </c>
      <c r="O285" s="2">
        <v>10</v>
      </c>
      <c r="P285" s="2">
        <f t="shared" si="235"/>
        <v>192.19</v>
      </c>
      <c r="Q285" s="2">
        <f t="shared" si="236"/>
        <v>19.22</v>
      </c>
      <c r="R285" s="2">
        <f t="shared" si="237"/>
        <v>3922.29</v>
      </c>
      <c r="S285" s="2">
        <f t="shared" si="238"/>
        <v>392.23</v>
      </c>
      <c r="T285" s="2">
        <f t="shared" si="239"/>
        <v>64.06</v>
      </c>
      <c r="U285" s="2">
        <f t="shared" si="240"/>
        <v>6.41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522013</v>
      </c>
      <c r="AB285" s="14" t="s">
        <v>711</v>
      </c>
      <c r="AC285" s="15" t="s">
        <v>890</v>
      </c>
      <c r="AD285" s="2">
        <v>5112201</v>
      </c>
      <c r="AE285" s="2">
        <v>0</v>
      </c>
      <c r="AF285" s="2">
        <v>1</v>
      </c>
      <c r="AG285" s="2">
        <f t="shared" si="241"/>
        <v>5062201</v>
      </c>
      <c r="AH285" s="2">
        <v>2</v>
      </c>
      <c r="AJ285">
        <v>1</v>
      </c>
      <c r="AK285" s="1">
        <f t="shared" si="242"/>
        <v>133.63279912867594</v>
      </c>
      <c r="AL285">
        <v>10</v>
      </c>
      <c r="AM285">
        <f t="shared" si="213"/>
        <v>174.72000000000003</v>
      </c>
      <c r="AN285">
        <f t="shared" si="214"/>
        <v>17.472000000000005</v>
      </c>
      <c r="AO285">
        <f t="shared" si="215"/>
        <v>3565.7142857142862</v>
      </c>
      <c r="AP285">
        <f t="shared" si="216"/>
        <v>356.57142857142867</v>
      </c>
      <c r="AQ285">
        <f t="shared" si="217"/>
        <v>58.240000000000009</v>
      </c>
      <c r="AR285">
        <f t="shared" ref="AR285:AR344" si="246">AQ285*0.1</f>
        <v>5.8240000000000016</v>
      </c>
      <c r="AS285">
        <f t="shared" si="218"/>
        <v>1.8</v>
      </c>
      <c r="AT285">
        <f t="shared" si="219"/>
        <v>1.8</v>
      </c>
      <c r="AU285">
        <f t="shared" si="220"/>
        <v>3</v>
      </c>
      <c r="AV285">
        <f t="shared" si="208"/>
        <v>2012</v>
      </c>
      <c r="AW285" s="1">
        <v>1</v>
      </c>
      <c r="AX285">
        <v>5</v>
      </c>
      <c r="AY285">
        <v>0.1</v>
      </c>
      <c r="BA285">
        <v>2</v>
      </c>
      <c r="BB285">
        <v>2</v>
      </c>
      <c r="CH285" t="str">
        <f t="shared" si="243"/>
        <v>DATA_Class_Base30</v>
      </c>
      <c r="CI285" s="3" t="s">
        <v>381</v>
      </c>
    </row>
    <row r="286" spans="1:87">
      <c r="A286">
        <f t="shared" si="244"/>
        <v>5102202</v>
      </c>
      <c r="B286" s="2" t="s">
        <v>514</v>
      </c>
      <c r="C286">
        <v>10</v>
      </c>
      <c r="D286">
        <v>2</v>
      </c>
      <c r="E286">
        <v>2</v>
      </c>
      <c r="F286" s="3" t="s">
        <v>516</v>
      </c>
      <c r="G286" s="3" t="s">
        <v>516</v>
      </c>
      <c r="H286">
        <v>0</v>
      </c>
      <c r="I286">
        <v>0</v>
      </c>
      <c r="J286" s="2">
        <v>0</v>
      </c>
      <c r="K286" s="2" t="s">
        <v>280</v>
      </c>
      <c r="L286" s="2">
        <f t="shared" si="245"/>
        <v>3</v>
      </c>
      <c r="M286" s="2">
        <f t="shared" si="233"/>
        <v>1.8</v>
      </c>
      <c r="N286" s="2">
        <f t="shared" si="234"/>
        <v>2</v>
      </c>
      <c r="O286" s="2">
        <v>10</v>
      </c>
      <c r="P286" s="2">
        <f t="shared" si="235"/>
        <v>315.74</v>
      </c>
      <c r="Q286" s="2">
        <f t="shared" si="236"/>
        <v>31.57</v>
      </c>
      <c r="R286" s="2">
        <f t="shared" si="237"/>
        <v>2387.48</v>
      </c>
      <c r="S286" s="2">
        <f t="shared" si="238"/>
        <v>238.75</v>
      </c>
      <c r="T286" s="2">
        <f t="shared" si="239"/>
        <v>63.15</v>
      </c>
      <c r="U286" s="2">
        <f t="shared" si="240"/>
        <v>6.31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522023</v>
      </c>
      <c r="AB286" s="14" t="s">
        <v>712</v>
      </c>
      <c r="AC286" s="15" t="s">
        <v>890</v>
      </c>
      <c r="AD286" s="2">
        <v>5112202</v>
      </c>
      <c r="AE286" s="2">
        <v>0</v>
      </c>
      <c r="AF286" s="2">
        <v>1</v>
      </c>
      <c r="AG286" s="2">
        <f t="shared" si="241"/>
        <v>5062202</v>
      </c>
      <c r="AH286" s="2">
        <v>2</v>
      </c>
      <c r="AJ286">
        <v>1</v>
      </c>
      <c r="AK286" s="1">
        <f t="shared" si="242"/>
        <v>133.60802610376427</v>
      </c>
      <c r="AL286">
        <v>10</v>
      </c>
      <c r="AM286">
        <f t="shared" si="213"/>
        <v>287.03999999999996</v>
      </c>
      <c r="AN286">
        <f t="shared" si="214"/>
        <v>28.703999999999997</v>
      </c>
      <c r="AO286">
        <f t="shared" si="215"/>
        <v>2170.434782608696</v>
      </c>
      <c r="AP286">
        <f t="shared" si="216"/>
        <v>217.04347826086962</v>
      </c>
      <c r="AQ286">
        <f t="shared" si="217"/>
        <v>57.407999999999994</v>
      </c>
      <c r="AR286">
        <f t="shared" si="246"/>
        <v>5.7408000000000001</v>
      </c>
      <c r="AS286">
        <f t="shared" si="218"/>
        <v>1.8</v>
      </c>
      <c r="AT286">
        <f t="shared" si="219"/>
        <v>2</v>
      </c>
      <c r="AU286">
        <f t="shared" si="220"/>
        <v>3</v>
      </c>
      <c r="AV286">
        <f t="shared" si="208"/>
        <v>2022</v>
      </c>
      <c r="AW286" s="1">
        <v>2</v>
      </c>
      <c r="AX286">
        <v>5</v>
      </c>
      <c r="AY286">
        <v>0.1</v>
      </c>
      <c r="BA286">
        <v>2</v>
      </c>
      <c r="BB286">
        <v>2</v>
      </c>
      <c r="CH286" t="str">
        <f t="shared" si="243"/>
        <v>DATA_Class_Base31</v>
      </c>
      <c r="CI286" s="3" t="s">
        <v>384</v>
      </c>
    </row>
    <row r="287" spans="1:87">
      <c r="A287">
        <f t="shared" si="244"/>
        <v>5102301</v>
      </c>
      <c r="B287" s="2" t="s">
        <v>518</v>
      </c>
      <c r="C287">
        <v>10</v>
      </c>
      <c r="D287">
        <v>3</v>
      </c>
      <c r="E287">
        <v>2</v>
      </c>
      <c r="F287" s="3" t="s">
        <v>520</v>
      </c>
      <c r="G287" s="3" t="s">
        <v>520</v>
      </c>
      <c r="H287">
        <v>0</v>
      </c>
      <c r="I287">
        <v>0</v>
      </c>
      <c r="J287">
        <v>0</v>
      </c>
      <c r="K287" s="2" t="s">
        <v>285</v>
      </c>
      <c r="L287" s="2">
        <f t="shared" si="245"/>
        <v>3</v>
      </c>
      <c r="M287" s="2">
        <f t="shared" si="233"/>
        <v>1.2</v>
      </c>
      <c r="N287" s="2">
        <f t="shared" si="234"/>
        <v>1.7</v>
      </c>
      <c r="O287" s="2">
        <v>10</v>
      </c>
      <c r="P287" s="2">
        <f t="shared" si="235"/>
        <v>237.95</v>
      </c>
      <c r="Q287" s="2">
        <f t="shared" si="236"/>
        <v>23.8</v>
      </c>
      <c r="R287" s="2">
        <f t="shared" si="237"/>
        <v>2112</v>
      </c>
      <c r="S287" s="2">
        <f t="shared" si="238"/>
        <v>211.2</v>
      </c>
      <c r="T287" s="2">
        <f t="shared" si="239"/>
        <v>39.659999999999997</v>
      </c>
      <c r="U287" s="2">
        <f t="shared" si="240"/>
        <v>3.97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523013</v>
      </c>
      <c r="AB287" s="14" t="s">
        <v>713</v>
      </c>
      <c r="AC287" s="15" t="s">
        <v>890</v>
      </c>
      <c r="AD287" s="2">
        <v>5112301</v>
      </c>
      <c r="AE287" s="2">
        <v>0</v>
      </c>
      <c r="AF287" s="2">
        <v>1</v>
      </c>
      <c r="AG287" s="2">
        <f t="shared" si="241"/>
        <v>5062301</v>
      </c>
      <c r="AH287" s="2">
        <v>2</v>
      </c>
      <c r="AJ287">
        <v>1</v>
      </c>
      <c r="AK287" s="1">
        <f t="shared" si="242"/>
        <v>132.97531352681108</v>
      </c>
      <c r="AL287">
        <v>10</v>
      </c>
      <c r="AM287">
        <f t="shared" si="213"/>
        <v>216.32000000000002</v>
      </c>
      <c r="AN287">
        <f t="shared" si="214"/>
        <v>21.632000000000005</v>
      </c>
      <c r="AO287">
        <f t="shared" si="215"/>
        <v>1919.9999999999998</v>
      </c>
      <c r="AP287">
        <f t="shared" si="216"/>
        <v>192</v>
      </c>
      <c r="AQ287">
        <f t="shared" si="217"/>
        <v>36.053333333333335</v>
      </c>
      <c r="AR287">
        <f t="shared" si="246"/>
        <v>3.6053333333333337</v>
      </c>
      <c r="AS287">
        <f t="shared" si="218"/>
        <v>1.2</v>
      </c>
      <c r="AT287">
        <f t="shared" si="219"/>
        <v>1.7</v>
      </c>
      <c r="AU287">
        <f t="shared" si="220"/>
        <v>3</v>
      </c>
      <c r="AV287">
        <f t="shared" ref="AV287:AV350" si="247">BA287*1000+AW287*10+BB287</f>
        <v>3012</v>
      </c>
      <c r="AW287" s="1">
        <v>1</v>
      </c>
      <c r="AX287">
        <v>5</v>
      </c>
      <c r="AY287">
        <v>0.1</v>
      </c>
      <c r="BA287">
        <v>3</v>
      </c>
      <c r="BB287">
        <v>2</v>
      </c>
      <c r="CH287" t="str">
        <f t="shared" si="243"/>
        <v>DATA_Class_Base32</v>
      </c>
      <c r="CI287" s="3" t="s">
        <v>388</v>
      </c>
    </row>
    <row r="288" spans="1:87">
      <c r="A288">
        <f t="shared" si="244"/>
        <v>5102401</v>
      </c>
      <c r="B288" s="2" t="s">
        <v>522</v>
      </c>
      <c r="C288">
        <v>10</v>
      </c>
      <c r="D288">
        <v>4</v>
      </c>
      <c r="E288">
        <v>2</v>
      </c>
      <c r="F288" s="3" t="s">
        <v>524</v>
      </c>
      <c r="G288" s="3" t="s">
        <v>524</v>
      </c>
      <c r="H288">
        <v>0</v>
      </c>
      <c r="I288">
        <v>0</v>
      </c>
      <c r="J288" s="2">
        <v>0</v>
      </c>
      <c r="K288" s="8" t="s">
        <v>250</v>
      </c>
      <c r="L288" s="2">
        <f t="shared" si="245"/>
        <v>6</v>
      </c>
      <c r="M288" s="2">
        <f t="shared" si="233"/>
        <v>1.6</v>
      </c>
      <c r="N288" s="2">
        <f t="shared" si="234"/>
        <v>1.5</v>
      </c>
      <c r="O288" s="2">
        <v>10</v>
      </c>
      <c r="P288" s="2">
        <f t="shared" si="235"/>
        <v>317.27</v>
      </c>
      <c r="Q288" s="2">
        <f t="shared" si="236"/>
        <v>31.73</v>
      </c>
      <c r="R288" s="2">
        <f t="shared" si="237"/>
        <v>2112</v>
      </c>
      <c r="S288" s="2">
        <f t="shared" si="238"/>
        <v>211.2</v>
      </c>
      <c r="T288" s="2">
        <f t="shared" si="239"/>
        <v>35.25</v>
      </c>
      <c r="U288" s="2">
        <f t="shared" si="240"/>
        <v>3.53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524013</v>
      </c>
      <c r="AB288" s="14" t="s">
        <v>714</v>
      </c>
      <c r="AC288" s="15" t="s">
        <v>890</v>
      </c>
      <c r="AD288" s="2">
        <v>5112401</v>
      </c>
      <c r="AE288" s="2">
        <v>0</v>
      </c>
      <c r="AF288" s="2">
        <v>1</v>
      </c>
      <c r="AG288" s="2">
        <f t="shared" si="241"/>
        <v>5062401</v>
      </c>
      <c r="AH288" s="2">
        <v>2</v>
      </c>
      <c r="AJ288">
        <v>1</v>
      </c>
      <c r="AK288" s="1">
        <f t="shared" si="242"/>
        <v>132.8572897723231</v>
      </c>
      <c r="AL288">
        <v>10</v>
      </c>
      <c r="AM288">
        <f t="shared" si="213"/>
        <v>288.42666666666668</v>
      </c>
      <c r="AN288">
        <f t="shared" si="214"/>
        <v>28.84266666666667</v>
      </c>
      <c r="AO288">
        <f t="shared" si="215"/>
        <v>1919.9999999999998</v>
      </c>
      <c r="AP288">
        <f t="shared" si="216"/>
        <v>192</v>
      </c>
      <c r="AQ288">
        <f t="shared" si="217"/>
        <v>32.047407407407405</v>
      </c>
      <c r="AR288">
        <f t="shared" si="246"/>
        <v>3.2047407407407409</v>
      </c>
      <c r="AS288">
        <f t="shared" si="218"/>
        <v>1.6</v>
      </c>
      <c r="AT288">
        <f t="shared" si="219"/>
        <v>1.5</v>
      </c>
      <c r="AU288">
        <f t="shared" si="220"/>
        <v>6</v>
      </c>
      <c r="AV288">
        <f t="shared" si="247"/>
        <v>4012</v>
      </c>
      <c r="AW288" s="1">
        <v>1</v>
      </c>
      <c r="AX288">
        <v>5</v>
      </c>
      <c r="AY288">
        <v>0.1</v>
      </c>
      <c r="BA288">
        <v>4</v>
      </c>
      <c r="BB288">
        <v>2</v>
      </c>
      <c r="CH288" t="str">
        <f t="shared" si="243"/>
        <v>DATA_Class_Base33</v>
      </c>
      <c r="CI288" s="3" t="s">
        <v>391</v>
      </c>
    </row>
    <row r="289" spans="1:87">
      <c r="A289">
        <f t="shared" si="244"/>
        <v>5102402</v>
      </c>
      <c r="B289" s="2" t="s">
        <v>526</v>
      </c>
      <c r="C289">
        <v>10</v>
      </c>
      <c r="D289">
        <v>4</v>
      </c>
      <c r="E289">
        <v>2</v>
      </c>
      <c r="F289" s="3" t="s">
        <v>528</v>
      </c>
      <c r="G289" s="3" t="s">
        <v>528</v>
      </c>
      <c r="H289">
        <v>0</v>
      </c>
      <c r="I289">
        <v>0</v>
      </c>
      <c r="J289">
        <v>0</v>
      </c>
      <c r="K289" s="2" t="s">
        <v>250</v>
      </c>
      <c r="L289" s="2">
        <f t="shared" si="245"/>
        <v>6</v>
      </c>
      <c r="M289" s="2">
        <f t="shared" si="233"/>
        <v>1.5</v>
      </c>
      <c r="N289" s="2">
        <f t="shared" si="234"/>
        <v>1.5</v>
      </c>
      <c r="O289" s="2">
        <v>10</v>
      </c>
      <c r="P289" s="2">
        <f t="shared" si="235"/>
        <v>320.32</v>
      </c>
      <c r="Q289" s="2">
        <f t="shared" si="236"/>
        <v>32.03</v>
      </c>
      <c r="R289" s="2">
        <f t="shared" si="237"/>
        <v>1961.14</v>
      </c>
      <c r="S289" s="2">
        <f t="shared" si="238"/>
        <v>196.11</v>
      </c>
      <c r="T289" s="2">
        <f t="shared" si="239"/>
        <v>40.04</v>
      </c>
      <c r="U289" s="2">
        <f t="shared" si="240"/>
        <v>4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524023</v>
      </c>
      <c r="AB289" s="14" t="s">
        <v>715</v>
      </c>
      <c r="AC289" s="15" t="s">
        <v>890</v>
      </c>
      <c r="AD289" s="2">
        <v>5112402</v>
      </c>
      <c r="AE289" s="2">
        <v>0</v>
      </c>
      <c r="AF289" s="2">
        <v>1</v>
      </c>
      <c r="AG289" s="2">
        <f t="shared" si="241"/>
        <v>5062402</v>
      </c>
      <c r="AH289" s="2">
        <v>2</v>
      </c>
      <c r="AJ289">
        <v>1</v>
      </c>
      <c r="AK289" s="1">
        <f t="shared" si="242"/>
        <v>132.98553698013694</v>
      </c>
      <c r="AL289">
        <v>10</v>
      </c>
      <c r="AM289">
        <f t="shared" si="213"/>
        <v>291.19999999999993</v>
      </c>
      <c r="AN289">
        <f t="shared" si="214"/>
        <v>29.119999999999994</v>
      </c>
      <c r="AO289">
        <f t="shared" si="215"/>
        <v>1782.8571428571431</v>
      </c>
      <c r="AP289">
        <f t="shared" si="216"/>
        <v>178.28571428571433</v>
      </c>
      <c r="AQ289">
        <f t="shared" si="217"/>
        <v>36.399999999999991</v>
      </c>
      <c r="AR289">
        <f t="shared" si="246"/>
        <v>3.6399999999999992</v>
      </c>
      <c r="AS289">
        <f t="shared" si="218"/>
        <v>1.5</v>
      </c>
      <c r="AT289">
        <f t="shared" si="219"/>
        <v>1.5</v>
      </c>
      <c r="AU289">
        <f t="shared" si="220"/>
        <v>6</v>
      </c>
      <c r="AV289">
        <f t="shared" si="247"/>
        <v>4022</v>
      </c>
      <c r="AW289" s="1">
        <v>2</v>
      </c>
      <c r="AX289">
        <v>5</v>
      </c>
      <c r="AY289">
        <v>0.1</v>
      </c>
      <c r="BA289">
        <v>4</v>
      </c>
      <c r="BB289">
        <v>2</v>
      </c>
      <c r="CH289" t="str">
        <f t="shared" si="243"/>
        <v>DATA_Class_Base34</v>
      </c>
      <c r="CI289" s="3" t="s">
        <v>184</v>
      </c>
    </row>
    <row r="290" spans="1:87">
      <c r="A290">
        <f t="shared" si="244"/>
        <v>5102502</v>
      </c>
      <c r="B290" s="2" t="s">
        <v>535</v>
      </c>
      <c r="C290">
        <v>10</v>
      </c>
      <c r="D290">
        <v>5</v>
      </c>
      <c r="E290">
        <v>2</v>
      </c>
      <c r="F290" s="3" t="s">
        <v>537</v>
      </c>
      <c r="G290" s="3" t="s">
        <v>537</v>
      </c>
      <c r="H290">
        <v>0</v>
      </c>
      <c r="I290">
        <v>0</v>
      </c>
      <c r="J290" s="2">
        <v>0</v>
      </c>
      <c r="K290" s="2" t="s">
        <v>291</v>
      </c>
      <c r="L290" s="2">
        <f t="shared" si="245"/>
        <v>6</v>
      </c>
      <c r="M290" s="2">
        <f t="shared" si="233"/>
        <v>1.4000000000000001</v>
      </c>
      <c r="N290" s="2">
        <f t="shared" si="234"/>
        <v>2</v>
      </c>
      <c r="O290" s="2">
        <v>10</v>
      </c>
      <c r="P290" s="2">
        <f t="shared" si="235"/>
        <v>331</v>
      </c>
      <c r="Q290" s="2">
        <f t="shared" si="236"/>
        <v>33.1</v>
      </c>
      <c r="R290" s="2">
        <f t="shared" si="237"/>
        <v>1771.35</v>
      </c>
      <c r="S290" s="2">
        <f t="shared" si="238"/>
        <v>177.14</v>
      </c>
      <c r="T290" s="2">
        <f t="shared" si="239"/>
        <v>33.1</v>
      </c>
      <c r="U290" s="2">
        <f t="shared" si="240"/>
        <v>3.31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525023</v>
      </c>
      <c r="AB290" s="14" t="s">
        <v>717</v>
      </c>
      <c r="AC290" s="15" t="s">
        <v>890</v>
      </c>
      <c r="AD290" s="2">
        <v>5112502</v>
      </c>
      <c r="AE290" s="2">
        <v>0</v>
      </c>
      <c r="AF290" s="2">
        <v>1</v>
      </c>
      <c r="AG290" s="2">
        <f t="shared" si="241"/>
        <v>5062502</v>
      </c>
      <c r="AH290" s="2">
        <v>2</v>
      </c>
      <c r="AJ290">
        <v>1</v>
      </c>
      <c r="AK290" s="1">
        <f t="shared" si="242"/>
        <v>132.79971583618405</v>
      </c>
      <c r="AL290">
        <v>10</v>
      </c>
      <c r="AM290">
        <f t="shared" si="213"/>
        <v>300.90666666666664</v>
      </c>
      <c r="AN290">
        <f t="shared" si="214"/>
        <v>30.090666666666664</v>
      </c>
      <c r="AO290">
        <f t="shared" si="215"/>
        <v>1610.3225806451615</v>
      </c>
      <c r="AP290">
        <f t="shared" si="216"/>
        <v>161.03225806451616</v>
      </c>
      <c r="AQ290">
        <f t="shared" si="217"/>
        <v>30.090666666666664</v>
      </c>
      <c r="AR290">
        <f t="shared" si="246"/>
        <v>3.0090666666666666</v>
      </c>
      <c r="AS290">
        <f t="shared" si="218"/>
        <v>1.4</v>
      </c>
      <c r="AT290">
        <f t="shared" si="219"/>
        <v>2</v>
      </c>
      <c r="AU290">
        <f t="shared" si="220"/>
        <v>6</v>
      </c>
      <c r="AV290">
        <f t="shared" si="247"/>
        <v>5022</v>
      </c>
      <c r="AW290" s="1">
        <v>2</v>
      </c>
      <c r="AX290">
        <v>5</v>
      </c>
      <c r="AY290">
        <v>0.1</v>
      </c>
      <c r="BA290">
        <v>5</v>
      </c>
      <c r="BB290">
        <v>2</v>
      </c>
      <c r="CH290" t="str">
        <f t="shared" si="243"/>
        <v>DATA_Class_Base35</v>
      </c>
      <c r="CI290" s="3" t="s">
        <v>195</v>
      </c>
    </row>
    <row r="291" spans="1:87">
      <c r="A291">
        <f t="shared" si="244"/>
        <v>5103200</v>
      </c>
      <c r="B291" s="2" t="s">
        <v>544</v>
      </c>
      <c r="C291">
        <v>10</v>
      </c>
      <c r="D291">
        <v>2</v>
      </c>
      <c r="E291">
        <v>3</v>
      </c>
      <c r="F291" s="3" t="s">
        <v>546</v>
      </c>
      <c r="G291" s="3" t="s">
        <v>546</v>
      </c>
      <c r="H291">
        <v>0</v>
      </c>
      <c r="I291">
        <v>0</v>
      </c>
      <c r="J291">
        <v>0</v>
      </c>
      <c r="K291" s="2" t="s">
        <v>314</v>
      </c>
      <c r="L291" s="2">
        <f t="shared" si="245"/>
        <v>3</v>
      </c>
      <c r="M291" s="2">
        <f t="shared" si="233"/>
        <v>1.5</v>
      </c>
      <c r="N291" s="2">
        <f t="shared" si="234"/>
        <v>1.2</v>
      </c>
      <c r="O291" s="2">
        <v>10</v>
      </c>
      <c r="P291" s="2">
        <f t="shared" si="235"/>
        <v>160.16</v>
      </c>
      <c r="Q291" s="2">
        <f t="shared" si="236"/>
        <v>16.02</v>
      </c>
      <c r="R291" s="2">
        <f t="shared" si="237"/>
        <v>3922.29</v>
      </c>
      <c r="S291" s="2">
        <f t="shared" si="238"/>
        <v>392.23</v>
      </c>
      <c r="T291" s="2">
        <f t="shared" si="239"/>
        <v>80.08</v>
      </c>
      <c r="U291" s="2">
        <f t="shared" si="240"/>
        <v>8.01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532003</v>
      </c>
      <c r="AB291" s="14" t="s">
        <v>719</v>
      </c>
      <c r="AC291" s="15" t="s">
        <v>890</v>
      </c>
      <c r="AD291" s="2">
        <v>5113200</v>
      </c>
      <c r="AE291" s="2">
        <v>0</v>
      </c>
      <c r="AF291" s="2">
        <v>1</v>
      </c>
      <c r="AG291" s="2">
        <f t="shared" si="241"/>
        <v>5063200</v>
      </c>
      <c r="AH291" s="2">
        <v>2</v>
      </c>
      <c r="AJ291">
        <v>1</v>
      </c>
      <c r="AK291" s="1">
        <f t="shared" si="242"/>
        <v>134.06781898892666</v>
      </c>
      <c r="AL291">
        <v>10</v>
      </c>
      <c r="AM291">
        <f t="shared" si="213"/>
        <v>145.59999999999997</v>
      </c>
      <c r="AN291">
        <f t="shared" si="214"/>
        <v>14.559999999999997</v>
      </c>
      <c r="AO291">
        <f t="shared" si="215"/>
        <v>3565.7142857142862</v>
      </c>
      <c r="AP291">
        <f t="shared" si="216"/>
        <v>356.57142857142867</v>
      </c>
      <c r="AQ291">
        <f t="shared" si="217"/>
        <v>72.799999999999983</v>
      </c>
      <c r="AR291">
        <f t="shared" si="246"/>
        <v>7.2799999999999985</v>
      </c>
      <c r="AS291">
        <f t="shared" si="218"/>
        <v>1.5</v>
      </c>
      <c r="AT291">
        <f t="shared" si="219"/>
        <v>1.2</v>
      </c>
      <c r="AU291">
        <f t="shared" si="220"/>
        <v>3</v>
      </c>
      <c r="AV291">
        <f t="shared" si="247"/>
        <v>2003</v>
      </c>
      <c r="AW291" s="1">
        <v>0</v>
      </c>
      <c r="AX291">
        <v>5</v>
      </c>
      <c r="AY291">
        <v>0.1</v>
      </c>
      <c r="BA291">
        <v>2</v>
      </c>
      <c r="BB291">
        <v>3</v>
      </c>
      <c r="CH291" t="str">
        <f t="shared" si="243"/>
        <v>DATA_Class_Base36</v>
      </c>
      <c r="CI291" s="3" t="s">
        <v>201</v>
      </c>
    </row>
    <row r="292" spans="1:87">
      <c r="A292">
        <f t="shared" si="244"/>
        <v>5103202</v>
      </c>
      <c r="B292" s="2" t="s">
        <v>552</v>
      </c>
      <c r="C292">
        <v>10</v>
      </c>
      <c r="D292">
        <v>2</v>
      </c>
      <c r="E292">
        <v>3</v>
      </c>
      <c r="F292" s="3" t="s">
        <v>554</v>
      </c>
      <c r="G292" s="3" t="s">
        <v>554</v>
      </c>
      <c r="H292">
        <v>0</v>
      </c>
      <c r="I292">
        <v>0</v>
      </c>
      <c r="J292">
        <v>0</v>
      </c>
      <c r="K292" s="8" t="s">
        <v>555</v>
      </c>
      <c r="L292" s="2">
        <f t="shared" si="245"/>
        <v>3</v>
      </c>
      <c r="M292" s="2">
        <f t="shared" si="233"/>
        <v>1.8</v>
      </c>
      <c r="N292" s="2">
        <f t="shared" si="234"/>
        <v>2</v>
      </c>
      <c r="O292" s="2">
        <v>10</v>
      </c>
      <c r="P292" s="2">
        <f t="shared" si="235"/>
        <v>247.1</v>
      </c>
      <c r="Q292" s="2">
        <f t="shared" si="236"/>
        <v>24.71</v>
      </c>
      <c r="R292" s="2">
        <f t="shared" si="237"/>
        <v>3050.67</v>
      </c>
      <c r="S292" s="2">
        <f t="shared" si="238"/>
        <v>305.07</v>
      </c>
      <c r="T292" s="2">
        <f t="shared" si="239"/>
        <v>82.37</v>
      </c>
      <c r="U292" s="2">
        <f t="shared" si="240"/>
        <v>8.24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532023</v>
      </c>
      <c r="AB292" s="14" t="s">
        <v>721</v>
      </c>
      <c r="AC292" s="15" t="s">
        <v>890</v>
      </c>
      <c r="AD292" s="2">
        <v>5113202</v>
      </c>
      <c r="AE292" s="2">
        <v>0</v>
      </c>
      <c r="AF292" s="2">
        <v>1</v>
      </c>
      <c r="AG292" s="2">
        <f t="shared" si="241"/>
        <v>5063202</v>
      </c>
      <c r="AH292" s="2">
        <v>2</v>
      </c>
      <c r="AJ292">
        <v>1</v>
      </c>
      <c r="AK292" s="1">
        <f t="shared" si="242"/>
        <v>134.13019599677247</v>
      </c>
      <c r="AL292">
        <v>10</v>
      </c>
      <c r="AM292">
        <f t="shared" si="213"/>
        <v>224.64000000000001</v>
      </c>
      <c r="AN292">
        <f t="shared" si="214"/>
        <v>22.464000000000002</v>
      </c>
      <c r="AO292">
        <f t="shared" si="215"/>
        <v>2773.3333333333335</v>
      </c>
      <c r="AP292">
        <f t="shared" si="216"/>
        <v>277.33333333333337</v>
      </c>
      <c r="AQ292">
        <f t="shared" si="217"/>
        <v>74.88000000000001</v>
      </c>
      <c r="AR292">
        <f t="shared" si="246"/>
        <v>7.4880000000000013</v>
      </c>
      <c r="AS292">
        <f t="shared" si="218"/>
        <v>1.8</v>
      </c>
      <c r="AT292">
        <f t="shared" si="219"/>
        <v>2</v>
      </c>
      <c r="AU292">
        <f t="shared" si="220"/>
        <v>3</v>
      </c>
      <c r="AV292">
        <f t="shared" si="247"/>
        <v>2023</v>
      </c>
      <c r="AW292" s="1">
        <v>2</v>
      </c>
      <c r="AX292">
        <v>5</v>
      </c>
      <c r="AY292">
        <v>0.1</v>
      </c>
      <c r="BA292">
        <v>2</v>
      </c>
      <c r="BB292">
        <v>3</v>
      </c>
      <c r="CB292" s="13"/>
      <c r="CC292" s="13"/>
      <c r="CD292" s="13"/>
      <c r="CH292" t="str">
        <f t="shared" si="243"/>
        <v>DATA_Class_Base29</v>
      </c>
      <c r="CI292" s="3" t="s">
        <v>378</v>
      </c>
    </row>
    <row r="293" spans="1:87">
      <c r="A293">
        <f t="shared" si="244"/>
        <v>5103301</v>
      </c>
      <c r="B293" s="2" t="s">
        <v>557</v>
      </c>
      <c r="C293">
        <v>10</v>
      </c>
      <c r="D293">
        <v>3</v>
      </c>
      <c r="E293">
        <v>3</v>
      </c>
      <c r="F293" s="3" t="s">
        <v>559</v>
      </c>
      <c r="G293" s="3" t="s">
        <v>559</v>
      </c>
      <c r="H293">
        <v>0</v>
      </c>
      <c r="I293">
        <v>0</v>
      </c>
      <c r="J293" s="2">
        <v>0</v>
      </c>
      <c r="K293" s="8" t="s">
        <v>555</v>
      </c>
      <c r="L293" s="2">
        <f t="shared" si="245"/>
        <v>3</v>
      </c>
      <c r="M293" s="2">
        <f t="shared" si="233"/>
        <v>1.2</v>
      </c>
      <c r="N293" s="2">
        <f t="shared" si="234"/>
        <v>1.4000000000000001</v>
      </c>
      <c r="O293" s="2">
        <v>10</v>
      </c>
      <c r="P293" s="2">
        <f t="shared" si="235"/>
        <v>219.65</v>
      </c>
      <c r="Q293" s="2">
        <f t="shared" si="236"/>
        <v>21.96</v>
      </c>
      <c r="R293" s="2">
        <f t="shared" si="237"/>
        <v>2288</v>
      </c>
      <c r="S293" s="2">
        <f t="shared" si="238"/>
        <v>228.8</v>
      </c>
      <c r="T293" s="2">
        <f t="shared" si="239"/>
        <v>43.93</v>
      </c>
      <c r="U293" s="2">
        <f t="shared" si="240"/>
        <v>4.3899999999999997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533013</v>
      </c>
      <c r="AB293" s="14" t="s">
        <v>722</v>
      </c>
      <c r="AC293" s="15" t="s">
        <v>890</v>
      </c>
      <c r="AD293" s="2">
        <v>5113301</v>
      </c>
      <c r="AE293" s="2">
        <v>0</v>
      </c>
      <c r="AF293" s="2">
        <v>1</v>
      </c>
      <c r="AG293" s="2">
        <f t="shared" si="241"/>
        <v>5063301</v>
      </c>
      <c r="AH293" s="2">
        <v>2</v>
      </c>
      <c r="AJ293">
        <v>1</v>
      </c>
      <c r="AK293" s="1">
        <f t="shared" si="242"/>
        <v>133.08990606751675</v>
      </c>
      <c r="AL293">
        <v>10</v>
      </c>
      <c r="AM293">
        <f t="shared" si="213"/>
        <v>199.68</v>
      </c>
      <c r="AN293">
        <f t="shared" si="214"/>
        <v>19.968000000000004</v>
      </c>
      <c r="AO293">
        <f t="shared" si="215"/>
        <v>2080</v>
      </c>
      <c r="AP293">
        <f t="shared" si="216"/>
        <v>208</v>
      </c>
      <c r="AQ293">
        <f t="shared" si="217"/>
        <v>39.936</v>
      </c>
      <c r="AR293">
        <f t="shared" si="246"/>
        <v>3.9936000000000003</v>
      </c>
      <c r="AS293">
        <f t="shared" si="218"/>
        <v>1.2</v>
      </c>
      <c r="AT293">
        <f t="shared" si="219"/>
        <v>1.4</v>
      </c>
      <c r="AU293">
        <f t="shared" si="220"/>
        <v>3</v>
      </c>
      <c r="AV293">
        <f t="shared" si="247"/>
        <v>3013</v>
      </c>
      <c r="AW293" s="1">
        <v>1</v>
      </c>
      <c r="AX293">
        <v>5</v>
      </c>
      <c r="AY293">
        <v>0.1</v>
      </c>
      <c r="BA293">
        <v>3</v>
      </c>
      <c r="BB293">
        <v>3</v>
      </c>
      <c r="CB293" s="13"/>
      <c r="CC293" s="13"/>
      <c r="CD293" s="13"/>
      <c r="CH293" t="str">
        <f t="shared" si="243"/>
        <v>DATA_Class_Base41</v>
      </c>
      <c r="CI293" s="3" t="s">
        <v>413</v>
      </c>
    </row>
    <row r="294" spans="1:87">
      <c r="A294">
        <f t="shared" si="244"/>
        <v>5103401</v>
      </c>
      <c r="B294" s="2" t="s">
        <v>561</v>
      </c>
      <c r="C294">
        <v>10</v>
      </c>
      <c r="D294">
        <v>4</v>
      </c>
      <c r="E294">
        <v>3</v>
      </c>
      <c r="F294" s="3" t="s">
        <v>563</v>
      </c>
      <c r="G294" s="3" t="s">
        <v>563</v>
      </c>
      <c r="H294">
        <v>0</v>
      </c>
      <c r="I294">
        <v>0</v>
      </c>
      <c r="J294">
        <v>0</v>
      </c>
      <c r="K294" s="8" t="s">
        <v>161</v>
      </c>
      <c r="L294" s="2">
        <f t="shared" si="245"/>
        <v>6</v>
      </c>
      <c r="M294" s="2">
        <f t="shared" si="233"/>
        <v>1.6</v>
      </c>
      <c r="N294" s="2">
        <f t="shared" si="234"/>
        <v>1.5</v>
      </c>
      <c r="O294" s="2">
        <v>10</v>
      </c>
      <c r="P294" s="2">
        <f t="shared" si="235"/>
        <v>292.86</v>
      </c>
      <c r="Q294" s="2">
        <f t="shared" si="236"/>
        <v>29.29</v>
      </c>
      <c r="R294" s="2">
        <f t="shared" si="237"/>
        <v>2288</v>
      </c>
      <c r="S294" s="2">
        <f t="shared" si="238"/>
        <v>228.8</v>
      </c>
      <c r="T294" s="2">
        <f t="shared" si="239"/>
        <v>48.81</v>
      </c>
      <c r="U294" s="2">
        <f t="shared" si="240"/>
        <v>4.88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534013</v>
      </c>
      <c r="AB294" s="14" t="s">
        <v>723</v>
      </c>
      <c r="AC294" s="15" t="s">
        <v>890</v>
      </c>
      <c r="AD294" s="2">
        <v>5113401</v>
      </c>
      <c r="AE294" s="2">
        <v>0</v>
      </c>
      <c r="AF294" s="2">
        <v>1</v>
      </c>
      <c r="AG294" s="2">
        <f t="shared" si="241"/>
        <v>5063401</v>
      </c>
      <c r="AH294" s="2">
        <v>2</v>
      </c>
      <c r="AJ294">
        <v>1</v>
      </c>
      <c r="AK294" s="1">
        <f t="shared" si="242"/>
        <v>133.22111104887395</v>
      </c>
      <c r="AL294">
        <v>10</v>
      </c>
      <c r="AM294">
        <f t="shared" si="213"/>
        <v>266.24</v>
      </c>
      <c r="AN294">
        <f t="shared" si="214"/>
        <v>26.624000000000002</v>
      </c>
      <c r="AO294">
        <f t="shared" si="215"/>
        <v>2080</v>
      </c>
      <c r="AP294">
        <f t="shared" si="216"/>
        <v>208</v>
      </c>
      <c r="AQ294">
        <f t="shared" si="217"/>
        <v>44.373333333333335</v>
      </c>
      <c r="AR294">
        <f t="shared" si="246"/>
        <v>4.437333333333334</v>
      </c>
      <c r="AS294">
        <f t="shared" si="218"/>
        <v>1.6</v>
      </c>
      <c r="AT294">
        <f t="shared" si="219"/>
        <v>1.5</v>
      </c>
      <c r="AU294">
        <f t="shared" si="220"/>
        <v>6</v>
      </c>
      <c r="AV294">
        <f t="shared" si="247"/>
        <v>4013</v>
      </c>
      <c r="AW294" s="1">
        <v>1</v>
      </c>
      <c r="AX294">
        <v>5</v>
      </c>
      <c r="AY294">
        <v>0.1</v>
      </c>
      <c r="BA294">
        <v>4</v>
      </c>
      <c r="BB294">
        <v>3</v>
      </c>
      <c r="CA294" t="str">
        <f t="shared" ref="CA294:CA296" si="248">CB294&amp;","&amp;CC294&amp;","&amp;CD294</f>
        <v>1545011,2545011,3545011</v>
      </c>
      <c r="CB294" s="13">
        <v>1545011</v>
      </c>
      <c r="CC294" s="13">
        <v>2545011</v>
      </c>
      <c r="CD294" s="13">
        <v>3545011</v>
      </c>
      <c r="CH294" t="str">
        <f t="shared" si="243"/>
        <v>DATA_Class_Base37</v>
      </c>
      <c r="CI294" s="3" t="s">
        <v>402</v>
      </c>
    </row>
    <row r="295" spans="1:87">
      <c r="A295">
        <f t="shared" si="244"/>
        <v>5103402</v>
      </c>
      <c r="B295" s="2" t="s">
        <v>565</v>
      </c>
      <c r="C295">
        <v>10</v>
      </c>
      <c r="D295">
        <v>4</v>
      </c>
      <c r="E295">
        <v>3</v>
      </c>
      <c r="F295" s="3" t="s">
        <v>567</v>
      </c>
      <c r="G295" s="3" t="s">
        <v>567</v>
      </c>
      <c r="H295">
        <v>0</v>
      </c>
      <c r="I295">
        <v>0</v>
      </c>
      <c r="J295" s="2">
        <v>0</v>
      </c>
      <c r="K295" s="8" t="s">
        <v>568</v>
      </c>
      <c r="L295" s="2">
        <f t="shared" si="245"/>
        <v>6</v>
      </c>
      <c r="M295" s="2">
        <f t="shared" si="233"/>
        <v>1.5</v>
      </c>
      <c r="N295" s="2">
        <f t="shared" si="234"/>
        <v>1.5</v>
      </c>
      <c r="O295" s="2">
        <v>10</v>
      </c>
      <c r="P295" s="2">
        <f t="shared" si="235"/>
        <v>297.44</v>
      </c>
      <c r="Q295" s="2">
        <f t="shared" si="236"/>
        <v>29.74</v>
      </c>
      <c r="R295" s="2">
        <f t="shared" si="237"/>
        <v>2112</v>
      </c>
      <c r="S295" s="2">
        <f t="shared" si="238"/>
        <v>211.2</v>
      </c>
      <c r="T295" s="2">
        <f t="shared" si="239"/>
        <v>42.49</v>
      </c>
      <c r="U295" s="2">
        <f t="shared" si="240"/>
        <v>4.25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534023</v>
      </c>
      <c r="AB295" s="14" t="s">
        <v>724</v>
      </c>
      <c r="AC295" s="15" t="s">
        <v>890</v>
      </c>
      <c r="AD295" s="2">
        <v>5113402</v>
      </c>
      <c r="AE295" s="2">
        <v>0</v>
      </c>
      <c r="AF295" s="2">
        <v>1</v>
      </c>
      <c r="AG295" s="2">
        <f t="shared" si="241"/>
        <v>5063402</v>
      </c>
      <c r="AH295" s="2">
        <v>2</v>
      </c>
      <c r="AJ295">
        <v>1</v>
      </c>
      <c r="AK295" s="1">
        <f t="shared" si="242"/>
        <v>133.05129673430434</v>
      </c>
      <c r="AL295">
        <v>10</v>
      </c>
      <c r="AM295">
        <f t="shared" si="213"/>
        <v>270.40000000000003</v>
      </c>
      <c r="AN295">
        <f t="shared" si="214"/>
        <v>27.040000000000006</v>
      </c>
      <c r="AO295">
        <f t="shared" si="215"/>
        <v>1919.9999999999998</v>
      </c>
      <c r="AP295">
        <f t="shared" si="216"/>
        <v>192</v>
      </c>
      <c r="AQ295">
        <f t="shared" si="217"/>
        <v>38.628571428571433</v>
      </c>
      <c r="AR295">
        <f t="shared" si="246"/>
        <v>3.8628571428571434</v>
      </c>
      <c r="AS295">
        <f t="shared" si="218"/>
        <v>1.5</v>
      </c>
      <c r="AT295">
        <f t="shared" si="219"/>
        <v>1.5</v>
      </c>
      <c r="AU295">
        <f t="shared" si="220"/>
        <v>6</v>
      </c>
      <c r="AV295">
        <f t="shared" si="247"/>
        <v>4023</v>
      </c>
      <c r="AW295" s="1">
        <v>2</v>
      </c>
      <c r="AX295">
        <v>5</v>
      </c>
      <c r="AY295">
        <v>0.1</v>
      </c>
      <c r="BA295">
        <v>4</v>
      </c>
      <c r="BB295">
        <v>3</v>
      </c>
      <c r="CA295" t="str">
        <f t="shared" si="248"/>
        <v>1546001,2546001,3546001</v>
      </c>
      <c r="CB295" s="13">
        <v>1546001</v>
      </c>
      <c r="CC295" s="13">
        <v>2546001</v>
      </c>
      <c r="CD295" s="13">
        <v>3546001</v>
      </c>
      <c r="CH295" t="str">
        <f t="shared" si="243"/>
        <v>DATA_Class_Base38</v>
      </c>
      <c r="CI295" s="3" t="s">
        <v>198</v>
      </c>
    </row>
    <row r="296" spans="1:87">
      <c r="A296">
        <f t="shared" si="244"/>
        <v>5103502</v>
      </c>
      <c r="B296" s="2" t="s">
        <v>574</v>
      </c>
      <c r="C296">
        <v>10</v>
      </c>
      <c r="D296">
        <v>5</v>
      </c>
      <c r="E296">
        <v>3</v>
      </c>
      <c r="F296" s="3" t="s">
        <v>576</v>
      </c>
      <c r="G296" s="3" t="s">
        <v>576</v>
      </c>
      <c r="H296">
        <v>0</v>
      </c>
      <c r="I296">
        <v>0</v>
      </c>
      <c r="J296" s="2">
        <v>0</v>
      </c>
      <c r="K296" s="8" t="s">
        <v>577</v>
      </c>
      <c r="L296" s="2">
        <f t="shared" si="245"/>
        <v>6</v>
      </c>
      <c r="M296" s="2">
        <f t="shared" si="233"/>
        <v>1.4000000000000001</v>
      </c>
      <c r="N296" s="2">
        <f t="shared" si="234"/>
        <v>2</v>
      </c>
      <c r="O296" s="2">
        <v>10</v>
      </c>
      <c r="P296" s="2">
        <f t="shared" si="235"/>
        <v>288.29000000000002</v>
      </c>
      <c r="Q296" s="2">
        <f t="shared" si="236"/>
        <v>28.83</v>
      </c>
      <c r="R296" s="2">
        <f t="shared" si="237"/>
        <v>2033.78</v>
      </c>
      <c r="S296" s="2">
        <f t="shared" si="238"/>
        <v>203.38</v>
      </c>
      <c r="T296" s="2">
        <f t="shared" si="239"/>
        <v>41.18</v>
      </c>
      <c r="U296" s="2">
        <f t="shared" si="240"/>
        <v>4.12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535023</v>
      </c>
      <c r="AB296" s="14" t="s">
        <v>726</v>
      </c>
      <c r="AC296" s="15" t="s">
        <v>890</v>
      </c>
      <c r="AD296" s="2">
        <v>5113502</v>
      </c>
      <c r="AE296" s="2">
        <v>0</v>
      </c>
      <c r="AF296" s="2">
        <v>1</v>
      </c>
      <c r="AG296" s="2">
        <f t="shared" si="241"/>
        <v>5063502</v>
      </c>
      <c r="AH296" s="2">
        <v>2</v>
      </c>
      <c r="AJ296">
        <v>1</v>
      </c>
      <c r="AK296" s="1">
        <f t="shared" si="242"/>
        <v>133.01621677432681</v>
      </c>
      <c r="AL296">
        <v>10</v>
      </c>
      <c r="AM296">
        <f t="shared" si="213"/>
        <v>262.08</v>
      </c>
      <c r="AN296">
        <f t="shared" si="214"/>
        <v>26.207999999999998</v>
      </c>
      <c r="AO296">
        <f t="shared" si="215"/>
        <v>1848.8888888888889</v>
      </c>
      <c r="AP296">
        <f t="shared" si="216"/>
        <v>184.88888888888891</v>
      </c>
      <c r="AQ296">
        <f t="shared" si="217"/>
        <v>37.44</v>
      </c>
      <c r="AR296">
        <f t="shared" si="246"/>
        <v>3.7439999999999998</v>
      </c>
      <c r="AS296">
        <f t="shared" si="218"/>
        <v>1.4</v>
      </c>
      <c r="AT296">
        <f t="shared" si="219"/>
        <v>2</v>
      </c>
      <c r="AU296">
        <f t="shared" si="220"/>
        <v>6</v>
      </c>
      <c r="AV296">
        <f t="shared" si="247"/>
        <v>5023</v>
      </c>
      <c r="AW296" s="1">
        <v>2</v>
      </c>
      <c r="AX296">
        <v>5</v>
      </c>
      <c r="AY296">
        <v>0.1</v>
      </c>
      <c r="BA296">
        <v>5</v>
      </c>
      <c r="BB296">
        <v>3</v>
      </c>
      <c r="CA296" t="str">
        <f t="shared" si="248"/>
        <v>1546021,2546021,3546021</v>
      </c>
      <c r="CB296" s="13">
        <v>1546021</v>
      </c>
      <c r="CC296" s="13">
        <v>2546021</v>
      </c>
      <c r="CD296" s="13">
        <v>3546021</v>
      </c>
      <c r="CH296" t="str">
        <f t="shared" si="243"/>
        <v>DATA_Class_Base39</v>
      </c>
      <c r="CI296" s="3" t="s">
        <v>407</v>
      </c>
    </row>
    <row r="297" spans="1:87">
      <c r="A297">
        <f t="shared" si="244"/>
        <v>5103601</v>
      </c>
      <c r="B297" s="2" t="s">
        <v>579</v>
      </c>
      <c r="C297">
        <v>10</v>
      </c>
      <c r="D297">
        <v>6</v>
      </c>
      <c r="E297">
        <v>3</v>
      </c>
      <c r="F297" s="3" t="s">
        <v>581</v>
      </c>
      <c r="G297" s="3" t="s">
        <v>581</v>
      </c>
      <c r="H297">
        <v>0</v>
      </c>
      <c r="I297">
        <v>0</v>
      </c>
      <c r="J297">
        <v>0</v>
      </c>
      <c r="K297" s="2" t="s">
        <v>309</v>
      </c>
      <c r="L297" s="2">
        <f t="shared" si="245"/>
        <v>6</v>
      </c>
      <c r="M297" s="2">
        <f t="shared" si="233"/>
        <v>1.5</v>
      </c>
      <c r="N297" s="2">
        <f t="shared" si="234"/>
        <v>2</v>
      </c>
      <c r="O297" s="2">
        <v>10</v>
      </c>
      <c r="P297" s="2">
        <f t="shared" si="235"/>
        <v>205.92</v>
      </c>
      <c r="Q297" s="2">
        <f t="shared" si="236"/>
        <v>20.59</v>
      </c>
      <c r="R297" s="2">
        <f t="shared" si="237"/>
        <v>3050.67</v>
      </c>
      <c r="S297" s="2">
        <f t="shared" si="238"/>
        <v>305.07</v>
      </c>
      <c r="T297" s="2">
        <f t="shared" si="239"/>
        <v>68.64</v>
      </c>
      <c r="U297" s="2">
        <f t="shared" si="240"/>
        <v>6.86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536013</v>
      </c>
      <c r="AB297" s="14" t="s">
        <v>727</v>
      </c>
      <c r="AC297" s="15" t="s">
        <v>890</v>
      </c>
      <c r="AD297" s="2">
        <v>5113601</v>
      </c>
      <c r="AE297" s="2">
        <v>0</v>
      </c>
      <c r="AF297" s="2">
        <v>1</v>
      </c>
      <c r="AG297" s="2">
        <f t="shared" si="241"/>
        <v>5063601</v>
      </c>
      <c r="AH297" s="2">
        <v>2</v>
      </c>
      <c r="AJ297">
        <v>1</v>
      </c>
      <c r="AK297" s="1">
        <f t="shared" si="242"/>
        <v>133.75680218033162</v>
      </c>
      <c r="AL297">
        <v>10</v>
      </c>
      <c r="AM297">
        <f t="shared" si="213"/>
        <v>187.20000000000002</v>
      </c>
      <c r="AN297">
        <f t="shared" si="214"/>
        <v>18.720000000000002</v>
      </c>
      <c r="AO297">
        <f t="shared" si="215"/>
        <v>2773.3333333333335</v>
      </c>
      <c r="AP297">
        <f t="shared" si="216"/>
        <v>277.33333333333337</v>
      </c>
      <c r="AQ297">
        <f t="shared" si="217"/>
        <v>62.400000000000006</v>
      </c>
      <c r="AR297">
        <f t="shared" si="246"/>
        <v>6.2400000000000011</v>
      </c>
      <c r="AS297">
        <f t="shared" si="218"/>
        <v>1.5</v>
      </c>
      <c r="AT297">
        <f t="shared" si="219"/>
        <v>2</v>
      </c>
      <c r="AU297">
        <f t="shared" si="220"/>
        <v>6</v>
      </c>
      <c r="AV297">
        <f t="shared" si="247"/>
        <v>6013</v>
      </c>
      <c r="AW297" s="1">
        <v>1</v>
      </c>
      <c r="AX297">
        <v>5</v>
      </c>
      <c r="AY297">
        <v>0.1</v>
      </c>
      <c r="BA297">
        <v>6</v>
      </c>
      <c r="BB297">
        <v>3</v>
      </c>
      <c r="CB297" s="13"/>
      <c r="CC297" s="13"/>
      <c r="CD297" s="13"/>
      <c r="CH297" t="str">
        <f t="shared" si="243"/>
        <v>DATA_Class_Base30</v>
      </c>
      <c r="CI297" s="3" t="s">
        <v>381</v>
      </c>
    </row>
    <row r="298" spans="1:87">
      <c r="A298">
        <f t="shared" si="244"/>
        <v>5104201</v>
      </c>
      <c r="B298" s="2" t="s">
        <v>583</v>
      </c>
      <c r="C298">
        <v>10</v>
      </c>
      <c r="D298">
        <v>2</v>
      </c>
      <c r="E298">
        <v>4</v>
      </c>
      <c r="F298" s="3" t="s">
        <v>585</v>
      </c>
      <c r="G298" s="3" t="s">
        <v>585</v>
      </c>
      <c r="H298">
        <v>0</v>
      </c>
      <c r="I298">
        <v>0</v>
      </c>
      <c r="J298" s="30">
        <v>0</v>
      </c>
      <c r="K298" s="8" t="s">
        <v>555</v>
      </c>
      <c r="L298" s="2">
        <f t="shared" si="245"/>
        <v>3</v>
      </c>
      <c r="M298" s="2">
        <f t="shared" si="233"/>
        <v>1.8</v>
      </c>
      <c r="N298" s="2">
        <f t="shared" si="234"/>
        <v>1.8</v>
      </c>
      <c r="O298" s="2">
        <v>10</v>
      </c>
      <c r="P298" s="2">
        <f t="shared" si="235"/>
        <v>219.65</v>
      </c>
      <c r="Q298" s="2">
        <f t="shared" si="236"/>
        <v>21.96</v>
      </c>
      <c r="R298" s="2">
        <f t="shared" si="237"/>
        <v>3432</v>
      </c>
      <c r="S298" s="2">
        <f t="shared" si="238"/>
        <v>343.2</v>
      </c>
      <c r="T298" s="2">
        <f t="shared" si="239"/>
        <v>84.48</v>
      </c>
      <c r="U298" s="2">
        <f t="shared" si="240"/>
        <v>8.4499999999999993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542013</v>
      </c>
      <c r="AB298" s="15" t="s">
        <v>728</v>
      </c>
      <c r="AC298" s="15" t="s">
        <v>890</v>
      </c>
      <c r="AD298" s="2">
        <v>5114201</v>
      </c>
      <c r="AE298" s="2">
        <v>0</v>
      </c>
      <c r="AF298" s="2">
        <v>1</v>
      </c>
      <c r="AG298" s="2">
        <f t="shared" si="241"/>
        <v>5064201</v>
      </c>
      <c r="AH298" s="2">
        <v>2</v>
      </c>
      <c r="AI298" s="2"/>
      <c r="AJ298">
        <v>1</v>
      </c>
      <c r="AK298" s="1">
        <f t="shared" si="242"/>
        <v>134.1878263133911</v>
      </c>
      <c r="AL298">
        <v>10</v>
      </c>
      <c r="AM298">
        <f t="shared" si="213"/>
        <v>199.68000000000004</v>
      </c>
      <c r="AN298">
        <f t="shared" si="214"/>
        <v>19.968000000000004</v>
      </c>
      <c r="AO298">
        <f t="shared" si="215"/>
        <v>3120</v>
      </c>
      <c r="AP298">
        <f t="shared" si="216"/>
        <v>312</v>
      </c>
      <c r="AQ298">
        <f t="shared" si="217"/>
        <v>76.800000000000011</v>
      </c>
      <c r="AR298">
        <f t="shared" si="246"/>
        <v>7.6800000000000015</v>
      </c>
      <c r="AS298">
        <f t="shared" si="218"/>
        <v>1.8</v>
      </c>
      <c r="AT298">
        <f t="shared" si="219"/>
        <v>1.8</v>
      </c>
      <c r="AU298">
        <f t="shared" si="220"/>
        <v>3</v>
      </c>
      <c r="AV298">
        <f t="shared" si="247"/>
        <v>2014</v>
      </c>
      <c r="AW298" s="1">
        <v>1</v>
      </c>
      <c r="AX298">
        <v>5</v>
      </c>
      <c r="AY298">
        <v>0.1</v>
      </c>
      <c r="BA298">
        <v>2</v>
      </c>
      <c r="BB298">
        <v>4</v>
      </c>
      <c r="CA298" t="str">
        <f t="shared" ref="CA298:CA300" si="249">CB298&amp;","&amp;CC298&amp;","&amp;CD298</f>
        <v>1553001,2553001,3553001</v>
      </c>
      <c r="CB298" s="13">
        <v>1553001</v>
      </c>
      <c r="CC298" s="13">
        <v>2553001</v>
      </c>
      <c r="CD298" s="13">
        <v>3553001</v>
      </c>
      <c r="CH298" t="str">
        <f t="shared" si="243"/>
        <v>DATA_Class_Base40</v>
      </c>
      <c r="CI298" s="3" t="s">
        <v>411</v>
      </c>
    </row>
    <row r="299" spans="1:87">
      <c r="A299">
        <f t="shared" si="244"/>
        <v>5104501</v>
      </c>
      <c r="B299" s="2" t="s">
        <v>592</v>
      </c>
      <c r="C299">
        <v>10</v>
      </c>
      <c r="D299">
        <v>5</v>
      </c>
      <c r="E299">
        <v>4</v>
      </c>
      <c r="F299" s="3" t="s">
        <v>594</v>
      </c>
      <c r="G299" s="3" t="s">
        <v>594</v>
      </c>
      <c r="H299">
        <v>0</v>
      </c>
      <c r="I299">
        <v>0</v>
      </c>
      <c r="J299">
        <v>0</v>
      </c>
      <c r="K299" s="2" t="s">
        <v>334</v>
      </c>
      <c r="L299" s="2">
        <f t="shared" si="245"/>
        <v>6</v>
      </c>
      <c r="M299" s="2">
        <f t="shared" si="233"/>
        <v>1.6</v>
      </c>
      <c r="N299" s="2">
        <f t="shared" si="234"/>
        <v>2</v>
      </c>
      <c r="O299" s="2">
        <v>10</v>
      </c>
      <c r="P299" s="2">
        <f t="shared" si="235"/>
        <v>317.27</v>
      </c>
      <c r="Q299" s="2">
        <f t="shared" si="236"/>
        <v>31.73</v>
      </c>
      <c r="R299" s="2">
        <f t="shared" si="237"/>
        <v>2112</v>
      </c>
      <c r="S299" s="2">
        <f t="shared" si="238"/>
        <v>211.2</v>
      </c>
      <c r="T299" s="2">
        <f t="shared" si="239"/>
        <v>35.25</v>
      </c>
      <c r="U299" s="2">
        <f t="shared" si="240"/>
        <v>3.53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545013</v>
      </c>
      <c r="AB299" s="14" t="s">
        <v>730</v>
      </c>
      <c r="AC299" s="15" t="s">
        <v>890</v>
      </c>
      <c r="AD299" s="2">
        <v>5114501</v>
      </c>
      <c r="AE299" s="2">
        <v>0</v>
      </c>
      <c r="AF299" s="2">
        <v>1</v>
      </c>
      <c r="AG299" s="2">
        <f t="shared" si="241"/>
        <v>5064501</v>
      </c>
      <c r="AH299" s="2">
        <v>2</v>
      </c>
      <c r="AI299" s="2"/>
      <c r="AJ299">
        <v>1</v>
      </c>
      <c r="AK299" s="1">
        <f t="shared" si="242"/>
        <v>132.8572897723231</v>
      </c>
      <c r="AL299">
        <v>10</v>
      </c>
      <c r="AM299">
        <f t="shared" si="213"/>
        <v>288.42666666666668</v>
      </c>
      <c r="AN299">
        <f t="shared" si="214"/>
        <v>28.84266666666667</v>
      </c>
      <c r="AO299">
        <f t="shared" si="215"/>
        <v>1919.9999999999998</v>
      </c>
      <c r="AP299">
        <f t="shared" si="216"/>
        <v>192</v>
      </c>
      <c r="AQ299">
        <f t="shared" si="217"/>
        <v>32.047407407407405</v>
      </c>
      <c r="AR299">
        <f t="shared" si="246"/>
        <v>3.2047407407407409</v>
      </c>
      <c r="AS299">
        <f t="shared" si="218"/>
        <v>1.6</v>
      </c>
      <c r="AT299">
        <f t="shared" si="219"/>
        <v>2</v>
      </c>
      <c r="AU299">
        <f t="shared" si="220"/>
        <v>6</v>
      </c>
      <c r="AV299">
        <f t="shared" si="247"/>
        <v>5014</v>
      </c>
      <c r="AW299" s="1">
        <v>1</v>
      </c>
      <c r="AX299">
        <v>5</v>
      </c>
      <c r="AY299">
        <v>0.1</v>
      </c>
      <c r="BA299">
        <v>5</v>
      </c>
      <c r="BB299">
        <v>4</v>
      </c>
      <c r="CA299" t="str">
        <f t="shared" si="249"/>
        <v>1553021,2553021,3553021</v>
      </c>
      <c r="CB299" s="13">
        <v>1553021</v>
      </c>
      <c r="CC299" s="13">
        <v>2553021</v>
      </c>
      <c r="CD299" s="13">
        <v>3553021</v>
      </c>
      <c r="CH299" t="str">
        <f t="shared" si="243"/>
        <v>DATA_Class_Base41</v>
      </c>
      <c r="CI299" s="3" t="s">
        <v>413</v>
      </c>
    </row>
    <row r="300" spans="1:87">
      <c r="A300">
        <f t="shared" si="244"/>
        <v>5104600</v>
      </c>
      <c r="B300" s="2" t="s">
        <v>596</v>
      </c>
      <c r="C300">
        <v>10</v>
      </c>
      <c r="D300">
        <v>6</v>
      </c>
      <c r="E300">
        <v>4</v>
      </c>
      <c r="F300" s="3" t="s">
        <v>598</v>
      </c>
      <c r="G300" s="3" t="s">
        <v>598</v>
      </c>
      <c r="H300">
        <v>0</v>
      </c>
      <c r="I300">
        <v>0</v>
      </c>
      <c r="J300" s="2">
        <v>0</v>
      </c>
      <c r="K300" s="2" t="s">
        <v>339</v>
      </c>
      <c r="L300" s="2">
        <f t="shared" si="245"/>
        <v>3</v>
      </c>
      <c r="M300" s="2">
        <f t="shared" si="233"/>
        <v>1.4000000000000001</v>
      </c>
      <c r="N300" s="2">
        <f t="shared" si="234"/>
        <v>1.9000000000000001</v>
      </c>
      <c r="O300" s="2">
        <v>10</v>
      </c>
      <c r="P300" s="2">
        <f t="shared" si="235"/>
        <v>234.9</v>
      </c>
      <c r="Q300" s="2">
        <f t="shared" si="236"/>
        <v>23.49</v>
      </c>
      <c r="R300" s="2">
        <f t="shared" si="237"/>
        <v>2496</v>
      </c>
      <c r="S300" s="2">
        <f t="shared" si="238"/>
        <v>249.6</v>
      </c>
      <c r="T300" s="2">
        <f t="shared" si="239"/>
        <v>58.73</v>
      </c>
      <c r="U300" s="2">
        <f t="shared" si="240"/>
        <v>5.87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546003</v>
      </c>
      <c r="AB300" s="14" t="s">
        <v>731</v>
      </c>
      <c r="AC300" s="15" t="s">
        <v>890</v>
      </c>
      <c r="AD300" s="2">
        <v>5114600</v>
      </c>
      <c r="AE300" s="2">
        <v>0</v>
      </c>
      <c r="AF300" s="2">
        <v>1</v>
      </c>
      <c r="AG300" s="2">
        <f t="shared" si="241"/>
        <v>5064600</v>
      </c>
      <c r="AH300" s="2">
        <v>2</v>
      </c>
      <c r="AI300" s="2"/>
      <c r="AJ300">
        <v>1</v>
      </c>
      <c r="AK300" s="1">
        <f t="shared" si="242"/>
        <v>133.48841918252674</v>
      </c>
      <c r="AL300">
        <v>10</v>
      </c>
      <c r="AM300">
        <f t="shared" si="213"/>
        <v>213.54666666666665</v>
      </c>
      <c r="AN300">
        <f t="shared" si="214"/>
        <v>21.354666666666667</v>
      </c>
      <c r="AO300">
        <f t="shared" si="215"/>
        <v>2269.090909090909</v>
      </c>
      <c r="AP300">
        <f t="shared" si="216"/>
        <v>226.90909090909091</v>
      </c>
      <c r="AQ300">
        <f t="shared" si="217"/>
        <v>53.386666666666663</v>
      </c>
      <c r="AR300">
        <f t="shared" si="246"/>
        <v>5.3386666666666667</v>
      </c>
      <c r="AS300">
        <f t="shared" si="218"/>
        <v>1.4</v>
      </c>
      <c r="AT300">
        <f t="shared" si="219"/>
        <v>1.9</v>
      </c>
      <c r="AU300">
        <f t="shared" si="220"/>
        <v>3</v>
      </c>
      <c r="AV300">
        <f t="shared" si="247"/>
        <v>6004</v>
      </c>
      <c r="AW300" s="1">
        <v>0</v>
      </c>
      <c r="AX300">
        <v>5</v>
      </c>
      <c r="AY300">
        <v>0.1</v>
      </c>
      <c r="BA300">
        <v>6</v>
      </c>
      <c r="BB300">
        <v>4</v>
      </c>
      <c r="CA300" t="str">
        <f t="shared" si="249"/>
        <v>1554001,2554001,3554001</v>
      </c>
      <c r="CB300" s="13">
        <v>1554001</v>
      </c>
      <c r="CC300" s="13">
        <v>2554001</v>
      </c>
      <c r="CD300" s="13">
        <v>3554001</v>
      </c>
      <c r="CH300" t="str">
        <f t="shared" si="243"/>
        <v>DATA_Class_Base42</v>
      </c>
      <c r="CI300" s="3" t="s">
        <v>174</v>
      </c>
    </row>
    <row r="301" spans="1:87">
      <c r="A301">
        <f t="shared" si="244"/>
        <v>5104602</v>
      </c>
      <c r="B301" s="2" t="s">
        <v>600</v>
      </c>
      <c r="C301">
        <v>10</v>
      </c>
      <c r="D301">
        <v>6</v>
      </c>
      <c r="E301">
        <v>4</v>
      </c>
      <c r="F301" s="3" t="s">
        <v>602</v>
      </c>
      <c r="G301" s="3" t="s">
        <v>602</v>
      </c>
      <c r="H301">
        <v>0</v>
      </c>
      <c r="I301">
        <v>0</v>
      </c>
      <c r="J301" t="s">
        <v>345</v>
      </c>
      <c r="K301" s="2" t="s">
        <v>346</v>
      </c>
      <c r="L301" s="2">
        <f t="shared" si="245"/>
        <v>6</v>
      </c>
      <c r="M301" s="2">
        <f t="shared" si="233"/>
        <v>1.8</v>
      </c>
      <c r="N301" s="2">
        <f t="shared" si="234"/>
        <v>2</v>
      </c>
      <c r="O301" s="2">
        <v>10</v>
      </c>
      <c r="P301" s="2">
        <f t="shared" si="235"/>
        <v>274.56</v>
      </c>
      <c r="Q301" s="2">
        <f t="shared" si="236"/>
        <v>27.46</v>
      </c>
      <c r="R301" s="2">
        <f t="shared" si="237"/>
        <v>2745.6</v>
      </c>
      <c r="S301" s="2">
        <f t="shared" si="238"/>
        <v>274.56</v>
      </c>
      <c r="T301" s="2">
        <f t="shared" si="239"/>
        <v>54.91</v>
      </c>
      <c r="U301" s="2">
        <f t="shared" si="240"/>
        <v>5.49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546023</v>
      </c>
      <c r="AB301" s="14" t="s">
        <v>732</v>
      </c>
      <c r="AC301" s="15" t="s">
        <v>890</v>
      </c>
      <c r="AD301" s="2">
        <v>5114602</v>
      </c>
      <c r="AE301" s="2">
        <v>0</v>
      </c>
      <c r="AF301" s="2">
        <v>1</v>
      </c>
      <c r="AG301" s="2">
        <f t="shared" si="241"/>
        <v>5064602</v>
      </c>
      <c r="AH301" s="2">
        <v>2</v>
      </c>
      <c r="AI301" s="2"/>
      <c r="AJ301">
        <v>1</v>
      </c>
      <c r="AK301" s="1">
        <f t="shared" si="242"/>
        <v>133.38548151215912</v>
      </c>
      <c r="AL301">
        <v>10</v>
      </c>
      <c r="AM301">
        <f t="shared" si="213"/>
        <v>249.60000000000002</v>
      </c>
      <c r="AN301">
        <f t="shared" si="214"/>
        <v>24.960000000000004</v>
      </c>
      <c r="AO301">
        <f t="shared" si="215"/>
        <v>2496</v>
      </c>
      <c r="AP301">
        <f t="shared" si="216"/>
        <v>249.60000000000002</v>
      </c>
      <c r="AQ301">
        <f t="shared" si="217"/>
        <v>49.92</v>
      </c>
      <c r="AR301">
        <f t="shared" si="246"/>
        <v>4.9920000000000009</v>
      </c>
      <c r="AS301">
        <f t="shared" si="218"/>
        <v>1.8</v>
      </c>
      <c r="AT301">
        <f t="shared" si="219"/>
        <v>2</v>
      </c>
      <c r="AU301">
        <f t="shared" si="220"/>
        <v>6</v>
      </c>
      <c r="AV301">
        <f t="shared" si="247"/>
        <v>6024</v>
      </c>
      <c r="AW301" s="1">
        <v>2</v>
      </c>
      <c r="AX301">
        <v>5</v>
      </c>
      <c r="AY301">
        <v>0.1</v>
      </c>
      <c r="BA301">
        <v>6</v>
      </c>
      <c r="BB301">
        <v>4</v>
      </c>
      <c r="CB301" s="13"/>
      <c r="CC301" s="13"/>
      <c r="CD301" s="13"/>
      <c r="CH301" t="str">
        <f t="shared" si="243"/>
        <v>DATA_Class_Base37</v>
      </c>
      <c r="CI301" s="3" t="s">
        <v>402</v>
      </c>
    </row>
    <row r="302" spans="1:87">
      <c r="A302">
        <f t="shared" si="244"/>
        <v>5105300</v>
      </c>
      <c r="B302" s="2" t="s">
        <v>609</v>
      </c>
      <c r="C302">
        <v>10</v>
      </c>
      <c r="D302">
        <v>3</v>
      </c>
      <c r="E302">
        <v>5</v>
      </c>
      <c r="F302" s="3" t="s">
        <v>611</v>
      </c>
      <c r="G302" s="3" t="s">
        <v>611</v>
      </c>
      <c r="H302">
        <v>0</v>
      </c>
      <c r="I302">
        <v>0</v>
      </c>
      <c r="J302" s="2">
        <v>0</v>
      </c>
      <c r="K302" s="8" t="s">
        <v>612</v>
      </c>
      <c r="L302" s="2">
        <f t="shared" si="245"/>
        <v>3</v>
      </c>
      <c r="M302" s="2">
        <f t="shared" si="233"/>
        <v>1.3</v>
      </c>
      <c r="N302" s="2">
        <f t="shared" si="234"/>
        <v>2</v>
      </c>
      <c r="O302" s="2">
        <v>10</v>
      </c>
      <c r="P302" s="2">
        <f t="shared" si="235"/>
        <v>228.04</v>
      </c>
      <c r="Q302" s="2">
        <f t="shared" si="236"/>
        <v>22.8</v>
      </c>
      <c r="R302" s="2">
        <f t="shared" si="237"/>
        <v>2387.48</v>
      </c>
      <c r="S302" s="2">
        <f t="shared" si="238"/>
        <v>238.75</v>
      </c>
      <c r="T302" s="2">
        <f t="shared" si="239"/>
        <v>28.5</v>
      </c>
      <c r="U302" s="2">
        <f t="shared" si="240"/>
        <v>2.85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553003</v>
      </c>
      <c r="AB302" s="14" t="s">
        <v>734</v>
      </c>
      <c r="AC302" s="15" t="s">
        <v>890</v>
      </c>
      <c r="AD302" s="2">
        <v>5115300</v>
      </c>
      <c r="AE302" s="2">
        <v>0</v>
      </c>
      <c r="AF302" s="2">
        <v>1</v>
      </c>
      <c r="AG302" s="2">
        <f t="shared" si="241"/>
        <v>5065300</v>
      </c>
      <c r="AH302" s="2">
        <v>2</v>
      </c>
      <c r="AI302" s="2"/>
      <c r="AJ302">
        <v>1</v>
      </c>
      <c r="AK302" s="1">
        <f t="shared" si="242"/>
        <v>132.6769713686412</v>
      </c>
      <c r="AL302">
        <v>10</v>
      </c>
      <c r="AM302">
        <f t="shared" si="213"/>
        <v>207.30666666666664</v>
      </c>
      <c r="AN302">
        <f t="shared" si="214"/>
        <v>20.730666666666664</v>
      </c>
      <c r="AO302">
        <f t="shared" si="215"/>
        <v>2170.434782608696</v>
      </c>
      <c r="AP302">
        <f t="shared" si="216"/>
        <v>217.04347826086962</v>
      </c>
      <c r="AQ302">
        <f t="shared" si="217"/>
        <v>25.91333333333333</v>
      </c>
      <c r="AR302">
        <f t="shared" si="246"/>
        <v>2.591333333333333</v>
      </c>
      <c r="AS302">
        <f t="shared" si="218"/>
        <v>1.3</v>
      </c>
      <c r="AT302">
        <f t="shared" si="219"/>
        <v>2</v>
      </c>
      <c r="AU302">
        <f t="shared" si="220"/>
        <v>3</v>
      </c>
      <c r="AV302">
        <f t="shared" si="247"/>
        <v>3005</v>
      </c>
      <c r="AW302" s="1">
        <v>0</v>
      </c>
      <c r="AX302">
        <v>5</v>
      </c>
      <c r="AY302">
        <v>0.1</v>
      </c>
      <c r="BA302">
        <v>3</v>
      </c>
      <c r="BB302">
        <v>5</v>
      </c>
      <c r="CH302" t="str">
        <f t="shared" si="243"/>
        <v>DATA_Class_Base28</v>
      </c>
      <c r="CI302" s="3" t="s">
        <v>374</v>
      </c>
    </row>
    <row r="303" spans="1:87">
      <c r="A303">
        <f t="shared" si="244"/>
        <v>5105302</v>
      </c>
      <c r="B303" s="2" t="s">
        <v>614</v>
      </c>
      <c r="C303">
        <v>10</v>
      </c>
      <c r="D303">
        <v>3</v>
      </c>
      <c r="E303">
        <v>5</v>
      </c>
      <c r="F303" s="3" t="s">
        <v>616</v>
      </c>
      <c r="G303" s="3" t="s">
        <v>616</v>
      </c>
      <c r="H303">
        <v>0</v>
      </c>
      <c r="I303">
        <v>0</v>
      </c>
      <c r="J303" s="2">
        <v>0</v>
      </c>
      <c r="K303" s="2" t="s">
        <v>358</v>
      </c>
      <c r="L303" s="2">
        <f t="shared" si="245"/>
        <v>3</v>
      </c>
      <c r="M303" s="2">
        <f t="shared" si="233"/>
        <v>1.4000000000000001</v>
      </c>
      <c r="N303" s="2">
        <f t="shared" si="234"/>
        <v>2</v>
      </c>
      <c r="O303" s="2">
        <v>10</v>
      </c>
      <c r="P303" s="2">
        <f t="shared" si="235"/>
        <v>256.26</v>
      </c>
      <c r="Q303" s="2">
        <f t="shared" si="236"/>
        <v>25.63</v>
      </c>
      <c r="R303" s="2">
        <f t="shared" si="237"/>
        <v>2288</v>
      </c>
      <c r="S303" s="2">
        <f t="shared" si="238"/>
        <v>228.8</v>
      </c>
      <c r="T303" s="2">
        <f t="shared" si="239"/>
        <v>36.61</v>
      </c>
      <c r="U303" s="2">
        <f t="shared" si="240"/>
        <v>3.66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553023</v>
      </c>
      <c r="AB303" s="14" t="s">
        <v>735</v>
      </c>
      <c r="AC303" s="15" t="s">
        <v>890</v>
      </c>
      <c r="AD303" s="2">
        <v>5115302</v>
      </c>
      <c r="AE303" s="2">
        <v>0</v>
      </c>
      <c r="AF303" s="2">
        <v>1</v>
      </c>
      <c r="AG303" s="2">
        <f t="shared" si="241"/>
        <v>5065302</v>
      </c>
      <c r="AH303" s="2">
        <v>2</v>
      </c>
      <c r="AI303" s="2"/>
      <c r="AJ303">
        <v>1</v>
      </c>
      <c r="AK303" s="1">
        <f t="shared" si="242"/>
        <v>132.89358245329001</v>
      </c>
      <c r="AL303">
        <v>10</v>
      </c>
      <c r="AM303">
        <f t="shared" si="213"/>
        <v>232.95999999999998</v>
      </c>
      <c r="AN303">
        <f t="shared" si="214"/>
        <v>23.295999999999999</v>
      </c>
      <c r="AO303">
        <f t="shared" si="215"/>
        <v>2080</v>
      </c>
      <c r="AP303">
        <f t="shared" si="216"/>
        <v>208</v>
      </c>
      <c r="AQ303">
        <f t="shared" si="217"/>
        <v>33.279999999999994</v>
      </c>
      <c r="AR303">
        <f t="shared" si="246"/>
        <v>3.3279999999999994</v>
      </c>
      <c r="AS303">
        <f t="shared" si="218"/>
        <v>1.4</v>
      </c>
      <c r="AT303">
        <f t="shared" si="219"/>
        <v>2</v>
      </c>
      <c r="AU303">
        <f t="shared" si="220"/>
        <v>3</v>
      </c>
      <c r="AV303">
        <f t="shared" si="247"/>
        <v>3025</v>
      </c>
      <c r="AW303" s="1">
        <v>2</v>
      </c>
      <c r="AX303">
        <v>5</v>
      </c>
      <c r="AY303">
        <v>0.1</v>
      </c>
      <c r="BA303">
        <v>3</v>
      </c>
      <c r="BB303">
        <v>5</v>
      </c>
      <c r="CH303" t="str">
        <f t="shared" si="243"/>
        <v>DATA_Class_Base29</v>
      </c>
      <c r="CI303" s="3" t="s">
        <v>378</v>
      </c>
    </row>
    <row r="304" spans="1:87">
      <c r="A304">
        <f t="shared" si="244"/>
        <v>5105400</v>
      </c>
      <c r="B304" s="2" t="s">
        <v>618</v>
      </c>
      <c r="C304">
        <v>10</v>
      </c>
      <c r="D304">
        <v>4</v>
      </c>
      <c r="E304">
        <v>5</v>
      </c>
      <c r="F304" s="3" t="s">
        <v>620</v>
      </c>
      <c r="G304" s="3" t="s">
        <v>620</v>
      </c>
      <c r="H304">
        <v>0</v>
      </c>
      <c r="I304">
        <v>0</v>
      </c>
      <c r="J304">
        <v>0</v>
      </c>
      <c r="K304" s="2" t="s">
        <v>364</v>
      </c>
      <c r="L304" s="2">
        <f t="shared" si="245"/>
        <v>6</v>
      </c>
      <c r="M304" s="2">
        <f t="shared" si="233"/>
        <v>1.4000000000000001</v>
      </c>
      <c r="N304" s="2">
        <f t="shared" si="234"/>
        <v>2</v>
      </c>
      <c r="O304" s="2">
        <v>10</v>
      </c>
      <c r="P304" s="2">
        <f t="shared" si="235"/>
        <v>266.93</v>
      </c>
      <c r="Q304" s="2">
        <f t="shared" si="236"/>
        <v>26.69</v>
      </c>
      <c r="R304" s="2">
        <f t="shared" si="237"/>
        <v>2196.48</v>
      </c>
      <c r="S304" s="2">
        <f t="shared" si="238"/>
        <v>219.65</v>
      </c>
      <c r="T304" s="2">
        <f t="shared" si="239"/>
        <v>44.49</v>
      </c>
      <c r="U304" s="2">
        <f t="shared" si="240"/>
        <v>4.45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554003</v>
      </c>
      <c r="AB304" s="14" t="s">
        <v>736</v>
      </c>
      <c r="AC304" s="15" t="s">
        <v>890</v>
      </c>
      <c r="AD304" s="2">
        <v>5115400</v>
      </c>
      <c r="AE304" s="2">
        <v>0</v>
      </c>
      <c r="AF304" s="2">
        <v>1</v>
      </c>
      <c r="AG304" s="2">
        <f t="shared" si="241"/>
        <v>5065400</v>
      </c>
      <c r="AH304" s="2">
        <v>2</v>
      </c>
      <c r="AI304" s="2"/>
      <c r="AJ304">
        <v>1</v>
      </c>
      <c r="AK304" s="1">
        <f t="shared" si="242"/>
        <v>133.10492686033061</v>
      </c>
      <c r="AL304">
        <v>10</v>
      </c>
      <c r="AM304">
        <f t="shared" si="213"/>
        <v>242.66666666666669</v>
      </c>
      <c r="AN304">
        <f t="shared" si="214"/>
        <v>24.266666666666669</v>
      </c>
      <c r="AO304">
        <f t="shared" si="215"/>
        <v>1996.8000000000002</v>
      </c>
      <c r="AP304">
        <f t="shared" si="216"/>
        <v>199.68000000000004</v>
      </c>
      <c r="AQ304">
        <f t="shared" si="217"/>
        <v>40.44444444444445</v>
      </c>
      <c r="AR304">
        <f t="shared" si="246"/>
        <v>4.0444444444444452</v>
      </c>
      <c r="AS304">
        <f t="shared" si="218"/>
        <v>1.4</v>
      </c>
      <c r="AT304">
        <f t="shared" si="219"/>
        <v>2</v>
      </c>
      <c r="AU304">
        <f t="shared" si="220"/>
        <v>6</v>
      </c>
      <c r="AV304">
        <f t="shared" si="247"/>
        <v>4005</v>
      </c>
      <c r="AW304" s="1">
        <v>0</v>
      </c>
      <c r="AX304">
        <v>5</v>
      </c>
      <c r="AY304">
        <v>0.1</v>
      </c>
      <c r="BA304">
        <v>4</v>
      </c>
      <c r="BB304">
        <v>5</v>
      </c>
      <c r="CH304" t="str">
        <f t="shared" si="243"/>
        <v>DATA_Class_Base30</v>
      </c>
      <c r="CI304" s="3" t="s">
        <v>381</v>
      </c>
    </row>
    <row r="305" spans="1:87">
      <c r="A305">
        <f t="shared" si="244"/>
        <v>5105501</v>
      </c>
      <c r="B305" s="2" t="s">
        <v>622</v>
      </c>
      <c r="C305">
        <v>10</v>
      </c>
      <c r="D305">
        <v>5</v>
      </c>
      <c r="E305">
        <v>5</v>
      </c>
      <c r="F305" s="3" t="s">
        <v>624</v>
      </c>
      <c r="G305" s="3" t="s">
        <v>624</v>
      </c>
      <c r="H305">
        <v>0</v>
      </c>
      <c r="I305">
        <v>0</v>
      </c>
      <c r="J305" s="3">
        <v>0</v>
      </c>
      <c r="K305" s="8" t="s">
        <v>625</v>
      </c>
      <c r="L305" s="2">
        <f t="shared" si="245"/>
        <v>6</v>
      </c>
      <c r="M305" s="2">
        <f t="shared" si="233"/>
        <v>1.6</v>
      </c>
      <c r="N305" s="2">
        <f t="shared" si="234"/>
        <v>2</v>
      </c>
      <c r="O305" s="2">
        <v>10</v>
      </c>
      <c r="P305" s="2">
        <f t="shared" si="235"/>
        <v>353.88</v>
      </c>
      <c r="Q305" s="2">
        <f t="shared" si="236"/>
        <v>35.39</v>
      </c>
      <c r="R305" s="2">
        <f t="shared" si="237"/>
        <v>1893.52</v>
      </c>
      <c r="S305" s="2">
        <f t="shared" si="238"/>
        <v>189.35</v>
      </c>
      <c r="T305" s="2">
        <f t="shared" si="239"/>
        <v>39.32</v>
      </c>
      <c r="U305" s="2">
        <f t="shared" si="240"/>
        <v>3.93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555013</v>
      </c>
      <c r="AB305" s="15" t="s">
        <v>737</v>
      </c>
      <c r="AC305" s="15" t="s">
        <v>890</v>
      </c>
      <c r="AD305" s="2">
        <v>5115501</v>
      </c>
      <c r="AE305" s="2">
        <v>0</v>
      </c>
      <c r="AF305" s="2">
        <v>1</v>
      </c>
      <c r="AG305" s="2">
        <f t="shared" si="241"/>
        <v>5065501</v>
      </c>
      <c r="AH305" s="2">
        <v>2</v>
      </c>
      <c r="AI305" s="2"/>
      <c r="AJ305">
        <v>1</v>
      </c>
      <c r="AK305" s="1">
        <f t="shared" si="242"/>
        <v>132.96622733226079</v>
      </c>
      <c r="AL305">
        <v>10</v>
      </c>
      <c r="AM305">
        <f t="shared" si="213"/>
        <v>321.70666666666671</v>
      </c>
      <c r="AN305">
        <f t="shared" si="214"/>
        <v>32.170666666666669</v>
      </c>
      <c r="AO305">
        <f t="shared" si="215"/>
        <v>1721.3793103448277</v>
      </c>
      <c r="AP305">
        <f t="shared" si="216"/>
        <v>172.13793103448279</v>
      </c>
      <c r="AQ305">
        <f t="shared" si="217"/>
        <v>35.745185185185193</v>
      </c>
      <c r="AR305">
        <f t="shared" si="246"/>
        <v>3.5745185185185195</v>
      </c>
      <c r="AS305">
        <f t="shared" si="218"/>
        <v>1.6</v>
      </c>
      <c r="AT305">
        <f t="shared" si="219"/>
        <v>2</v>
      </c>
      <c r="AU305">
        <f t="shared" si="220"/>
        <v>6</v>
      </c>
      <c r="AV305">
        <f t="shared" si="247"/>
        <v>5015</v>
      </c>
      <c r="AW305" s="1">
        <v>1</v>
      </c>
      <c r="AX305">
        <v>5</v>
      </c>
      <c r="AY305">
        <v>0.1</v>
      </c>
      <c r="BA305">
        <v>5</v>
      </c>
      <c r="BB305">
        <v>5</v>
      </c>
      <c r="CH305" t="str">
        <f t="shared" si="243"/>
        <v>DATA_Class_Base31</v>
      </c>
      <c r="CI305" s="3" t="s">
        <v>384</v>
      </c>
    </row>
    <row r="306" spans="1:87">
      <c r="A306">
        <f t="shared" si="244"/>
        <v>5111200</v>
      </c>
      <c r="B306" s="2" t="s">
        <v>464</v>
      </c>
      <c r="C306">
        <v>11</v>
      </c>
      <c r="D306">
        <v>2</v>
      </c>
      <c r="E306">
        <v>1</v>
      </c>
      <c r="F306" s="3" t="s">
        <v>466</v>
      </c>
      <c r="G306" s="3" t="s">
        <v>466</v>
      </c>
      <c r="H306">
        <v>0</v>
      </c>
      <c r="I306">
        <v>0</v>
      </c>
      <c r="J306" s="2">
        <v>0</v>
      </c>
      <c r="K306" s="8" t="s">
        <v>467</v>
      </c>
      <c r="L306" s="2">
        <f t="shared" si="245"/>
        <v>3</v>
      </c>
      <c r="M306" s="2">
        <f t="shared" si="233"/>
        <v>1.5</v>
      </c>
      <c r="N306" s="2">
        <f t="shared" si="234"/>
        <v>1.2</v>
      </c>
      <c r="O306" s="2">
        <v>10</v>
      </c>
      <c r="P306" s="2">
        <f t="shared" si="235"/>
        <v>197.12</v>
      </c>
      <c r="Q306" s="2">
        <f t="shared" si="236"/>
        <v>19.71</v>
      </c>
      <c r="R306" s="2">
        <f t="shared" si="237"/>
        <v>3696</v>
      </c>
      <c r="S306" s="2">
        <f t="shared" si="238"/>
        <v>369.6</v>
      </c>
      <c r="T306" s="2">
        <f t="shared" si="239"/>
        <v>65.709999999999994</v>
      </c>
      <c r="U306" s="2">
        <f t="shared" si="240"/>
        <v>6.57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512003</v>
      </c>
      <c r="AB306" s="14" t="s">
        <v>738</v>
      </c>
      <c r="AC306" s="15" t="s">
        <v>890</v>
      </c>
      <c r="AD306" s="2">
        <v>5121200</v>
      </c>
      <c r="AE306" s="2">
        <v>0</v>
      </c>
      <c r="AF306" s="2">
        <v>1</v>
      </c>
      <c r="AG306" s="2">
        <f t="shared" ref="AG306:AG336" si="250">A151</f>
        <v>5061200</v>
      </c>
      <c r="AH306" s="2">
        <v>2</v>
      </c>
      <c r="AJ306">
        <v>1</v>
      </c>
      <c r="AK306" s="1">
        <f t="shared" si="242"/>
        <v>155.03401284074451</v>
      </c>
      <c r="AL306">
        <v>11</v>
      </c>
      <c r="AM306">
        <f t="shared" ref="AM306:AM360" si="251">INDEX($BE$5:$BE$58,MATCH($AV306,$BC$5:$BC$58,0))*$AS306/1.5*$BI$4*INDEX($BE$109:$BR$109,MATCH($AL306,$BE$108:$BR$108,0))</f>
        <v>179.20000000000002</v>
      </c>
      <c r="AN306">
        <f t="shared" ref="AN306:AN360" si="252">(INDEX($BE$5:$BE$58,MATCH($AV306,$BC$5:$BC$58,0))*$AS306/1.5*$BI$4*INDEX($BE$109:$BR$109,MATCH($AL306,$BE$108:$BR$108,0)))*0.1</f>
        <v>17.920000000000002</v>
      </c>
      <c r="AO306">
        <f t="shared" ref="AO306:AO360" si="253">INDEX($BF$5:$BF$58,MATCH($AV306,$BC$5:$BC$58,0))*$BJ$4*INDEX($BE$109:$BR$109,MATCH($AL306,$BE$108:$BR$108,0))</f>
        <v>3360</v>
      </c>
      <c r="AP306">
        <f t="shared" ref="AP306:AP360" si="254">(INDEX($BF$5:$BF$58,MATCH($AV306,$BC$5:$BC$58,0))*$BJ$4*INDEX($BE$109:$BR$109,MATCH($AL306,$BE$108:$BR$108,0)))*0.1</f>
        <v>336</v>
      </c>
      <c r="AQ306">
        <f t="shared" ref="AQ306:AQ360" si="255">$AM306/INDEX($BG$5:$BG$58,MATCH($AV306,$BC$5:$BC$58,0))</f>
        <v>59.733333333333341</v>
      </c>
      <c r="AR306">
        <f t="shared" si="246"/>
        <v>5.9733333333333345</v>
      </c>
      <c r="AS306">
        <f t="shared" ref="AS306:AS360" si="256">INDEX($BH$5:$BH$58,MATCH($AV306,$BC$5:$BC$58,0))</f>
        <v>1.5</v>
      </c>
      <c r="AT306">
        <f t="shared" ref="AT306:AT360" si="257">ROUND(IF(INDEX($BP$5:$BP$58,MATCH($AV306,$BC$5:$BC$58,0))&lt;2,INDEX($BP$5:$BP$58,MATCH($AV306,$BC$5:$BC$58,0))+0.2,2),1)</f>
        <v>1.2</v>
      </c>
      <c r="AU306">
        <f t="shared" ref="AU306:AU360" si="258">INDEX($BL$5:$BL$58,MATCH($AV306,$BC$5:$BC$58,0))</f>
        <v>3</v>
      </c>
      <c r="AV306">
        <f t="shared" si="247"/>
        <v>2001</v>
      </c>
      <c r="AW306" s="1">
        <v>0</v>
      </c>
      <c r="AX306">
        <v>5</v>
      </c>
      <c r="AY306">
        <v>0.1</v>
      </c>
      <c r="BA306">
        <v>2</v>
      </c>
      <c r="BB306">
        <v>1</v>
      </c>
      <c r="CH306" t="str">
        <f t="shared" si="243"/>
        <v>DATA_Class_Base32</v>
      </c>
      <c r="CI306" s="3" t="s">
        <v>388</v>
      </c>
    </row>
    <row r="307" spans="1:87">
      <c r="A307">
        <f t="shared" si="244"/>
        <v>5111201</v>
      </c>
      <c r="B307" s="2" t="s">
        <v>470</v>
      </c>
      <c r="C307">
        <v>11</v>
      </c>
      <c r="D307">
        <v>2</v>
      </c>
      <c r="E307">
        <v>1</v>
      </c>
      <c r="F307" s="3" t="s">
        <v>472</v>
      </c>
      <c r="G307" s="3" t="s">
        <v>472</v>
      </c>
      <c r="H307">
        <v>0</v>
      </c>
      <c r="I307">
        <v>0</v>
      </c>
      <c r="J307" s="2">
        <v>0</v>
      </c>
      <c r="K307" s="8" t="s">
        <v>298</v>
      </c>
      <c r="L307" s="2">
        <f t="shared" si="245"/>
        <v>3</v>
      </c>
      <c r="M307" s="2">
        <f t="shared" si="233"/>
        <v>1.8</v>
      </c>
      <c r="N307" s="2">
        <f t="shared" si="234"/>
        <v>1.8</v>
      </c>
      <c r="O307" s="2">
        <v>10</v>
      </c>
      <c r="P307" s="2">
        <f t="shared" si="235"/>
        <v>147.84</v>
      </c>
      <c r="Q307" s="2">
        <f t="shared" si="236"/>
        <v>14.78</v>
      </c>
      <c r="R307" s="2">
        <f t="shared" si="237"/>
        <v>5913.6</v>
      </c>
      <c r="S307" s="2">
        <f t="shared" si="238"/>
        <v>591.36</v>
      </c>
      <c r="T307" s="2">
        <f t="shared" si="239"/>
        <v>73.92</v>
      </c>
      <c r="U307" s="2">
        <f t="shared" si="240"/>
        <v>7.39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512013</v>
      </c>
      <c r="AB307" s="14" t="s">
        <v>739</v>
      </c>
      <c r="AC307" s="15" t="s">
        <v>890</v>
      </c>
      <c r="AD307" s="2">
        <v>5121201</v>
      </c>
      <c r="AE307" s="2">
        <v>0</v>
      </c>
      <c r="AF307" s="2">
        <v>1</v>
      </c>
      <c r="AG307" s="2">
        <f t="shared" si="250"/>
        <v>5061201</v>
      </c>
      <c r="AH307" s="2">
        <v>2</v>
      </c>
      <c r="AJ307">
        <v>1</v>
      </c>
      <c r="AK307" s="1">
        <f t="shared" si="242"/>
        <v>155.29250357282058</v>
      </c>
      <c r="AL307">
        <v>11</v>
      </c>
      <c r="AM307">
        <f t="shared" si="251"/>
        <v>134.39999999999998</v>
      </c>
      <c r="AN307">
        <f t="shared" si="252"/>
        <v>13.439999999999998</v>
      </c>
      <c r="AO307">
        <f t="shared" si="253"/>
        <v>5376</v>
      </c>
      <c r="AP307">
        <f t="shared" si="254"/>
        <v>537.6</v>
      </c>
      <c r="AQ307">
        <f t="shared" si="255"/>
        <v>67.199999999999989</v>
      </c>
      <c r="AR307">
        <f t="shared" si="246"/>
        <v>6.7199999999999989</v>
      </c>
      <c r="AS307">
        <f t="shared" si="256"/>
        <v>1.8</v>
      </c>
      <c r="AT307">
        <f t="shared" si="257"/>
        <v>1.8</v>
      </c>
      <c r="AU307">
        <f t="shared" si="258"/>
        <v>3</v>
      </c>
      <c r="AV307">
        <f t="shared" si="247"/>
        <v>2011</v>
      </c>
      <c r="AW307" s="1">
        <v>1</v>
      </c>
      <c r="AX307">
        <v>5</v>
      </c>
      <c r="AY307">
        <v>0.1</v>
      </c>
      <c r="BA307">
        <v>2</v>
      </c>
      <c r="BB307">
        <v>1</v>
      </c>
      <c r="CH307" t="str">
        <f t="shared" si="243"/>
        <v>DATA_Class_Base33</v>
      </c>
      <c r="CI307" s="3" t="s">
        <v>391</v>
      </c>
    </row>
    <row r="308" spans="1:87">
      <c r="A308">
        <f t="shared" si="244"/>
        <v>5111202</v>
      </c>
      <c r="B308" s="2" t="s">
        <v>474</v>
      </c>
      <c r="C308">
        <v>11</v>
      </c>
      <c r="D308">
        <v>2</v>
      </c>
      <c r="E308">
        <v>1</v>
      </c>
      <c r="F308" s="3" t="s">
        <v>476</v>
      </c>
      <c r="G308" s="3" t="s">
        <v>476</v>
      </c>
      <c r="H308">
        <v>0</v>
      </c>
      <c r="I308">
        <v>0</v>
      </c>
      <c r="J308">
        <v>0</v>
      </c>
      <c r="K308" s="8" t="s">
        <v>477</v>
      </c>
      <c r="L308" s="2">
        <f t="shared" si="245"/>
        <v>3</v>
      </c>
      <c r="M308" s="2">
        <f t="shared" si="233"/>
        <v>1.8</v>
      </c>
      <c r="N308" s="2">
        <f t="shared" si="234"/>
        <v>2</v>
      </c>
      <c r="O308" s="2">
        <v>10</v>
      </c>
      <c r="P308" s="2">
        <f t="shared" si="235"/>
        <v>236.54</v>
      </c>
      <c r="Q308" s="2">
        <f t="shared" si="236"/>
        <v>23.65</v>
      </c>
      <c r="R308" s="2">
        <f t="shared" si="237"/>
        <v>3696</v>
      </c>
      <c r="S308" s="2">
        <f t="shared" si="238"/>
        <v>369.6</v>
      </c>
      <c r="T308" s="2">
        <f t="shared" si="239"/>
        <v>59.14</v>
      </c>
      <c r="U308" s="2">
        <f t="shared" si="240"/>
        <v>5.91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512023</v>
      </c>
      <c r="AB308" s="14" t="s">
        <v>740</v>
      </c>
      <c r="AC308" s="15" t="s">
        <v>890</v>
      </c>
      <c r="AD308" s="2">
        <v>5121202</v>
      </c>
      <c r="AE308" s="2">
        <v>0</v>
      </c>
      <c r="AF308" s="2">
        <v>1</v>
      </c>
      <c r="AG308" s="2">
        <f t="shared" si="250"/>
        <v>5061202</v>
      </c>
      <c r="AH308" s="2">
        <v>2</v>
      </c>
      <c r="AJ308">
        <v>1</v>
      </c>
      <c r="AK308" s="1">
        <f t="shared" si="242"/>
        <v>154.82783901762934</v>
      </c>
      <c r="AL308">
        <v>11</v>
      </c>
      <c r="AM308">
        <f t="shared" si="251"/>
        <v>215.04000000000002</v>
      </c>
      <c r="AN308">
        <f t="shared" si="252"/>
        <v>21.504000000000005</v>
      </c>
      <c r="AO308">
        <f t="shared" si="253"/>
        <v>3360</v>
      </c>
      <c r="AP308">
        <f t="shared" si="254"/>
        <v>336</v>
      </c>
      <c r="AQ308">
        <f t="shared" si="255"/>
        <v>53.760000000000005</v>
      </c>
      <c r="AR308">
        <f t="shared" si="246"/>
        <v>5.3760000000000012</v>
      </c>
      <c r="AS308">
        <f t="shared" si="256"/>
        <v>1.8</v>
      </c>
      <c r="AT308">
        <f t="shared" si="257"/>
        <v>2</v>
      </c>
      <c r="AU308">
        <f t="shared" si="258"/>
        <v>3</v>
      </c>
      <c r="AV308">
        <f t="shared" si="247"/>
        <v>2021</v>
      </c>
      <c r="AW308" s="1">
        <v>2</v>
      </c>
      <c r="AX308">
        <v>5</v>
      </c>
      <c r="AY308">
        <v>0.1</v>
      </c>
      <c r="BA308">
        <v>2</v>
      </c>
      <c r="BB308">
        <v>1</v>
      </c>
      <c r="CH308" t="str">
        <f t="shared" si="243"/>
        <v>DATA_Class_Base34</v>
      </c>
      <c r="CI308" s="3" t="s">
        <v>184</v>
      </c>
    </row>
    <row r="309" spans="1:87">
      <c r="A309">
        <f t="shared" si="244"/>
        <v>5111301</v>
      </c>
      <c r="B309" s="2" t="s">
        <v>479</v>
      </c>
      <c r="C309">
        <v>11</v>
      </c>
      <c r="D309">
        <v>3</v>
      </c>
      <c r="E309">
        <v>1</v>
      </c>
      <c r="F309" s="3" t="s">
        <v>481</v>
      </c>
      <c r="G309" s="3" t="s">
        <v>481</v>
      </c>
      <c r="H309">
        <v>0</v>
      </c>
      <c r="I309">
        <v>0</v>
      </c>
      <c r="J309" s="2">
        <v>0</v>
      </c>
      <c r="K309" s="8" t="s">
        <v>482</v>
      </c>
      <c r="L309" s="2">
        <f t="shared" si="245"/>
        <v>3</v>
      </c>
      <c r="M309" s="2">
        <f t="shared" si="233"/>
        <v>1.2</v>
      </c>
      <c r="N309" s="2">
        <f t="shared" si="234"/>
        <v>2</v>
      </c>
      <c r="O309" s="2">
        <v>10</v>
      </c>
      <c r="P309" s="2">
        <f t="shared" si="235"/>
        <v>216.83</v>
      </c>
      <c r="Q309" s="2">
        <f t="shared" si="236"/>
        <v>21.68</v>
      </c>
      <c r="R309" s="2">
        <f t="shared" si="237"/>
        <v>2688</v>
      </c>
      <c r="S309" s="2">
        <f t="shared" si="238"/>
        <v>268.8</v>
      </c>
      <c r="T309" s="2">
        <f t="shared" si="239"/>
        <v>36.14</v>
      </c>
      <c r="U309" s="2">
        <f t="shared" si="240"/>
        <v>3.61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513013</v>
      </c>
      <c r="AB309" s="14" t="s">
        <v>741</v>
      </c>
      <c r="AC309" s="15" t="s">
        <v>890</v>
      </c>
      <c r="AD309" s="2">
        <v>5121301</v>
      </c>
      <c r="AE309" s="2">
        <v>0</v>
      </c>
      <c r="AF309" s="2">
        <v>1</v>
      </c>
      <c r="AG309" s="2">
        <f t="shared" si="250"/>
        <v>5061301</v>
      </c>
      <c r="AH309" s="2">
        <v>2</v>
      </c>
      <c r="AJ309">
        <v>1</v>
      </c>
      <c r="AK309" s="1">
        <f t="shared" si="242"/>
        <v>154.11052900752532</v>
      </c>
      <c r="AL309">
        <v>11</v>
      </c>
      <c r="AM309">
        <f t="shared" si="251"/>
        <v>197.12</v>
      </c>
      <c r="AN309">
        <f t="shared" si="252"/>
        <v>19.712000000000003</v>
      </c>
      <c r="AO309">
        <f t="shared" si="253"/>
        <v>2443.6363636363635</v>
      </c>
      <c r="AP309">
        <f t="shared" si="254"/>
        <v>244.36363636363637</v>
      </c>
      <c r="AQ309">
        <f t="shared" si="255"/>
        <v>32.853333333333332</v>
      </c>
      <c r="AR309">
        <f t="shared" si="246"/>
        <v>3.2853333333333334</v>
      </c>
      <c r="AS309">
        <f t="shared" si="256"/>
        <v>1.2</v>
      </c>
      <c r="AT309">
        <f t="shared" si="257"/>
        <v>2</v>
      </c>
      <c r="AU309">
        <f t="shared" si="258"/>
        <v>3</v>
      </c>
      <c r="AV309">
        <f t="shared" si="247"/>
        <v>3011</v>
      </c>
      <c r="AW309" s="1">
        <v>1</v>
      </c>
      <c r="AX309">
        <v>5</v>
      </c>
      <c r="AY309">
        <v>0.1</v>
      </c>
      <c r="BA309">
        <v>3</v>
      </c>
      <c r="BB309">
        <v>1</v>
      </c>
      <c r="CH309" t="str">
        <f t="shared" si="243"/>
        <v>DATA_Class_Base35</v>
      </c>
      <c r="CI309" s="3" t="s">
        <v>195</v>
      </c>
    </row>
    <row r="310" spans="1:87">
      <c r="A310">
        <f t="shared" si="244"/>
        <v>5111401</v>
      </c>
      <c r="B310" s="2" t="s">
        <v>484</v>
      </c>
      <c r="C310">
        <v>11</v>
      </c>
      <c r="D310">
        <v>4</v>
      </c>
      <c r="E310">
        <v>1</v>
      </c>
      <c r="F310" s="3" t="s">
        <v>486</v>
      </c>
      <c r="G310" s="3" t="s">
        <v>486</v>
      </c>
      <c r="H310">
        <v>0</v>
      </c>
      <c r="I310">
        <v>0</v>
      </c>
      <c r="J310" s="2">
        <v>0</v>
      </c>
      <c r="K310" s="2" t="s">
        <v>161</v>
      </c>
      <c r="L310" s="2">
        <f t="shared" si="245"/>
        <v>6</v>
      </c>
      <c r="M310" s="2">
        <f t="shared" si="233"/>
        <v>1.6</v>
      </c>
      <c r="N310" s="2">
        <f t="shared" si="234"/>
        <v>2</v>
      </c>
      <c r="O310" s="2">
        <v>10</v>
      </c>
      <c r="P310" s="2">
        <f t="shared" si="235"/>
        <v>289.11</v>
      </c>
      <c r="Q310" s="2">
        <f t="shared" si="236"/>
        <v>28.91</v>
      </c>
      <c r="R310" s="2">
        <f t="shared" si="237"/>
        <v>2688</v>
      </c>
      <c r="S310" s="2">
        <f t="shared" si="238"/>
        <v>268.8</v>
      </c>
      <c r="T310" s="2">
        <f t="shared" si="239"/>
        <v>57.82</v>
      </c>
      <c r="U310" s="2">
        <f t="shared" si="240"/>
        <v>5.78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514013</v>
      </c>
      <c r="AB310" s="14" t="s">
        <v>742</v>
      </c>
      <c r="AC310" s="15" t="s">
        <v>890</v>
      </c>
      <c r="AD310" s="2">
        <v>5121401</v>
      </c>
      <c r="AE310" s="2">
        <v>0</v>
      </c>
      <c r="AF310" s="2">
        <v>1</v>
      </c>
      <c r="AG310" s="2">
        <f t="shared" si="250"/>
        <v>5061401</v>
      </c>
      <c r="AH310" s="2">
        <v>2</v>
      </c>
      <c r="AJ310">
        <v>1</v>
      </c>
      <c r="AK310" s="1">
        <f t="shared" si="242"/>
        <v>154.78667003935865</v>
      </c>
      <c r="AL310">
        <v>11</v>
      </c>
      <c r="AM310">
        <f t="shared" si="251"/>
        <v>262.82666666666671</v>
      </c>
      <c r="AN310">
        <f t="shared" si="252"/>
        <v>26.282666666666671</v>
      </c>
      <c r="AO310">
        <f t="shared" si="253"/>
        <v>2443.6363636363635</v>
      </c>
      <c r="AP310">
        <f t="shared" si="254"/>
        <v>244.36363636363637</v>
      </c>
      <c r="AQ310">
        <f t="shared" si="255"/>
        <v>52.565333333333342</v>
      </c>
      <c r="AR310">
        <f t="shared" si="246"/>
        <v>5.2565333333333344</v>
      </c>
      <c r="AS310">
        <f t="shared" si="256"/>
        <v>1.6</v>
      </c>
      <c r="AT310">
        <f t="shared" si="257"/>
        <v>2</v>
      </c>
      <c r="AU310">
        <f t="shared" si="258"/>
        <v>6</v>
      </c>
      <c r="AV310">
        <f t="shared" si="247"/>
        <v>4011</v>
      </c>
      <c r="AW310" s="1">
        <v>1</v>
      </c>
      <c r="AX310">
        <v>5</v>
      </c>
      <c r="AY310">
        <v>0.1</v>
      </c>
      <c r="BA310">
        <v>4</v>
      </c>
      <c r="BB310">
        <v>1</v>
      </c>
      <c r="CH310" t="str">
        <f t="shared" si="243"/>
        <v>DATA_Class_Base36</v>
      </c>
      <c r="CI310" s="3" t="s">
        <v>201</v>
      </c>
    </row>
    <row r="311" spans="1:87">
      <c r="A311">
        <f t="shared" si="244"/>
        <v>5111402</v>
      </c>
      <c r="B311" s="2" t="s">
        <v>488</v>
      </c>
      <c r="C311">
        <v>11</v>
      </c>
      <c r="D311">
        <v>4</v>
      </c>
      <c r="E311">
        <v>1</v>
      </c>
      <c r="F311" s="3" t="s">
        <v>490</v>
      </c>
      <c r="G311" s="3" t="s">
        <v>490</v>
      </c>
      <c r="H311">
        <v>0</v>
      </c>
      <c r="I311">
        <v>0</v>
      </c>
      <c r="J311">
        <v>0</v>
      </c>
      <c r="K311" s="8" t="s">
        <v>161</v>
      </c>
      <c r="L311" s="2">
        <f t="shared" si="245"/>
        <v>6</v>
      </c>
      <c r="M311" s="2">
        <f t="shared" si="233"/>
        <v>1.5</v>
      </c>
      <c r="N311" s="2">
        <f t="shared" si="234"/>
        <v>1.5</v>
      </c>
      <c r="O311" s="2">
        <v>10</v>
      </c>
      <c r="P311" s="2">
        <f t="shared" si="235"/>
        <v>295.68</v>
      </c>
      <c r="Q311" s="2">
        <f t="shared" si="236"/>
        <v>29.57</v>
      </c>
      <c r="R311" s="2">
        <f t="shared" si="237"/>
        <v>2464</v>
      </c>
      <c r="S311" s="2">
        <f t="shared" si="238"/>
        <v>246.4</v>
      </c>
      <c r="T311" s="2">
        <f t="shared" si="239"/>
        <v>49.28</v>
      </c>
      <c r="U311" s="2">
        <f t="shared" si="240"/>
        <v>4.93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514023</v>
      </c>
      <c r="AB311" s="14" t="s">
        <v>743</v>
      </c>
      <c r="AC311" s="15" t="s">
        <v>890</v>
      </c>
      <c r="AD311" s="2">
        <v>5121402</v>
      </c>
      <c r="AE311" s="2">
        <v>0</v>
      </c>
      <c r="AF311" s="2">
        <v>1</v>
      </c>
      <c r="AG311" s="2">
        <f t="shared" si="250"/>
        <v>5061402</v>
      </c>
      <c r="AH311" s="2">
        <v>2</v>
      </c>
      <c r="AJ311">
        <v>1</v>
      </c>
      <c r="AK311" s="1">
        <f t="shared" si="242"/>
        <v>154.51960442117507</v>
      </c>
      <c r="AL311">
        <v>11</v>
      </c>
      <c r="AM311">
        <f t="shared" si="251"/>
        <v>268.79999999999995</v>
      </c>
      <c r="AN311">
        <f t="shared" si="252"/>
        <v>26.879999999999995</v>
      </c>
      <c r="AO311">
        <f t="shared" si="253"/>
        <v>2240</v>
      </c>
      <c r="AP311">
        <f t="shared" si="254"/>
        <v>224</v>
      </c>
      <c r="AQ311">
        <f t="shared" si="255"/>
        <v>44.79999999999999</v>
      </c>
      <c r="AR311">
        <f t="shared" si="246"/>
        <v>4.4799999999999995</v>
      </c>
      <c r="AS311">
        <f t="shared" si="256"/>
        <v>1.5</v>
      </c>
      <c r="AT311">
        <f t="shared" si="257"/>
        <v>1.5</v>
      </c>
      <c r="AU311">
        <f t="shared" si="258"/>
        <v>6</v>
      </c>
      <c r="AV311">
        <f t="shared" si="247"/>
        <v>4021</v>
      </c>
      <c r="AW311" s="1">
        <v>2</v>
      </c>
      <c r="AX311">
        <v>5</v>
      </c>
      <c r="AY311">
        <v>0.1</v>
      </c>
      <c r="BA311">
        <v>4</v>
      </c>
      <c r="BB311">
        <v>1</v>
      </c>
      <c r="CH311" t="str">
        <f t="shared" si="243"/>
        <v>DATA_Class_Base28</v>
      </c>
      <c r="CI311" s="3" t="s">
        <v>374</v>
      </c>
    </row>
    <row r="312" spans="1:87">
      <c r="A312">
        <f t="shared" si="244"/>
        <v>5111500</v>
      </c>
      <c r="B312" s="2" t="s">
        <v>492</v>
      </c>
      <c r="C312">
        <v>11</v>
      </c>
      <c r="D312">
        <v>5</v>
      </c>
      <c r="E312">
        <v>1</v>
      </c>
      <c r="F312" s="3" t="s">
        <v>494</v>
      </c>
      <c r="G312" s="3" t="s">
        <v>494</v>
      </c>
      <c r="H312">
        <v>0</v>
      </c>
      <c r="I312">
        <v>0</v>
      </c>
      <c r="J312">
        <v>0</v>
      </c>
      <c r="K312" s="2" t="s">
        <v>303</v>
      </c>
      <c r="L312" s="2">
        <f t="shared" si="245"/>
        <v>6</v>
      </c>
      <c r="M312" s="2">
        <f t="shared" si="233"/>
        <v>1.5</v>
      </c>
      <c r="N312" s="2">
        <f t="shared" si="234"/>
        <v>1.5</v>
      </c>
      <c r="O312" s="2">
        <v>10</v>
      </c>
      <c r="P312" s="2">
        <f t="shared" si="235"/>
        <v>344.96</v>
      </c>
      <c r="Q312" s="2">
        <f t="shared" si="236"/>
        <v>34.5</v>
      </c>
      <c r="R312" s="2">
        <f t="shared" si="237"/>
        <v>2112</v>
      </c>
      <c r="S312" s="2">
        <f t="shared" si="238"/>
        <v>211.2</v>
      </c>
      <c r="T312" s="2">
        <f t="shared" si="239"/>
        <v>49.28</v>
      </c>
      <c r="U312" s="2">
        <f t="shared" si="24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515003</v>
      </c>
      <c r="AB312" s="14" t="s">
        <v>744</v>
      </c>
      <c r="AC312" s="15" t="s">
        <v>890</v>
      </c>
      <c r="AD312" s="2">
        <v>5121500</v>
      </c>
      <c r="AE312" s="2">
        <v>0</v>
      </c>
      <c r="AF312" s="2">
        <v>1</v>
      </c>
      <c r="AG312" s="2">
        <f t="shared" si="250"/>
        <v>5061500</v>
      </c>
      <c r="AH312" s="2">
        <v>2</v>
      </c>
      <c r="AJ312">
        <v>1</v>
      </c>
      <c r="AK312" s="1">
        <f t="shared" si="242"/>
        <v>154.51960442117507</v>
      </c>
      <c r="AL312">
        <v>11</v>
      </c>
      <c r="AM312">
        <f t="shared" si="251"/>
        <v>313.59999999999991</v>
      </c>
      <c r="AN312">
        <f t="shared" si="252"/>
        <v>31.359999999999992</v>
      </c>
      <c r="AO312">
        <f t="shared" si="253"/>
        <v>1920</v>
      </c>
      <c r="AP312">
        <f t="shared" si="254"/>
        <v>192</v>
      </c>
      <c r="AQ312">
        <f t="shared" si="255"/>
        <v>44.79999999999999</v>
      </c>
      <c r="AR312">
        <f t="shared" si="246"/>
        <v>4.4799999999999995</v>
      </c>
      <c r="AS312">
        <f t="shared" si="256"/>
        <v>1.5</v>
      </c>
      <c r="AT312">
        <f t="shared" si="257"/>
        <v>1.5</v>
      </c>
      <c r="AU312">
        <f t="shared" si="258"/>
        <v>6</v>
      </c>
      <c r="AV312">
        <f t="shared" si="247"/>
        <v>5001</v>
      </c>
      <c r="AW312" s="1">
        <v>0</v>
      </c>
      <c r="AX312">
        <v>5</v>
      </c>
      <c r="AY312">
        <v>0.1</v>
      </c>
      <c r="BA312">
        <v>5</v>
      </c>
      <c r="BB312">
        <v>1</v>
      </c>
      <c r="CH312" t="str">
        <f t="shared" si="243"/>
        <v>DATA_Class_Base29</v>
      </c>
      <c r="CI312" s="3" t="s">
        <v>378</v>
      </c>
    </row>
    <row r="313" spans="1:87">
      <c r="A313">
        <f t="shared" si="244"/>
        <v>5111502</v>
      </c>
      <c r="B313" s="2" t="s">
        <v>496</v>
      </c>
      <c r="C313">
        <v>11</v>
      </c>
      <c r="D313">
        <v>5</v>
      </c>
      <c r="E313">
        <v>1</v>
      </c>
      <c r="F313" s="3" t="s">
        <v>498</v>
      </c>
      <c r="G313" s="3" t="s">
        <v>498</v>
      </c>
      <c r="H313">
        <v>0</v>
      </c>
      <c r="I313">
        <v>0</v>
      </c>
      <c r="J313" s="2">
        <v>0</v>
      </c>
      <c r="K313" s="8" t="s">
        <v>352</v>
      </c>
      <c r="L313" s="2">
        <f t="shared" si="245"/>
        <v>6</v>
      </c>
      <c r="M313" s="2">
        <f t="shared" si="233"/>
        <v>1.4000000000000001</v>
      </c>
      <c r="N313" s="2">
        <f t="shared" si="234"/>
        <v>2</v>
      </c>
      <c r="O313" s="2">
        <v>10</v>
      </c>
      <c r="P313" s="2">
        <f t="shared" si="235"/>
        <v>298.97000000000003</v>
      </c>
      <c r="Q313" s="2">
        <f t="shared" si="236"/>
        <v>29.9</v>
      </c>
      <c r="R313" s="2">
        <f t="shared" si="237"/>
        <v>2274.46</v>
      </c>
      <c r="S313" s="2">
        <f t="shared" si="238"/>
        <v>227.45</v>
      </c>
      <c r="T313" s="2">
        <f t="shared" si="239"/>
        <v>45.99</v>
      </c>
      <c r="U313" s="2">
        <f t="shared" si="240"/>
        <v>4.5999999999999996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515023</v>
      </c>
      <c r="AB313" s="14" t="s">
        <v>745</v>
      </c>
      <c r="AC313" s="15" t="s">
        <v>890</v>
      </c>
      <c r="AD313" s="2">
        <v>5121502</v>
      </c>
      <c r="AE313" s="2">
        <v>0</v>
      </c>
      <c r="AF313" s="2">
        <v>1</v>
      </c>
      <c r="AG313" s="2">
        <f t="shared" si="250"/>
        <v>5061502</v>
      </c>
      <c r="AH313" s="2">
        <v>2</v>
      </c>
      <c r="AJ313">
        <v>1</v>
      </c>
      <c r="AK313" s="1">
        <f t="shared" si="242"/>
        <v>154.41713210374684</v>
      </c>
      <c r="AL313">
        <v>11</v>
      </c>
      <c r="AM313">
        <f t="shared" si="251"/>
        <v>271.78666666666658</v>
      </c>
      <c r="AN313">
        <f t="shared" si="252"/>
        <v>27.178666666666658</v>
      </c>
      <c r="AO313">
        <f t="shared" si="253"/>
        <v>2067.6923076923072</v>
      </c>
      <c r="AP313">
        <f t="shared" si="254"/>
        <v>206.76923076923072</v>
      </c>
      <c r="AQ313">
        <f t="shared" si="255"/>
        <v>41.813333333333318</v>
      </c>
      <c r="AR313">
        <f t="shared" si="246"/>
        <v>4.181333333333332</v>
      </c>
      <c r="AS313">
        <f t="shared" si="256"/>
        <v>1.4</v>
      </c>
      <c r="AT313">
        <f t="shared" si="257"/>
        <v>2</v>
      </c>
      <c r="AU313">
        <f t="shared" si="258"/>
        <v>6</v>
      </c>
      <c r="AV313">
        <f t="shared" si="247"/>
        <v>5021</v>
      </c>
      <c r="AW313" s="1">
        <v>2</v>
      </c>
      <c r="AX313">
        <v>5</v>
      </c>
      <c r="AY313">
        <v>0.1</v>
      </c>
      <c r="BA313">
        <v>5</v>
      </c>
      <c r="BB313">
        <v>1</v>
      </c>
      <c r="CH313" t="str">
        <f t="shared" si="243"/>
        <v>DATA_Class_Base30</v>
      </c>
      <c r="CI313" s="3" t="s">
        <v>381</v>
      </c>
    </row>
    <row r="314" spans="1:87">
      <c r="A314">
        <f t="shared" si="244"/>
        <v>5111601</v>
      </c>
      <c r="B314" s="2" t="s">
        <v>500</v>
      </c>
      <c r="C314">
        <v>11</v>
      </c>
      <c r="D314">
        <v>6</v>
      </c>
      <c r="E314">
        <v>1</v>
      </c>
      <c r="F314" s="3" t="s">
        <v>502</v>
      </c>
      <c r="G314" s="3" t="s">
        <v>502</v>
      </c>
      <c r="H314">
        <v>0</v>
      </c>
      <c r="I314">
        <v>0</v>
      </c>
      <c r="J314">
        <v>0</v>
      </c>
      <c r="K314" s="2" t="s">
        <v>309</v>
      </c>
      <c r="L314" s="2">
        <f t="shared" si="245"/>
        <v>6</v>
      </c>
      <c r="M314" s="2">
        <f t="shared" si="233"/>
        <v>1.5</v>
      </c>
      <c r="N314" s="2">
        <f t="shared" si="234"/>
        <v>2</v>
      </c>
      <c r="O314" s="2">
        <v>10</v>
      </c>
      <c r="P314" s="2">
        <f t="shared" si="235"/>
        <v>246.4</v>
      </c>
      <c r="Q314" s="2">
        <f t="shared" si="236"/>
        <v>24.64</v>
      </c>
      <c r="R314" s="2">
        <f t="shared" si="237"/>
        <v>2956.8</v>
      </c>
      <c r="S314" s="2">
        <f t="shared" si="238"/>
        <v>295.68</v>
      </c>
      <c r="T314" s="2">
        <f t="shared" si="239"/>
        <v>61.6</v>
      </c>
      <c r="U314" s="2">
        <f t="shared" si="240"/>
        <v>6.16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516013</v>
      </c>
      <c r="AB314" s="14" t="s">
        <v>746</v>
      </c>
      <c r="AC314" s="15" t="s">
        <v>890</v>
      </c>
      <c r="AD314" s="2">
        <v>5121601</v>
      </c>
      <c r="AE314" s="2">
        <v>0</v>
      </c>
      <c r="AF314" s="2">
        <v>1</v>
      </c>
      <c r="AG314" s="2">
        <f t="shared" si="250"/>
        <v>5061601</v>
      </c>
      <c r="AH314" s="2">
        <v>2</v>
      </c>
      <c r="AJ314">
        <v>1</v>
      </c>
      <c r="AK314" s="1">
        <f t="shared" si="242"/>
        <v>154.90508990766239</v>
      </c>
      <c r="AL314">
        <v>11</v>
      </c>
      <c r="AM314">
        <f t="shared" si="251"/>
        <v>224</v>
      </c>
      <c r="AN314">
        <f t="shared" si="252"/>
        <v>22.400000000000002</v>
      </c>
      <c r="AO314">
        <f t="shared" si="253"/>
        <v>2688</v>
      </c>
      <c r="AP314">
        <f t="shared" si="254"/>
        <v>268.8</v>
      </c>
      <c r="AQ314">
        <f t="shared" si="255"/>
        <v>56</v>
      </c>
      <c r="AR314">
        <f t="shared" si="246"/>
        <v>5.6000000000000005</v>
      </c>
      <c r="AS314">
        <f t="shared" si="256"/>
        <v>1.5</v>
      </c>
      <c r="AT314">
        <f t="shared" si="257"/>
        <v>2</v>
      </c>
      <c r="AU314">
        <f t="shared" si="258"/>
        <v>6</v>
      </c>
      <c r="AV314">
        <f t="shared" si="247"/>
        <v>6011</v>
      </c>
      <c r="AW314" s="1">
        <v>1</v>
      </c>
      <c r="AX314">
        <v>5</v>
      </c>
      <c r="AY314">
        <v>0.1</v>
      </c>
      <c r="BA314">
        <v>6</v>
      </c>
      <c r="BB314">
        <v>1</v>
      </c>
      <c r="CH314" t="str">
        <f t="shared" si="243"/>
        <v>DATA_Class_Base31</v>
      </c>
      <c r="CI314" s="3" t="s">
        <v>384</v>
      </c>
    </row>
    <row r="315" spans="1:87">
      <c r="A315">
        <f t="shared" si="244"/>
        <v>5112200</v>
      </c>
      <c r="B315" s="2" t="s">
        <v>504</v>
      </c>
      <c r="C315">
        <v>11</v>
      </c>
      <c r="D315">
        <v>2</v>
      </c>
      <c r="E315">
        <v>2</v>
      </c>
      <c r="F315" s="3" t="s">
        <v>506</v>
      </c>
      <c r="G315" s="3" t="s">
        <v>506</v>
      </c>
      <c r="H315">
        <v>0</v>
      </c>
      <c r="I315">
        <v>0</v>
      </c>
      <c r="J315">
        <v>0</v>
      </c>
      <c r="K315" s="8" t="s">
        <v>507</v>
      </c>
      <c r="L315" s="2">
        <f t="shared" si="245"/>
        <v>3</v>
      </c>
      <c r="M315" s="2">
        <f t="shared" si="233"/>
        <v>1.5</v>
      </c>
      <c r="N315" s="2">
        <f t="shared" si="234"/>
        <v>1.2</v>
      </c>
      <c r="O315" s="2">
        <v>10</v>
      </c>
      <c r="P315" s="2">
        <f t="shared" si="235"/>
        <v>246.4</v>
      </c>
      <c r="Q315" s="2">
        <f t="shared" si="236"/>
        <v>24.64</v>
      </c>
      <c r="R315" s="2">
        <f t="shared" si="237"/>
        <v>2956.8</v>
      </c>
      <c r="S315" s="2">
        <f t="shared" si="238"/>
        <v>295.68</v>
      </c>
      <c r="T315" s="2">
        <f t="shared" si="239"/>
        <v>61.6</v>
      </c>
      <c r="U315" s="2">
        <f t="shared" si="240"/>
        <v>6.16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522003</v>
      </c>
      <c r="AB315" s="14" t="s">
        <v>747</v>
      </c>
      <c r="AC315" s="15" t="s">
        <v>890</v>
      </c>
      <c r="AD315" s="2">
        <v>5122200</v>
      </c>
      <c r="AE315" s="2">
        <v>0</v>
      </c>
      <c r="AF315" s="2">
        <v>1</v>
      </c>
      <c r="AG315" s="2">
        <f t="shared" si="250"/>
        <v>5062200</v>
      </c>
      <c r="AH315" s="2">
        <v>2</v>
      </c>
      <c r="AJ315">
        <v>1</v>
      </c>
      <c r="AK315" s="1">
        <f t="shared" si="242"/>
        <v>154.90508990766239</v>
      </c>
      <c r="AL315">
        <v>11</v>
      </c>
      <c r="AM315">
        <f t="shared" si="251"/>
        <v>224</v>
      </c>
      <c r="AN315">
        <f t="shared" si="252"/>
        <v>22.400000000000002</v>
      </c>
      <c r="AO315">
        <f t="shared" si="253"/>
        <v>2688</v>
      </c>
      <c r="AP315">
        <f t="shared" si="254"/>
        <v>268.8</v>
      </c>
      <c r="AQ315">
        <f t="shared" si="255"/>
        <v>56</v>
      </c>
      <c r="AR315">
        <f t="shared" si="246"/>
        <v>5.6000000000000005</v>
      </c>
      <c r="AS315">
        <f t="shared" si="256"/>
        <v>1.5</v>
      </c>
      <c r="AT315">
        <f t="shared" si="257"/>
        <v>1.2</v>
      </c>
      <c r="AU315">
        <f t="shared" si="258"/>
        <v>3</v>
      </c>
      <c r="AV315">
        <f t="shared" si="247"/>
        <v>2002</v>
      </c>
      <c r="AW315" s="1">
        <v>0</v>
      </c>
      <c r="AX315">
        <v>5</v>
      </c>
      <c r="AY315">
        <v>0.1</v>
      </c>
      <c r="BA315">
        <v>2</v>
      </c>
      <c r="BB315">
        <v>2</v>
      </c>
      <c r="CH315" t="str">
        <f t="shared" si="243"/>
        <v>DATA_Class_Base32</v>
      </c>
      <c r="CI315" s="3" t="s">
        <v>388</v>
      </c>
    </row>
    <row r="316" spans="1:87">
      <c r="A316">
        <f t="shared" si="244"/>
        <v>5112201</v>
      </c>
      <c r="B316" s="2" t="s">
        <v>509</v>
      </c>
      <c r="C316">
        <v>11</v>
      </c>
      <c r="D316">
        <v>2</v>
      </c>
      <c r="E316">
        <v>2</v>
      </c>
      <c r="F316" s="3" t="s">
        <v>511</v>
      </c>
      <c r="G316" s="3" t="s">
        <v>511</v>
      </c>
      <c r="H316">
        <v>0</v>
      </c>
      <c r="I316">
        <v>0</v>
      </c>
      <c r="J316">
        <v>0</v>
      </c>
      <c r="K316" s="8" t="s">
        <v>512</v>
      </c>
      <c r="L316" s="2">
        <f t="shared" si="245"/>
        <v>3</v>
      </c>
      <c r="M316" s="2">
        <f t="shared" si="233"/>
        <v>1.8</v>
      </c>
      <c r="N316" s="2">
        <f t="shared" si="234"/>
        <v>1.8</v>
      </c>
      <c r="O316" s="2">
        <v>10</v>
      </c>
      <c r="P316" s="2">
        <f t="shared" si="235"/>
        <v>206.98</v>
      </c>
      <c r="Q316" s="2">
        <f t="shared" si="236"/>
        <v>20.7</v>
      </c>
      <c r="R316" s="2">
        <f t="shared" si="237"/>
        <v>4224</v>
      </c>
      <c r="S316" s="2">
        <f t="shared" si="238"/>
        <v>422.4</v>
      </c>
      <c r="T316" s="2">
        <f t="shared" si="239"/>
        <v>68.989999999999995</v>
      </c>
      <c r="U316" s="2">
        <f t="shared" si="240"/>
        <v>6.9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522013</v>
      </c>
      <c r="AB316" s="14" t="s">
        <v>748</v>
      </c>
      <c r="AC316" s="15" t="s">
        <v>890</v>
      </c>
      <c r="AD316" s="2">
        <v>5122201</v>
      </c>
      <c r="AE316" s="2">
        <v>0</v>
      </c>
      <c r="AF316" s="2">
        <v>1</v>
      </c>
      <c r="AG316" s="2">
        <f t="shared" si="250"/>
        <v>5062201</v>
      </c>
      <c r="AH316" s="2">
        <v>2</v>
      </c>
      <c r="AJ316">
        <v>1</v>
      </c>
      <c r="AK316" s="1">
        <f t="shared" si="242"/>
        <v>155.13730580035562</v>
      </c>
      <c r="AL316">
        <v>11</v>
      </c>
      <c r="AM316">
        <f t="shared" si="251"/>
        <v>188.16</v>
      </c>
      <c r="AN316">
        <f t="shared" si="252"/>
        <v>18.815999999999999</v>
      </c>
      <c r="AO316">
        <f t="shared" si="253"/>
        <v>3840</v>
      </c>
      <c r="AP316">
        <f t="shared" si="254"/>
        <v>384</v>
      </c>
      <c r="AQ316">
        <f t="shared" si="255"/>
        <v>62.72</v>
      </c>
      <c r="AR316">
        <f t="shared" si="246"/>
        <v>6.2720000000000002</v>
      </c>
      <c r="AS316">
        <f t="shared" si="256"/>
        <v>1.8</v>
      </c>
      <c r="AT316">
        <f t="shared" si="257"/>
        <v>1.8</v>
      </c>
      <c r="AU316">
        <f t="shared" si="258"/>
        <v>3</v>
      </c>
      <c r="AV316">
        <f t="shared" si="247"/>
        <v>2012</v>
      </c>
      <c r="AW316" s="1">
        <v>1</v>
      </c>
      <c r="AX316">
        <v>5</v>
      </c>
      <c r="AY316">
        <v>0.1</v>
      </c>
      <c r="BA316">
        <v>2</v>
      </c>
      <c r="BB316">
        <v>2</v>
      </c>
      <c r="CH316" t="str">
        <f t="shared" si="243"/>
        <v>DATA_Class_Base33</v>
      </c>
      <c r="CI316" s="3" t="s">
        <v>391</v>
      </c>
    </row>
    <row r="317" spans="1:87">
      <c r="A317">
        <f t="shared" si="244"/>
        <v>5112202</v>
      </c>
      <c r="B317" s="2" t="s">
        <v>514</v>
      </c>
      <c r="C317">
        <v>11</v>
      </c>
      <c r="D317">
        <v>2</v>
      </c>
      <c r="E317">
        <v>2</v>
      </c>
      <c r="F317" s="3" t="s">
        <v>516</v>
      </c>
      <c r="G317" s="3" t="s">
        <v>516</v>
      </c>
      <c r="H317">
        <v>0</v>
      </c>
      <c r="I317">
        <v>0</v>
      </c>
      <c r="J317" s="2">
        <v>0</v>
      </c>
      <c r="K317" s="2" t="s">
        <v>280</v>
      </c>
      <c r="L317" s="2">
        <f t="shared" si="245"/>
        <v>3</v>
      </c>
      <c r="M317" s="2">
        <f t="shared" si="233"/>
        <v>1.8</v>
      </c>
      <c r="N317" s="2">
        <f t="shared" si="234"/>
        <v>2</v>
      </c>
      <c r="O317" s="2">
        <v>10</v>
      </c>
      <c r="P317" s="2">
        <f t="shared" si="235"/>
        <v>340.03</v>
      </c>
      <c r="Q317" s="2">
        <f t="shared" si="236"/>
        <v>34</v>
      </c>
      <c r="R317" s="2">
        <f t="shared" si="237"/>
        <v>2571.13</v>
      </c>
      <c r="S317" s="2">
        <f t="shared" si="238"/>
        <v>257.11</v>
      </c>
      <c r="T317" s="2">
        <f t="shared" si="239"/>
        <v>68.010000000000005</v>
      </c>
      <c r="U317" s="2">
        <f t="shared" si="240"/>
        <v>6.8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522023</v>
      </c>
      <c r="AB317" s="14" t="s">
        <v>749</v>
      </c>
      <c r="AC317" s="15" t="s">
        <v>890</v>
      </c>
      <c r="AD317" s="2">
        <v>5122202</v>
      </c>
      <c r="AE317" s="2">
        <v>0</v>
      </c>
      <c r="AF317" s="2">
        <v>1</v>
      </c>
      <c r="AG317" s="2">
        <f t="shared" si="250"/>
        <v>5062202</v>
      </c>
      <c r="AH317" s="2">
        <v>2</v>
      </c>
      <c r="AJ317">
        <v>1</v>
      </c>
      <c r="AK317" s="1">
        <f t="shared" si="242"/>
        <v>155.10630346316748</v>
      </c>
      <c r="AL317">
        <v>11</v>
      </c>
      <c r="AM317">
        <f t="shared" si="251"/>
        <v>309.11999999999995</v>
      </c>
      <c r="AN317">
        <f t="shared" si="252"/>
        <v>30.911999999999995</v>
      </c>
      <c r="AO317">
        <f t="shared" si="253"/>
        <v>2337.391304347826</v>
      </c>
      <c r="AP317">
        <f t="shared" si="254"/>
        <v>233.73913043478262</v>
      </c>
      <c r="AQ317">
        <f t="shared" si="255"/>
        <v>61.823999999999991</v>
      </c>
      <c r="AR317">
        <f t="shared" si="246"/>
        <v>6.1823999999999995</v>
      </c>
      <c r="AS317">
        <f t="shared" si="256"/>
        <v>1.8</v>
      </c>
      <c r="AT317">
        <f t="shared" si="257"/>
        <v>2</v>
      </c>
      <c r="AU317">
        <f t="shared" si="258"/>
        <v>3</v>
      </c>
      <c r="AV317">
        <f t="shared" si="247"/>
        <v>2022</v>
      </c>
      <c r="AW317" s="1">
        <v>2</v>
      </c>
      <c r="AX317">
        <v>5</v>
      </c>
      <c r="AY317">
        <v>0.1</v>
      </c>
      <c r="BA317">
        <v>2</v>
      </c>
      <c r="BB317">
        <v>2</v>
      </c>
      <c r="CH317" t="str">
        <f t="shared" si="243"/>
        <v>DATA_Class_Base34</v>
      </c>
      <c r="CI317" s="3" t="s">
        <v>184</v>
      </c>
    </row>
    <row r="318" spans="1:87">
      <c r="A318">
        <f t="shared" si="244"/>
        <v>5112301</v>
      </c>
      <c r="B318" s="2" t="s">
        <v>518</v>
      </c>
      <c r="C318">
        <v>11</v>
      </c>
      <c r="D318">
        <v>3</v>
      </c>
      <c r="E318">
        <v>2</v>
      </c>
      <c r="F318" s="3" t="s">
        <v>520</v>
      </c>
      <c r="G318" s="3" t="s">
        <v>520</v>
      </c>
      <c r="H318">
        <v>0</v>
      </c>
      <c r="I318">
        <v>0</v>
      </c>
      <c r="J318">
        <v>0</v>
      </c>
      <c r="K318" s="2" t="s">
        <v>285</v>
      </c>
      <c r="L318" s="2">
        <f t="shared" si="245"/>
        <v>3</v>
      </c>
      <c r="M318" s="2">
        <f t="shared" si="233"/>
        <v>1.2</v>
      </c>
      <c r="N318" s="2">
        <f t="shared" si="234"/>
        <v>1.7</v>
      </c>
      <c r="O318" s="2">
        <v>10</v>
      </c>
      <c r="P318" s="2">
        <f t="shared" si="235"/>
        <v>256.26</v>
      </c>
      <c r="Q318" s="2">
        <f t="shared" si="236"/>
        <v>25.63</v>
      </c>
      <c r="R318" s="2">
        <f t="shared" si="237"/>
        <v>2274.46</v>
      </c>
      <c r="S318" s="2">
        <f t="shared" si="238"/>
        <v>227.45</v>
      </c>
      <c r="T318" s="2">
        <f t="shared" si="239"/>
        <v>42.71</v>
      </c>
      <c r="U318" s="2">
        <f t="shared" si="240"/>
        <v>4.2699999999999996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523013</v>
      </c>
      <c r="AB318" s="14" t="s">
        <v>750</v>
      </c>
      <c r="AC318" s="15" t="s">
        <v>890</v>
      </c>
      <c r="AD318" s="2">
        <v>5122301</v>
      </c>
      <c r="AE318" s="2">
        <v>0</v>
      </c>
      <c r="AF318" s="2">
        <v>1</v>
      </c>
      <c r="AG318" s="2">
        <f t="shared" si="250"/>
        <v>5062301</v>
      </c>
      <c r="AH318" s="2">
        <v>2</v>
      </c>
      <c r="AJ318">
        <v>1</v>
      </c>
      <c r="AK318" s="1">
        <f t="shared" si="242"/>
        <v>154.31479560878412</v>
      </c>
      <c r="AL318">
        <v>11</v>
      </c>
      <c r="AM318">
        <f t="shared" si="251"/>
        <v>232.95999999999998</v>
      </c>
      <c r="AN318">
        <f t="shared" si="252"/>
        <v>23.295999999999999</v>
      </c>
      <c r="AO318">
        <f t="shared" si="253"/>
        <v>2067.6923076923072</v>
      </c>
      <c r="AP318">
        <f t="shared" si="254"/>
        <v>206.76923076923072</v>
      </c>
      <c r="AQ318">
        <f t="shared" si="255"/>
        <v>38.826666666666661</v>
      </c>
      <c r="AR318">
        <f t="shared" si="246"/>
        <v>3.8826666666666663</v>
      </c>
      <c r="AS318">
        <f t="shared" si="256"/>
        <v>1.2</v>
      </c>
      <c r="AT318">
        <f t="shared" si="257"/>
        <v>1.7</v>
      </c>
      <c r="AU318">
        <f t="shared" si="258"/>
        <v>3</v>
      </c>
      <c r="AV318">
        <f t="shared" si="247"/>
        <v>3012</v>
      </c>
      <c r="AW318" s="1">
        <v>1</v>
      </c>
      <c r="AX318">
        <v>5</v>
      </c>
      <c r="AY318">
        <v>0.1</v>
      </c>
      <c r="BA318">
        <v>3</v>
      </c>
      <c r="BB318">
        <v>2</v>
      </c>
      <c r="CH318" t="str">
        <f t="shared" si="243"/>
        <v>DATA_Class_Base35</v>
      </c>
      <c r="CI318" s="3" t="s">
        <v>195</v>
      </c>
    </row>
    <row r="319" spans="1:87">
      <c r="A319">
        <f t="shared" si="244"/>
        <v>5112401</v>
      </c>
      <c r="B319" s="2" t="s">
        <v>522</v>
      </c>
      <c r="C319">
        <v>11</v>
      </c>
      <c r="D319">
        <v>4</v>
      </c>
      <c r="E319">
        <v>2</v>
      </c>
      <c r="F319" s="3" t="s">
        <v>524</v>
      </c>
      <c r="G319" s="3" t="s">
        <v>524</v>
      </c>
      <c r="H319">
        <v>0</v>
      </c>
      <c r="I319">
        <v>0</v>
      </c>
      <c r="J319" s="2">
        <v>0</v>
      </c>
      <c r="K319" s="8" t="s">
        <v>250</v>
      </c>
      <c r="L319" s="2">
        <f t="shared" si="245"/>
        <v>6</v>
      </c>
      <c r="M319" s="2">
        <f t="shared" si="233"/>
        <v>1.6</v>
      </c>
      <c r="N319" s="2">
        <f t="shared" si="234"/>
        <v>1.5</v>
      </c>
      <c r="O319" s="2">
        <v>10</v>
      </c>
      <c r="P319" s="2">
        <f t="shared" si="235"/>
        <v>341.67</v>
      </c>
      <c r="Q319" s="2">
        <f t="shared" si="236"/>
        <v>34.17</v>
      </c>
      <c r="R319" s="2">
        <f t="shared" si="237"/>
        <v>2274.46</v>
      </c>
      <c r="S319" s="2">
        <f t="shared" si="238"/>
        <v>227.45</v>
      </c>
      <c r="T319" s="2">
        <f t="shared" si="239"/>
        <v>37.96</v>
      </c>
      <c r="U319" s="2">
        <f t="shared" si="240"/>
        <v>3.8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524013</v>
      </c>
      <c r="AB319" s="14" t="s">
        <v>751</v>
      </c>
      <c r="AC319" s="15" t="s">
        <v>890</v>
      </c>
      <c r="AD319" s="2">
        <v>5122401</v>
      </c>
      <c r="AE319" s="2">
        <v>0</v>
      </c>
      <c r="AF319" s="2">
        <v>1</v>
      </c>
      <c r="AG319" s="2">
        <f t="shared" si="250"/>
        <v>5062401</v>
      </c>
      <c r="AH319" s="2">
        <v>2</v>
      </c>
      <c r="AJ319">
        <v>1</v>
      </c>
      <c r="AK319" s="1">
        <f t="shared" si="242"/>
        <v>154.16721546567027</v>
      </c>
      <c r="AL319">
        <v>11</v>
      </c>
      <c r="AM319">
        <f t="shared" si="251"/>
        <v>310.61333333333334</v>
      </c>
      <c r="AN319">
        <f t="shared" si="252"/>
        <v>31.061333333333337</v>
      </c>
      <c r="AO319">
        <f t="shared" si="253"/>
        <v>2067.6923076923072</v>
      </c>
      <c r="AP319">
        <f t="shared" si="254"/>
        <v>206.76923076923072</v>
      </c>
      <c r="AQ319">
        <f t="shared" si="255"/>
        <v>34.512592592592597</v>
      </c>
      <c r="AR319">
        <f t="shared" si="246"/>
        <v>3.4512592592592597</v>
      </c>
      <c r="AS319">
        <f t="shared" si="256"/>
        <v>1.6</v>
      </c>
      <c r="AT319">
        <f t="shared" si="257"/>
        <v>1.5</v>
      </c>
      <c r="AU319">
        <f t="shared" si="258"/>
        <v>6</v>
      </c>
      <c r="AV319">
        <f t="shared" si="247"/>
        <v>4012</v>
      </c>
      <c r="AW319" s="1">
        <v>1</v>
      </c>
      <c r="AX319">
        <v>5</v>
      </c>
      <c r="AY319">
        <v>0.1</v>
      </c>
      <c r="BA319">
        <v>4</v>
      </c>
      <c r="BB319">
        <v>2</v>
      </c>
      <c r="CH319" t="str">
        <f t="shared" si="243"/>
        <v>DATA_Class_Base36</v>
      </c>
      <c r="CI319" s="3" t="s">
        <v>201</v>
      </c>
    </row>
    <row r="320" spans="1:87">
      <c r="A320">
        <f t="shared" si="244"/>
        <v>5112402</v>
      </c>
      <c r="B320" s="2" t="s">
        <v>526</v>
      </c>
      <c r="C320">
        <v>11</v>
      </c>
      <c r="D320">
        <v>4</v>
      </c>
      <c r="E320">
        <v>2</v>
      </c>
      <c r="F320" s="3" t="s">
        <v>528</v>
      </c>
      <c r="G320" s="3" t="s">
        <v>528</v>
      </c>
      <c r="H320">
        <v>0</v>
      </c>
      <c r="I320">
        <v>0</v>
      </c>
      <c r="J320">
        <v>0</v>
      </c>
      <c r="K320" s="2" t="s">
        <v>250</v>
      </c>
      <c r="L320" s="2">
        <f t="shared" si="245"/>
        <v>6</v>
      </c>
      <c r="M320" s="2">
        <f t="shared" si="233"/>
        <v>1.5</v>
      </c>
      <c r="N320" s="2">
        <f t="shared" si="234"/>
        <v>1.5</v>
      </c>
      <c r="O320" s="2">
        <v>10</v>
      </c>
      <c r="P320" s="2">
        <f t="shared" si="235"/>
        <v>344.96</v>
      </c>
      <c r="Q320" s="2">
        <f t="shared" si="236"/>
        <v>34.5</v>
      </c>
      <c r="R320" s="2">
        <f t="shared" si="237"/>
        <v>2112</v>
      </c>
      <c r="S320" s="2">
        <f t="shared" si="238"/>
        <v>211.2</v>
      </c>
      <c r="T320" s="2">
        <f t="shared" si="239"/>
        <v>43.12</v>
      </c>
      <c r="U320" s="2">
        <f t="shared" si="240"/>
        <v>4.3099999999999996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524023</v>
      </c>
      <c r="AB320" s="14" t="s">
        <v>752</v>
      </c>
      <c r="AC320" s="15" t="s">
        <v>890</v>
      </c>
      <c r="AD320" s="2">
        <v>5122402</v>
      </c>
      <c r="AE320" s="2">
        <v>0</v>
      </c>
      <c r="AF320" s="2">
        <v>1</v>
      </c>
      <c r="AG320" s="2">
        <f t="shared" si="250"/>
        <v>5062402</v>
      </c>
      <c r="AH320" s="2">
        <v>2</v>
      </c>
      <c r="AJ320">
        <v>1</v>
      </c>
      <c r="AK320" s="1">
        <f t="shared" si="242"/>
        <v>154.32758025209401</v>
      </c>
      <c r="AL320">
        <v>11</v>
      </c>
      <c r="AM320">
        <f t="shared" si="251"/>
        <v>313.59999999999991</v>
      </c>
      <c r="AN320">
        <f t="shared" si="252"/>
        <v>31.359999999999992</v>
      </c>
      <c r="AO320">
        <f t="shared" si="253"/>
        <v>1920</v>
      </c>
      <c r="AP320">
        <f t="shared" si="254"/>
        <v>192</v>
      </c>
      <c r="AQ320">
        <f t="shared" si="255"/>
        <v>39.199999999999989</v>
      </c>
      <c r="AR320">
        <f t="shared" si="246"/>
        <v>3.919999999999999</v>
      </c>
      <c r="AS320">
        <f t="shared" si="256"/>
        <v>1.5</v>
      </c>
      <c r="AT320">
        <f t="shared" si="257"/>
        <v>1.5</v>
      </c>
      <c r="AU320">
        <f t="shared" si="258"/>
        <v>6</v>
      </c>
      <c r="AV320">
        <f t="shared" si="247"/>
        <v>4022</v>
      </c>
      <c r="AW320" s="1">
        <v>2</v>
      </c>
      <c r="AX320">
        <v>5</v>
      </c>
      <c r="AY320">
        <v>0.1</v>
      </c>
      <c r="BA320">
        <v>4</v>
      </c>
      <c r="BB320">
        <v>2</v>
      </c>
      <c r="CH320" t="str">
        <f t="shared" si="243"/>
        <v>DATA_Class_Base28</v>
      </c>
      <c r="CI320" s="3" t="s">
        <v>374</v>
      </c>
    </row>
    <row r="321" spans="1:87">
      <c r="A321">
        <f t="shared" si="244"/>
        <v>5112502</v>
      </c>
      <c r="B321" s="2" t="s">
        <v>535</v>
      </c>
      <c r="C321">
        <v>11</v>
      </c>
      <c r="D321">
        <v>5</v>
      </c>
      <c r="E321">
        <v>2</v>
      </c>
      <c r="F321" s="3" t="s">
        <v>537</v>
      </c>
      <c r="G321" s="3" t="s">
        <v>537</v>
      </c>
      <c r="H321">
        <v>0</v>
      </c>
      <c r="I321">
        <v>0</v>
      </c>
      <c r="J321" s="2">
        <v>0</v>
      </c>
      <c r="K321" s="2" t="s">
        <v>291</v>
      </c>
      <c r="L321" s="2">
        <f t="shared" si="245"/>
        <v>6</v>
      </c>
      <c r="M321" s="2">
        <f t="shared" si="233"/>
        <v>1.4000000000000001</v>
      </c>
      <c r="N321" s="2">
        <f t="shared" si="234"/>
        <v>2</v>
      </c>
      <c r="O321" s="2">
        <v>10</v>
      </c>
      <c r="P321" s="2">
        <f t="shared" si="235"/>
        <v>356.46</v>
      </c>
      <c r="Q321" s="2">
        <f t="shared" si="236"/>
        <v>35.65</v>
      </c>
      <c r="R321" s="2">
        <f t="shared" si="237"/>
        <v>1907.61</v>
      </c>
      <c r="S321" s="2">
        <f t="shared" si="238"/>
        <v>190.76</v>
      </c>
      <c r="T321" s="2">
        <f t="shared" si="239"/>
        <v>35.65</v>
      </c>
      <c r="U321" s="2">
        <f t="shared" si="240"/>
        <v>3.56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525023</v>
      </c>
      <c r="AB321" s="14" t="s">
        <v>754</v>
      </c>
      <c r="AC321" s="15" t="s">
        <v>890</v>
      </c>
      <c r="AD321" s="2">
        <v>5122502</v>
      </c>
      <c r="AE321" s="2">
        <v>0</v>
      </c>
      <c r="AF321" s="2">
        <v>1</v>
      </c>
      <c r="AG321" s="2">
        <f t="shared" si="250"/>
        <v>5062502</v>
      </c>
      <c r="AH321" s="2">
        <v>2</v>
      </c>
      <c r="AJ321">
        <v>1</v>
      </c>
      <c r="AK321" s="1">
        <f t="shared" si="242"/>
        <v>154.09523081028652</v>
      </c>
      <c r="AL321">
        <v>11</v>
      </c>
      <c r="AM321">
        <f t="shared" si="251"/>
        <v>324.05333333333328</v>
      </c>
      <c r="AN321">
        <f t="shared" si="252"/>
        <v>32.405333333333331</v>
      </c>
      <c r="AO321">
        <f t="shared" si="253"/>
        <v>1734.1935483870968</v>
      </c>
      <c r="AP321">
        <f t="shared" si="254"/>
        <v>173.41935483870969</v>
      </c>
      <c r="AQ321">
        <f t="shared" si="255"/>
        <v>32.405333333333331</v>
      </c>
      <c r="AR321">
        <f t="shared" si="246"/>
        <v>3.2405333333333335</v>
      </c>
      <c r="AS321">
        <f t="shared" si="256"/>
        <v>1.4</v>
      </c>
      <c r="AT321">
        <f t="shared" si="257"/>
        <v>2</v>
      </c>
      <c r="AU321">
        <f t="shared" si="258"/>
        <v>6</v>
      </c>
      <c r="AV321">
        <f t="shared" si="247"/>
        <v>5022</v>
      </c>
      <c r="AW321" s="1">
        <v>2</v>
      </c>
      <c r="AX321">
        <v>5</v>
      </c>
      <c r="AY321">
        <v>0.1</v>
      </c>
      <c r="BA321">
        <v>5</v>
      </c>
      <c r="BB321">
        <v>2</v>
      </c>
      <c r="CH321" t="str">
        <f t="shared" si="243"/>
        <v>DATA_Class_Base29</v>
      </c>
      <c r="CI321" s="3" t="s">
        <v>378</v>
      </c>
    </row>
    <row r="322" spans="1:87">
      <c r="A322">
        <f t="shared" si="244"/>
        <v>5113200</v>
      </c>
      <c r="B322" s="2" t="s">
        <v>544</v>
      </c>
      <c r="C322">
        <v>11</v>
      </c>
      <c r="D322">
        <v>2</v>
      </c>
      <c r="E322">
        <v>3</v>
      </c>
      <c r="F322" s="3" t="s">
        <v>546</v>
      </c>
      <c r="G322" s="3" t="s">
        <v>546</v>
      </c>
      <c r="H322">
        <v>0</v>
      </c>
      <c r="I322">
        <v>0</v>
      </c>
      <c r="J322">
        <v>0</v>
      </c>
      <c r="K322" s="2" t="s">
        <v>314</v>
      </c>
      <c r="L322" s="2">
        <f t="shared" si="245"/>
        <v>3</v>
      </c>
      <c r="M322" s="2">
        <f t="shared" si="233"/>
        <v>1.5</v>
      </c>
      <c r="N322" s="2">
        <f t="shared" si="234"/>
        <v>1.2</v>
      </c>
      <c r="O322" s="2">
        <v>10</v>
      </c>
      <c r="P322" s="2">
        <f t="shared" si="235"/>
        <v>172.48</v>
      </c>
      <c r="Q322" s="2">
        <f t="shared" si="236"/>
        <v>17.25</v>
      </c>
      <c r="R322" s="2">
        <f t="shared" si="237"/>
        <v>4224</v>
      </c>
      <c r="S322" s="2">
        <f t="shared" si="238"/>
        <v>422.4</v>
      </c>
      <c r="T322" s="2">
        <f t="shared" si="239"/>
        <v>86.24</v>
      </c>
      <c r="U322" s="2">
        <f t="shared" si="240"/>
        <v>8.6199999999999992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532003</v>
      </c>
      <c r="AB322" s="14" t="s">
        <v>756</v>
      </c>
      <c r="AC322" s="15" t="s">
        <v>890</v>
      </c>
      <c r="AD322" s="2">
        <v>5123200</v>
      </c>
      <c r="AE322" s="2">
        <v>0</v>
      </c>
      <c r="AF322" s="2">
        <v>1</v>
      </c>
      <c r="AG322" s="2">
        <f t="shared" si="250"/>
        <v>5063200</v>
      </c>
      <c r="AH322" s="2">
        <v>2</v>
      </c>
      <c r="AJ322">
        <v>1</v>
      </c>
      <c r="AK322" s="1">
        <f t="shared" si="242"/>
        <v>155.68185991989839</v>
      </c>
      <c r="AL322">
        <v>11</v>
      </c>
      <c r="AM322">
        <f t="shared" si="251"/>
        <v>156.79999999999995</v>
      </c>
      <c r="AN322">
        <f t="shared" si="252"/>
        <v>15.679999999999996</v>
      </c>
      <c r="AO322">
        <f t="shared" si="253"/>
        <v>3840</v>
      </c>
      <c r="AP322">
        <f t="shared" si="254"/>
        <v>384</v>
      </c>
      <c r="AQ322">
        <f t="shared" si="255"/>
        <v>78.399999999999977</v>
      </c>
      <c r="AR322">
        <f t="shared" si="246"/>
        <v>7.8399999999999981</v>
      </c>
      <c r="AS322">
        <f t="shared" si="256"/>
        <v>1.5</v>
      </c>
      <c r="AT322">
        <f t="shared" si="257"/>
        <v>1.2</v>
      </c>
      <c r="AU322">
        <f t="shared" si="258"/>
        <v>3</v>
      </c>
      <c r="AV322">
        <f t="shared" si="247"/>
        <v>2003</v>
      </c>
      <c r="AW322" s="1">
        <v>0</v>
      </c>
      <c r="AX322">
        <v>5</v>
      </c>
      <c r="AY322">
        <v>0.1</v>
      </c>
      <c r="BA322">
        <v>2</v>
      </c>
      <c r="BB322">
        <v>3</v>
      </c>
      <c r="CH322" t="str">
        <f t="shared" si="243"/>
        <v>DATA_Class_Base30</v>
      </c>
      <c r="CI322" s="3" t="s">
        <v>381</v>
      </c>
    </row>
    <row r="323" spans="1:87">
      <c r="A323">
        <f t="shared" si="244"/>
        <v>5113202</v>
      </c>
      <c r="B323" s="2" t="s">
        <v>552</v>
      </c>
      <c r="C323">
        <v>11</v>
      </c>
      <c r="D323">
        <v>2</v>
      </c>
      <c r="E323">
        <v>3</v>
      </c>
      <c r="F323" s="3" t="s">
        <v>554</v>
      </c>
      <c r="G323" s="3" t="s">
        <v>554</v>
      </c>
      <c r="H323">
        <v>0</v>
      </c>
      <c r="I323">
        <v>0</v>
      </c>
      <c r="J323">
        <v>0</v>
      </c>
      <c r="K323" s="8" t="s">
        <v>555</v>
      </c>
      <c r="L323" s="2">
        <f t="shared" si="245"/>
        <v>3</v>
      </c>
      <c r="M323" s="2">
        <f t="shared" si="233"/>
        <v>1.8</v>
      </c>
      <c r="N323" s="2">
        <f t="shared" si="234"/>
        <v>2</v>
      </c>
      <c r="O323" s="2">
        <v>10</v>
      </c>
      <c r="P323" s="2">
        <f t="shared" si="235"/>
        <v>266.11</v>
      </c>
      <c r="Q323" s="2">
        <f t="shared" si="236"/>
        <v>26.61</v>
      </c>
      <c r="R323" s="2">
        <f t="shared" si="237"/>
        <v>3285.33</v>
      </c>
      <c r="S323" s="2">
        <f t="shared" si="238"/>
        <v>328.53</v>
      </c>
      <c r="T323" s="2">
        <f t="shared" si="239"/>
        <v>88.7</v>
      </c>
      <c r="U323" s="2">
        <f t="shared" si="240"/>
        <v>8.8699999999999992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532023</v>
      </c>
      <c r="AB323" s="14" t="s">
        <v>758</v>
      </c>
      <c r="AC323" s="15" t="s">
        <v>890</v>
      </c>
      <c r="AD323" s="2">
        <v>5123202</v>
      </c>
      <c r="AE323" s="2">
        <v>0</v>
      </c>
      <c r="AF323" s="2">
        <v>1</v>
      </c>
      <c r="AG323" s="2">
        <f t="shared" si="250"/>
        <v>5063202</v>
      </c>
      <c r="AH323" s="2">
        <v>2</v>
      </c>
      <c r="AJ323">
        <v>1</v>
      </c>
      <c r="AK323" s="1">
        <f t="shared" si="242"/>
        <v>155.75996559767523</v>
      </c>
      <c r="AL323">
        <v>11</v>
      </c>
      <c r="AM323">
        <f t="shared" si="251"/>
        <v>241.92</v>
      </c>
      <c r="AN323">
        <f t="shared" si="252"/>
        <v>24.192</v>
      </c>
      <c r="AO323">
        <f t="shared" si="253"/>
        <v>2986.6666666666665</v>
      </c>
      <c r="AP323">
        <f t="shared" si="254"/>
        <v>298.66666666666669</v>
      </c>
      <c r="AQ323">
        <f t="shared" si="255"/>
        <v>80.64</v>
      </c>
      <c r="AR323">
        <f t="shared" si="246"/>
        <v>8.0640000000000001</v>
      </c>
      <c r="AS323">
        <f t="shared" si="256"/>
        <v>1.8</v>
      </c>
      <c r="AT323">
        <f t="shared" si="257"/>
        <v>2</v>
      </c>
      <c r="AU323">
        <f t="shared" si="258"/>
        <v>3</v>
      </c>
      <c r="AV323">
        <f t="shared" si="247"/>
        <v>2023</v>
      </c>
      <c r="AW323" s="1">
        <v>2</v>
      </c>
      <c r="AX323">
        <v>5</v>
      </c>
      <c r="AY323">
        <v>0.1</v>
      </c>
      <c r="BA323">
        <v>2</v>
      </c>
      <c r="BB323">
        <v>3</v>
      </c>
      <c r="CH323" t="str">
        <f t="shared" si="243"/>
        <v>DATA_Class_Base31</v>
      </c>
      <c r="CI323" s="3" t="s">
        <v>384</v>
      </c>
    </row>
    <row r="324" spans="1:87">
      <c r="A324">
        <f t="shared" si="244"/>
        <v>5113301</v>
      </c>
      <c r="B324" s="2" t="s">
        <v>557</v>
      </c>
      <c r="C324">
        <v>11</v>
      </c>
      <c r="D324">
        <v>3</v>
      </c>
      <c r="E324">
        <v>3</v>
      </c>
      <c r="F324" s="3" t="s">
        <v>559</v>
      </c>
      <c r="G324" s="3" t="s">
        <v>559</v>
      </c>
      <c r="H324">
        <v>0</v>
      </c>
      <c r="I324">
        <v>0</v>
      </c>
      <c r="J324" s="2">
        <v>0</v>
      </c>
      <c r="K324" s="8" t="s">
        <v>555</v>
      </c>
      <c r="L324" s="2">
        <f t="shared" si="245"/>
        <v>3</v>
      </c>
      <c r="M324" s="2">
        <f t="shared" si="233"/>
        <v>1.2</v>
      </c>
      <c r="N324" s="2">
        <f t="shared" si="234"/>
        <v>1.4000000000000001</v>
      </c>
      <c r="O324" s="2">
        <v>10</v>
      </c>
      <c r="P324" s="2">
        <f t="shared" si="235"/>
        <v>236.54</v>
      </c>
      <c r="Q324" s="2">
        <f t="shared" si="236"/>
        <v>23.65</v>
      </c>
      <c r="R324" s="2">
        <f t="shared" si="237"/>
        <v>2464</v>
      </c>
      <c r="S324" s="2">
        <f t="shared" si="238"/>
        <v>246.4</v>
      </c>
      <c r="T324" s="2">
        <f t="shared" si="239"/>
        <v>47.31</v>
      </c>
      <c r="U324" s="2">
        <f t="shared" si="240"/>
        <v>4.7300000000000004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533013</v>
      </c>
      <c r="AB324" s="14" t="s">
        <v>759</v>
      </c>
      <c r="AC324" s="15" t="s">
        <v>890</v>
      </c>
      <c r="AD324" s="2">
        <v>5123301</v>
      </c>
      <c r="AE324" s="2">
        <v>0</v>
      </c>
      <c r="AF324" s="2">
        <v>1</v>
      </c>
      <c r="AG324" s="2">
        <f t="shared" si="250"/>
        <v>5063301</v>
      </c>
      <c r="AH324" s="2">
        <v>2</v>
      </c>
      <c r="AJ324">
        <v>1</v>
      </c>
      <c r="AK324" s="1">
        <f t="shared" si="242"/>
        <v>154.45810471688603</v>
      </c>
      <c r="AL324">
        <v>11</v>
      </c>
      <c r="AM324">
        <f t="shared" si="251"/>
        <v>215.04</v>
      </c>
      <c r="AN324">
        <f t="shared" si="252"/>
        <v>21.504000000000001</v>
      </c>
      <c r="AO324">
        <f t="shared" si="253"/>
        <v>2240</v>
      </c>
      <c r="AP324">
        <f t="shared" si="254"/>
        <v>224</v>
      </c>
      <c r="AQ324">
        <f t="shared" si="255"/>
        <v>43.007999999999996</v>
      </c>
      <c r="AR324">
        <f t="shared" si="246"/>
        <v>4.3007999999999997</v>
      </c>
      <c r="AS324">
        <f t="shared" si="256"/>
        <v>1.2</v>
      </c>
      <c r="AT324">
        <f t="shared" si="257"/>
        <v>1.4</v>
      </c>
      <c r="AU324">
        <f t="shared" si="258"/>
        <v>3</v>
      </c>
      <c r="AV324">
        <f t="shared" si="247"/>
        <v>3013</v>
      </c>
      <c r="AW324" s="1">
        <v>1</v>
      </c>
      <c r="AX324">
        <v>5</v>
      </c>
      <c r="AY324">
        <v>0.1</v>
      </c>
      <c r="BA324">
        <v>3</v>
      </c>
      <c r="BB324">
        <v>3</v>
      </c>
      <c r="CH324" t="str">
        <f t="shared" si="243"/>
        <v>DATA_Class_Base32</v>
      </c>
      <c r="CI324" s="3" t="s">
        <v>388</v>
      </c>
    </row>
    <row r="325" spans="1:87">
      <c r="A325">
        <f t="shared" si="244"/>
        <v>5113401</v>
      </c>
      <c r="B325" s="2" t="s">
        <v>561</v>
      </c>
      <c r="C325">
        <v>11</v>
      </c>
      <c r="D325">
        <v>4</v>
      </c>
      <c r="E325">
        <v>3</v>
      </c>
      <c r="F325" s="3" t="s">
        <v>563</v>
      </c>
      <c r="G325" s="3" t="s">
        <v>563</v>
      </c>
      <c r="H325">
        <v>0</v>
      </c>
      <c r="I325">
        <v>0</v>
      </c>
      <c r="J325">
        <v>0</v>
      </c>
      <c r="K325" s="8" t="s">
        <v>161</v>
      </c>
      <c r="L325" s="2">
        <f t="shared" si="245"/>
        <v>6</v>
      </c>
      <c r="M325" s="2">
        <f t="shared" si="233"/>
        <v>1.6</v>
      </c>
      <c r="N325" s="2">
        <f t="shared" si="234"/>
        <v>1.5</v>
      </c>
      <c r="O325" s="2">
        <v>10</v>
      </c>
      <c r="P325" s="2">
        <f t="shared" si="235"/>
        <v>315.39</v>
      </c>
      <c r="Q325" s="2">
        <f t="shared" si="236"/>
        <v>31.54</v>
      </c>
      <c r="R325" s="2">
        <f t="shared" si="237"/>
        <v>2464</v>
      </c>
      <c r="S325" s="2">
        <f t="shared" si="238"/>
        <v>246.4</v>
      </c>
      <c r="T325" s="2">
        <f t="shared" si="239"/>
        <v>52.57</v>
      </c>
      <c r="U325" s="2">
        <f t="shared" si="240"/>
        <v>5.26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534013</v>
      </c>
      <c r="AB325" s="14" t="s">
        <v>760</v>
      </c>
      <c r="AC325" s="15" t="s">
        <v>890</v>
      </c>
      <c r="AD325" s="2">
        <v>5123401</v>
      </c>
      <c r="AE325" s="2">
        <v>0</v>
      </c>
      <c r="AF325" s="2">
        <v>1</v>
      </c>
      <c r="AG325" s="2">
        <f t="shared" si="250"/>
        <v>5063401</v>
      </c>
      <c r="AH325" s="2">
        <v>2</v>
      </c>
      <c r="AJ325">
        <v>1</v>
      </c>
      <c r="AK325" s="1">
        <f t="shared" si="242"/>
        <v>154.62221283164658</v>
      </c>
      <c r="AL325">
        <v>11</v>
      </c>
      <c r="AM325">
        <f t="shared" si="251"/>
        <v>286.71999999999997</v>
      </c>
      <c r="AN325">
        <f t="shared" si="252"/>
        <v>28.671999999999997</v>
      </c>
      <c r="AO325">
        <f t="shared" si="253"/>
        <v>2240</v>
      </c>
      <c r="AP325">
        <f t="shared" si="254"/>
        <v>224</v>
      </c>
      <c r="AQ325">
        <f t="shared" si="255"/>
        <v>47.786666666666662</v>
      </c>
      <c r="AR325">
        <f t="shared" si="246"/>
        <v>4.7786666666666662</v>
      </c>
      <c r="AS325">
        <f t="shared" si="256"/>
        <v>1.6</v>
      </c>
      <c r="AT325">
        <f t="shared" si="257"/>
        <v>1.5</v>
      </c>
      <c r="AU325">
        <f t="shared" si="258"/>
        <v>6</v>
      </c>
      <c r="AV325">
        <f t="shared" si="247"/>
        <v>4013</v>
      </c>
      <c r="AW325" s="1">
        <v>1</v>
      </c>
      <c r="AX325">
        <v>5</v>
      </c>
      <c r="AY325">
        <v>0.1</v>
      </c>
      <c r="BA325">
        <v>4</v>
      </c>
      <c r="BB325">
        <v>3</v>
      </c>
      <c r="CH325" t="str">
        <f t="shared" si="243"/>
        <v>DATA_Class_Base33</v>
      </c>
      <c r="CI325" s="3" t="s">
        <v>391</v>
      </c>
    </row>
    <row r="326" spans="1:87">
      <c r="A326">
        <f t="shared" si="244"/>
        <v>5113402</v>
      </c>
      <c r="B326" s="2" t="s">
        <v>565</v>
      </c>
      <c r="C326">
        <v>11</v>
      </c>
      <c r="D326">
        <v>4</v>
      </c>
      <c r="E326">
        <v>3</v>
      </c>
      <c r="F326" s="3" t="s">
        <v>567</v>
      </c>
      <c r="G326" s="3" t="s">
        <v>567</v>
      </c>
      <c r="H326">
        <v>0</v>
      </c>
      <c r="I326">
        <v>0</v>
      </c>
      <c r="J326" s="2">
        <v>0</v>
      </c>
      <c r="K326" s="8" t="s">
        <v>568</v>
      </c>
      <c r="L326" s="2">
        <f t="shared" si="245"/>
        <v>6</v>
      </c>
      <c r="M326" s="2">
        <f t="shared" si="233"/>
        <v>1.5</v>
      </c>
      <c r="N326" s="2">
        <f t="shared" si="234"/>
        <v>1.5</v>
      </c>
      <c r="O326" s="2">
        <v>10</v>
      </c>
      <c r="P326" s="2">
        <f t="shared" si="235"/>
        <v>320.32</v>
      </c>
      <c r="Q326" s="2">
        <f t="shared" si="236"/>
        <v>32.03</v>
      </c>
      <c r="R326" s="2">
        <f t="shared" si="237"/>
        <v>2274.46</v>
      </c>
      <c r="S326" s="2">
        <f t="shared" si="238"/>
        <v>227.45</v>
      </c>
      <c r="T326" s="2">
        <f t="shared" si="239"/>
        <v>45.76</v>
      </c>
      <c r="U326" s="2">
        <f t="shared" si="240"/>
        <v>4.58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534023</v>
      </c>
      <c r="AB326" s="14" t="s">
        <v>761</v>
      </c>
      <c r="AC326" s="15" t="s">
        <v>890</v>
      </c>
      <c r="AD326" s="2">
        <v>5123402</v>
      </c>
      <c r="AE326" s="2">
        <v>0</v>
      </c>
      <c r="AF326" s="2">
        <v>1</v>
      </c>
      <c r="AG326" s="2">
        <f t="shared" si="250"/>
        <v>5063402</v>
      </c>
      <c r="AH326" s="2">
        <v>2</v>
      </c>
      <c r="AJ326">
        <v>1</v>
      </c>
      <c r="AK326" s="1">
        <f t="shared" si="242"/>
        <v>154.40981785299056</v>
      </c>
      <c r="AL326">
        <v>11</v>
      </c>
      <c r="AM326">
        <f t="shared" si="251"/>
        <v>291.2</v>
      </c>
      <c r="AN326">
        <f t="shared" si="252"/>
        <v>29.12</v>
      </c>
      <c r="AO326">
        <f t="shared" si="253"/>
        <v>2067.6923076923072</v>
      </c>
      <c r="AP326">
        <f t="shared" si="254"/>
        <v>206.76923076923072</v>
      </c>
      <c r="AQ326">
        <f t="shared" si="255"/>
        <v>41.6</v>
      </c>
      <c r="AR326">
        <f t="shared" si="246"/>
        <v>4.16</v>
      </c>
      <c r="AS326">
        <f t="shared" si="256"/>
        <v>1.5</v>
      </c>
      <c r="AT326">
        <f t="shared" si="257"/>
        <v>1.5</v>
      </c>
      <c r="AU326">
        <f t="shared" si="258"/>
        <v>6</v>
      </c>
      <c r="AV326">
        <f t="shared" si="247"/>
        <v>4023</v>
      </c>
      <c r="AW326" s="1">
        <v>2</v>
      </c>
      <c r="AX326">
        <v>5</v>
      </c>
      <c r="AY326">
        <v>0.1</v>
      </c>
      <c r="BA326">
        <v>4</v>
      </c>
      <c r="BB326">
        <v>3</v>
      </c>
      <c r="CH326" t="str">
        <f t="shared" si="243"/>
        <v>DATA_Class_Base34</v>
      </c>
      <c r="CI326" s="3" t="s">
        <v>184</v>
      </c>
    </row>
    <row r="327" spans="1:87" ht="14.25" customHeight="1">
      <c r="A327">
        <f t="shared" si="244"/>
        <v>5113502</v>
      </c>
      <c r="B327" s="2" t="s">
        <v>574</v>
      </c>
      <c r="C327">
        <v>11</v>
      </c>
      <c r="D327">
        <v>5</v>
      </c>
      <c r="E327">
        <v>3</v>
      </c>
      <c r="F327" s="3" t="s">
        <v>576</v>
      </c>
      <c r="G327" s="3" t="s">
        <v>576</v>
      </c>
      <c r="H327">
        <v>0</v>
      </c>
      <c r="I327">
        <v>0</v>
      </c>
      <c r="J327" s="2">
        <v>0</v>
      </c>
      <c r="K327" s="8" t="s">
        <v>577</v>
      </c>
      <c r="L327" s="2">
        <f t="shared" si="245"/>
        <v>6</v>
      </c>
      <c r="M327" s="2">
        <f t="shared" si="233"/>
        <v>1.4000000000000001</v>
      </c>
      <c r="N327" s="2">
        <f t="shared" si="234"/>
        <v>2</v>
      </c>
      <c r="O327" s="2">
        <v>10</v>
      </c>
      <c r="P327" s="2">
        <f t="shared" si="235"/>
        <v>310.45999999999998</v>
      </c>
      <c r="Q327" s="2">
        <f t="shared" si="236"/>
        <v>31.05</v>
      </c>
      <c r="R327" s="2">
        <f t="shared" si="237"/>
        <v>2190.2199999999998</v>
      </c>
      <c r="S327" s="2">
        <f t="shared" si="238"/>
        <v>219.02</v>
      </c>
      <c r="T327" s="2">
        <f t="shared" si="239"/>
        <v>44.35</v>
      </c>
      <c r="U327" s="2">
        <f t="shared" si="240"/>
        <v>4.4400000000000004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535023</v>
      </c>
      <c r="AB327" s="14" t="s">
        <v>763</v>
      </c>
      <c r="AC327" s="15" t="s">
        <v>890</v>
      </c>
      <c r="AD327" s="2">
        <v>5123502</v>
      </c>
      <c r="AE327" s="2">
        <v>0</v>
      </c>
      <c r="AF327" s="2">
        <v>1</v>
      </c>
      <c r="AG327" s="2">
        <f t="shared" si="250"/>
        <v>5063502</v>
      </c>
      <c r="AH327" s="2">
        <v>2</v>
      </c>
      <c r="AJ327">
        <v>1</v>
      </c>
      <c r="AK327" s="1">
        <f t="shared" si="242"/>
        <v>154.36594689534039</v>
      </c>
      <c r="AL327">
        <v>11</v>
      </c>
      <c r="AM327">
        <f t="shared" si="251"/>
        <v>282.23999999999995</v>
      </c>
      <c r="AN327">
        <f t="shared" si="252"/>
        <v>28.223999999999997</v>
      </c>
      <c r="AO327">
        <f t="shared" si="253"/>
        <v>1991.1111111111109</v>
      </c>
      <c r="AP327">
        <f t="shared" si="254"/>
        <v>199.11111111111109</v>
      </c>
      <c r="AQ327">
        <f t="shared" si="255"/>
        <v>40.319999999999993</v>
      </c>
      <c r="AR327">
        <f t="shared" si="246"/>
        <v>4.0319999999999991</v>
      </c>
      <c r="AS327">
        <f t="shared" si="256"/>
        <v>1.4</v>
      </c>
      <c r="AT327">
        <f t="shared" si="257"/>
        <v>2</v>
      </c>
      <c r="AU327">
        <f t="shared" si="258"/>
        <v>6</v>
      </c>
      <c r="AV327">
        <f t="shared" si="247"/>
        <v>5023</v>
      </c>
      <c r="AW327" s="1">
        <v>2</v>
      </c>
      <c r="AX327">
        <v>5</v>
      </c>
      <c r="AY327">
        <v>0.1</v>
      </c>
      <c r="BA327">
        <v>5</v>
      </c>
      <c r="BB327">
        <v>3</v>
      </c>
      <c r="CH327" t="str">
        <f t="shared" si="243"/>
        <v>DATA_Class_Base35</v>
      </c>
      <c r="CI327" s="3" t="s">
        <v>195</v>
      </c>
    </row>
    <row r="328" spans="1:87">
      <c r="A328">
        <f t="shared" si="244"/>
        <v>5113601</v>
      </c>
      <c r="B328" s="2" t="s">
        <v>579</v>
      </c>
      <c r="C328">
        <v>11</v>
      </c>
      <c r="D328">
        <v>6</v>
      </c>
      <c r="E328">
        <v>3</v>
      </c>
      <c r="F328" s="3" t="s">
        <v>581</v>
      </c>
      <c r="G328" s="3" t="s">
        <v>581</v>
      </c>
      <c r="H328">
        <v>0</v>
      </c>
      <c r="I328">
        <v>0</v>
      </c>
      <c r="J328">
        <v>0</v>
      </c>
      <c r="K328" s="2" t="s">
        <v>309</v>
      </c>
      <c r="L328" s="2">
        <f t="shared" si="245"/>
        <v>6</v>
      </c>
      <c r="M328" s="2">
        <f t="shared" si="233"/>
        <v>1.5</v>
      </c>
      <c r="N328" s="2">
        <f t="shared" si="234"/>
        <v>2</v>
      </c>
      <c r="O328" s="2">
        <v>10</v>
      </c>
      <c r="P328" s="2">
        <f t="shared" si="235"/>
        <v>221.76</v>
      </c>
      <c r="Q328" s="2">
        <f t="shared" si="236"/>
        <v>22.18</v>
      </c>
      <c r="R328" s="2">
        <f t="shared" si="237"/>
        <v>3285.33</v>
      </c>
      <c r="S328" s="2">
        <f t="shared" si="238"/>
        <v>328.53</v>
      </c>
      <c r="T328" s="2">
        <f t="shared" si="239"/>
        <v>73.92</v>
      </c>
      <c r="U328" s="2">
        <f t="shared" si="240"/>
        <v>7.39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536013</v>
      </c>
      <c r="AB328" s="14" t="s">
        <v>764</v>
      </c>
      <c r="AC328" s="15" t="s">
        <v>890</v>
      </c>
      <c r="AD328" s="2">
        <v>5123601</v>
      </c>
      <c r="AE328" s="2">
        <v>0</v>
      </c>
      <c r="AF328" s="2">
        <v>1</v>
      </c>
      <c r="AG328" s="2">
        <f t="shared" si="250"/>
        <v>5063601</v>
      </c>
      <c r="AH328" s="2">
        <v>2</v>
      </c>
      <c r="AJ328">
        <v>1</v>
      </c>
      <c r="AK328" s="1">
        <f t="shared" si="242"/>
        <v>155.29250357282058</v>
      </c>
      <c r="AL328">
        <v>11</v>
      </c>
      <c r="AM328">
        <f t="shared" si="251"/>
        <v>201.6</v>
      </c>
      <c r="AN328">
        <f t="shared" si="252"/>
        <v>20.16</v>
      </c>
      <c r="AO328">
        <f t="shared" si="253"/>
        <v>2986.6666666666665</v>
      </c>
      <c r="AP328">
        <f t="shared" si="254"/>
        <v>298.66666666666669</v>
      </c>
      <c r="AQ328">
        <f t="shared" si="255"/>
        <v>67.2</v>
      </c>
      <c r="AR328">
        <f t="shared" si="246"/>
        <v>6.7200000000000006</v>
      </c>
      <c r="AS328">
        <f t="shared" si="256"/>
        <v>1.5</v>
      </c>
      <c r="AT328">
        <f t="shared" si="257"/>
        <v>2</v>
      </c>
      <c r="AU328">
        <f t="shared" si="258"/>
        <v>6</v>
      </c>
      <c r="AV328">
        <f t="shared" si="247"/>
        <v>6013</v>
      </c>
      <c r="AW328" s="1">
        <v>1</v>
      </c>
      <c r="AX328">
        <v>5</v>
      </c>
      <c r="AY328">
        <v>0.1</v>
      </c>
      <c r="BA328">
        <v>6</v>
      </c>
      <c r="BB328">
        <v>3</v>
      </c>
      <c r="CH328" t="str">
        <f t="shared" si="243"/>
        <v>DATA_Class_Base36</v>
      </c>
      <c r="CI328" s="3" t="s">
        <v>201</v>
      </c>
    </row>
    <row r="329" spans="1:87">
      <c r="A329">
        <f t="shared" ref="A329:A336" si="259">AX329*1000000+C329*10000+E329*1000+D329*100+AW329</f>
        <v>5114201</v>
      </c>
      <c r="B329" s="2" t="s">
        <v>583</v>
      </c>
      <c r="C329">
        <v>11</v>
      </c>
      <c r="D329">
        <v>2</v>
      </c>
      <c r="E329">
        <v>4</v>
      </c>
      <c r="F329" s="3" t="s">
        <v>585</v>
      </c>
      <c r="G329" s="3" t="s">
        <v>585</v>
      </c>
      <c r="H329">
        <v>0</v>
      </c>
      <c r="I329">
        <v>0</v>
      </c>
      <c r="J329" s="30">
        <v>0</v>
      </c>
      <c r="K329" s="8" t="s">
        <v>555</v>
      </c>
      <c r="L329" s="2">
        <f t="shared" ref="L329:L336" si="260">AU329</f>
        <v>3</v>
      </c>
      <c r="M329" s="2">
        <f t="shared" ref="M329:M336" si="261">FLOOR(AS329/1,0.01)</f>
        <v>1.8</v>
      </c>
      <c r="N329" s="2">
        <f t="shared" ref="N329:N336" si="262">FLOOR(AT329/1,0.01)</f>
        <v>1.8</v>
      </c>
      <c r="O329" s="2">
        <v>10</v>
      </c>
      <c r="P329" s="2">
        <f t="shared" ref="P329:P336" si="263">ROUND(AM329*(1+$AY329),2)</f>
        <v>236.54</v>
      </c>
      <c r="Q329" s="2">
        <f t="shared" ref="Q329:Q336" si="264">ROUND(AN329*(1+$AY329),2)</f>
        <v>23.65</v>
      </c>
      <c r="R329" s="2">
        <f t="shared" ref="R329:R336" si="265">ROUND(AO329*(1+$AY329),2)</f>
        <v>3696</v>
      </c>
      <c r="S329" s="2">
        <f t="shared" ref="S329:S336" si="266">ROUND(AP329*(1+$AY329),2)</f>
        <v>369.6</v>
      </c>
      <c r="T329" s="2">
        <f t="shared" ref="T329:T336" si="267">ROUND(AQ329*(1+$AY329),2)</f>
        <v>90.98</v>
      </c>
      <c r="U329" s="2">
        <f t="shared" ref="U329:U336" si="268">ROUND(AR329*(1+$AY329),2)</f>
        <v>9.1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542013</v>
      </c>
      <c r="AB329" s="15" t="s">
        <v>765</v>
      </c>
      <c r="AC329" s="15" t="s">
        <v>890</v>
      </c>
      <c r="AD329" s="2">
        <v>5124201</v>
      </c>
      <c r="AE329" s="2">
        <v>0</v>
      </c>
      <c r="AF329" s="2">
        <v>1</v>
      </c>
      <c r="AG329" s="2">
        <f t="shared" si="250"/>
        <v>5064201</v>
      </c>
      <c r="AH329" s="2">
        <v>2</v>
      </c>
      <c r="AI329" s="2"/>
      <c r="AJ329">
        <v>1</v>
      </c>
      <c r="AK329" s="1">
        <f t="shared" ref="AK329:AK336" si="269">(AO329+AP329*AJ329)*(AM329+AN329*AJ329)/AS329*(0.9)*(1+0.5*0.1)*1/1/(1-(AQ329+AR329*AJ329)*0.0002)/3000</f>
        <v>155.83213273896979</v>
      </c>
      <c r="AL329">
        <v>11</v>
      </c>
      <c r="AM329">
        <f t="shared" si="251"/>
        <v>215.04000000000002</v>
      </c>
      <c r="AN329">
        <f t="shared" si="252"/>
        <v>21.504000000000005</v>
      </c>
      <c r="AO329">
        <f t="shared" si="253"/>
        <v>3360</v>
      </c>
      <c r="AP329">
        <f t="shared" si="254"/>
        <v>336</v>
      </c>
      <c r="AQ329">
        <f t="shared" si="255"/>
        <v>82.707692307692312</v>
      </c>
      <c r="AR329">
        <f t="shared" ref="AR329:AR336" si="270">AQ329*0.1</f>
        <v>8.2707692307692309</v>
      </c>
      <c r="AS329">
        <f t="shared" si="256"/>
        <v>1.8</v>
      </c>
      <c r="AT329">
        <f t="shared" si="257"/>
        <v>1.8</v>
      </c>
      <c r="AU329">
        <f t="shared" si="258"/>
        <v>3</v>
      </c>
      <c r="AV329">
        <f t="shared" si="247"/>
        <v>2014</v>
      </c>
      <c r="AW329" s="1">
        <v>1</v>
      </c>
      <c r="AX329">
        <v>5</v>
      </c>
      <c r="AY329">
        <v>0.1</v>
      </c>
      <c r="BA329">
        <v>2</v>
      </c>
      <c r="BB329">
        <v>4</v>
      </c>
      <c r="CB329" s="13"/>
      <c r="CC329" s="13"/>
      <c r="CD329" s="13"/>
      <c r="CH329" t="str">
        <f t="shared" si="243"/>
        <v>DATA_Class_Base29</v>
      </c>
      <c r="CI329" s="3" t="s">
        <v>378</v>
      </c>
    </row>
    <row r="330" spans="1:87">
      <c r="A330">
        <f t="shared" si="259"/>
        <v>5114501</v>
      </c>
      <c r="B330" s="2" t="s">
        <v>592</v>
      </c>
      <c r="C330">
        <v>11</v>
      </c>
      <c r="D330">
        <v>5</v>
      </c>
      <c r="E330">
        <v>4</v>
      </c>
      <c r="F330" s="3" t="s">
        <v>594</v>
      </c>
      <c r="G330" s="3" t="s">
        <v>594</v>
      </c>
      <c r="H330">
        <v>0</v>
      </c>
      <c r="I330">
        <v>0</v>
      </c>
      <c r="J330">
        <v>0</v>
      </c>
      <c r="K330" s="2" t="s">
        <v>334</v>
      </c>
      <c r="L330" s="2">
        <f t="shared" si="260"/>
        <v>6</v>
      </c>
      <c r="M330" s="2">
        <f t="shared" si="261"/>
        <v>1.6</v>
      </c>
      <c r="N330" s="2">
        <f t="shared" si="262"/>
        <v>2</v>
      </c>
      <c r="O330" s="2">
        <v>10</v>
      </c>
      <c r="P330" s="2">
        <f t="shared" si="263"/>
        <v>341.67</v>
      </c>
      <c r="Q330" s="2">
        <f t="shared" si="264"/>
        <v>34.17</v>
      </c>
      <c r="R330" s="2">
        <f t="shared" si="265"/>
        <v>2274.46</v>
      </c>
      <c r="S330" s="2">
        <f t="shared" si="266"/>
        <v>227.45</v>
      </c>
      <c r="T330" s="2">
        <f t="shared" si="267"/>
        <v>37.96</v>
      </c>
      <c r="U330" s="2">
        <f t="shared" si="268"/>
        <v>3.8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545013</v>
      </c>
      <c r="AB330" s="14" t="s">
        <v>767</v>
      </c>
      <c r="AC330" s="15" t="s">
        <v>890</v>
      </c>
      <c r="AD330" s="2">
        <v>5124501</v>
      </c>
      <c r="AE330" s="2">
        <v>0</v>
      </c>
      <c r="AF330" s="2">
        <v>1</v>
      </c>
      <c r="AG330" s="2">
        <f t="shared" si="250"/>
        <v>5064501</v>
      </c>
      <c r="AH330" s="2">
        <v>2</v>
      </c>
      <c r="AI330" s="2"/>
      <c r="AJ330">
        <v>1</v>
      </c>
      <c r="AK330" s="1">
        <f t="shared" si="269"/>
        <v>154.16721546567027</v>
      </c>
      <c r="AL330">
        <v>11</v>
      </c>
      <c r="AM330">
        <f t="shared" si="251"/>
        <v>310.61333333333334</v>
      </c>
      <c r="AN330">
        <f t="shared" si="252"/>
        <v>31.061333333333337</v>
      </c>
      <c r="AO330">
        <f t="shared" si="253"/>
        <v>2067.6923076923072</v>
      </c>
      <c r="AP330">
        <f t="shared" si="254"/>
        <v>206.76923076923072</v>
      </c>
      <c r="AQ330">
        <f t="shared" si="255"/>
        <v>34.512592592592597</v>
      </c>
      <c r="AR330">
        <f t="shared" si="270"/>
        <v>3.4512592592592597</v>
      </c>
      <c r="AS330">
        <f t="shared" si="256"/>
        <v>1.6</v>
      </c>
      <c r="AT330">
        <f t="shared" si="257"/>
        <v>2</v>
      </c>
      <c r="AU330">
        <f t="shared" si="258"/>
        <v>6</v>
      </c>
      <c r="AV330">
        <f t="shared" si="247"/>
        <v>5014</v>
      </c>
      <c r="AW330" s="1">
        <v>1</v>
      </c>
      <c r="AX330">
        <v>5</v>
      </c>
      <c r="AY330">
        <v>0.1</v>
      </c>
      <c r="BA330">
        <v>5</v>
      </c>
      <c r="BB330">
        <v>4</v>
      </c>
      <c r="CB330" s="13"/>
      <c r="CC330" s="13"/>
      <c r="CD330" s="13"/>
      <c r="CH330" t="str">
        <f t="shared" si="243"/>
        <v>DATA_Class_Base41</v>
      </c>
      <c r="CI330" s="3" t="s">
        <v>413</v>
      </c>
    </row>
    <row r="331" spans="1:87">
      <c r="A331">
        <f t="shared" si="259"/>
        <v>5114600</v>
      </c>
      <c r="B331" s="2" t="s">
        <v>596</v>
      </c>
      <c r="C331">
        <v>11</v>
      </c>
      <c r="D331">
        <v>6</v>
      </c>
      <c r="E331">
        <v>4</v>
      </c>
      <c r="F331" s="3" t="s">
        <v>598</v>
      </c>
      <c r="G331" s="3" t="s">
        <v>598</v>
      </c>
      <c r="H331">
        <v>0</v>
      </c>
      <c r="I331">
        <v>0</v>
      </c>
      <c r="J331" s="2">
        <v>0</v>
      </c>
      <c r="K331" s="2" t="s">
        <v>339</v>
      </c>
      <c r="L331" s="2">
        <f t="shared" si="260"/>
        <v>3</v>
      </c>
      <c r="M331" s="2">
        <f t="shared" si="261"/>
        <v>1.4000000000000001</v>
      </c>
      <c r="N331" s="2">
        <f t="shared" si="262"/>
        <v>1.9000000000000001</v>
      </c>
      <c r="O331" s="2">
        <v>10</v>
      </c>
      <c r="P331" s="2">
        <f t="shared" si="263"/>
        <v>252.97</v>
      </c>
      <c r="Q331" s="2">
        <f t="shared" si="264"/>
        <v>25.3</v>
      </c>
      <c r="R331" s="2">
        <f t="shared" si="265"/>
        <v>2688</v>
      </c>
      <c r="S331" s="2">
        <f t="shared" si="266"/>
        <v>268.8</v>
      </c>
      <c r="T331" s="2">
        <f t="shared" si="267"/>
        <v>63.24</v>
      </c>
      <c r="U331" s="2">
        <f t="shared" si="268"/>
        <v>6.32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546003</v>
      </c>
      <c r="AB331" s="14" t="s">
        <v>768</v>
      </c>
      <c r="AC331" s="15" t="s">
        <v>890</v>
      </c>
      <c r="AD331" s="2">
        <v>5124600</v>
      </c>
      <c r="AE331" s="2">
        <v>0</v>
      </c>
      <c r="AF331" s="2">
        <v>1</v>
      </c>
      <c r="AG331" s="2">
        <f t="shared" si="250"/>
        <v>5064600</v>
      </c>
      <c r="AH331" s="2">
        <v>2</v>
      </c>
      <c r="AI331" s="2"/>
      <c r="AJ331">
        <v>1</v>
      </c>
      <c r="AK331" s="1">
        <f t="shared" si="269"/>
        <v>154.95663334204801</v>
      </c>
      <c r="AL331">
        <v>11</v>
      </c>
      <c r="AM331">
        <f t="shared" si="251"/>
        <v>229.9733333333333</v>
      </c>
      <c r="AN331">
        <f t="shared" si="252"/>
        <v>22.99733333333333</v>
      </c>
      <c r="AO331">
        <f t="shared" si="253"/>
        <v>2443.6363636363635</v>
      </c>
      <c r="AP331">
        <f t="shared" si="254"/>
        <v>244.36363636363637</v>
      </c>
      <c r="AQ331">
        <f t="shared" si="255"/>
        <v>57.493333333333325</v>
      </c>
      <c r="AR331">
        <f t="shared" si="270"/>
        <v>5.7493333333333325</v>
      </c>
      <c r="AS331">
        <f t="shared" si="256"/>
        <v>1.4</v>
      </c>
      <c r="AT331">
        <f t="shared" si="257"/>
        <v>1.9</v>
      </c>
      <c r="AU331">
        <f t="shared" si="258"/>
        <v>3</v>
      </c>
      <c r="AV331">
        <f t="shared" si="247"/>
        <v>6004</v>
      </c>
      <c r="AW331" s="1">
        <v>0</v>
      </c>
      <c r="AX331">
        <v>5</v>
      </c>
      <c r="AY331">
        <v>0.1</v>
      </c>
      <c r="BA331">
        <v>6</v>
      </c>
      <c r="BB331">
        <v>4</v>
      </c>
      <c r="CB331" s="13"/>
      <c r="CC331" s="13"/>
      <c r="CD331" s="13"/>
      <c r="CH331" t="str">
        <f t="shared" si="243"/>
        <v>DATA_Class_Base37</v>
      </c>
      <c r="CI331" s="3" t="s">
        <v>402</v>
      </c>
    </row>
    <row r="332" spans="1:87">
      <c r="A332">
        <f t="shared" si="259"/>
        <v>5114602</v>
      </c>
      <c r="B332" s="2" t="s">
        <v>600</v>
      </c>
      <c r="C332">
        <v>11</v>
      </c>
      <c r="D332">
        <v>6</v>
      </c>
      <c r="E332">
        <v>4</v>
      </c>
      <c r="F332" s="3" t="s">
        <v>602</v>
      </c>
      <c r="G332" s="3" t="s">
        <v>602</v>
      </c>
      <c r="H332">
        <v>0</v>
      </c>
      <c r="I332">
        <v>0</v>
      </c>
      <c r="J332" t="s">
        <v>345</v>
      </c>
      <c r="K332" s="2" t="s">
        <v>346</v>
      </c>
      <c r="L332" s="2">
        <f t="shared" si="260"/>
        <v>6</v>
      </c>
      <c r="M332" s="2">
        <f t="shared" si="261"/>
        <v>1.8</v>
      </c>
      <c r="N332" s="2">
        <f t="shared" si="262"/>
        <v>2</v>
      </c>
      <c r="O332" s="2">
        <v>10</v>
      </c>
      <c r="P332" s="2">
        <f t="shared" si="263"/>
        <v>295.68</v>
      </c>
      <c r="Q332" s="2">
        <f t="shared" si="264"/>
        <v>29.57</v>
      </c>
      <c r="R332" s="2">
        <f t="shared" si="265"/>
        <v>2956.8</v>
      </c>
      <c r="S332" s="2">
        <f t="shared" si="266"/>
        <v>295.68</v>
      </c>
      <c r="T332" s="2">
        <f t="shared" si="267"/>
        <v>59.14</v>
      </c>
      <c r="U332" s="2">
        <f t="shared" si="268"/>
        <v>5.91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546023</v>
      </c>
      <c r="AB332" s="14" t="s">
        <v>769</v>
      </c>
      <c r="AC332" s="15" t="s">
        <v>890</v>
      </c>
      <c r="AD332" s="2">
        <v>5124602</v>
      </c>
      <c r="AE332" s="2">
        <v>0</v>
      </c>
      <c r="AF332" s="2">
        <v>1</v>
      </c>
      <c r="AG332" s="2">
        <f t="shared" si="250"/>
        <v>5064602</v>
      </c>
      <c r="AH332" s="2">
        <v>2</v>
      </c>
      <c r="AI332" s="2"/>
      <c r="AJ332">
        <v>1</v>
      </c>
      <c r="AK332" s="1">
        <f t="shared" si="269"/>
        <v>154.82783901762932</v>
      </c>
      <c r="AL332">
        <v>11</v>
      </c>
      <c r="AM332">
        <f t="shared" si="251"/>
        <v>268.79999999999995</v>
      </c>
      <c r="AN332">
        <f t="shared" si="252"/>
        <v>26.879999999999995</v>
      </c>
      <c r="AO332">
        <f t="shared" si="253"/>
        <v>2688</v>
      </c>
      <c r="AP332">
        <f t="shared" si="254"/>
        <v>268.8</v>
      </c>
      <c r="AQ332">
        <f t="shared" si="255"/>
        <v>53.759999999999991</v>
      </c>
      <c r="AR332">
        <f t="shared" si="270"/>
        <v>5.3759999999999994</v>
      </c>
      <c r="AS332">
        <f t="shared" si="256"/>
        <v>1.8</v>
      </c>
      <c r="AT332">
        <f t="shared" si="257"/>
        <v>2</v>
      </c>
      <c r="AU332">
        <f t="shared" si="258"/>
        <v>6</v>
      </c>
      <c r="AV332">
        <f t="shared" si="247"/>
        <v>6024</v>
      </c>
      <c r="AW332" s="1">
        <v>2</v>
      </c>
      <c r="AX332">
        <v>5</v>
      </c>
      <c r="AY332">
        <v>0.1</v>
      </c>
      <c r="BA332">
        <v>6</v>
      </c>
      <c r="BB332">
        <v>4</v>
      </c>
      <c r="CB332" s="13"/>
      <c r="CC332" s="13"/>
      <c r="CD332" s="13"/>
      <c r="CH332" t="str">
        <f t="shared" si="243"/>
        <v>DATA_Class_Base38</v>
      </c>
      <c r="CI332" s="3" t="s">
        <v>198</v>
      </c>
    </row>
    <row r="333" spans="1:87">
      <c r="A333">
        <f t="shared" si="259"/>
        <v>5115300</v>
      </c>
      <c r="B333" s="2" t="s">
        <v>609</v>
      </c>
      <c r="C333">
        <v>11</v>
      </c>
      <c r="D333">
        <v>3</v>
      </c>
      <c r="E333">
        <v>5</v>
      </c>
      <c r="F333" s="3" t="s">
        <v>611</v>
      </c>
      <c r="G333" s="3" t="s">
        <v>611</v>
      </c>
      <c r="H333">
        <v>0</v>
      </c>
      <c r="I333">
        <v>0</v>
      </c>
      <c r="J333" s="2">
        <v>0</v>
      </c>
      <c r="K333" s="8" t="s">
        <v>612</v>
      </c>
      <c r="L333" s="2">
        <f t="shared" si="260"/>
        <v>3</v>
      </c>
      <c r="M333" s="2">
        <f t="shared" si="261"/>
        <v>1.3</v>
      </c>
      <c r="N333" s="2">
        <f t="shared" si="262"/>
        <v>2</v>
      </c>
      <c r="O333" s="2">
        <v>10</v>
      </c>
      <c r="P333" s="2">
        <f t="shared" si="263"/>
        <v>245.58</v>
      </c>
      <c r="Q333" s="2">
        <f t="shared" si="264"/>
        <v>24.56</v>
      </c>
      <c r="R333" s="2">
        <f t="shared" si="265"/>
        <v>2571.13</v>
      </c>
      <c r="S333" s="2">
        <f t="shared" si="266"/>
        <v>257.11</v>
      </c>
      <c r="T333" s="2">
        <f t="shared" si="267"/>
        <v>30.7</v>
      </c>
      <c r="U333" s="2">
        <f t="shared" si="268"/>
        <v>3.07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553003</v>
      </c>
      <c r="AB333" s="14" t="s">
        <v>771</v>
      </c>
      <c r="AC333" s="15" t="s">
        <v>890</v>
      </c>
      <c r="AD333" s="2">
        <v>5125300</v>
      </c>
      <c r="AE333" s="2">
        <v>0</v>
      </c>
      <c r="AF333" s="2">
        <v>1</v>
      </c>
      <c r="AG333" s="2">
        <f t="shared" si="250"/>
        <v>5065300</v>
      </c>
      <c r="AH333" s="2">
        <v>2</v>
      </c>
      <c r="AI333" s="2"/>
      <c r="AJ333">
        <v>1</v>
      </c>
      <c r="AK333" s="1">
        <f t="shared" si="269"/>
        <v>153.94177962461262</v>
      </c>
      <c r="AL333">
        <v>11</v>
      </c>
      <c r="AM333">
        <f t="shared" si="251"/>
        <v>223.25333333333327</v>
      </c>
      <c r="AN333">
        <f t="shared" si="252"/>
        <v>22.325333333333329</v>
      </c>
      <c r="AO333">
        <f t="shared" si="253"/>
        <v>2337.391304347826</v>
      </c>
      <c r="AP333">
        <f t="shared" si="254"/>
        <v>233.73913043478262</v>
      </c>
      <c r="AQ333">
        <f t="shared" si="255"/>
        <v>27.906666666666659</v>
      </c>
      <c r="AR333">
        <f t="shared" si="270"/>
        <v>2.7906666666666662</v>
      </c>
      <c r="AS333">
        <f t="shared" si="256"/>
        <v>1.3</v>
      </c>
      <c r="AT333">
        <f t="shared" si="257"/>
        <v>2</v>
      </c>
      <c r="AU333">
        <f t="shared" si="258"/>
        <v>3</v>
      </c>
      <c r="AV333">
        <f t="shared" si="247"/>
        <v>3005</v>
      </c>
      <c r="AW333" s="1">
        <v>0</v>
      </c>
      <c r="AX333">
        <v>5</v>
      </c>
      <c r="AY333">
        <v>0.1</v>
      </c>
      <c r="BA333">
        <v>3</v>
      </c>
      <c r="BB333">
        <v>5</v>
      </c>
      <c r="CB333" s="13"/>
      <c r="CC333" s="13"/>
      <c r="CD333" s="13"/>
      <c r="CH333" t="str">
        <f t="shared" si="243"/>
        <v>DATA_Class_Base39</v>
      </c>
      <c r="CI333" s="3" t="s">
        <v>407</v>
      </c>
    </row>
    <row r="334" spans="1:87">
      <c r="A334">
        <f t="shared" si="259"/>
        <v>5115302</v>
      </c>
      <c r="B334" s="2" t="s">
        <v>614</v>
      </c>
      <c r="C334">
        <v>11</v>
      </c>
      <c r="D334">
        <v>3</v>
      </c>
      <c r="E334">
        <v>5</v>
      </c>
      <c r="F334" s="3" t="s">
        <v>616</v>
      </c>
      <c r="G334" s="3" t="s">
        <v>616</v>
      </c>
      <c r="H334">
        <v>0</v>
      </c>
      <c r="I334">
        <v>0</v>
      </c>
      <c r="J334" s="2">
        <v>0</v>
      </c>
      <c r="K334" s="2" t="s">
        <v>358</v>
      </c>
      <c r="L334" s="2">
        <f t="shared" si="260"/>
        <v>3</v>
      </c>
      <c r="M334" s="2">
        <f t="shared" si="261"/>
        <v>1.4000000000000001</v>
      </c>
      <c r="N334" s="2">
        <f t="shared" si="262"/>
        <v>2</v>
      </c>
      <c r="O334" s="2">
        <v>10</v>
      </c>
      <c r="P334" s="2">
        <f t="shared" si="263"/>
        <v>275.97000000000003</v>
      </c>
      <c r="Q334" s="2">
        <f t="shared" si="264"/>
        <v>27.6</v>
      </c>
      <c r="R334" s="2">
        <f t="shared" si="265"/>
        <v>2464</v>
      </c>
      <c r="S334" s="2">
        <f t="shared" si="266"/>
        <v>246.4</v>
      </c>
      <c r="T334" s="2">
        <f t="shared" si="267"/>
        <v>39.42</v>
      </c>
      <c r="U334" s="2">
        <f t="shared" si="268"/>
        <v>3.94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553023</v>
      </c>
      <c r="AB334" s="14" t="s">
        <v>772</v>
      </c>
      <c r="AC334" s="15" t="s">
        <v>890</v>
      </c>
      <c r="AD334" s="2">
        <v>5125302</v>
      </c>
      <c r="AE334" s="2">
        <v>0</v>
      </c>
      <c r="AF334" s="2">
        <v>1</v>
      </c>
      <c r="AG334" s="2">
        <f t="shared" si="250"/>
        <v>5065302</v>
      </c>
      <c r="AH334" s="2">
        <v>2</v>
      </c>
      <c r="AI334" s="2"/>
      <c r="AJ334">
        <v>1</v>
      </c>
      <c r="AK334" s="1">
        <f t="shared" si="269"/>
        <v>154.21259466642584</v>
      </c>
      <c r="AL334">
        <v>11</v>
      </c>
      <c r="AM334">
        <f t="shared" si="251"/>
        <v>250.87999999999997</v>
      </c>
      <c r="AN334">
        <f t="shared" si="252"/>
        <v>25.087999999999997</v>
      </c>
      <c r="AO334">
        <f t="shared" si="253"/>
        <v>2240</v>
      </c>
      <c r="AP334">
        <f t="shared" si="254"/>
        <v>224</v>
      </c>
      <c r="AQ334">
        <f t="shared" si="255"/>
        <v>35.839999999999996</v>
      </c>
      <c r="AR334">
        <f t="shared" si="270"/>
        <v>3.5839999999999996</v>
      </c>
      <c r="AS334">
        <f t="shared" si="256"/>
        <v>1.4</v>
      </c>
      <c r="AT334">
        <f t="shared" si="257"/>
        <v>2</v>
      </c>
      <c r="AU334">
        <f t="shared" si="258"/>
        <v>3</v>
      </c>
      <c r="AV334">
        <f t="shared" si="247"/>
        <v>3025</v>
      </c>
      <c r="AW334" s="1">
        <v>2</v>
      </c>
      <c r="AX334">
        <v>5</v>
      </c>
      <c r="AY334">
        <v>0.1</v>
      </c>
      <c r="BA334">
        <v>3</v>
      </c>
      <c r="BB334">
        <v>5</v>
      </c>
      <c r="CB334" s="13"/>
      <c r="CC334" s="13"/>
      <c r="CD334" s="13"/>
      <c r="CH334" t="str">
        <f t="shared" si="243"/>
        <v>DATA_Class_Base30</v>
      </c>
      <c r="CI334" s="3" t="s">
        <v>381</v>
      </c>
    </row>
    <row r="335" spans="1:87">
      <c r="A335">
        <f t="shared" si="259"/>
        <v>5115400</v>
      </c>
      <c r="B335" s="2" t="s">
        <v>618</v>
      </c>
      <c r="C335">
        <v>11</v>
      </c>
      <c r="D335">
        <v>4</v>
      </c>
      <c r="E335">
        <v>5</v>
      </c>
      <c r="F335" s="3" t="s">
        <v>620</v>
      </c>
      <c r="G335" s="3" t="s">
        <v>620</v>
      </c>
      <c r="H335">
        <v>0</v>
      </c>
      <c r="I335">
        <v>0</v>
      </c>
      <c r="J335">
        <v>0</v>
      </c>
      <c r="K335" s="2" t="s">
        <v>364</v>
      </c>
      <c r="L335" s="2">
        <f t="shared" si="260"/>
        <v>6</v>
      </c>
      <c r="M335" s="2">
        <f t="shared" si="261"/>
        <v>1.4000000000000001</v>
      </c>
      <c r="N335" s="2">
        <f t="shared" si="262"/>
        <v>2</v>
      </c>
      <c r="O335" s="2">
        <v>10</v>
      </c>
      <c r="P335" s="2">
        <f t="shared" si="263"/>
        <v>287.47000000000003</v>
      </c>
      <c r="Q335" s="2">
        <f t="shared" si="264"/>
        <v>28.75</v>
      </c>
      <c r="R335" s="2">
        <f t="shared" si="265"/>
        <v>2365.44</v>
      </c>
      <c r="S335" s="2">
        <f t="shared" si="266"/>
        <v>236.54</v>
      </c>
      <c r="T335" s="2">
        <f t="shared" si="267"/>
        <v>47.91</v>
      </c>
      <c r="U335" s="2">
        <f t="shared" si="268"/>
        <v>4.79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554003</v>
      </c>
      <c r="AB335" s="14" t="s">
        <v>773</v>
      </c>
      <c r="AC335" s="15" t="s">
        <v>890</v>
      </c>
      <c r="AD335" s="2">
        <v>5125400</v>
      </c>
      <c r="AE335" s="2">
        <v>0</v>
      </c>
      <c r="AF335" s="2">
        <v>1</v>
      </c>
      <c r="AG335" s="2">
        <f t="shared" si="250"/>
        <v>5065400</v>
      </c>
      <c r="AH335" s="2">
        <v>2</v>
      </c>
      <c r="AI335" s="2"/>
      <c r="AJ335">
        <v>1</v>
      </c>
      <c r="AK335" s="1">
        <f t="shared" si="269"/>
        <v>154.47689109870583</v>
      </c>
      <c r="AL335">
        <v>11</v>
      </c>
      <c r="AM335">
        <f t="shared" si="251"/>
        <v>261.33333333333337</v>
      </c>
      <c r="AN335">
        <f t="shared" si="252"/>
        <v>26.13333333333334</v>
      </c>
      <c r="AO335">
        <f t="shared" si="253"/>
        <v>2150.3999999999996</v>
      </c>
      <c r="AP335">
        <f t="shared" si="254"/>
        <v>215.03999999999996</v>
      </c>
      <c r="AQ335">
        <f t="shared" si="255"/>
        <v>43.555555555555564</v>
      </c>
      <c r="AR335">
        <f t="shared" si="270"/>
        <v>4.355555555555557</v>
      </c>
      <c r="AS335">
        <f t="shared" si="256"/>
        <v>1.4</v>
      </c>
      <c r="AT335">
        <f t="shared" si="257"/>
        <v>2</v>
      </c>
      <c r="AU335">
        <f t="shared" si="258"/>
        <v>6</v>
      </c>
      <c r="AV335">
        <f t="shared" si="247"/>
        <v>4005</v>
      </c>
      <c r="AW335" s="1">
        <v>0</v>
      </c>
      <c r="AX335">
        <v>5</v>
      </c>
      <c r="AY335">
        <v>0.1</v>
      </c>
      <c r="BA335">
        <v>4</v>
      </c>
      <c r="BB335">
        <v>5</v>
      </c>
      <c r="CB335" s="13"/>
      <c r="CC335" s="13"/>
      <c r="CD335" s="13"/>
      <c r="CH335" t="str">
        <f t="shared" si="243"/>
        <v>DATA_Class_Base40</v>
      </c>
      <c r="CI335" s="3" t="s">
        <v>411</v>
      </c>
    </row>
    <row r="336" spans="1:87">
      <c r="A336">
        <f t="shared" si="259"/>
        <v>5115501</v>
      </c>
      <c r="B336" s="2" t="s">
        <v>622</v>
      </c>
      <c r="C336">
        <v>11</v>
      </c>
      <c r="D336">
        <v>5</v>
      </c>
      <c r="E336">
        <v>5</v>
      </c>
      <c r="F336" s="3" t="s">
        <v>624</v>
      </c>
      <c r="G336" s="3" t="s">
        <v>624</v>
      </c>
      <c r="H336">
        <v>0</v>
      </c>
      <c r="I336">
        <v>0</v>
      </c>
      <c r="J336" s="3">
        <v>0</v>
      </c>
      <c r="K336" s="8" t="s">
        <v>625</v>
      </c>
      <c r="L336" s="2">
        <f t="shared" si="260"/>
        <v>6</v>
      </c>
      <c r="M336" s="2">
        <f t="shared" si="261"/>
        <v>1.6</v>
      </c>
      <c r="N336" s="2">
        <f t="shared" si="262"/>
        <v>2</v>
      </c>
      <c r="O336" s="2">
        <v>10</v>
      </c>
      <c r="P336" s="2">
        <f t="shared" si="263"/>
        <v>381.1</v>
      </c>
      <c r="Q336" s="2">
        <f t="shared" si="264"/>
        <v>38.11</v>
      </c>
      <c r="R336" s="2">
        <f t="shared" si="265"/>
        <v>2039.17</v>
      </c>
      <c r="S336" s="2">
        <f t="shared" si="266"/>
        <v>203.92</v>
      </c>
      <c r="T336" s="2">
        <f t="shared" si="267"/>
        <v>42.34</v>
      </c>
      <c r="U336" s="2">
        <f t="shared" si="268"/>
        <v>4.2300000000000004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555013</v>
      </c>
      <c r="AB336" s="15" t="s">
        <v>774</v>
      </c>
      <c r="AC336" s="15" t="s">
        <v>890</v>
      </c>
      <c r="AD336" s="2">
        <v>5125501</v>
      </c>
      <c r="AE336" s="2">
        <v>0</v>
      </c>
      <c r="AF336" s="2">
        <v>1</v>
      </c>
      <c r="AG336" s="2">
        <f t="shared" si="250"/>
        <v>5065501</v>
      </c>
      <c r="AH336" s="2">
        <v>2</v>
      </c>
      <c r="AI336" s="2"/>
      <c r="AJ336">
        <v>1</v>
      </c>
      <c r="AK336" s="1">
        <f t="shared" si="269"/>
        <v>154.30343325949516</v>
      </c>
      <c r="AL336">
        <v>11</v>
      </c>
      <c r="AM336">
        <f t="shared" si="251"/>
        <v>346.45333333333332</v>
      </c>
      <c r="AN336">
        <f t="shared" si="252"/>
        <v>34.645333333333333</v>
      </c>
      <c r="AO336">
        <f t="shared" si="253"/>
        <v>1853.7931034482758</v>
      </c>
      <c r="AP336">
        <f t="shared" si="254"/>
        <v>185.37931034482759</v>
      </c>
      <c r="AQ336">
        <f t="shared" si="255"/>
        <v>38.494814814814816</v>
      </c>
      <c r="AR336">
        <f t="shared" si="270"/>
        <v>3.8494814814814817</v>
      </c>
      <c r="AS336">
        <f t="shared" si="256"/>
        <v>1.6</v>
      </c>
      <c r="AT336">
        <f t="shared" si="257"/>
        <v>2</v>
      </c>
      <c r="AU336">
        <f t="shared" si="258"/>
        <v>6</v>
      </c>
      <c r="AV336">
        <f t="shared" si="247"/>
        <v>5015</v>
      </c>
      <c r="AW336" s="1">
        <v>1</v>
      </c>
      <c r="AX336">
        <v>5</v>
      </c>
      <c r="AY336">
        <v>0.1</v>
      </c>
      <c r="BA336">
        <v>5</v>
      </c>
      <c r="BB336">
        <v>5</v>
      </c>
      <c r="CB336" s="13"/>
      <c r="CC336" s="13"/>
      <c r="CD336" s="13"/>
      <c r="CH336" t="str">
        <f t="shared" si="243"/>
        <v>DATA_Class_Base41</v>
      </c>
      <c r="CI336" s="3" t="s">
        <v>413</v>
      </c>
    </row>
    <row r="337" spans="1:87">
      <c r="A337">
        <f t="shared" si="244"/>
        <v>5121200</v>
      </c>
      <c r="B337" s="2" t="s">
        <v>464</v>
      </c>
      <c r="C337">
        <v>12</v>
      </c>
      <c r="D337">
        <v>2</v>
      </c>
      <c r="E337">
        <v>1</v>
      </c>
      <c r="F337" s="3" t="s">
        <v>466</v>
      </c>
      <c r="G337" s="3" t="s">
        <v>466</v>
      </c>
      <c r="H337">
        <v>0</v>
      </c>
      <c r="I337">
        <v>0</v>
      </c>
      <c r="J337" s="2">
        <v>0</v>
      </c>
      <c r="K337" s="8" t="s">
        <v>467</v>
      </c>
      <c r="L337" s="2">
        <f t="shared" si="245"/>
        <v>3</v>
      </c>
      <c r="M337" s="2">
        <f t="shared" ref="M337:M390" si="271">FLOOR(AS337/1,0.01)</f>
        <v>1.5</v>
      </c>
      <c r="N337" s="2">
        <f t="shared" ref="N337:N390" si="272">FLOOR(AT337/1,0.01)</f>
        <v>1.2</v>
      </c>
      <c r="O337" s="2">
        <v>10</v>
      </c>
      <c r="P337" s="2">
        <f t="shared" ref="P337:P390" si="273">ROUND(AM337*(1+$AY337),2)</f>
        <v>211.2</v>
      </c>
      <c r="Q337" s="2">
        <f t="shared" ref="Q337:Q390" si="274">ROUND(AN337*(1+$AY337),2)</f>
        <v>21.12</v>
      </c>
      <c r="R337" s="2">
        <f t="shared" ref="R337:R390" si="275">ROUND(AO337*(1+$AY337),2)</f>
        <v>3960</v>
      </c>
      <c r="S337" s="2">
        <f t="shared" ref="S337:S390" si="276">ROUND(AP337*(1+$AY337),2)</f>
        <v>396</v>
      </c>
      <c r="T337" s="2">
        <f t="shared" ref="T337:T390" si="277">ROUND(AQ337*(1+$AY337),2)</f>
        <v>70.400000000000006</v>
      </c>
      <c r="U337" s="2">
        <f t="shared" ref="U337:U390" si="278">ROUND(AR337*(1+$AY337),2)</f>
        <v>7.04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512003</v>
      </c>
      <c r="AB337" s="14" t="s">
        <v>775</v>
      </c>
      <c r="AC337" s="15" t="s">
        <v>890</v>
      </c>
      <c r="AD337" s="2">
        <v>5131200</v>
      </c>
      <c r="AE337" s="2">
        <v>0</v>
      </c>
      <c r="AF337" s="2">
        <v>1</v>
      </c>
      <c r="AG337" s="2">
        <f t="shared" ref="AG337:AG367" si="279">A151</f>
        <v>5061200</v>
      </c>
      <c r="AH337" s="2">
        <v>2</v>
      </c>
      <c r="AJ337">
        <v>1</v>
      </c>
      <c r="AK337" s="1">
        <f t="shared" ref="AK337:AK390" si="280">(AO337+AP337*AJ337)*(AM337+AN337*AJ337)/AS337*(0.9)*(1+0.5*0.1)*1/1/(1-(AQ337+AR337*AJ337)*0.0002)/3000</f>
        <v>178.14216163583259</v>
      </c>
      <c r="AL337">
        <v>12</v>
      </c>
      <c r="AM337">
        <f t="shared" si="251"/>
        <v>192.00000000000006</v>
      </c>
      <c r="AN337">
        <f t="shared" si="252"/>
        <v>19.200000000000006</v>
      </c>
      <c r="AO337">
        <f t="shared" si="253"/>
        <v>3600</v>
      </c>
      <c r="AP337">
        <f t="shared" si="254"/>
        <v>360</v>
      </c>
      <c r="AQ337">
        <f t="shared" si="255"/>
        <v>64.000000000000014</v>
      </c>
      <c r="AR337">
        <f t="shared" si="246"/>
        <v>6.4000000000000021</v>
      </c>
      <c r="AS337">
        <f t="shared" si="256"/>
        <v>1.5</v>
      </c>
      <c r="AT337">
        <f t="shared" si="257"/>
        <v>1.2</v>
      </c>
      <c r="AU337">
        <f t="shared" si="258"/>
        <v>3</v>
      </c>
      <c r="AV337">
        <f t="shared" si="247"/>
        <v>2001</v>
      </c>
      <c r="AW337" s="1">
        <v>0</v>
      </c>
      <c r="AX337">
        <v>5</v>
      </c>
      <c r="AY337">
        <v>0.1</v>
      </c>
      <c r="BA337">
        <v>2</v>
      </c>
      <c r="BB337">
        <v>1</v>
      </c>
      <c r="CB337" s="13"/>
      <c r="CC337" s="13"/>
      <c r="CD337" s="13"/>
      <c r="CH337" t="str">
        <f t="shared" si="243"/>
        <v>DATA_Class_Base42</v>
      </c>
      <c r="CI337" s="3" t="s">
        <v>174</v>
      </c>
    </row>
    <row r="338" spans="1:87">
      <c r="A338">
        <f t="shared" si="244"/>
        <v>5121201</v>
      </c>
      <c r="B338" s="2" t="s">
        <v>470</v>
      </c>
      <c r="C338">
        <v>12</v>
      </c>
      <c r="D338">
        <v>2</v>
      </c>
      <c r="E338">
        <v>1</v>
      </c>
      <c r="F338" s="3" t="s">
        <v>472</v>
      </c>
      <c r="G338" s="3" t="s">
        <v>472</v>
      </c>
      <c r="H338">
        <v>0</v>
      </c>
      <c r="I338">
        <v>0</v>
      </c>
      <c r="J338" s="2">
        <v>0</v>
      </c>
      <c r="K338" s="8" t="s">
        <v>298</v>
      </c>
      <c r="L338" s="2">
        <f t="shared" si="245"/>
        <v>3</v>
      </c>
      <c r="M338" s="2">
        <f t="shared" si="271"/>
        <v>1.8</v>
      </c>
      <c r="N338" s="2">
        <f t="shared" si="272"/>
        <v>1.8</v>
      </c>
      <c r="O338" s="2">
        <v>10</v>
      </c>
      <c r="P338" s="2">
        <f t="shared" si="273"/>
        <v>158.4</v>
      </c>
      <c r="Q338" s="2">
        <f t="shared" si="274"/>
        <v>15.84</v>
      </c>
      <c r="R338" s="2">
        <f t="shared" si="275"/>
        <v>6336</v>
      </c>
      <c r="S338" s="2">
        <f t="shared" si="276"/>
        <v>633.6</v>
      </c>
      <c r="T338" s="2">
        <f t="shared" si="277"/>
        <v>79.2</v>
      </c>
      <c r="U338" s="2">
        <f t="shared" si="278"/>
        <v>7.92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512013</v>
      </c>
      <c r="AB338" s="14" t="s">
        <v>776</v>
      </c>
      <c r="AC338" s="15" t="s">
        <v>890</v>
      </c>
      <c r="AD338" s="2">
        <v>5131201</v>
      </c>
      <c r="AE338" s="2">
        <v>0</v>
      </c>
      <c r="AF338" s="2">
        <v>1</v>
      </c>
      <c r="AG338" s="2">
        <f t="shared" si="279"/>
        <v>5061201</v>
      </c>
      <c r="AH338" s="2">
        <v>2</v>
      </c>
      <c r="AJ338">
        <v>1</v>
      </c>
      <c r="AK338" s="1">
        <f t="shared" si="280"/>
        <v>178.46073809136726</v>
      </c>
      <c r="AL338">
        <v>12</v>
      </c>
      <c r="AM338">
        <f t="shared" si="251"/>
        <v>144</v>
      </c>
      <c r="AN338">
        <f t="shared" si="252"/>
        <v>14.4</v>
      </c>
      <c r="AO338">
        <f t="shared" si="253"/>
        <v>5760</v>
      </c>
      <c r="AP338">
        <f t="shared" si="254"/>
        <v>576</v>
      </c>
      <c r="AQ338">
        <f t="shared" si="255"/>
        <v>72</v>
      </c>
      <c r="AR338">
        <f t="shared" si="246"/>
        <v>7.2</v>
      </c>
      <c r="AS338">
        <f t="shared" si="256"/>
        <v>1.8</v>
      </c>
      <c r="AT338">
        <f t="shared" si="257"/>
        <v>1.8</v>
      </c>
      <c r="AU338">
        <f t="shared" si="258"/>
        <v>3</v>
      </c>
      <c r="AV338">
        <f t="shared" si="247"/>
        <v>2011</v>
      </c>
      <c r="AW338" s="1">
        <v>1</v>
      </c>
      <c r="AX338">
        <v>5</v>
      </c>
      <c r="AY338">
        <v>0.1</v>
      </c>
      <c r="BA338">
        <v>2</v>
      </c>
      <c r="BB338">
        <v>1</v>
      </c>
      <c r="CB338" s="13"/>
      <c r="CC338" s="13"/>
      <c r="CD338" s="13"/>
      <c r="CH338" t="str">
        <f t="shared" si="243"/>
        <v>DATA_Class_Base37</v>
      </c>
      <c r="CI338" s="3" t="s">
        <v>402</v>
      </c>
    </row>
    <row r="339" spans="1:87">
      <c r="A339">
        <f t="shared" si="244"/>
        <v>5121202</v>
      </c>
      <c r="B339" s="2" t="s">
        <v>474</v>
      </c>
      <c r="C339">
        <v>12</v>
      </c>
      <c r="D339">
        <v>2</v>
      </c>
      <c r="E339">
        <v>1</v>
      </c>
      <c r="F339" s="3" t="s">
        <v>476</v>
      </c>
      <c r="G339" s="3" t="s">
        <v>476</v>
      </c>
      <c r="H339">
        <v>0</v>
      </c>
      <c r="I339">
        <v>0</v>
      </c>
      <c r="J339">
        <v>0</v>
      </c>
      <c r="K339" s="8" t="s">
        <v>477</v>
      </c>
      <c r="L339" s="2">
        <f t="shared" si="245"/>
        <v>3</v>
      </c>
      <c r="M339" s="2">
        <f t="shared" si="271"/>
        <v>1.8</v>
      </c>
      <c r="N339" s="2">
        <f t="shared" si="272"/>
        <v>2</v>
      </c>
      <c r="O339" s="2">
        <v>10</v>
      </c>
      <c r="P339" s="2">
        <f t="shared" si="273"/>
        <v>253.44</v>
      </c>
      <c r="Q339" s="2">
        <f t="shared" si="274"/>
        <v>25.34</v>
      </c>
      <c r="R339" s="2">
        <f t="shared" si="275"/>
        <v>3960</v>
      </c>
      <c r="S339" s="2">
        <f t="shared" si="276"/>
        <v>396</v>
      </c>
      <c r="T339" s="2">
        <f t="shared" si="277"/>
        <v>63.36</v>
      </c>
      <c r="U339" s="2">
        <f t="shared" si="278"/>
        <v>6.34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512023</v>
      </c>
      <c r="AB339" s="14" t="s">
        <v>777</v>
      </c>
      <c r="AC339" s="15" t="s">
        <v>890</v>
      </c>
      <c r="AD339" s="2">
        <v>5131202</v>
      </c>
      <c r="AE339" s="2">
        <v>0</v>
      </c>
      <c r="AF339" s="2">
        <v>1</v>
      </c>
      <c r="AG339" s="2">
        <f t="shared" si="279"/>
        <v>5061202</v>
      </c>
      <c r="AH339" s="2">
        <v>2</v>
      </c>
      <c r="AJ339">
        <v>1</v>
      </c>
      <c r="AK339" s="1">
        <f t="shared" si="280"/>
        <v>177.88811823426465</v>
      </c>
      <c r="AL339">
        <v>12</v>
      </c>
      <c r="AM339">
        <f t="shared" si="251"/>
        <v>230.40000000000003</v>
      </c>
      <c r="AN339">
        <f t="shared" si="252"/>
        <v>23.040000000000006</v>
      </c>
      <c r="AO339">
        <f t="shared" si="253"/>
        <v>3600</v>
      </c>
      <c r="AP339">
        <f t="shared" si="254"/>
        <v>360</v>
      </c>
      <c r="AQ339">
        <f t="shared" si="255"/>
        <v>57.600000000000009</v>
      </c>
      <c r="AR339">
        <f t="shared" si="246"/>
        <v>5.7600000000000016</v>
      </c>
      <c r="AS339">
        <f t="shared" si="256"/>
        <v>1.8</v>
      </c>
      <c r="AT339">
        <f t="shared" si="257"/>
        <v>2</v>
      </c>
      <c r="AU339">
        <f t="shared" si="258"/>
        <v>3</v>
      </c>
      <c r="AV339">
        <f t="shared" si="247"/>
        <v>2021</v>
      </c>
      <c r="AW339" s="1">
        <v>2</v>
      </c>
      <c r="AX339">
        <v>5</v>
      </c>
      <c r="AY339">
        <v>0.1</v>
      </c>
      <c r="BA339">
        <v>2</v>
      </c>
      <c r="BB339">
        <v>1</v>
      </c>
      <c r="CH339" t="str">
        <f t="shared" si="243"/>
        <v>DATA_Class_Base28</v>
      </c>
      <c r="CI339" s="3" t="s">
        <v>374</v>
      </c>
    </row>
    <row r="340" spans="1:87">
      <c r="A340">
        <f t="shared" si="244"/>
        <v>5121301</v>
      </c>
      <c r="B340" s="2" t="s">
        <v>479</v>
      </c>
      <c r="C340">
        <v>12</v>
      </c>
      <c r="D340">
        <v>3</v>
      </c>
      <c r="E340">
        <v>1</v>
      </c>
      <c r="F340" s="3" t="s">
        <v>481</v>
      </c>
      <c r="G340" s="3" t="s">
        <v>481</v>
      </c>
      <c r="H340">
        <v>0</v>
      </c>
      <c r="I340">
        <v>0</v>
      </c>
      <c r="J340" s="2">
        <v>0</v>
      </c>
      <c r="K340" s="8" t="s">
        <v>482</v>
      </c>
      <c r="L340" s="2">
        <f t="shared" si="245"/>
        <v>3</v>
      </c>
      <c r="M340" s="2">
        <f t="shared" si="271"/>
        <v>1.2</v>
      </c>
      <c r="N340" s="2">
        <f t="shared" si="272"/>
        <v>2</v>
      </c>
      <c r="O340" s="2">
        <v>10</v>
      </c>
      <c r="P340" s="2">
        <f t="shared" si="273"/>
        <v>232.32</v>
      </c>
      <c r="Q340" s="2">
        <f t="shared" si="274"/>
        <v>23.23</v>
      </c>
      <c r="R340" s="2">
        <f t="shared" si="275"/>
        <v>2880</v>
      </c>
      <c r="S340" s="2">
        <f t="shared" si="276"/>
        <v>288</v>
      </c>
      <c r="T340" s="2">
        <f t="shared" si="277"/>
        <v>38.72</v>
      </c>
      <c r="U340" s="2">
        <f t="shared" si="278"/>
        <v>3.87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513013</v>
      </c>
      <c r="AB340" s="14" t="s">
        <v>778</v>
      </c>
      <c r="AC340" s="15" t="s">
        <v>890</v>
      </c>
      <c r="AD340" s="2">
        <v>5131301</v>
      </c>
      <c r="AE340" s="2">
        <v>0</v>
      </c>
      <c r="AF340" s="2">
        <v>1</v>
      </c>
      <c r="AG340" s="2">
        <f t="shared" si="279"/>
        <v>5061301</v>
      </c>
      <c r="AH340" s="2">
        <v>2</v>
      </c>
      <c r="AJ340">
        <v>1</v>
      </c>
      <c r="AK340" s="1">
        <f t="shared" si="280"/>
        <v>177.00464396284835</v>
      </c>
      <c r="AL340">
        <v>12</v>
      </c>
      <c r="AM340">
        <f t="shared" si="251"/>
        <v>211.20000000000002</v>
      </c>
      <c r="AN340">
        <f t="shared" si="252"/>
        <v>21.120000000000005</v>
      </c>
      <c r="AO340">
        <f t="shared" si="253"/>
        <v>2618.181818181818</v>
      </c>
      <c r="AP340">
        <f t="shared" si="254"/>
        <v>261.81818181818181</v>
      </c>
      <c r="AQ340">
        <f t="shared" si="255"/>
        <v>35.200000000000003</v>
      </c>
      <c r="AR340">
        <f t="shared" si="246"/>
        <v>3.5200000000000005</v>
      </c>
      <c r="AS340">
        <f t="shared" si="256"/>
        <v>1.2</v>
      </c>
      <c r="AT340">
        <f t="shared" si="257"/>
        <v>2</v>
      </c>
      <c r="AU340">
        <f t="shared" si="258"/>
        <v>3</v>
      </c>
      <c r="AV340">
        <f t="shared" si="247"/>
        <v>3011</v>
      </c>
      <c r="AW340" s="1">
        <v>1</v>
      </c>
      <c r="AX340">
        <v>5</v>
      </c>
      <c r="AY340">
        <v>0.1</v>
      </c>
      <c r="BA340">
        <v>3</v>
      </c>
      <c r="BB340">
        <v>1</v>
      </c>
      <c r="CH340" t="str">
        <f t="shared" si="243"/>
        <v>DATA_Class_Base29</v>
      </c>
      <c r="CI340" s="3" t="s">
        <v>378</v>
      </c>
    </row>
    <row r="341" spans="1:87">
      <c r="A341">
        <f t="shared" si="244"/>
        <v>5121401</v>
      </c>
      <c r="B341" s="2" t="s">
        <v>484</v>
      </c>
      <c r="C341">
        <v>12</v>
      </c>
      <c r="D341">
        <v>4</v>
      </c>
      <c r="E341">
        <v>1</v>
      </c>
      <c r="F341" s="3" t="s">
        <v>486</v>
      </c>
      <c r="G341" s="3" t="s">
        <v>486</v>
      </c>
      <c r="H341">
        <v>0</v>
      </c>
      <c r="I341">
        <v>0</v>
      </c>
      <c r="J341" s="2">
        <v>0</v>
      </c>
      <c r="K341" s="2" t="s">
        <v>161</v>
      </c>
      <c r="L341" s="2">
        <f t="shared" si="245"/>
        <v>6</v>
      </c>
      <c r="M341" s="2">
        <f t="shared" si="271"/>
        <v>1.6</v>
      </c>
      <c r="N341" s="2">
        <f t="shared" si="272"/>
        <v>2</v>
      </c>
      <c r="O341" s="2">
        <v>10</v>
      </c>
      <c r="P341" s="2">
        <f t="shared" si="273"/>
        <v>309.76</v>
      </c>
      <c r="Q341" s="2">
        <f t="shared" si="274"/>
        <v>30.98</v>
      </c>
      <c r="R341" s="2">
        <f t="shared" si="275"/>
        <v>2880</v>
      </c>
      <c r="S341" s="2">
        <f t="shared" si="276"/>
        <v>288</v>
      </c>
      <c r="T341" s="2">
        <f t="shared" si="277"/>
        <v>61.95</v>
      </c>
      <c r="U341" s="2">
        <f t="shared" si="278"/>
        <v>6.2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514013</v>
      </c>
      <c r="AB341" s="14" t="s">
        <v>779</v>
      </c>
      <c r="AC341" s="15" t="s">
        <v>890</v>
      </c>
      <c r="AD341" s="2">
        <v>5131401</v>
      </c>
      <c r="AE341" s="2">
        <v>0</v>
      </c>
      <c r="AF341" s="2">
        <v>1</v>
      </c>
      <c r="AG341" s="2">
        <f t="shared" si="279"/>
        <v>5061401</v>
      </c>
      <c r="AH341" s="2">
        <v>2</v>
      </c>
      <c r="AJ341">
        <v>1</v>
      </c>
      <c r="AK341" s="1">
        <f t="shared" si="280"/>
        <v>177.83739647731255</v>
      </c>
      <c r="AL341">
        <v>12</v>
      </c>
      <c r="AM341">
        <f t="shared" si="251"/>
        <v>281.60000000000008</v>
      </c>
      <c r="AN341">
        <f t="shared" si="252"/>
        <v>28.160000000000011</v>
      </c>
      <c r="AO341">
        <f t="shared" si="253"/>
        <v>2618.181818181818</v>
      </c>
      <c r="AP341">
        <f t="shared" si="254"/>
        <v>261.81818181818181</v>
      </c>
      <c r="AQ341">
        <f t="shared" si="255"/>
        <v>56.320000000000014</v>
      </c>
      <c r="AR341">
        <f t="shared" si="246"/>
        <v>5.6320000000000014</v>
      </c>
      <c r="AS341">
        <f t="shared" si="256"/>
        <v>1.6</v>
      </c>
      <c r="AT341">
        <f t="shared" si="257"/>
        <v>2</v>
      </c>
      <c r="AU341">
        <f t="shared" si="258"/>
        <v>6</v>
      </c>
      <c r="AV341">
        <f t="shared" si="247"/>
        <v>4011</v>
      </c>
      <c r="AW341" s="1">
        <v>1</v>
      </c>
      <c r="AX341">
        <v>5</v>
      </c>
      <c r="AY341">
        <v>0.1</v>
      </c>
      <c r="BA341">
        <v>4</v>
      </c>
      <c r="BB341">
        <v>1</v>
      </c>
      <c r="CH341" t="str">
        <f t="shared" si="243"/>
        <v>DATA_Class_Base30</v>
      </c>
      <c r="CI341" s="3" t="s">
        <v>381</v>
      </c>
    </row>
    <row r="342" spans="1:87">
      <c r="A342">
        <f t="shared" si="244"/>
        <v>5121402</v>
      </c>
      <c r="B342" s="2" t="s">
        <v>488</v>
      </c>
      <c r="C342">
        <v>12</v>
      </c>
      <c r="D342">
        <v>4</v>
      </c>
      <c r="E342">
        <v>1</v>
      </c>
      <c r="F342" s="3" t="s">
        <v>490</v>
      </c>
      <c r="G342" s="3" t="s">
        <v>490</v>
      </c>
      <c r="H342">
        <v>0</v>
      </c>
      <c r="I342">
        <v>0</v>
      </c>
      <c r="J342">
        <v>0</v>
      </c>
      <c r="K342" s="8" t="s">
        <v>161</v>
      </c>
      <c r="L342" s="2">
        <f t="shared" si="245"/>
        <v>6</v>
      </c>
      <c r="M342" s="2">
        <f t="shared" si="271"/>
        <v>1.5</v>
      </c>
      <c r="N342" s="2">
        <f t="shared" si="272"/>
        <v>1.5</v>
      </c>
      <c r="O342" s="2">
        <v>10</v>
      </c>
      <c r="P342" s="2">
        <f t="shared" si="273"/>
        <v>316.8</v>
      </c>
      <c r="Q342" s="2">
        <f t="shared" si="274"/>
        <v>31.68</v>
      </c>
      <c r="R342" s="2">
        <f t="shared" si="275"/>
        <v>2640</v>
      </c>
      <c r="S342" s="2">
        <f t="shared" si="276"/>
        <v>264</v>
      </c>
      <c r="T342" s="2">
        <f t="shared" si="277"/>
        <v>52.8</v>
      </c>
      <c r="U342" s="2">
        <f t="shared" si="278"/>
        <v>5.28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514023</v>
      </c>
      <c r="AB342" s="14" t="s">
        <v>780</v>
      </c>
      <c r="AC342" s="15" t="s">
        <v>890</v>
      </c>
      <c r="AD342" s="2">
        <v>5131402</v>
      </c>
      <c r="AE342" s="2">
        <v>0</v>
      </c>
      <c r="AF342" s="2">
        <v>1</v>
      </c>
      <c r="AG342" s="2">
        <f t="shared" si="279"/>
        <v>5061402</v>
      </c>
      <c r="AH342" s="2">
        <v>2</v>
      </c>
      <c r="AJ342">
        <v>1</v>
      </c>
      <c r="AK342" s="1">
        <f t="shared" si="280"/>
        <v>177.50840879689522</v>
      </c>
      <c r="AL342">
        <v>12</v>
      </c>
      <c r="AM342">
        <f t="shared" si="251"/>
        <v>288</v>
      </c>
      <c r="AN342">
        <f t="shared" si="252"/>
        <v>28.8</v>
      </c>
      <c r="AO342">
        <f t="shared" si="253"/>
        <v>2400</v>
      </c>
      <c r="AP342">
        <f t="shared" si="254"/>
        <v>240</v>
      </c>
      <c r="AQ342">
        <f t="shared" si="255"/>
        <v>48</v>
      </c>
      <c r="AR342">
        <f t="shared" si="246"/>
        <v>4.8000000000000007</v>
      </c>
      <c r="AS342">
        <f t="shared" si="256"/>
        <v>1.5</v>
      </c>
      <c r="AT342">
        <f t="shared" si="257"/>
        <v>1.5</v>
      </c>
      <c r="AU342">
        <f t="shared" si="258"/>
        <v>6</v>
      </c>
      <c r="AV342">
        <f t="shared" si="247"/>
        <v>4021</v>
      </c>
      <c r="AW342" s="1">
        <v>2</v>
      </c>
      <c r="AX342">
        <v>5</v>
      </c>
      <c r="AY342">
        <v>0.1</v>
      </c>
      <c r="BA342">
        <v>4</v>
      </c>
      <c r="BB342">
        <v>1</v>
      </c>
      <c r="CH342" t="str">
        <f t="shared" si="243"/>
        <v>DATA_Class_Base31</v>
      </c>
      <c r="CI342" s="3" t="s">
        <v>384</v>
      </c>
    </row>
    <row r="343" spans="1:87">
      <c r="A343">
        <f t="shared" si="244"/>
        <v>5121500</v>
      </c>
      <c r="B343" s="2" t="s">
        <v>492</v>
      </c>
      <c r="C343">
        <v>12</v>
      </c>
      <c r="D343">
        <v>5</v>
      </c>
      <c r="E343">
        <v>1</v>
      </c>
      <c r="F343" s="3" t="s">
        <v>494</v>
      </c>
      <c r="G343" s="3" t="s">
        <v>494</v>
      </c>
      <c r="H343">
        <v>0</v>
      </c>
      <c r="I343">
        <v>0</v>
      </c>
      <c r="J343">
        <v>0</v>
      </c>
      <c r="K343" s="2" t="s">
        <v>303</v>
      </c>
      <c r="L343" s="2">
        <f t="shared" si="245"/>
        <v>6</v>
      </c>
      <c r="M343" s="2">
        <f t="shared" si="271"/>
        <v>1.5</v>
      </c>
      <c r="N343" s="2">
        <f t="shared" si="272"/>
        <v>1.5</v>
      </c>
      <c r="O343" s="2">
        <v>10</v>
      </c>
      <c r="P343" s="2">
        <f t="shared" si="273"/>
        <v>369.6</v>
      </c>
      <c r="Q343" s="2">
        <f t="shared" si="274"/>
        <v>36.96</v>
      </c>
      <c r="R343" s="2">
        <f t="shared" si="275"/>
        <v>2262.86</v>
      </c>
      <c r="S343" s="2">
        <f t="shared" si="276"/>
        <v>226.29</v>
      </c>
      <c r="T343" s="2">
        <f t="shared" si="277"/>
        <v>52.8</v>
      </c>
      <c r="U343" s="2">
        <f t="shared" si="278"/>
        <v>5.28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515003</v>
      </c>
      <c r="AB343" s="14" t="s">
        <v>781</v>
      </c>
      <c r="AC343" s="15" t="s">
        <v>890</v>
      </c>
      <c r="AD343" s="2">
        <v>5131500</v>
      </c>
      <c r="AE343" s="2">
        <v>0</v>
      </c>
      <c r="AF343" s="2">
        <v>1</v>
      </c>
      <c r="AG343" s="2">
        <f t="shared" si="279"/>
        <v>5061500</v>
      </c>
      <c r="AH343" s="2">
        <v>2</v>
      </c>
      <c r="AJ343">
        <v>1</v>
      </c>
      <c r="AK343" s="1">
        <f t="shared" si="280"/>
        <v>177.50840879689517</v>
      </c>
      <c r="AL343">
        <v>12</v>
      </c>
      <c r="AM343">
        <f t="shared" si="251"/>
        <v>335.99999999999989</v>
      </c>
      <c r="AN343">
        <f t="shared" si="252"/>
        <v>33.599999999999987</v>
      </c>
      <c r="AO343">
        <f t="shared" si="253"/>
        <v>2057.1428571428573</v>
      </c>
      <c r="AP343">
        <f t="shared" si="254"/>
        <v>205.71428571428575</v>
      </c>
      <c r="AQ343">
        <f t="shared" si="255"/>
        <v>47.999999999999986</v>
      </c>
      <c r="AR343">
        <f t="shared" si="246"/>
        <v>4.7999999999999989</v>
      </c>
      <c r="AS343">
        <f t="shared" si="256"/>
        <v>1.5</v>
      </c>
      <c r="AT343">
        <f t="shared" si="257"/>
        <v>1.5</v>
      </c>
      <c r="AU343">
        <f t="shared" si="258"/>
        <v>6</v>
      </c>
      <c r="AV343">
        <f t="shared" si="247"/>
        <v>5001</v>
      </c>
      <c r="AW343" s="1">
        <v>0</v>
      </c>
      <c r="AX343">
        <v>5</v>
      </c>
      <c r="AY343">
        <v>0.1</v>
      </c>
      <c r="BA343">
        <v>5</v>
      </c>
      <c r="BB343">
        <v>1</v>
      </c>
      <c r="CH343" t="str">
        <f t="shared" si="243"/>
        <v>DATA_Class_Base32</v>
      </c>
      <c r="CI343" s="3" t="s">
        <v>388</v>
      </c>
    </row>
    <row r="344" spans="1:87">
      <c r="A344">
        <f t="shared" ref="A344:A390" si="281">AX344*1000000+C344*10000+E344*1000+D344*100+AW344</f>
        <v>5121502</v>
      </c>
      <c r="B344" s="2" t="s">
        <v>496</v>
      </c>
      <c r="C344">
        <v>12</v>
      </c>
      <c r="D344">
        <v>5</v>
      </c>
      <c r="E344">
        <v>1</v>
      </c>
      <c r="F344" s="3" t="s">
        <v>498</v>
      </c>
      <c r="G344" s="3" t="s">
        <v>498</v>
      </c>
      <c r="H344">
        <v>0</v>
      </c>
      <c r="I344">
        <v>0</v>
      </c>
      <c r="J344" s="2">
        <v>0</v>
      </c>
      <c r="K344" s="8" t="s">
        <v>352</v>
      </c>
      <c r="L344" s="2">
        <f t="shared" ref="L344:L390" si="282">AU344</f>
        <v>6</v>
      </c>
      <c r="M344" s="2">
        <f t="shared" si="271"/>
        <v>1.4000000000000001</v>
      </c>
      <c r="N344" s="2">
        <f t="shared" si="272"/>
        <v>2</v>
      </c>
      <c r="O344" s="2">
        <v>10</v>
      </c>
      <c r="P344" s="2">
        <f t="shared" si="273"/>
        <v>320.32</v>
      </c>
      <c r="Q344" s="2">
        <f t="shared" si="274"/>
        <v>32.03</v>
      </c>
      <c r="R344" s="2">
        <f t="shared" si="275"/>
        <v>2436.92</v>
      </c>
      <c r="S344" s="2">
        <f t="shared" si="276"/>
        <v>243.69</v>
      </c>
      <c r="T344" s="2">
        <f t="shared" si="277"/>
        <v>49.28</v>
      </c>
      <c r="U344" s="2">
        <f t="shared" si="278"/>
        <v>4.93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515023</v>
      </c>
      <c r="AB344" s="14" t="s">
        <v>782</v>
      </c>
      <c r="AC344" s="15" t="s">
        <v>890</v>
      </c>
      <c r="AD344" s="2">
        <v>5131502</v>
      </c>
      <c r="AE344" s="2">
        <v>0</v>
      </c>
      <c r="AF344" s="2">
        <v>1</v>
      </c>
      <c r="AG344" s="2">
        <f t="shared" si="279"/>
        <v>5061502</v>
      </c>
      <c r="AH344" s="2">
        <v>2</v>
      </c>
      <c r="AJ344">
        <v>1</v>
      </c>
      <c r="AK344" s="1">
        <f t="shared" si="280"/>
        <v>177.38219895287952</v>
      </c>
      <c r="AL344">
        <v>12</v>
      </c>
      <c r="AM344">
        <f t="shared" si="251"/>
        <v>291.19999999999993</v>
      </c>
      <c r="AN344">
        <f t="shared" si="252"/>
        <v>29.119999999999994</v>
      </c>
      <c r="AO344">
        <f t="shared" si="253"/>
        <v>2215.3846153846152</v>
      </c>
      <c r="AP344">
        <f t="shared" si="254"/>
        <v>221.53846153846155</v>
      </c>
      <c r="AQ344">
        <f t="shared" si="255"/>
        <v>44.79999999999999</v>
      </c>
      <c r="AR344">
        <f t="shared" si="246"/>
        <v>4.4799999999999995</v>
      </c>
      <c r="AS344">
        <f t="shared" si="256"/>
        <v>1.4</v>
      </c>
      <c r="AT344">
        <f t="shared" si="257"/>
        <v>2</v>
      </c>
      <c r="AU344">
        <f t="shared" si="258"/>
        <v>6</v>
      </c>
      <c r="AV344">
        <f t="shared" si="247"/>
        <v>5021</v>
      </c>
      <c r="AW344" s="1">
        <v>2</v>
      </c>
      <c r="AX344">
        <v>5</v>
      </c>
      <c r="AY344">
        <v>0.1</v>
      </c>
      <c r="BA344">
        <v>5</v>
      </c>
      <c r="BB344">
        <v>1</v>
      </c>
      <c r="CH344" t="str">
        <f t="shared" si="243"/>
        <v>DATA_Class_Base33</v>
      </c>
      <c r="CI344" s="3" t="s">
        <v>391</v>
      </c>
    </row>
    <row r="345" spans="1:87">
      <c r="A345">
        <f t="shared" si="281"/>
        <v>5121601</v>
      </c>
      <c r="B345" s="2" t="s">
        <v>500</v>
      </c>
      <c r="C345">
        <v>12</v>
      </c>
      <c r="D345">
        <v>6</v>
      </c>
      <c r="E345">
        <v>1</v>
      </c>
      <c r="F345" s="3" t="s">
        <v>502</v>
      </c>
      <c r="G345" s="3" t="s">
        <v>502</v>
      </c>
      <c r="H345">
        <v>0</v>
      </c>
      <c r="I345">
        <v>0</v>
      </c>
      <c r="J345">
        <v>0</v>
      </c>
      <c r="K345" s="2" t="s">
        <v>309</v>
      </c>
      <c r="L345" s="2">
        <f t="shared" si="282"/>
        <v>6</v>
      </c>
      <c r="M345" s="2">
        <f t="shared" si="271"/>
        <v>1.5</v>
      </c>
      <c r="N345" s="2">
        <f t="shared" si="272"/>
        <v>2</v>
      </c>
      <c r="O345" s="2">
        <v>10</v>
      </c>
      <c r="P345" s="2">
        <f t="shared" si="273"/>
        <v>264</v>
      </c>
      <c r="Q345" s="2">
        <f t="shared" si="274"/>
        <v>26.4</v>
      </c>
      <c r="R345" s="2">
        <f t="shared" si="275"/>
        <v>3168</v>
      </c>
      <c r="S345" s="2">
        <f t="shared" si="276"/>
        <v>316.8</v>
      </c>
      <c r="T345" s="2">
        <f t="shared" si="277"/>
        <v>66</v>
      </c>
      <c r="U345" s="2">
        <f t="shared" si="278"/>
        <v>6.6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516013</v>
      </c>
      <c r="AB345" s="14" t="s">
        <v>783</v>
      </c>
      <c r="AC345" s="15" t="s">
        <v>890</v>
      </c>
      <c r="AD345" s="2">
        <v>5131601</v>
      </c>
      <c r="AE345" s="2">
        <v>0</v>
      </c>
      <c r="AF345" s="2">
        <v>1</v>
      </c>
      <c r="AG345" s="2">
        <f t="shared" si="279"/>
        <v>5061601</v>
      </c>
      <c r="AH345" s="2">
        <v>2</v>
      </c>
      <c r="AJ345">
        <v>1</v>
      </c>
      <c r="AK345" s="1">
        <f t="shared" si="280"/>
        <v>177.9832995541143</v>
      </c>
      <c r="AL345">
        <v>12</v>
      </c>
      <c r="AM345">
        <f t="shared" si="251"/>
        <v>240</v>
      </c>
      <c r="AN345">
        <f t="shared" si="252"/>
        <v>24</v>
      </c>
      <c r="AO345">
        <f t="shared" si="253"/>
        <v>2880</v>
      </c>
      <c r="AP345">
        <f t="shared" si="254"/>
        <v>288</v>
      </c>
      <c r="AQ345">
        <f t="shared" si="255"/>
        <v>60</v>
      </c>
      <c r="AR345">
        <f t="shared" ref="AR345:AR390" si="283">AQ345*0.1</f>
        <v>6</v>
      </c>
      <c r="AS345">
        <f t="shared" si="256"/>
        <v>1.5</v>
      </c>
      <c r="AT345">
        <f t="shared" si="257"/>
        <v>2</v>
      </c>
      <c r="AU345">
        <f t="shared" si="258"/>
        <v>6</v>
      </c>
      <c r="AV345">
        <f t="shared" si="247"/>
        <v>6011</v>
      </c>
      <c r="AW345" s="1">
        <v>1</v>
      </c>
      <c r="AX345">
        <v>5</v>
      </c>
      <c r="AY345">
        <v>0.1</v>
      </c>
      <c r="BA345">
        <v>6</v>
      </c>
      <c r="BB345">
        <v>1</v>
      </c>
      <c r="CH345" t="str">
        <f t="shared" si="243"/>
        <v>DATA_Class_Base34</v>
      </c>
      <c r="CI345" s="3" t="s">
        <v>184</v>
      </c>
    </row>
    <row r="346" spans="1:87">
      <c r="A346">
        <f t="shared" si="281"/>
        <v>5122200</v>
      </c>
      <c r="B346" s="2" t="s">
        <v>504</v>
      </c>
      <c r="C346">
        <v>12</v>
      </c>
      <c r="D346">
        <v>2</v>
      </c>
      <c r="E346">
        <v>2</v>
      </c>
      <c r="F346" s="3" t="s">
        <v>506</v>
      </c>
      <c r="G346" s="3" t="s">
        <v>506</v>
      </c>
      <c r="H346">
        <v>0</v>
      </c>
      <c r="I346">
        <v>0</v>
      </c>
      <c r="J346">
        <v>0</v>
      </c>
      <c r="K346" s="8" t="s">
        <v>507</v>
      </c>
      <c r="L346" s="2">
        <f t="shared" si="282"/>
        <v>3</v>
      </c>
      <c r="M346" s="2">
        <f t="shared" si="271"/>
        <v>1.5</v>
      </c>
      <c r="N346" s="2">
        <f t="shared" si="272"/>
        <v>1.2</v>
      </c>
      <c r="O346" s="2">
        <v>10</v>
      </c>
      <c r="P346" s="2">
        <f t="shared" si="273"/>
        <v>264</v>
      </c>
      <c r="Q346" s="2">
        <f t="shared" si="274"/>
        <v>26.4</v>
      </c>
      <c r="R346" s="2">
        <f t="shared" si="275"/>
        <v>3168</v>
      </c>
      <c r="S346" s="2">
        <f t="shared" si="276"/>
        <v>316.8</v>
      </c>
      <c r="T346" s="2">
        <f t="shared" si="277"/>
        <v>66</v>
      </c>
      <c r="U346" s="2">
        <f t="shared" si="278"/>
        <v>6.6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522003</v>
      </c>
      <c r="AB346" s="14" t="s">
        <v>784</v>
      </c>
      <c r="AC346" s="15" t="s">
        <v>890</v>
      </c>
      <c r="AD346" s="2">
        <v>5132200</v>
      </c>
      <c r="AE346" s="2">
        <v>0</v>
      </c>
      <c r="AF346" s="2">
        <v>1</v>
      </c>
      <c r="AG346" s="2">
        <f t="shared" si="279"/>
        <v>5062200</v>
      </c>
      <c r="AH346" s="2">
        <v>2</v>
      </c>
      <c r="AJ346">
        <v>1</v>
      </c>
      <c r="AK346" s="1">
        <f t="shared" si="280"/>
        <v>177.9832995541143</v>
      </c>
      <c r="AL346">
        <v>12</v>
      </c>
      <c r="AM346">
        <f t="shared" si="251"/>
        <v>240</v>
      </c>
      <c r="AN346">
        <f t="shared" si="252"/>
        <v>24</v>
      </c>
      <c r="AO346">
        <f t="shared" si="253"/>
        <v>2880</v>
      </c>
      <c r="AP346">
        <f t="shared" si="254"/>
        <v>288</v>
      </c>
      <c r="AQ346">
        <f t="shared" si="255"/>
        <v>60</v>
      </c>
      <c r="AR346">
        <f t="shared" si="283"/>
        <v>6</v>
      </c>
      <c r="AS346">
        <f t="shared" si="256"/>
        <v>1.5</v>
      </c>
      <c r="AT346">
        <f t="shared" si="257"/>
        <v>1.2</v>
      </c>
      <c r="AU346">
        <f t="shared" si="258"/>
        <v>3</v>
      </c>
      <c r="AV346">
        <f t="shared" si="247"/>
        <v>2002</v>
      </c>
      <c r="AW346" s="1">
        <v>0</v>
      </c>
      <c r="AX346">
        <v>5</v>
      </c>
      <c r="AY346">
        <v>0.1</v>
      </c>
      <c r="BA346">
        <v>2</v>
      </c>
      <c r="BB346">
        <v>2</v>
      </c>
      <c r="CH346" t="str">
        <f t="shared" si="243"/>
        <v>DATA_Class_Base35</v>
      </c>
      <c r="CI346" s="3" t="s">
        <v>195</v>
      </c>
    </row>
    <row r="347" spans="1:87">
      <c r="A347">
        <f t="shared" si="281"/>
        <v>5122201</v>
      </c>
      <c r="B347" s="2" t="s">
        <v>509</v>
      </c>
      <c r="C347">
        <v>12</v>
      </c>
      <c r="D347">
        <v>2</v>
      </c>
      <c r="E347">
        <v>2</v>
      </c>
      <c r="F347" s="3" t="s">
        <v>511</v>
      </c>
      <c r="G347" s="3" t="s">
        <v>511</v>
      </c>
      <c r="H347">
        <v>0</v>
      </c>
      <c r="I347">
        <v>0</v>
      </c>
      <c r="J347">
        <v>0</v>
      </c>
      <c r="K347" s="8" t="s">
        <v>512</v>
      </c>
      <c r="L347" s="2">
        <f t="shared" si="282"/>
        <v>3</v>
      </c>
      <c r="M347" s="2">
        <f t="shared" si="271"/>
        <v>1.8</v>
      </c>
      <c r="N347" s="2">
        <f t="shared" si="272"/>
        <v>1.8</v>
      </c>
      <c r="O347" s="2">
        <v>10</v>
      </c>
      <c r="P347" s="2">
        <f t="shared" si="273"/>
        <v>221.76</v>
      </c>
      <c r="Q347" s="2">
        <f t="shared" si="274"/>
        <v>22.18</v>
      </c>
      <c r="R347" s="2">
        <f t="shared" si="275"/>
        <v>4525.71</v>
      </c>
      <c r="S347" s="2">
        <f t="shared" si="276"/>
        <v>452.57</v>
      </c>
      <c r="T347" s="2">
        <f t="shared" si="277"/>
        <v>73.92</v>
      </c>
      <c r="U347" s="2">
        <f t="shared" si="278"/>
        <v>7.39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522013</v>
      </c>
      <c r="AB347" s="14" t="s">
        <v>785</v>
      </c>
      <c r="AC347" s="15" t="s">
        <v>890</v>
      </c>
      <c r="AD347" s="2">
        <v>5132201</v>
      </c>
      <c r="AE347" s="2">
        <v>0</v>
      </c>
      <c r="AF347" s="2">
        <v>1</v>
      </c>
      <c r="AG347" s="2">
        <f t="shared" si="279"/>
        <v>5062201</v>
      </c>
      <c r="AH347" s="2">
        <v>2</v>
      </c>
      <c r="AJ347">
        <v>1</v>
      </c>
      <c r="AK347" s="1">
        <f t="shared" si="280"/>
        <v>178.26945563206448</v>
      </c>
      <c r="AL347">
        <v>12</v>
      </c>
      <c r="AM347">
        <f t="shared" si="251"/>
        <v>201.60000000000002</v>
      </c>
      <c r="AN347">
        <f t="shared" si="252"/>
        <v>20.160000000000004</v>
      </c>
      <c r="AO347">
        <f t="shared" si="253"/>
        <v>4114.2857142857147</v>
      </c>
      <c r="AP347">
        <f t="shared" si="254"/>
        <v>411.4285714285715</v>
      </c>
      <c r="AQ347">
        <f t="shared" si="255"/>
        <v>67.2</v>
      </c>
      <c r="AR347">
        <f t="shared" si="283"/>
        <v>6.7200000000000006</v>
      </c>
      <c r="AS347">
        <f t="shared" si="256"/>
        <v>1.8</v>
      </c>
      <c r="AT347">
        <f t="shared" si="257"/>
        <v>1.8</v>
      </c>
      <c r="AU347">
        <f t="shared" si="258"/>
        <v>3</v>
      </c>
      <c r="AV347">
        <f t="shared" si="247"/>
        <v>2012</v>
      </c>
      <c r="AW347" s="1">
        <v>1</v>
      </c>
      <c r="AX347">
        <v>5</v>
      </c>
      <c r="AY347">
        <v>0.1</v>
      </c>
      <c r="BA347">
        <v>2</v>
      </c>
      <c r="BB347">
        <v>2</v>
      </c>
      <c r="CH347" t="str">
        <f t="shared" si="243"/>
        <v>DATA_Class_Base36</v>
      </c>
      <c r="CI347" s="3" t="s">
        <v>201</v>
      </c>
    </row>
    <row r="348" spans="1:87">
      <c r="A348">
        <f t="shared" si="281"/>
        <v>5122202</v>
      </c>
      <c r="B348" s="2" t="s">
        <v>514</v>
      </c>
      <c r="C348">
        <v>12</v>
      </c>
      <c r="D348">
        <v>2</v>
      </c>
      <c r="E348">
        <v>2</v>
      </c>
      <c r="F348" s="3" t="s">
        <v>516</v>
      </c>
      <c r="G348" s="3" t="s">
        <v>516</v>
      </c>
      <c r="H348">
        <v>0</v>
      </c>
      <c r="I348">
        <v>0</v>
      </c>
      <c r="J348" s="2">
        <v>0</v>
      </c>
      <c r="K348" s="2" t="s">
        <v>280</v>
      </c>
      <c r="L348" s="2">
        <f t="shared" si="282"/>
        <v>3</v>
      </c>
      <c r="M348" s="2">
        <f t="shared" si="271"/>
        <v>1.8</v>
      </c>
      <c r="N348" s="2">
        <f t="shared" si="272"/>
        <v>2</v>
      </c>
      <c r="O348" s="2">
        <v>10</v>
      </c>
      <c r="P348" s="2">
        <f t="shared" si="273"/>
        <v>364.32</v>
      </c>
      <c r="Q348" s="2">
        <f t="shared" si="274"/>
        <v>36.43</v>
      </c>
      <c r="R348" s="2">
        <f t="shared" si="275"/>
        <v>2754.78</v>
      </c>
      <c r="S348" s="2">
        <f t="shared" si="276"/>
        <v>275.48</v>
      </c>
      <c r="T348" s="2">
        <f t="shared" si="277"/>
        <v>72.86</v>
      </c>
      <c r="U348" s="2">
        <f t="shared" si="278"/>
        <v>7.29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522023</v>
      </c>
      <c r="AB348" s="14" t="s">
        <v>786</v>
      </c>
      <c r="AC348" s="15" t="s">
        <v>890</v>
      </c>
      <c r="AD348" s="2">
        <v>5132202</v>
      </c>
      <c r="AE348" s="2">
        <v>0</v>
      </c>
      <c r="AF348" s="2">
        <v>1</v>
      </c>
      <c r="AG348" s="2">
        <f t="shared" si="279"/>
        <v>5062202</v>
      </c>
      <c r="AH348" s="2">
        <v>2</v>
      </c>
      <c r="AJ348">
        <v>1</v>
      </c>
      <c r="AK348" s="1">
        <f t="shared" si="280"/>
        <v>178.23124833574724</v>
      </c>
      <c r="AL348">
        <v>12</v>
      </c>
      <c r="AM348">
        <f t="shared" si="251"/>
        <v>331.2</v>
      </c>
      <c r="AN348">
        <f t="shared" si="252"/>
        <v>33.119999999999997</v>
      </c>
      <c r="AO348">
        <f t="shared" si="253"/>
        <v>2504.347826086957</v>
      </c>
      <c r="AP348">
        <f t="shared" si="254"/>
        <v>250.43478260869571</v>
      </c>
      <c r="AQ348">
        <f t="shared" si="255"/>
        <v>66.239999999999995</v>
      </c>
      <c r="AR348">
        <f t="shared" si="283"/>
        <v>6.6239999999999997</v>
      </c>
      <c r="AS348">
        <f t="shared" si="256"/>
        <v>1.8</v>
      </c>
      <c r="AT348">
        <f t="shared" si="257"/>
        <v>2</v>
      </c>
      <c r="AU348">
        <f t="shared" si="258"/>
        <v>3</v>
      </c>
      <c r="AV348">
        <f t="shared" si="247"/>
        <v>2022</v>
      </c>
      <c r="AW348" s="1">
        <v>2</v>
      </c>
      <c r="AX348">
        <v>5</v>
      </c>
      <c r="AY348">
        <v>0.1</v>
      </c>
      <c r="BA348">
        <v>2</v>
      </c>
      <c r="BB348">
        <v>2</v>
      </c>
      <c r="CH348" t="str">
        <f t="shared" si="243"/>
        <v>DATA_Class_Base28</v>
      </c>
      <c r="CI348" s="3" t="s">
        <v>374</v>
      </c>
    </row>
    <row r="349" spans="1:87">
      <c r="A349">
        <f t="shared" si="281"/>
        <v>5122301</v>
      </c>
      <c r="B349" s="2" t="s">
        <v>518</v>
      </c>
      <c r="C349">
        <v>12</v>
      </c>
      <c r="D349">
        <v>3</v>
      </c>
      <c r="E349">
        <v>2</v>
      </c>
      <c r="F349" s="3" t="s">
        <v>520</v>
      </c>
      <c r="G349" s="3" t="s">
        <v>520</v>
      </c>
      <c r="H349">
        <v>0</v>
      </c>
      <c r="I349">
        <v>0</v>
      </c>
      <c r="J349">
        <v>0</v>
      </c>
      <c r="K349" s="2" t="s">
        <v>285</v>
      </c>
      <c r="L349" s="2">
        <f t="shared" si="282"/>
        <v>3</v>
      </c>
      <c r="M349" s="2">
        <f t="shared" si="271"/>
        <v>1.2</v>
      </c>
      <c r="N349" s="2">
        <f t="shared" si="272"/>
        <v>1.7</v>
      </c>
      <c r="O349" s="2">
        <v>10</v>
      </c>
      <c r="P349" s="2">
        <f t="shared" si="273"/>
        <v>274.56</v>
      </c>
      <c r="Q349" s="2">
        <f t="shared" si="274"/>
        <v>27.46</v>
      </c>
      <c r="R349" s="2">
        <f t="shared" si="275"/>
        <v>2436.92</v>
      </c>
      <c r="S349" s="2">
        <f t="shared" si="276"/>
        <v>243.69</v>
      </c>
      <c r="T349" s="2">
        <f t="shared" si="277"/>
        <v>45.76</v>
      </c>
      <c r="U349" s="2">
        <f t="shared" si="278"/>
        <v>4.58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523013</v>
      </c>
      <c r="AB349" s="14" t="s">
        <v>787</v>
      </c>
      <c r="AC349" s="15" t="s">
        <v>890</v>
      </c>
      <c r="AD349" s="2">
        <v>5132301</v>
      </c>
      <c r="AE349" s="2">
        <v>0</v>
      </c>
      <c r="AF349" s="2">
        <v>1</v>
      </c>
      <c r="AG349" s="2">
        <f t="shared" si="279"/>
        <v>5062301</v>
      </c>
      <c r="AH349" s="2">
        <v>2</v>
      </c>
      <c r="AJ349">
        <v>1</v>
      </c>
      <c r="AK349" s="1">
        <f t="shared" si="280"/>
        <v>177.25616845368816</v>
      </c>
      <c r="AL349">
        <v>12</v>
      </c>
      <c r="AM349">
        <f t="shared" si="251"/>
        <v>249.60000000000002</v>
      </c>
      <c r="AN349">
        <f t="shared" si="252"/>
        <v>24.960000000000004</v>
      </c>
      <c r="AO349">
        <f t="shared" si="253"/>
        <v>2215.3846153846152</v>
      </c>
      <c r="AP349">
        <f t="shared" si="254"/>
        <v>221.53846153846155</v>
      </c>
      <c r="AQ349">
        <f t="shared" si="255"/>
        <v>41.6</v>
      </c>
      <c r="AR349">
        <f t="shared" si="283"/>
        <v>4.16</v>
      </c>
      <c r="AS349">
        <f t="shared" si="256"/>
        <v>1.2</v>
      </c>
      <c r="AT349">
        <f t="shared" si="257"/>
        <v>1.7</v>
      </c>
      <c r="AU349">
        <f t="shared" si="258"/>
        <v>3</v>
      </c>
      <c r="AV349">
        <f t="shared" si="247"/>
        <v>3012</v>
      </c>
      <c r="AW349" s="1">
        <v>1</v>
      </c>
      <c r="AX349">
        <v>5</v>
      </c>
      <c r="AY349">
        <v>0.1</v>
      </c>
      <c r="BA349">
        <v>3</v>
      </c>
      <c r="BB349">
        <v>2</v>
      </c>
      <c r="CH349" t="str">
        <f t="shared" si="243"/>
        <v>DATA_Class_Base29</v>
      </c>
      <c r="CI349" s="3" t="s">
        <v>378</v>
      </c>
    </row>
    <row r="350" spans="1:87">
      <c r="A350">
        <f t="shared" si="281"/>
        <v>5122401</v>
      </c>
      <c r="B350" s="2" t="s">
        <v>522</v>
      </c>
      <c r="C350">
        <v>12</v>
      </c>
      <c r="D350">
        <v>4</v>
      </c>
      <c r="E350">
        <v>2</v>
      </c>
      <c r="F350" s="3" t="s">
        <v>524</v>
      </c>
      <c r="G350" s="3" t="s">
        <v>524</v>
      </c>
      <c r="H350">
        <v>0</v>
      </c>
      <c r="I350">
        <v>0</v>
      </c>
      <c r="J350" s="2">
        <v>0</v>
      </c>
      <c r="K350" s="8" t="s">
        <v>250</v>
      </c>
      <c r="L350" s="2">
        <f t="shared" si="282"/>
        <v>6</v>
      </c>
      <c r="M350" s="2">
        <f t="shared" si="271"/>
        <v>1.6</v>
      </c>
      <c r="N350" s="2">
        <f t="shared" si="272"/>
        <v>1.5</v>
      </c>
      <c r="O350" s="2">
        <v>10</v>
      </c>
      <c r="P350" s="2">
        <f t="shared" si="273"/>
        <v>366.08</v>
      </c>
      <c r="Q350" s="2">
        <f t="shared" si="274"/>
        <v>36.61</v>
      </c>
      <c r="R350" s="2">
        <f t="shared" si="275"/>
        <v>2436.92</v>
      </c>
      <c r="S350" s="2">
        <f t="shared" si="276"/>
        <v>243.69</v>
      </c>
      <c r="T350" s="2">
        <f t="shared" si="277"/>
        <v>40.68</v>
      </c>
      <c r="U350" s="2">
        <f t="shared" si="278"/>
        <v>4.07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524013</v>
      </c>
      <c r="AB350" s="14" t="s">
        <v>788</v>
      </c>
      <c r="AC350" s="15" t="s">
        <v>890</v>
      </c>
      <c r="AD350" s="2">
        <v>5132401</v>
      </c>
      <c r="AE350" s="2">
        <v>0</v>
      </c>
      <c r="AF350" s="2">
        <v>1</v>
      </c>
      <c r="AG350" s="2">
        <f t="shared" si="279"/>
        <v>5062401</v>
      </c>
      <c r="AH350" s="2">
        <v>2</v>
      </c>
      <c r="AJ350">
        <v>1</v>
      </c>
      <c r="AK350" s="1">
        <f t="shared" si="280"/>
        <v>177.07444024634179</v>
      </c>
      <c r="AL350">
        <v>12</v>
      </c>
      <c r="AM350">
        <f t="shared" si="251"/>
        <v>332.8</v>
      </c>
      <c r="AN350">
        <f t="shared" si="252"/>
        <v>33.28</v>
      </c>
      <c r="AO350">
        <f t="shared" si="253"/>
        <v>2215.3846153846152</v>
      </c>
      <c r="AP350">
        <f t="shared" si="254"/>
        <v>221.53846153846155</v>
      </c>
      <c r="AQ350">
        <f t="shared" si="255"/>
        <v>36.977777777777781</v>
      </c>
      <c r="AR350">
        <f t="shared" si="283"/>
        <v>3.6977777777777785</v>
      </c>
      <c r="AS350">
        <f t="shared" si="256"/>
        <v>1.6</v>
      </c>
      <c r="AT350">
        <f t="shared" si="257"/>
        <v>1.5</v>
      </c>
      <c r="AU350">
        <f t="shared" si="258"/>
        <v>6</v>
      </c>
      <c r="AV350">
        <f t="shared" si="247"/>
        <v>4012</v>
      </c>
      <c r="AW350" s="1">
        <v>1</v>
      </c>
      <c r="AX350">
        <v>5</v>
      </c>
      <c r="AY350">
        <v>0.1</v>
      </c>
      <c r="BA350">
        <v>4</v>
      </c>
      <c r="BB350">
        <v>2</v>
      </c>
      <c r="CH350" t="str">
        <f t="shared" si="243"/>
        <v>DATA_Class_Base30</v>
      </c>
      <c r="CI350" s="3" t="s">
        <v>381</v>
      </c>
    </row>
    <row r="351" spans="1:87">
      <c r="A351">
        <f t="shared" si="281"/>
        <v>5122402</v>
      </c>
      <c r="B351" s="2" t="s">
        <v>526</v>
      </c>
      <c r="C351">
        <v>12</v>
      </c>
      <c r="D351">
        <v>4</v>
      </c>
      <c r="E351">
        <v>2</v>
      </c>
      <c r="F351" s="3" t="s">
        <v>528</v>
      </c>
      <c r="G351" s="3" t="s">
        <v>528</v>
      </c>
      <c r="H351">
        <v>0</v>
      </c>
      <c r="I351">
        <v>0</v>
      </c>
      <c r="J351">
        <v>0</v>
      </c>
      <c r="K351" s="2" t="s">
        <v>250</v>
      </c>
      <c r="L351" s="2">
        <f t="shared" si="282"/>
        <v>6</v>
      </c>
      <c r="M351" s="2">
        <f t="shared" si="271"/>
        <v>1.5</v>
      </c>
      <c r="N351" s="2">
        <f t="shared" si="272"/>
        <v>1.5</v>
      </c>
      <c r="O351" s="2">
        <v>10</v>
      </c>
      <c r="P351" s="2">
        <f t="shared" si="273"/>
        <v>369.6</v>
      </c>
      <c r="Q351" s="2">
        <f t="shared" si="274"/>
        <v>36.96</v>
      </c>
      <c r="R351" s="2">
        <f t="shared" si="275"/>
        <v>2262.86</v>
      </c>
      <c r="S351" s="2">
        <f t="shared" si="276"/>
        <v>226.29</v>
      </c>
      <c r="T351" s="2">
        <f t="shared" si="277"/>
        <v>46.2</v>
      </c>
      <c r="U351" s="2">
        <f t="shared" si="278"/>
        <v>4.62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524023</v>
      </c>
      <c r="AB351" s="14" t="s">
        <v>789</v>
      </c>
      <c r="AC351" s="15" t="s">
        <v>890</v>
      </c>
      <c r="AD351" s="2">
        <v>5132402</v>
      </c>
      <c r="AE351" s="2">
        <v>0</v>
      </c>
      <c r="AF351" s="2">
        <v>1</v>
      </c>
      <c r="AG351" s="2">
        <f t="shared" si="279"/>
        <v>5062402</v>
      </c>
      <c r="AH351" s="2">
        <v>2</v>
      </c>
      <c r="AJ351">
        <v>1</v>
      </c>
      <c r="AK351" s="1">
        <f t="shared" si="280"/>
        <v>177.27191247123417</v>
      </c>
      <c r="AL351">
        <v>12</v>
      </c>
      <c r="AM351">
        <f t="shared" si="251"/>
        <v>335.99999999999989</v>
      </c>
      <c r="AN351">
        <f t="shared" si="252"/>
        <v>33.599999999999987</v>
      </c>
      <c r="AO351">
        <f t="shared" si="253"/>
        <v>2057.1428571428573</v>
      </c>
      <c r="AP351">
        <f t="shared" si="254"/>
        <v>205.71428571428575</v>
      </c>
      <c r="AQ351">
        <f t="shared" si="255"/>
        <v>41.999999999999986</v>
      </c>
      <c r="AR351">
        <f t="shared" si="283"/>
        <v>4.1999999999999984</v>
      </c>
      <c r="AS351">
        <f t="shared" si="256"/>
        <v>1.5</v>
      </c>
      <c r="AT351">
        <f t="shared" si="257"/>
        <v>1.5</v>
      </c>
      <c r="AU351">
        <f t="shared" si="258"/>
        <v>6</v>
      </c>
      <c r="AV351">
        <f t="shared" ref="AV351:AV398" si="284">BA351*1000+AW351*10+BB351</f>
        <v>4022</v>
      </c>
      <c r="AW351" s="1">
        <v>2</v>
      </c>
      <c r="AX351">
        <v>5</v>
      </c>
      <c r="AY351">
        <v>0.1</v>
      </c>
      <c r="BA351">
        <v>4</v>
      </c>
      <c r="BB351">
        <v>2</v>
      </c>
      <c r="CH351" t="str">
        <f t="shared" ref="CH351:CH422" si="285">INDEX($CE$18:$CE$59,MATCH($CI351,$CF$18:$CF$59,0))</f>
        <v>DATA_Class_Base31</v>
      </c>
      <c r="CI351" s="3" t="s">
        <v>384</v>
      </c>
    </row>
    <row r="352" spans="1:87">
      <c r="A352">
        <f t="shared" si="281"/>
        <v>5122502</v>
      </c>
      <c r="B352" s="2" t="s">
        <v>535</v>
      </c>
      <c r="C352">
        <v>12</v>
      </c>
      <c r="D352">
        <v>5</v>
      </c>
      <c r="E352">
        <v>2</v>
      </c>
      <c r="F352" s="3" t="s">
        <v>537</v>
      </c>
      <c r="G352" s="3" t="s">
        <v>537</v>
      </c>
      <c r="H352">
        <v>0</v>
      </c>
      <c r="I352">
        <v>0</v>
      </c>
      <c r="J352" s="2">
        <v>0</v>
      </c>
      <c r="K352" s="2" t="s">
        <v>291</v>
      </c>
      <c r="L352" s="2">
        <f t="shared" si="282"/>
        <v>6</v>
      </c>
      <c r="M352" s="2">
        <f t="shared" si="271"/>
        <v>1.4000000000000001</v>
      </c>
      <c r="N352" s="2">
        <f t="shared" si="272"/>
        <v>2</v>
      </c>
      <c r="O352" s="2">
        <v>10</v>
      </c>
      <c r="P352" s="2">
        <f t="shared" si="273"/>
        <v>381.92</v>
      </c>
      <c r="Q352" s="2">
        <f t="shared" si="274"/>
        <v>38.19</v>
      </c>
      <c r="R352" s="2">
        <f t="shared" si="275"/>
        <v>2043.87</v>
      </c>
      <c r="S352" s="2">
        <f t="shared" si="276"/>
        <v>204.39</v>
      </c>
      <c r="T352" s="2">
        <f t="shared" si="277"/>
        <v>38.19</v>
      </c>
      <c r="U352" s="2">
        <f t="shared" si="278"/>
        <v>3.82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525023</v>
      </c>
      <c r="AB352" s="14" t="s">
        <v>791</v>
      </c>
      <c r="AC352" s="15" t="s">
        <v>890</v>
      </c>
      <c r="AD352" s="2">
        <v>5132502</v>
      </c>
      <c r="AE352" s="2">
        <v>0</v>
      </c>
      <c r="AF352" s="2">
        <v>1</v>
      </c>
      <c r="AG352" s="2">
        <f t="shared" si="279"/>
        <v>5062502</v>
      </c>
      <c r="AH352" s="2">
        <v>2</v>
      </c>
      <c r="AJ352">
        <v>1</v>
      </c>
      <c r="AK352" s="1">
        <f t="shared" si="280"/>
        <v>176.98580839887393</v>
      </c>
      <c r="AL352">
        <v>12</v>
      </c>
      <c r="AM352">
        <f t="shared" si="251"/>
        <v>347.19999999999993</v>
      </c>
      <c r="AN352">
        <f t="shared" si="252"/>
        <v>34.719999999999992</v>
      </c>
      <c r="AO352">
        <f t="shared" si="253"/>
        <v>1858.0645161290322</v>
      </c>
      <c r="AP352">
        <f t="shared" si="254"/>
        <v>185.80645161290323</v>
      </c>
      <c r="AQ352">
        <f t="shared" si="255"/>
        <v>34.719999999999992</v>
      </c>
      <c r="AR352">
        <f t="shared" si="283"/>
        <v>3.4719999999999995</v>
      </c>
      <c r="AS352">
        <f t="shared" si="256"/>
        <v>1.4</v>
      </c>
      <c r="AT352">
        <f t="shared" si="257"/>
        <v>2</v>
      </c>
      <c r="AU352">
        <f t="shared" si="258"/>
        <v>6</v>
      </c>
      <c r="AV352">
        <f t="shared" si="284"/>
        <v>5022</v>
      </c>
      <c r="AW352" s="1">
        <v>2</v>
      </c>
      <c r="AX352">
        <v>5</v>
      </c>
      <c r="AY352">
        <v>0.1</v>
      </c>
      <c r="BA352">
        <v>5</v>
      </c>
      <c r="BB352">
        <v>2</v>
      </c>
      <c r="CH352" t="str">
        <f t="shared" si="285"/>
        <v>DATA_Class_Base32</v>
      </c>
      <c r="CI352" s="3" t="s">
        <v>388</v>
      </c>
    </row>
    <row r="353" spans="1:87">
      <c r="A353">
        <f t="shared" si="281"/>
        <v>5123200</v>
      </c>
      <c r="B353" s="2" t="s">
        <v>544</v>
      </c>
      <c r="C353">
        <v>12</v>
      </c>
      <c r="D353">
        <v>2</v>
      </c>
      <c r="E353">
        <v>3</v>
      </c>
      <c r="F353" s="3" t="s">
        <v>546</v>
      </c>
      <c r="G353" s="3" t="s">
        <v>546</v>
      </c>
      <c r="H353">
        <v>0</v>
      </c>
      <c r="I353">
        <v>0</v>
      </c>
      <c r="J353">
        <v>0</v>
      </c>
      <c r="K353" s="2" t="s">
        <v>314</v>
      </c>
      <c r="L353" s="2">
        <f t="shared" si="282"/>
        <v>3</v>
      </c>
      <c r="M353" s="2">
        <f t="shared" si="271"/>
        <v>1.5</v>
      </c>
      <c r="N353" s="2">
        <f t="shared" si="272"/>
        <v>1.2</v>
      </c>
      <c r="O353" s="2">
        <v>10</v>
      </c>
      <c r="P353" s="2">
        <f t="shared" si="273"/>
        <v>184.8</v>
      </c>
      <c r="Q353" s="2">
        <f t="shared" si="274"/>
        <v>18.48</v>
      </c>
      <c r="R353" s="2">
        <f t="shared" si="275"/>
        <v>4525.71</v>
      </c>
      <c r="S353" s="2">
        <f t="shared" si="276"/>
        <v>452.57</v>
      </c>
      <c r="T353" s="2">
        <f t="shared" si="277"/>
        <v>92.4</v>
      </c>
      <c r="U353" s="2">
        <f t="shared" si="278"/>
        <v>9.24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532003</v>
      </c>
      <c r="AB353" s="14" t="s">
        <v>793</v>
      </c>
      <c r="AC353" s="15" t="s">
        <v>890</v>
      </c>
      <c r="AD353" s="2">
        <v>5133200</v>
      </c>
      <c r="AE353" s="2">
        <v>0</v>
      </c>
      <c r="AF353" s="2">
        <v>1</v>
      </c>
      <c r="AG353" s="2">
        <f t="shared" si="279"/>
        <v>5063200</v>
      </c>
      <c r="AH353" s="2">
        <v>2</v>
      </c>
      <c r="AJ353">
        <v>1</v>
      </c>
      <c r="AK353" s="1">
        <f t="shared" si="280"/>
        <v>178.94074496698994</v>
      </c>
      <c r="AL353">
        <v>12</v>
      </c>
      <c r="AM353">
        <f t="shared" si="251"/>
        <v>167.99999999999994</v>
      </c>
      <c r="AN353">
        <f t="shared" si="252"/>
        <v>16.799999999999994</v>
      </c>
      <c r="AO353">
        <f t="shared" si="253"/>
        <v>4114.2857142857147</v>
      </c>
      <c r="AP353">
        <f t="shared" si="254"/>
        <v>411.4285714285715</v>
      </c>
      <c r="AQ353">
        <f t="shared" si="255"/>
        <v>83.999999999999972</v>
      </c>
      <c r="AR353">
        <f t="shared" si="283"/>
        <v>8.3999999999999968</v>
      </c>
      <c r="AS353">
        <f t="shared" si="256"/>
        <v>1.5</v>
      </c>
      <c r="AT353">
        <f t="shared" si="257"/>
        <v>1.2</v>
      </c>
      <c r="AU353">
        <f t="shared" si="258"/>
        <v>3</v>
      </c>
      <c r="AV353">
        <f t="shared" si="284"/>
        <v>2003</v>
      </c>
      <c r="AW353" s="1">
        <v>0</v>
      </c>
      <c r="AX353">
        <v>5</v>
      </c>
      <c r="AY353">
        <v>0.1</v>
      </c>
      <c r="BA353">
        <v>2</v>
      </c>
      <c r="BB353">
        <v>3</v>
      </c>
      <c r="CH353" t="str">
        <f t="shared" si="285"/>
        <v>DATA_Class_Base33</v>
      </c>
      <c r="CI353" s="3" t="s">
        <v>391</v>
      </c>
    </row>
    <row r="354" spans="1:87">
      <c r="A354">
        <f t="shared" si="281"/>
        <v>5123202</v>
      </c>
      <c r="B354" s="2" t="s">
        <v>552</v>
      </c>
      <c r="C354">
        <v>12</v>
      </c>
      <c r="D354">
        <v>2</v>
      </c>
      <c r="E354">
        <v>3</v>
      </c>
      <c r="F354" s="3" t="s">
        <v>554</v>
      </c>
      <c r="G354" s="3" t="s">
        <v>554</v>
      </c>
      <c r="H354">
        <v>0</v>
      </c>
      <c r="I354">
        <v>0</v>
      </c>
      <c r="J354">
        <v>0</v>
      </c>
      <c r="K354" s="8" t="s">
        <v>555</v>
      </c>
      <c r="L354" s="2">
        <f t="shared" si="282"/>
        <v>3</v>
      </c>
      <c r="M354" s="2">
        <f t="shared" si="271"/>
        <v>1.8</v>
      </c>
      <c r="N354" s="2">
        <f t="shared" si="272"/>
        <v>2</v>
      </c>
      <c r="O354" s="2">
        <v>10</v>
      </c>
      <c r="P354" s="2">
        <f t="shared" si="273"/>
        <v>285.12</v>
      </c>
      <c r="Q354" s="2">
        <f t="shared" si="274"/>
        <v>28.51</v>
      </c>
      <c r="R354" s="2">
        <f t="shared" si="275"/>
        <v>3520</v>
      </c>
      <c r="S354" s="2">
        <f t="shared" si="276"/>
        <v>352</v>
      </c>
      <c r="T354" s="2">
        <f t="shared" si="277"/>
        <v>95.04</v>
      </c>
      <c r="U354" s="2">
        <f t="shared" si="278"/>
        <v>9.5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532023</v>
      </c>
      <c r="AB354" s="14" t="s">
        <v>795</v>
      </c>
      <c r="AC354" s="15" t="s">
        <v>890</v>
      </c>
      <c r="AD354" s="2">
        <v>5133202</v>
      </c>
      <c r="AE354" s="2">
        <v>0</v>
      </c>
      <c r="AF354" s="2">
        <v>1</v>
      </c>
      <c r="AG354" s="2">
        <f t="shared" si="279"/>
        <v>5063202</v>
      </c>
      <c r="AH354" s="2">
        <v>2</v>
      </c>
      <c r="AJ354">
        <v>1</v>
      </c>
      <c r="AK354" s="1">
        <f t="shared" si="280"/>
        <v>179.0370563674322</v>
      </c>
      <c r="AL354">
        <v>12</v>
      </c>
      <c r="AM354">
        <f t="shared" si="251"/>
        <v>259.20000000000005</v>
      </c>
      <c r="AN354">
        <f t="shared" si="252"/>
        <v>25.920000000000005</v>
      </c>
      <c r="AO354">
        <f t="shared" si="253"/>
        <v>3200</v>
      </c>
      <c r="AP354">
        <f t="shared" si="254"/>
        <v>320</v>
      </c>
      <c r="AQ354">
        <f t="shared" si="255"/>
        <v>86.40000000000002</v>
      </c>
      <c r="AR354">
        <f t="shared" si="283"/>
        <v>8.6400000000000023</v>
      </c>
      <c r="AS354">
        <f t="shared" si="256"/>
        <v>1.8</v>
      </c>
      <c r="AT354">
        <f t="shared" si="257"/>
        <v>2</v>
      </c>
      <c r="AU354">
        <f t="shared" si="258"/>
        <v>3</v>
      </c>
      <c r="AV354">
        <f t="shared" si="284"/>
        <v>2023</v>
      </c>
      <c r="AW354" s="1">
        <v>2</v>
      </c>
      <c r="AX354">
        <v>5</v>
      </c>
      <c r="AY354">
        <v>0.1</v>
      </c>
      <c r="BA354">
        <v>2</v>
      </c>
      <c r="BB354">
        <v>3</v>
      </c>
      <c r="CH354" t="str">
        <f t="shared" si="285"/>
        <v>DATA_Class_Base34</v>
      </c>
      <c r="CI354" s="3" t="s">
        <v>184</v>
      </c>
    </row>
    <row r="355" spans="1:87">
      <c r="A355">
        <f t="shared" si="281"/>
        <v>5123301</v>
      </c>
      <c r="B355" s="2" t="s">
        <v>557</v>
      </c>
      <c r="C355">
        <v>12</v>
      </c>
      <c r="D355">
        <v>3</v>
      </c>
      <c r="E355">
        <v>3</v>
      </c>
      <c r="F355" s="3" t="s">
        <v>559</v>
      </c>
      <c r="G355" s="3" t="s">
        <v>559</v>
      </c>
      <c r="H355">
        <v>0</v>
      </c>
      <c r="I355">
        <v>0</v>
      </c>
      <c r="J355" s="2">
        <v>0</v>
      </c>
      <c r="K355" s="8" t="s">
        <v>555</v>
      </c>
      <c r="L355" s="2">
        <f t="shared" si="282"/>
        <v>3</v>
      </c>
      <c r="M355" s="2">
        <f t="shared" si="271"/>
        <v>1.2</v>
      </c>
      <c r="N355" s="2">
        <f t="shared" si="272"/>
        <v>1.4000000000000001</v>
      </c>
      <c r="O355" s="2">
        <v>10</v>
      </c>
      <c r="P355" s="2">
        <f t="shared" si="273"/>
        <v>253.44</v>
      </c>
      <c r="Q355" s="2">
        <f t="shared" si="274"/>
        <v>25.34</v>
      </c>
      <c r="R355" s="2">
        <f t="shared" si="275"/>
        <v>2640</v>
      </c>
      <c r="S355" s="2">
        <f t="shared" si="276"/>
        <v>264</v>
      </c>
      <c r="T355" s="2">
        <f t="shared" si="277"/>
        <v>50.69</v>
      </c>
      <c r="U355" s="2">
        <f t="shared" si="278"/>
        <v>5.07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533013</v>
      </c>
      <c r="AB355" s="14" t="s">
        <v>796</v>
      </c>
      <c r="AC355" s="15" t="s">
        <v>890</v>
      </c>
      <c r="AD355" s="2">
        <v>5133301</v>
      </c>
      <c r="AE355" s="2">
        <v>0</v>
      </c>
      <c r="AF355" s="2">
        <v>1</v>
      </c>
      <c r="AG355" s="2">
        <f t="shared" si="279"/>
        <v>5063301</v>
      </c>
      <c r="AH355" s="2">
        <v>2</v>
      </c>
      <c r="AJ355">
        <v>1</v>
      </c>
      <c r="AK355" s="1">
        <f t="shared" si="280"/>
        <v>177.43266134767819</v>
      </c>
      <c r="AL355">
        <v>12</v>
      </c>
      <c r="AM355">
        <f t="shared" si="251"/>
        <v>230.39999999999998</v>
      </c>
      <c r="AN355">
        <f t="shared" si="252"/>
        <v>23.04</v>
      </c>
      <c r="AO355">
        <f t="shared" si="253"/>
        <v>2400</v>
      </c>
      <c r="AP355">
        <f t="shared" si="254"/>
        <v>240</v>
      </c>
      <c r="AQ355">
        <f t="shared" si="255"/>
        <v>46.08</v>
      </c>
      <c r="AR355">
        <f t="shared" si="283"/>
        <v>4.6079999999999997</v>
      </c>
      <c r="AS355">
        <f t="shared" si="256"/>
        <v>1.2</v>
      </c>
      <c r="AT355">
        <f t="shared" si="257"/>
        <v>1.4</v>
      </c>
      <c r="AU355">
        <f t="shared" si="258"/>
        <v>3</v>
      </c>
      <c r="AV355">
        <f t="shared" si="284"/>
        <v>3013</v>
      </c>
      <c r="AW355" s="1">
        <v>1</v>
      </c>
      <c r="AX355">
        <v>5</v>
      </c>
      <c r="AY355">
        <v>0.1</v>
      </c>
      <c r="BA355">
        <v>3</v>
      </c>
      <c r="BB355">
        <v>3</v>
      </c>
      <c r="CH355" t="str">
        <f t="shared" si="285"/>
        <v>DATA_Class_Base35</v>
      </c>
      <c r="CI355" s="3" t="s">
        <v>195</v>
      </c>
    </row>
    <row r="356" spans="1:87">
      <c r="A356">
        <f t="shared" si="281"/>
        <v>5123401</v>
      </c>
      <c r="B356" s="2" t="s">
        <v>561</v>
      </c>
      <c r="C356">
        <v>12</v>
      </c>
      <c r="D356">
        <v>4</v>
      </c>
      <c r="E356">
        <v>3</v>
      </c>
      <c r="F356" s="3" t="s">
        <v>563</v>
      </c>
      <c r="G356" s="3" t="s">
        <v>563</v>
      </c>
      <c r="H356">
        <v>0</v>
      </c>
      <c r="I356">
        <v>0</v>
      </c>
      <c r="J356">
        <v>0</v>
      </c>
      <c r="K356" s="8" t="s">
        <v>161</v>
      </c>
      <c r="L356" s="2">
        <f t="shared" si="282"/>
        <v>6</v>
      </c>
      <c r="M356" s="2">
        <f t="shared" si="271"/>
        <v>1.6</v>
      </c>
      <c r="N356" s="2">
        <f t="shared" si="272"/>
        <v>1.5</v>
      </c>
      <c r="O356" s="2">
        <v>10</v>
      </c>
      <c r="P356" s="2">
        <f t="shared" si="273"/>
        <v>337.92</v>
      </c>
      <c r="Q356" s="2">
        <f t="shared" si="274"/>
        <v>33.79</v>
      </c>
      <c r="R356" s="2">
        <f t="shared" si="275"/>
        <v>2640</v>
      </c>
      <c r="S356" s="2">
        <f t="shared" si="276"/>
        <v>264</v>
      </c>
      <c r="T356" s="2">
        <f t="shared" si="277"/>
        <v>56.32</v>
      </c>
      <c r="U356" s="2">
        <f t="shared" si="278"/>
        <v>5.63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534013</v>
      </c>
      <c r="AB356" s="14" t="s">
        <v>797</v>
      </c>
      <c r="AC356" s="15" t="s">
        <v>890</v>
      </c>
      <c r="AD356" s="2">
        <v>5133401</v>
      </c>
      <c r="AE356" s="2">
        <v>0</v>
      </c>
      <c r="AF356" s="2">
        <v>1</v>
      </c>
      <c r="AG356" s="2">
        <f t="shared" si="279"/>
        <v>5063401</v>
      </c>
      <c r="AH356" s="2">
        <v>2</v>
      </c>
      <c r="AJ356">
        <v>1</v>
      </c>
      <c r="AK356" s="1">
        <f t="shared" si="280"/>
        <v>177.63479836882649</v>
      </c>
      <c r="AL356">
        <v>12</v>
      </c>
      <c r="AM356">
        <f t="shared" si="251"/>
        <v>307.20000000000005</v>
      </c>
      <c r="AN356">
        <f t="shared" si="252"/>
        <v>30.720000000000006</v>
      </c>
      <c r="AO356">
        <f t="shared" si="253"/>
        <v>2400</v>
      </c>
      <c r="AP356">
        <f t="shared" si="254"/>
        <v>240</v>
      </c>
      <c r="AQ356">
        <f t="shared" si="255"/>
        <v>51.20000000000001</v>
      </c>
      <c r="AR356">
        <f t="shared" si="283"/>
        <v>5.120000000000001</v>
      </c>
      <c r="AS356">
        <f t="shared" si="256"/>
        <v>1.6</v>
      </c>
      <c r="AT356">
        <f t="shared" si="257"/>
        <v>1.5</v>
      </c>
      <c r="AU356">
        <f t="shared" si="258"/>
        <v>6</v>
      </c>
      <c r="AV356">
        <f t="shared" si="284"/>
        <v>4013</v>
      </c>
      <c r="AW356" s="1">
        <v>1</v>
      </c>
      <c r="AX356">
        <v>5</v>
      </c>
      <c r="AY356">
        <v>0.1</v>
      </c>
      <c r="BA356">
        <v>4</v>
      </c>
      <c r="BB356">
        <v>3</v>
      </c>
      <c r="CH356" t="str">
        <f t="shared" si="285"/>
        <v>DATA_Class_Base36</v>
      </c>
      <c r="CI356" s="3" t="s">
        <v>201</v>
      </c>
    </row>
    <row r="357" spans="1:87">
      <c r="A357">
        <f t="shared" si="281"/>
        <v>5123402</v>
      </c>
      <c r="B357" s="2" t="s">
        <v>565</v>
      </c>
      <c r="C357">
        <v>12</v>
      </c>
      <c r="D357">
        <v>4</v>
      </c>
      <c r="E357">
        <v>3</v>
      </c>
      <c r="F357" s="3" t="s">
        <v>567</v>
      </c>
      <c r="G357" s="3" t="s">
        <v>567</v>
      </c>
      <c r="H357">
        <v>0</v>
      </c>
      <c r="I357">
        <v>0</v>
      </c>
      <c r="J357" s="2">
        <v>0</v>
      </c>
      <c r="K357" s="8" t="s">
        <v>568</v>
      </c>
      <c r="L357" s="2">
        <f t="shared" si="282"/>
        <v>6</v>
      </c>
      <c r="M357" s="2">
        <f t="shared" si="271"/>
        <v>1.5</v>
      </c>
      <c r="N357" s="2">
        <f t="shared" si="272"/>
        <v>1.5</v>
      </c>
      <c r="O357" s="2">
        <v>10</v>
      </c>
      <c r="P357" s="2">
        <f t="shared" si="273"/>
        <v>343.2</v>
      </c>
      <c r="Q357" s="2">
        <f t="shared" si="274"/>
        <v>34.32</v>
      </c>
      <c r="R357" s="2">
        <f t="shared" si="275"/>
        <v>2436.92</v>
      </c>
      <c r="S357" s="2">
        <f t="shared" si="276"/>
        <v>243.69</v>
      </c>
      <c r="T357" s="2">
        <f t="shared" si="277"/>
        <v>49.03</v>
      </c>
      <c r="U357" s="2">
        <f t="shared" si="278"/>
        <v>4.9000000000000004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534023</v>
      </c>
      <c r="AB357" s="14" t="s">
        <v>798</v>
      </c>
      <c r="AC357" s="15" t="s">
        <v>890</v>
      </c>
      <c r="AD357" s="2">
        <v>5133402</v>
      </c>
      <c r="AE357" s="2">
        <v>0</v>
      </c>
      <c r="AF357" s="2">
        <v>1</v>
      </c>
      <c r="AG357" s="2">
        <f t="shared" si="279"/>
        <v>5063402</v>
      </c>
      <c r="AH357" s="2">
        <v>2</v>
      </c>
      <c r="AJ357">
        <v>1</v>
      </c>
      <c r="AK357" s="1">
        <f t="shared" si="280"/>
        <v>177.37319083123654</v>
      </c>
      <c r="AL357">
        <v>12</v>
      </c>
      <c r="AM357">
        <f t="shared" si="251"/>
        <v>312</v>
      </c>
      <c r="AN357">
        <f t="shared" si="252"/>
        <v>31.200000000000003</v>
      </c>
      <c r="AO357">
        <f t="shared" si="253"/>
        <v>2215.3846153846152</v>
      </c>
      <c r="AP357">
        <f t="shared" si="254"/>
        <v>221.53846153846155</v>
      </c>
      <c r="AQ357">
        <f t="shared" si="255"/>
        <v>44.571428571428569</v>
      </c>
      <c r="AR357">
        <f t="shared" si="283"/>
        <v>4.4571428571428573</v>
      </c>
      <c r="AS357">
        <f t="shared" si="256"/>
        <v>1.5</v>
      </c>
      <c r="AT357">
        <f t="shared" si="257"/>
        <v>1.5</v>
      </c>
      <c r="AU357">
        <f t="shared" si="258"/>
        <v>6</v>
      </c>
      <c r="AV357">
        <f t="shared" si="284"/>
        <v>4023</v>
      </c>
      <c r="AW357" s="1">
        <v>2</v>
      </c>
      <c r="AX357">
        <v>5</v>
      </c>
      <c r="AY357">
        <v>0.1</v>
      </c>
      <c r="BA357">
        <v>4</v>
      </c>
      <c r="BB357">
        <v>3</v>
      </c>
      <c r="CH357" t="str">
        <f t="shared" si="285"/>
        <v>DATA_Class_Base28</v>
      </c>
      <c r="CI357" s="3" t="s">
        <v>374</v>
      </c>
    </row>
    <row r="358" spans="1:87">
      <c r="A358">
        <f t="shared" si="281"/>
        <v>5123502</v>
      </c>
      <c r="B358" s="2" t="s">
        <v>574</v>
      </c>
      <c r="C358">
        <v>12</v>
      </c>
      <c r="D358">
        <v>5</v>
      </c>
      <c r="E358">
        <v>3</v>
      </c>
      <c r="F358" s="3" t="s">
        <v>576</v>
      </c>
      <c r="G358" s="3" t="s">
        <v>576</v>
      </c>
      <c r="H358">
        <v>0</v>
      </c>
      <c r="I358">
        <v>0</v>
      </c>
      <c r="J358" s="2">
        <v>0</v>
      </c>
      <c r="K358" s="8" t="s">
        <v>577</v>
      </c>
      <c r="L358" s="2">
        <f t="shared" si="282"/>
        <v>6</v>
      </c>
      <c r="M358" s="2">
        <f t="shared" si="271"/>
        <v>1.4000000000000001</v>
      </c>
      <c r="N358" s="2">
        <f t="shared" si="272"/>
        <v>2</v>
      </c>
      <c r="O358" s="2">
        <v>10</v>
      </c>
      <c r="P358" s="2">
        <f t="shared" si="273"/>
        <v>332.64</v>
      </c>
      <c r="Q358" s="2">
        <f t="shared" si="274"/>
        <v>33.26</v>
      </c>
      <c r="R358" s="2">
        <f t="shared" si="275"/>
        <v>2346.67</v>
      </c>
      <c r="S358" s="2">
        <f t="shared" si="276"/>
        <v>234.67</v>
      </c>
      <c r="T358" s="2">
        <f t="shared" si="277"/>
        <v>47.52</v>
      </c>
      <c r="U358" s="2">
        <f t="shared" si="278"/>
        <v>4.75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535023</v>
      </c>
      <c r="AB358" s="14" t="s">
        <v>800</v>
      </c>
      <c r="AC358" s="15" t="s">
        <v>890</v>
      </c>
      <c r="AD358" s="2">
        <v>5133502</v>
      </c>
      <c r="AE358" s="2">
        <v>0</v>
      </c>
      <c r="AF358" s="2">
        <v>1</v>
      </c>
      <c r="AG358" s="2">
        <f t="shared" si="279"/>
        <v>5063502</v>
      </c>
      <c r="AH358" s="2">
        <v>2</v>
      </c>
      <c r="AJ358">
        <v>1</v>
      </c>
      <c r="AK358" s="1">
        <f t="shared" si="280"/>
        <v>177.31916130908152</v>
      </c>
      <c r="AL358">
        <v>12</v>
      </c>
      <c r="AM358">
        <f t="shared" si="251"/>
        <v>302.39999999999998</v>
      </c>
      <c r="AN358">
        <f t="shared" si="252"/>
        <v>30.24</v>
      </c>
      <c r="AO358">
        <f t="shared" si="253"/>
        <v>2133.333333333333</v>
      </c>
      <c r="AP358">
        <f t="shared" si="254"/>
        <v>213.33333333333331</v>
      </c>
      <c r="AQ358">
        <f t="shared" si="255"/>
        <v>43.199999999999996</v>
      </c>
      <c r="AR358">
        <f t="shared" si="283"/>
        <v>4.3199999999999994</v>
      </c>
      <c r="AS358">
        <f t="shared" si="256"/>
        <v>1.4</v>
      </c>
      <c r="AT358">
        <f t="shared" si="257"/>
        <v>2</v>
      </c>
      <c r="AU358">
        <f t="shared" si="258"/>
        <v>6</v>
      </c>
      <c r="AV358">
        <f t="shared" si="284"/>
        <v>5023</v>
      </c>
      <c r="AW358" s="1">
        <v>2</v>
      </c>
      <c r="AX358">
        <v>5</v>
      </c>
      <c r="AY358">
        <v>0.1</v>
      </c>
      <c r="BA358">
        <v>5</v>
      </c>
      <c r="BB358">
        <v>3</v>
      </c>
      <c r="CH358" t="str">
        <f t="shared" si="285"/>
        <v>DATA_Class_Base29</v>
      </c>
      <c r="CI358" s="3" t="s">
        <v>378</v>
      </c>
    </row>
    <row r="359" spans="1:87">
      <c r="A359">
        <f t="shared" si="281"/>
        <v>5123601</v>
      </c>
      <c r="B359" s="2" t="s">
        <v>579</v>
      </c>
      <c r="C359">
        <v>12</v>
      </c>
      <c r="D359">
        <v>6</v>
      </c>
      <c r="E359">
        <v>3</v>
      </c>
      <c r="F359" s="3" t="s">
        <v>581</v>
      </c>
      <c r="G359" s="3" t="s">
        <v>581</v>
      </c>
      <c r="H359">
        <v>0</v>
      </c>
      <c r="I359">
        <v>0</v>
      </c>
      <c r="J359">
        <v>0</v>
      </c>
      <c r="K359" s="2" t="s">
        <v>309</v>
      </c>
      <c r="L359" s="2">
        <f t="shared" si="282"/>
        <v>6</v>
      </c>
      <c r="M359" s="2">
        <f t="shared" si="271"/>
        <v>1.5</v>
      </c>
      <c r="N359" s="2">
        <f t="shared" si="272"/>
        <v>2</v>
      </c>
      <c r="O359" s="2">
        <v>10</v>
      </c>
      <c r="P359" s="2">
        <f t="shared" si="273"/>
        <v>237.6</v>
      </c>
      <c r="Q359" s="2">
        <f t="shared" si="274"/>
        <v>23.76</v>
      </c>
      <c r="R359" s="2">
        <f t="shared" si="275"/>
        <v>3520</v>
      </c>
      <c r="S359" s="2">
        <f t="shared" si="276"/>
        <v>352</v>
      </c>
      <c r="T359" s="2">
        <f t="shared" si="277"/>
        <v>79.2</v>
      </c>
      <c r="U359" s="2">
        <f t="shared" si="278"/>
        <v>7.92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536013</v>
      </c>
      <c r="AB359" s="14" t="s">
        <v>801</v>
      </c>
      <c r="AC359" s="15" t="s">
        <v>890</v>
      </c>
      <c r="AD359" s="2">
        <v>5133601</v>
      </c>
      <c r="AE359" s="2">
        <v>0</v>
      </c>
      <c r="AF359" s="2">
        <v>1</v>
      </c>
      <c r="AG359" s="2">
        <f t="shared" si="279"/>
        <v>5063601</v>
      </c>
      <c r="AH359" s="2">
        <v>2</v>
      </c>
      <c r="AJ359">
        <v>1</v>
      </c>
      <c r="AK359" s="1">
        <f t="shared" si="280"/>
        <v>178.46073809136726</v>
      </c>
      <c r="AL359">
        <v>12</v>
      </c>
      <c r="AM359">
        <f t="shared" si="251"/>
        <v>216</v>
      </c>
      <c r="AN359">
        <f t="shared" si="252"/>
        <v>21.6</v>
      </c>
      <c r="AO359">
        <f t="shared" si="253"/>
        <v>3200</v>
      </c>
      <c r="AP359">
        <f t="shared" si="254"/>
        <v>320</v>
      </c>
      <c r="AQ359">
        <f t="shared" si="255"/>
        <v>72</v>
      </c>
      <c r="AR359">
        <f t="shared" si="283"/>
        <v>7.2</v>
      </c>
      <c r="AS359">
        <f t="shared" si="256"/>
        <v>1.5</v>
      </c>
      <c r="AT359">
        <f t="shared" si="257"/>
        <v>2</v>
      </c>
      <c r="AU359">
        <f t="shared" si="258"/>
        <v>6</v>
      </c>
      <c r="AV359">
        <f t="shared" si="284"/>
        <v>6013</v>
      </c>
      <c r="AW359" s="1">
        <v>1</v>
      </c>
      <c r="AX359">
        <v>5</v>
      </c>
      <c r="AY359">
        <v>0.1</v>
      </c>
      <c r="BA359">
        <v>6</v>
      </c>
      <c r="BB359">
        <v>3</v>
      </c>
      <c r="CH359" t="str">
        <f t="shared" si="285"/>
        <v>DATA_Class_Base30</v>
      </c>
      <c r="CI359" s="3" t="s">
        <v>381</v>
      </c>
    </row>
    <row r="360" spans="1:87">
      <c r="A360">
        <f t="shared" si="281"/>
        <v>5124201</v>
      </c>
      <c r="B360" s="2" t="s">
        <v>583</v>
      </c>
      <c r="C360">
        <v>12</v>
      </c>
      <c r="D360">
        <v>2</v>
      </c>
      <c r="E360">
        <v>4</v>
      </c>
      <c r="F360" s="3" t="s">
        <v>585</v>
      </c>
      <c r="G360" s="3" t="s">
        <v>585</v>
      </c>
      <c r="H360">
        <v>0</v>
      </c>
      <c r="I360">
        <v>0</v>
      </c>
      <c r="J360" s="30">
        <v>0</v>
      </c>
      <c r="K360" s="8" t="s">
        <v>555</v>
      </c>
      <c r="L360" s="2">
        <f t="shared" si="282"/>
        <v>3</v>
      </c>
      <c r="M360" s="2">
        <f t="shared" si="271"/>
        <v>1.8</v>
      </c>
      <c r="N360" s="2">
        <f t="shared" si="272"/>
        <v>1.8</v>
      </c>
      <c r="O360" s="2">
        <v>10</v>
      </c>
      <c r="P360" s="2">
        <f t="shared" si="273"/>
        <v>253.44</v>
      </c>
      <c r="Q360" s="2">
        <f t="shared" si="274"/>
        <v>25.34</v>
      </c>
      <c r="R360" s="2">
        <f t="shared" si="275"/>
        <v>3960</v>
      </c>
      <c r="S360" s="2">
        <f t="shared" si="276"/>
        <v>396</v>
      </c>
      <c r="T360" s="2">
        <f t="shared" si="277"/>
        <v>97.48</v>
      </c>
      <c r="U360" s="2">
        <f t="shared" si="278"/>
        <v>9.75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542013</v>
      </c>
      <c r="AB360" s="15" t="s">
        <v>802</v>
      </c>
      <c r="AC360" s="15" t="s">
        <v>890</v>
      </c>
      <c r="AD360" s="2">
        <v>5134201</v>
      </c>
      <c r="AE360" s="2">
        <v>0</v>
      </c>
      <c r="AF360" s="2">
        <v>1</v>
      </c>
      <c r="AG360" s="2">
        <f t="shared" si="279"/>
        <v>5064201</v>
      </c>
      <c r="AH360" s="2">
        <v>2</v>
      </c>
      <c r="AI360" s="2"/>
      <c r="AJ360">
        <v>1</v>
      </c>
      <c r="AK360" s="1">
        <f t="shared" si="280"/>
        <v>179.12605126402735</v>
      </c>
      <c r="AL360">
        <v>12</v>
      </c>
      <c r="AM360">
        <f t="shared" si="251"/>
        <v>230.40000000000003</v>
      </c>
      <c r="AN360">
        <f t="shared" si="252"/>
        <v>23.040000000000006</v>
      </c>
      <c r="AO360">
        <f t="shared" si="253"/>
        <v>3600</v>
      </c>
      <c r="AP360">
        <f t="shared" si="254"/>
        <v>360</v>
      </c>
      <c r="AQ360">
        <f t="shared" si="255"/>
        <v>88.615384615384627</v>
      </c>
      <c r="AR360">
        <f t="shared" si="283"/>
        <v>8.8615384615384638</v>
      </c>
      <c r="AS360">
        <f t="shared" si="256"/>
        <v>1.8</v>
      </c>
      <c r="AT360">
        <f t="shared" si="257"/>
        <v>1.8</v>
      </c>
      <c r="AU360">
        <f t="shared" si="258"/>
        <v>3</v>
      </c>
      <c r="AV360">
        <f t="shared" si="284"/>
        <v>2014</v>
      </c>
      <c r="AW360" s="1">
        <v>1</v>
      </c>
      <c r="AX360">
        <v>5</v>
      </c>
      <c r="AY360">
        <v>0.1</v>
      </c>
      <c r="BA360">
        <v>2</v>
      </c>
      <c r="BB360">
        <v>4</v>
      </c>
      <c r="CH360" t="str">
        <f t="shared" si="285"/>
        <v>DATA_Class_Base31</v>
      </c>
      <c r="CI360" s="3" t="s">
        <v>384</v>
      </c>
    </row>
    <row r="361" spans="1:87">
      <c r="A361">
        <f t="shared" si="281"/>
        <v>5124501</v>
      </c>
      <c r="B361" s="2" t="s">
        <v>592</v>
      </c>
      <c r="C361">
        <v>12</v>
      </c>
      <c r="D361">
        <v>5</v>
      </c>
      <c r="E361">
        <v>4</v>
      </c>
      <c r="F361" s="3" t="s">
        <v>594</v>
      </c>
      <c r="G361" s="3" t="s">
        <v>594</v>
      </c>
      <c r="H361">
        <v>0</v>
      </c>
      <c r="I361">
        <v>0</v>
      </c>
      <c r="J361">
        <v>0</v>
      </c>
      <c r="K361" s="2" t="s">
        <v>334</v>
      </c>
      <c r="L361" s="2">
        <f t="shared" si="282"/>
        <v>6</v>
      </c>
      <c r="M361" s="2">
        <f t="shared" si="271"/>
        <v>1.6</v>
      </c>
      <c r="N361" s="2">
        <f t="shared" si="272"/>
        <v>2</v>
      </c>
      <c r="O361" s="2">
        <v>10</v>
      </c>
      <c r="P361" s="2">
        <f t="shared" si="273"/>
        <v>366.08</v>
      </c>
      <c r="Q361" s="2">
        <f t="shared" si="274"/>
        <v>36.61</v>
      </c>
      <c r="R361" s="2">
        <f t="shared" si="275"/>
        <v>2436.92</v>
      </c>
      <c r="S361" s="2">
        <f t="shared" si="276"/>
        <v>243.69</v>
      </c>
      <c r="T361" s="2">
        <f t="shared" si="277"/>
        <v>40.68</v>
      </c>
      <c r="U361" s="2">
        <f t="shared" si="278"/>
        <v>4.07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545013</v>
      </c>
      <c r="AB361" s="14" t="s">
        <v>804</v>
      </c>
      <c r="AC361" s="15" t="s">
        <v>890</v>
      </c>
      <c r="AD361" s="2">
        <v>5134501</v>
      </c>
      <c r="AE361" s="2">
        <v>0</v>
      </c>
      <c r="AF361" s="2">
        <v>1</v>
      </c>
      <c r="AG361" s="2">
        <f t="shared" si="279"/>
        <v>5064501</v>
      </c>
      <c r="AH361" s="2">
        <v>2</v>
      </c>
      <c r="AI361" s="2"/>
      <c r="AJ361">
        <v>1</v>
      </c>
      <c r="AK361" s="1">
        <f t="shared" si="280"/>
        <v>177.07444024634179</v>
      </c>
      <c r="AL361">
        <v>12</v>
      </c>
      <c r="AM361">
        <f t="shared" ref="AM361:AM367" si="286">INDEX($BE$5:$BE$58,MATCH($AV361,$BC$5:$BC$58,0))*$AS361/1.5*$BI$4*INDEX($BE$109:$BR$109,MATCH($AL361,$BE$108:$BR$108,0))</f>
        <v>332.8</v>
      </c>
      <c r="AN361">
        <f t="shared" ref="AN361:AN367" si="287">(INDEX($BE$5:$BE$58,MATCH($AV361,$BC$5:$BC$58,0))*$AS361/1.5*$BI$4*INDEX($BE$109:$BR$109,MATCH($AL361,$BE$108:$BR$108,0)))*0.1</f>
        <v>33.28</v>
      </c>
      <c r="AO361">
        <f t="shared" ref="AO361:AO367" si="288">INDEX($BF$5:$BF$58,MATCH($AV361,$BC$5:$BC$58,0))*$BJ$4*INDEX($BE$109:$BR$109,MATCH($AL361,$BE$108:$BR$108,0))</f>
        <v>2215.3846153846152</v>
      </c>
      <c r="AP361">
        <f t="shared" ref="AP361:AP367" si="289">(INDEX($BF$5:$BF$58,MATCH($AV361,$BC$5:$BC$58,0))*$BJ$4*INDEX($BE$109:$BR$109,MATCH($AL361,$BE$108:$BR$108,0)))*0.1</f>
        <v>221.53846153846155</v>
      </c>
      <c r="AQ361">
        <f t="shared" ref="AQ361:AQ367" si="290">$AM361/INDEX($BG$5:$BG$58,MATCH($AV361,$BC$5:$BC$58,0))</f>
        <v>36.977777777777781</v>
      </c>
      <c r="AR361">
        <f t="shared" si="283"/>
        <v>3.6977777777777785</v>
      </c>
      <c r="AS361">
        <f t="shared" ref="AS361:AS367" si="291">INDEX($BH$5:$BH$58,MATCH($AV361,$BC$5:$BC$58,0))</f>
        <v>1.6</v>
      </c>
      <c r="AT361">
        <f t="shared" ref="AT361:AT367" si="292">ROUND(IF(INDEX($BP$5:$BP$58,MATCH($AV361,$BC$5:$BC$58,0))&lt;2,INDEX($BP$5:$BP$58,MATCH($AV361,$BC$5:$BC$58,0))+0.2,2),1)</f>
        <v>2</v>
      </c>
      <c r="AU361">
        <f t="shared" ref="AU361:AU367" si="293">INDEX($BL$5:$BL$58,MATCH($AV361,$BC$5:$BC$58,0))</f>
        <v>6</v>
      </c>
      <c r="AV361">
        <f t="shared" si="284"/>
        <v>5014</v>
      </c>
      <c r="AW361" s="1">
        <v>1</v>
      </c>
      <c r="AX361">
        <v>5</v>
      </c>
      <c r="AY361">
        <v>0.1</v>
      </c>
      <c r="BA361">
        <v>5</v>
      </c>
      <c r="BB361">
        <v>4</v>
      </c>
      <c r="CH361" t="str">
        <f t="shared" si="285"/>
        <v>DATA_Class_Base32</v>
      </c>
      <c r="CI361" s="3" t="s">
        <v>388</v>
      </c>
    </row>
    <row r="362" spans="1:87">
      <c r="A362">
        <f t="shared" si="281"/>
        <v>5124600</v>
      </c>
      <c r="B362" s="2" t="s">
        <v>596</v>
      </c>
      <c r="C362">
        <v>12</v>
      </c>
      <c r="D362">
        <v>6</v>
      </c>
      <c r="E362">
        <v>4</v>
      </c>
      <c r="F362" s="3" t="s">
        <v>598</v>
      </c>
      <c r="G362" s="3" t="s">
        <v>598</v>
      </c>
      <c r="H362">
        <v>0</v>
      </c>
      <c r="I362">
        <v>0</v>
      </c>
      <c r="J362" s="2">
        <v>0</v>
      </c>
      <c r="K362" s="2" t="s">
        <v>339</v>
      </c>
      <c r="L362" s="2">
        <f t="shared" si="282"/>
        <v>3</v>
      </c>
      <c r="M362" s="2">
        <f t="shared" si="271"/>
        <v>1.4000000000000001</v>
      </c>
      <c r="N362" s="2">
        <f t="shared" si="272"/>
        <v>1.9000000000000001</v>
      </c>
      <c r="O362" s="2">
        <v>10</v>
      </c>
      <c r="P362" s="2">
        <f t="shared" si="273"/>
        <v>271.04000000000002</v>
      </c>
      <c r="Q362" s="2">
        <f t="shared" si="274"/>
        <v>27.1</v>
      </c>
      <c r="R362" s="2">
        <f t="shared" si="275"/>
        <v>2880</v>
      </c>
      <c r="S362" s="2">
        <f t="shared" si="276"/>
        <v>288</v>
      </c>
      <c r="T362" s="2">
        <f t="shared" si="277"/>
        <v>67.760000000000005</v>
      </c>
      <c r="U362" s="2">
        <f t="shared" si="278"/>
        <v>6.78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546003</v>
      </c>
      <c r="AB362" s="14" t="s">
        <v>805</v>
      </c>
      <c r="AC362" s="15" t="s">
        <v>890</v>
      </c>
      <c r="AD362" s="2">
        <v>5134600</v>
      </c>
      <c r="AE362" s="2">
        <v>0</v>
      </c>
      <c r="AF362" s="2">
        <v>1</v>
      </c>
      <c r="AG362" s="2">
        <f t="shared" si="279"/>
        <v>5064600</v>
      </c>
      <c r="AH362" s="2">
        <v>2</v>
      </c>
      <c r="AI362" s="2"/>
      <c r="AJ362">
        <v>1</v>
      </c>
      <c r="AK362" s="1">
        <f t="shared" si="280"/>
        <v>178.04681037419104</v>
      </c>
      <c r="AL362">
        <v>12</v>
      </c>
      <c r="AM362">
        <f t="shared" si="286"/>
        <v>246.39999999999998</v>
      </c>
      <c r="AN362">
        <f t="shared" si="287"/>
        <v>24.64</v>
      </c>
      <c r="AO362">
        <f t="shared" si="288"/>
        <v>2618.181818181818</v>
      </c>
      <c r="AP362">
        <f t="shared" si="289"/>
        <v>261.81818181818181</v>
      </c>
      <c r="AQ362">
        <f t="shared" si="290"/>
        <v>61.599999999999994</v>
      </c>
      <c r="AR362">
        <f t="shared" si="283"/>
        <v>6.16</v>
      </c>
      <c r="AS362">
        <f t="shared" si="291"/>
        <v>1.4</v>
      </c>
      <c r="AT362">
        <f t="shared" si="292"/>
        <v>1.9</v>
      </c>
      <c r="AU362">
        <f t="shared" si="293"/>
        <v>3</v>
      </c>
      <c r="AV362">
        <f t="shared" si="284"/>
        <v>6004</v>
      </c>
      <c r="AW362" s="1">
        <v>0</v>
      </c>
      <c r="AX362">
        <v>5</v>
      </c>
      <c r="AY362">
        <v>0.1</v>
      </c>
      <c r="BA362">
        <v>6</v>
      </c>
      <c r="BB362">
        <v>4</v>
      </c>
      <c r="CH362" t="str">
        <f t="shared" si="285"/>
        <v>DATA_Class_Base33</v>
      </c>
      <c r="CI362" s="3" t="s">
        <v>391</v>
      </c>
    </row>
    <row r="363" spans="1:87">
      <c r="A363">
        <f t="shared" si="281"/>
        <v>5124602</v>
      </c>
      <c r="B363" s="2" t="s">
        <v>600</v>
      </c>
      <c r="C363">
        <v>12</v>
      </c>
      <c r="D363">
        <v>6</v>
      </c>
      <c r="E363">
        <v>4</v>
      </c>
      <c r="F363" s="3" t="s">
        <v>602</v>
      </c>
      <c r="G363" s="3" t="s">
        <v>602</v>
      </c>
      <c r="H363">
        <v>0</v>
      </c>
      <c r="I363">
        <v>0</v>
      </c>
      <c r="J363" t="s">
        <v>345</v>
      </c>
      <c r="K363" s="2" t="s">
        <v>346</v>
      </c>
      <c r="L363" s="2">
        <f t="shared" si="282"/>
        <v>6</v>
      </c>
      <c r="M363" s="2">
        <f t="shared" si="271"/>
        <v>1.8</v>
      </c>
      <c r="N363" s="2">
        <f t="shared" si="272"/>
        <v>2</v>
      </c>
      <c r="O363" s="2">
        <v>10</v>
      </c>
      <c r="P363" s="2">
        <f t="shared" si="273"/>
        <v>316.8</v>
      </c>
      <c r="Q363" s="2">
        <f t="shared" si="274"/>
        <v>31.68</v>
      </c>
      <c r="R363" s="2">
        <f t="shared" si="275"/>
        <v>3168</v>
      </c>
      <c r="S363" s="2">
        <f t="shared" si="276"/>
        <v>316.8</v>
      </c>
      <c r="T363" s="2">
        <f t="shared" si="277"/>
        <v>63.36</v>
      </c>
      <c r="U363" s="2">
        <f t="shared" si="278"/>
        <v>6.34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546023</v>
      </c>
      <c r="AB363" s="14" t="s">
        <v>806</v>
      </c>
      <c r="AC363" s="15" t="s">
        <v>890</v>
      </c>
      <c r="AD363" s="2">
        <v>5134602</v>
      </c>
      <c r="AE363" s="2">
        <v>0</v>
      </c>
      <c r="AF363" s="2">
        <v>1</v>
      </c>
      <c r="AG363" s="2">
        <f t="shared" si="279"/>
        <v>5064602</v>
      </c>
      <c r="AH363" s="2">
        <v>2</v>
      </c>
      <c r="AI363" s="2"/>
      <c r="AJ363">
        <v>1</v>
      </c>
      <c r="AK363" s="1">
        <f t="shared" si="280"/>
        <v>177.88811823426462</v>
      </c>
      <c r="AL363">
        <v>12</v>
      </c>
      <c r="AM363">
        <f t="shared" si="286"/>
        <v>288</v>
      </c>
      <c r="AN363">
        <f t="shared" si="287"/>
        <v>28.8</v>
      </c>
      <c r="AO363">
        <f t="shared" si="288"/>
        <v>2880</v>
      </c>
      <c r="AP363">
        <f t="shared" si="289"/>
        <v>288</v>
      </c>
      <c r="AQ363">
        <f t="shared" si="290"/>
        <v>57.6</v>
      </c>
      <c r="AR363">
        <f t="shared" si="283"/>
        <v>5.7600000000000007</v>
      </c>
      <c r="AS363">
        <f t="shared" si="291"/>
        <v>1.8</v>
      </c>
      <c r="AT363">
        <f t="shared" si="292"/>
        <v>2</v>
      </c>
      <c r="AU363">
        <f t="shared" si="293"/>
        <v>6</v>
      </c>
      <c r="AV363">
        <f t="shared" si="284"/>
        <v>6024</v>
      </c>
      <c r="AW363" s="1">
        <v>2</v>
      </c>
      <c r="AX363">
        <v>5</v>
      </c>
      <c r="AY363">
        <v>0.1</v>
      </c>
      <c r="BA363">
        <v>6</v>
      </c>
      <c r="BB363">
        <v>4</v>
      </c>
      <c r="CH363" t="str">
        <f t="shared" si="285"/>
        <v>DATA_Class_Base34</v>
      </c>
      <c r="CI363" s="3" t="s">
        <v>184</v>
      </c>
    </row>
    <row r="364" spans="1:87">
      <c r="A364">
        <f t="shared" si="281"/>
        <v>5125300</v>
      </c>
      <c r="B364" s="2" t="s">
        <v>609</v>
      </c>
      <c r="C364">
        <v>12</v>
      </c>
      <c r="D364">
        <v>3</v>
      </c>
      <c r="E364">
        <v>5</v>
      </c>
      <c r="F364" s="3" t="s">
        <v>611</v>
      </c>
      <c r="G364" s="3" t="s">
        <v>611</v>
      </c>
      <c r="H364">
        <v>0</v>
      </c>
      <c r="I364">
        <v>0</v>
      </c>
      <c r="J364" s="2">
        <v>0</v>
      </c>
      <c r="K364" s="8" t="s">
        <v>612</v>
      </c>
      <c r="L364" s="2">
        <f t="shared" si="282"/>
        <v>3</v>
      </c>
      <c r="M364" s="2">
        <f t="shared" si="271"/>
        <v>1.3</v>
      </c>
      <c r="N364" s="2">
        <f t="shared" si="272"/>
        <v>2</v>
      </c>
      <c r="O364" s="2">
        <v>10</v>
      </c>
      <c r="P364" s="2">
        <f t="shared" si="273"/>
        <v>263.12</v>
      </c>
      <c r="Q364" s="2">
        <f t="shared" si="274"/>
        <v>26.31</v>
      </c>
      <c r="R364" s="2">
        <f t="shared" si="275"/>
        <v>2754.78</v>
      </c>
      <c r="S364" s="2">
        <f t="shared" si="276"/>
        <v>275.48</v>
      </c>
      <c r="T364" s="2">
        <f t="shared" si="277"/>
        <v>32.89</v>
      </c>
      <c r="U364" s="2">
        <f t="shared" si="278"/>
        <v>3.29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553003</v>
      </c>
      <c r="AB364" s="14" t="s">
        <v>808</v>
      </c>
      <c r="AC364" s="15" t="s">
        <v>890</v>
      </c>
      <c r="AD364" s="2">
        <v>5135300</v>
      </c>
      <c r="AE364" s="2">
        <v>0</v>
      </c>
      <c r="AF364" s="2">
        <v>1</v>
      </c>
      <c r="AG364" s="2">
        <f t="shared" si="279"/>
        <v>5065300</v>
      </c>
      <c r="AH364" s="2">
        <v>2</v>
      </c>
      <c r="AI364" s="2"/>
      <c r="AJ364">
        <v>1</v>
      </c>
      <c r="AK364" s="1">
        <f t="shared" si="280"/>
        <v>176.79688994203869</v>
      </c>
      <c r="AL364">
        <v>12</v>
      </c>
      <c r="AM364">
        <f t="shared" si="286"/>
        <v>239.19999999999996</v>
      </c>
      <c r="AN364">
        <f t="shared" si="287"/>
        <v>23.919999999999998</v>
      </c>
      <c r="AO364">
        <f t="shared" si="288"/>
        <v>2504.347826086957</v>
      </c>
      <c r="AP364">
        <f t="shared" si="289"/>
        <v>250.43478260869571</v>
      </c>
      <c r="AQ364">
        <f t="shared" si="290"/>
        <v>29.899999999999995</v>
      </c>
      <c r="AR364">
        <f t="shared" si="283"/>
        <v>2.9899999999999998</v>
      </c>
      <c r="AS364">
        <f t="shared" si="291"/>
        <v>1.3</v>
      </c>
      <c r="AT364">
        <f t="shared" si="292"/>
        <v>2</v>
      </c>
      <c r="AU364">
        <f t="shared" si="293"/>
        <v>3</v>
      </c>
      <c r="AV364">
        <f t="shared" si="284"/>
        <v>3005</v>
      </c>
      <c r="AW364" s="1">
        <v>0</v>
      </c>
      <c r="AX364">
        <v>5</v>
      </c>
      <c r="AY364">
        <v>0.1</v>
      </c>
      <c r="BA364">
        <v>3</v>
      </c>
      <c r="BB364">
        <v>5</v>
      </c>
      <c r="CH364" t="str">
        <f t="shared" si="285"/>
        <v>DATA_Class_Base35</v>
      </c>
      <c r="CI364" s="3" t="s">
        <v>195</v>
      </c>
    </row>
    <row r="365" spans="1:87">
      <c r="A365">
        <f t="shared" si="281"/>
        <v>5125302</v>
      </c>
      <c r="B365" s="2" t="s">
        <v>614</v>
      </c>
      <c r="C365">
        <v>12</v>
      </c>
      <c r="D365">
        <v>3</v>
      </c>
      <c r="E365">
        <v>5</v>
      </c>
      <c r="F365" s="3" t="s">
        <v>616</v>
      </c>
      <c r="G365" s="3" t="s">
        <v>616</v>
      </c>
      <c r="H365">
        <v>0</v>
      </c>
      <c r="I365">
        <v>0</v>
      </c>
      <c r="J365" s="2">
        <v>0</v>
      </c>
      <c r="K365" s="2" t="s">
        <v>358</v>
      </c>
      <c r="L365" s="2">
        <f t="shared" si="282"/>
        <v>3</v>
      </c>
      <c r="M365" s="2">
        <f t="shared" si="271"/>
        <v>1.4000000000000001</v>
      </c>
      <c r="N365" s="2">
        <f t="shared" si="272"/>
        <v>2</v>
      </c>
      <c r="O365" s="2">
        <v>10</v>
      </c>
      <c r="P365" s="2">
        <f t="shared" si="273"/>
        <v>295.68</v>
      </c>
      <c r="Q365" s="2">
        <f t="shared" si="274"/>
        <v>29.57</v>
      </c>
      <c r="R365" s="2">
        <f t="shared" si="275"/>
        <v>2640</v>
      </c>
      <c r="S365" s="2">
        <f t="shared" si="276"/>
        <v>264</v>
      </c>
      <c r="T365" s="2">
        <f t="shared" si="277"/>
        <v>42.24</v>
      </c>
      <c r="U365" s="2">
        <f t="shared" si="278"/>
        <v>4.22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553023</v>
      </c>
      <c r="AB365" s="14" t="s">
        <v>809</v>
      </c>
      <c r="AC365" s="15" t="s">
        <v>890</v>
      </c>
      <c r="AD365" s="2">
        <v>5135302</v>
      </c>
      <c r="AE365" s="2">
        <v>0</v>
      </c>
      <c r="AF365" s="2">
        <v>1</v>
      </c>
      <c r="AG365" s="2">
        <f t="shared" si="279"/>
        <v>5065302</v>
      </c>
      <c r="AH365" s="2">
        <v>2</v>
      </c>
      <c r="AI365" s="2"/>
      <c r="AJ365">
        <v>1</v>
      </c>
      <c r="AK365" s="1">
        <f t="shared" si="280"/>
        <v>177.13031691731746</v>
      </c>
      <c r="AL365">
        <v>12</v>
      </c>
      <c r="AM365">
        <f t="shared" si="286"/>
        <v>268.79999999999995</v>
      </c>
      <c r="AN365">
        <f t="shared" si="287"/>
        <v>26.879999999999995</v>
      </c>
      <c r="AO365">
        <f t="shared" si="288"/>
        <v>2400</v>
      </c>
      <c r="AP365">
        <f t="shared" si="289"/>
        <v>240</v>
      </c>
      <c r="AQ365">
        <f t="shared" si="290"/>
        <v>38.399999999999991</v>
      </c>
      <c r="AR365">
        <f t="shared" si="283"/>
        <v>3.8399999999999994</v>
      </c>
      <c r="AS365">
        <f t="shared" si="291"/>
        <v>1.4</v>
      </c>
      <c r="AT365">
        <f t="shared" si="292"/>
        <v>2</v>
      </c>
      <c r="AU365">
        <f t="shared" si="293"/>
        <v>3</v>
      </c>
      <c r="AV365">
        <f t="shared" si="284"/>
        <v>3025</v>
      </c>
      <c r="AW365" s="1">
        <v>2</v>
      </c>
      <c r="AX365">
        <v>5</v>
      </c>
      <c r="AY365">
        <v>0.1</v>
      </c>
      <c r="BA365">
        <v>3</v>
      </c>
      <c r="BB365">
        <v>5</v>
      </c>
      <c r="CH365" t="str">
        <f t="shared" si="285"/>
        <v>DATA_Class_Base36</v>
      </c>
      <c r="CI365" s="3" t="s">
        <v>201</v>
      </c>
    </row>
    <row r="366" spans="1:87">
      <c r="A366">
        <f t="shared" si="281"/>
        <v>5125400</v>
      </c>
      <c r="B366" s="2" t="s">
        <v>618</v>
      </c>
      <c r="C366">
        <v>12</v>
      </c>
      <c r="D366">
        <v>4</v>
      </c>
      <c r="E366">
        <v>5</v>
      </c>
      <c r="F366" s="3" t="s">
        <v>620</v>
      </c>
      <c r="G366" s="3" t="s">
        <v>620</v>
      </c>
      <c r="H366">
        <v>0</v>
      </c>
      <c r="I366">
        <v>0</v>
      </c>
      <c r="J366">
        <v>0</v>
      </c>
      <c r="K366" s="2" t="s">
        <v>364</v>
      </c>
      <c r="L366" s="2">
        <f t="shared" si="282"/>
        <v>6</v>
      </c>
      <c r="M366" s="2">
        <f t="shared" si="271"/>
        <v>1.4000000000000001</v>
      </c>
      <c r="N366" s="2">
        <f t="shared" si="272"/>
        <v>2</v>
      </c>
      <c r="O366" s="2">
        <v>10</v>
      </c>
      <c r="P366" s="2">
        <f t="shared" si="273"/>
        <v>308</v>
      </c>
      <c r="Q366" s="2">
        <f t="shared" si="274"/>
        <v>30.8</v>
      </c>
      <c r="R366" s="2">
        <f t="shared" si="275"/>
        <v>2534.4</v>
      </c>
      <c r="S366" s="2">
        <f t="shared" si="276"/>
        <v>253.44</v>
      </c>
      <c r="T366" s="2">
        <f t="shared" si="277"/>
        <v>51.33</v>
      </c>
      <c r="U366" s="2">
        <f t="shared" si="278"/>
        <v>5.13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554003</v>
      </c>
      <c r="AB366" s="14" t="s">
        <v>810</v>
      </c>
      <c r="AC366" s="15" t="s">
        <v>890</v>
      </c>
      <c r="AD366" s="2">
        <v>5135400</v>
      </c>
      <c r="AE366" s="2">
        <v>0</v>
      </c>
      <c r="AF366" s="2">
        <v>1</v>
      </c>
      <c r="AG366" s="2">
        <f t="shared" si="279"/>
        <v>5065400</v>
      </c>
      <c r="AH366" s="2">
        <v>2</v>
      </c>
      <c r="AI366" s="2"/>
      <c r="AJ366">
        <v>1</v>
      </c>
      <c r="AK366" s="1">
        <f t="shared" si="280"/>
        <v>177.45579954196418</v>
      </c>
      <c r="AL366">
        <v>12</v>
      </c>
      <c r="AM366">
        <f t="shared" si="286"/>
        <v>280</v>
      </c>
      <c r="AN366">
        <f t="shared" si="287"/>
        <v>28</v>
      </c>
      <c r="AO366">
        <f t="shared" si="288"/>
        <v>2304</v>
      </c>
      <c r="AP366">
        <f t="shared" si="289"/>
        <v>230.4</v>
      </c>
      <c r="AQ366">
        <f t="shared" si="290"/>
        <v>46.666666666666664</v>
      </c>
      <c r="AR366">
        <f t="shared" si="283"/>
        <v>4.666666666666667</v>
      </c>
      <c r="AS366">
        <f t="shared" si="291"/>
        <v>1.4</v>
      </c>
      <c r="AT366">
        <f t="shared" si="292"/>
        <v>2</v>
      </c>
      <c r="AU366">
        <f t="shared" si="293"/>
        <v>6</v>
      </c>
      <c r="AV366">
        <f t="shared" si="284"/>
        <v>4005</v>
      </c>
      <c r="AW366" s="1">
        <v>0</v>
      </c>
      <c r="AX366">
        <v>5</v>
      </c>
      <c r="AY366">
        <v>0.1</v>
      </c>
      <c r="BA366">
        <v>4</v>
      </c>
      <c r="BB366">
        <v>5</v>
      </c>
      <c r="CB366" s="13"/>
      <c r="CC366" s="13"/>
      <c r="CD366" s="13"/>
      <c r="CH366" t="str">
        <f t="shared" si="285"/>
        <v>DATA_Class_Base29</v>
      </c>
      <c r="CI366" s="3" t="s">
        <v>378</v>
      </c>
    </row>
    <row r="367" spans="1:87">
      <c r="A367">
        <f t="shared" si="281"/>
        <v>5125501</v>
      </c>
      <c r="B367" s="2" t="s">
        <v>622</v>
      </c>
      <c r="C367">
        <v>12</v>
      </c>
      <c r="D367">
        <v>5</v>
      </c>
      <c r="E367">
        <v>5</v>
      </c>
      <c r="F367" s="3" t="s">
        <v>624</v>
      </c>
      <c r="G367" s="3" t="s">
        <v>624</v>
      </c>
      <c r="H367">
        <v>0</v>
      </c>
      <c r="I367">
        <v>0</v>
      </c>
      <c r="J367" s="3">
        <v>0</v>
      </c>
      <c r="K367" s="8" t="s">
        <v>625</v>
      </c>
      <c r="L367" s="2">
        <f t="shared" si="282"/>
        <v>6</v>
      </c>
      <c r="M367" s="2">
        <f t="shared" si="271"/>
        <v>1.6</v>
      </c>
      <c r="N367" s="2">
        <f t="shared" si="272"/>
        <v>2</v>
      </c>
      <c r="O367" s="2">
        <v>10</v>
      </c>
      <c r="P367" s="2">
        <f t="shared" si="273"/>
        <v>408.32</v>
      </c>
      <c r="Q367" s="2">
        <f t="shared" si="274"/>
        <v>40.83</v>
      </c>
      <c r="R367" s="2">
        <f t="shared" si="275"/>
        <v>2184.83</v>
      </c>
      <c r="S367" s="2">
        <f t="shared" si="276"/>
        <v>218.48</v>
      </c>
      <c r="T367" s="2">
        <f t="shared" si="277"/>
        <v>45.37</v>
      </c>
      <c r="U367" s="2">
        <f t="shared" si="278"/>
        <v>4.54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555013</v>
      </c>
      <c r="AB367" s="15" t="s">
        <v>811</v>
      </c>
      <c r="AC367" s="15" t="s">
        <v>890</v>
      </c>
      <c r="AD367" s="2">
        <v>5135501</v>
      </c>
      <c r="AE367" s="2">
        <v>0</v>
      </c>
      <c r="AF367" s="2">
        <v>1</v>
      </c>
      <c r="AG367" s="2">
        <f t="shared" si="279"/>
        <v>5065501</v>
      </c>
      <c r="AH367" s="2">
        <v>2</v>
      </c>
      <c r="AI367" s="2"/>
      <c r="AJ367">
        <v>1</v>
      </c>
      <c r="AK367" s="1">
        <f t="shared" si="280"/>
        <v>177.24217611895313</v>
      </c>
      <c r="AL367">
        <v>12</v>
      </c>
      <c r="AM367">
        <f t="shared" si="286"/>
        <v>371.2</v>
      </c>
      <c r="AN367">
        <f t="shared" si="287"/>
        <v>37.119999999999997</v>
      </c>
      <c r="AO367">
        <f t="shared" si="288"/>
        <v>1986.2068965517242</v>
      </c>
      <c r="AP367">
        <f t="shared" si="289"/>
        <v>198.62068965517244</v>
      </c>
      <c r="AQ367">
        <f t="shared" si="290"/>
        <v>41.24444444444444</v>
      </c>
      <c r="AR367">
        <f t="shared" si="283"/>
        <v>4.1244444444444444</v>
      </c>
      <c r="AS367">
        <f t="shared" si="291"/>
        <v>1.6</v>
      </c>
      <c r="AT367">
        <f t="shared" si="292"/>
        <v>2</v>
      </c>
      <c r="AU367">
        <f t="shared" si="293"/>
        <v>6</v>
      </c>
      <c r="AV367">
        <f t="shared" si="284"/>
        <v>5015</v>
      </c>
      <c r="AW367" s="1">
        <v>1</v>
      </c>
      <c r="AX367">
        <v>5</v>
      </c>
      <c r="AY367">
        <v>0.1</v>
      </c>
      <c r="BA367">
        <v>5</v>
      </c>
      <c r="BB367">
        <v>5</v>
      </c>
      <c r="CB367" s="13"/>
      <c r="CC367" s="13"/>
      <c r="CD367" s="13"/>
      <c r="CH367" t="str">
        <f t="shared" si="285"/>
        <v>DATA_Class_Base41</v>
      </c>
      <c r="CI367" s="3" t="s">
        <v>413</v>
      </c>
    </row>
    <row r="368" spans="1:87">
      <c r="A368">
        <f t="shared" si="281"/>
        <v>5131200</v>
      </c>
      <c r="B368" s="2" t="s">
        <v>464</v>
      </c>
      <c r="C368">
        <v>13</v>
      </c>
      <c r="D368">
        <v>2</v>
      </c>
      <c r="E368">
        <v>1</v>
      </c>
      <c r="F368" s="3" t="s">
        <v>466</v>
      </c>
      <c r="G368" s="3" t="s">
        <v>466</v>
      </c>
      <c r="H368" s="3">
        <v>0</v>
      </c>
      <c r="I368">
        <v>50</v>
      </c>
      <c r="J368" s="2">
        <v>0</v>
      </c>
      <c r="K368" s="8" t="s">
        <v>467</v>
      </c>
      <c r="L368" s="2">
        <f t="shared" si="282"/>
        <v>3</v>
      </c>
      <c r="M368" s="2">
        <f t="shared" si="271"/>
        <v>1.5</v>
      </c>
      <c r="N368" s="2">
        <f t="shared" si="272"/>
        <v>1.2</v>
      </c>
      <c r="O368" s="2">
        <v>10</v>
      </c>
      <c r="P368" s="2">
        <f t="shared" si="273"/>
        <v>225.28</v>
      </c>
      <c r="Q368" s="2">
        <f t="shared" si="274"/>
        <v>22.53</v>
      </c>
      <c r="R368" s="2">
        <f t="shared" si="275"/>
        <v>4224</v>
      </c>
      <c r="S368" s="2">
        <f t="shared" si="276"/>
        <v>422.4</v>
      </c>
      <c r="T368" s="2">
        <f t="shared" si="277"/>
        <v>75.09</v>
      </c>
      <c r="U368" s="2">
        <f t="shared" si="278"/>
        <v>7.51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512003</v>
      </c>
      <c r="AB368" s="14" t="s">
        <v>775</v>
      </c>
      <c r="AC368" s="15" t="s">
        <v>890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J368">
        <v>1</v>
      </c>
      <c r="AK368" s="1">
        <f t="shared" si="280"/>
        <v>202.8793485088043</v>
      </c>
      <c r="AL368">
        <v>13</v>
      </c>
      <c r="AM368">
        <f t="shared" ref="AM368:AM398" si="294">INDEX($BE$5:$BE$58,MATCH($AV368,$BC$5:$BC$58,0))*$AS368/1.5*$BI$4*INDEX($BE$109:$BR$109,MATCH($AL368,$BE$108:$BR$108,0))</f>
        <v>204.80000000000007</v>
      </c>
      <c r="AN368">
        <f t="shared" ref="AN368:AN398" si="295">(INDEX($BE$5:$BE$58,MATCH($AV368,$BC$5:$BC$58,0))*$AS368/1.5*$BI$4*INDEX($BE$109:$BR$109,MATCH($AL368,$BE$108:$BR$108,0)))*0.1</f>
        <v>20.480000000000008</v>
      </c>
      <c r="AO368">
        <f t="shared" ref="AO368:AO398" si="296">INDEX($BF$5:$BF$58,MATCH($AV368,$BC$5:$BC$58,0))*$BJ$4*INDEX($BE$109:$BR$109,MATCH($AL368,$BE$108:$BR$108,0))</f>
        <v>3840</v>
      </c>
      <c r="AP368">
        <f t="shared" ref="AP368:AP398" si="297">(INDEX($BF$5:$BF$58,MATCH($AV368,$BC$5:$BC$58,0))*$BJ$4*INDEX($BE$109:$BR$109,MATCH($AL368,$BE$108:$BR$108,0)))*0.1</f>
        <v>384</v>
      </c>
      <c r="AQ368">
        <f t="shared" ref="AQ368:AQ398" si="298">$AM368/INDEX($BG$5:$BG$58,MATCH($AV368,$BC$5:$BC$58,0))</f>
        <v>68.266666666666694</v>
      </c>
      <c r="AR368">
        <f t="shared" si="283"/>
        <v>6.8266666666666698</v>
      </c>
      <c r="AS368">
        <f t="shared" ref="AS368:AS398" si="299">INDEX($BH$5:$BH$58,MATCH($AV368,$BC$5:$BC$58,0))</f>
        <v>1.5</v>
      </c>
      <c r="AT368">
        <f t="shared" ref="AT368:AT398" si="300">ROUND(IF(INDEX($BP$5:$BP$58,MATCH($AV368,$BC$5:$BC$58,0))&lt;2,INDEX($BP$5:$BP$58,MATCH($AV368,$BC$5:$BC$58,0))+0.2,2),1)</f>
        <v>1.2</v>
      </c>
      <c r="AU368">
        <f t="shared" ref="AU368:AU398" si="301">INDEX($BL$5:$BL$58,MATCH($AV368,$BC$5:$BC$58,0))</f>
        <v>3</v>
      </c>
      <c r="AV368">
        <f t="shared" si="284"/>
        <v>2001</v>
      </c>
      <c r="AW368" s="1">
        <v>0</v>
      </c>
      <c r="AX368">
        <v>5</v>
      </c>
      <c r="AY368">
        <v>0.1</v>
      </c>
      <c r="BA368">
        <v>2</v>
      </c>
      <c r="BB368">
        <v>1</v>
      </c>
      <c r="CA368" t="str">
        <f t="shared" ref="CA368:CA370" si="302">CB368&amp;","&amp;CC368&amp;","&amp;CD368</f>
        <v>1545011,2545011,3545011</v>
      </c>
      <c r="CB368" s="13">
        <v>1545011</v>
      </c>
      <c r="CC368" s="13">
        <v>2545011</v>
      </c>
      <c r="CD368" s="13">
        <v>3545011</v>
      </c>
      <c r="CH368" t="str">
        <f t="shared" si="285"/>
        <v>DATA_Class_Base37</v>
      </c>
      <c r="CI368" s="3" t="s">
        <v>402</v>
      </c>
    </row>
    <row r="369" spans="1:87">
      <c r="A369">
        <f t="shared" si="281"/>
        <v>5131201</v>
      </c>
      <c r="B369" s="2" t="s">
        <v>470</v>
      </c>
      <c r="C369">
        <v>13</v>
      </c>
      <c r="D369">
        <v>2</v>
      </c>
      <c r="E369">
        <v>1</v>
      </c>
      <c r="F369" s="3" t="s">
        <v>472</v>
      </c>
      <c r="G369" s="3" t="s">
        <v>472</v>
      </c>
      <c r="H369" s="3">
        <v>-30</v>
      </c>
      <c r="I369">
        <v>35</v>
      </c>
      <c r="J369" s="2">
        <v>0</v>
      </c>
      <c r="K369" s="8" t="s">
        <v>298</v>
      </c>
      <c r="L369" s="2">
        <f t="shared" si="282"/>
        <v>3</v>
      </c>
      <c r="M369" s="2">
        <f t="shared" si="271"/>
        <v>1.8</v>
      </c>
      <c r="N369" s="2">
        <f t="shared" si="272"/>
        <v>1.8</v>
      </c>
      <c r="O369" s="2">
        <v>10</v>
      </c>
      <c r="P369" s="2">
        <f t="shared" si="273"/>
        <v>168.96</v>
      </c>
      <c r="Q369" s="2">
        <f t="shared" si="274"/>
        <v>16.899999999999999</v>
      </c>
      <c r="R369" s="2">
        <f t="shared" si="275"/>
        <v>6758.4</v>
      </c>
      <c r="S369" s="2">
        <f t="shared" si="276"/>
        <v>675.84</v>
      </c>
      <c r="T369" s="2">
        <f t="shared" si="277"/>
        <v>84.48</v>
      </c>
      <c r="U369" s="2">
        <f t="shared" si="278"/>
        <v>8.4499999999999993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512013</v>
      </c>
      <c r="AB369" s="14" t="s">
        <v>776</v>
      </c>
      <c r="AC369" s="15" t="s">
        <v>890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J369">
        <v>1</v>
      </c>
      <c r="AK369" s="1">
        <f t="shared" si="280"/>
        <v>203.26676648655692</v>
      </c>
      <c r="AL369">
        <v>13</v>
      </c>
      <c r="AM369">
        <f t="shared" si="294"/>
        <v>153.60000000000002</v>
      </c>
      <c r="AN369">
        <f t="shared" si="295"/>
        <v>15.360000000000003</v>
      </c>
      <c r="AO369">
        <f t="shared" si="296"/>
        <v>6144</v>
      </c>
      <c r="AP369">
        <f t="shared" si="297"/>
        <v>614.40000000000009</v>
      </c>
      <c r="AQ369">
        <f t="shared" si="298"/>
        <v>76.800000000000011</v>
      </c>
      <c r="AR369">
        <f t="shared" si="283"/>
        <v>7.6800000000000015</v>
      </c>
      <c r="AS369">
        <f t="shared" si="299"/>
        <v>1.8</v>
      </c>
      <c r="AT369">
        <f t="shared" si="300"/>
        <v>1.8</v>
      </c>
      <c r="AU369">
        <f t="shared" si="301"/>
        <v>3</v>
      </c>
      <c r="AV369">
        <f t="shared" si="284"/>
        <v>2011</v>
      </c>
      <c r="AW369" s="1">
        <v>1</v>
      </c>
      <c r="AX369">
        <v>5</v>
      </c>
      <c r="AY369">
        <v>0.1</v>
      </c>
      <c r="BA369">
        <v>2</v>
      </c>
      <c r="BB369">
        <v>1</v>
      </c>
      <c r="CA369" t="str">
        <f t="shared" si="302"/>
        <v>1546001,2546001,3546001</v>
      </c>
      <c r="CB369" s="13">
        <v>1546001</v>
      </c>
      <c r="CC369" s="13">
        <v>2546001</v>
      </c>
      <c r="CD369" s="13">
        <v>3546001</v>
      </c>
      <c r="CH369" t="str">
        <f t="shared" si="285"/>
        <v>DATA_Class_Base38</v>
      </c>
      <c r="CI369" s="3" t="s">
        <v>198</v>
      </c>
    </row>
    <row r="370" spans="1:87">
      <c r="A370">
        <f t="shared" si="281"/>
        <v>5131202</v>
      </c>
      <c r="B370" s="2" t="s">
        <v>474</v>
      </c>
      <c r="C370">
        <v>13</v>
      </c>
      <c r="D370">
        <v>2</v>
      </c>
      <c r="E370">
        <v>1</v>
      </c>
      <c r="F370" s="3" t="s">
        <v>476</v>
      </c>
      <c r="G370" s="3" t="s">
        <v>476</v>
      </c>
      <c r="H370" s="3">
        <v>-10</v>
      </c>
      <c r="I370">
        <v>40</v>
      </c>
      <c r="J370">
        <v>0</v>
      </c>
      <c r="K370" s="8" t="s">
        <v>477</v>
      </c>
      <c r="L370" s="2">
        <f t="shared" si="282"/>
        <v>3</v>
      </c>
      <c r="M370" s="2">
        <f t="shared" si="271"/>
        <v>1.8</v>
      </c>
      <c r="N370" s="2">
        <f t="shared" si="272"/>
        <v>2</v>
      </c>
      <c r="O370" s="2">
        <v>10</v>
      </c>
      <c r="P370" s="2">
        <f t="shared" si="273"/>
        <v>270.33999999999997</v>
      </c>
      <c r="Q370" s="2">
        <f t="shared" si="274"/>
        <v>27.03</v>
      </c>
      <c r="R370" s="2">
        <f t="shared" si="275"/>
        <v>4224</v>
      </c>
      <c r="S370" s="2">
        <f t="shared" si="276"/>
        <v>422.4</v>
      </c>
      <c r="T370" s="2">
        <f t="shared" si="277"/>
        <v>67.58</v>
      </c>
      <c r="U370" s="2">
        <f t="shared" si="278"/>
        <v>6.76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512023</v>
      </c>
      <c r="AB370" s="14" t="s">
        <v>777</v>
      </c>
      <c r="AC370" s="15" t="s">
        <v>890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J370">
        <v>1</v>
      </c>
      <c r="AK370" s="1">
        <f t="shared" si="280"/>
        <v>202.57047580739342</v>
      </c>
      <c r="AL370">
        <v>13</v>
      </c>
      <c r="AM370">
        <f t="shared" si="294"/>
        <v>245.76000000000005</v>
      </c>
      <c r="AN370">
        <f t="shared" si="295"/>
        <v>24.576000000000008</v>
      </c>
      <c r="AO370">
        <f t="shared" si="296"/>
        <v>3840</v>
      </c>
      <c r="AP370">
        <f t="shared" si="297"/>
        <v>384</v>
      </c>
      <c r="AQ370">
        <f t="shared" si="298"/>
        <v>61.440000000000012</v>
      </c>
      <c r="AR370">
        <f t="shared" si="283"/>
        <v>6.1440000000000019</v>
      </c>
      <c r="AS370">
        <f t="shared" si="299"/>
        <v>1.8</v>
      </c>
      <c r="AT370">
        <f t="shared" si="300"/>
        <v>2</v>
      </c>
      <c r="AU370">
        <f t="shared" si="301"/>
        <v>3</v>
      </c>
      <c r="AV370">
        <f t="shared" si="284"/>
        <v>2021</v>
      </c>
      <c r="AW370" s="1">
        <v>2</v>
      </c>
      <c r="AX370">
        <v>5</v>
      </c>
      <c r="AY370">
        <v>0.1</v>
      </c>
      <c r="BA370">
        <v>2</v>
      </c>
      <c r="BB370">
        <v>1</v>
      </c>
      <c r="CA370" t="str">
        <f t="shared" si="302"/>
        <v>1546021,2546021,3546021</v>
      </c>
      <c r="CB370" s="13">
        <v>1546021</v>
      </c>
      <c r="CC370" s="13">
        <v>2546021</v>
      </c>
      <c r="CD370" s="13">
        <v>3546021</v>
      </c>
      <c r="CH370" t="str">
        <f t="shared" si="285"/>
        <v>DATA_Class_Base39</v>
      </c>
      <c r="CI370" s="3" t="s">
        <v>407</v>
      </c>
    </row>
    <row r="371" spans="1:87">
      <c r="A371">
        <f t="shared" si="281"/>
        <v>5131301</v>
      </c>
      <c r="B371" s="2" t="s">
        <v>479</v>
      </c>
      <c r="C371">
        <v>13</v>
      </c>
      <c r="D371">
        <v>3</v>
      </c>
      <c r="E371">
        <v>1</v>
      </c>
      <c r="F371" s="3" t="s">
        <v>481</v>
      </c>
      <c r="G371" s="3" t="s">
        <v>481</v>
      </c>
      <c r="H371" s="3">
        <v>-10</v>
      </c>
      <c r="I371">
        <v>35</v>
      </c>
      <c r="J371" s="2">
        <v>0</v>
      </c>
      <c r="K371" s="8" t="s">
        <v>482</v>
      </c>
      <c r="L371" s="2">
        <f t="shared" si="282"/>
        <v>3</v>
      </c>
      <c r="M371" s="2">
        <f t="shared" si="271"/>
        <v>1.2</v>
      </c>
      <c r="N371" s="2">
        <f t="shared" si="272"/>
        <v>2</v>
      </c>
      <c r="O371" s="2">
        <v>10</v>
      </c>
      <c r="P371" s="2">
        <f t="shared" si="273"/>
        <v>247.81</v>
      </c>
      <c r="Q371" s="2">
        <f t="shared" si="274"/>
        <v>24.78</v>
      </c>
      <c r="R371" s="2">
        <f t="shared" si="275"/>
        <v>3072</v>
      </c>
      <c r="S371" s="2">
        <f t="shared" si="276"/>
        <v>307.2</v>
      </c>
      <c r="T371" s="2">
        <f t="shared" si="277"/>
        <v>41.3</v>
      </c>
      <c r="U371" s="2">
        <f t="shared" si="278"/>
        <v>4.13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513013</v>
      </c>
      <c r="AB371" s="14" t="s">
        <v>778</v>
      </c>
      <c r="AC371" s="15" t="s">
        <v>890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J371">
        <v>1</v>
      </c>
      <c r="AK371" s="1">
        <f t="shared" si="280"/>
        <v>201.49678840469983</v>
      </c>
      <c r="AL371">
        <v>13</v>
      </c>
      <c r="AM371">
        <f t="shared" si="294"/>
        <v>225.28000000000003</v>
      </c>
      <c r="AN371">
        <f t="shared" si="295"/>
        <v>22.528000000000006</v>
      </c>
      <c r="AO371">
        <f t="shared" si="296"/>
        <v>2792.727272727273</v>
      </c>
      <c r="AP371">
        <f t="shared" si="297"/>
        <v>279.27272727272731</v>
      </c>
      <c r="AQ371">
        <f t="shared" si="298"/>
        <v>37.546666666666674</v>
      </c>
      <c r="AR371">
        <f t="shared" si="283"/>
        <v>3.7546666666666675</v>
      </c>
      <c r="AS371">
        <f t="shared" si="299"/>
        <v>1.2</v>
      </c>
      <c r="AT371">
        <f t="shared" si="300"/>
        <v>2</v>
      </c>
      <c r="AU371">
        <f t="shared" si="301"/>
        <v>3</v>
      </c>
      <c r="AV371">
        <f t="shared" si="284"/>
        <v>3011</v>
      </c>
      <c r="AW371" s="1">
        <v>1</v>
      </c>
      <c r="AX371">
        <v>5</v>
      </c>
      <c r="AY371">
        <v>0.1</v>
      </c>
      <c r="BA371">
        <v>3</v>
      </c>
      <c r="BB371">
        <v>1</v>
      </c>
      <c r="CB371" s="13"/>
      <c r="CC371" s="13"/>
      <c r="CD371" s="13"/>
      <c r="CH371" t="str">
        <f t="shared" si="285"/>
        <v>DATA_Class_Base30</v>
      </c>
      <c r="CI371" s="3" t="s">
        <v>381</v>
      </c>
    </row>
    <row r="372" spans="1:87">
      <c r="A372">
        <f t="shared" si="281"/>
        <v>5131401</v>
      </c>
      <c r="B372" s="2" t="s">
        <v>484</v>
      </c>
      <c r="C372">
        <v>13</v>
      </c>
      <c r="D372">
        <v>4</v>
      </c>
      <c r="E372">
        <v>1</v>
      </c>
      <c r="F372" s="3" t="s">
        <v>486</v>
      </c>
      <c r="G372" s="3" t="s">
        <v>486</v>
      </c>
      <c r="H372" s="3">
        <v>-10</v>
      </c>
      <c r="I372">
        <v>45</v>
      </c>
      <c r="J372" s="2">
        <v>0</v>
      </c>
      <c r="K372" s="2" t="s">
        <v>161</v>
      </c>
      <c r="L372" s="2">
        <f t="shared" si="282"/>
        <v>6</v>
      </c>
      <c r="M372" s="2">
        <f t="shared" si="271"/>
        <v>1.6</v>
      </c>
      <c r="N372" s="2">
        <f t="shared" si="272"/>
        <v>2</v>
      </c>
      <c r="O372" s="2">
        <v>10</v>
      </c>
      <c r="P372" s="2">
        <f t="shared" si="273"/>
        <v>330.41</v>
      </c>
      <c r="Q372" s="2">
        <f t="shared" si="274"/>
        <v>33.04</v>
      </c>
      <c r="R372" s="2">
        <f t="shared" si="275"/>
        <v>3072</v>
      </c>
      <c r="S372" s="2">
        <f t="shared" si="276"/>
        <v>307.2</v>
      </c>
      <c r="T372" s="2">
        <f t="shared" si="277"/>
        <v>66.08</v>
      </c>
      <c r="U372" s="2">
        <f t="shared" si="278"/>
        <v>6.61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514013</v>
      </c>
      <c r="AB372" s="14" t="s">
        <v>779</v>
      </c>
      <c r="AC372" s="15" t="s">
        <v>890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J372">
        <v>1</v>
      </c>
      <c r="AK372" s="1">
        <f t="shared" si="280"/>
        <v>202.50881409078457</v>
      </c>
      <c r="AL372">
        <v>13</v>
      </c>
      <c r="AM372">
        <f t="shared" si="294"/>
        <v>300.37333333333339</v>
      </c>
      <c r="AN372">
        <f t="shared" si="295"/>
        <v>30.03733333333334</v>
      </c>
      <c r="AO372">
        <f t="shared" si="296"/>
        <v>2792.727272727273</v>
      </c>
      <c r="AP372">
        <f t="shared" si="297"/>
        <v>279.27272727272731</v>
      </c>
      <c r="AQ372">
        <f t="shared" si="298"/>
        <v>60.07466666666668</v>
      </c>
      <c r="AR372">
        <f t="shared" si="283"/>
        <v>6.0074666666666685</v>
      </c>
      <c r="AS372">
        <f t="shared" si="299"/>
        <v>1.6</v>
      </c>
      <c r="AT372">
        <f t="shared" si="300"/>
        <v>2</v>
      </c>
      <c r="AU372">
        <f t="shared" si="301"/>
        <v>6</v>
      </c>
      <c r="AV372">
        <f t="shared" si="284"/>
        <v>4011</v>
      </c>
      <c r="AW372" s="1">
        <v>1</v>
      </c>
      <c r="AX372">
        <v>5</v>
      </c>
      <c r="AY372">
        <v>0.1</v>
      </c>
      <c r="BA372">
        <v>4</v>
      </c>
      <c r="BB372">
        <v>1</v>
      </c>
      <c r="CA372" t="str">
        <f t="shared" ref="CA372:CA374" si="303">CB372&amp;","&amp;CC372&amp;","&amp;CD372</f>
        <v>1553001,2553001,3553001</v>
      </c>
      <c r="CB372" s="13">
        <v>1553001</v>
      </c>
      <c r="CC372" s="13">
        <v>2553001</v>
      </c>
      <c r="CD372" s="13">
        <v>3553001</v>
      </c>
      <c r="CH372" t="str">
        <f t="shared" si="285"/>
        <v>DATA_Class_Base40</v>
      </c>
      <c r="CI372" s="3" t="s">
        <v>411</v>
      </c>
    </row>
    <row r="373" spans="1:87">
      <c r="A373">
        <f t="shared" si="281"/>
        <v>5131402</v>
      </c>
      <c r="B373" s="2" t="s">
        <v>488</v>
      </c>
      <c r="C373">
        <v>13</v>
      </c>
      <c r="D373">
        <v>4</v>
      </c>
      <c r="E373">
        <v>1</v>
      </c>
      <c r="F373" s="3" t="s">
        <v>490</v>
      </c>
      <c r="G373" s="3" t="s">
        <v>490</v>
      </c>
      <c r="H373" s="3">
        <v>0</v>
      </c>
      <c r="I373">
        <v>45</v>
      </c>
      <c r="J373">
        <v>0</v>
      </c>
      <c r="K373" s="8" t="s">
        <v>161</v>
      </c>
      <c r="L373" s="2">
        <f t="shared" si="282"/>
        <v>6</v>
      </c>
      <c r="M373" s="2">
        <f t="shared" si="271"/>
        <v>1.5</v>
      </c>
      <c r="N373" s="2">
        <f t="shared" si="272"/>
        <v>1.5</v>
      </c>
      <c r="O373" s="2">
        <v>10</v>
      </c>
      <c r="P373" s="2">
        <f t="shared" si="273"/>
        <v>337.92</v>
      </c>
      <c r="Q373" s="2">
        <f t="shared" si="274"/>
        <v>33.79</v>
      </c>
      <c r="R373" s="2">
        <f t="shared" si="275"/>
        <v>2816</v>
      </c>
      <c r="S373" s="2">
        <f t="shared" si="276"/>
        <v>281.60000000000002</v>
      </c>
      <c r="T373" s="2">
        <f t="shared" si="277"/>
        <v>56.32</v>
      </c>
      <c r="U373" s="2">
        <f t="shared" si="278"/>
        <v>5.63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514023</v>
      </c>
      <c r="AB373" s="14" t="s">
        <v>780</v>
      </c>
      <c r="AC373" s="15" t="s">
        <v>890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J373">
        <v>1</v>
      </c>
      <c r="AK373" s="1">
        <f t="shared" si="280"/>
        <v>202.10892614408706</v>
      </c>
      <c r="AL373">
        <v>13</v>
      </c>
      <c r="AM373">
        <f t="shared" si="294"/>
        <v>307.20000000000005</v>
      </c>
      <c r="AN373">
        <f t="shared" si="295"/>
        <v>30.720000000000006</v>
      </c>
      <c r="AO373">
        <f t="shared" si="296"/>
        <v>2560</v>
      </c>
      <c r="AP373">
        <f t="shared" si="297"/>
        <v>256</v>
      </c>
      <c r="AQ373">
        <f t="shared" si="298"/>
        <v>51.20000000000001</v>
      </c>
      <c r="AR373">
        <f t="shared" si="283"/>
        <v>5.120000000000001</v>
      </c>
      <c r="AS373">
        <f t="shared" si="299"/>
        <v>1.5</v>
      </c>
      <c r="AT373">
        <f t="shared" si="300"/>
        <v>1.5</v>
      </c>
      <c r="AU373">
        <f t="shared" si="301"/>
        <v>6</v>
      </c>
      <c r="AV373">
        <f t="shared" si="284"/>
        <v>4021</v>
      </c>
      <c r="AW373" s="1">
        <v>2</v>
      </c>
      <c r="AX373">
        <v>5</v>
      </c>
      <c r="AY373">
        <v>0.1</v>
      </c>
      <c r="BA373">
        <v>4</v>
      </c>
      <c r="BB373">
        <v>1</v>
      </c>
      <c r="CA373" t="str">
        <f t="shared" si="303"/>
        <v>1553021,2553021,3553021</v>
      </c>
      <c r="CB373" s="13">
        <v>1553021</v>
      </c>
      <c r="CC373" s="13">
        <v>2553021</v>
      </c>
      <c r="CD373" s="13">
        <v>3553021</v>
      </c>
      <c r="CH373" t="str">
        <f t="shared" si="285"/>
        <v>DATA_Class_Base41</v>
      </c>
      <c r="CI373" s="3" t="s">
        <v>413</v>
      </c>
    </row>
    <row r="374" spans="1:87">
      <c r="A374">
        <f t="shared" si="281"/>
        <v>5131500</v>
      </c>
      <c r="B374" s="2" t="s">
        <v>492</v>
      </c>
      <c r="C374">
        <v>13</v>
      </c>
      <c r="D374">
        <v>5</v>
      </c>
      <c r="E374">
        <v>1</v>
      </c>
      <c r="F374" s="3" t="s">
        <v>494</v>
      </c>
      <c r="G374" s="3" t="s">
        <v>494</v>
      </c>
      <c r="H374" s="3">
        <v>0</v>
      </c>
      <c r="I374">
        <v>30</v>
      </c>
      <c r="J374">
        <v>0</v>
      </c>
      <c r="K374" s="2" t="s">
        <v>303</v>
      </c>
      <c r="L374" s="2">
        <f t="shared" si="282"/>
        <v>6</v>
      </c>
      <c r="M374" s="2">
        <f t="shared" si="271"/>
        <v>1.5</v>
      </c>
      <c r="N374" s="2">
        <f t="shared" si="272"/>
        <v>1.5</v>
      </c>
      <c r="O374" s="2">
        <v>10</v>
      </c>
      <c r="P374" s="2">
        <f t="shared" si="273"/>
        <v>394.24</v>
      </c>
      <c r="Q374" s="2">
        <f t="shared" si="274"/>
        <v>39.42</v>
      </c>
      <c r="R374" s="2">
        <f t="shared" si="275"/>
        <v>2413.71</v>
      </c>
      <c r="S374" s="2">
        <f t="shared" si="276"/>
        <v>241.37</v>
      </c>
      <c r="T374" s="2">
        <f t="shared" si="277"/>
        <v>56.32</v>
      </c>
      <c r="U374" s="2">
        <f t="shared" si="278"/>
        <v>5.63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515003</v>
      </c>
      <c r="AB374" s="14" t="s">
        <v>781</v>
      </c>
      <c r="AC374" s="15" t="s">
        <v>890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J374">
        <v>1</v>
      </c>
      <c r="AK374" s="1">
        <f t="shared" si="280"/>
        <v>202.10892614408704</v>
      </c>
      <c r="AL374">
        <v>13</v>
      </c>
      <c r="AM374">
        <f t="shared" si="294"/>
        <v>358.39999999999992</v>
      </c>
      <c r="AN374">
        <f t="shared" si="295"/>
        <v>35.839999999999996</v>
      </c>
      <c r="AO374">
        <f t="shared" si="296"/>
        <v>2194.2857142857147</v>
      </c>
      <c r="AP374">
        <f t="shared" si="297"/>
        <v>219.42857142857147</v>
      </c>
      <c r="AQ374">
        <f t="shared" si="298"/>
        <v>51.199999999999989</v>
      </c>
      <c r="AR374">
        <f t="shared" si="283"/>
        <v>5.1199999999999992</v>
      </c>
      <c r="AS374">
        <f t="shared" si="299"/>
        <v>1.5</v>
      </c>
      <c r="AT374">
        <f t="shared" si="300"/>
        <v>1.5</v>
      </c>
      <c r="AU374">
        <f t="shared" si="301"/>
        <v>6</v>
      </c>
      <c r="AV374">
        <f t="shared" si="284"/>
        <v>5001</v>
      </c>
      <c r="AW374" s="1">
        <v>0</v>
      </c>
      <c r="AX374">
        <v>5</v>
      </c>
      <c r="AY374">
        <v>0.1</v>
      </c>
      <c r="BA374">
        <v>5</v>
      </c>
      <c r="BB374">
        <v>1</v>
      </c>
      <c r="CA374" t="str">
        <f t="shared" si="303"/>
        <v>1554001,2554001,3554001</v>
      </c>
      <c r="CB374" s="13">
        <v>1554001</v>
      </c>
      <c r="CC374" s="13">
        <v>2554001</v>
      </c>
      <c r="CD374" s="13">
        <v>3554001</v>
      </c>
      <c r="CH374" t="str">
        <f t="shared" si="285"/>
        <v>DATA_Class_Base42</v>
      </c>
      <c r="CI374" s="3" t="s">
        <v>174</v>
      </c>
    </row>
    <row r="375" spans="1:87">
      <c r="A375">
        <f t="shared" si="281"/>
        <v>5131502</v>
      </c>
      <c r="B375" s="2" t="s">
        <v>496</v>
      </c>
      <c r="C375">
        <v>13</v>
      </c>
      <c r="D375">
        <v>5</v>
      </c>
      <c r="E375">
        <v>1</v>
      </c>
      <c r="F375" s="3" t="s">
        <v>498</v>
      </c>
      <c r="G375" s="3" t="s">
        <v>498</v>
      </c>
      <c r="H375" s="3">
        <v>-10</v>
      </c>
      <c r="I375">
        <v>50</v>
      </c>
      <c r="J375" s="2">
        <v>0</v>
      </c>
      <c r="K375" s="8" t="s">
        <v>352</v>
      </c>
      <c r="L375" s="2">
        <f t="shared" si="282"/>
        <v>6</v>
      </c>
      <c r="M375" s="2">
        <f t="shared" si="271"/>
        <v>1.4000000000000001</v>
      </c>
      <c r="N375" s="2">
        <f t="shared" si="272"/>
        <v>2</v>
      </c>
      <c r="O375" s="2">
        <v>10</v>
      </c>
      <c r="P375" s="2">
        <f t="shared" si="273"/>
        <v>341.67</v>
      </c>
      <c r="Q375" s="2">
        <f t="shared" si="274"/>
        <v>34.17</v>
      </c>
      <c r="R375" s="2">
        <f t="shared" si="275"/>
        <v>2599.38</v>
      </c>
      <c r="S375" s="2">
        <f t="shared" si="276"/>
        <v>259.94</v>
      </c>
      <c r="T375" s="2">
        <f t="shared" si="277"/>
        <v>52.57</v>
      </c>
      <c r="U375" s="2">
        <f t="shared" si="278"/>
        <v>5.26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515023</v>
      </c>
      <c r="AB375" s="14" t="s">
        <v>782</v>
      </c>
      <c r="AC375" s="15" t="s">
        <v>890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J375">
        <v>1</v>
      </c>
      <c r="AK375" s="1">
        <f t="shared" si="280"/>
        <v>201.95554329031395</v>
      </c>
      <c r="AL375">
        <v>13</v>
      </c>
      <c r="AM375">
        <f t="shared" si="294"/>
        <v>310.61333333333329</v>
      </c>
      <c r="AN375">
        <f t="shared" si="295"/>
        <v>31.06133333333333</v>
      </c>
      <c r="AO375">
        <f t="shared" si="296"/>
        <v>2363.0769230769229</v>
      </c>
      <c r="AP375">
        <f t="shared" si="297"/>
        <v>236.30769230769229</v>
      </c>
      <c r="AQ375">
        <f t="shared" si="298"/>
        <v>47.786666666666662</v>
      </c>
      <c r="AR375">
        <f t="shared" si="283"/>
        <v>4.7786666666666662</v>
      </c>
      <c r="AS375">
        <f t="shared" si="299"/>
        <v>1.4</v>
      </c>
      <c r="AT375">
        <f t="shared" si="300"/>
        <v>2</v>
      </c>
      <c r="AU375">
        <f t="shared" si="301"/>
        <v>6</v>
      </c>
      <c r="AV375">
        <f t="shared" si="284"/>
        <v>5021</v>
      </c>
      <c r="AW375" s="1">
        <v>2</v>
      </c>
      <c r="AX375">
        <v>5</v>
      </c>
      <c r="AY375">
        <v>0.1</v>
      </c>
      <c r="BA375">
        <v>5</v>
      </c>
      <c r="BB375">
        <v>1</v>
      </c>
      <c r="CB375" s="13"/>
      <c r="CC375" s="13"/>
      <c r="CD375" s="13"/>
      <c r="CH375" t="str">
        <f t="shared" si="285"/>
        <v>DATA_Class_Base37</v>
      </c>
      <c r="CI375" s="3" t="s">
        <v>402</v>
      </c>
    </row>
    <row r="376" spans="1:87">
      <c r="A376">
        <f t="shared" si="281"/>
        <v>5131601</v>
      </c>
      <c r="B376" s="2" t="s">
        <v>500</v>
      </c>
      <c r="C376">
        <v>13</v>
      </c>
      <c r="D376">
        <v>6</v>
      </c>
      <c r="E376">
        <v>1</v>
      </c>
      <c r="F376" s="3" t="s">
        <v>502</v>
      </c>
      <c r="G376" s="3" t="s">
        <v>502</v>
      </c>
      <c r="H376" s="3">
        <v>0</v>
      </c>
      <c r="I376">
        <v>50</v>
      </c>
      <c r="J376">
        <v>0</v>
      </c>
      <c r="K376" s="2" t="s">
        <v>309</v>
      </c>
      <c r="L376" s="2">
        <f t="shared" si="282"/>
        <v>6</v>
      </c>
      <c r="M376" s="2">
        <f t="shared" si="271"/>
        <v>1.5</v>
      </c>
      <c r="N376" s="2">
        <f t="shared" si="272"/>
        <v>2</v>
      </c>
      <c r="O376" s="2">
        <v>10</v>
      </c>
      <c r="P376" s="2">
        <f t="shared" si="273"/>
        <v>281.60000000000002</v>
      </c>
      <c r="Q376" s="2">
        <f t="shared" si="274"/>
        <v>28.16</v>
      </c>
      <c r="R376" s="2">
        <f t="shared" si="275"/>
        <v>3379.2</v>
      </c>
      <c r="S376" s="2">
        <f t="shared" si="276"/>
        <v>337.92</v>
      </c>
      <c r="T376" s="2">
        <f t="shared" si="277"/>
        <v>70.400000000000006</v>
      </c>
      <c r="U376" s="2">
        <f t="shared" si="278"/>
        <v>7.04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516013</v>
      </c>
      <c r="AB376" s="14" t="s">
        <v>783</v>
      </c>
      <c r="AC376" s="15" t="s">
        <v>890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J376">
        <v>1</v>
      </c>
      <c r="AK376" s="1">
        <f t="shared" si="280"/>
        <v>202.68619279454722</v>
      </c>
      <c r="AL376">
        <v>13</v>
      </c>
      <c r="AM376">
        <f t="shared" si="294"/>
        <v>256</v>
      </c>
      <c r="AN376">
        <f t="shared" si="295"/>
        <v>25.6</v>
      </c>
      <c r="AO376">
        <f t="shared" si="296"/>
        <v>3072</v>
      </c>
      <c r="AP376">
        <f t="shared" si="297"/>
        <v>307.20000000000005</v>
      </c>
      <c r="AQ376">
        <f t="shared" si="298"/>
        <v>64</v>
      </c>
      <c r="AR376">
        <f t="shared" si="283"/>
        <v>6.4</v>
      </c>
      <c r="AS376">
        <f t="shared" si="299"/>
        <v>1.5</v>
      </c>
      <c r="AT376">
        <f t="shared" si="300"/>
        <v>2</v>
      </c>
      <c r="AU376">
        <f t="shared" si="301"/>
        <v>6</v>
      </c>
      <c r="AV376">
        <f t="shared" si="284"/>
        <v>6011</v>
      </c>
      <c r="AW376" s="1">
        <v>1</v>
      </c>
      <c r="AX376">
        <v>5</v>
      </c>
      <c r="AY376">
        <v>0.1</v>
      </c>
      <c r="BA376">
        <v>6</v>
      </c>
      <c r="BB376">
        <v>1</v>
      </c>
      <c r="CH376" t="str">
        <f t="shared" si="285"/>
        <v>DATA_Class_Base28</v>
      </c>
      <c r="CI376" s="3" t="s">
        <v>374</v>
      </c>
    </row>
    <row r="377" spans="1:87">
      <c r="A377">
        <f t="shared" si="281"/>
        <v>5132200</v>
      </c>
      <c r="B377" s="2" t="s">
        <v>504</v>
      </c>
      <c r="C377">
        <v>13</v>
      </c>
      <c r="D377">
        <v>2</v>
      </c>
      <c r="E377">
        <v>2</v>
      </c>
      <c r="F377" s="3" t="s">
        <v>506</v>
      </c>
      <c r="G377" s="3" t="s">
        <v>506</v>
      </c>
      <c r="H377" s="3">
        <v>0</v>
      </c>
      <c r="I377">
        <v>50</v>
      </c>
      <c r="J377">
        <v>0</v>
      </c>
      <c r="K377" s="8" t="s">
        <v>507</v>
      </c>
      <c r="L377" s="2">
        <f t="shared" si="282"/>
        <v>3</v>
      </c>
      <c r="M377" s="2">
        <f t="shared" si="271"/>
        <v>1.5</v>
      </c>
      <c r="N377" s="2">
        <f t="shared" si="272"/>
        <v>1.2</v>
      </c>
      <c r="O377" s="2">
        <v>10</v>
      </c>
      <c r="P377" s="2">
        <f t="shared" si="273"/>
        <v>281.60000000000002</v>
      </c>
      <c r="Q377" s="2">
        <f t="shared" si="274"/>
        <v>28.16</v>
      </c>
      <c r="R377" s="2">
        <f t="shared" si="275"/>
        <v>3379.2</v>
      </c>
      <c r="S377" s="2">
        <f t="shared" si="276"/>
        <v>337.92</v>
      </c>
      <c r="T377" s="2">
        <f t="shared" si="277"/>
        <v>70.400000000000006</v>
      </c>
      <c r="U377" s="2">
        <f t="shared" si="278"/>
        <v>7.04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522003</v>
      </c>
      <c r="AB377" s="14" t="s">
        <v>784</v>
      </c>
      <c r="AC377" s="15" t="s">
        <v>890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J377">
        <v>1</v>
      </c>
      <c r="AK377" s="1">
        <f t="shared" si="280"/>
        <v>202.68619279454722</v>
      </c>
      <c r="AL377">
        <v>13</v>
      </c>
      <c r="AM377">
        <f t="shared" si="294"/>
        <v>256</v>
      </c>
      <c r="AN377">
        <f t="shared" si="295"/>
        <v>25.6</v>
      </c>
      <c r="AO377">
        <f t="shared" si="296"/>
        <v>3072</v>
      </c>
      <c r="AP377">
        <f t="shared" si="297"/>
        <v>307.20000000000005</v>
      </c>
      <c r="AQ377">
        <f t="shared" si="298"/>
        <v>64</v>
      </c>
      <c r="AR377">
        <f t="shared" si="283"/>
        <v>6.4</v>
      </c>
      <c r="AS377">
        <f t="shared" si="299"/>
        <v>1.5</v>
      </c>
      <c r="AT377">
        <f t="shared" si="300"/>
        <v>1.2</v>
      </c>
      <c r="AU377">
        <f t="shared" si="301"/>
        <v>3</v>
      </c>
      <c r="AV377">
        <f t="shared" si="284"/>
        <v>2002</v>
      </c>
      <c r="AW377" s="1">
        <v>0</v>
      </c>
      <c r="AX377">
        <v>5</v>
      </c>
      <c r="AY377">
        <v>0.1</v>
      </c>
      <c r="BA377">
        <v>2</v>
      </c>
      <c r="BB377">
        <v>2</v>
      </c>
      <c r="CH377" t="str">
        <f t="shared" si="285"/>
        <v>DATA_Class_Base29</v>
      </c>
      <c r="CI377" s="3" t="s">
        <v>378</v>
      </c>
    </row>
    <row r="378" spans="1:87">
      <c r="A378">
        <f t="shared" si="281"/>
        <v>5132201</v>
      </c>
      <c r="B378" s="2" t="s">
        <v>509</v>
      </c>
      <c r="C378">
        <v>13</v>
      </c>
      <c r="D378">
        <v>2</v>
      </c>
      <c r="E378">
        <v>2</v>
      </c>
      <c r="F378" s="3" t="s">
        <v>511</v>
      </c>
      <c r="G378" s="3" t="s">
        <v>511</v>
      </c>
      <c r="H378" s="3">
        <v>-30</v>
      </c>
      <c r="I378">
        <v>35</v>
      </c>
      <c r="J378">
        <v>0</v>
      </c>
      <c r="K378" s="8" t="s">
        <v>512</v>
      </c>
      <c r="L378" s="2">
        <f t="shared" si="282"/>
        <v>3</v>
      </c>
      <c r="M378" s="2">
        <f t="shared" si="271"/>
        <v>1.8</v>
      </c>
      <c r="N378" s="2">
        <f t="shared" si="272"/>
        <v>1.8</v>
      </c>
      <c r="O378" s="2">
        <v>10</v>
      </c>
      <c r="P378" s="2">
        <f t="shared" si="273"/>
        <v>236.54</v>
      </c>
      <c r="Q378" s="2">
        <f t="shared" si="274"/>
        <v>23.65</v>
      </c>
      <c r="R378" s="2">
        <f t="shared" si="275"/>
        <v>4827.43</v>
      </c>
      <c r="S378" s="2">
        <f t="shared" si="276"/>
        <v>482.74</v>
      </c>
      <c r="T378" s="2">
        <f t="shared" si="277"/>
        <v>78.849999999999994</v>
      </c>
      <c r="U378" s="2">
        <f t="shared" si="278"/>
        <v>7.88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522013</v>
      </c>
      <c r="AB378" s="14" t="s">
        <v>785</v>
      </c>
      <c r="AC378" s="15" t="s">
        <v>890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J378">
        <v>1</v>
      </c>
      <c r="AK378" s="1">
        <f t="shared" si="280"/>
        <v>203.03413834809422</v>
      </c>
      <c r="AL378">
        <v>13</v>
      </c>
      <c r="AM378">
        <f t="shared" si="294"/>
        <v>215.04000000000002</v>
      </c>
      <c r="AN378">
        <f t="shared" si="295"/>
        <v>21.504000000000005</v>
      </c>
      <c r="AO378">
        <f t="shared" si="296"/>
        <v>4388.5714285714294</v>
      </c>
      <c r="AP378">
        <f t="shared" si="297"/>
        <v>438.85714285714295</v>
      </c>
      <c r="AQ378">
        <f t="shared" si="298"/>
        <v>71.680000000000007</v>
      </c>
      <c r="AR378">
        <f t="shared" si="283"/>
        <v>7.168000000000001</v>
      </c>
      <c r="AS378">
        <f t="shared" si="299"/>
        <v>1.8</v>
      </c>
      <c r="AT378">
        <f t="shared" si="300"/>
        <v>1.8</v>
      </c>
      <c r="AU378">
        <f t="shared" si="301"/>
        <v>3</v>
      </c>
      <c r="AV378">
        <f t="shared" si="284"/>
        <v>2012</v>
      </c>
      <c r="AW378" s="1">
        <v>1</v>
      </c>
      <c r="AX378">
        <v>5</v>
      </c>
      <c r="AY378">
        <v>0.1</v>
      </c>
      <c r="BA378">
        <v>2</v>
      </c>
      <c r="BB378">
        <v>2</v>
      </c>
      <c r="CH378" t="str">
        <f t="shared" si="285"/>
        <v>DATA_Class_Base30</v>
      </c>
      <c r="CI378" s="3" t="s">
        <v>381</v>
      </c>
    </row>
    <row r="379" spans="1:87">
      <c r="A379">
        <f t="shared" si="281"/>
        <v>5132202</v>
      </c>
      <c r="B379" s="2" t="s">
        <v>514</v>
      </c>
      <c r="C379">
        <v>13</v>
      </c>
      <c r="D379">
        <v>2</v>
      </c>
      <c r="E379">
        <v>2</v>
      </c>
      <c r="F379" s="3" t="s">
        <v>516</v>
      </c>
      <c r="G379" s="3" t="s">
        <v>516</v>
      </c>
      <c r="H379" s="3">
        <v>-10</v>
      </c>
      <c r="I379">
        <v>40</v>
      </c>
      <c r="J379" s="2">
        <v>0</v>
      </c>
      <c r="K379" s="2" t="s">
        <v>280</v>
      </c>
      <c r="L379" s="2">
        <f t="shared" si="282"/>
        <v>3</v>
      </c>
      <c r="M379" s="2">
        <f t="shared" si="271"/>
        <v>1.8</v>
      </c>
      <c r="N379" s="2">
        <f t="shared" si="272"/>
        <v>2</v>
      </c>
      <c r="O379" s="2">
        <v>10</v>
      </c>
      <c r="P379" s="2">
        <f t="shared" si="273"/>
        <v>388.61</v>
      </c>
      <c r="Q379" s="2">
        <f t="shared" si="274"/>
        <v>38.86</v>
      </c>
      <c r="R379" s="2">
        <f t="shared" si="275"/>
        <v>2938.43</v>
      </c>
      <c r="S379" s="2">
        <f t="shared" si="276"/>
        <v>293.83999999999997</v>
      </c>
      <c r="T379" s="2">
        <f t="shared" si="277"/>
        <v>77.72</v>
      </c>
      <c r="U379" s="2">
        <f t="shared" si="278"/>
        <v>7.77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522023</v>
      </c>
      <c r="AB379" s="14" t="s">
        <v>786</v>
      </c>
      <c r="AC379" s="15" t="s">
        <v>890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J379">
        <v>1</v>
      </c>
      <c r="AK379" s="1">
        <f t="shared" si="280"/>
        <v>202.98767660114473</v>
      </c>
      <c r="AL379">
        <v>13</v>
      </c>
      <c r="AM379">
        <f t="shared" si="294"/>
        <v>353.28</v>
      </c>
      <c r="AN379">
        <f t="shared" si="295"/>
        <v>35.327999999999996</v>
      </c>
      <c r="AO379">
        <f t="shared" si="296"/>
        <v>2671.3043478260875</v>
      </c>
      <c r="AP379">
        <f t="shared" si="297"/>
        <v>267.13043478260875</v>
      </c>
      <c r="AQ379">
        <f t="shared" si="298"/>
        <v>70.655999999999992</v>
      </c>
      <c r="AR379">
        <f t="shared" si="283"/>
        <v>7.0655999999999999</v>
      </c>
      <c r="AS379">
        <f t="shared" si="299"/>
        <v>1.8</v>
      </c>
      <c r="AT379">
        <f t="shared" si="300"/>
        <v>2</v>
      </c>
      <c r="AU379">
        <f t="shared" si="301"/>
        <v>3</v>
      </c>
      <c r="AV379">
        <f t="shared" si="284"/>
        <v>2022</v>
      </c>
      <c r="AW379" s="1">
        <v>2</v>
      </c>
      <c r="AX379">
        <v>5</v>
      </c>
      <c r="AY379">
        <v>0.1</v>
      </c>
      <c r="BA379">
        <v>2</v>
      </c>
      <c r="BB379">
        <v>2</v>
      </c>
      <c r="CH379" t="str">
        <f t="shared" si="285"/>
        <v>DATA_Class_Base31</v>
      </c>
      <c r="CI379" s="3" t="s">
        <v>384</v>
      </c>
    </row>
    <row r="380" spans="1:87">
      <c r="A380">
        <f t="shared" si="281"/>
        <v>5132301</v>
      </c>
      <c r="B380" s="2" t="s">
        <v>518</v>
      </c>
      <c r="C380">
        <v>13</v>
      </c>
      <c r="D380">
        <v>3</v>
      </c>
      <c r="E380">
        <v>2</v>
      </c>
      <c r="F380" s="3" t="s">
        <v>520</v>
      </c>
      <c r="G380" s="3" t="s">
        <v>520</v>
      </c>
      <c r="H380" s="3">
        <v>-10</v>
      </c>
      <c r="I380">
        <v>35</v>
      </c>
      <c r="J380">
        <v>0</v>
      </c>
      <c r="K380" s="2" t="s">
        <v>285</v>
      </c>
      <c r="L380" s="2">
        <f t="shared" si="282"/>
        <v>3</v>
      </c>
      <c r="M380" s="2">
        <f t="shared" si="271"/>
        <v>1.2</v>
      </c>
      <c r="N380" s="2">
        <f t="shared" si="272"/>
        <v>1.7</v>
      </c>
      <c r="O380" s="2">
        <v>10</v>
      </c>
      <c r="P380" s="2">
        <f t="shared" si="273"/>
        <v>292.86</v>
      </c>
      <c r="Q380" s="2">
        <f t="shared" si="274"/>
        <v>29.29</v>
      </c>
      <c r="R380" s="2">
        <f t="shared" si="275"/>
        <v>2599.38</v>
      </c>
      <c r="S380" s="2">
        <f t="shared" si="276"/>
        <v>259.94</v>
      </c>
      <c r="T380" s="2">
        <f t="shared" si="277"/>
        <v>48.81</v>
      </c>
      <c r="U380" s="2">
        <f t="shared" si="278"/>
        <v>4.88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523013</v>
      </c>
      <c r="AB380" s="14" t="s">
        <v>787</v>
      </c>
      <c r="AC380" s="15" t="s">
        <v>890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J380">
        <v>1</v>
      </c>
      <c r="AK380" s="1">
        <f t="shared" si="280"/>
        <v>201.80239306811674</v>
      </c>
      <c r="AL380">
        <v>13</v>
      </c>
      <c r="AM380">
        <f t="shared" si="294"/>
        <v>266.24</v>
      </c>
      <c r="AN380">
        <f t="shared" si="295"/>
        <v>26.624000000000002</v>
      </c>
      <c r="AO380">
        <f t="shared" si="296"/>
        <v>2363.0769230769229</v>
      </c>
      <c r="AP380">
        <f t="shared" si="297"/>
        <v>236.30769230769229</v>
      </c>
      <c r="AQ380">
        <f t="shared" si="298"/>
        <v>44.373333333333335</v>
      </c>
      <c r="AR380">
        <f t="shared" si="283"/>
        <v>4.437333333333334</v>
      </c>
      <c r="AS380">
        <f t="shared" si="299"/>
        <v>1.2</v>
      </c>
      <c r="AT380">
        <f t="shared" si="300"/>
        <v>1.7</v>
      </c>
      <c r="AU380">
        <f t="shared" si="301"/>
        <v>3</v>
      </c>
      <c r="AV380">
        <f t="shared" si="284"/>
        <v>3012</v>
      </c>
      <c r="AW380" s="1">
        <v>1</v>
      </c>
      <c r="AX380">
        <v>5</v>
      </c>
      <c r="AY380">
        <v>0.1</v>
      </c>
      <c r="BA380">
        <v>3</v>
      </c>
      <c r="BB380">
        <v>2</v>
      </c>
      <c r="CH380" t="str">
        <f t="shared" si="285"/>
        <v>DATA_Class_Base32</v>
      </c>
      <c r="CI380" s="3" t="s">
        <v>388</v>
      </c>
    </row>
    <row r="381" spans="1:87">
      <c r="A381">
        <f t="shared" si="281"/>
        <v>5132401</v>
      </c>
      <c r="B381" s="2" t="s">
        <v>522</v>
      </c>
      <c r="C381">
        <v>13</v>
      </c>
      <c r="D381">
        <v>4</v>
      </c>
      <c r="E381">
        <v>2</v>
      </c>
      <c r="F381" s="3" t="s">
        <v>524</v>
      </c>
      <c r="G381" s="3" t="s">
        <v>524</v>
      </c>
      <c r="H381" s="3">
        <v>-10</v>
      </c>
      <c r="I381">
        <v>45</v>
      </c>
      <c r="J381" s="2">
        <v>0</v>
      </c>
      <c r="K381" s="8" t="s">
        <v>250</v>
      </c>
      <c r="L381" s="2">
        <f t="shared" si="282"/>
        <v>6</v>
      </c>
      <c r="M381" s="2">
        <f t="shared" si="271"/>
        <v>1.6</v>
      </c>
      <c r="N381" s="2">
        <f t="shared" si="272"/>
        <v>1.5</v>
      </c>
      <c r="O381" s="2">
        <v>10</v>
      </c>
      <c r="P381" s="2">
        <f t="shared" si="273"/>
        <v>390.49</v>
      </c>
      <c r="Q381" s="2">
        <f t="shared" si="274"/>
        <v>39.049999999999997</v>
      </c>
      <c r="R381" s="2">
        <f t="shared" si="275"/>
        <v>2599.38</v>
      </c>
      <c r="S381" s="2">
        <f t="shared" si="276"/>
        <v>259.94</v>
      </c>
      <c r="T381" s="2">
        <f t="shared" si="277"/>
        <v>43.39</v>
      </c>
      <c r="U381" s="2">
        <f t="shared" si="278"/>
        <v>4.34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524013</v>
      </c>
      <c r="AB381" s="14" t="s">
        <v>788</v>
      </c>
      <c r="AC381" s="15" t="s">
        <v>890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J381">
        <v>1</v>
      </c>
      <c r="AK381" s="1">
        <f t="shared" si="280"/>
        <v>201.58158570416788</v>
      </c>
      <c r="AL381">
        <v>13</v>
      </c>
      <c r="AM381">
        <f t="shared" si="294"/>
        <v>354.98666666666668</v>
      </c>
      <c r="AN381">
        <f t="shared" si="295"/>
        <v>35.498666666666672</v>
      </c>
      <c r="AO381">
        <f t="shared" si="296"/>
        <v>2363.0769230769229</v>
      </c>
      <c r="AP381">
        <f t="shared" si="297"/>
        <v>236.30769230769229</v>
      </c>
      <c r="AQ381">
        <f t="shared" si="298"/>
        <v>39.442962962962966</v>
      </c>
      <c r="AR381">
        <f t="shared" si="283"/>
        <v>3.9442962962962969</v>
      </c>
      <c r="AS381">
        <f t="shared" si="299"/>
        <v>1.6</v>
      </c>
      <c r="AT381">
        <f t="shared" si="300"/>
        <v>1.5</v>
      </c>
      <c r="AU381">
        <f t="shared" si="301"/>
        <v>6</v>
      </c>
      <c r="AV381">
        <f t="shared" si="284"/>
        <v>4012</v>
      </c>
      <c r="AW381" s="1">
        <v>1</v>
      </c>
      <c r="AX381">
        <v>5</v>
      </c>
      <c r="AY381">
        <v>0.1</v>
      </c>
      <c r="BA381">
        <v>4</v>
      </c>
      <c r="BB381">
        <v>2</v>
      </c>
      <c r="CH381" t="str">
        <f t="shared" si="285"/>
        <v>DATA_Class_Base33</v>
      </c>
      <c r="CI381" s="3" t="s">
        <v>391</v>
      </c>
    </row>
    <row r="382" spans="1:87">
      <c r="A382">
        <f t="shared" si="281"/>
        <v>5132402</v>
      </c>
      <c r="B382" s="2" t="s">
        <v>526</v>
      </c>
      <c r="C382">
        <v>13</v>
      </c>
      <c r="D382">
        <v>4</v>
      </c>
      <c r="E382">
        <v>2</v>
      </c>
      <c r="F382" s="3" t="s">
        <v>528</v>
      </c>
      <c r="G382" s="3" t="s">
        <v>528</v>
      </c>
      <c r="H382" s="3">
        <v>0</v>
      </c>
      <c r="I382">
        <v>45</v>
      </c>
      <c r="J382">
        <v>0</v>
      </c>
      <c r="K382" s="2" t="s">
        <v>250</v>
      </c>
      <c r="L382" s="2">
        <f t="shared" si="282"/>
        <v>6</v>
      </c>
      <c r="M382" s="2">
        <f t="shared" si="271"/>
        <v>1.5</v>
      </c>
      <c r="N382" s="2">
        <f t="shared" si="272"/>
        <v>1.5</v>
      </c>
      <c r="O382" s="2">
        <v>10</v>
      </c>
      <c r="P382" s="2">
        <f t="shared" si="273"/>
        <v>394.24</v>
      </c>
      <c r="Q382" s="2">
        <f t="shared" si="274"/>
        <v>39.42</v>
      </c>
      <c r="R382" s="2">
        <f t="shared" si="275"/>
        <v>2413.71</v>
      </c>
      <c r="S382" s="2">
        <f t="shared" si="276"/>
        <v>241.37</v>
      </c>
      <c r="T382" s="2">
        <f t="shared" si="277"/>
        <v>49.28</v>
      </c>
      <c r="U382" s="2">
        <f t="shared" si="278"/>
        <v>4.93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524023</v>
      </c>
      <c r="AB382" s="14" t="s">
        <v>789</v>
      </c>
      <c r="AC382" s="15" t="s">
        <v>890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J382">
        <v>1</v>
      </c>
      <c r="AK382" s="1">
        <f t="shared" si="280"/>
        <v>201.821524141943</v>
      </c>
      <c r="AL382">
        <v>13</v>
      </c>
      <c r="AM382">
        <f t="shared" si="294"/>
        <v>358.39999999999992</v>
      </c>
      <c r="AN382">
        <f t="shared" si="295"/>
        <v>35.839999999999996</v>
      </c>
      <c r="AO382">
        <f t="shared" si="296"/>
        <v>2194.2857142857147</v>
      </c>
      <c r="AP382">
        <f t="shared" si="297"/>
        <v>219.42857142857147</v>
      </c>
      <c r="AQ382">
        <f t="shared" si="298"/>
        <v>44.79999999999999</v>
      </c>
      <c r="AR382">
        <f t="shared" si="283"/>
        <v>4.4799999999999995</v>
      </c>
      <c r="AS382">
        <f t="shared" si="299"/>
        <v>1.5</v>
      </c>
      <c r="AT382">
        <f t="shared" si="300"/>
        <v>1.5</v>
      </c>
      <c r="AU382">
        <f t="shared" si="301"/>
        <v>6</v>
      </c>
      <c r="AV382">
        <f t="shared" si="284"/>
        <v>4022</v>
      </c>
      <c r="AW382" s="1">
        <v>2</v>
      </c>
      <c r="AX382">
        <v>5</v>
      </c>
      <c r="AY382">
        <v>0.1</v>
      </c>
      <c r="BA382">
        <v>4</v>
      </c>
      <c r="BB382">
        <v>2</v>
      </c>
      <c r="CH382" t="str">
        <f t="shared" si="285"/>
        <v>DATA_Class_Base34</v>
      </c>
      <c r="CI382" s="3" t="s">
        <v>184</v>
      </c>
    </row>
    <row r="383" spans="1:87">
      <c r="A383">
        <f t="shared" si="281"/>
        <v>5132502</v>
      </c>
      <c r="B383" s="2" t="s">
        <v>535</v>
      </c>
      <c r="C383">
        <v>13</v>
      </c>
      <c r="D383">
        <v>5</v>
      </c>
      <c r="E383">
        <v>2</v>
      </c>
      <c r="F383" s="3" t="s">
        <v>537</v>
      </c>
      <c r="G383" s="3" t="s">
        <v>537</v>
      </c>
      <c r="H383" s="3">
        <v>-10</v>
      </c>
      <c r="I383">
        <v>50</v>
      </c>
      <c r="J383" s="2">
        <v>0</v>
      </c>
      <c r="K383" s="2" t="s">
        <v>291</v>
      </c>
      <c r="L383" s="2">
        <f t="shared" si="282"/>
        <v>6</v>
      </c>
      <c r="M383" s="2">
        <f t="shared" si="271"/>
        <v>1.4000000000000001</v>
      </c>
      <c r="N383" s="2">
        <f t="shared" si="272"/>
        <v>2</v>
      </c>
      <c r="O383" s="2">
        <v>10</v>
      </c>
      <c r="P383" s="2">
        <f t="shared" si="273"/>
        <v>407.38</v>
      </c>
      <c r="Q383" s="2">
        <f t="shared" si="274"/>
        <v>40.74</v>
      </c>
      <c r="R383" s="2">
        <f t="shared" si="275"/>
        <v>2180.13</v>
      </c>
      <c r="S383" s="2">
        <f t="shared" si="276"/>
        <v>218.01</v>
      </c>
      <c r="T383" s="2">
        <f t="shared" si="277"/>
        <v>40.74</v>
      </c>
      <c r="U383" s="2">
        <f t="shared" si="278"/>
        <v>4.07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525023</v>
      </c>
      <c r="AB383" s="14" t="s">
        <v>791</v>
      </c>
      <c r="AC383" s="15" t="s">
        <v>890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J383">
        <v>1</v>
      </c>
      <c r="AK383" s="1">
        <f t="shared" si="280"/>
        <v>201.47390536398106</v>
      </c>
      <c r="AL383">
        <v>13</v>
      </c>
      <c r="AM383">
        <f t="shared" si="294"/>
        <v>370.34666666666664</v>
      </c>
      <c r="AN383">
        <f t="shared" si="295"/>
        <v>37.034666666666666</v>
      </c>
      <c r="AO383">
        <f t="shared" si="296"/>
        <v>1981.9354838709678</v>
      </c>
      <c r="AP383">
        <f t="shared" si="297"/>
        <v>198.1935483870968</v>
      </c>
      <c r="AQ383">
        <f t="shared" si="298"/>
        <v>37.034666666666666</v>
      </c>
      <c r="AR383">
        <f t="shared" si="283"/>
        <v>3.7034666666666669</v>
      </c>
      <c r="AS383">
        <f t="shared" si="299"/>
        <v>1.4</v>
      </c>
      <c r="AT383">
        <f t="shared" si="300"/>
        <v>2</v>
      </c>
      <c r="AU383">
        <f t="shared" si="301"/>
        <v>6</v>
      </c>
      <c r="AV383">
        <f t="shared" si="284"/>
        <v>5022</v>
      </c>
      <c r="AW383" s="1">
        <v>2</v>
      </c>
      <c r="AX383">
        <v>5</v>
      </c>
      <c r="AY383">
        <v>0.1</v>
      </c>
      <c r="BA383">
        <v>5</v>
      </c>
      <c r="BB383">
        <v>2</v>
      </c>
      <c r="CH383" t="str">
        <f t="shared" si="285"/>
        <v>DATA_Class_Base35</v>
      </c>
      <c r="CI383" s="3" t="s">
        <v>195</v>
      </c>
    </row>
    <row r="384" spans="1:87">
      <c r="A384">
        <f t="shared" si="281"/>
        <v>5133200</v>
      </c>
      <c r="B384" s="2" t="s">
        <v>544</v>
      </c>
      <c r="C384">
        <v>13</v>
      </c>
      <c r="D384">
        <v>2</v>
      </c>
      <c r="E384">
        <v>3</v>
      </c>
      <c r="F384" s="3" t="s">
        <v>546</v>
      </c>
      <c r="G384" s="3" t="s">
        <v>546</v>
      </c>
      <c r="H384" s="3">
        <v>0</v>
      </c>
      <c r="I384">
        <v>50</v>
      </c>
      <c r="J384">
        <v>0</v>
      </c>
      <c r="K384" s="2" t="s">
        <v>314</v>
      </c>
      <c r="L384" s="2">
        <f t="shared" si="282"/>
        <v>3</v>
      </c>
      <c r="M384" s="2">
        <f t="shared" si="271"/>
        <v>1.5</v>
      </c>
      <c r="N384" s="2">
        <f t="shared" si="272"/>
        <v>1.2</v>
      </c>
      <c r="O384" s="2">
        <v>10</v>
      </c>
      <c r="P384" s="2">
        <f t="shared" si="273"/>
        <v>197.12</v>
      </c>
      <c r="Q384" s="2">
        <f t="shared" si="274"/>
        <v>19.71</v>
      </c>
      <c r="R384" s="2">
        <f t="shared" si="275"/>
        <v>4827.43</v>
      </c>
      <c r="S384" s="2">
        <f t="shared" si="276"/>
        <v>482.74</v>
      </c>
      <c r="T384" s="2">
        <f t="shared" si="277"/>
        <v>98.56</v>
      </c>
      <c r="U384" s="2">
        <f t="shared" si="278"/>
        <v>9.86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532003</v>
      </c>
      <c r="AB384" s="14" t="s">
        <v>793</v>
      </c>
      <c r="AC384" s="15" t="s">
        <v>890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J384">
        <v>1</v>
      </c>
      <c r="AK384" s="1">
        <f t="shared" si="280"/>
        <v>203.85067571978848</v>
      </c>
      <c r="AL384">
        <v>13</v>
      </c>
      <c r="AM384">
        <f t="shared" si="294"/>
        <v>179.19999999999996</v>
      </c>
      <c r="AN384">
        <f t="shared" si="295"/>
        <v>17.919999999999998</v>
      </c>
      <c r="AO384">
        <f t="shared" si="296"/>
        <v>4388.5714285714294</v>
      </c>
      <c r="AP384">
        <f t="shared" si="297"/>
        <v>438.85714285714295</v>
      </c>
      <c r="AQ384">
        <f t="shared" si="298"/>
        <v>89.59999999999998</v>
      </c>
      <c r="AR384">
        <f t="shared" si="283"/>
        <v>8.9599999999999991</v>
      </c>
      <c r="AS384">
        <f t="shared" si="299"/>
        <v>1.5</v>
      </c>
      <c r="AT384">
        <f t="shared" si="300"/>
        <v>1.2</v>
      </c>
      <c r="AU384">
        <f t="shared" si="301"/>
        <v>3</v>
      </c>
      <c r="AV384">
        <f t="shared" si="284"/>
        <v>2003</v>
      </c>
      <c r="AW384" s="1">
        <v>0</v>
      </c>
      <c r="AX384">
        <v>5</v>
      </c>
      <c r="AY384">
        <v>0.1</v>
      </c>
      <c r="BA384">
        <v>2</v>
      </c>
      <c r="BB384">
        <v>3</v>
      </c>
      <c r="CH384" t="str">
        <f t="shared" si="285"/>
        <v>DATA_Class_Base36</v>
      </c>
      <c r="CI384" s="3" t="s">
        <v>201</v>
      </c>
    </row>
    <row r="385" spans="1:87" ht="14.25" customHeight="1">
      <c r="A385">
        <f t="shared" si="281"/>
        <v>5133202</v>
      </c>
      <c r="B385" s="2" t="s">
        <v>552</v>
      </c>
      <c r="C385">
        <v>13</v>
      </c>
      <c r="D385">
        <v>2</v>
      </c>
      <c r="E385">
        <v>3</v>
      </c>
      <c r="F385" s="3" t="s">
        <v>554</v>
      </c>
      <c r="G385" s="3" t="s">
        <v>554</v>
      </c>
      <c r="H385" s="3">
        <v>-10</v>
      </c>
      <c r="I385">
        <v>40</v>
      </c>
      <c r="J385">
        <v>0</v>
      </c>
      <c r="K385" s="8" t="s">
        <v>555</v>
      </c>
      <c r="L385" s="2">
        <f t="shared" si="282"/>
        <v>3</v>
      </c>
      <c r="M385" s="2">
        <f t="shared" si="271"/>
        <v>1.8</v>
      </c>
      <c r="N385" s="2">
        <f t="shared" si="272"/>
        <v>2</v>
      </c>
      <c r="O385" s="2">
        <v>10</v>
      </c>
      <c r="P385" s="2">
        <f t="shared" si="273"/>
        <v>304.13</v>
      </c>
      <c r="Q385" s="2">
        <f t="shared" si="274"/>
        <v>30.41</v>
      </c>
      <c r="R385" s="2">
        <f t="shared" si="275"/>
        <v>3754.67</v>
      </c>
      <c r="S385" s="2">
        <f t="shared" si="276"/>
        <v>375.47</v>
      </c>
      <c r="T385" s="2">
        <f t="shared" si="277"/>
        <v>101.38</v>
      </c>
      <c r="U385" s="2">
        <f t="shared" si="278"/>
        <v>10.14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532023</v>
      </c>
      <c r="AB385" s="14" t="s">
        <v>795</v>
      </c>
      <c r="AC385" s="15" t="s">
        <v>890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J385">
        <v>1</v>
      </c>
      <c r="AK385" s="1">
        <f t="shared" si="280"/>
        <v>203.96786036242025</v>
      </c>
      <c r="AL385">
        <v>13</v>
      </c>
      <c r="AM385">
        <f t="shared" si="294"/>
        <v>276.48</v>
      </c>
      <c r="AN385">
        <f t="shared" si="295"/>
        <v>27.648000000000003</v>
      </c>
      <c r="AO385">
        <f t="shared" si="296"/>
        <v>3413.3333333333339</v>
      </c>
      <c r="AP385">
        <f t="shared" si="297"/>
        <v>341.33333333333343</v>
      </c>
      <c r="AQ385">
        <f t="shared" si="298"/>
        <v>92.160000000000011</v>
      </c>
      <c r="AR385">
        <f t="shared" si="283"/>
        <v>9.2160000000000011</v>
      </c>
      <c r="AS385">
        <f t="shared" si="299"/>
        <v>1.8</v>
      </c>
      <c r="AT385">
        <f t="shared" si="300"/>
        <v>2</v>
      </c>
      <c r="AU385">
        <f t="shared" si="301"/>
        <v>3</v>
      </c>
      <c r="AV385">
        <f t="shared" si="284"/>
        <v>2023</v>
      </c>
      <c r="AW385" s="1">
        <v>2</v>
      </c>
      <c r="AX385">
        <v>5</v>
      </c>
      <c r="AY385">
        <v>0.1</v>
      </c>
      <c r="BA385">
        <v>2</v>
      </c>
      <c r="BB385">
        <v>3</v>
      </c>
      <c r="CH385" t="str">
        <f t="shared" si="285"/>
        <v>DATA_Class_Base28</v>
      </c>
      <c r="CI385" s="3" t="s">
        <v>374</v>
      </c>
    </row>
    <row r="386" spans="1:87">
      <c r="A386">
        <f t="shared" si="281"/>
        <v>5133301</v>
      </c>
      <c r="B386" s="2" t="s">
        <v>557</v>
      </c>
      <c r="C386">
        <v>13</v>
      </c>
      <c r="D386">
        <v>3</v>
      </c>
      <c r="E386">
        <v>3</v>
      </c>
      <c r="F386" s="3" t="s">
        <v>559</v>
      </c>
      <c r="G386" s="3" t="s">
        <v>559</v>
      </c>
      <c r="H386" s="3">
        <v>-10</v>
      </c>
      <c r="I386">
        <v>35</v>
      </c>
      <c r="J386" s="2">
        <v>0</v>
      </c>
      <c r="K386" s="8" t="s">
        <v>555</v>
      </c>
      <c r="L386" s="2">
        <f t="shared" si="282"/>
        <v>3</v>
      </c>
      <c r="M386" s="2">
        <f t="shared" si="271"/>
        <v>1.2</v>
      </c>
      <c r="N386" s="2">
        <f t="shared" si="272"/>
        <v>1.4000000000000001</v>
      </c>
      <c r="O386" s="2">
        <v>10</v>
      </c>
      <c r="P386" s="2">
        <f t="shared" si="273"/>
        <v>270.33999999999997</v>
      </c>
      <c r="Q386" s="2">
        <f t="shared" si="274"/>
        <v>27.03</v>
      </c>
      <c r="R386" s="2">
        <f t="shared" si="275"/>
        <v>2816</v>
      </c>
      <c r="S386" s="2">
        <f t="shared" si="276"/>
        <v>281.60000000000002</v>
      </c>
      <c r="T386" s="2">
        <f t="shared" si="277"/>
        <v>54.07</v>
      </c>
      <c r="U386" s="2">
        <f t="shared" si="278"/>
        <v>5.41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533013</v>
      </c>
      <c r="AB386" s="14" t="s">
        <v>796</v>
      </c>
      <c r="AC386" s="15" t="s">
        <v>890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J386">
        <v>1</v>
      </c>
      <c r="AK386" s="1">
        <f t="shared" si="280"/>
        <v>202.01686848636518</v>
      </c>
      <c r="AL386">
        <v>13</v>
      </c>
      <c r="AM386">
        <f t="shared" si="294"/>
        <v>245.76</v>
      </c>
      <c r="AN386">
        <f t="shared" si="295"/>
        <v>24.576000000000001</v>
      </c>
      <c r="AO386">
        <f t="shared" si="296"/>
        <v>2560</v>
      </c>
      <c r="AP386">
        <f t="shared" si="297"/>
        <v>256</v>
      </c>
      <c r="AQ386">
        <f t="shared" si="298"/>
        <v>49.152000000000001</v>
      </c>
      <c r="AR386">
        <f t="shared" si="283"/>
        <v>4.9152000000000005</v>
      </c>
      <c r="AS386">
        <f t="shared" si="299"/>
        <v>1.2</v>
      </c>
      <c r="AT386">
        <f t="shared" si="300"/>
        <v>1.4</v>
      </c>
      <c r="AU386">
        <f t="shared" si="301"/>
        <v>3</v>
      </c>
      <c r="AV386">
        <f t="shared" si="284"/>
        <v>3013</v>
      </c>
      <c r="AW386" s="1">
        <v>1</v>
      </c>
      <c r="AX386">
        <v>5</v>
      </c>
      <c r="AY386">
        <v>0.1</v>
      </c>
      <c r="BA386">
        <v>3</v>
      </c>
      <c r="BB386">
        <v>3</v>
      </c>
      <c r="CH386" t="str">
        <f t="shared" si="285"/>
        <v>DATA_Class_Base29</v>
      </c>
      <c r="CI386" s="3" t="s">
        <v>378</v>
      </c>
    </row>
    <row r="387" spans="1:87">
      <c r="A387">
        <f t="shared" si="281"/>
        <v>5133401</v>
      </c>
      <c r="B387" s="2" t="s">
        <v>561</v>
      </c>
      <c r="C387">
        <v>13</v>
      </c>
      <c r="D387">
        <v>4</v>
      </c>
      <c r="E387">
        <v>3</v>
      </c>
      <c r="F387" s="3" t="s">
        <v>563</v>
      </c>
      <c r="G387" s="3" t="s">
        <v>563</v>
      </c>
      <c r="H387" s="3">
        <v>-10</v>
      </c>
      <c r="I387">
        <v>45</v>
      </c>
      <c r="J387">
        <v>0</v>
      </c>
      <c r="K387" s="8" t="s">
        <v>161</v>
      </c>
      <c r="L387" s="2">
        <f t="shared" si="282"/>
        <v>6</v>
      </c>
      <c r="M387" s="2">
        <f t="shared" si="271"/>
        <v>1.6</v>
      </c>
      <c r="N387" s="2">
        <f t="shared" si="272"/>
        <v>1.5</v>
      </c>
      <c r="O387" s="2">
        <v>10</v>
      </c>
      <c r="P387" s="2">
        <f t="shared" si="273"/>
        <v>360.45</v>
      </c>
      <c r="Q387" s="2">
        <f t="shared" si="274"/>
        <v>36.04</v>
      </c>
      <c r="R387" s="2">
        <f t="shared" si="275"/>
        <v>2816</v>
      </c>
      <c r="S387" s="2">
        <f t="shared" si="276"/>
        <v>281.60000000000002</v>
      </c>
      <c r="T387" s="2">
        <f t="shared" si="277"/>
        <v>60.07</v>
      </c>
      <c r="U387" s="2">
        <f t="shared" si="278"/>
        <v>6.01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534013</v>
      </c>
      <c r="AB387" s="14" t="s">
        <v>797</v>
      </c>
      <c r="AC387" s="15" t="s">
        <v>890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J387">
        <v>1</v>
      </c>
      <c r="AK387" s="1">
        <f t="shared" si="280"/>
        <v>202.26254215988155</v>
      </c>
      <c r="AL387">
        <v>13</v>
      </c>
      <c r="AM387">
        <f t="shared" si="294"/>
        <v>327.68000000000006</v>
      </c>
      <c r="AN387">
        <f t="shared" si="295"/>
        <v>32.768000000000008</v>
      </c>
      <c r="AO387">
        <f t="shared" si="296"/>
        <v>2560</v>
      </c>
      <c r="AP387">
        <f t="shared" si="297"/>
        <v>256</v>
      </c>
      <c r="AQ387">
        <f t="shared" si="298"/>
        <v>54.613333333333344</v>
      </c>
      <c r="AR387">
        <f t="shared" si="283"/>
        <v>5.4613333333333349</v>
      </c>
      <c r="AS387">
        <f t="shared" si="299"/>
        <v>1.6</v>
      </c>
      <c r="AT387">
        <f t="shared" si="300"/>
        <v>1.5</v>
      </c>
      <c r="AU387">
        <f t="shared" si="301"/>
        <v>6</v>
      </c>
      <c r="AV387">
        <f t="shared" si="284"/>
        <v>4013</v>
      </c>
      <c r="AW387" s="1">
        <v>1</v>
      </c>
      <c r="AX387">
        <v>5</v>
      </c>
      <c r="AY387">
        <v>0.1</v>
      </c>
      <c r="BA387">
        <v>4</v>
      </c>
      <c r="BB387">
        <v>3</v>
      </c>
      <c r="CH387" t="str">
        <f t="shared" si="285"/>
        <v>DATA_Class_Base30</v>
      </c>
      <c r="CI387" s="3" t="s">
        <v>381</v>
      </c>
    </row>
    <row r="388" spans="1:87">
      <c r="A388">
        <f t="shared" si="281"/>
        <v>5133402</v>
      </c>
      <c r="B388" s="2" t="s">
        <v>565</v>
      </c>
      <c r="C388">
        <v>13</v>
      </c>
      <c r="D388">
        <v>4</v>
      </c>
      <c r="E388">
        <v>3</v>
      </c>
      <c r="F388" s="3" t="s">
        <v>567</v>
      </c>
      <c r="G388" s="3" t="s">
        <v>567</v>
      </c>
      <c r="H388" s="3">
        <v>0</v>
      </c>
      <c r="I388">
        <v>45</v>
      </c>
      <c r="J388" s="2">
        <v>0</v>
      </c>
      <c r="K388" s="8" t="s">
        <v>568</v>
      </c>
      <c r="L388" s="2">
        <f t="shared" si="282"/>
        <v>6</v>
      </c>
      <c r="M388" s="2">
        <f t="shared" si="271"/>
        <v>1.5</v>
      </c>
      <c r="N388" s="2">
        <f t="shared" si="272"/>
        <v>1.5</v>
      </c>
      <c r="O388" s="2">
        <v>10</v>
      </c>
      <c r="P388" s="2">
        <f t="shared" si="273"/>
        <v>366.08</v>
      </c>
      <c r="Q388" s="2">
        <f t="shared" si="274"/>
        <v>36.61</v>
      </c>
      <c r="R388" s="2">
        <f t="shared" si="275"/>
        <v>2599.38</v>
      </c>
      <c r="S388" s="2">
        <f t="shared" si="276"/>
        <v>259.94</v>
      </c>
      <c r="T388" s="2">
        <f t="shared" si="277"/>
        <v>52.3</v>
      </c>
      <c r="U388" s="2">
        <f t="shared" si="278"/>
        <v>5.23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534023</v>
      </c>
      <c r="AB388" s="14" t="s">
        <v>798</v>
      </c>
      <c r="AC388" s="15" t="s">
        <v>890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J388">
        <v>1</v>
      </c>
      <c r="AK388" s="1">
        <f t="shared" si="280"/>
        <v>201.94459628017856</v>
      </c>
      <c r="AL388">
        <v>13</v>
      </c>
      <c r="AM388">
        <f t="shared" si="294"/>
        <v>332.8</v>
      </c>
      <c r="AN388">
        <f t="shared" si="295"/>
        <v>33.28</v>
      </c>
      <c r="AO388">
        <f t="shared" si="296"/>
        <v>2363.0769230769229</v>
      </c>
      <c r="AP388">
        <f t="shared" si="297"/>
        <v>236.30769230769229</v>
      </c>
      <c r="AQ388">
        <f t="shared" si="298"/>
        <v>47.542857142857144</v>
      </c>
      <c r="AR388">
        <f t="shared" si="283"/>
        <v>4.7542857142857144</v>
      </c>
      <c r="AS388">
        <f t="shared" si="299"/>
        <v>1.5</v>
      </c>
      <c r="AT388">
        <f t="shared" si="300"/>
        <v>1.5</v>
      </c>
      <c r="AU388">
        <f t="shared" si="301"/>
        <v>6</v>
      </c>
      <c r="AV388">
        <f t="shared" si="284"/>
        <v>4023</v>
      </c>
      <c r="AW388" s="1">
        <v>2</v>
      </c>
      <c r="AX388">
        <v>5</v>
      </c>
      <c r="AY388">
        <v>0.1</v>
      </c>
      <c r="BA388">
        <v>4</v>
      </c>
      <c r="BB388">
        <v>3</v>
      </c>
      <c r="CH388" t="str">
        <f t="shared" si="285"/>
        <v>DATA_Class_Base31</v>
      </c>
      <c r="CI388" s="3" t="s">
        <v>384</v>
      </c>
    </row>
    <row r="389" spans="1:87">
      <c r="A389">
        <f t="shared" si="281"/>
        <v>5133502</v>
      </c>
      <c r="B389" s="2" t="s">
        <v>574</v>
      </c>
      <c r="C389">
        <v>13</v>
      </c>
      <c r="D389">
        <v>5</v>
      </c>
      <c r="E389">
        <v>3</v>
      </c>
      <c r="F389" s="3" t="s">
        <v>576</v>
      </c>
      <c r="G389" s="3" t="s">
        <v>576</v>
      </c>
      <c r="H389" s="3">
        <v>-10</v>
      </c>
      <c r="I389">
        <v>50</v>
      </c>
      <c r="J389" s="2">
        <v>0</v>
      </c>
      <c r="K389" s="8" t="s">
        <v>577</v>
      </c>
      <c r="L389" s="2">
        <f t="shared" si="282"/>
        <v>6</v>
      </c>
      <c r="M389" s="2">
        <f t="shared" si="271"/>
        <v>1.4000000000000001</v>
      </c>
      <c r="N389" s="2">
        <f t="shared" si="272"/>
        <v>2</v>
      </c>
      <c r="O389" s="2">
        <v>10</v>
      </c>
      <c r="P389" s="2">
        <f t="shared" si="273"/>
        <v>354.82</v>
      </c>
      <c r="Q389" s="2">
        <f t="shared" si="274"/>
        <v>35.479999999999997</v>
      </c>
      <c r="R389" s="2">
        <f t="shared" si="275"/>
        <v>2503.11</v>
      </c>
      <c r="S389" s="2">
        <f t="shared" si="276"/>
        <v>250.31</v>
      </c>
      <c r="T389" s="2">
        <f t="shared" si="277"/>
        <v>50.69</v>
      </c>
      <c r="U389" s="2">
        <f t="shared" si="278"/>
        <v>5.07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535023</v>
      </c>
      <c r="AB389" s="14" t="s">
        <v>800</v>
      </c>
      <c r="AC389" s="15" t="s">
        <v>890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J389">
        <v>1</v>
      </c>
      <c r="AK389" s="1">
        <f t="shared" si="280"/>
        <v>201.87893913335841</v>
      </c>
      <c r="AL389">
        <v>13</v>
      </c>
      <c r="AM389">
        <f t="shared" si="294"/>
        <v>322.56</v>
      </c>
      <c r="AN389">
        <f t="shared" si="295"/>
        <v>32.256</v>
      </c>
      <c r="AO389">
        <f t="shared" si="296"/>
        <v>2275.5555555555557</v>
      </c>
      <c r="AP389">
        <f t="shared" si="297"/>
        <v>227.55555555555557</v>
      </c>
      <c r="AQ389">
        <f t="shared" si="298"/>
        <v>46.08</v>
      </c>
      <c r="AR389">
        <f t="shared" si="283"/>
        <v>4.6079999999999997</v>
      </c>
      <c r="AS389">
        <f t="shared" si="299"/>
        <v>1.4</v>
      </c>
      <c r="AT389">
        <f t="shared" si="300"/>
        <v>2</v>
      </c>
      <c r="AU389">
        <f t="shared" si="301"/>
        <v>6</v>
      </c>
      <c r="AV389">
        <f t="shared" si="284"/>
        <v>5023</v>
      </c>
      <c r="AW389" s="1">
        <v>2</v>
      </c>
      <c r="AX389">
        <v>5</v>
      </c>
      <c r="AY389">
        <v>0.1</v>
      </c>
      <c r="BA389">
        <v>5</v>
      </c>
      <c r="BB389">
        <v>3</v>
      </c>
      <c r="CH389" t="str">
        <f t="shared" si="285"/>
        <v>DATA_Class_Base32</v>
      </c>
      <c r="CI389" s="3" t="s">
        <v>388</v>
      </c>
    </row>
    <row r="390" spans="1:87">
      <c r="A390">
        <f t="shared" si="281"/>
        <v>5133601</v>
      </c>
      <c r="B390" s="2" t="s">
        <v>579</v>
      </c>
      <c r="C390">
        <v>13</v>
      </c>
      <c r="D390">
        <v>6</v>
      </c>
      <c r="E390">
        <v>3</v>
      </c>
      <c r="F390" s="3" t="s">
        <v>581</v>
      </c>
      <c r="G390" s="3" t="s">
        <v>581</v>
      </c>
      <c r="H390" s="3">
        <v>0</v>
      </c>
      <c r="I390">
        <v>50</v>
      </c>
      <c r="J390">
        <v>0</v>
      </c>
      <c r="K390" s="2" t="s">
        <v>309</v>
      </c>
      <c r="L390" s="2">
        <f t="shared" si="282"/>
        <v>6</v>
      </c>
      <c r="M390" s="2">
        <f t="shared" si="271"/>
        <v>1.5</v>
      </c>
      <c r="N390" s="2">
        <f t="shared" si="272"/>
        <v>2</v>
      </c>
      <c r="O390" s="2">
        <v>10</v>
      </c>
      <c r="P390" s="2">
        <f t="shared" si="273"/>
        <v>253.44</v>
      </c>
      <c r="Q390" s="2">
        <f t="shared" si="274"/>
        <v>25.34</v>
      </c>
      <c r="R390" s="2">
        <f t="shared" si="275"/>
        <v>3754.67</v>
      </c>
      <c r="S390" s="2">
        <f t="shared" si="276"/>
        <v>375.47</v>
      </c>
      <c r="T390" s="2">
        <f t="shared" si="277"/>
        <v>84.48</v>
      </c>
      <c r="U390" s="2">
        <f t="shared" si="278"/>
        <v>8.4499999999999993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536013</v>
      </c>
      <c r="AB390" s="14" t="s">
        <v>801</v>
      </c>
      <c r="AC390" s="15" t="s">
        <v>890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J390">
        <v>1</v>
      </c>
      <c r="AK390" s="1">
        <f t="shared" si="280"/>
        <v>203.26676648655692</v>
      </c>
      <c r="AL390">
        <v>13</v>
      </c>
      <c r="AM390">
        <f t="shared" si="294"/>
        <v>230.4</v>
      </c>
      <c r="AN390">
        <f t="shared" si="295"/>
        <v>23.040000000000003</v>
      </c>
      <c r="AO390">
        <f t="shared" si="296"/>
        <v>3413.3333333333339</v>
      </c>
      <c r="AP390">
        <f t="shared" si="297"/>
        <v>341.33333333333343</v>
      </c>
      <c r="AQ390">
        <f t="shared" si="298"/>
        <v>76.8</v>
      </c>
      <c r="AR390">
        <f t="shared" si="283"/>
        <v>7.68</v>
      </c>
      <c r="AS390">
        <f t="shared" si="299"/>
        <v>1.5</v>
      </c>
      <c r="AT390">
        <f t="shared" si="300"/>
        <v>2</v>
      </c>
      <c r="AU390">
        <f t="shared" si="301"/>
        <v>6</v>
      </c>
      <c r="AV390">
        <f t="shared" si="284"/>
        <v>6013</v>
      </c>
      <c r="AW390" s="1">
        <v>1</v>
      </c>
      <c r="AX390">
        <v>5</v>
      </c>
      <c r="AY390">
        <v>0.1</v>
      </c>
      <c r="BA390">
        <v>6</v>
      </c>
      <c r="BB390">
        <v>3</v>
      </c>
      <c r="CH390" t="str">
        <f t="shared" si="285"/>
        <v>DATA_Class_Base33</v>
      </c>
      <c r="CI390" s="3" t="s">
        <v>391</v>
      </c>
    </row>
    <row r="391" spans="1:87">
      <c r="A391">
        <f t="shared" ref="A391:A398" si="304">AX391*1000000+C391*10000+E391*1000+D391*100+AW391</f>
        <v>5134201</v>
      </c>
      <c r="B391" s="2" t="s">
        <v>583</v>
      </c>
      <c r="C391">
        <v>13</v>
      </c>
      <c r="D391">
        <v>2</v>
      </c>
      <c r="E391">
        <v>4</v>
      </c>
      <c r="F391" s="3" t="s">
        <v>585</v>
      </c>
      <c r="G391" s="3" t="s">
        <v>585</v>
      </c>
      <c r="H391" s="3">
        <v>0</v>
      </c>
      <c r="I391">
        <v>35</v>
      </c>
      <c r="J391" s="30">
        <v>0</v>
      </c>
      <c r="K391" s="8" t="s">
        <v>555</v>
      </c>
      <c r="L391" s="2">
        <f t="shared" ref="L391:L398" si="305">AU391</f>
        <v>3</v>
      </c>
      <c r="M391" s="2">
        <f t="shared" ref="M391:M398" si="306">FLOOR(AS391/1,0.01)</f>
        <v>1.8</v>
      </c>
      <c r="N391" s="2">
        <f t="shared" ref="N391:N398" si="307">FLOOR(AT391/1,0.01)</f>
        <v>1.8</v>
      </c>
      <c r="O391" s="2">
        <v>10</v>
      </c>
      <c r="P391" s="2">
        <f t="shared" ref="P391:P398" si="308">ROUND(AM391*(1+$AY391),2)</f>
        <v>270.33999999999997</v>
      </c>
      <c r="Q391" s="2">
        <f t="shared" ref="Q391:Q398" si="309">ROUND(AN391*(1+$AY391),2)</f>
        <v>27.03</v>
      </c>
      <c r="R391" s="2">
        <f t="shared" ref="R391:R398" si="310">ROUND(AO391*(1+$AY391),2)</f>
        <v>4224</v>
      </c>
      <c r="S391" s="2">
        <f t="shared" ref="S391:S398" si="311">ROUND(AP391*(1+$AY391),2)</f>
        <v>422.4</v>
      </c>
      <c r="T391" s="2">
        <f t="shared" ref="T391:T398" si="312">ROUND(AQ391*(1+$AY391),2)</f>
        <v>103.98</v>
      </c>
      <c r="U391" s="2">
        <f t="shared" ref="U391:U398" si="313">ROUND(AR391*(1+$AY391),2)</f>
        <v>10.4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542013</v>
      </c>
      <c r="AB391" s="15" t="s">
        <v>802</v>
      </c>
      <c r="AC391" s="15" t="s">
        <v>890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/>
      <c r="AJ391">
        <v>1</v>
      </c>
      <c r="AK391" s="1">
        <f t="shared" ref="AK391:AK398" si="314">(AO391+AP391*AJ391)*(AM391+AN391*AJ391)/AS391*(0.9)*(1+0.5*0.1)*1/1/(1-(AQ391+AR391*AJ391)*0.0002)/3000</f>
        <v>204.0761504467047</v>
      </c>
      <c r="AL391">
        <v>13</v>
      </c>
      <c r="AM391">
        <f t="shared" si="294"/>
        <v>245.76000000000005</v>
      </c>
      <c r="AN391">
        <f t="shared" si="295"/>
        <v>24.576000000000008</v>
      </c>
      <c r="AO391">
        <f t="shared" si="296"/>
        <v>3840</v>
      </c>
      <c r="AP391">
        <f t="shared" si="297"/>
        <v>384</v>
      </c>
      <c r="AQ391">
        <f t="shared" si="298"/>
        <v>94.523076923076943</v>
      </c>
      <c r="AR391">
        <f t="shared" ref="AR391:AR398" si="315">AQ391*0.1</f>
        <v>9.452307692307695</v>
      </c>
      <c r="AS391">
        <f t="shared" si="299"/>
        <v>1.8</v>
      </c>
      <c r="AT391">
        <f t="shared" si="300"/>
        <v>1.8</v>
      </c>
      <c r="AU391">
        <f t="shared" si="301"/>
        <v>3</v>
      </c>
      <c r="AV391">
        <f t="shared" si="284"/>
        <v>2014</v>
      </c>
      <c r="AW391" s="1">
        <v>1</v>
      </c>
      <c r="AX391">
        <v>5</v>
      </c>
      <c r="AY391">
        <v>0.1</v>
      </c>
      <c r="BA391">
        <v>2</v>
      </c>
      <c r="BB391">
        <v>4</v>
      </c>
      <c r="CH391" t="str">
        <f t="shared" si="285"/>
        <v>DATA_Class_Base34</v>
      </c>
      <c r="CI391" s="3" t="s">
        <v>184</v>
      </c>
    </row>
    <row r="392" spans="1:87">
      <c r="A392">
        <f t="shared" si="304"/>
        <v>5134501</v>
      </c>
      <c r="B392" s="2" t="s">
        <v>592</v>
      </c>
      <c r="C392">
        <v>13</v>
      </c>
      <c r="D392">
        <v>5</v>
      </c>
      <c r="E392">
        <v>4</v>
      </c>
      <c r="F392" s="3" t="s">
        <v>594</v>
      </c>
      <c r="G392" s="3" t="s">
        <v>594</v>
      </c>
      <c r="H392" s="3">
        <v>0</v>
      </c>
      <c r="I392">
        <v>40</v>
      </c>
      <c r="J392">
        <v>0</v>
      </c>
      <c r="K392" s="2" t="s">
        <v>334</v>
      </c>
      <c r="L392" s="2">
        <f t="shared" si="305"/>
        <v>6</v>
      </c>
      <c r="M392" s="2">
        <f t="shared" si="306"/>
        <v>1.6</v>
      </c>
      <c r="N392" s="2">
        <f t="shared" si="307"/>
        <v>2</v>
      </c>
      <c r="O392" s="2">
        <v>10</v>
      </c>
      <c r="P392" s="2">
        <f t="shared" si="308"/>
        <v>390.49</v>
      </c>
      <c r="Q392" s="2">
        <f t="shared" si="309"/>
        <v>39.049999999999997</v>
      </c>
      <c r="R392" s="2">
        <f t="shared" si="310"/>
        <v>2599.38</v>
      </c>
      <c r="S392" s="2">
        <f t="shared" si="311"/>
        <v>259.94</v>
      </c>
      <c r="T392" s="2">
        <f t="shared" si="312"/>
        <v>43.39</v>
      </c>
      <c r="U392" s="2">
        <f t="shared" si="313"/>
        <v>4.34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545013</v>
      </c>
      <c r="AB392" s="14" t="s">
        <v>804</v>
      </c>
      <c r="AC392" s="15" t="s">
        <v>890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/>
      <c r="AJ392">
        <v>1</v>
      </c>
      <c r="AK392" s="1">
        <f t="shared" si="314"/>
        <v>201.58158570416788</v>
      </c>
      <c r="AL392">
        <v>13</v>
      </c>
      <c r="AM392">
        <f t="shared" si="294"/>
        <v>354.98666666666668</v>
      </c>
      <c r="AN392">
        <f t="shared" si="295"/>
        <v>35.498666666666672</v>
      </c>
      <c r="AO392">
        <f t="shared" si="296"/>
        <v>2363.0769230769229</v>
      </c>
      <c r="AP392">
        <f t="shared" si="297"/>
        <v>236.30769230769229</v>
      </c>
      <c r="AQ392">
        <f t="shared" si="298"/>
        <v>39.442962962962966</v>
      </c>
      <c r="AR392">
        <f t="shared" si="315"/>
        <v>3.9442962962962969</v>
      </c>
      <c r="AS392">
        <f t="shared" si="299"/>
        <v>1.6</v>
      </c>
      <c r="AT392">
        <f t="shared" si="300"/>
        <v>2</v>
      </c>
      <c r="AU392">
        <f t="shared" si="301"/>
        <v>6</v>
      </c>
      <c r="AV392">
        <f t="shared" si="284"/>
        <v>5014</v>
      </c>
      <c r="AW392" s="1">
        <v>1</v>
      </c>
      <c r="AX392">
        <v>5</v>
      </c>
      <c r="AY392">
        <v>0.1</v>
      </c>
      <c r="BA392">
        <v>5</v>
      </c>
      <c r="BB392">
        <v>4</v>
      </c>
      <c r="CH392" t="str">
        <f t="shared" si="285"/>
        <v>DATA_Class_Base35</v>
      </c>
      <c r="CI392" s="3" t="s">
        <v>195</v>
      </c>
    </row>
    <row r="393" spans="1:87">
      <c r="A393">
        <f t="shared" si="304"/>
        <v>5134600</v>
      </c>
      <c r="B393" s="2" t="s">
        <v>596</v>
      </c>
      <c r="C393">
        <v>13</v>
      </c>
      <c r="D393">
        <v>6</v>
      </c>
      <c r="E393">
        <v>4</v>
      </c>
      <c r="F393" s="3" t="s">
        <v>598</v>
      </c>
      <c r="G393" s="3" t="s">
        <v>598</v>
      </c>
      <c r="H393" s="3">
        <v>0</v>
      </c>
      <c r="I393">
        <v>45</v>
      </c>
      <c r="J393" s="2">
        <v>0</v>
      </c>
      <c r="K393" s="2" t="s">
        <v>339</v>
      </c>
      <c r="L393" s="2">
        <f t="shared" si="305"/>
        <v>3</v>
      </c>
      <c r="M393" s="2">
        <f t="shared" si="306"/>
        <v>1.4000000000000001</v>
      </c>
      <c r="N393" s="2">
        <f t="shared" si="307"/>
        <v>1.9000000000000001</v>
      </c>
      <c r="O393" s="2">
        <v>10</v>
      </c>
      <c r="P393" s="2">
        <f t="shared" si="308"/>
        <v>289.11</v>
      </c>
      <c r="Q393" s="2">
        <f t="shared" si="309"/>
        <v>28.91</v>
      </c>
      <c r="R393" s="2">
        <f t="shared" si="310"/>
        <v>3072</v>
      </c>
      <c r="S393" s="2">
        <f t="shared" si="311"/>
        <v>307.2</v>
      </c>
      <c r="T393" s="2">
        <f t="shared" si="312"/>
        <v>72.28</v>
      </c>
      <c r="U393" s="2">
        <f t="shared" si="313"/>
        <v>7.23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546003</v>
      </c>
      <c r="AB393" s="14" t="s">
        <v>805</v>
      </c>
      <c r="AC393" s="15" t="s">
        <v>890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/>
      <c r="AJ393">
        <v>1</v>
      </c>
      <c r="AK393" s="1">
        <f t="shared" si="314"/>
        <v>202.76341092788778</v>
      </c>
      <c r="AL393">
        <v>13</v>
      </c>
      <c r="AM393">
        <f t="shared" si="294"/>
        <v>262.82666666666665</v>
      </c>
      <c r="AN393">
        <f t="shared" si="295"/>
        <v>26.282666666666668</v>
      </c>
      <c r="AO393">
        <f t="shared" si="296"/>
        <v>2792.727272727273</v>
      </c>
      <c r="AP393">
        <f t="shared" si="297"/>
        <v>279.27272727272731</v>
      </c>
      <c r="AQ393">
        <f t="shared" si="298"/>
        <v>65.706666666666663</v>
      </c>
      <c r="AR393">
        <f t="shared" si="315"/>
        <v>6.5706666666666669</v>
      </c>
      <c r="AS393">
        <f t="shared" si="299"/>
        <v>1.4</v>
      </c>
      <c r="AT393">
        <f t="shared" si="300"/>
        <v>1.9</v>
      </c>
      <c r="AU393">
        <f t="shared" si="301"/>
        <v>3</v>
      </c>
      <c r="AV393">
        <f t="shared" si="284"/>
        <v>6004</v>
      </c>
      <c r="AW393" s="1">
        <v>0</v>
      </c>
      <c r="AX393">
        <v>5</v>
      </c>
      <c r="AY393">
        <v>0.1</v>
      </c>
      <c r="BA393">
        <v>6</v>
      </c>
      <c r="BB393">
        <v>4</v>
      </c>
      <c r="CH393" t="str">
        <f t="shared" si="285"/>
        <v>DATA_Class_Base36</v>
      </c>
      <c r="CI393" s="3" t="s">
        <v>201</v>
      </c>
    </row>
    <row r="394" spans="1:87">
      <c r="A394">
        <f t="shared" si="304"/>
        <v>5134602</v>
      </c>
      <c r="B394" s="2" t="s">
        <v>600</v>
      </c>
      <c r="C394">
        <v>13</v>
      </c>
      <c r="D394">
        <v>6</v>
      </c>
      <c r="E394">
        <v>4</v>
      </c>
      <c r="F394" s="3" t="s">
        <v>602</v>
      </c>
      <c r="G394" s="3" t="s">
        <v>602</v>
      </c>
      <c r="H394" s="3">
        <v>10</v>
      </c>
      <c r="I394">
        <v>40</v>
      </c>
      <c r="J394" t="s">
        <v>345</v>
      </c>
      <c r="K394" s="2" t="s">
        <v>346</v>
      </c>
      <c r="L394" s="2">
        <f t="shared" si="305"/>
        <v>6</v>
      </c>
      <c r="M394" s="2">
        <f t="shared" si="306"/>
        <v>1.8</v>
      </c>
      <c r="N394" s="2">
        <f t="shared" si="307"/>
        <v>2</v>
      </c>
      <c r="O394" s="2">
        <v>10</v>
      </c>
      <c r="P394" s="2">
        <f t="shared" si="308"/>
        <v>337.92</v>
      </c>
      <c r="Q394" s="2">
        <f t="shared" si="309"/>
        <v>33.79</v>
      </c>
      <c r="R394" s="2">
        <f t="shared" si="310"/>
        <v>3379.2</v>
      </c>
      <c r="S394" s="2">
        <f t="shared" si="311"/>
        <v>337.92</v>
      </c>
      <c r="T394" s="2">
        <f t="shared" si="312"/>
        <v>67.58</v>
      </c>
      <c r="U394" s="2">
        <f t="shared" si="313"/>
        <v>6.76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546023</v>
      </c>
      <c r="AB394" s="14" t="s">
        <v>806</v>
      </c>
      <c r="AC394" s="15" t="s">
        <v>890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/>
      <c r="AJ394">
        <v>1</v>
      </c>
      <c r="AK394" s="1">
        <f t="shared" si="314"/>
        <v>202.57047580739342</v>
      </c>
      <c r="AL394">
        <v>13</v>
      </c>
      <c r="AM394">
        <f t="shared" si="294"/>
        <v>307.20000000000005</v>
      </c>
      <c r="AN394">
        <f t="shared" si="295"/>
        <v>30.720000000000006</v>
      </c>
      <c r="AO394">
        <f t="shared" si="296"/>
        <v>3072</v>
      </c>
      <c r="AP394">
        <f t="shared" si="297"/>
        <v>307.20000000000005</v>
      </c>
      <c r="AQ394">
        <f t="shared" si="298"/>
        <v>61.440000000000012</v>
      </c>
      <c r="AR394">
        <f t="shared" si="315"/>
        <v>6.1440000000000019</v>
      </c>
      <c r="AS394">
        <f t="shared" si="299"/>
        <v>1.8</v>
      </c>
      <c r="AT394">
        <f t="shared" si="300"/>
        <v>2</v>
      </c>
      <c r="AU394">
        <f t="shared" si="301"/>
        <v>6</v>
      </c>
      <c r="AV394">
        <f t="shared" si="284"/>
        <v>6024</v>
      </c>
      <c r="AW394" s="1">
        <v>2</v>
      </c>
      <c r="AX394">
        <v>5</v>
      </c>
      <c r="AY394">
        <v>0.1</v>
      </c>
      <c r="BA394">
        <v>6</v>
      </c>
      <c r="BB394">
        <v>4</v>
      </c>
      <c r="CH394" t="str">
        <f t="shared" si="285"/>
        <v>DATA_Class_Base28</v>
      </c>
      <c r="CI394" s="3" t="s">
        <v>374</v>
      </c>
    </row>
    <row r="395" spans="1:87">
      <c r="A395">
        <f t="shared" si="304"/>
        <v>5135300</v>
      </c>
      <c r="B395" s="2" t="s">
        <v>609</v>
      </c>
      <c r="C395">
        <v>13</v>
      </c>
      <c r="D395">
        <v>3</v>
      </c>
      <c r="E395">
        <v>5</v>
      </c>
      <c r="F395" s="3" t="s">
        <v>611</v>
      </c>
      <c r="G395" s="3" t="s">
        <v>611</v>
      </c>
      <c r="H395" s="3">
        <v>10</v>
      </c>
      <c r="I395">
        <v>50</v>
      </c>
      <c r="J395" s="2">
        <v>0</v>
      </c>
      <c r="K395" s="8" t="s">
        <v>612</v>
      </c>
      <c r="L395" s="2">
        <f t="shared" si="305"/>
        <v>3</v>
      </c>
      <c r="M395" s="2">
        <f t="shared" si="306"/>
        <v>1.3</v>
      </c>
      <c r="N395" s="2">
        <f t="shared" si="307"/>
        <v>2</v>
      </c>
      <c r="O395" s="2">
        <v>10</v>
      </c>
      <c r="P395" s="2">
        <f t="shared" si="308"/>
        <v>280.66000000000003</v>
      </c>
      <c r="Q395" s="2">
        <f t="shared" si="309"/>
        <v>28.07</v>
      </c>
      <c r="R395" s="2">
        <f t="shared" si="310"/>
        <v>2938.43</v>
      </c>
      <c r="S395" s="2">
        <f t="shared" si="311"/>
        <v>293.83999999999997</v>
      </c>
      <c r="T395" s="2">
        <f t="shared" si="312"/>
        <v>35.08</v>
      </c>
      <c r="U395" s="2">
        <f t="shared" si="313"/>
        <v>3.51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553003</v>
      </c>
      <c r="AB395" s="14" t="s">
        <v>808</v>
      </c>
      <c r="AC395" s="15" t="s">
        <v>890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/>
      <c r="AJ395">
        <v>1</v>
      </c>
      <c r="AK395" s="1">
        <f t="shared" si="314"/>
        <v>201.24440930604283</v>
      </c>
      <c r="AL395">
        <v>13</v>
      </c>
      <c r="AM395">
        <f t="shared" si="294"/>
        <v>255.14666666666665</v>
      </c>
      <c r="AN395">
        <f t="shared" si="295"/>
        <v>25.514666666666667</v>
      </c>
      <c r="AO395">
        <f t="shared" si="296"/>
        <v>2671.3043478260875</v>
      </c>
      <c r="AP395">
        <f t="shared" si="297"/>
        <v>267.13043478260875</v>
      </c>
      <c r="AQ395">
        <f t="shared" si="298"/>
        <v>31.893333333333331</v>
      </c>
      <c r="AR395">
        <f t="shared" si="315"/>
        <v>3.1893333333333334</v>
      </c>
      <c r="AS395">
        <f t="shared" si="299"/>
        <v>1.3</v>
      </c>
      <c r="AT395">
        <f t="shared" si="300"/>
        <v>2</v>
      </c>
      <c r="AU395">
        <f t="shared" si="301"/>
        <v>3</v>
      </c>
      <c r="AV395">
        <f t="shared" si="284"/>
        <v>3005</v>
      </c>
      <c r="AW395" s="1">
        <v>0</v>
      </c>
      <c r="AX395">
        <v>5</v>
      </c>
      <c r="AY395">
        <v>0.1</v>
      </c>
      <c r="BA395">
        <v>3</v>
      </c>
      <c r="BB395">
        <v>5</v>
      </c>
      <c r="CH395" t="str">
        <f t="shared" si="285"/>
        <v>DATA_Class_Base29</v>
      </c>
      <c r="CI395" s="3" t="s">
        <v>378</v>
      </c>
    </row>
    <row r="396" spans="1:87">
      <c r="A396">
        <f t="shared" si="304"/>
        <v>5135302</v>
      </c>
      <c r="B396" s="2" t="s">
        <v>614</v>
      </c>
      <c r="C396">
        <v>13</v>
      </c>
      <c r="D396">
        <v>3</v>
      </c>
      <c r="E396">
        <v>5</v>
      </c>
      <c r="F396" s="3" t="s">
        <v>616</v>
      </c>
      <c r="G396" s="3" t="s">
        <v>616</v>
      </c>
      <c r="H396" s="3">
        <v>30</v>
      </c>
      <c r="I396">
        <v>40</v>
      </c>
      <c r="J396" s="2">
        <v>0</v>
      </c>
      <c r="K396" s="2" t="s">
        <v>358</v>
      </c>
      <c r="L396" s="2">
        <f t="shared" si="305"/>
        <v>3</v>
      </c>
      <c r="M396" s="2">
        <f t="shared" si="306"/>
        <v>1.4000000000000001</v>
      </c>
      <c r="N396" s="2">
        <f t="shared" si="307"/>
        <v>2</v>
      </c>
      <c r="O396" s="2">
        <v>10</v>
      </c>
      <c r="P396" s="2">
        <f t="shared" si="308"/>
        <v>315.39</v>
      </c>
      <c r="Q396" s="2">
        <f t="shared" si="309"/>
        <v>31.54</v>
      </c>
      <c r="R396" s="2">
        <f t="shared" si="310"/>
        <v>2816</v>
      </c>
      <c r="S396" s="2">
        <f t="shared" si="311"/>
        <v>281.60000000000002</v>
      </c>
      <c r="T396" s="2">
        <f t="shared" si="312"/>
        <v>45.06</v>
      </c>
      <c r="U396" s="2">
        <f t="shared" si="313"/>
        <v>4.51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553023</v>
      </c>
      <c r="AB396" s="14" t="s">
        <v>809</v>
      </c>
      <c r="AC396" s="15" t="s">
        <v>890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/>
      <c r="AJ396">
        <v>1</v>
      </c>
      <c r="AK396" s="1">
        <f t="shared" si="314"/>
        <v>201.64947494865737</v>
      </c>
      <c r="AL396">
        <v>13</v>
      </c>
      <c r="AM396">
        <f t="shared" si="294"/>
        <v>286.71999999999997</v>
      </c>
      <c r="AN396">
        <f t="shared" si="295"/>
        <v>28.671999999999997</v>
      </c>
      <c r="AO396">
        <f t="shared" si="296"/>
        <v>2560</v>
      </c>
      <c r="AP396">
        <f t="shared" si="297"/>
        <v>256</v>
      </c>
      <c r="AQ396">
        <f t="shared" si="298"/>
        <v>40.959999999999994</v>
      </c>
      <c r="AR396">
        <f t="shared" si="315"/>
        <v>4.0959999999999992</v>
      </c>
      <c r="AS396">
        <f t="shared" si="299"/>
        <v>1.4</v>
      </c>
      <c r="AT396">
        <f t="shared" si="300"/>
        <v>2</v>
      </c>
      <c r="AU396">
        <f t="shared" si="301"/>
        <v>3</v>
      </c>
      <c r="AV396">
        <f t="shared" si="284"/>
        <v>3025</v>
      </c>
      <c r="AW396" s="1">
        <v>2</v>
      </c>
      <c r="AX396">
        <v>5</v>
      </c>
      <c r="AY396">
        <v>0.1</v>
      </c>
      <c r="BA396">
        <v>3</v>
      </c>
      <c r="BB396">
        <v>5</v>
      </c>
      <c r="CH396" t="str">
        <f t="shared" si="285"/>
        <v>DATA_Class_Base30</v>
      </c>
      <c r="CI396" s="3" t="s">
        <v>381</v>
      </c>
    </row>
    <row r="397" spans="1:87">
      <c r="A397">
        <f t="shared" si="304"/>
        <v>5135400</v>
      </c>
      <c r="B397" s="2" t="s">
        <v>618</v>
      </c>
      <c r="C397">
        <v>13</v>
      </c>
      <c r="D397">
        <v>4</v>
      </c>
      <c r="E397">
        <v>5</v>
      </c>
      <c r="F397" s="3" t="s">
        <v>620</v>
      </c>
      <c r="G397" s="3" t="s">
        <v>620</v>
      </c>
      <c r="H397" s="3">
        <v>0</v>
      </c>
      <c r="I397">
        <v>35</v>
      </c>
      <c r="J397">
        <v>0</v>
      </c>
      <c r="K397" s="2" t="s">
        <v>364</v>
      </c>
      <c r="L397" s="2">
        <f t="shared" si="305"/>
        <v>6</v>
      </c>
      <c r="M397" s="2">
        <f t="shared" si="306"/>
        <v>1.4000000000000001</v>
      </c>
      <c r="N397" s="2">
        <f t="shared" si="307"/>
        <v>2</v>
      </c>
      <c r="O397" s="2">
        <v>10</v>
      </c>
      <c r="P397" s="2">
        <f t="shared" si="308"/>
        <v>328.53</v>
      </c>
      <c r="Q397" s="2">
        <f t="shared" si="309"/>
        <v>32.85</v>
      </c>
      <c r="R397" s="2">
        <f t="shared" si="310"/>
        <v>2703.36</v>
      </c>
      <c r="S397" s="2">
        <f t="shared" si="311"/>
        <v>270.33999999999997</v>
      </c>
      <c r="T397" s="2">
        <f t="shared" si="312"/>
        <v>54.76</v>
      </c>
      <c r="U397" s="2">
        <f t="shared" si="313"/>
        <v>5.48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554003</v>
      </c>
      <c r="AB397" s="14" t="s">
        <v>810</v>
      </c>
      <c r="AC397" s="15" t="s">
        <v>890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/>
      <c r="AJ397">
        <v>1</v>
      </c>
      <c r="AK397" s="1">
        <f t="shared" si="314"/>
        <v>202.04498831649721</v>
      </c>
      <c r="AL397">
        <v>13</v>
      </c>
      <c r="AM397">
        <f t="shared" si="294"/>
        <v>298.66666666666669</v>
      </c>
      <c r="AN397">
        <f t="shared" si="295"/>
        <v>29.866666666666671</v>
      </c>
      <c r="AO397">
        <f t="shared" si="296"/>
        <v>2457.6000000000004</v>
      </c>
      <c r="AP397">
        <f t="shared" si="297"/>
        <v>245.76000000000005</v>
      </c>
      <c r="AQ397">
        <f t="shared" si="298"/>
        <v>49.777777777777779</v>
      </c>
      <c r="AR397">
        <f t="shared" si="315"/>
        <v>4.9777777777777779</v>
      </c>
      <c r="AS397">
        <f t="shared" si="299"/>
        <v>1.4</v>
      </c>
      <c r="AT397">
        <f t="shared" si="300"/>
        <v>2</v>
      </c>
      <c r="AU397">
        <f t="shared" si="301"/>
        <v>6</v>
      </c>
      <c r="AV397">
        <f t="shared" si="284"/>
        <v>4005</v>
      </c>
      <c r="AW397" s="1">
        <v>0</v>
      </c>
      <c r="AX397">
        <v>5</v>
      </c>
      <c r="AY397">
        <v>0.1</v>
      </c>
      <c r="BA397">
        <v>4</v>
      </c>
      <c r="BB397">
        <v>5</v>
      </c>
      <c r="CH397" t="str">
        <f t="shared" si="285"/>
        <v>DATA_Class_Base31</v>
      </c>
      <c r="CI397" s="3" t="s">
        <v>384</v>
      </c>
    </row>
    <row r="398" spans="1:87">
      <c r="A398">
        <f t="shared" si="304"/>
        <v>5135501</v>
      </c>
      <c r="B398" s="2" t="s">
        <v>622</v>
      </c>
      <c r="C398">
        <v>13</v>
      </c>
      <c r="D398">
        <v>5</v>
      </c>
      <c r="E398">
        <v>5</v>
      </c>
      <c r="F398" s="3" t="s">
        <v>624</v>
      </c>
      <c r="G398" s="3" t="s">
        <v>624</v>
      </c>
      <c r="H398" s="3">
        <v>10</v>
      </c>
      <c r="I398">
        <v>25</v>
      </c>
      <c r="J398" s="3">
        <v>0</v>
      </c>
      <c r="K398" s="8" t="s">
        <v>625</v>
      </c>
      <c r="L398" s="2">
        <f t="shared" si="305"/>
        <v>6</v>
      </c>
      <c r="M398" s="2">
        <f t="shared" si="306"/>
        <v>1.6</v>
      </c>
      <c r="N398" s="2">
        <f t="shared" si="307"/>
        <v>2</v>
      </c>
      <c r="O398" s="2">
        <v>10</v>
      </c>
      <c r="P398" s="2">
        <f t="shared" si="308"/>
        <v>435.54</v>
      </c>
      <c r="Q398" s="2">
        <f t="shared" si="309"/>
        <v>43.55</v>
      </c>
      <c r="R398" s="2">
        <f t="shared" si="310"/>
        <v>2330.48</v>
      </c>
      <c r="S398" s="2">
        <f t="shared" si="311"/>
        <v>233.05</v>
      </c>
      <c r="T398" s="2">
        <f t="shared" si="312"/>
        <v>48.39</v>
      </c>
      <c r="U398" s="2">
        <f t="shared" si="313"/>
        <v>4.84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555013</v>
      </c>
      <c r="AB398" s="15" t="s">
        <v>811</v>
      </c>
      <c r="AC398" s="15" t="s">
        <v>890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/>
      <c r="AJ398">
        <v>1</v>
      </c>
      <c r="AK398" s="1">
        <f t="shared" si="314"/>
        <v>201.78539071374789</v>
      </c>
      <c r="AL398">
        <v>13</v>
      </c>
      <c r="AM398">
        <f t="shared" si="294"/>
        <v>395.94666666666672</v>
      </c>
      <c r="AN398">
        <f t="shared" si="295"/>
        <v>39.594666666666676</v>
      </c>
      <c r="AO398">
        <f t="shared" si="296"/>
        <v>2118.6206896551726</v>
      </c>
      <c r="AP398">
        <f t="shared" si="297"/>
        <v>211.86206896551727</v>
      </c>
      <c r="AQ398">
        <f t="shared" si="298"/>
        <v>43.994074074074078</v>
      </c>
      <c r="AR398">
        <f t="shared" si="315"/>
        <v>4.3994074074074083</v>
      </c>
      <c r="AS398">
        <f t="shared" si="299"/>
        <v>1.6</v>
      </c>
      <c r="AT398">
        <f t="shared" si="300"/>
        <v>2</v>
      </c>
      <c r="AU398">
        <f t="shared" si="301"/>
        <v>6</v>
      </c>
      <c r="AV398">
        <f t="shared" si="284"/>
        <v>5015</v>
      </c>
      <c r="AW398" s="1">
        <v>1</v>
      </c>
      <c r="AX398">
        <v>5</v>
      </c>
      <c r="AY398">
        <v>0.1</v>
      </c>
      <c r="BA398">
        <v>5</v>
      </c>
      <c r="BB398">
        <v>5</v>
      </c>
      <c r="CH398" t="str">
        <f t="shared" si="285"/>
        <v>DATA_Class_Base32</v>
      </c>
      <c r="CI398" s="3" t="s">
        <v>388</v>
      </c>
    </row>
    <row r="399" spans="1:87">
      <c r="CH399" t="str">
        <f t="shared" si="285"/>
        <v>DATA_Class_Base33</v>
      </c>
      <c r="CI399" s="3" t="s">
        <v>391</v>
      </c>
    </row>
    <row r="400" spans="1:87">
      <c r="CH400" t="str">
        <f t="shared" si="285"/>
        <v>DATA_Class_Base34</v>
      </c>
      <c r="CI400" s="3" t="s">
        <v>184</v>
      </c>
    </row>
    <row r="401" spans="79:87">
      <c r="CH401" t="str">
        <f t="shared" si="285"/>
        <v>DATA_Class_Base35</v>
      </c>
      <c r="CI401" s="3" t="s">
        <v>195</v>
      </c>
    </row>
    <row r="402" spans="79:87">
      <c r="CH402" t="str">
        <f t="shared" si="285"/>
        <v>DATA_Class_Base36</v>
      </c>
      <c r="CI402" s="3" t="s">
        <v>201</v>
      </c>
    </row>
    <row r="403" spans="79:87">
      <c r="CB403" s="13"/>
      <c r="CC403" s="13"/>
      <c r="CD403" s="13"/>
      <c r="CH403" t="str">
        <f t="shared" si="285"/>
        <v>DATA_Class_Base29</v>
      </c>
      <c r="CI403" s="3" t="s">
        <v>378</v>
      </c>
    </row>
    <row r="404" spans="79:87">
      <c r="CB404" s="13"/>
      <c r="CC404" s="13"/>
      <c r="CD404" s="13"/>
      <c r="CH404" t="str">
        <f t="shared" si="285"/>
        <v>DATA_Class_Base41</v>
      </c>
      <c r="CI404" s="3" t="s">
        <v>413</v>
      </c>
    </row>
    <row r="405" spans="79:87">
      <c r="CA405" t="str">
        <f t="shared" ref="CA405:CA407" si="316">CB405&amp;","&amp;CC405&amp;","&amp;CD405</f>
        <v>1545011,2545011,3545011</v>
      </c>
      <c r="CB405" s="13">
        <v>1545011</v>
      </c>
      <c r="CC405" s="13">
        <v>2545011</v>
      </c>
      <c r="CD405" s="13">
        <v>3545011</v>
      </c>
      <c r="CH405" t="str">
        <f t="shared" si="285"/>
        <v>DATA_Class_Base37</v>
      </c>
      <c r="CI405" s="3" t="s">
        <v>402</v>
      </c>
    </row>
    <row r="406" spans="79:87">
      <c r="CA406" t="str">
        <f t="shared" si="316"/>
        <v>1546001,2546001,3546001</v>
      </c>
      <c r="CB406" s="13">
        <v>1546001</v>
      </c>
      <c r="CC406" s="13">
        <v>2546001</v>
      </c>
      <c r="CD406" s="13">
        <v>3546001</v>
      </c>
      <c r="CH406" t="str">
        <f t="shared" si="285"/>
        <v>DATA_Class_Base38</v>
      </c>
      <c r="CI406" s="3" t="s">
        <v>198</v>
      </c>
    </row>
    <row r="407" spans="79:87">
      <c r="CA407" t="str">
        <f t="shared" si="316"/>
        <v>1546021,2546021,3546021</v>
      </c>
      <c r="CB407" s="13">
        <v>1546021</v>
      </c>
      <c r="CC407" s="13">
        <v>2546021</v>
      </c>
      <c r="CD407" s="13">
        <v>3546021</v>
      </c>
      <c r="CH407" t="str">
        <f t="shared" si="285"/>
        <v>DATA_Class_Base39</v>
      </c>
      <c r="CI407" s="3" t="s">
        <v>407</v>
      </c>
    </row>
    <row r="408" spans="79:87">
      <c r="CB408" s="13"/>
      <c r="CC408" s="13"/>
      <c r="CD408" s="13"/>
      <c r="CH408" t="str">
        <f t="shared" si="285"/>
        <v>DATA_Class_Base30</v>
      </c>
      <c r="CI408" s="3" t="s">
        <v>381</v>
      </c>
    </row>
    <row r="409" spans="79:87">
      <c r="CA409" t="str">
        <f t="shared" ref="CA409:CA411" si="317">CB409&amp;","&amp;CC409&amp;","&amp;CD409</f>
        <v>1553001,2553001,3553001</v>
      </c>
      <c r="CB409" s="13">
        <v>1553001</v>
      </c>
      <c r="CC409" s="13">
        <v>2553001</v>
      </c>
      <c r="CD409" s="13">
        <v>3553001</v>
      </c>
      <c r="CH409" t="str">
        <f t="shared" si="285"/>
        <v>DATA_Class_Base40</v>
      </c>
      <c r="CI409" s="3" t="s">
        <v>411</v>
      </c>
    </row>
    <row r="410" spans="79:87">
      <c r="CA410" t="str">
        <f t="shared" si="317"/>
        <v>1553021,2553021,3553021</v>
      </c>
      <c r="CB410" s="13">
        <v>1553021</v>
      </c>
      <c r="CC410" s="13">
        <v>2553021</v>
      </c>
      <c r="CD410" s="13">
        <v>3553021</v>
      </c>
      <c r="CH410" t="str">
        <f t="shared" si="285"/>
        <v>DATA_Class_Base41</v>
      </c>
      <c r="CI410" s="3" t="s">
        <v>413</v>
      </c>
    </row>
    <row r="411" spans="79:87">
      <c r="CA411" t="str">
        <f t="shared" si="317"/>
        <v>1554001,2554001,3554001</v>
      </c>
      <c r="CB411" s="13">
        <v>1554001</v>
      </c>
      <c r="CC411" s="13">
        <v>2554001</v>
      </c>
      <c r="CD411" s="13">
        <v>3554001</v>
      </c>
      <c r="CH411" t="str">
        <f t="shared" si="285"/>
        <v>DATA_Class_Base42</v>
      </c>
      <c r="CI411" s="3" t="s">
        <v>174</v>
      </c>
    </row>
    <row r="412" spans="79:87">
      <c r="CB412" s="13"/>
      <c r="CC412" s="13"/>
      <c r="CD412" s="13"/>
      <c r="CH412" t="str">
        <f t="shared" si="285"/>
        <v>DATA_Class_Base37</v>
      </c>
      <c r="CI412" s="3" t="s">
        <v>402</v>
      </c>
    </row>
    <row r="413" spans="79:87">
      <c r="CH413" t="str">
        <f t="shared" si="285"/>
        <v>DATA_Class_Base28</v>
      </c>
      <c r="CI413" s="3" t="s">
        <v>374</v>
      </c>
    </row>
    <row r="414" spans="79:87">
      <c r="CH414" t="str">
        <f t="shared" si="285"/>
        <v>DATA_Class_Base29</v>
      </c>
      <c r="CI414" s="3" t="s">
        <v>378</v>
      </c>
    </row>
    <row r="415" spans="79:87">
      <c r="CH415" t="str">
        <f t="shared" si="285"/>
        <v>DATA_Class_Base30</v>
      </c>
      <c r="CI415" s="3" t="s">
        <v>381</v>
      </c>
    </row>
    <row r="416" spans="79:87">
      <c r="CH416" t="str">
        <f t="shared" si="285"/>
        <v>DATA_Class_Base31</v>
      </c>
      <c r="CI416" s="3" t="s">
        <v>384</v>
      </c>
    </row>
    <row r="417" spans="86:87">
      <c r="CH417" t="str">
        <f t="shared" si="285"/>
        <v>DATA_Class_Base32</v>
      </c>
      <c r="CI417" s="3" t="s">
        <v>388</v>
      </c>
    </row>
    <row r="418" spans="86:87">
      <c r="CH418" t="str">
        <f t="shared" si="285"/>
        <v>DATA_Class_Base33</v>
      </c>
      <c r="CI418" s="3" t="s">
        <v>391</v>
      </c>
    </row>
    <row r="419" spans="86:87">
      <c r="CH419" t="str">
        <f t="shared" si="285"/>
        <v>DATA_Class_Base34</v>
      </c>
      <c r="CI419" s="3" t="s">
        <v>184</v>
      </c>
    </row>
    <row r="420" spans="86:87">
      <c r="CH420" t="str">
        <f t="shared" si="285"/>
        <v>DATA_Class_Base35</v>
      </c>
      <c r="CI420" s="3" t="s">
        <v>195</v>
      </c>
    </row>
    <row r="421" spans="86:87">
      <c r="CH421" t="str">
        <f t="shared" si="285"/>
        <v>DATA_Class_Base36</v>
      </c>
      <c r="CI421" s="3" t="s">
        <v>201</v>
      </c>
    </row>
    <row r="422" spans="86:87">
      <c r="CH422" t="str">
        <f t="shared" si="285"/>
        <v>DATA_Class_Base28</v>
      </c>
      <c r="CI422" s="3" t="s">
        <v>374</v>
      </c>
    </row>
    <row r="423" spans="86:87">
      <c r="CH423" t="str">
        <f t="shared" ref="CH423:CH494" si="318">INDEX($CE$18:$CE$59,MATCH($CI423,$CF$18:$CF$59,0))</f>
        <v>DATA_Class_Base29</v>
      </c>
      <c r="CI423" s="3" t="s">
        <v>378</v>
      </c>
    </row>
    <row r="424" spans="86:87">
      <c r="CH424" t="str">
        <f t="shared" si="318"/>
        <v>DATA_Class_Base30</v>
      </c>
      <c r="CI424" s="3" t="s">
        <v>381</v>
      </c>
    </row>
    <row r="425" spans="86:87">
      <c r="CH425" t="str">
        <f t="shared" si="318"/>
        <v>DATA_Class_Base31</v>
      </c>
      <c r="CI425" s="3" t="s">
        <v>384</v>
      </c>
    </row>
    <row r="426" spans="86:87">
      <c r="CH426" t="str">
        <f t="shared" si="318"/>
        <v>DATA_Class_Base32</v>
      </c>
      <c r="CI426" s="3" t="s">
        <v>388</v>
      </c>
    </row>
    <row r="427" spans="86:87">
      <c r="CH427" t="str">
        <f t="shared" si="318"/>
        <v>DATA_Class_Base33</v>
      </c>
      <c r="CI427" s="3" t="s">
        <v>391</v>
      </c>
    </row>
    <row r="428" spans="86:87">
      <c r="CH428" t="str">
        <f t="shared" si="318"/>
        <v>DATA_Class_Base34</v>
      </c>
      <c r="CI428" s="3" t="s">
        <v>184</v>
      </c>
    </row>
    <row r="429" spans="86:87">
      <c r="CH429" t="str">
        <f t="shared" si="318"/>
        <v>DATA_Class_Base35</v>
      </c>
      <c r="CI429" s="3" t="s">
        <v>195</v>
      </c>
    </row>
    <row r="430" spans="86:87">
      <c r="CH430" t="str">
        <f t="shared" si="318"/>
        <v>DATA_Class_Base36</v>
      </c>
      <c r="CI430" s="3" t="s">
        <v>201</v>
      </c>
    </row>
    <row r="431" spans="86:87">
      <c r="CH431" t="str">
        <f t="shared" si="318"/>
        <v>DATA_Class_Base28</v>
      </c>
      <c r="CI431" s="3" t="s">
        <v>374</v>
      </c>
    </row>
    <row r="432" spans="86:87">
      <c r="CH432" t="str">
        <f t="shared" si="318"/>
        <v>DATA_Class_Base29</v>
      </c>
      <c r="CI432" s="3" t="s">
        <v>378</v>
      </c>
    </row>
    <row r="433" spans="79:87">
      <c r="CH433" t="str">
        <f t="shared" si="318"/>
        <v>DATA_Class_Base30</v>
      </c>
      <c r="CI433" s="3" t="s">
        <v>381</v>
      </c>
    </row>
    <row r="434" spans="79:87">
      <c r="CH434" t="str">
        <f t="shared" si="318"/>
        <v>DATA_Class_Base31</v>
      </c>
      <c r="CI434" s="3" t="s">
        <v>384</v>
      </c>
    </row>
    <row r="435" spans="79:87">
      <c r="CH435" t="str">
        <f t="shared" si="318"/>
        <v>DATA_Class_Base32</v>
      </c>
      <c r="CI435" s="3" t="s">
        <v>388</v>
      </c>
    </row>
    <row r="436" spans="79:87">
      <c r="CH436" t="str">
        <f t="shared" si="318"/>
        <v>DATA_Class_Base33</v>
      </c>
      <c r="CI436" s="3" t="s">
        <v>391</v>
      </c>
    </row>
    <row r="437" spans="79:87">
      <c r="CH437" t="str">
        <f t="shared" si="318"/>
        <v>DATA_Class_Base34</v>
      </c>
      <c r="CI437" s="3" t="s">
        <v>184</v>
      </c>
    </row>
    <row r="438" spans="79:87">
      <c r="CH438" t="str">
        <f t="shared" si="318"/>
        <v>DATA_Class_Base35</v>
      </c>
      <c r="CI438" s="3" t="s">
        <v>195</v>
      </c>
    </row>
    <row r="439" spans="79:87">
      <c r="CH439" t="str">
        <f t="shared" si="318"/>
        <v>DATA_Class_Base36</v>
      </c>
      <c r="CI439" s="3" t="s">
        <v>201</v>
      </c>
    </row>
    <row r="440" spans="79:87">
      <c r="CB440" s="13"/>
      <c r="CC440" s="13"/>
      <c r="CD440" s="13"/>
      <c r="CH440" t="str">
        <f t="shared" si="318"/>
        <v>DATA_Class_Base29</v>
      </c>
      <c r="CI440" s="3" t="s">
        <v>378</v>
      </c>
    </row>
    <row r="441" spans="79:87">
      <c r="CB441" s="13"/>
      <c r="CC441" s="13"/>
      <c r="CD441" s="13"/>
      <c r="CH441" t="str">
        <f t="shared" si="318"/>
        <v>DATA_Class_Base41</v>
      </c>
      <c r="CI441" s="3" t="s">
        <v>413</v>
      </c>
    </row>
    <row r="442" spans="79:87">
      <c r="CA442" t="str">
        <f t="shared" ref="CA442:CA444" si="319">CB442&amp;","&amp;CC442&amp;","&amp;CD442</f>
        <v>1545011,2545011,3545011</v>
      </c>
      <c r="CB442" s="13">
        <v>1545011</v>
      </c>
      <c r="CC442" s="13">
        <v>2545011</v>
      </c>
      <c r="CD442" s="13">
        <v>3545011</v>
      </c>
      <c r="CH442" t="str">
        <f t="shared" si="318"/>
        <v>DATA_Class_Base37</v>
      </c>
      <c r="CI442" s="3" t="s">
        <v>402</v>
      </c>
    </row>
    <row r="443" spans="79:87">
      <c r="CA443" t="str">
        <f t="shared" si="319"/>
        <v>1546001,2546001,3546001</v>
      </c>
      <c r="CB443" s="13">
        <v>1546001</v>
      </c>
      <c r="CC443" s="13">
        <v>2546001</v>
      </c>
      <c r="CD443" s="13">
        <v>3546001</v>
      </c>
      <c r="CH443" t="str">
        <f t="shared" si="318"/>
        <v>DATA_Class_Base38</v>
      </c>
      <c r="CI443" s="3" t="s">
        <v>198</v>
      </c>
    </row>
    <row r="444" spans="79:87">
      <c r="CA444" t="str">
        <f t="shared" si="319"/>
        <v>1546021,2546021,3546021</v>
      </c>
      <c r="CB444" s="13">
        <v>1546021</v>
      </c>
      <c r="CC444" s="13">
        <v>2546021</v>
      </c>
      <c r="CD444" s="13">
        <v>3546021</v>
      </c>
      <c r="CH444" t="str">
        <f t="shared" si="318"/>
        <v>DATA_Class_Base39</v>
      </c>
      <c r="CI444" s="3" t="s">
        <v>407</v>
      </c>
    </row>
    <row r="445" spans="79:87">
      <c r="CB445" s="13"/>
      <c r="CC445" s="13"/>
      <c r="CD445" s="13"/>
      <c r="CH445" t="str">
        <f t="shared" si="318"/>
        <v>DATA_Class_Base30</v>
      </c>
      <c r="CI445" s="3" t="s">
        <v>381</v>
      </c>
    </row>
    <row r="446" spans="79:87">
      <c r="CA446" t="str">
        <f t="shared" ref="CA446:CA448" si="320">CB446&amp;","&amp;CC446&amp;","&amp;CD446</f>
        <v>1553001,2553001,3553001</v>
      </c>
      <c r="CB446" s="13">
        <v>1553001</v>
      </c>
      <c r="CC446" s="13">
        <v>2553001</v>
      </c>
      <c r="CD446" s="13">
        <v>3553001</v>
      </c>
      <c r="CH446" t="str">
        <f t="shared" si="318"/>
        <v>DATA_Class_Base40</v>
      </c>
      <c r="CI446" s="3" t="s">
        <v>411</v>
      </c>
    </row>
    <row r="447" spans="79:87">
      <c r="CA447" t="str">
        <f t="shared" si="320"/>
        <v>1553021,2553021,3553021</v>
      </c>
      <c r="CB447" s="13">
        <v>1553021</v>
      </c>
      <c r="CC447" s="13">
        <v>2553021</v>
      </c>
      <c r="CD447" s="13">
        <v>3553021</v>
      </c>
      <c r="CH447" t="str">
        <f t="shared" si="318"/>
        <v>DATA_Class_Base41</v>
      </c>
      <c r="CI447" s="3" t="s">
        <v>413</v>
      </c>
    </row>
    <row r="448" spans="79:87">
      <c r="CA448" t="str">
        <f t="shared" si="320"/>
        <v>1554001,2554001,3554001</v>
      </c>
      <c r="CB448" s="13">
        <v>1554001</v>
      </c>
      <c r="CC448" s="13">
        <v>2554001</v>
      </c>
      <c r="CD448" s="13">
        <v>3554001</v>
      </c>
      <c r="CH448" t="str">
        <f t="shared" si="318"/>
        <v>DATA_Class_Base42</v>
      </c>
      <c r="CI448" s="3" t="s">
        <v>174</v>
      </c>
    </row>
    <row r="449" spans="80:87">
      <c r="CB449" s="13"/>
      <c r="CC449" s="13"/>
      <c r="CD449" s="13"/>
      <c r="CH449" t="str">
        <f t="shared" si="318"/>
        <v>DATA_Class_Base37</v>
      </c>
      <c r="CI449" s="3" t="s">
        <v>402</v>
      </c>
    </row>
    <row r="450" spans="80:87">
      <c r="CH450" t="str">
        <f t="shared" si="318"/>
        <v>DATA_Class_Base28</v>
      </c>
      <c r="CI450" s="3" t="s">
        <v>374</v>
      </c>
    </row>
    <row r="451" spans="80:87">
      <c r="CH451" t="str">
        <f t="shared" si="318"/>
        <v>DATA_Class_Base29</v>
      </c>
      <c r="CI451" s="3" t="s">
        <v>378</v>
      </c>
    </row>
    <row r="452" spans="80:87">
      <c r="CH452" t="str">
        <f t="shared" si="318"/>
        <v>DATA_Class_Base30</v>
      </c>
      <c r="CI452" s="3" t="s">
        <v>381</v>
      </c>
    </row>
    <row r="453" spans="80:87">
      <c r="CH453" t="str">
        <f t="shared" si="318"/>
        <v>DATA_Class_Base31</v>
      </c>
      <c r="CI453" s="3" t="s">
        <v>384</v>
      </c>
    </row>
    <row r="454" spans="80:87">
      <c r="CH454" t="str">
        <f t="shared" si="318"/>
        <v>DATA_Class_Base32</v>
      </c>
      <c r="CI454" s="3" t="s">
        <v>388</v>
      </c>
    </row>
    <row r="455" spans="80:87">
      <c r="CH455" t="str">
        <f t="shared" si="318"/>
        <v>DATA_Class_Base33</v>
      </c>
      <c r="CI455" s="3" t="s">
        <v>391</v>
      </c>
    </row>
    <row r="456" spans="80:87">
      <c r="CH456" t="str">
        <f t="shared" si="318"/>
        <v>DATA_Class_Base34</v>
      </c>
      <c r="CI456" s="3" t="s">
        <v>184</v>
      </c>
    </row>
    <row r="457" spans="80:87">
      <c r="CH457" t="str">
        <f t="shared" si="318"/>
        <v>DATA_Class_Base35</v>
      </c>
      <c r="CI457" s="3" t="s">
        <v>195</v>
      </c>
    </row>
    <row r="458" spans="80:87">
      <c r="CH458" t="str">
        <f t="shared" si="318"/>
        <v>DATA_Class_Base36</v>
      </c>
      <c r="CI458" s="3" t="s">
        <v>201</v>
      </c>
    </row>
    <row r="459" spans="80:87">
      <c r="CH459" t="str">
        <f t="shared" si="318"/>
        <v>DATA_Class_Base28</v>
      </c>
      <c r="CI459" s="3" t="s">
        <v>374</v>
      </c>
    </row>
    <row r="460" spans="80:87">
      <c r="CH460" t="str">
        <f t="shared" si="318"/>
        <v>DATA_Class_Base29</v>
      </c>
      <c r="CI460" s="3" t="s">
        <v>378</v>
      </c>
    </row>
    <row r="461" spans="80:87">
      <c r="CH461" t="str">
        <f t="shared" si="318"/>
        <v>DATA_Class_Base30</v>
      </c>
      <c r="CI461" s="3" t="s">
        <v>381</v>
      </c>
    </row>
    <row r="462" spans="80:87">
      <c r="CH462" t="str">
        <f t="shared" si="318"/>
        <v>DATA_Class_Base31</v>
      </c>
      <c r="CI462" s="3" t="s">
        <v>384</v>
      </c>
    </row>
    <row r="463" spans="80:87">
      <c r="CH463" t="str">
        <f t="shared" si="318"/>
        <v>DATA_Class_Base32</v>
      </c>
      <c r="CI463" s="3" t="s">
        <v>388</v>
      </c>
    </row>
    <row r="464" spans="80:87">
      <c r="CH464" t="str">
        <f t="shared" si="318"/>
        <v>DATA_Class_Base33</v>
      </c>
      <c r="CI464" s="3" t="s">
        <v>391</v>
      </c>
    </row>
    <row r="465" spans="79:87">
      <c r="CH465" t="str">
        <f t="shared" si="318"/>
        <v>DATA_Class_Base34</v>
      </c>
      <c r="CI465" s="3" t="s">
        <v>184</v>
      </c>
    </row>
    <row r="466" spans="79:87">
      <c r="CH466" t="str">
        <f t="shared" si="318"/>
        <v>DATA_Class_Base35</v>
      </c>
      <c r="CI466" s="3" t="s">
        <v>195</v>
      </c>
    </row>
    <row r="467" spans="79:87">
      <c r="CH467" t="str">
        <f t="shared" si="318"/>
        <v>DATA_Class_Base36</v>
      </c>
      <c r="CI467" s="3" t="s">
        <v>201</v>
      </c>
    </row>
    <row r="468" spans="79:87">
      <c r="CH468" t="str">
        <f t="shared" si="318"/>
        <v>DATA_Class_Base28</v>
      </c>
      <c r="CI468" s="3" t="s">
        <v>374</v>
      </c>
    </row>
    <row r="469" spans="79:87">
      <c r="CH469" t="str">
        <f t="shared" si="318"/>
        <v>DATA_Class_Base29</v>
      </c>
      <c r="CI469" s="3" t="s">
        <v>378</v>
      </c>
    </row>
    <row r="470" spans="79:87">
      <c r="CH470" t="str">
        <f t="shared" si="318"/>
        <v>DATA_Class_Base30</v>
      </c>
      <c r="CI470" s="3" t="s">
        <v>381</v>
      </c>
    </row>
    <row r="471" spans="79:87">
      <c r="CH471" t="str">
        <f t="shared" si="318"/>
        <v>DATA_Class_Base31</v>
      </c>
      <c r="CI471" s="3" t="s">
        <v>384</v>
      </c>
    </row>
    <row r="472" spans="79:87">
      <c r="CH472" t="str">
        <f t="shared" si="318"/>
        <v>DATA_Class_Base32</v>
      </c>
      <c r="CI472" s="3" t="s">
        <v>388</v>
      </c>
    </row>
    <row r="473" spans="79:87">
      <c r="CH473" t="str">
        <f t="shared" si="318"/>
        <v>DATA_Class_Base33</v>
      </c>
      <c r="CI473" s="3" t="s">
        <v>391</v>
      </c>
    </row>
    <row r="474" spans="79:87">
      <c r="CH474" t="str">
        <f t="shared" si="318"/>
        <v>DATA_Class_Base34</v>
      </c>
      <c r="CI474" s="3" t="s">
        <v>184</v>
      </c>
    </row>
    <row r="475" spans="79:87">
      <c r="CH475" t="str">
        <f t="shared" si="318"/>
        <v>DATA_Class_Base35</v>
      </c>
      <c r="CI475" s="3" t="s">
        <v>195</v>
      </c>
    </row>
    <row r="476" spans="79:87">
      <c r="CH476" t="str">
        <f t="shared" si="318"/>
        <v>DATA_Class_Base36</v>
      </c>
      <c r="CI476" s="3" t="s">
        <v>201</v>
      </c>
    </row>
    <row r="477" spans="79:87">
      <c r="CB477" s="13"/>
      <c r="CC477" s="13"/>
      <c r="CD477" s="13"/>
      <c r="CH477" t="str">
        <f t="shared" si="318"/>
        <v>DATA_Class_Base29</v>
      </c>
      <c r="CI477" s="3" t="s">
        <v>378</v>
      </c>
    </row>
    <row r="478" spans="79:87">
      <c r="CB478" s="13"/>
      <c r="CC478" s="13"/>
      <c r="CD478" s="13"/>
      <c r="CH478" t="str">
        <f t="shared" si="318"/>
        <v>DATA_Class_Base41</v>
      </c>
      <c r="CI478" s="3" t="s">
        <v>413</v>
      </c>
    </row>
    <row r="479" spans="79:87">
      <c r="CA479" t="str">
        <f t="shared" ref="CA479:CA481" si="321">CB479&amp;","&amp;CC479&amp;","&amp;CD479</f>
        <v>1545011,2545011,3545011</v>
      </c>
      <c r="CB479" s="13">
        <v>1545011</v>
      </c>
      <c r="CC479" s="13">
        <v>2545011</v>
      </c>
      <c r="CD479" s="13">
        <v>3545011</v>
      </c>
      <c r="CH479" t="str">
        <f t="shared" si="318"/>
        <v>DATA_Class_Base37</v>
      </c>
      <c r="CI479" s="3" t="s">
        <v>402</v>
      </c>
    </row>
    <row r="480" spans="79:87">
      <c r="CA480" t="str">
        <f t="shared" si="321"/>
        <v>1546001,2546001,3546001</v>
      </c>
      <c r="CB480" s="13">
        <v>1546001</v>
      </c>
      <c r="CC480" s="13">
        <v>2546001</v>
      </c>
      <c r="CD480" s="13">
        <v>3546001</v>
      </c>
      <c r="CH480" t="str">
        <f t="shared" si="318"/>
        <v>DATA_Class_Base38</v>
      </c>
      <c r="CI480" s="3" t="s">
        <v>198</v>
      </c>
    </row>
    <row r="481" spans="79:87">
      <c r="CA481" t="str">
        <f t="shared" si="321"/>
        <v>1546021,2546021,3546021</v>
      </c>
      <c r="CB481" s="13">
        <v>1546021</v>
      </c>
      <c r="CC481" s="13">
        <v>2546021</v>
      </c>
      <c r="CD481" s="13">
        <v>3546021</v>
      </c>
      <c r="CH481" t="str">
        <f t="shared" si="318"/>
        <v>DATA_Class_Base39</v>
      </c>
      <c r="CI481" s="3" t="s">
        <v>407</v>
      </c>
    </row>
    <row r="482" spans="79:87">
      <c r="CB482" s="13"/>
      <c r="CC482" s="13"/>
      <c r="CD482" s="13"/>
      <c r="CH482" t="str">
        <f t="shared" si="318"/>
        <v>DATA_Class_Base30</v>
      </c>
      <c r="CI482" s="3" t="s">
        <v>381</v>
      </c>
    </row>
    <row r="483" spans="79:87">
      <c r="CA483" t="str">
        <f t="shared" ref="CA483:CA485" si="322">CB483&amp;","&amp;CC483&amp;","&amp;CD483</f>
        <v>1553001,2553001,3553001</v>
      </c>
      <c r="CB483" s="13">
        <v>1553001</v>
      </c>
      <c r="CC483" s="13">
        <v>2553001</v>
      </c>
      <c r="CD483" s="13">
        <v>3553001</v>
      </c>
      <c r="CH483" t="str">
        <f t="shared" si="318"/>
        <v>DATA_Class_Base40</v>
      </c>
      <c r="CI483" s="3" t="s">
        <v>411</v>
      </c>
    </row>
    <row r="484" spans="79:87">
      <c r="CA484" t="str">
        <f t="shared" si="322"/>
        <v>1553021,2553021,3553021</v>
      </c>
      <c r="CB484" s="13">
        <v>1553021</v>
      </c>
      <c r="CC484" s="13">
        <v>2553021</v>
      </c>
      <c r="CD484" s="13">
        <v>3553021</v>
      </c>
      <c r="CH484" t="str">
        <f t="shared" si="318"/>
        <v>DATA_Class_Base41</v>
      </c>
      <c r="CI484" s="3" t="s">
        <v>413</v>
      </c>
    </row>
    <row r="485" spans="79:87">
      <c r="CA485" t="str">
        <f t="shared" si="322"/>
        <v>1554001,2554001,3554001</v>
      </c>
      <c r="CB485" s="13">
        <v>1554001</v>
      </c>
      <c r="CC485" s="13">
        <v>2554001</v>
      </c>
      <c r="CD485" s="13">
        <v>3554001</v>
      </c>
      <c r="CH485" t="str">
        <f t="shared" si="318"/>
        <v>DATA_Class_Base42</v>
      </c>
      <c r="CI485" s="3" t="s">
        <v>174</v>
      </c>
    </row>
    <row r="486" spans="79:87">
      <c r="CB486" s="13"/>
      <c r="CC486" s="13"/>
      <c r="CD486" s="13"/>
      <c r="CH486" t="str">
        <f t="shared" si="318"/>
        <v>DATA_Class_Base37</v>
      </c>
      <c r="CI486" s="3" t="s">
        <v>402</v>
      </c>
    </row>
    <row r="487" spans="79:87">
      <c r="CH487" t="str">
        <f t="shared" si="318"/>
        <v>DATA_Class_Base28</v>
      </c>
      <c r="CI487" s="3" t="s">
        <v>374</v>
      </c>
    </row>
    <row r="488" spans="79:87">
      <c r="CH488" t="str">
        <f t="shared" si="318"/>
        <v>DATA_Class_Base29</v>
      </c>
      <c r="CI488" s="3" t="s">
        <v>378</v>
      </c>
    </row>
    <row r="489" spans="79:87">
      <c r="CH489" t="str">
        <f t="shared" si="318"/>
        <v>DATA_Class_Base30</v>
      </c>
      <c r="CI489" s="3" t="s">
        <v>381</v>
      </c>
    </row>
    <row r="490" spans="79:87">
      <c r="CH490" t="str">
        <f t="shared" si="318"/>
        <v>DATA_Class_Base31</v>
      </c>
      <c r="CI490" s="3" t="s">
        <v>384</v>
      </c>
    </row>
    <row r="491" spans="79:87">
      <c r="CH491" t="str">
        <f t="shared" si="318"/>
        <v>DATA_Class_Base32</v>
      </c>
      <c r="CI491" s="3" t="s">
        <v>388</v>
      </c>
    </row>
    <row r="492" spans="79:87">
      <c r="CH492" t="str">
        <f t="shared" si="318"/>
        <v>DATA_Class_Base33</v>
      </c>
      <c r="CI492" s="3" t="s">
        <v>391</v>
      </c>
    </row>
    <row r="493" spans="79:87">
      <c r="CH493" t="str">
        <f t="shared" si="318"/>
        <v>DATA_Class_Base34</v>
      </c>
      <c r="CI493" s="3" t="s">
        <v>184</v>
      </c>
    </row>
    <row r="494" spans="79:87">
      <c r="CH494" t="str">
        <f t="shared" si="318"/>
        <v>DATA_Class_Base35</v>
      </c>
      <c r="CI494" s="3" t="s">
        <v>195</v>
      </c>
    </row>
    <row r="495" spans="79:87">
      <c r="CH495" t="str">
        <f t="shared" ref="CH495:CH558" si="323">INDEX($CE$18:$CE$59,MATCH($CI495,$CF$18:$CF$59,0))</f>
        <v>DATA_Class_Base36</v>
      </c>
      <c r="CI495" s="3" t="s">
        <v>201</v>
      </c>
    </row>
    <row r="496" spans="79:87">
      <c r="CH496" t="str">
        <f t="shared" si="323"/>
        <v>DATA_Class_Base28</v>
      </c>
      <c r="CI496" s="3" t="s">
        <v>374</v>
      </c>
    </row>
    <row r="497" spans="86:87">
      <c r="CH497" t="str">
        <f t="shared" si="323"/>
        <v>DATA_Class_Base29</v>
      </c>
      <c r="CI497" s="3" t="s">
        <v>378</v>
      </c>
    </row>
    <row r="498" spans="86:87">
      <c r="CH498" t="str">
        <f t="shared" si="323"/>
        <v>DATA_Class_Base30</v>
      </c>
      <c r="CI498" s="3" t="s">
        <v>381</v>
      </c>
    </row>
    <row r="499" spans="86:87">
      <c r="CH499" t="str">
        <f t="shared" si="323"/>
        <v>DATA_Class_Base31</v>
      </c>
      <c r="CI499" s="3" t="s">
        <v>384</v>
      </c>
    </row>
    <row r="500" spans="86:87">
      <c r="CH500" t="str">
        <f t="shared" si="323"/>
        <v>DATA_Class_Base32</v>
      </c>
      <c r="CI500" s="3" t="s">
        <v>388</v>
      </c>
    </row>
    <row r="501" spans="86:87">
      <c r="CH501" t="str">
        <f t="shared" si="323"/>
        <v>DATA_Class_Base33</v>
      </c>
      <c r="CI501" s="3" t="s">
        <v>391</v>
      </c>
    </row>
    <row r="502" spans="86:87">
      <c r="CH502" t="str">
        <f t="shared" si="323"/>
        <v>DATA_Class_Base34</v>
      </c>
      <c r="CI502" s="3" t="s">
        <v>184</v>
      </c>
    </row>
    <row r="503" spans="86:87">
      <c r="CH503" t="str">
        <f t="shared" si="323"/>
        <v>DATA_Class_Base35</v>
      </c>
      <c r="CI503" s="3" t="s">
        <v>195</v>
      </c>
    </row>
    <row r="504" spans="86:87">
      <c r="CH504" t="str">
        <f t="shared" si="323"/>
        <v>DATA_Class_Base36</v>
      </c>
      <c r="CI504" s="3" t="s">
        <v>201</v>
      </c>
    </row>
    <row r="505" spans="86:87">
      <c r="CH505" t="str">
        <f t="shared" si="323"/>
        <v>DATA_Class_Base28</v>
      </c>
      <c r="CI505" s="3" t="s">
        <v>374</v>
      </c>
    </row>
    <row r="506" spans="86:87">
      <c r="CH506" t="str">
        <f t="shared" si="323"/>
        <v>DATA_Class_Base29</v>
      </c>
      <c r="CI506" s="3" t="s">
        <v>378</v>
      </c>
    </row>
    <row r="507" spans="86:87">
      <c r="CH507" t="str">
        <f t="shared" si="323"/>
        <v>DATA_Class_Base30</v>
      </c>
      <c r="CI507" s="3" t="s">
        <v>381</v>
      </c>
    </row>
    <row r="508" spans="86:87">
      <c r="CH508" t="str">
        <f t="shared" si="323"/>
        <v>DATA_Class_Base31</v>
      </c>
      <c r="CI508" s="3" t="s">
        <v>384</v>
      </c>
    </row>
    <row r="509" spans="86:87">
      <c r="CH509" t="str">
        <f t="shared" si="323"/>
        <v>DATA_Class_Base32</v>
      </c>
      <c r="CI509" s="3" t="s">
        <v>388</v>
      </c>
    </row>
    <row r="510" spans="86:87">
      <c r="CH510" t="str">
        <f t="shared" si="323"/>
        <v>DATA_Class_Base33</v>
      </c>
      <c r="CI510" s="3" t="s">
        <v>391</v>
      </c>
    </row>
    <row r="511" spans="86:87">
      <c r="CH511" t="str">
        <f t="shared" si="323"/>
        <v>DATA_Class_Base34</v>
      </c>
      <c r="CI511" s="3" t="s">
        <v>184</v>
      </c>
    </row>
    <row r="512" spans="86:87">
      <c r="CH512" t="str">
        <f t="shared" si="323"/>
        <v>DATA_Class_Base35</v>
      </c>
      <c r="CI512" s="3" t="s">
        <v>195</v>
      </c>
    </row>
    <row r="513" spans="79:87">
      <c r="CH513" t="str">
        <f t="shared" si="323"/>
        <v>DATA_Class_Base36</v>
      </c>
      <c r="CI513" s="3" t="s">
        <v>201</v>
      </c>
    </row>
    <row r="514" spans="79:87">
      <c r="CB514" s="13"/>
      <c r="CC514" s="13"/>
      <c r="CD514" s="13"/>
      <c r="CH514" t="str">
        <f t="shared" si="323"/>
        <v>DATA_Class_Base29</v>
      </c>
      <c r="CI514" s="3" t="s">
        <v>378</v>
      </c>
    </row>
    <row r="515" spans="79:87">
      <c r="CB515" s="13"/>
      <c r="CC515" s="13"/>
      <c r="CD515" s="13"/>
      <c r="CH515" t="str">
        <f t="shared" si="323"/>
        <v>DATA_Class_Base41</v>
      </c>
      <c r="CI515" s="3" t="s">
        <v>413</v>
      </c>
    </row>
    <row r="516" spans="79:87">
      <c r="CA516" t="str">
        <f t="shared" ref="CA516:CA518" si="324">CB516&amp;","&amp;CC516&amp;","&amp;CD516</f>
        <v>1545011,2545011,3545011</v>
      </c>
      <c r="CB516" s="13">
        <v>1545011</v>
      </c>
      <c r="CC516" s="13">
        <v>2545011</v>
      </c>
      <c r="CD516" s="13">
        <v>3545011</v>
      </c>
      <c r="CH516" t="str">
        <f t="shared" si="323"/>
        <v>DATA_Class_Base37</v>
      </c>
      <c r="CI516" s="3" t="s">
        <v>402</v>
      </c>
    </row>
    <row r="517" spans="79:87">
      <c r="CA517" t="str">
        <f t="shared" si="324"/>
        <v>1546001,2546001,3546001</v>
      </c>
      <c r="CB517" s="13">
        <v>1546001</v>
      </c>
      <c r="CC517" s="13">
        <v>2546001</v>
      </c>
      <c r="CD517" s="13">
        <v>3546001</v>
      </c>
      <c r="CH517" t="str">
        <f t="shared" si="323"/>
        <v>DATA_Class_Base38</v>
      </c>
      <c r="CI517" s="3" t="s">
        <v>198</v>
      </c>
    </row>
    <row r="518" spans="79:87">
      <c r="CA518" t="str">
        <f t="shared" si="324"/>
        <v>1546021,2546021,3546021</v>
      </c>
      <c r="CB518" s="13">
        <v>1546021</v>
      </c>
      <c r="CC518" s="13">
        <v>2546021</v>
      </c>
      <c r="CD518" s="13">
        <v>3546021</v>
      </c>
      <c r="CH518" t="str">
        <f t="shared" si="323"/>
        <v>DATA_Class_Base39</v>
      </c>
      <c r="CI518" s="3" t="s">
        <v>407</v>
      </c>
    </row>
    <row r="519" spans="79:87">
      <c r="CB519" s="13"/>
      <c r="CC519" s="13"/>
      <c r="CD519" s="13"/>
      <c r="CH519" t="str">
        <f t="shared" si="323"/>
        <v>DATA_Class_Base30</v>
      </c>
      <c r="CI519" s="3" t="s">
        <v>381</v>
      </c>
    </row>
    <row r="520" spans="79:87">
      <c r="CA520" t="str">
        <f t="shared" ref="CA520:CA522" si="325">CB520&amp;","&amp;CC520&amp;","&amp;CD520</f>
        <v>1553001,2553001,3553001</v>
      </c>
      <c r="CB520" s="13">
        <v>1553001</v>
      </c>
      <c r="CC520" s="13">
        <v>2553001</v>
      </c>
      <c r="CD520" s="13">
        <v>3553001</v>
      </c>
      <c r="CH520" t="str">
        <f t="shared" si="323"/>
        <v>DATA_Class_Base40</v>
      </c>
      <c r="CI520" s="3" t="s">
        <v>411</v>
      </c>
    </row>
    <row r="521" spans="79:87">
      <c r="CA521" t="str">
        <f t="shared" si="325"/>
        <v>1553021,2553021,3553021</v>
      </c>
      <c r="CB521" s="13">
        <v>1553021</v>
      </c>
      <c r="CC521" s="13">
        <v>2553021</v>
      </c>
      <c r="CD521" s="13">
        <v>3553021</v>
      </c>
      <c r="CH521" t="str">
        <f t="shared" si="323"/>
        <v>DATA_Class_Base41</v>
      </c>
      <c r="CI521" s="3" t="s">
        <v>413</v>
      </c>
    </row>
    <row r="522" spans="79:87">
      <c r="CA522" t="str">
        <f t="shared" si="325"/>
        <v>1554001,2554001,3554001</v>
      </c>
      <c r="CB522" s="13">
        <v>1554001</v>
      </c>
      <c r="CC522" s="13">
        <v>2554001</v>
      </c>
      <c r="CD522" s="13">
        <v>3554001</v>
      </c>
      <c r="CH522" t="str">
        <f t="shared" si="323"/>
        <v>DATA_Class_Base42</v>
      </c>
      <c r="CI522" s="3" t="s">
        <v>174</v>
      </c>
    </row>
    <row r="523" spans="79:87">
      <c r="CB523" s="13"/>
      <c r="CC523" s="13"/>
      <c r="CD523" s="13"/>
      <c r="CH523" t="str">
        <f t="shared" si="323"/>
        <v>DATA_Class_Base37</v>
      </c>
      <c r="CI523" s="3" t="s">
        <v>402</v>
      </c>
    </row>
    <row r="524" spans="79:87">
      <c r="CH524" t="str">
        <f t="shared" si="323"/>
        <v>DATA_Class_Base28</v>
      </c>
      <c r="CI524" s="3" t="s">
        <v>374</v>
      </c>
    </row>
    <row r="525" spans="79:87">
      <c r="CH525" t="str">
        <f t="shared" si="323"/>
        <v>DATA_Class_Base29</v>
      </c>
      <c r="CI525" s="3" t="s">
        <v>378</v>
      </c>
    </row>
    <row r="526" spans="79:87">
      <c r="CH526" t="str">
        <f t="shared" si="323"/>
        <v>DATA_Class_Base30</v>
      </c>
      <c r="CI526" s="3" t="s">
        <v>381</v>
      </c>
    </row>
    <row r="527" spans="79:87">
      <c r="CH527" t="str">
        <f t="shared" si="323"/>
        <v>DATA_Class_Base31</v>
      </c>
      <c r="CI527" s="3" t="s">
        <v>384</v>
      </c>
    </row>
    <row r="528" spans="79:87">
      <c r="CH528" t="str">
        <f t="shared" si="323"/>
        <v>DATA_Class_Base32</v>
      </c>
      <c r="CI528" s="3" t="s">
        <v>388</v>
      </c>
    </row>
    <row r="529" spans="86:87">
      <c r="CH529" t="str">
        <f t="shared" si="323"/>
        <v>DATA_Class_Base33</v>
      </c>
      <c r="CI529" s="3" t="s">
        <v>391</v>
      </c>
    </row>
    <row r="530" spans="86:87">
      <c r="CH530" t="str">
        <f t="shared" si="323"/>
        <v>DATA_Class_Base34</v>
      </c>
      <c r="CI530" s="3" t="s">
        <v>184</v>
      </c>
    </row>
    <row r="531" spans="86:87">
      <c r="CH531" t="str">
        <f t="shared" si="323"/>
        <v>DATA_Class_Base35</v>
      </c>
      <c r="CI531" s="3" t="s">
        <v>195</v>
      </c>
    </row>
    <row r="532" spans="86:87">
      <c r="CH532" t="str">
        <f t="shared" si="323"/>
        <v>DATA_Class_Base36</v>
      </c>
      <c r="CI532" s="3" t="s">
        <v>201</v>
      </c>
    </row>
    <row r="533" spans="86:87">
      <c r="CH533" t="str">
        <f t="shared" si="323"/>
        <v>DATA_Class_Base28</v>
      </c>
      <c r="CI533" s="3" t="s">
        <v>374</v>
      </c>
    </row>
    <row r="534" spans="86:87">
      <c r="CH534" t="str">
        <f t="shared" si="323"/>
        <v>DATA_Class_Base29</v>
      </c>
      <c r="CI534" s="3" t="s">
        <v>378</v>
      </c>
    </row>
    <row r="535" spans="86:87">
      <c r="CH535" t="str">
        <f t="shared" si="323"/>
        <v>DATA_Class_Base30</v>
      </c>
      <c r="CI535" s="3" t="s">
        <v>381</v>
      </c>
    </row>
    <row r="536" spans="86:87">
      <c r="CH536" t="str">
        <f t="shared" si="323"/>
        <v>DATA_Class_Base31</v>
      </c>
      <c r="CI536" s="3" t="s">
        <v>384</v>
      </c>
    </row>
    <row r="537" spans="86:87">
      <c r="CH537" t="str">
        <f t="shared" si="323"/>
        <v>DATA_Class_Base32</v>
      </c>
      <c r="CI537" s="3" t="s">
        <v>388</v>
      </c>
    </row>
    <row r="538" spans="86:87">
      <c r="CH538" t="str">
        <f t="shared" si="323"/>
        <v>DATA_Class_Base33</v>
      </c>
      <c r="CI538" s="3" t="s">
        <v>391</v>
      </c>
    </row>
    <row r="539" spans="86:87">
      <c r="CH539" t="str">
        <f t="shared" si="323"/>
        <v>DATA_Class_Base34</v>
      </c>
      <c r="CI539" s="3" t="s">
        <v>184</v>
      </c>
    </row>
    <row r="540" spans="86:87">
      <c r="CH540" t="str">
        <f t="shared" si="323"/>
        <v>DATA_Class_Base35</v>
      </c>
      <c r="CI540" s="3" t="s">
        <v>195</v>
      </c>
    </row>
    <row r="541" spans="86:87">
      <c r="CH541" t="str">
        <f t="shared" si="323"/>
        <v>DATA_Class_Base36</v>
      </c>
      <c r="CI541" s="3" t="s">
        <v>201</v>
      </c>
    </row>
    <row r="542" spans="86:87">
      <c r="CH542" t="str">
        <f t="shared" si="323"/>
        <v>DATA_Class_Base28</v>
      </c>
      <c r="CI542" s="3" t="s">
        <v>374</v>
      </c>
    </row>
    <row r="543" spans="86:87">
      <c r="CH543" t="str">
        <f t="shared" si="323"/>
        <v>DATA_Class_Base29</v>
      </c>
      <c r="CI543" s="3" t="s">
        <v>378</v>
      </c>
    </row>
    <row r="544" spans="86:87">
      <c r="CH544" t="str">
        <f t="shared" si="323"/>
        <v>DATA_Class_Base30</v>
      </c>
      <c r="CI544" s="3" t="s">
        <v>381</v>
      </c>
    </row>
    <row r="545" spans="79:87">
      <c r="CH545" t="str">
        <f t="shared" si="323"/>
        <v>DATA_Class_Base31</v>
      </c>
      <c r="CI545" s="3" t="s">
        <v>384</v>
      </c>
    </row>
    <row r="546" spans="79:87">
      <c r="CH546" t="str">
        <f t="shared" si="323"/>
        <v>DATA_Class_Base32</v>
      </c>
      <c r="CI546" s="3" t="s">
        <v>388</v>
      </c>
    </row>
    <row r="547" spans="79:87">
      <c r="CH547" t="str">
        <f t="shared" si="323"/>
        <v>DATA_Class_Base33</v>
      </c>
      <c r="CI547" s="3" t="s">
        <v>391</v>
      </c>
    </row>
    <row r="548" spans="79:87">
      <c r="CH548" t="str">
        <f t="shared" si="323"/>
        <v>DATA_Class_Base34</v>
      </c>
      <c r="CI548" s="3" t="s">
        <v>184</v>
      </c>
    </row>
    <row r="549" spans="79:87">
      <c r="CH549" t="str">
        <f t="shared" si="323"/>
        <v>DATA_Class_Base35</v>
      </c>
      <c r="CI549" s="3" t="s">
        <v>195</v>
      </c>
    </row>
    <row r="550" spans="79:87">
      <c r="CH550" t="str">
        <f t="shared" si="323"/>
        <v>DATA_Class_Base36</v>
      </c>
      <c r="CI550" s="3" t="s">
        <v>201</v>
      </c>
    </row>
    <row r="551" spans="79:87">
      <c r="CB551" s="13"/>
      <c r="CC551" s="13"/>
      <c r="CD551" s="13"/>
      <c r="CH551" t="str">
        <f t="shared" si="323"/>
        <v>DATA_Class_Base29</v>
      </c>
      <c r="CI551" s="3" t="s">
        <v>378</v>
      </c>
    </row>
    <row r="552" spans="79:87">
      <c r="CB552" s="13"/>
      <c r="CC552" s="13"/>
      <c r="CD552" s="13"/>
      <c r="CH552" t="str">
        <f t="shared" si="323"/>
        <v>DATA_Class_Base41</v>
      </c>
      <c r="CI552" s="3" t="s">
        <v>413</v>
      </c>
    </row>
    <row r="553" spans="79:87">
      <c r="CA553" t="str">
        <f t="shared" ref="CA553:CA555" si="326">CB553&amp;","&amp;CC553&amp;","&amp;CD553</f>
        <v>1545011,2545011,3545011</v>
      </c>
      <c r="CB553" s="13">
        <v>1545011</v>
      </c>
      <c r="CC553" s="13">
        <v>2545011</v>
      </c>
      <c r="CD553" s="13">
        <v>3545011</v>
      </c>
      <c r="CH553" t="str">
        <f t="shared" si="323"/>
        <v>DATA_Class_Base37</v>
      </c>
      <c r="CI553" s="3" t="s">
        <v>402</v>
      </c>
    </row>
    <row r="554" spans="79:87">
      <c r="CA554" t="str">
        <f t="shared" si="326"/>
        <v>1546001,2546001,3546001</v>
      </c>
      <c r="CB554" s="13">
        <v>1546001</v>
      </c>
      <c r="CC554" s="13">
        <v>2546001</v>
      </c>
      <c r="CD554" s="13">
        <v>3546001</v>
      </c>
      <c r="CH554" t="str">
        <f t="shared" si="323"/>
        <v>DATA_Class_Base38</v>
      </c>
      <c r="CI554" s="3" t="s">
        <v>198</v>
      </c>
    </row>
    <row r="555" spans="79:87">
      <c r="CA555" t="str">
        <f t="shared" si="326"/>
        <v>1546021,2546021,3546021</v>
      </c>
      <c r="CB555" s="13">
        <v>1546021</v>
      </c>
      <c r="CC555" s="13">
        <v>2546021</v>
      </c>
      <c r="CD555" s="13">
        <v>3546021</v>
      </c>
      <c r="CH555" t="str">
        <f t="shared" si="323"/>
        <v>DATA_Class_Base39</v>
      </c>
      <c r="CI555" s="3" t="s">
        <v>407</v>
      </c>
    </row>
    <row r="556" spans="79:87">
      <c r="CB556" s="13"/>
      <c r="CC556" s="13"/>
      <c r="CD556" s="13"/>
      <c r="CH556" t="str">
        <f t="shared" si="323"/>
        <v>DATA_Class_Base30</v>
      </c>
      <c r="CI556" s="3" t="s">
        <v>381</v>
      </c>
    </row>
    <row r="557" spans="79:87">
      <c r="CA557" t="str">
        <f t="shared" ref="CA557:CA559" si="327">CB557&amp;","&amp;CC557&amp;","&amp;CD557</f>
        <v>1553001,2553001,3553001</v>
      </c>
      <c r="CB557" s="13">
        <v>1553001</v>
      </c>
      <c r="CC557" s="13">
        <v>2553001</v>
      </c>
      <c r="CD557" s="13">
        <v>3553001</v>
      </c>
      <c r="CH557" t="str">
        <f t="shared" si="323"/>
        <v>DATA_Class_Base40</v>
      </c>
      <c r="CI557" s="3" t="s">
        <v>411</v>
      </c>
    </row>
    <row r="558" spans="79:87">
      <c r="CA558" t="str">
        <f t="shared" si="327"/>
        <v>1553021,2553021,3553021</v>
      </c>
      <c r="CB558" s="13">
        <v>1553021</v>
      </c>
      <c r="CC558" s="13">
        <v>2553021</v>
      </c>
      <c r="CD558" s="13">
        <v>3553021</v>
      </c>
      <c r="CH558" t="str">
        <f t="shared" si="323"/>
        <v>DATA_Class_Base41</v>
      </c>
      <c r="CI558" s="3" t="s">
        <v>413</v>
      </c>
    </row>
    <row r="559" spans="79:87">
      <c r="CA559" t="str">
        <f t="shared" si="327"/>
        <v>1554001,2554001,3554001</v>
      </c>
      <c r="CB559" s="13">
        <v>1554001</v>
      </c>
      <c r="CC559" s="13">
        <v>2554001</v>
      </c>
      <c r="CD559" s="13">
        <v>3554001</v>
      </c>
      <c r="CH559" t="str">
        <f t="shared" ref="CH559:CH560" si="328">INDEX($CE$18:$CE$59,MATCH($CI559,$CF$18:$CF$59,0))</f>
        <v>DATA_Class_Base42</v>
      </c>
      <c r="CI559" s="3" t="s">
        <v>174</v>
      </c>
    </row>
    <row r="560" spans="79:87">
      <c r="CB560" s="13"/>
      <c r="CC560" s="13"/>
      <c r="CD560" s="13"/>
      <c r="CH560" t="str">
        <f t="shared" si="328"/>
        <v>DATA_Class_Base37</v>
      </c>
      <c r="CI560" s="3" t="s">
        <v>402</v>
      </c>
    </row>
  </sheetData>
  <autoFilter ref="A3:BV560" xr:uid="{00000000-0009-0000-0000-000001000000}"/>
  <mergeCells count="11">
    <mergeCell ref="BD41:BD43"/>
    <mergeCell ref="BD26:BD28"/>
    <mergeCell ref="BD29:BD31"/>
    <mergeCell ref="BD32:BD34"/>
    <mergeCell ref="BD35:BD36"/>
    <mergeCell ref="BD37:BD39"/>
    <mergeCell ref="BD6:BD8"/>
    <mergeCell ref="BD9:BD12"/>
    <mergeCell ref="BD13:BD18"/>
    <mergeCell ref="BD20:BD22"/>
    <mergeCell ref="BD23:BD24"/>
  </mergeCells>
  <phoneticPr fontId="9" type="noConversion"/>
  <conditionalFormatting sqref="A16">
    <cfRule type="duplicateValues" dxfId="57" priority="6"/>
  </conditionalFormatting>
  <conditionalFormatting sqref="CF16">
    <cfRule type="duplicateValues" dxfId="56" priority="7"/>
  </conditionalFormatting>
  <conditionalFormatting sqref="CI16">
    <cfRule type="duplicateValues" dxfId="55" priority="5"/>
  </conditionalFormatting>
  <conditionalFormatting sqref="A17">
    <cfRule type="duplicateValues" dxfId="54" priority="3"/>
  </conditionalFormatting>
  <conditionalFormatting sqref="CF17">
    <cfRule type="duplicateValues" dxfId="53" priority="4"/>
  </conditionalFormatting>
  <conditionalFormatting sqref="CI17">
    <cfRule type="duplicateValues" dxfId="52" priority="2"/>
  </conditionalFormatting>
  <conditionalFormatting sqref="A30:A31">
    <cfRule type="duplicateValues" dxfId="51" priority="1"/>
  </conditionalFormatting>
  <conditionalFormatting sqref="A174:A181">
    <cfRule type="duplicateValues" dxfId="50" priority="73"/>
  </conditionalFormatting>
  <conditionalFormatting sqref="A205:A212">
    <cfRule type="duplicateValues" dxfId="49" priority="96"/>
  </conditionalFormatting>
  <conditionalFormatting sqref="A236:A243">
    <cfRule type="duplicateValues" dxfId="48" priority="119"/>
  </conditionalFormatting>
  <conditionalFormatting sqref="A267:A274">
    <cfRule type="duplicateValues" dxfId="47" priority="142"/>
  </conditionalFormatting>
  <conditionalFormatting sqref="A298:A305">
    <cfRule type="duplicateValues" dxfId="46" priority="165"/>
  </conditionalFormatting>
  <conditionalFormatting sqref="A329:A336">
    <cfRule type="duplicateValues" dxfId="45" priority="188"/>
  </conditionalFormatting>
  <conditionalFormatting sqref="A360:A367">
    <cfRule type="duplicateValues" dxfId="44" priority="211"/>
  </conditionalFormatting>
  <conditionalFormatting sqref="A391:A398">
    <cfRule type="duplicateValues" dxfId="43" priority="234"/>
  </conditionalFormatting>
  <conditionalFormatting sqref="CF292:CF301">
    <cfRule type="duplicateValues" dxfId="42" priority="23"/>
  </conditionalFormatting>
  <conditionalFormatting sqref="CF329:CF338">
    <cfRule type="duplicateValues" dxfId="41" priority="21"/>
  </conditionalFormatting>
  <conditionalFormatting sqref="CF366:CF375">
    <cfRule type="duplicateValues" dxfId="40" priority="19"/>
  </conditionalFormatting>
  <conditionalFormatting sqref="CF403:CF412">
    <cfRule type="duplicateValues" dxfId="39" priority="17"/>
  </conditionalFormatting>
  <conditionalFormatting sqref="CF440:CF449">
    <cfRule type="duplicateValues" dxfId="38" priority="15"/>
  </conditionalFormatting>
  <conditionalFormatting sqref="CF477:CF486">
    <cfRule type="duplicateValues" dxfId="37" priority="13"/>
  </conditionalFormatting>
  <conditionalFormatting sqref="CF514:CF523">
    <cfRule type="duplicateValues" dxfId="36" priority="11"/>
  </conditionalFormatting>
  <conditionalFormatting sqref="CF551:CF560">
    <cfRule type="duplicateValues" dxfId="35" priority="9"/>
  </conditionalFormatting>
  <conditionalFormatting sqref="CI4:CI15">
    <cfRule type="duplicateValues" dxfId="34" priority="38"/>
  </conditionalFormatting>
  <conditionalFormatting sqref="CF1:CF3 CF60:CF193 CF561:CF1048576 CF524:CF550 CF487:CF513 CF450:CF476 CF413:CF439 CF376:CF402 CF339:CF365 CF302:CF328 CF227:CF291">
    <cfRule type="duplicateValues" dxfId="33" priority="40"/>
  </conditionalFormatting>
  <conditionalFormatting sqref="CF4:CF15 CF18:CF29">
    <cfRule type="duplicateValues" dxfId="32" priority="50"/>
  </conditionalFormatting>
  <conditionalFormatting sqref="A399:A1048576 A368:A390 A337:A359 A306:A328 A275:A297 A244:A266 A213:A235 A182:A204 A6:A15 A18:A29 A32:A173">
    <cfRule type="duplicateValues" dxfId="31" priority="39"/>
  </conditionalFormatting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G391"/>
  <sheetViews>
    <sheetView workbookViewId="0">
      <selection activeCell="A16" sqref="A16"/>
    </sheetView>
  </sheetViews>
  <sheetFormatPr defaultColWidth="9" defaultRowHeight="13.5"/>
  <cols>
    <col min="1" max="1" width="16.625" customWidth="1"/>
    <col min="2" max="2" width="16.75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7" customWidth="1"/>
    <col min="27" max="27" width="12.75" customWidth="1"/>
    <col min="28" max="28" width="11" customWidth="1"/>
    <col min="29" max="32" width="9" customWidth="1"/>
    <col min="33" max="33" width="9" style="1" customWidth="1"/>
    <col min="34" max="46" width="9" customWidth="1"/>
    <col min="47" max="47" width="12" customWidth="1"/>
    <col min="48" max="51" width="9" customWidth="1"/>
    <col min="52" max="52" width="20.375" customWidth="1"/>
    <col min="53" max="55" width="9" customWidth="1"/>
    <col min="56" max="56" width="11.625" customWidth="1"/>
    <col min="57" max="59" width="9" customWidth="1"/>
    <col min="60" max="60" width="11" customWidth="1"/>
    <col min="61" max="61" width="11.625" customWidth="1"/>
    <col min="62" max="63" width="9" customWidth="1"/>
    <col min="64" max="64" width="10.875" customWidth="1"/>
    <col min="65" max="70" width="9" customWidth="1"/>
    <col min="81" max="81" width="18.375" customWidth="1"/>
    <col min="84" max="84" width="19.375" customWidth="1"/>
  </cols>
  <sheetData>
    <row r="1" spans="1:85" ht="16.5">
      <c r="A1" s="8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t="s">
        <v>13</v>
      </c>
      <c r="N1" s="7" t="s">
        <v>14</v>
      </c>
      <c r="O1" s="2" t="s">
        <v>15</v>
      </c>
      <c r="P1" s="9" t="s">
        <v>16</v>
      </c>
      <c r="Q1" s="2" t="s">
        <v>17</v>
      </c>
      <c r="R1" s="10" t="s">
        <v>18</v>
      </c>
      <c r="S1" s="2" t="s">
        <v>19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t="s">
        <v>25</v>
      </c>
      <c r="Z1" s="2" t="s">
        <v>26</v>
      </c>
      <c r="AA1" s="2" t="s">
        <v>27</v>
      </c>
      <c r="AB1" s="2" t="s">
        <v>28</v>
      </c>
      <c r="AC1" s="2" t="s">
        <v>29</v>
      </c>
      <c r="AD1" s="2"/>
      <c r="AE1" s="2"/>
      <c r="AG1" s="17"/>
      <c r="AH1" s="2"/>
      <c r="AI1" s="2"/>
      <c r="AJ1" s="2"/>
      <c r="AK1" s="18" t="s">
        <v>33</v>
      </c>
      <c r="AL1" s="2"/>
      <c r="AM1" s="2"/>
      <c r="AN1" s="2"/>
      <c r="AO1" s="2"/>
      <c r="AP1" s="2"/>
      <c r="AQ1" s="2"/>
    </row>
    <row r="2" spans="1:85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s="2" t="s">
        <v>35</v>
      </c>
      <c r="I2" t="s">
        <v>35</v>
      </c>
      <c r="J2" t="s">
        <v>37</v>
      </c>
      <c r="K2" t="s">
        <v>38</v>
      </c>
      <c r="L2" t="s">
        <v>38</v>
      </c>
      <c r="M2" t="s">
        <v>39</v>
      </c>
      <c r="N2" s="7" t="s">
        <v>38</v>
      </c>
      <c r="O2" s="2" t="s">
        <v>38</v>
      </c>
      <c r="P2" s="9" t="s">
        <v>38</v>
      </c>
      <c r="Q2" s="2" t="s">
        <v>38</v>
      </c>
      <c r="R2" s="10" t="s">
        <v>38</v>
      </c>
      <c r="S2" s="2" t="s">
        <v>38</v>
      </c>
      <c r="T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34</v>
      </c>
      <c r="Z2" t="s">
        <v>40</v>
      </c>
      <c r="AA2" t="s">
        <v>41</v>
      </c>
      <c r="AB2" t="s">
        <v>36</v>
      </c>
      <c r="AC2" t="s">
        <v>36</v>
      </c>
      <c r="AW2">
        <v>0.8</v>
      </c>
    </row>
    <row r="3" spans="1:85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s="2" t="s">
        <v>50</v>
      </c>
      <c r="I3" s="2" t="s">
        <v>51</v>
      </c>
      <c r="J3" s="2" t="s">
        <v>52</v>
      </c>
      <c r="K3" s="2" t="s">
        <v>53</v>
      </c>
      <c r="L3" s="2" t="s">
        <v>54</v>
      </c>
      <c r="M3" t="s">
        <v>55</v>
      </c>
      <c r="N3" s="7" t="s">
        <v>56</v>
      </c>
      <c r="O3" s="2" t="s">
        <v>57</v>
      </c>
      <c r="P3" s="9" t="s">
        <v>58</v>
      </c>
      <c r="Q3" s="2" t="s">
        <v>59</v>
      </c>
      <c r="R3" s="10" t="s">
        <v>60</v>
      </c>
      <c r="S3" s="2" t="s">
        <v>61</v>
      </c>
      <c r="T3" s="2" t="s">
        <v>62</v>
      </c>
      <c r="U3" s="2" t="s">
        <v>63</v>
      </c>
      <c r="V3" s="2" t="s">
        <v>64</v>
      </c>
      <c r="W3" s="2" t="s">
        <v>65</v>
      </c>
      <c r="X3" s="2" t="s">
        <v>66</v>
      </c>
      <c r="Y3" s="2" t="s">
        <v>67</v>
      </c>
      <c r="Z3" s="2" t="s">
        <v>68</v>
      </c>
      <c r="AA3" s="2" t="s">
        <v>69</v>
      </c>
      <c r="AB3" s="2" t="s">
        <v>70</v>
      </c>
      <c r="AC3" s="2" t="s">
        <v>71</v>
      </c>
      <c r="AD3" s="2"/>
      <c r="AF3" s="2" t="s">
        <v>75</v>
      </c>
      <c r="AG3" s="1" t="s">
        <v>76</v>
      </c>
      <c r="AH3" s="2" t="s">
        <v>45</v>
      </c>
      <c r="AI3" s="2" t="s">
        <v>77</v>
      </c>
      <c r="AJ3" s="2" t="s">
        <v>78</v>
      </c>
      <c r="AK3" s="2" t="s">
        <v>58</v>
      </c>
      <c r="AL3" s="2" t="s">
        <v>59</v>
      </c>
      <c r="AM3" s="2" t="s">
        <v>60</v>
      </c>
      <c r="AN3" s="2" t="s">
        <v>61</v>
      </c>
      <c r="AO3" s="2" t="s">
        <v>53</v>
      </c>
      <c r="AP3" s="2" t="s">
        <v>79</v>
      </c>
      <c r="AQ3" s="2" t="s">
        <v>52</v>
      </c>
      <c r="AR3" s="2" t="s">
        <v>80</v>
      </c>
      <c r="AS3" s="2" t="s">
        <v>81</v>
      </c>
      <c r="AT3" s="2" t="s">
        <v>82</v>
      </c>
      <c r="AU3" t="s">
        <v>86</v>
      </c>
      <c r="AW3">
        <v>1</v>
      </c>
      <c r="AX3">
        <v>1</v>
      </c>
      <c r="AY3">
        <v>1</v>
      </c>
      <c r="BA3" s="24" t="s">
        <v>87</v>
      </c>
      <c r="BB3" s="24" t="s">
        <v>88</v>
      </c>
      <c r="BC3" s="24" t="s">
        <v>89</v>
      </c>
      <c r="BF3" s="24" t="s">
        <v>90</v>
      </c>
      <c r="BH3" t="s">
        <v>91</v>
      </c>
      <c r="BT3" t="s">
        <v>0</v>
      </c>
      <c r="BU3" t="s">
        <v>891</v>
      </c>
      <c r="CC3" s="24" t="s">
        <v>92</v>
      </c>
      <c r="CF3" s="24" t="s">
        <v>93</v>
      </c>
    </row>
    <row r="4" spans="1:85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 s="2">
        <v>0</v>
      </c>
      <c r="I4" s="2">
        <v>0</v>
      </c>
      <c r="J4" s="2">
        <v>3</v>
      </c>
      <c r="K4" s="2">
        <f>FLOOR(AO4/1.363,0.01)</f>
        <v>0.95000000000000007</v>
      </c>
      <c r="L4" s="2">
        <f t="shared" ref="L4:L67" si="0">FLOOR(AP4/1.36,0.01)</f>
        <v>1.1000000000000001</v>
      </c>
      <c r="M4" s="2">
        <v>10</v>
      </c>
      <c r="N4" s="2">
        <f>AI4</f>
        <v>62.4</v>
      </c>
      <c r="O4" s="2">
        <f t="shared" ref="O4:S19" si="1">AJ4</f>
        <v>6.24</v>
      </c>
      <c r="P4" s="2">
        <f t="shared" si="1"/>
        <v>1440</v>
      </c>
      <c r="Q4" s="2">
        <f t="shared" si="1"/>
        <v>144</v>
      </c>
      <c r="R4" s="2">
        <f t="shared" si="1"/>
        <v>30</v>
      </c>
      <c r="S4" s="2">
        <f t="shared" si="1"/>
        <v>3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>
        <v>0</v>
      </c>
      <c r="Z4" s="12">
        <v>0</v>
      </c>
      <c r="AA4" s="12" t="s">
        <v>238</v>
      </c>
      <c r="AB4">
        <v>1</v>
      </c>
      <c r="AC4">
        <v>0</v>
      </c>
      <c r="AF4">
        <v>100</v>
      </c>
      <c r="AG4" s="1">
        <f>(AK4+AL4*AF4)*(AI4+AJ4*AF4)/AO4*(0.9)*(1+0.5*0.1)*1/1/(1-(AM4+AN4*AF4)*0.0003)/200</f>
        <v>43859.746947835738</v>
      </c>
      <c r="AH4">
        <v>1</v>
      </c>
      <c r="AI4">
        <f>INDEX($AW$5:$AW$34,MATCH($AR4,$AU$5:$AU$34,0))*$AO4/1.5*$BA$4*INDEX($AW$74:$BJ$74,MATCH($AH4,$AW$73:$BJ$73,0))</f>
        <v>62.4</v>
      </c>
      <c r="AJ4">
        <f>(INDEX($AW$5:$AW$34,MATCH($AR4,$AU$5:$AU$34,0))*$AO4/1.5*$BA$4*INDEX($AW$74:$BJ$74,MATCH($AH4,$AW$73:$BJ$73,0)))*0.1</f>
        <v>6.24</v>
      </c>
      <c r="AK4">
        <f>INDEX($AX$5:$AX$34,MATCH($AR4,$AU$5:$AU$34,0))*$BB$4*INDEX($AW$74:$BJ$74,MATCH($AH4,$AW$73:$BJ$73,0))</f>
        <v>1440</v>
      </c>
      <c r="AL4">
        <f>(INDEX($AX$5:$AX$34,MATCH($AR4,$AU$5:$AU$34,0))*$BB$4*INDEX($AW$74:$BJ$74,MATCH($AH4,$AW$73:$BJ$73,0)))*0.1</f>
        <v>144</v>
      </c>
      <c r="AM4">
        <f>INDEX($AY$5:$AY$34,MATCH($AR4,$AU$5:$AU$34,0))*$BC$4*(1+(AH4-1)*0.1)</f>
        <v>30</v>
      </c>
      <c r="AN4">
        <f>(INDEX($AY$5:$AY$34,MATCH($AR4,$AU$5:$AU$34,0))*$BC$4*(1+(AH4-1)*0.1))*0.1</f>
        <v>3</v>
      </c>
      <c r="AO4">
        <f>INDEX($AZ$5:$AZ$34,MATCH($AR4,$AU$5:$AU$34,0))</f>
        <v>1.3</v>
      </c>
      <c r="AP4">
        <f>ROUND(IF(INDEX($BH$5:$BH$34,MATCH($AR4,$AU$5:$AU$34,0))&lt;2,INDEX($BH$5:$BH$34,MATCH($AR4,$AU$5:$AU$34,0))+0.2,2),1)</f>
        <v>1.5</v>
      </c>
      <c r="AQ4">
        <f>INDEX($BD$5:$BD$34,MATCH($AR4,$AU$5:$AU$34,0))</f>
        <v>3</v>
      </c>
      <c r="AR4">
        <v>1</v>
      </c>
      <c r="AS4">
        <v>1</v>
      </c>
      <c r="AT4">
        <v>0</v>
      </c>
      <c r="AU4" t="s">
        <v>98</v>
      </c>
      <c r="AV4" s="2" t="s">
        <v>99</v>
      </c>
      <c r="AW4" s="2" t="s">
        <v>100</v>
      </c>
      <c r="AX4" s="2" t="s">
        <v>101</v>
      </c>
      <c r="AY4" s="2" t="s">
        <v>892</v>
      </c>
      <c r="AZ4" s="2" t="s">
        <v>103</v>
      </c>
      <c r="BA4" s="19">
        <v>30</v>
      </c>
      <c r="BB4" s="19">
        <v>600</v>
      </c>
      <c r="BC4" s="19">
        <v>30</v>
      </c>
      <c r="BD4" t="s">
        <v>52</v>
      </c>
      <c r="BE4" t="s">
        <v>104</v>
      </c>
      <c r="BF4" t="s">
        <v>105</v>
      </c>
      <c r="BG4" t="s">
        <v>106</v>
      </c>
      <c r="BH4" t="s">
        <v>107</v>
      </c>
      <c r="BI4" t="s">
        <v>108</v>
      </c>
      <c r="BK4" t="s">
        <v>100</v>
      </c>
      <c r="BL4" t="s">
        <v>109</v>
      </c>
      <c r="BP4" t="s">
        <v>428</v>
      </c>
      <c r="BQ4" t="str">
        <f>RIGHT(BP4,1)</f>
        <v>角</v>
      </c>
      <c r="CC4" s="2" t="s">
        <v>94</v>
      </c>
      <c r="CD4" t="s">
        <v>110</v>
      </c>
      <c r="CF4" s="2" t="s">
        <v>94</v>
      </c>
      <c r="CG4" t="s">
        <v>110</v>
      </c>
    </row>
    <row r="5" spans="1:85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 s="2">
        <v>0</v>
      </c>
      <c r="I5" s="2">
        <v>0</v>
      </c>
      <c r="J5" s="2">
        <v>3</v>
      </c>
      <c r="K5" s="2">
        <f t="shared" ref="K5:K68" si="2">FLOOR(AO5/1.363,0.01)</f>
        <v>0.95000000000000007</v>
      </c>
      <c r="L5" s="2">
        <f t="shared" si="0"/>
        <v>1.1000000000000001</v>
      </c>
      <c r="M5" s="2">
        <v>10</v>
      </c>
      <c r="N5" s="2">
        <f t="shared" ref="N5:S59" si="3">AI5</f>
        <v>72.8</v>
      </c>
      <c r="O5" s="2">
        <f t="shared" si="1"/>
        <v>7.28</v>
      </c>
      <c r="P5" s="2">
        <f t="shared" si="1"/>
        <v>1680</v>
      </c>
      <c r="Q5" s="2">
        <f t="shared" si="1"/>
        <v>168</v>
      </c>
      <c r="R5" s="2">
        <f t="shared" si="1"/>
        <v>33</v>
      </c>
      <c r="S5" s="2">
        <f t="shared" si="1"/>
        <v>3.3000000000000003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>
        <v>0</v>
      </c>
      <c r="Z5" s="12">
        <v>0</v>
      </c>
      <c r="AA5" s="12" t="s">
        <v>238</v>
      </c>
      <c r="AB5">
        <v>2</v>
      </c>
      <c r="AC5">
        <v>0</v>
      </c>
      <c r="AF5">
        <v>1</v>
      </c>
      <c r="AG5" s="1">
        <f t="shared" ref="AG5:AG68" si="4">(AK5+AL5*AF5)*(AI5+AJ5*AF5)/AO5*(0.9)*(1+0.5*0.1)*1/1/(1-(AM5+AN5*AF5)*0.0002)/100</f>
        <v>1083.624876604146</v>
      </c>
      <c r="AH5">
        <v>2</v>
      </c>
      <c r="AI5">
        <f t="shared" ref="AI5:AI15" si="5">INDEX($AW$5:$AW$34,MATCH($AR5,$AU$5:$AU$34,0))*$AO5/1.5*$BA$4*INDEX($AW$74:$BJ$74,MATCH($AH5,$AW$73:$BJ$73,0))</f>
        <v>72.8</v>
      </c>
      <c r="AJ5">
        <f t="shared" ref="AJ5:AJ15" si="6">(INDEX($AW$5:$AW$34,MATCH($AR5,$AU$5:$AU$34,0))*$AO5/1.5*$BA$4*INDEX($AW$74:$BJ$74,MATCH($AH5,$AW$73:$BJ$73,0)))*0.1</f>
        <v>7.28</v>
      </c>
      <c r="AK5">
        <f t="shared" ref="AK5:AK15" si="7">INDEX($AX$5:$AX$34,MATCH($AR5,$AU$5:$AU$34,0))*$BB$4*INDEX($AW$74:$BJ$74,MATCH($AH5,$AW$73:$BJ$73,0))</f>
        <v>1680</v>
      </c>
      <c r="AL5">
        <f t="shared" ref="AL5:AL15" si="8">(INDEX($AX$5:$AX$34,MATCH($AR5,$AU$5:$AU$34,0))*$BB$4*INDEX($AW$74:$BJ$74,MATCH($AH5,$AW$73:$BJ$73,0)))*0.1</f>
        <v>168</v>
      </c>
      <c r="AM5">
        <f t="shared" ref="AM5:AM15" si="9">INDEX($AY$5:$AY$34,MATCH($AR5,$AU$5:$AU$34,0))*$BC$4*(1+(AH5-1)*0.1)</f>
        <v>33</v>
      </c>
      <c r="AN5">
        <f t="shared" ref="AN5:AN15" si="10">(INDEX($AY$5:$AY$34,MATCH($AR5,$AU$5:$AU$34,0))*$BC$4*(1+(AH5-1)*0.1))*0.1</f>
        <v>3.3000000000000003</v>
      </c>
      <c r="AO5">
        <f t="shared" ref="AO5:AO68" si="11">INDEX($AZ$5:$AZ$34,MATCH($AR5,$AU$5:$AU$34,0))</f>
        <v>1.3</v>
      </c>
      <c r="AP5">
        <f t="shared" ref="AP5:AP68" si="12">ROUND(IF(INDEX($BH$5:$BH$34,MATCH($AR5,$AU$5:$AU$34,0))&lt;2,INDEX($BH$5:$BH$34,MATCH($AR5,$AU$5:$AU$34,0))+0.2,2),1)</f>
        <v>1.5</v>
      </c>
      <c r="AQ5">
        <f t="shared" ref="AQ5:AQ68" si="13">INDEX($BD$5:$BD$34,MATCH($AR5,$AU$5:$AU$34,0))</f>
        <v>3</v>
      </c>
      <c r="AR5">
        <v>1</v>
      </c>
      <c r="AS5">
        <v>1</v>
      </c>
      <c r="AT5">
        <v>0</v>
      </c>
      <c r="AU5">
        <v>1</v>
      </c>
      <c r="AV5" t="s">
        <v>113</v>
      </c>
      <c r="AW5">
        <v>1</v>
      </c>
      <c r="AX5">
        <f>ROUND(1/AW5,2)</f>
        <v>1</v>
      </c>
      <c r="AY5">
        <v>1</v>
      </c>
      <c r="AZ5" s="8">
        <v>1.3</v>
      </c>
      <c r="BA5">
        <f>AW5*$BA$4*AZ5/1.5</f>
        <v>26</v>
      </c>
      <c r="BB5">
        <f>AX5*$BB$4</f>
        <v>600</v>
      </c>
      <c r="BC5">
        <f>$BC$4*AY5</f>
        <v>30</v>
      </c>
      <c r="BD5">
        <v>3</v>
      </c>
      <c r="BE5">
        <f>BA5/AZ5</f>
        <v>20</v>
      </c>
      <c r="BF5">
        <f>BG5/30</f>
        <v>1.3333333333333333</v>
      </c>
      <c r="BG5">
        <v>40</v>
      </c>
      <c r="BH5">
        <f t="shared" ref="BH5:BH34" si="14">BI5/30</f>
        <v>1.3333333333333333</v>
      </c>
      <c r="BI5">
        <v>40</v>
      </c>
      <c r="BJ5">
        <v>1.5</v>
      </c>
      <c r="BK5">
        <v>1</v>
      </c>
      <c r="BL5" s="26">
        <f t="shared" ref="BL5:BL20" si="15">1/BK5</f>
        <v>1</v>
      </c>
      <c r="BM5">
        <f>$BA$4*(1-(1.5-AZ5)*1)*AW5</f>
        <v>24</v>
      </c>
      <c r="BP5" t="s">
        <v>428</v>
      </c>
      <c r="BQ5" t="str">
        <f t="shared" ref="BQ5:BQ68" si="16">RIGHT(BP5,1)</f>
        <v>角</v>
      </c>
      <c r="CC5" s="2" t="s">
        <v>111</v>
      </c>
      <c r="CD5" t="s">
        <v>114</v>
      </c>
      <c r="CF5" s="2" t="s">
        <v>111</v>
      </c>
      <c r="CG5" t="s">
        <v>114</v>
      </c>
    </row>
    <row r="6" spans="1:85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 s="2">
        <v>0</v>
      </c>
      <c r="I6" s="2">
        <v>0</v>
      </c>
      <c r="J6" s="2">
        <v>3</v>
      </c>
      <c r="K6" s="2">
        <f t="shared" si="2"/>
        <v>0.95000000000000007</v>
      </c>
      <c r="L6" s="2">
        <f t="shared" si="0"/>
        <v>1.1000000000000001</v>
      </c>
      <c r="M6" s="2">
        <v>10</v>
      </c>
      <c r="N6" s="2">
        <f t="shared" si="3"/>
        <v>83.2</v>
      </c>
      <c r="O6" s="2">
        <f t="shared" si="1"/>
        <v>8.32</v>
      </c>
      <c r="P6" s="2">
        <f t="shared" si="1"/>
        <v>1920</v>
      </c>
      <c r="Q6" s="2">
        <f t="shared" si="1"/>
        <v>192</v>
      </c>
      <c r="R6" s="2">
        <f t="shared" si="1"/>
        <v>36</v>
      </c>
      <c r="S6" s="2">
        <f t="shared" si="1"/>
        <v>3.6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>
        <v>0</v>
      </c>
      <c r="Z6" s="12">
        <v>0</v>
      </c>
      <c r="AA6" s="12" t="s">
        <v>238</v>
      </c>
      <c r="AB6">
        <v>3</v>
      </c>
      <c r="AC6">
        <v>0</v>
      </c>
      <c r="AF6">
        <v>1</v>
      </c>
      <c r="AG6" s="1">
        <f t="shared" si="4"/>
        <v>1416.2883638416261</v>
      </c>
      <c r="AH6">
        <v>3</v>
      </c>
      <c r="AI6">
        <f t="shared" si="5"/>
        <v>83.2</v>
      </c>
      <c r="AJ6">
        <f t="shared" si="6"/>
        <v>8.32</v>
      </c>
      <c r="AK6">
        <f t="shared" si="7"/>
        <v>1920</v>
      </c>
      <c r="AL6">
        <f t="shared" si="8"/>
        <v>192</v>
      </c>
      <c r="AM6">
        <f t="shared" si="9"/>
        <v>36</v>
      </c>
      <c r="AN6">
        <f t="shared" si="10"/>
        <v>3.6</v>
      </c>
      <c r="AO6">
        <f t="shared" si="11"/>
        <v>1.3</v>
      </c>
      <c r="AP6">
        <f t="shared" si="12"/>
        <v>1.5</v>
      </c>
      <c r="AQ6">
        <f t="shared" si="13"/>
        <v>3</v>
      </c>
      <c r="AR6">
        <v>1</v>
      </c>
      <c r="AS6">
        <v>1</v>
      </c>
      <c r="AT6">
        <v>0</v>
      </c>
      <c r="AU6">
        <v>200</v>
      </c>
      <c r="AV6" s="2" t="s">
        <v>341</v>
      </c>
      <c r="AW6">
        <v>0.8</v>
      </c>
      <c r="AX6">
        <f t="shared" ref="AX6:AX20" si="17">ROUND(1/AW6,2)</f>
        <v>1.25</v>
      </c>
      <c r="AY6">
        <v>1.2</v>
      </c>
      <c r="AZ6" s="8">
        <v>1.5</v>
      </c>
      <c r="BA6">
        <f t="shared" ref="BA6:BA34" si="18">AW6*$BA$4*AZ6/1.5</f>
        <v>24</v>
      </c>
      <c r="BB6">
        <f t="shared" ref="BB6:BB34" si="19">AX6*$BB$4</f>
        <v>750</v>
      </c>
      <c r="BC6">
        <f t="shared" ref="BC6:BC34" si="20">$BC$4*AY6</f>
        <v>36</v>
      </c>
      <c r="BD6">
        <v>2.5</v>
      </c>
      <c r="BE6">
        <f t="shared" ref="BE6:BE20" si="21">BA6/AZ6</f>
        <v>16</v>
      </c>
      <c r="BF6">
        <f t="shared" ref="BF6:BF34" si="22">BG6/30</f>
        <v>1</v>
      </c>
      <c r="BG6">
        <v>30</v>
      </c>
      <c r="BH6">
        <f t="shared" si="14"/>
        <v>1</v>
      </c>
      <c r="BI6">
        <v>30</v>
      </c>
      <c r="BJ6" s="2">
        <v>1.5</v>
      </c>
      <c r="BK6">
        <v>0.8</v>
      </c>
      <c r="BL6" s="26">
        <f t="shared" si="15"/>
        <v>1.25</v>
      </c>
      <c r="BM6">
        <f>$BA$4*(1-(1.5-AZ6)*1)*AW6</f>
        <v>24</v>
      </c>
      <c r="BP6" t="s">
        <v>428</v>
      </c>
      <c r="BQ6" t="str">
        <f t="shared" si="16"/>
        <v>角</v>
      </c>
      <c r="CC6" s="2" t="s">
        <v>115</v>
      </c>
      <c r="CD6" t="s">
        <v>118</v>
      </c>
      <c r="CF6" s="2" t="s">
        <v>115</v>
      </c>
      <c r="CG6" t="s">
        <v>118</v>
      </c>
    </row>
    <row r="7" spans="1:85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 s="2">
        <v>0</v>
      </c>
      <c r="I7" s="2">
        <v>0</v>
      </c>
      <c r="J7" s="2">
        <v>3</v>
      </c>
      <c r="K7" s="2">
        <f t="shared" si="2"/>
        <v>0.95000000000000007</v>
      </c>
      <c r="L7" s="2">
        <f t="shared" si="0"/>
        <v>1.1000000000000001</v>
      </c>
      <c r="M7" s="2">
        <v>10</v>
      </c>
      <c r="N7" s="2">
        <f t="shared" si="3"/>
        <v>93.600000000000009</v>
      </c>
      <c r="O7" s="2">
        <f t="shared" si="1"/>
        <v>9.3600000000000012</v>
      </c>
      <c r="P7" s="2">
        <f t="shared" si="1"/>
        <v>2160</v>
      </c>
      <c r="Q7" s="2">
        <f t="shared" si="1"/>
        <v>216</v>
      </c>
      <c r="R7" s="2">
        <f t="shared" si="1"/>
        <v>39</v>
      </c>
      <c r="S7" s="2">
        <f t="shared" si="1"/>
        <v>3.9000000000000004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>
        <v>0</v>
      </c>
      <c r="Z7" s="12">
        <v>0</v>
      </c>
      <c r="AA7" s="12" t="s">
        <v>238</v>
      </c>
      <c r="AB7">
        <v>4</v>
      </c>
      <c r="AC7">
        <v>0</v>
      </c>
      <c r="AF7">
        <v>1</v>
      </c>
      <c r="AG7" s="1">
        <f t="shared" si="4"/>
        <v>1793.6832422182329</v>
      </c>
      <c r="AH7">
        <v>4</v>
      </c>
      <c r="AI7">
        <f t="shared" si="5"/>
        <v>93.600000000000009</v>
      </c>
      <c r="AJ7">
        <f t="shared" si="6"/>
        <v>9.3600000000000012</v>
      </c>
      <c r="AK7">
        <f t="shared" si="7"/>
        <v>2160</v>
      </c>
      <c r="AL7">
        <f t="shared" si="8"/>
        <v>216</v>
      </c>
      <c r="AM7">
        <f t="shared" si="9"/>
        <v>39</v>
      </c>
      <c r="AN7">
        <f t="shared" si="10"/>
        <v>3.9000000000000004</v>
      </c>
      <c r="AO7">
        <f t="shared" si="11"/>
        <v>1.3</v>
      </c>
      <c r="AP7">
        <f t="shared" si="12"/>
        <v>1.5</v>
      </c>
      <c r="AQ7">
        <f t="shared" si="13"/>
        <v>3</v>
      </c>
      <c r="AR7">
        <v>1</v>
      </c>
      <c r="AS7">
        <v>1</v>
      </c>
      <c r="AT7">
        <v>0</v>
      </c>
      <c r="AU7">
        <v>201</v>
      </c>
      <c r="AV7" t="s">
        <v>132</v>
      </c>
      <c r="AW7">
        <v>0.8</v>
      </c>
      <c r="AX7">
        <f t="shared" si="17"/>
        <v>1.25</v>
      </c>
      <c r="AY7">
        <v>1.2</v>
      </c>
      <c r="AZ7" s="8">
        <v>1.8</v>
      </c>
      <c r="BA7">
        <f t="shared" si="18"/>
        <v>28.8</v>
      </c>
      <c r="BB7">
        <f t="shared" si="19"/>
        <v>750</v>
      </c>
      <c r="BC7">
        <f t="shared" si="20"/>
        <v>36</v>
      </c>
      <c r="BD7">
        <v>2.5</v>
      </c>
      <c r="BE7">
        <f t="shared" si="21"/>
        <v>16</v>
      </c>
      <c r="BF7">
        <f t="shared" si="22"/>
        <v>1.6666666666666667</v>
      </c>
      <c r="BG7">
        <v>50</v>
      </c>
      <c r="BH7">
        <f t="shared" si="14"/>
        <v>1.6</v>
      </c>
      <c r="BI7">
        <v>48</v>
      </c>
      <c r="BJ7">
        <v>1.5</v>
      </c>
      <c r="BK7">
        <v>0.8</v>
      </c>
      <c r="BL7" s="26">
        <f t="shared" si="15"/>
        <v>1.25</v>
      </c>
      <c r="BM7">
        <f t="shared" ref="BM7:BM20" si="23">$BA$4*(1-(1.5-AZ7)*1)*AW7</f>
        <v>31.200000000000003</v>
      </c>
      <c r="BP7" t="s">
        <v>428</v>
      </c>
      <c r="BQ7" t="str">
        <f t="shared" si="16"/>
        <v>角</v>
      </c>
      <c r="CC7" s="2" t="s">
        <v>119</v>
      </c>
      <c r="CD7" t="s">
        <v>123</v>
      </c>
      <c r="CF7" s="2" t="s">
        <v>119</v>
      </c>
      <c r="CG7" t="s">
        <v>123</v>
      </c>
    </row>
    <row r="8" spans="1:85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 s="2">
        <v>0</v>
      </c>
      <c r="I8" s="2">
        <v>0</v>
      </c>
      <c r="J8" s="2">
        <v>3</v>
      </c>
      <c r="K8" s="2">
        <f t="shared" si="2"/>
        <v>0.95000000000000007</v>
      </c>
      <c r="L8" s="2">
        <f t="shared" si="0"/>
        <v>1.1000000000000001</v>
      </c>
      <c r="M8" s="2">
        <v>10</v>
      </c>
      <c r="N8" s="2">
        <f t="shared" si="3"/>
        <v>104</v>
      </c>
      <c r="O8" s="2">
        <f t="shared" si="1"/>
        <v>10.4</v>
      </c>
      <c r="P8" s="2">
        <f t="shared" si="1"/>
        <v>2400</v>
      </c>
      <c r="Q8" s="2">
        <f t="shared" si="1"/>
        <v>240</v>
      </c>
      <c r="R8" s="2">
        <f t="shared" si="1"/>
        <v>42</v>
      </c>
      <c r="S8" s="2">
        <f t="shared" si="1"/>
        <v>4.2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>
        <v>0</v>
      </c>
      <c r="Z8" s="12">
        <v>0</v>
      </c>
      <c r="AA8" s="12" t="s">
        <v>238</v>
      </c>
      <c r="AB8">
        <v>5</v>
      </c>
      <c r="AC8">
        <v>0</v>
      </c>
      <c r="AF8">
        <v>1</v>
      </c>
      <c r="AG8" s="1">
        <f t="shared" si="4"/>
        <v>2215.8989058904276</v>
      </c>
      <c r="AH8">
        <v>5</v>
      </c>
      <c r="AI8">
        <f t="shared" si="5"/>
        <v>104</v>
      </c>
      <c r="AJ8">
        <f t="shared" si="6"/>
        <v>10.4</v>
      </c>
      <c r="AK8">
        <f t="shared" si="7"/>
        <v>2400</v>
      </c>
      <c r="AL8">
        <f t="shared" si="8"/>
        <v>240</v>
      </c>
      <c r="AM8">
        <f t="shared" si="9"/>
        <v>42</v>
      </c>
      <c r="AN8">
        <f t="shared" si="10"/>
        <v>4.2</v>
      </c>
      <c r="AO8">
        <f t="shared" si="11"/>
        <v>1.3</v>
      </c>
      <c r="AP8">
        <f t="shared" si="12"/>
        <v>1.5</v>
      </c>
      <c r="AQ8">
        <f t="shared" si="13"/>
        <v>3</v>
      </c>
      <c r="AR8">
        <v>1</v>
      </c>
      <c r="AS8">
        <v>1</v>
      </c>
      <c r="AT8">
        <v>0</v>
      </c>
      <c r="AU8">
        <v>202</v>
      </c>
      <c r="AV8" s="2" t="s">
        <v>354</v>
      </c>
      <c r="AW8">
        <v>0.8</v>
      </c>
      <c r="AX8">
        <f t="shared" si="17"/>
        <v>1.25</v>
      </c>
      <c r="AY8">
        <v>1.2</v>
      </c>
      <c r="AZ8" s="8">
        <v>1.8</v>
      </c>
      <c r="BA8">
        <f t="shared" si="18"/>
        <v>28.8</v>
      </c>
      <c r="BB8">
        <f t="shared" si="19"/>
        <v>750</v>
      </c>
      <c r="BC8">
        <f t="shared" si="20"/>
        <v>36</v>
      </c>
      <c r="BD8">
        <v>2.5</v>
      </c>
      <c r="BE8">
        <f t="shared" si="21"/>
        <v>16</v>
      </c>
      <c r="BF8">
        <f t="shared" si="22"/>
        <v>1.6666666666666667</v>
      </c>
      <c r="BG8">
        <v>50</v>
      </c>
      <c r="BH8">
        <f t="shared" si="14"/>
        <v>2</v>
      </c>
      <c r="BI8">
        <v>60</v>
      </c>
      <c r="BJ8" s="2">
        <v>1.5</v>
      </c>
      <c r="BK8">
        <v>0.8</v>
      </c>
      <c r="BL8" s="26">
        <f t="shared" si="15"/>
        <v>1.25</v>
      </c>
      <c r="BM8">
        <f t="shared" si="23"/>
        <v>31.200000000000003</v>
      </c>
      <c r="BP8" t="s">
        <v>428</v>
      </c>
      <c r="BQ8" t="str">
        <f t="shared" si="16"/>
        <v>角</v>
      </c>
      <c r="CC8" s="2" t="s">
        <v>124</v>
      </c>
      <c r="CD8" t="s">
        <v>128</v>
      </c>
      <c r="CF8" s="2" t="s">
        <v>124</v>
      </c>
      <c r="CG8" t="s">
        <v>128</v>
      </c>
    </row>
    <row r="9" spans="1:85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 s="2">
        <v>0</v>
      </c>
      <c r="I9" s="2">
        <v>0</v>
      </c>
      <c r="J9" s="2">
        <v>3</v>
      </c>
      <c r="K9" s="2">
        <f t="shared" si="2"/>
        <v>0.95000000000000007</v>
      </c>
      <c r="L9" s="2">
        <f t="shared" si="0"/>
        <v>1.1000000000000001</v>
      </c>
      <c r="M9" s="2">
        <v>10</v>
      </c>
      <c r="N9" s="2">
        <f t="shared" si="3"/>
        <v>114.4</v>
      </c>
      <c r="O9" s="2">
        <f t="shared" si="1"/>
        <v>11.440000000000001</v>
      </c>
      <c r="P9" s="2">
        <f t="shared" si="1"/>
        <v>2640</v>
      </c>
      <c r="Q9" s="2">
        <f t="shared" si="1"/>
        <v>264</v>
      </c>
      <c r="R9" s="2">
        <f t="shared" si="1"/>
        <v>45</v>
      </c>
      <c r="S9" s="2">
        <f t="shared" si="1"/>
        <v>4.5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>
        <v>0</v>
      </c>
      <c r="Z9" s="12">
        <v>0</v>
      </c>
      <c r="AA9" s="12" t="s">
        <v>238</v>
      </c>
      <c r="AB9">
        <v>6</v>
      </c>
      <c r="AC9">
        <v>0</v>
      </c>
      <c r="AF9">
        <v>1</v>
      </c>
      <c r="AG9" s="1">
        <f t="shared" si="4"/>
        <v>2683.0249873750122</v>
      </c>
      <c r="AH9">
        <v>6</v>
      </c>
      <c r="AI9">
        <f t="shared" si="5"/>
        <v>114.4</v>
      </c>
      <c r="AJ9">
        <f t="shared" si="6"/>
        <v>11.440000000000001</v>
      </c>
      <c r="AK9">
        <f t="shared" si="7"/>
        <v>2640</v>
      </c>
      <c r="AL9">
        <f t="shared" si="8"/>
        <v>264</v>
      </c>
      <c r="AM9">
        <f t="shared" si="9"/>
        <v>45</v>
      </c>
      <c r="AN9">
        <f t="shared" si="10"/>
        <v>4.5</v>
      </c>
      <c r="AO9">
        <f t="shared" si="11"/>
        <v>1.3</v>
      </c>
      <c r="AP9">
        <f t="shared" si="12"/>
        <v>1.5</v>
      </c>
      <c r="AQ9">
        <f t="shared" si="13"/>
        <v>3</v>
      </c>
      <c r="AR9">
        <v>1</v>
      </c>
      <c r="AS9">
        <v>1</v>
      </c>
      <c r="AT9">
        <v>0</v>
      </c>
      <c r="AU9" s="2">
        <v>300</v>
      </c>
      <c r="AV9" s="2" t="s">
        <v>360</v>
      </c>
      <c r="AW9">
        <v>0.9</v>
      </c>
      <c r="AX9">
        <f t="shared" si="17"/>
        <v>1.1100000000000001</v>
      </c>
      <c r="AY9">
        <v>1.1000000000000001</v>
      </c>
      <c r="AZ9" s="8">
        <v>1.3</v>
      </c>
      <c r="BA9">
        <f t="shared" si="18"/>
        <v>23.400000000000002</v>
      </c>
      <c r="BB9">
        <f t="shared" si="19"/>
        <v>666.00000000000011</v>
      </c>
      <c r="BC9">
        <f t="shared" si="20"/>
        <v>33</v>
      </c>
      <c r="BD9">
        <v>4</v>
      </c>
      <c r="BE9">
        <f t="shared" si="21"/>
        <v>18</v>
      </c>
      <c r="BF9">
        <f t="shared" si="22"/>
        <v>1</v>
      </c>
      <c r="BG9">
        <v>30</v>
      </c>
      <c r="BH9">
        <f t="shared" si="14"/>
        <v>1.6666666666666667</v>
      </c>
      <c r="BI9">
        <v>50</v>
      </c>
      <c r="BJ9" s="2">
        <v>1.2</v>
      </c>
      <c r="BK9">
        <v>0.9</v>
      </c>
      <c r="BL9" s="26">
        <f t="shared" si="15"/>
        <v>1.1111111111111112</v>
      </c>
      <c r="BM9">
        <f t="shared" si="23"/>
        <v>21.6</v>
      </c>
      <c r="BP9" t="s">
        <v>428</v>
      </c>
      <c r="BQ9" t="str">
        <f t="shared" si="16"/>
        <v>角</v>
      </c>
      <c r="CC9" s="2" t="s">
        <v>129</v>
      </c>
      <c r="CD9" t="s">
        <v>133</v>
      </c>
      <c r="CF9" s="2" t="s">
        <v>129</v>
      </c>
      <c r="CG9" t="s">
        <v>133</v>
      </c>
    </row>
    <row r="10" spans="1:85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 s="2">
        <v>0</v>
      </c>
      <c r="I10" s="2">
        <v>0</v>
      </c>
      <c r="J10" s="2">
        <v>3</v>
      </c>
      <c r="K10" s="2">
        <f t="shared" si="2"/>
        <v>0.95000000000000007</v>
      </c>
      <c r="L10" s="2">
        <f t="shared" si="0"/>
        <v>1.1000000000000001</v>
      </c>
      <c r="M10" s="2">
        <v>10</v>
      </c>
      <c r="N10" s="2">
        <f t="shared" si="3"/>
        <v>119.6</v>
      </c>
      <c r="O10" s="2">
        <f t="shared" si="1"/>
        <v>11.96</v>
      </c>
      <c r="P10" s="2">
        <f t="shared" si="1"/>
        <v>2760</v>
      </c>
      <c r="Q10" s="2">
        <f t="shared" si="1"/>
        <v>276</v>
      </c>
      <c r="R10" s="2">
        <f t="shared" si="1"/>
        <v>48</v>
      </c>
      <c r="S10" s="2">
        <f t="shared" si="1"/>
        <v>4.8000000000000007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>
        <v>0</v>
      </c>
      <c r="Z10" s="12">
        <v>0</v>
      </c>
      <c r="AA10" s="12" t="s">
        <v>238</v>
      </c>
      <c r="AB10">
        <v>7</v>
      </c>
      <c r="AC10">
        <v>0</v>
      </c>
      <c r="AF10">
        <v>1</v>
      </c>
      <c r="AG10" s="1">
        <f t="shared" si="4"/>
        <v>2934.4358829236739</v>
      </c>
      <c r="AH10">
        <v>7</v>
      </c>
      <c r="AI10">
        <f t="shared" si="5"/>
        <v>119.6</v>
      </c>
      <c r="AJ10">
        <f t="shared" si="6"/>
        <v>11.96</v>
      </c>
      <c r="AK10">
        <f t="shared" si="7"/>
        <v>2760</v>
      </c>
      <c r="AL10">
        <f t="shared" si="8"/>
        <v>276</v>
      </c>
      <c r="AM10">
        <f t="shared" si="9"/>
        <v>48</v>
      </c>
      <c r="AN10">
        <f t="shared" si="10"/>
        <v>4.8000000000000007</v>
      </c>
      <c r="AO10">
        <f t="shared" si="11"/>
        <v>1.3</v>
      </c>
      <c r="AP10">
        <f t="shared" si="12"/>
        <v>1.5</v>
      </c>
      <c r="AQ10">
        <f t="shared" si="13"/>
        <v>3</v>
      </c>
      <c r="AR10">
        <v>1</v>
      </c>
      <c r="AS10">
        <v>1</v>
      </c>
      <c r="AT10">
        <v>0</v>
      </c>
      <c r="AU10">
        <v>301</v>
      </c>
      <c r="AV10" s="2" t="s">
        <v>165</v>
      </c>
      <c r="AW10">
        <v>0.9</v>
      </c>
      <c r="AX10">
        <f t="shared" si="17"/>
        <v>1.1100000000000001</v>
      </c>
      <c r="AY10">
        <v>1.1000000000000001</v>
      </c>
      <c r="AZ10" s="8">
        <v>1.2</v>
      </c>
      <c r="BA10">
        <f t="shared" si="18"/>
        <v>21.599999999999998</v>
      </c>
      <c r="BB10">
        <f t="shared" si="19"/>
        <v>666.00000000000011</v>
      </c>
      <c r="BC10">
        <f t="shared" si="20"/>
        <v>33</v>
      </c>
      <c r="BD10">
        <v>2.5</v>
      </c>
      <c r="BE10">
        <f t="shared" si="21"/>
        <v>18</v>
      </c>
      <c r="BF10">
        <f t="shared" si="22"/>
        <v>1.2</v>
      </c>
      <c r="BG10">
        <v>36</v>
      </c>
      <c r="BH10">
        <f t="shared" si="14"/>
        <v>2.5</v>
      </c>
      <c r="BI10">
        <v>75</v>
      </c>
      <c r="BJ10" s="2">
        <v>1</v>
      </c>
      <c r="BK10">
        <v>0.9</v>
      </c>
      <c r="BL10" s="26">
        <f t="shared" si="15"/>
        <v>1.1111111111111112</v>
      </c>
      <c r="BM10">
        <f t="shared" si="23"/>
        <v>18.900000000000002</v>
      </c>
      <c r="BP10" t="s">
        <v>428</v>
      </c>
      <c r="BQ10" t="str">
        <f t="shared" si="16"/>
        <v>角</v>
      </c>
      <c r="CC10" s="2" t="s">
        <v>134</v>
      </c>
      <c r="CD10" t="s">
        <v>137</v>
      </c>
      <c r="CF10" s="2" t="s">
        <v>134</v>
      </c>
      <c r="CG10" t="s">
        <v>137</v>
      </c>
    </row>
    <row r="11" spans="1:85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 s="2">
        <v>0</v>
      </c>
      <c r="I11" s="2">
        <v>0</v>
      </c>
      <c r="J11" s="2">
        <v>3</v>
      </c>
      <c r="K11" s="2">
        <f t="shared" si="2"/>
        <v>0.95000000000000007</v>
      </c>
      <c r="L11" s="2">
        <f t="shared" si="0"/>
        <v>1.1000000000000001</v>
      </c>
      <c r="M11" s="2">
        <v>10</v>
      </c>
      <c r="N11" s="2">
        <f t="shared" si="3"/>
        <v>124.8</v>
      </c>
      <c r="O11" s="2">
        <f t="shared" si="1"/>
        <v>12.48</v>
      </c>
      <c r="P11" s="2">
        <f t="shared" si="1"/>
        <v>2880</v>
      </c>
      <c r="Q11" s="2">
        <f t="shared" si="1"/>
        <v>288</v>
      </c>
      <c r="R11" s="2">
        <f t="shared" si="1"/>
        <v>51.000000000000007</v>
      </c>
      <c r="S11" s="2">
        <f t="shared" si="1"/>
        <v>5.1000000000000014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>
        <v>0</v>
      </c>
      <c r="Z11" s="12">
        <v>0</v>
      </c>
      <c r="AA11" s="12" t="s">
        <v>238</v>
      </c>
      <c r="AB11">
        <v>8</v>
      </c>
      <c r="AC11">
        <v>0</v>
      </c>
      <c r="AF11">
        <v>1</v>
      </c>
      <c r="AG11" s="1">
        <f t="shared" si="4"/>
        <v>3197.2840874613157</v>
      </c>
      <c r="AH11">
        <v>8</v>
      </c>
      <c r="AI11">
        <f t="shared" si="5"/>
        <v>124.8</v>
      </c>
      <c r="AJ11">
        <f t="shared" si="6"/>
        <v>12.48</v>
      </c>
      <c r="AK11">
        <f t="shared" si="7"/>
        <v>2880</v>
      </c>
      <c r="AL11">
        <f t="shared" si="8"/>
        <v>288</v>
      </c>
      <c r="AM11">
        <f t="shared" si="9"/>
        <v>51.000000000000007</v>
      </c>
      <c r="AN11">
        <f t="shared" si="10"/>
        <v>5.1000000000000014</v>
      </c>
      <c r="AO11">
        <f t="shared" si="11"/>
        <v>1.3</v>
      </c>
      <c r="AP11">
        <f t="shared" si="12"/>
        <v>1.5</v>
      </c>
      <c r="AQ11">
        <f t="shared" si="13"/>
        <v>3</v>
      </c>
      <c r="AR11">
        <v>1</v>
      </c>
      <c r="AS11">
        <v>1</v>
      </c>
      <c r="AT11">
        <v>0</v>
      </c>
      <c r="AU11">
        <v>302</v>
      </c>
      <c r="AV11" s="2" t="s">
        <v>172</v>
      </c>
      <c r="AW11">
        <v>0.9</v>
      </c>
      <c r="AX11">
        <f t="shared" si="17"/>
        <v>1.1100000000000001</v>
      </c>
      <c r="AY11">
        <v>1.1000000000000001</v>
      </c>
      <c r="AZ11" s="8">
        <v>1.4</v>
      </c>
      <c r="BA11">
        <f t="shared" si="18"/>
        <v>25.2</v>
      </c>
      <c r="BB11">
        <f t="shared" si="19"/>
        <v>666.00000000000011</v>
      </c>
      <c r="BC11">
        <f t="shared" si="20"/>
        <v>33</v>
      </c>
      <c r="BD11">
        <v>2.5</v>
      </c>
      <c r="BE11">
        <f t="shared" si="21"/>
        <v>18</v>
      </c>
      <c r="BF11">
        <f t="shared" si="22"/>
        <v>0.93333333333333335</v>
      </c>
      <c r="BG11">
        <v>28</v>
      </c>
      <c r="BH11">
        <f t="shared" si="14"/>
        <v>1.5</v>
      </c>
      <c r="BI11">
        <v>45</v>
      </c>
      <c r="BJ11" s="2">
        <v>1.2</v>
      </c>
      <c r="BK11">
        <v>0.9</v>
      </c>
      <c r="BL11" s="26">
        <f t="shared" si="15"/>
        <v>1.1111111111111112</v>
      </c>
      <c r="BM11">
        <f t="shared" si="23"/>
        <v>24.299999999999997</v>
      </c>
      <c r="BP11" t="s">
        <v>428</v>
      </c>
      <c r="BQ11" t="str">
        <f t="shared" si="16"/>
        <v>角</v>
      </c>
      <c r="CC11" s="2" t="s">
        <v>138</v>
      </c>
      <c r="CD11" t="s">
        <v>142</v>
      </c>
      <c r="CF11" s="2" t="s">
        <v>138</v>
      </c>
      <c r="CG11" t="s">
        <v>142</v>
      </c>
    </row>
    <row r="12" spans="1:85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 s="2">
        <v>0</v>
      </c>
      <c r="I12" s="2">
        <v>0</v>
      </c>
      <c r="J12" s="2">
        <v>3</v>
      </c>
      <c r="K12" s="2">
        <f t="shared" si="2"/>
        <v>0.95000000000000007</v>
      </c>
      <c r="L12" s="2">
        <f t="shared" si="0"/>
        <v>1.1000000000000001</v>
      </c>
      <c r="M12" s="2">
        <v>10</v>
      </c>
      <c r="N12" s="2">
        <f t="shared" si="3"/>
        <v>130</v>
      </c>
      <c r="O12" s="2">
        <f t="shared" si="1"/>
        <v>13</v>
      </c>
      <c r="P12" s="2">
        <f t="shared" si="1"/>
        <v>3000</v>
      </c>
      <c r="Q12" s="2">
        <f t="shared" si="1"/>
        <v>300</v>
      </c>
      <c r="R12" s="2">
        <f t="shared" si="1"/>
        <v>54</v>
      </c>
      <c r="S12" s="2">
        <f t="shared" si="1"/>
        <v>5.4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>
        <v>0</v>
      </c>
      <c r="Z12" s="12">
        <v>0</v>
      </c>
      <c r="AA12" s="12" t="s">
        <v>238</v>
      </c>
      <c r="AB12">
        <v>9</v>
      </c>
      <c r="AC12">
        <v>0</v>
      </c>
      <c r="AF12">
        <v>1</v>
      </c>
      <c r="AG12" s="1">
        <f t="shared" si="4"/>
        <v>3471.5925191272318</v>
      </c>
      <c r="AH12">
        <v>9</v>
      </c>
      <c r="AI12">
        <f t="shared" si="5"/>
        <v>130</v>
      </c>
      <c r="AJ12">
        <f t="shared" si="6"/>
        <v>13</v>
      </c>
      <c r="AK12">
        <f t="shared" si="7"/>
        <v>3000</v>
      </c>
      <c r="AL12">
        <f t="shared" si="8"/>
        <v>300</v>
      </c>
      <c r="AM12">
        <f t="shared" si="9"/>
        <v>54</v>
      </c>
      <c r="AN12">
        <f t="shared" si="10"/>
        <v>5.4</v>
      </c>
      <c r="AO12">
        <f t="shared" si="11"/>
        <v>1.3</v>
      </c>
      <c r="AP12">
        <f t="shared" si="12"/>
        <v>1.5</v>
      </c>
      <c r="AQ12">
        <f t="shared" si="13"/>
        <v>3</v>
      </c>
      <c r="AR12">
        <v>1</v>
      </c>
      <c r="AS12">
        <v>1</v>
      </c>
      <c r="AT12">
        <v>0</v>
      </c>
      <c r="AU12" s="2">
        <v>400</v>
      </c>
      <c r="AV12" s="2" t="s">
        <v>174</v>
      </c>
      <c r="AW12">
        <v>1.1000000000000001</v>
      </c>
      <c r="AX12">
        <f t="shared" si="17"/>
        <v>0.91</v>
      </c>
      <c r="AY12">
        <v>0.9</v>
      </c>
      <c r="AZ12" s="8">
        <v>1.4</v>
      </c>
      <c r="BA12">
        <f t="shared" si="18"/>
        <v>30.799999999999997</v>
      </c>
      <c r="BB12">
        <f t="shared" si="19"/>
        <v>546</v>
      </c>
      <c r="BC12">
        <f t="shared" si="20"/>
        <v>27</v>
      </c>
      <c r="BD12">
        <v>5</v>
      </c>
      <c r="BE12">
        <f t="shared" si="21"/>
        <v>22</v>
      </c>
      <c r="BF12">
        <f t="shared" si="22"/>
        <v>0.83333333333333337</v>
      </c>
      <c r="BG12">
        <v>25</v>
      </c>
      <c r="BH12">
        <f t="shared" si="14"/>
        <v>1.2333333333333334</v>
      </c>
      <c r="BI12">
        <v>37</v>
      </c>
      <c r="BJ12" s="2">
        <v>1.8</v>
      </c>
      <c r="BK12">
        <v>1.1000000000000001</v>
      </c>
      <c r="BL12" s="26">
        <f t="shared" si="15"/>
        <v>0.90909090909090906</v>
      </c>
      <c r="BM12">
        <f t="shared" si="23"/>
        <v>29.7</v>
      </c>
      <c r="BP12" t="s">
        <v>428</v>
      </c>
      <c r="BQ12" t="str">
        <f t="shared" si="16"/>
        <v>角</v>
      </c>
      <c r="CC12" s="2" t="s">
        <v>143</v>
      </c>
      <c r="CD12" t="s">
        <v>147</v>
      </c>
      <c r="CF12" s="2" t="s">
        <v>143</v>
      </c>
      <c r="CG12" t="s">
        <v>147</v>
      </c>
    </row>
    <row r="13" spans="1:85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 s="2">
        <v>0</v>
      </c>
      <c r="I13" s="2">
        <v>0</v>
      </c>
      <c r="J13" s="2">
        <v>3</v>
      </c>
      <c r="K13" s="2">
        <f t="shared" si="2"/>
        <v>0.95000000000000007</v>
      </c>
      <c r="L13" s="2">
        <f t="shared" si="0"/>
        <v>1.1000000000000001</v>
      </c>
      <c r="M13" s="2">
        <v>10</v>
      </c>
      <c r="N13" s="2">
        <f t="shared" si="3"/>
        <v>135.20000000000002</v>
      </c>
      <c r="O13" s="2">
        <f t="shared" si="1"/>
        <v>13.520000000000003</v>
      </c>
      <c r="P13" s="2">
        <f t="shared" si="1"/>
        <v>3120</v>
      </c>
      <c r="Q13" s="2">
        <f t="shared" si="1"/>
        <v>312</v>
      </c>
      <c r="R13" s="2">
        <f t="shared" si="1"/>
        <v>57</v>
      </c>
      <c r="S13" s="2">
        <f t="shared" si="1"/>
        <v>5.7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>
        <v>0</v>
      </c>
      <c r="Z13" s="12">
        <v>0</v>
      </c>
      <c r="AA13" s="12" t="s">
        <v>238</v>
      </c>
      <c r="AB13">
        <v>10</v>
      </c>
      <c r="AC13">
        <v>0</v>
      </c>
      <c r="AF13">
        <v>1</v>
      </c>
      <c r="AG13" s="1">
        <f t="shared" si="4"/>
        <v>3757.384157332956</v>
      </c>
      <c r="AH13">
        <v>10</v>
      </c>
      <c r="AI13">
        <f t="shared" si="5"/>
        <v>135.20000000000002</v>
      </c>
      <c r="AJ13">
        <f t="shared" si="6"/>
        <v>13.520000000000003</v>
      </c>
      <c r="AK13">
        <f t="shared" si="7"/>
        <v>3120</v>
      </c>
      <c r="AL13">
        <f t="shared" si="8"/>
        <v>312</v>
      </c>
      <c r="AM13">
        <f t="shared" si="9"/>
        <v>57</v>
      </c>
      <c r="AN13">
        <f t="shared" si="10"/>
        <v>5.7</v>
      </c>
      <c r="AO13">
        <f t="shared" si="11"/>
        <v>1.3</v>
      </c>
      <c r="AP13">
        <f t="shared" si="12"/>
        <v>1.5</v>
      </c>
      <c r="AQ13">
        <f t="shared" si="13"/>
        <v>3</v>
      </c>
      <c r="AR13">
        <v>1</v>
      </c>
      <c r="AS13">
        <v>1</v>
      </c>
      <c r="AT13">
        <v>0</v>
      </c>
      <c r="AU13">
        <v>401</v>
      </c>
      <c r="AV13" s="2" t="s">
        <v>176</v>
      </c>
      <c r="AW13">
        <v>1.1000000000000001</v>
      </c>
      <c r="AX13">
        <f t="shared" si="17"/>
        <v>0.91</v>
      </c>
      <c r="AY13">
        <v>0.9</v>
      </c>
      <c r="AZ13" s="8">
        <v>1.6</v>
      </c>
      <c r="BA13">
        <f t="shared" si="18"/>
        <v>35.200000000000003</v>
      </c>
      <c r="BB13">
        <f t="shared" si="19"/>
        <v>546</v>
      </c>
      <c r="BC13">
        <f t="shared" si="20"/>
        <v>27</v>
      </c>
      <c r="BD13">
        <v>6</v>
      </c>
      <c r="BE13">
        <f t="shared" si="21"/>
        <v>22</v>
      </c>
      <c r="BF13">
        <f t="shared" si="22"/>
        <v>1</v>
      </c>
      <c r="BG13">
        <v>30</v>
      </c>
      <c r="BH13">
        <f t="shared" si="14"/>
        <v>2</v>
      </c>
      <c r="BI13">
        <v>60</v>
      </c>
      <c r="BJ13" s="2">
        <v>1.8</v>
      </c>
      <c r="BK13">
        <v>1.1000000000000001</v>
      </c>
      <c r="BL13" s="26">
        <f t="shared" si="15"/>
        <v>0.90909090909090906</v>
      </c>
      <c r="BM13">
        <f t="shared" si="23"/>
        <v>36.300000000000004</v>
      </c>
      <c r="BP13" t="s">
        <v>428</v>
      </c>
      <c r="BQ13" t="str">
        <f t="shared" si="16"/>
        <v>角</v>
      </c>
      <c r="CC13" s="2" t="s">
        <v>148</v>
      </c>
      <c r="CD13" t="s">
        <v>152</v>
      </c>
      <c r="CF13" s="2" t="s">
        <v>148</v>
      </c>
      <c r="CG13" t="s">
        <v>152</v>
      </c>
    </row>
    <row r="14" spans="1:85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 s="2">
        <v>0</v>
      </c>
      <c r="I14" s="2">
        <v>0</v>
      </c>
      <c r="J14" s="2">
        <v>3</v>
      </c>
      <c r="K14" s="2">
        <f t="shared" si="2"/>
        <v>0.95000000000000007</v>
      </c>
      <c r="L14" s="2">
        <f t="shared" si="0"/>
        <v>1.1000000000000001</v>
      </c>
      <c r="M14" s="2">
        <v>10</v>
      </c>
      <c r="N14" s="2">
        <f t="shared" si="3"/>
        <v>140.4</v>
      </c>
      <c r="O14" s="2">
        <f t="shared" si="1"/>
        <v>14.040000000000001</v>
      </c>
      <c r="P14" s="2">
        <f t="shared" si="1"/>
        <v>3240</v>
      </c>
      <c r="Q14" s="2">
        <f t="shared" si="1"/>
        <v>324</v>
      </c>
      <c r="R14" s="2">
        <f t="shared" si="1"/>
        <v>60</v>
      </c>
      <c r="S14" s="2">
        <f t="shared" si="1"/>
        <v>6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>
        <v>0</v>
      </c>
      <c r="Z14" s="12">
        <v>0</v>
      </c>
      <c r="AA14" s="12" t="s">
        <v>238</v>
      </c>
      <c r="AB14">
        <v>11</v>
      </c>
      <c r="AC14">
        <v>0</v>
      </c>
      <c r="AF14">
        <v>1</v>
      </c>
      <c r="AG14" s="1">
        <f t="shared" si="4"/>
        <v>4054.6820429671666</v>
      </c>
      <c r="AH14">
        <v>11</v>
      </c>
      <c r="AI14">
        <f t="shared" si="5"/>
        <v>140.4</v>
      </c>
      <c r="AJ14">
        <f t="shared" si="6"/>
        <v>14.040000000000001</v>
      </c>
      <c r="AK14">
        <f t="shared" si="7"/>
        <v>3240</v>
      </c>
      <c r="AL14">
        <f t="shared" si="8"/>
        <v>324</v>
      </c>
      <c r="AM14">
        <f t="shared" si="9"/>
        <v>60</v>
      </c>
      <c r="AN14">
        <f t="shared" si="10"/>
        <v>6</v>
      </c>
      <c r="AO14">
        <f t="shared" si="11"/>
        <v>1.3</v>
      </c>
      <c r="AP14">
        <f t="shared" si="12"/>
        <v>1.5</v>
      </c>
      <c r="AQ14">
        <f t="shared" si="13"/>
        <v>3</v>
      </c>
      <c r="AR14">
        <v>1</v>
      </c>
      <c r="AS14">
        <v>1</v>
      </c>
      <c r="AT14">
        <v>0</v>
      </c>
      <c r="AU14">
        <v>402</v>
      </c>
      <c r="AV14" s="2" t="s">
        <v>376</v>
      </c>
      <c r="AW14">
        <v>1.1000000000000001</v>
      </c>
      <c r="AX14">
        <f t="shared" si="17"/>
        <v>0.91</v>
      </c>
      <c r="AY14">
        <v>0.9</v>
      </c>
      <c r="AZ14" s="8">
        <v>1.5</v>
      </c>
      <c r="BA14">
        <f t="shared" si="18"/>
        <v>33</v>
      </c>
      <c r="BB14">
        <f t="shared" si="19"/>
        <v>546</v>
      </c>
      <c r="BC14">
        <f t="shared" si="20"/>
        <v>27</v>
      </c>
      <c r="BD14">
        <v>5</v>
      </c>
      <c r="BE14">
        <f t="shared" si="21"/>
        <v>22</v>
      </c>
      <c r="BF14">
        <f t="shared" si="22"/>
        <v>1.2666666666666666</v>
      </c>
      <c r="BG14">
        <v>38</v>
      </c>
      <c r="BH14">
        <f t="shared" si="14"/>
        <v>1.3333333333333333</v>
      </c>
      <c r="BI14">
        <v>40</v>
      </c>
      <c r="BJ14" s="2">
        <v>1.8</v>
      </c>
      <c r="BK14">
        <v>1.1000000000000001</v>
      </c>
      <c r="BL14" s="26">
        <f t="shared" si="15"/>
        <v>0.90909090909090906</v>
      </c>
      <c r="BM14">
        <f t="shared" si="23"/>
        <v>33</v>
      </c>
      <c r="BP14" t="s">
        <v>428</v>
      </c>
      <c r="BQ14" t="str">
        <f t="shared" si="16"/>
        <v>角</v>
      </c>
      <c r="CC14" s="2" t="s">
        <v>153</v>
      </c>
      <c r="CD14" t="s">
        <v>156</v>
      </c>
      <c r="CF14" s="2" t="s">
        <v>153</v>
      </c>
      <c r="CG14" t="s">
        <v>156</v>
      </c>
    </row>
    <row r="15" spans="1:85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 s="2">
        <v>0</v>
      </c>
      <c r="I15" s="2">
        <v>0</v>
      </c>
      <c r="J15" s="2">
        <v>3</v>
      </c>
      <c r="K15" s="2">
        <f t="shared" si="2"/>
        <v>0.95000000000000007</v>
      </c>
      <c r="L15" s="2">
        <f t="shared" si="0"/>
        <v>1.1000000000000001</v>
      </c>
      <c r="M15" s="2">
        <v>10</v>
      </c>
      <c r="N15" s="2">
        <f t="shared" si="3"/>
        <v>145.6</v>
      </c>
      <c r="O15" s="2">
        <f t="shared" si="1"/>
        <v>14.56</v>
      </c>
      <c r="P15" s="2">
        <f t="shared" si="1"/>
        <v>3360</v>
      </c>
      <c r="Q15" s="2">
        <f t="shared" si="1"/>
        <v>336</v>
      </c>
      <c r="R15" s="2">
        <f t="shared" si="1"/>
        <v>63</v>
      </c>
      <c r="S15" s="2">
        <f t="shared" si="1"/>
        <v>6.3000000000000007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>
        <v>0</v>
      </c>
      <c r="Z15" s="12">
        <v>0</v>
      </c>
      <c r="AA15" s="12" t="s">
        <v>238</v>
      </c>
      <c r="AB15">
        <v>0</v>
      </c>
      <c r="AC15">
        <v>0</v>
      </c>
      <c r="AF15">
        <v>1</v>
      </c>
      <c r="AG15" s="1">
        <f t="shared" si="4"/>
        <v>4363.5092786014156</v>
      </c>
      <c r="AH15">
        <v>12</v>
      </c>
      <c r="AI15">
        <f t="shared" si="5"/>
        <v>145.6</v>
      </c>
      <c r="AJ15">
        <f t="shared" si="6"/>
        <v>14.56</v>
      </c>
      <c r="AK15">
        <f t="shared" si="7"/>
        <v>3360</v>
      </c>
      <c r="AL15">
        <f t="shared" si="8"/>
        <v>336</v>
      </c>
      <c r="AM15">
        <f t="shared" si="9"/>
        <v>63</v>
      </c>
      <c r="AN15">
        <f t="shared" si="10"/>
        <v>6.3000000000000007</v>
      </c>
      <c r="AO15">
        <f t="shared" si="11"/>
        <v>1.3</v>
      </c>
      <c r="AP15">
        <f t="shared" si="12"/>
        <v>1.5</v>
      </c>
      <c r="AQ15">
        <f t="shared" si="13"/>
        <v>3</v>
      </c>
      <c r="AR15">
        <v>1</v>
      </c>
      <c r="AS15">
        <v>1</v>
      </c>
      <c r="AT15">
        <v>0</v>
      </c>
      <c r="AU15">
        <v>500</v>
      </c>
      <c r="AV15" s="2" t="s">
        <v>184</v>
      </c>
      <c r="AW15">
        <v>1.2</v>
      </c>
      <c r="AX15">
        <f t="shared" si="17"/>
        <v>0.83</v>
      </c>
      <c r="AY15">
        <v>0.8</v>
      </c>
      <c r="AZ15" s="8">
        <v>1.5</v>
      </c>
      <c r="BA15">
        <f t="shared" si="18"/>
        <v>36</v>
      </c>
      <c r="BB15">
        <f t="shared" si="19"/>
        <v>498</v>
      </c>
      <c r="BC15">
        <f t="shared" si="20"/>
        <v>24</v>
      </c>
      <c r="BD15">
        <v>5</v>
      </c>
      <c r="BE15">
        <f t="shared" si="21"/>
        <v>24</v>
      </c>
      <c r="BF15">
        <f t="shared" si="22"/>
        <v>1</v>
      </c>
      <c r="BG15">
        <v>30</v>
      </c>
      <c r="BH15">
        <f t="shared" si="14"/>
        <v>1.3333333333333333</v>
      </c>
      <c r="BI15">
        <v>40</v>
      </c>
      <c r="BJ15" s="2">
        <v>1.5</v>
      </c>
      <c r="BK15">
        <v>1.2</v>
      </c>
      <c r="BL15" s="26">
        <f t="shared" si="15"/>
        <v>0.83333333333333337</v>
      </c>
      <c r="BM15">
        <f t="shared" si="23"/>
        <v>36</v>
      </c>
      <c r="BP15" t="s">
        <v>428</v>
      </c>
      <c r="BQ15" t="str">
        <f t="shared" si="16"/>
        <v>角</v>
      </c>
      <c r="CC15" s="2" t="s">
        <v>157</v>
      </c>
      <c r="CD15" t="s">
        <v>160</v>
      </c>
      <c r="CF15" s="2" t="s">
        <v>157</v>
      </c>
      <c r="CG15" t="s">
        <v>160</v>
      </c>
    </row>
    <row r="16" spans="1:85">
      <c r="A16">
        <f>AT16*1000000+C16*10000+E16*1000+AR16</f>
        <v>1011206</v>
      </c>
      <c r="B16" t="s">
        <v>245</v>
      </c>
      <c r="C16">
        <v>1</v>
      </c>
      <c r="D16">
        <v>2</v>
      </c>
      <c r="E16">
        <v>1</v>
      </c>
      <c r="F16" s="3" t="s">
        <v>260</v>
      </c>
      <c r="G16" s="13" t="s">
        <v>261</v>
      </c>
      <c r="H16">
        <v>0</v>
      </c>
      <c r="I16" s="2">
        <v>0</v>
      </c>
      <c r="J16" s="2">
        <f t="shared" ref="J16:J79" si="24">AQ16</f>
        <v>2.5</v>
      </c>
      <c r="K16" s="2">
        <f t="shared" si="2"/>
        <v>1.17</v>
      </c>
      <c r="L16" s="2">
        <f t="shared" si="0"/>
        <v>1.47</v>
      </c>
      <c r="M16" s="2">
        <v>10</v>
      </c>
      <c r="N16" s="2">
        <f t="shared" si="3"/>
        <v>25.600000000000005</v>
      </c>
      <c r="O16" s="2">
        <f t="shared" si="1"/>
        <v>2.5600000000000005</v>
      </c>
      <c r="P16" s="2">
        <f t="shared" si="1"/>
        <v>750</v>
      </c>
      <c r="Q16" s="2">
        <f t="shared" si="1"/>
        <v>75</v>
      </c>
      <c r="R16" s="2">
        <f t="shared" si="1"/>
        <v>36</v>
      </c>
      <c r="S16" s="2">
        <f t="shared" si="1"/>
        <v>3.6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>
        <v>10112001</v>
      </c>
      <c r="Z16" s="14">
        <v>0</v>
      </c>
      <c r="AA16" s="12" t="s">
        <v>238</v>
      </c>
      <c r="AB16" s="2">
        <v>0</v>
      </c>
      <c r="AC16" s="2">
        <v>31</v>
      </c>
      <c r="AD16" s="2"/>
      <c r="AF16">
        <v>1</v>
      </c>
      <c r="AG16" s="1">
        <f t="shared" si="4"/>
        <v>138.30941053140879</v>
      </c>
      <c r="AH16">
        <v>1</v>
      </c>
      <c r="AI16">
        <f>INDEX($AW$5:$AW$34,MATCH($AR16,$AU$5:$AU$34,0))*$AO16/1.5*$BA$4*INDEX($AW$77:$BJ$77,MATCH($AH16,$AW$76:$BJ$76,0))</f>
        <v>25.600000000000005</v>
      </c>
      <c r="AJ16">
        <f>(INDEX($AW$5:$AW$34,MATCH($AR16,$AU$5:$AU$34,0))*$AO16/1.5*$BA$4*INDEX($AW$77:$BJ$77,MATCH($AH16,$AW$76:$BJ$76,0)))*0.1</f>
        <v>2.5600000000000005</v>
      </c>
      <c r="AK16">
        <f>INDEX($AX$5:$AX$34,MATCH($AR16,$AU$5:$AU$34,0))*$BB$4*INDEX($AW$77:$BJ$77,MATCH($AH16,$AW$76:$BJ$76,0))</f>
        <v>750</v>
      </c>
      <c r="AL16">
        <f>(INDEX($AX$5:$AX$34,MATCH($AR16,$AU$5:$AU$34,0))*$BB$4*INDEX($AW$77:$BJ$77,MATCH($AH16,$AW$76:$BJ$76,0)))*0.1</f>
        <v>75</v>
      </c>
      <c r="AM16">
        <f t="shared" ref="AM16:AM79" si="25">INDEX($AY$5:$AY$34,MATCH($AR16,$AU$5:$AU$34,0))*$BC$4</f>
        <v>36</v>
      </c>
      <c r="AN16">
        <f t="shared" ref="AN16:AN79" si="26">(INDEX($AY$5:$AY$34,MATCH($AR16,$AU$5:$AU$34,0))*$BC$4)*0.1</f>
        <v>3.6</v>
      </c>
      <c r="AO16">
        <f t="shared" si="11"/>
        <v>1.6</v>
      </c>
      <c r="AP16">
        <f t="shared" si="12"/>
        <v>2</v>
      </c>
      <c r="AQ16">
        <f t="shared" si="13"/>
        <v>2.5</v>
      </c>
      <c r="AR16">
        <v>206</v>
      </c>
      <c r="AS16" s="1" t="str">
        <f t="shared" ref="AS16:AS35" si="27">RIGHT(AR16,1)</f>
        <v>6</v>
      </c>
      <c r="AT16">
        <v>1</v>
      </c>
      <c r="AU16">
        <v>501</v>
      </c>
      <c r="AV16" t="s">
        <v>190</v>
      </c>
      <c r="AW16">
        <v>1.2</v>
      </c>
      <c r="AX16">
        <f t="shared" si="17"/>
        <v>0.83</v>
      </c>
      <c r="AY16">
        <v>0.8</v>
      </c>
      <c r="AZ16" s="8">
        <v>1.6</v>
      </c>
      <c r="BA16">
        <f t="shared" si="18"/>
        <v>38.4</v>
      </c>
      <c r="BB16">
        <f t="shared" si="19"/>
        <v>498</v>
      </c>
      <c r="BC16">
        <f t="shared" si="20"/>
        <v>24</v>
      </c>
      <c r="BD16">
        <v>6</v>
      </c>
      <c r="BE16">
        <f t="shared" si="21"/>
        <v>23.999999999999996</v>
      </c>
      <c r="BF16">
        <f t="shared" si="22"/>
        <v>1.3333333333333333</v>
      </c>
      <c r="BG16">
        <v>40</v>
      </c>
      <c r="BH16">
        <f t="shared" si="14"/>
        <v>2.5</v>
      </c>
      <c r="BI16">
        <v>75</v>
      </c>
      <c r="BJ16" s="2">
        <v>1.5</v>
      </c>
      <c r="BK16">
        <v>1.2</v>
      </c>
      <c r="BL16" s="26">
        <f t="shared" si="15"/>
        <v>0.83333333333333337</v>
      </c>
      <c r="BM16">
        <f t="shared" si="23"/>
        <v>39.6</v>
      </c>
      <c r="BP16">
        <v>0</v>
      </c>
      <c r="BQ16" t="str">
        <f t="shared" si="16"/>
        <v>0</v>
      </c>
      <c r="CC16" s="2" t="s">
        <v>245</v>
      </c>
      <c r="CD16" s="3" t="s">
        <v>246</v>
      </c>
      <c r="CF16" t="str">
        <f t="shared" ref="CF16:CF79" si="28">INDEX($CC$16:$CC$75,MATCH($CG16,$CD$16:$CD$75,0))</f>
        <v>DATA_Class_Base1</v>
      </c>
      <c r="CG16" s="3" t="s">
        <v>246</v>
      </c>
    </row>
    <row r="17" spans="1:85">
      <c r="A17">
        <f t="shared" ref="A17:A80" si="29">AT17*1000000+C17*10000+E17*1000+AR17</f>
        <v>1011406</v>
      </c>
      <c r="B17" t="s">
        <v>251</v>
      </c>
      <c r="C17">
        <v>1</v>
      </c>
      <c r="D17">
        <v>4</v>
      </c>
      <c r="E17">
        <v>1</v>
      </c>
      <c r="F17" s="3" t="s">
        <v>262</v>
      </c>
      <c r="G17" s="4" t="s">
        <v>893</v>
      </c>
      <c r="H17" s="2">
        <v>0</v>
      </c>
      <c r="I17" s="2">
        <v>0</v>
      </c>
      <c r="J17" s="2">
        <f t="shared" si="24"/>
        <v>5</v>
      </c>
      <c r="K17" s="2">
        <f t="shared" si="2"/>
        <v>1.02</v>
      </c>
      <c r="L17" s="2">
        <f t="shared" si="0"/>
        <v>0.88</v>
      </c>
      <c r="M17" s="2">
        <v>10</v>
      </c>
      <c r="N17" s="2">
        <f t="shared" si="3"/>
        <v>30.799999999999997</v>
      </c>
      <c r="O17" s="2">
        <f t="shared" si="1"/>
        <v>3.08</v>
      </c>
      <c r="P17" s="2">
        <f t="shared" si="1"/>
        <v>545.45454545454538</v>
      </c>
      <c r="Q17" s="2">
        <f t="shared" si="1"/>
        <v>54.54545454545454</v>
      </c>
      <c r="R17" s="2">
        <f t="shared" si="1"/>
        <v>27</v>
      </c>
      <c r="S17" s="2">
        <f t="shared" si="1"/>
        <v>2.7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>
        <v>10114001</v>
      </c>
      <c r="Z17" s="14">
        <v>0</v>
      </c>
      <c r="AA17" s="12" t="s">
        <v>238</v>
      </c>
      <c r="AB17" s="2">
        <v>0</v>
      </c>
      <c r="AC17" s="2">
        <v>31</v>
      </c>
      <c r="AD17" s="2"/>
      <c r="AF17">
        <v>1</v>
      </c>
      <c r="AG17" s="1">
        <f t="shared" si="4"/>
        <v>138.03392149367238</v>
      </c>
      <c r="AH17">
        <v>1</v>
      </c>
      <c r="AI17">
        <f t="shared" ref="AI17:AI80" si="30">INDEX($AW$5:$AW$34,MATCH($AR17,$AU$5:$AU$34,0))*$AO17/1.5*$BA$4*INDEX($AW$77:$BJ$77,MATCH($AH17,$AW$76:$BJ$76,0))</f>
        <v>30.799999999999997</v>
      </c>
      <c r="AJ17">
        <f t="shared" ref="AJ17:AJ80" si="31">(INDEX($AW$5:$AW$34,MATCH($AR17,$AU$5:$AU$34,0))*$AO17/1.5*$BA$4*INDEX($AW$77:$BJ$77,MATCH($AH17,$AW$76:$BJ$76,0)))*0.1</f>
        <v>3.08</v>
      </c>
      <c r="AK17">
        <f t="shared" ref="AK17:AK80" si="32">INDEX($AX$5:$AX$34,MATCH($AR17,$AU$5:$AU$34,0))*$BB$4*INDEX($AW$77:$BJ$77,MATCH($AH17,$AW$76:$BJ$76,0))</f>
        <v>545.45454545454538</v>
      </c>
      <c r="AL17">
        <f t="shared" ref="AL17:AL80" si="33">(INDEX($AX$5:$AX$34,MATCH($AR17,$AU$5:$AU$34,0))*$BB$4*INDEX($AW$77:$BJ$77,MATCH($AH17,$AW$76:$BJ$76,0)))*0.1</f>
        <v>54.54545454545454</v>
      </c>
      <c r="AM17">
        <f t="shared" si="25"/>
        <v>27</v>
      </c>
      <c r="AN17">
        <f t="shared" si="26"/>
        <v>2.7</v>
      </c>
      <c r="AO17">
        <f t="shared" si="11"/>
        <v>1.4</v>
      </c>
      <c r="AP17">
        <f t="shared" si="12"/>
        <v>1.2</v>
      </c>
      <c r="AQ17">
        <f t="shared" si="13"/>
        <v>5</v>
      </c>
      <c r="AR17">
        <v>406</v>
      </c>
      <c r="AS17" s="1" t="str">
        <f t="shared" si="27"/>
        <v>6</v>
      </c>
      <c r="AT17">
        <v>1</v>
      </c>
      <c r="AU17">
        <v>502</v>
      </c>
      <c r="AV17" s="2" t="s">
        <v>386</v>
      </c>
      <c r="AW17">
        <v>1.2</v>
      </c>
      <c r="AX17">
        <f t="shared" si="17"/>
        <v>0.83</v>
      </c>
      <c r="AY17">
        <v>0.8</v>
      </c>
      <c r="AZ17" s="8">
        <v>1.4</v>
      </c>
      <c r="BA17">
        <f t="shared" si="18"/>
        <v>33.6</v>
      </c>
      <c r="BB17">
        <f t="shared" si="19"/>
        <v>498</v>
      </c>
      <c r="BC17">
        <f t="shared" si="20"/>
        <v>24</v>
      </c>
      <c r="BD17">
        <v>6</v>
      </c>
      <c r="BE17">
        <f t="shared" si="21"/>
        <v>24.000000000000004</v>
      </c>
      <c r="BF17">
        <f t="shared" si="22"/>
        <v>1</v>
      </c>
      <c r="BG17">
        <v>30</v>
      </c>
      <c r="BH17">
        <f t="shared" si="14"/>
        <v>2</v>
      </c>
      <c r="BI17">
        <v>60</v>
      </c>
      <c r="BJ17" s="2">
        <v>1.2</v>
      </c>
      <c r="BK17">
        <v>1.2</v>
      </c>
      <c r="BL17" s="26">
        <f t="shared" si="15"/>
        <v>0.83333333333333337</v>
      </c>
      <c r="BM17">
        <f t="shared" si="23"/>
        <v>32.399999999999991</v>
      </c>
      <c r="BP17">
        <v>0</v>
      </c>
      <c r="BQ17" t="str">
        <f t="shared" si="16"/>
        <v>0</v>
      </c>
      <c r="CC17" s="2" t="s">
        <v>251</v>
      </c>
      <c r="CD17" s="3" t="s">
        <v>252</v>
      </c>
      <c r="CF17" t="str">
        <f t="shared" si="28"/>
        <v>DATA_Class_Base2</v>
      </c>
      <c r="CG17" s="3" t="s">
        <v>252</v>
      </c>
    </row>
    <row r="18" spans="1:85">
      <c r="A18">
        <f t="shared" si="29"/>
        <v>1011205</v>
      </c>
      <c r="B18" t="s">
        <v>242</v>
      </c>
      <c r="C18">
        <v>1</v>
      </c>
      <c r="D18">
        <v>2</v>
      </c>
      <c r="E18">
        <v>1</v>
      </c>
      <c r="F18" s="3" t="s">
        <v>894</v>
      </c>
      <c r="G18" s="4" t="s">
        <v>895</v>
      </c>
      <c r="H18">
        <v>0</v>
      </c>
      <c r="I18" s="2">
        <v>0</v>
      </c>
      <c r="J18" s="2">
        <f t="shared" si="24"/>
        <v>2.5</v>
      </c>
      <c r="K18" s="2">
        <f t="shared" si="2"/>
        <v>1.32</v>
      </c>
      <c r="L18" s="2">
        <f t="shared" si="0"/>
        <v>1.47</v>
      </c>
      <c r="M18" s="2">
        <v>10</v>
      </c>
      <c r="N18" s="2">
        <f t="shared" si="3"/>
        <v>28.8</v>
      </c>
      <c r="O18" s="2">
        <f t="shared" si="1"/>
        <v>2.8800000000000003</v>
      </c>
      <c r="P18" s="2">
        <f t="shared" si="1"/>
        <v>750</v>
      </c>
      <c r="Q18" s="2">
        <f t="shared" si="1"/>
        <v>75</v>
      </c>
      <c r="R18" s="2">
        <f t="shared" si="1"/>
        <v>36</v>
      </c>
      <c r="S18" s="2">
        <f t="shared" si="1"/>
        <v>3.6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>
        <v>10112021</v>
      </c>
      <c r="Z18" s="14">
        <v>0</v>
      </c>
      <c r="AA18" s="12" t="s">
        <v>238</v>
      </c>
      <c r="AB18" s="2">
        <v>0</v>
      </c>
      <c r="AC18" s="2">
        <v>31</v>
      </c>
      <c r="AD18" s="2"/>
      <c r="AF18">
        <v>1</v>
      </c>
      <c r="AG18" s="1">
        <f t="shared" si="4"/>
        <v>138.30941053140879</v>
      </c>
      <c r="AH18">
        <v>1</v>
      </c>
      <c r="AI18">
        <f t="shared" si="30"/>
        <v>28.8</v>
      </c>
      <c r="AJ18">
        <f t="shared" si="31"/>
        <v>2.8800000000000003</v>
      </c>
      <c r="AK18">
        <f t="shared" si="32"/>
        <v>750</v>
      </c>
      <c r="AL18">
        <f t="shared" si="33"/>
        <v>75</v>
      </c>
      <c r="AM18">
        <f t="shared" si="25"/>
        <v>36</v>
      </c>
      <c r="AN18">
        <f t="shared" si="26"/>
        <v>3.6</v>
      </c>
      <c r="AO18">
        <f t="shared" si="11"/>
        <v>1.8</v>
      </c>
      <c r="AP18">
        <f t="shared" si="12"/>
        <v>2</v>
      </c>
      <c r="AQ18">
        <f t="shared" si="13"/>
        <v>2.5</v>
      </c>
      <c r="AR18">
        <v>205</v>
      </c>
      <c r="AS18" s="1" t="str">
        <f t="shared" si="27"/>
        <v>5</v>
      </c>
      <c r="AT18">
        <v>1</v>
      </c>
      <c r="AU18">
        <v>600</v>
      </c>
      <c r="AV18" s="2" t="s">
        <v>198</v>
      </c>
      <c r="AW18">
        <v>1</v>
      </c>
      <c r="AX18">
        <f t="shared" si="17"/>
        <v>1</v>
      </c>
      <c r="AY18">
        <v>1</v>
      </c>
      <c r="AZ18" s="8">
        <v>1.4</v>
      </c>
      <c r="BA18">
        <f t="shared" si="18"/>
        <v>28</v>
      </c>
      <c r="BB18">
        <f t="shared" si="19"/>
        <v>600</v>
      </c>
      <c r="BC18">
        <f t="shared" si="20"/>
        <v>30</v>
      </c>
      <c r="BD18">
        <v>4</v>
      </c>
      <c r="BE18">
        <f t="shared" si="21"/>
        <v>20</v>
      </c>
      <c r="BF18">
        <f t="shared" si="22"/>
        <v>1</v>
      </c>
      <c r="BG18">
        <v>30</v>
      </c>
      <c r="BH18">
        <f t="shared" si="14"/>
        <v>1.6666666666666667</v>
      </c>
      <c r="BI18">
        <v>50</v>
      </c>
      <c r="BJ18" s="2">
        <v>1.5</v>
      </c>
      <c r="BK18">
        <v>1</v>
      </c>
      <c r="BL18" s="26">
        <f t="shared" si="15"/>
        <v>1</v>
      </c>
      <c r="BM18">
        <f t="shared" si="23"/>
        <v>26.999999999999996</v>
      </c>
      <c r="BP18">
        <v>0</v>
      </c>
      <c r="BQ18" t="str">
        <f t="shared" si="16"/>
        <v>0</v>
      </c>
      <c r="CC18" s="2" t="s">
        <v>242</v>
      </c>
      <c r="CD18" t="s">
        <v>209</v>
      </c>
      <c r="CF18" t="str">
        <f t="shared" si="28"/>
        <v>DATA_Class_Base3</v>
      </c>
      <c r="CG18" t="s">
        <v>209</v>
      </c>
    </row>
    <row r="19" spans="1:85">
      <c r="A19">
        <f t="shared" si="29"/>
        <v>1012504</v>
      </c>
      <c r="B19" t="s">
        <v>256</v>
      </c>
      <c r="C19">
        <v>1</v>
      </c>
      <c r="D19">
        <v>5</v>
      </c>
      <c r="E19">
        <v>2</v>
      </c>
      <c r="F19" t="s">
        <v>896</v>
      </c>
      <c r="G19" s="3" t="s">
        <v>897</v>
      </c>
      <c r="H19">
        <v>0</v>
      </c>
      <c r="I19" s="2">
        <v>0</v>
      </c>
      <c r="J19" s="2">
        <f t="shared" si="24"/>
        <v>2.5</v>
      </c>
      <c r="K19" s="2">
        <f t="shared" si="2"/>
        <v>1.32</v>
      </c>
      <c r="L19" s="2">
        <f t="shared" si="0"/>
        <v>1.1000000000000001</v>
      </c>
      <c r="M19" s="2">
        <v>10</v>
      </c>
      <c r="N19" s="2">
        <f t="shared" si="3"/>
        <v>43.2</v>
      </c>
      <c r="O19" s="2">
        <f t="shared" si="1"/>
        <v>4.32</v>
      </c>
      <c r="P19" s="2">
        <f t="shared" si="1"/>
        <v>500</v>
      </c>
      <c r="Q19" s="2">
        <f t="shared" si="1"/>
        <v>50</v>
      </c>
      <c r="R19" s="2">
        <f t="shared" si="1"/>
        <v>24</v>
      </c>
      <c r="S19" s="2">
        <f t="shared" si="1"/>
        <v>2.4000000000000004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>
        <v>10125001</v>
      </c>
      <c r="Z19" s="14">
        <v>0</v>
      </c>
      <c r="AA19" s="12" t="s">
        <v>238</v>
      </c>
      <c r="AB19" s="2">
        <v>0</v>
      </c>
      <c r="AC19" s="2">
        <v>31</v>
      </c>
      <c r="AD19" s="2"/>
      <c r="AF19">
        <v>1</v>
      </c>
      <c r="AG19" s="1">
        <f t="shared" si="4"/>
        <v>137.94233553160689</v>
      </c>
      <c r="AH19">
        <v>1</v>
      </c>
      <c r="AI19">
        <f t="shared" si="30"/>
        <v>43.2</v>
      </c>
      <c r="AJ19">
        <f t="shared" si="31"/>
        <v>4.32</v>
      </c>
      <c r="AK19">
        <f t="shared" si="32"/>
        <v>500</v>
      </c>
      <c r="AL19">
        <f t="shared" si="33"/>
        <v>50</v>
      </c>
      <c r="AM19">
        <f t="shared" si="25"/>
        <v>24</v>
      </c>
      <c r="AN19">
        <f t="shared" si="26"/>
        <v>2.4000000000000004</v>
      </c>
      <c r="AO19">
        <f t="shared" si="11"/>
        <v>1.8</v>
      </c>
      <c r="AP19">
        <f t="shared" si="12"/>
        <v>1.5</v>
      </c>
      <c r="AQ19">
        <f t="shared" si="13"/>
        <v>2.5</v>
      </c>
      <c r="AR19">
        <v>504</v>
      </c>
      <c r="AS19" s="1" t="str">
        <f t="shared" si="27"/>
        <v>4</v>
      </c>
      <c r="AT19">
        <v>1</v>
      </c>
      <c r="AU19">
        <v>601</v>
      </c>
      <c r="AV19" s="2" t="s">
        <v>393</v>
      </c>
      <c r="AW19">
        <v>1</v>
      </c>
      <c r="AX19">
        <f t="shared" si="17"/>
        <v>1</v>
      </c>
      <c r="AY19">
        <v>1</v>
      </c>
      <c r="AZ19" s="8">
        <v>1.5</v>
      </c>
      <c r="BA19">
        <f t="shared" si="18"/>
        <v>30</v>
      </c>
      <c r="BB19">
        <f t="shared" si="19"/>
        <v>600</v>
      </c>
      <c r="BC19">
        <f t="shared" si="20"/>
        <v>30</v>
      </c>
      <c r="BD19">
        <v>5</v>
      </c>
      <c r="BE19">
        <f t="shared" si="21"/>
        <v>20</v>
      </c>
      <c r="BF19">
        <f t="shared" si="22"/>
        <v>1.2333333333333334</v>
      </c>
      <c r="BG19">
        <v>37</v>
      </c>
      <c r="BH19">
        <f t="shared" si="14"/>
        <v>2.1666666666666665</v>
      </c>
      <c r="BI19">
        <v>65</v>
      </c>
      <c r="BJ19" s="2">
        <v>1.5</v>
      </c>
      <c r="BK19">
        <v>1</v>
      </c>
      <c r="BL19" s="26">
        <f t="shared" si="15"/>
        <v>1</v>
      </c>
      <c r="BM19">
        <f t="shared" si="23"/>
        <v>30</v>
      </c>
      <c r="BP19">
        <v>0</v>
      </c>
      <c r="BQ19" t="str">
        <f t="shared" si="16"/>
        <v>0</v>
      </c>
      <c r="CC19" s="2" t="s">
        <v>256</v>
      </c>
      <c r="CD19" t="s">
        <v>259</v>
      </c>
      <c r="CF19" t="str">
        <f t="shared" si="28"/>
        <v>DATA_Class_Base4</v>
      </c>
      <c r="CG19" t="s">
        <v>259</v>
      </c>
    </row>
    <row r="20" spans="1:85">
      <c r="A20">
        <f t="shared" si="29"/>
        <v>1012303</v>
      </c>
      <c r="B20" t="s">
        <v>253</v>
      </c>
      <c r="C20">
        <v>1</v>
      </c>
      <c r="D20">
        <v>2</v>
      </c>
      <c r="E20">
        <v>2</v>
      </c>
      <c r="F20" t="s">
        <v>898</v>
      </c>
      <c r="G20" s="3" t="s">
        <v>899</v>
      </c>
      <c r="H20" s="2">
        <v>0</v>
      </c>
      <c r="I20" s="2">
        <v>0</v>
      </c>
      <c r="J20" s="2">
        <f t="shared" si="24"/>
        <v>2.5</v>
      </c>
      <c r="K20" s="2">
        <f t="shared" si="2"/>
        <v>0.95000000000000007</v>
      </c>
      <c r="L20" s="2">
        <f t="shared" si="0"/>
        <v>1.02</v>
      </c>
      <c r="M20" s="2">
        <v>10</v>
      </c>
      <c r="N20" s="2">
        <f t="shared" si="3"/>
        <v>23.400000000000006</v>
      </c>
      <c r="O20" s="2">
        <f t="shared" si="3"/>
        <v>2.3400000000000007</v>
      </c>
      <c r="P20" s="2">
        <f t="shared" si="3"/>
        <v>666.66666666666674</v>
      </c>
      <c r="Q20" s="2">
        <f t="shared" si="3"/>
        <v>66.666666666666671</v>
      </c>
      <c r="R20" s="2">
        <f t="shared" si="3"/>
        <v>33</v>
      </c>
      <c r="S20" s="2">
        <f t="shared" si="3"/>
        <v>3.3000000000000003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>
        <v>10122001</v>
      </c>
      <c r="Z20" s="14">
        <v>0</v>
      </c>
      <c r="AA20" s="12" t="s">
        <v>238</v>
      </c>
      <c r="AB20" s="2">
        <v>0</v>
      </c>
      <c r="AC20" s="2">
        <v>31</v>
      </c>
      <c r="AD20" s="2"/>
      <c r="AF20">
        <v>1</v>
      </c>
      <c r="AG20" s="1">
        <f t="shared" si="4"/>
        <v>138.21745875052886</v>
      </c>
      <c r="AH20">
        <v>1</v>
      </c>
      <c r="AI20">
        <f t="shared" si="30"/>
        <v>23.400000000000006</v>
      </c>
      <c r="AJ20">
        <f t="shared" si="31"/>
        <v>2.3400000000000007</v>
      </c>
      <c r="AK20">
        <f t="shared" si="32"/>
        <v>666.66666666666674</v>
      </c>
      <c r="AL20">
        <f t="shared" si="33"/>
        <v>66.666666666666671</v>
      </c>
      <c r="AM20">
        <f t="shared" si="25"/>
        <v>33</v>
      </c>
      <c r="AN20">
        <f t="shared" si="26"/>
        <v>3.3000000000000003</v>
      </c>
      <c r="AO20">
        <f t="shared" si="11"/>
        <v>1.3</v>
      </c>
      <c r="AP20">
        <f t="shared" si="12"/>
        <v>1.4</v>
      </c>
      <c r="AQ20">
        <f t="shared" si="13"/>
        <v>2.5</v>
      </c>
      <c r="AR20">
        <v>303</v>
      </c>
      <c r="AS20" s="1" t="str">
        <f t="shared" si="27"/>
        <v>3</v>
      </c>
      <c r="AT20">
        <v>1</v>
      </c>
      <c r="AU20">
        <v>602</v>
      </c>
      <c r="AV20" s="2" t="s">
        <v>203</v>
      </c>
      <c r="AW20">
        <v>1</v>
      </c>
      <c r="AX20">
        <f t="shared" si="17"/>
        <v>1</v>
      </c>
      <c r="AY20">
        <v>1</v>
      </c>
      <c r="AZ20" s="8">
        <v>1.8</v>
      </c>
      <c r="BA20">
        <f t="shared" si="18"/>
        <v>36</v>
      </c>
      <c r="BB20">
        <f t="shared" si="19"/>
        <v>600</v>
      </c>
      <c r="BC20">
        <f t="shared" si="20"/>
        <v>30</v>
      </c>
      <c r="BD20">
        <v>6</v>
      </c>
      <c r="BE20">
        <f t="shared" si="21"/>
        <v>20</v>
      </c>
      <c r="BF20">
        <f t="shared" si="22"/>
        <v>1.6666666666666667</v>
      </c>
      <c r="BG20">
        <v>50</v>
      </c>
      <c r="BH20">
        <f t="shared" si="14"/>
        <v>2.5</v>
      </c>
      <c r="BI20">
        <v>75</v>
      </c>
      <c r="BJ20">
        <v>1.5</v>
      </c>
      <c r="BK20">
        <v>1</v>
      </c>
      <c r="BL20" s="26">
        <f t="shared" si="15"/>
        <v>1</v>
      </c>
      <c r="BM20">
        <f t="shared" si="23"/>
        <v>39</v>
      </c>
      <c r="BP20">
        <v>0</v>
      </c>
      <c r="BQ20" t="str">
        <f t="shared" si="16"/>
        <v>0</v>
      </c>
      <c r="CC20" s="2" t="s">
        <v>253</v>
      </c>
      <c r="CD20" t="s">
        <v>212</v>
      </c>
      <c r="CF20" t="str">
        <f t="shared" si="28"/>
        <v>DATA_Class_Base5</v>
      </c>
      <c r="CG20" t="s">
        <v>212</v>
      </c>
    </row>
    <row r="21" spans="1:85">
      <c r="A21">
        <f t="shared" si="29"/>
        <v>1012204</v>
      </c>
      <c r="B21" t="s">
        <v>264</v>
      </c>
      <c r="C21">
        <v>1</v>
      </c>
      <c r="D21">
        <v>2</v>
      </c>
      <c r="E21">
        <v>2</v>
      </c>
      <c r="F21" t="s">
        <v>900</v>
      </c>
      <c r="G21" s="3" t="s">
        <v>901</v>
      </c>
      <c r="H21">
        <v>0</v>
      </c>
      <c r="I21" s="2">
        <v>0</v>
      </c>
      <c r="J21" s="2">
        <f t="shared" si="24"/>
        <v>2.5</v>
      </c>
      <c r="K21" s="2">
        <f t="shared" si="2"/>
        <v>1.02</v>
      </c>
      <c r="L21" s="2">
        <f t="shared" si="0"/>
        <v>0.88</v>
      </c>
      <c r="M21" s="2">
        <v>10</v>
      </c>
      <c r="N21" s="2">
        <f t="shared" si="3"/>
        <v>22.4</v>
      </c>
      <c r="O21" s="2">
        <f t="shared" si="3"/>
        <v>2.2399999999999998</v>
      </c>
      <c r="P21" s="2">
        <f t="shared" si="3"/>
        <v>750</v>
      </c>
      <c r="Q21" s="2">
        <f t="shared" si="3"/>
        <v>75</v>
      </c>
      <c r="R21" s="2">
        <f t="shared" si="3"/>
        <v>36</v>
      </c>
      <c r="S21" s="2">
        <f t="shared" si="3"/>
        <v>3.6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>
        <v>10122011</v>
      </c>
      <c r="Z21" s="14">
        <v>0</v>
      </c>
      <c r="AA21" s="12" t="s">
        <v>238</v>
      </c>
      <c r="AB21" s="2">
        <v>0</v>
      </c>
      <c r="AC21" s="2">
        <v>31</v>
      </c>
      <c r="AD21" s="2"/>
      <c r="AF21">
        <v>1</v>
      </c>
      <c r="AG21" s="1">
        <f t="shared" si="4"/>
        <v>138.30941053140873</v>
      </c>
      <c r="AH21">
        <v>1</v>
      </c>
      <c r="AI21">
        <f t="shared" si="30"/>
        <v>22.4</v>
      </c>
      <c r="AJ21">
        <f t="shared" si="31"/>
        <v>2.2399999999999998</v>
      </c>
      <c r="AK21">
        <f t="shared" si="32"/>
        <v>750</v>
      </c>
      <c r="AL21">
        <f t="shared" si="33"/>
        <v>75</v>
      </c>
      <c r="AM21">
        <f t="shared" si="25"/>
        <v>36</v>
      </c>
      <c r="AN21">
        <f t="shared" si="26"/>
        <v>3.6</v>
      </c>
      <c r="AO21">
        <f t="shared" si="11"/>
        <v>1.4</v>
      </c>
      <c r="AP21">
        <f t="shared" si="12"/>
        <v>1.2</v>
      </c>
      <c r="AQ21">
        <f t="shared" si="13"/>
        <v>2.5</v>
      </c>
      <c r="AR21">
        <v>204</v>
      </c>
      <c r="AS21" s="1" t="str">
        <f t="shared" si="27"/>
        <v>4</v>
      </c>
      <c r="AT21">
        <v>1</v>
      </c>
      <c r="AU21">
        <v>203</v>
      </c>
      <c r="AV21" s="2" t="s">
        <v>205</v>
      </c>
      <c r="AW21">
        <v>0.8</v>
      </c>
      <c r="AX21">
        <f t="shared" ref="AX21:AX34" si="34">1/AW21</f>
        <v>1.25</v>
      </c>
      <c r="AY21">
        <v>1.2</v>
      </c>
      <c r="AZ21" s="8">
        <v>1.3</v>
      </c>
      <c r="BA21">
        <f t="shared" si="18"/>
        <v>20.8</v>
      </c>
      <c r="BB21">
        <f t="shared" si="19"/>
        <v>750</v>
      </c>
      <c r="BC21">
        <f t="shared" si="20"/>
        <v>36</v>
      </c>
      <c r="BD21">
        <v>2.5</v>
      </c>
      <c r="BE21">
        <f t="shared" ref="BE21:BE34" si="35">BA21*(1/AZ21)</f>
        <v>16</v>
      </c>
      <c r="BF21">
        <f t="shared" si="22"/>
        <v>0.93333333333333335</v>
      </c>
      <c r="BG21">
        <v>28</v>
      </c>
      <c r="BH21">
        <f t="shared" si="14"/>
        <v>1.6666666666666667</v>
      </c>
      <c r="BI21">
        <v>50</v>
      </c>
      <c r="BP21">
        <v>0</v>
      </c>
      <c r="BQ21" t="str">
        <f t="shared" si="16"/>
        <v>0</v>
      </c>
      <c r="CC21" s="2" t="s">
        <v>264</v>
      </c>
      <c r="CD21" t="s">
        <v>265</v>
      </c>
      <c r="CF21" t="str">
        <f t="shared" si="28"/>
        <v>DATA_Class_Base6</v>
      </c>
      <c r="CG21" t="s">
        <v>265</v>
      </c>
    </row>
    <row r="22" spans="1:85">
      <c r="A22">
        <f t="shared" si="29"/>
        <v>1013203</v>
      </c>
      <c r="B22" t="s">
        <v>235</v>
      </c>
      <c r="C22">
        <v>1</v>
      </c>
      <c r="D22">
        <v>2</v>
      </c>
      <c r="E22">
        <v>3</v>
      </c>
      <c r="F22" t="s">
        <v>902</v>
      </c>
      <c r="G22" s="3" t="s">
        <v>903</v>
      </c>
      <c r="H22" s="2">
        <v>0</v>
      </c>
      <c r="I22" s="2">
        <v>0</v>
      </c>
      <c r="J22" s="2">
        <f t="shared" si="24"/>
        <v>2.5</v>
      </c>
      <c r="K22" s="2">
        <f t="shared" si="2"/>
        <v>0.95000000000000007</v>
      </c>
      <c r="L22" s="2">
        <f t="shared" si="0"/>
        <v>1.3900000000000001</v>
      </c>
      <c r="M22" s="2">
        <v>10</v>
      </c>
      <c r="N22" s="2">
        <f t="shared" si="3"/>
        <v>20.8</v>
      </c>
      <c r="O22" s="2">
        <f t="shared" si="3"/>
        <v>2.08</v>
      </c>
      <c r="P22" s="2">
        <f t="shared" si="3"/>
        <v>750</v>
      </c>
      <c r="Q22" s="2">
        <f t="shared" si="3"/>
        <v>75</v>
      </c>
      <c r="R22" s="2">
        <f t="shared" si="3"/>
        <v>36</v>
      </c>
      <c r="S22" s="2">
        <f t="shared" si="3"/>
        <v>3.6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>
        <v>10132001</v>
      </c>
      <c r="Z22" s="14">
        <v>0</v>
      </c>
      <c r="AA22" s="12" t="s">
        <v>238</v>
      </c>
      <c r="AB22" s="2">
        <v>0</v>
      </c>
      <c r="AC22" s="2">
        <v>31</v>
      </c>
      <c r="AD22" s="2"/>
      <c r="AE22" s="2"/>
      <c r="AF22">
        <v>1</v>
      </c>
      <c r="AG22" s="1">
        <f t="shared" si="4"/>
        <v>138.30941053140879</v>
      </c>
      <c r="AH22">
        <v>1</v>
      </c>
      <c r="AI22">
        <f t="shared" si="30"/>
        <v>20.8</v>
      </c>
      <c r="AJ22">
        <f t="shared" si="31"/>
        <v>2.08</v>
      </c>
      <c r="AK22">
        <f t="shared" si="32"/>
        <v>750</v>
      </c>
      <c r="AL22">
        <f t="shared" si="33"/>
        <v>75</v>
      </c>
      <c r="AM22">
        <f t="shared" si="25"/>
        <v>36</v>
      </c>
      <c r="AN22">
        <f t="shared" si="26"/>
        <v>3.6</v>
      </c>
      <c r="AO22">
        <f t="shared" si="11"/>
        <v>1.3</v>
      </c>
      <c r="AP22">
        <f t="shared" si="12"/>
        <v>1.9</v>
      </c>
      <c r="AQ22">
        <f t="shared" si="13"/>
        <v>2.5</v>
      </c>
      <c r="AR22">
        <v>203</v>
      </c>
      <c r="AS22" s="1" t="str">
        <f t="shared" si="27"/>
        <v>3</v>
      </c>
      <c r="AT22">
        <v>1</v>
      </c>
      <c r="AU22">
        <v>204</v>
      </c>
      <c r="AV22" s="2" t="s">
        <v>207</v>
      </c>
      <c r="AW22">
        <v>0.8</v>
      </c>
      <c r="AX22">
        <f t="shared" si="34"/>
        <v>1.25</v>
      </c>
      <c r="AY22">
        <v>1.2</v>
      </c>
      <c r="AZ22" s="8">
        <v>1.4</v>
      </c>
      <c r="BA22">
        <f t="shared" si="18"/>
        <v>22.399999999999995</v>
      </c>
      <c r="BB22">
        <f t="shared" si="19"/>
        <v>750</v>
      </c>
      <c r="BC22">
        <f t="shared" si="20"/>
        <v>36</v>
      </c>
      <c r="BD22">
        <v>2.5</v>
      </c>
      <c r="BE22">
        <f t="shared" si="35"/>
        <v>15.999999999999996</v>
      </c>
      <c r="BF22">
        <f t="shared" si="22"/>
        <v>1</v>
      </c>
      <c r="BG22">
        <v>30</v>
      </c>
      <c r="BH22">
        <f t="shared" si="14"/>
        <v>1</v>
      </c>
      <c r="BI22">
        <v>30</v>
      </c>
      <c r="BP22">
        <v>0</v>
      </c>
      <c r="BQ22" t="str">
        <f t="shared" si="16"/>
        <v>0</v>
      </c>
      <c r="CC22" s="2" t="s">
        <v>235</v>
      </c>
      <c r="CD22" t="s">
        <v>205</v>
      </c>
      <c r="CF22" t="str">
        <f t="shared" si="28"/>
        <v>DATA_Class_Base7</v>
      </c>
      <c r="CG22" t="s">
        <v>205</v>
      </c>
    </row>
    <row r="23" spans="1:85">
      <c r="A23">
        <f t="shared" si="29"/>
        <v>1013403</v>
      </c>
      <c r="B23" t="s">
        <v>239</v>
      </c>
      <c r="C23">
        <v>1</v>
      </c>
      <c r="D23">
        <v>5</v>
      </c>
      <c r="E23">
        <v>3</v>
      </c>
      <c r="F23" t="s">
        <v>904</v>
      </c>
      <c r="G23" s="3" t="s">
        <v>905</v>
      </c>
      <c r="H23" s="2">
        <v>0</v>
      </c>
      <c r="I23" s="2">
        <v>0</v>
      </c>
      <c r="J23" s="2">
        <f t="shared" si="24"/>
        <v>6</v>
      </c>
      <c r="K23" s="2">
        <f t="shared" si="2"/>
        <v>0.95000000000000007</v>
      </c>
      <c r="L23" s="2">
        <f t="shared" si="0"/>
        <v>1.3900000000000001</v>
      </c>
      <c r="M23" s="2">
        <v>10</v>
      </c>
      <c r="N23" s="2">
        <f t="shared" si="3"/>
        <v>28.600000000000005</v>
      </c>
      <c r="O23" s="2">
        <f t="shared" si="3"/>
        <v>2.8600000000000008</v>
      </c>
      <c r="P23" s="2">
        <f t="shared" si="3"/>
        <v>545.45454545454538</v>
      </c>
      <c r="Q23" s="2">
        <f t="shared" si="3"/>
        <v>54.54545454545454</v>
      </c>
      <c r="R23" s="2">
        <f t="shared" si="3"/>
        <v>27</v>
      </c>
      <c r="S23" s="2">
        <f t="shared" si="3"/>
        <v>2.7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>
        <v>10135001</v>
      </c>
      <c r="Z23" s="14">
        <v>0</v>
      </c>
      <c r="AA23" s="12" t="s">
        <v>238</v>
      </c>
      <c r="AB23" s="2">
        <v>0</v>
      </c>
      <c r="AC23" s="2">
        <v>31</v>
      </c>
      <c r="AD23" s="2"/>
      <c r="AE23" s="2"/>
      <c r="AF23">
        <v>1</v>
      </c>
      <c r="AG23" s="1">
        <f t="shared" si="4"/>
        <v>138.03392149367244</v>
      </c>
      <c r="AH23">
        <v>1</v>
      </c>
      <c r="AI23">
        <f t="shared" si="30"/>
        <v>28.600000000000005</v>
      </c>
      <c r="AJ23">
        <f t="shared" si="31"/>
        <v>2.8600000000000008</v>
      </c>
      <c r="AK23">
        <f t="shared" si="32"/>
        <v>545.45454545454538</v>
      </c>
      <c r="AL23">
        <f t="shared" si="33"/>
        <v>54.54545454545454</v>
      </c>
      <c r="AM23">
        <f t="shared" si="25"/>
        <v>27</v>
      </c>
      <c r="AN23">
        <f t="shared" si="26"/>
        <v>2.7</v>
      </c>
      <c r="AO23">
        <f t="shared" si="11"/>
        <v>1.3</v>
      </c>
      <c r="AP23">
        <f t="shared" si="12"/>
        <v>1.9</v>
      </c>
      <c r="AQ23">
        <f t="shared" si="13"/>
        <v>6</v>
      </c>
      <c r="AR23">
        <v>403</v>
      </c>
      <c r="AS23" s="1" t="str">
        <f t="shared" si="27"/>
        <v>3</v>
      </c>
      <c r="AT23">
        <v>1</v>
      </c>
      <c r="AU23">
        <v>205</v>
      </c>
      <c r="AV23" s="2" t="s">
        <v>209</v>
      </c>
      <c r="AW23">
        <v>0.8</v>
      </c>
      <c r="AX23">
        <f t="shared" si="34"/>
        <v>1.25</v>
      </c>
      <c r="AY23">
        <v>1.2</v>
      </c>
      <c r="AZ23" s="8">
        <v>1.8</v>
      </c>
      <c r="BA23">
        <f t="shared" si="18"/>
        <v>28.8</v>
      </c>
      <c r="BB23">
        <f t="shared" si="19"/>
        <v>750</v>
      </c>
      <c r="BC23">
        <f t="shared" si="20"/>
        <v>36</v>
      </c>
      <c r="BD23">
        <v>2.5</v>
      </c>
      <c r="BE23">
        <f t="shared" si="35"/>
        <v>16</v>
      </c>
      <c r="BF23">
        <f t="shared" si="22"/>
        <v>1.6666666666666667</v>
      </c>
      <c r="BG23">
        <v>50</v>
      </c>
      <c r="BH23">
        <f t="shared" si="14"/>
        <v>2</v>
      </c>
      <c r="BI23">
        <v>60</v>
      </c>
      <c r="BP23">
        <v>0</v>
      </c>
      <c r="BQ23" t="str">
        <f t="shared" si="16"/>
        <v>0</v>
      </c>
      <c r="CC23" s="2" t="s">
        <v>239</v>
      </c>
      <c r="CD23" t="s">
        <v>216</v>
      </c>
      <c r="CF23" t="str">
        <f t="shared" si="28"/>
        <v>DATA_Class_Base8</v>
      </c>
      <c r="CG23" t="s">
        <v>216</v>
      </c>
    </row>
    <row r="24" spans="1:85">
      <c r="A24">
        <f t="shared" si="29"/>
        <v>1013304</v>
      </c>
      <c r="B24" t="s">
        <v>274</v>
      </c>
      <c r="C24">
        <v>1</v>
      </c>
      <c r="D24">
        <v>3</v>
      </c>
      <c r="E24">
        <v>3</v>
      </c>
      <c r="F24" t="s">
        <v>275</v>
      </c>
      <c r="G24" s="3" t="s">
        <v>906</v>
      </c>
      <c r="H24" s="2">
        <v>0</v>
      </c>
      <c r="I24" s="2">
        <v>0</v>
      </c>
      <c r="J24" s="2">
        <f t="shared" si="24"/>
        <v>2.5</v>
      </c>
      <c r="K24" s="2">
        <f t="shared" si="2"/>
        <v>1.02</v>
      </c>
      <c r="L24" s="2">
        <f t="shared" si="0"/>
        <v>1.47</v>
      </c>
      <c r="M24" s="2">
        <v>10</v>
      </c>
      <c r="N24" s="2">
        <f t="shared" si="3"/>
        <v>25.2</v>
      </c>
      <c r="O24" s="2">
        <f t="shared" si="3"/>
        <v>2.52</v>
      </c>
      <c r="P24" s="2">
        <f t="shared" si="3"/>
        <v>666.66666666666674</v>
      </c>
      <c r="Q24" s="2">
        <f t="shared" si="3"/>
        <v>66.666666666666671</v>
      </c>
      <c r="R24" s="2">
        <f t="shared" si="3"/>
        <v>33</v>
      </c>
      <c r="S24" s="2">
        <f t="shared" si="3"/>
        <v>3.3000000000000003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>
        <v>10133021</v>
      </c>
      <c r="Z24" s="14">
        <v>0</v>
      </c>
      <c r="AA24" s="12" t="s">
        <v>238</v>
      </c>
      <c r="AB24" s="2">
        <v>0</v>
      </c>
      <c r="AC24" s="2">
        <v>31</v>
      </c>
      <c r="AD24" s="2"/>
      <c r="AE24" s="2"/>
      <c r="AF24">
        <v>1</v>
      </c>
      <c r="AG24" s="1">
        <f t="shared" si="4"/>
        <v>138.21745875052886</v>
      </c>
      <c r="AH24">
        <v>1</v>
      </c>
      <c r="AI24">
        <f t="shared" si="30"/>
        <v>25.2</v>
      </c>
      <c r="AJ24">
        <f t="shared" si="31"/>
        <v>2.52</v>
      </c>
      <c r="AK24">
        <f t="shared" si="32"/>
        <v>666.66666666666674</v>
      </c>
      <c r="AL24">
        <f t="shared" si="33"/>
        <v>66.666666666666671</v>
      </c>
      <c r="AM24">
        <f t="shared" si="25"/>
        <v>33</v>
      </c>
      <c r="AN24">
        <f t="shared" si="26"/>
        <v>3.3000000000000003</v>
      </c>
      <c r="AO24">
        <f t="shared" si="11"/>
        <v>1.4</v>
      </c>
      <c r="AP24">
        <f t="shared" si="12"/>
        <v>2</v>
      </c>
      <c r="AQ24">
        <f t="shared" si="13"/>
        <v>2.5</v>
      </c>
      <c r="AR24">
        <v>304</v>
      </c>
      <c r="AS24" s="1" t="str">
        <f t="shared" si="27"/>
        <v>4</v>
      </c>
      <c r="AT24">
        <v>1</v>
      </c>
      <c r="AU24">
        <v>206</v>
      </c>
      <c r="AV24" s="2" t="s">
        <v>210</v>
      </c>
      <c r="AW24">
        <v>0.8</v>
      </c>
      <c r="AX24">
        <f t="shared" si="34"/>
        <v>1.25</v>
      </c>
      <c r="AY24">
        <v>1.2</v>
      </c>
      <c r="AZ24" s="8">
        <v>1.6</v>
      </c>
      <c r="BA24">
        <f t="shared" si="18"/>
        <v>25.600000000000005</v>
      </c>
      <c r="BB24">
        <f t="shared" si="19"/>
        <v>750</v>
      </c>
      <c r="BC24">
        <f t="shared" si="20"/>
        <v>36</v>
      </c>
      <c r="BD24">
        <v>2.5</v>
      </c>
      <c r="BE24">
        <f t="shared" si="35"/>
        <v>16.000000000000004</v>
      </c>
      <c r="BF24">
        <f t="shared" si="22"/>
        <v>1.3666666666666667</v>
      </c>
      <c r="BG24">
        <v>41</v>
      </c>
      <c r="BH24">
        <f t="shared" si="14"/>
        <v>2.3333333333333335</v>
      </c>
      <c r="BI24">
        <v>70</v>
      </c>
      <c r="BP24">
        <v>0</v>
      </c>
      <c r="BQ24" t="str">
        <f t="shared" si="16"/>
        <v>0</v>
      </c>
      <c r="CC24" s="2" t="s">
        <v>274</v>
      </c>
      <c r="CD24" t="s">
        <v>214</v>
      </c>
      <c r="CF24" t="str">
        <f t="shared" si="28"/>
        <v>DATA_Class_Base9</v>
      </c>
      <c r="CG24" t="s">
        <v>214</v>
      </c>
    </row>
    <row r="25" spans="1:85">
      <c r="A25">
        <f t="shared" si="29"/>
        <v>2021304</v>
      </c>
      <c r="B25" s="32" t="s">
        <v>274</v>
      </c>
      <c r="C25">
        <v>2</v>
      </c>
      <c r="D25">
        <v>3</v>
      </c>
      <c r="E25">
        <v>1</v>
      </c>
      <c r="F25" t="s">
        <v>907</v>
      </c>
      <c r="G25" s="3" t="s">
        <v>908</v>
      </c>
      <c r="H25" s="2">
        <v>0</v>
      </c>
      <c r="I25" s="2">
        <v>0</v>
      </c>
      <c r="J25" s="2">
        <f t="shared" si="24"/>
        <v>2.5</v>
      </c>
      <c r="K25" s="2">
        <f t="shared" si="2"/>
        <v>1.02</v>
      </c>
      <c r="L25" s="2">
        <f t="shared" si="0"/>
        <v>1.47</v>
      </c>
      <c r="M25" s="2">
        <v>10</v>
      </c>
      <c r="N25" s="2">
        <f t="shared" si="3"/>
        <v>27.720000000000002</v>
      </c>
      <c r="O25" s="2">
        <f t="shared" si="3"/>
        <v>2.7720000000000002</v>
      </c>
      <c r="P25" s="2">
        <f t="shared" si="3"/>
        <v>733.33333333333348</v>
      </c>
      <c r="Q25" s="2">
        <f t="shared" si="3"/>
        <v>73.333333333333357</v>
      </c>
      <c r="R25" s="2">
        <f t="shared" si="3"/>
        <v>33</v>
      </c>
      <c r="S25" s="2">
        <f t="shared" si="3"/>
        <v>3.3000000000000003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>
        <v>20213021</v>
      </c>
      <c r="Z25" s="14" t="s">
        <v>909</v>
      </c>
      <c r="AA25" s="14" t="s">
        <v>869</v>
      </c>
      <c r="AB25" s="2">
        <v>0</v>
      </c>
      <c r="AC25" s="2">
        <v>31</v>
      </c>
      <c r="AD25" s="2"/>
      <c r="AE25" s="2"/>
      <c r="AF25">
        <v>1</v>
      </c>
      <c r="AG25" s="1">
        <f t="shared" si="4"/>
        <v>167.24312508813998</v>
      </c>
      <c r="AH25">
        <v>2</v>
      </c>
      <c r="AI25">
        <f t="shared" si="30"/>
        <v>27.720000000000002</v>
      </c>
      <c r="AJ25">
        <f t="shared" si="31"/>
        <v>2.7720000000000002</v>
      </c>
      <c r="AK25">
        <f t="shared" si="32"/>
        <v>733.33333333333348</v>
      </c>
      <c r="AL25">
        <f t="shared" si="33"/>
        <v>73.333333333333357</v>
      </c>
      <c r="AM25">
        <f t="shared" si="25"/>
        <v>33</v>
      </c>
      <c r="AN25">
        <f t="shared" si="26"/>
        <v>3.3000000000000003</v>
      </c>
      <c r="AO25">
        <f t="shared" si="11"/>
        <v>1.4</v>
      </c>
      <c r="AP25">
        <f t="shared" si="12"/>
        <v>2</v>
      </c>
      <c r="AQ25">
        <f t="shared" si="13"/>
        <v>2.5</v>
      </c>
      <c r="AR25">
        <v>304</v>
      </c>
      <c r="AS25" s="1" t="str">
        <f t="shared" si="27"/>
        <v>4</v>
      </c>
      <c r="AT25">
        <v>2</v>
      </c>
      <c r="AU25">
        <v>303</v>
      </c>
      <c r="AV25" s="2" t="s">
        <v>212</v>
      </c>
      <c r="AW25">
        <v>0.9</v>
      </c>
      <c r="AX25">
        <f t="shared" si="34"/>
        <v>1.1111111111111112</v>
      </c>
      <c r="AY25">
        <v>1.1000000000000001</v>
      </c>
      <c r="AZ25" s="8">
        <v>1.3</v>
      </c>
      <c r="BA25">
        <f t="shared" si="18"/>
        <v>23.400000000000002</v>
      </c>
      <c r="BB25">
        <f t="shared" si="19"/>
        <v>666.66666666666674</v>
      </c>
      <c r="BC25">
        <f t="shared" si="20"/>
        <v>33</v>
      </c>
      <c r="BD25">
        <v>2.5</v>
      </c>
      <c r="BE25">
        <f t="shared" si="35"/>
        <v>18</v>
      </c>
      <c r="BF25">
        <f t="shared" si="22"/>
        <v>1.1666666666666667</v>
      </c>
      <c r="BG25">
        <v>35</v>
      </c>
      <c r="BH25">
        <f t="shared" si="14"/>
        <v>1.1666666666666667</v>
      </c>
      <c r="BI25">
        <v>35</v>
      </c>
      <c r="BP25">
        <v>0</v>
      </c>
      <c r="BQ25" t="str">
        <f t="shared" si="16"/>
        <v>0</v>
      </c>
      <c r="BT25">
        <v>1</v>
      </c>
      <c r="BU25">
        <f>BV25</f>
        <v>221001</v>
      </c>
      <c r="BV25">
        <f>$AT25*100000+$AH25*10000+1*1000+$BT25</f>
        <v>221001</v>
      </c>
      <c r="CC25" s="2" t="s">
        <v>271</v>
      </c>
      <c r="CD25" t="s">
        <v>910</v>
      </c>
      <c r="CF25" t="str">
        <f t="shared" si="28"/>
        <v>DATA_Class_Base9</v>
      </c>
      <c r="CG25" s="32" t="s">
        <v>214</v>
      </c>
    </row>
    <row r="26" spans="1:85">
      <c r="A26">
        <f t="shared" si="29"/>
        <v>2021201</v>
      </c>
      <c r="B26" s="32" t="s">
        <v>271</v>
      </c>
      <c r="C26">
        <v>2</v>
      </c>
      <c r="D26">
        <v>2</v>
      </c>
      <c r="E26">
        <v>1</v>
      </c>
      <c r="F26" t="s">
        <v>911</v>
      </c>
      <c r="G26" s="3" t="s">
        <v>911</v>
      </c>
      <c r="H26" s="2">
        <v>0</v>
      </c>
      <c r="I26" s="2" t="s">
        <v>298</v>
      </c>
      <c r="J26" s="2">
        <f t="shared" si="24"/>
        <v>2.5</v>
      </c>
      <c r="K26" s="2">
        <f t="shared" si="2"/>
        <v>1.32</v>
      </c>
      <c r="L26" s="2">
        <f t="shared" si="0"/>
        <v>1.32</v>
      </c>
      <c r="M26" s="2">
        <v>10</v>
      </c>
      <c r="N26" s="2">
        <f t="shared" si="3"/>
        <v>31.680000000000003</v>
      </c>
      <c r="O26" s="2">
        <f t="shared" si="3"/>
        <v>3.1680000000000006</v>
      </c>
      <c r="P26" s="2">
        <f t="shared" si="3"/>
        <v>825.00000000000011</v>
      </c>
      <c r="Q26" s="2">
        <f t="shared" si="3"/>
        <v>82.500000000000014</v>
      </c>
      <c r="R26" s="2">
        <f t="shared" si="3"/>
        <v>36</v>
      </c>
      <c r="S26" s="2">
        <f t="shared" si="3"/>
        <v>3.6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>
        <v>20212011</v>
      </c>
      <c r="Z26" s="14" t="s">
        <v>912</v>
      </c>
      <c r="AA26" s="14" t="s">
        <v>869</v>
      </c>
      <c r="AB26" s="2">
        <v>0</v>
      </c>
      <c r="AC26" s="2">
        <v>31</v>
      </c>
      <c r="AD26" s="2"/>
      <c r="AE26" s="2"/>
      <c r="AF26">
        <v>1</v>
      </c>
      <c r="AG26" s="1">
        <f t="shared" si="4"/>
        <v>167.35438674300465</v>
      </c>
      <c r="AH26">
        <v>2</v>
      </c>
      <c r="AI26">
        <f t="shared" si="30"/>
        <v>31.680000000000003</v>
      </c>
      <c r="AJ26">
        <f t="shared" si="31"/>
        <v>3.1680000000000006</v>
      </c>
      <c r="AK26">
        <f t="shared" si="32"/>
        <v>825.00000000000011</v>
      </c>
      <c r="AL26">
        <f t="shared" si="33"/>
        <v>82.500000000000014</v>
      </c>
      <c r="AM26">
        <f t="shared" si="25"/>
        <v>36</v>
      </c>
      <c r="AN26">
        <f t="shared" si="26"/>
        <v>3.6</v>
      </c>
      <c r="AO26">
        <f t="shared" si="11"/>
        <v>1.8</v>
      </c>
      <c r="AP26">
        <f t="shared" si="12"/>
        <v>1.8</v>
      </c>
      <c r="AQ26">
        <f t="shared" si="13"/>
        <v>2.5</v>
      </c>
      <c r="AR26">
        <v>201</v>
      </c>
      <c r="AS26" s="1" t="str">
        <f t="shared" si="27"/>
        <v>1</v>
      </c>
      <c r="AT26">
        <v>2</v>
      </c>
      <c r="AU26">
        <v>304</v>
      </c>
      <c r="AV26" s="2" t="s">
        <v>214</v>
      </c>
      <c r="AW26">
        <v>0.9</v>
      </c>
      <c r="AX26">
        <f t="shared" si="34"/>
        <v>1.1111111111111112</v>
      </c>
      <c r="AY26">
        <v>1.1000000000000001</v>
      </c>
      <c r="AZ26" s="8">
        <v>1.4</v>
      </c>
      <c r="BA26">
        <f t="shared" si="18"/>
        <v>25.2</v>
      </c>
      <c r="BB26">
        <f t="shared" si="19"/>
        <v>666.66666666666674</v>
      </c>
      <c r="BC26">
        <f t="shared" si="20"/>
        <v>33</v>
      </c>
      <c r="BD26">
        <v>2.5</v>
      </c>
      <c r="BE26">
        <f t="shared" si="35"/>
        <v>18</v>
      </c>
      <c r="BF26">
        <f t="shared" si="22"/>
        <v>1.3333333333333333</v>
      </c>
      <c r="BG26">
        <v>40</v>
      </c>
      <c r="BH26">
        <f t="shared" si="14"/>
        <v>2</v>
      </c>
      <c r="BI26">
        <v>60</v>
      </c>
      <c r="BP26" t="s">
        <v>913</v>
      </c>
      <c r="BQ26" t="str">
        <f t="shared" si="16"/>
        <v>1</v>
      </c>
      <c r="BT26">
        <v>2</v>
      </c>
      <c r="BU26">
        <f t="shared" ref="BU26:BU61" si="36">BV26</f>
        <v>221002</v>
      </c>
      <c r="BV26">
        <f t="shared" ref="BV26:BV89" si="37">$AT26*100000+$AH26*10000+1*1000+$BT26</f>
        <v>221002</v>
      </c>
      <c r="CC26" s="2" t="s">
        <v>247</v>
      </c>
      <c r="CD26" t="s">
        <v>221</v>
      </c>
      <c r="CF26" t="str">
        <f t="shared" si="28"/>
        <v>DATA_Class_Base10</v>
      </c>
      <c r="CG26" s="32" t="s">
        <v>910</v>
      </c>
    </row>
    <row r="27" spans="1:85">
      <c r="A27">
        <f t="shared" si="29"/>
        <v>2021503</v>
      </c>
      <c r="B27" s="32" t="s">
        <v>247</v>
      </c>
      <c r="C27">
        <v>2</v>
      </c>
      <c r="D27">
        <v>5</v>
      </c>
      <c r="E27">
        <v>1</v>
      </c>
      <c r="F27" t="s">
        <v>914</v>
      </c>
      <c r="G27" s="3" t="s">
        <v>915</v>
      </c>
      <c r="H27">
        <v>0</v>
      </c>
      <c r="I27" s="2">
        <v>0</v>
      </c>
      <c r="J27" s="2">
        <f t="shared" si="24"/>
        <v>2.5</v>
      </c>
      <c r="K27" s="2">
        <f t="shared" si="2"/>
        <v>1.17</v>
      </c>
      <c r="L27" s="2">
        <f t="shared" si="0"/>
        <v>1.1000000000000001</v>
      </c>
      <c r="M27" s="2">
        <v>10</v>
      </c>
      <c r="N27" s="2">
        <f t="shared" si="3"/>
        <v>42.24</v>
      </c>
      <c r="O27" s="2">
        <f t="shared" si="3"/>
        <v>4.2240000000000002</v>
      </c>
      <c r="P27" s="2">
        <f t="shared" si="3"/>
        <v>550</v>
      </c>
      <c r="Q27" s="2">
        <f t="shared" si="3"/>
        <v>55</v>
      </c>
      <c r="R27" s="2">
        <f t="shared" si="3"/>
        <v>24</v>
      </c>
      <c r="S27" s="2">
        <f t="shared" si="3"/>
        <v>2.4000000000000004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>
        <v>20215011</v>
      </c>
      <c r="Z27" s="14" t="s">
        <v>916</v>
      </c>
      <c r="AA27" s="14" t="s">
        <v>869</v>
      </c>
      <c r="AB27" s="2">
        <v>0</v>
      </c>
      <c r="AC27" s="2">
        <v>31</v>
      </c>
      <c r="AD27" s="2"/>
      <c r="AE27" s="2"/>
      <c r="AF27">
        <v>1</v>
      </c>
      <c r="AG27" s="1">
        <f t="shared" si="4"/>
        <v>166.91022599324427</v>
      </c>
      <c r="AH27">
        <v>2</v>
      </c>
      <c r="AI27">
        <f t="shared" si="30"/>
        <v>42.24</v>
      </c>
      <c r="AJ27">
        <f t="shared" si="31"/>
        <v>4.2240000000000002</v>
      </c>
      <c r="AK27">
        <f t="shared" si="32"/>
        <v>550</v>
      </c>
      <c r="AL27">
        <f t="shared" si="33"/>
        <v>55</v>
      </c>
      <c r="AM27">
        <f t="shared" si="25"/>
        <v>24</v>
      </c>
      <c r="AN27">
        <f t="shared" si="26"/>
        <v>2.4000000000000004</v>
      </c>
      <c r="AO27">
        <f t="shared" si="11"/>
        <v>1.6</v>
      </c>
      <c r="AP27">
        <f t="shared" si="12"/>
        <v>1.5</v>
      </c>
      <c r="AQ27">
        <f t="shared" si="13"/>
        <v>2.5</v>
      </c>
      <c r="AR27">
        <v>503</v>
      </c>
      <c r="AS27" s="1" t="str">
        <f t="shared" si="27"/>
        <v>3</v>
      </c>
      <c r="AT27">
        <v>2</v>
      </c>
      <c r="AU27">
        <v>403</v>
      </c>
      <c r="AV27" s="2" t="s">
        <v>216</v>
      </c>
      <c r="AW27">
        <v>1.1000000000000001</v>
      </c>
      <c r="AX27">
        <f t="shared" si="34"/>
        <v>0.90909090909090906</v>
      </c>
      <c r="AY27">
        <v>0.9</v>
      </c>
      <c r="AZ27" s="8">
        <v>1.3</v>
      </c>
      <c r="BA27">
        <f t="shared" si="18"/>
        <v>28.599999999999998</v>
      </c>
      <c r="BB27">
        <f t="shared" si="19"/>
        <v>545.45454545454538</v>
      </c>
      <c r="BC27">
        <f t="shared" si="20"/>
        <v>27</v>
      </c>
      <c r="BD27">
        <v>6</v>
      </c>
      <c r="BE27">
        <f t="shared" si="35"/>
        <v>21.999999999999996</v>
      </c>
      <c r="BF27">
        <f t="shared" si="22"/>
        <v>0.83333333333333337</v>
      </c>
      <c r="BG27">
        <v>25</v>
      </c>
      <c r="BH27">
        <f t="shared" si="14"/>
        <v>1.6666666666666667</v>
      </c>
      <c r="BI27">
        <v>50</v>
      </c>
      <c r="BP27">
        <v>0</v>
      </c>
      <c r="BQ27" t="str">
        <f t="shared" si="16"/>
        <v>0</v>
      </c>
      <c r="BT27">
        <v>3</v>
      </c>
      <c r="BU27">
        <f t="shared" si="36"/>
        <v>221003</v>
      </c>
      <c r="BV27">
        <f t="shared" si="37"/>
        <v>221003</v>
      </c>
      <c r="CC27" s="2" t="s">
        <v>268</v>
      </c>
      <c r="CD27" t="s">
        <v>218</v>
      </c>
      <c r="CF27" t="str">
        <f t="shared" si="28"/>
        <v>DATA_Class_Base11</v>
      </c>
      <c r="CG27" s="32" t="s">
        <v>221</v>
      </c>
    </row>
    <row r="28" spans="1:85">
      <c r="A28">
        <f t="shared" si="29"/>
        <v>2021405</v>
      </c>
      <c r="B28" s="32" t="s">
        <v>268</v>
      </c>
      <c r="C28">
        <v>2</v>
      </c>
      <c r="D28">
        <v>4</v>
      </c>
      <c r="E28">
        <v>1</v>
      </c>
      <c r="F28" t="s">
        <v>917</v>
      </c>
      <c r="G28" s="3" t="s">
        <v>918</v>
      </c>
      <c r="H28" s="2">
        <v>0</v>
      </c>
      <c r="I28" s="8" t="s">
        <v>919</v>
      </c>
      <c r="J28" s="2">
        <f t="shared" si="24"/>
        <v>6</v>
      </c>
      <c r="K28" s="2">
        <f t="shared" si="2"/>
        <v>1.1000000000000001</v>
      </c>
      <c r="L28" s="2">
        <f t="shared" si="0"/>
        <v>1.1000000000000001</v>
      </c>
      <c r="M28" s="2">
        <v>10</v>
      </c>
      <c r="N28" s="2">
        <f t="shared" si="3"/>
        <v>36.300000000000004</v>
      </c>
      <c r="O28" s="2">
        <f t="shared" si="3"/>
        <v>3.6300000000000008</v>
      </c>
      <c r="P28" s="2">
        <f t="shared" si="3"/>
        <v>600</v>
      </c>
      <c r="Q28" s="2">
        <f t="shared" si="3"/>
        <v>60</v>
      </c>
      <c r="R28" s="2">
        <f t="shared" si="3"/>
        <v>27</v>
      </c>
      <c r="S28" s="2">
        <f t="shared" si="3"/>
        <v>2.7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>
        <v>20214001</v>
      </c>
      <c r="Z28" s="14" t="s">
        <v>920</v>
      </c>
      <c r="AA28" s="14" t="s">
        <v>869</v>
      </c>
      <c r="AB28" s="2">
        <v>0</v>
      </c>
      <c r="AC28" s="2">
        <v>31</v>
      </c>
      <c r="AD28" s="2"/>
      <c r="AE28" s="2"/>
      <c r="AF28">
        <v>1</v>
      </c>
      <c r="AG28" s="1">
        <f t="shared" si="4"/>
        <v>167.02104500734359</v>
      </c>
      <c r="AH28">
        <v>2</v>
      </c>
      <c r="AI28">
        <f t="shared" si="30"/>
        <v>36.300000000000004</v>
      </c>
      <c r="AJ28">
        <f t="shared" si="31"/>
        <v>3.6300000000000008</v>
      </c>
      <c r="AK28">
        <f t="shared" si="32"/>
        <v>600</v>
      </c>
      <c r="AL28">
        <f t="shared" si="33"/>
        <v>60</v>
      </c>
      <c r="AM28">
        <f t="shared" si="25"/>
        <v>27</v>
      </c>
      <c r="AN28">
        <f t="shared" si="26"/>
        <v>2.7</v>
      </c>
      <c r="AO28">
        <f t="shared" si="11"/>
        <v>1.5</v>
      </c>
      <c r="AP28">
        <f t="shared" si="12"/>
        <v>1.5</v>
      </c>
      <c r="AQ28">
        <f t="shared" si="13"/>
        <v>6</v>
      </c>
      <c r="AR28">
        <v>405</v>
      </c>
      <c r="AS28" s="1" t="str">
        <f t="shared" si="27"/>
        <v>5</v>
      </c>
      <c r="AT28">
        <v>2</v>
      </c>
      <c r="AU28">
        <v>404</v>
      </c>
      <c r="AV28" s="2" t="s">
        <v>217</v>
      </c>
      <c r="AW28">
        <v>1.1000000000000001</v>
      </c>
      <c r="AX28">
        <f t="shared" si="34"/>
        <v>0.90909090909090906</v>
      </c>
      <c r="AY28">
        <v>0.9</v>
      </c>
      <c r="AZ28" s="8">
        <v>1.6</v>
      </c>
      <c r="BA28">
        <f t="shared" si="18"/>
        <v>35.200000000000003</v>
      </c>
      <c r="BB28">
        <f t="shared" si="19"/>
        <v>545.45454545454538</v>
      </c>
      <c r="BC28">
        <f t="shared" si="20"/>
        <v>27</v>
      </c>
      <c r="BD28">
        <v>5</v>
      </c>
      <c r="BE28">
        <f t="shared" si="35"/>
        <v>22</v>
      </c>
      <c r="BF28">
        <f t="shared" si="22"/>
        <v>1.3333333333333333</v>
      </c>
      <c r="BG28">
        <v>40</v>
      </c>
      <c r="BH28">
        <f t="shared" si="14"/>
        <v>1.6666666666666667</v>
      </c>
      <c r="BI28">
        <v>50</v>
      </c>
      <c r="BP28">
        <v>0</v>
      </c>
      <c r="BQ28" t="str">
        <f t="shared" si="16"/>
        <v>0</v>
      </c>
      <c r="BT28">
        <v>4</v>
      </c>
      <c r="BU28">
        <f t="shared" si="36"/>
        <v>221004</v>
      </c>
      <c r="BV28">
        <f t="shared" si="37"/>
        <v>221004</v>
      </c>
      <c r="CC28" s="2" t="s">
        <v>294</v>
      </c>
      <c r="CD28" t="s">
        <v>921</v>
      </c>
      <c r="CF28" t="str">
        <f t="shared" si="28"/>
        <v>DATA_Class_Base12</v>
      </c>
      <c r="CG28" s="32" t="s">
        <v>218</v>
      </c>
    </row>
    <row r="29" spans="1:85">
      <c r="A29">
        <f t="shared" si="29"/>
        <v>2022300</v>
      </c>
      <c r="B29" s="32" t="s">
        <v>294</v>
      </c>
      <c r="C29">
        <v>2</v>
      </c>
      <c r="D29">
        <v>3</v>
      </c>
      <c r="E29">
        <v>2</v>
      </c>
      <c r="F29" t="s">
        <v>351</v>
      </c>
      <c r="G29" s="3" t="s">
        <v>351</v>
      </c>
      <c r="H29">
        <v>0</v>
      </c>
      <c r="I29" s="2" t="s">
        <v>352</v>
      </c>
      <c r="J29" s="2">
        <f t="shared" si="24"/>
        <v>4</v>
      </c>
      <c r="K29" s="2">
        <f t="shared" si="2"/>
        <v>0.95000000000000007</v>
      </c>
      <c r="L29" s="2">
        <f t="shared" si="0"/>
        <v>1.3900000000000001</v>
      </c>
      <c r="M29" s="2">
        <v>10</v>
      </c>
      <c r="N29" s="2">
        <f t="shared" si="3"/>
        <v>25.740000000000009</v>
      </c>
      <c r="O29" s="2">
        <f t="shared" si="3"/>
        <v>2.5740000000000012</v>
      </c>
      <c r="P29" s="2">
        <f t="shared" si="3"/>
        <v>732.60000000000014</v>
      </c>
      <c r="Q29" s="2">
        <f t="shared" si="3"/>
        <v>73.260000000000019</v>
      </c>
      <c r="R29" s="2">
        <f t="shared" si="3"/>
        <v>33</v>
      </c>
      <c r="S29" s="2">
        <f t="shared" si="3"/>
        <v>3.3000000000000003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>
        <v>20223001</v>
      </c>
      <c r="Z29" s="14" t="s">
        <v>922</v>
      </c>
      <c r="AA29" s="14" t="s">
        <v>869</v>
      </c>
      <c r="AB29" s="2">
        <v>0</v>
      </c>
      <c r="AC29" s="2">
        <v>31</v>
      </c>
      <c r="AD29" s="2"/>
      <c r="AE29" s="2"/>
      <c r="AF29">
        <v>1</v>
      </c>
      <c r="AG29" s="1">
        <f t="shared" si="4"/>
        <v>167.07588196305187</v>
      </c>
      <c r="AH29">
        <v>2</v>
      </c>
      <c r="AI29">
        <f t="shared" si="30"/>
        <v>25.740000000000009</v>
      </c>
      <c r="AJ29">
        <f t="shared" si="31"/>
        <v>2.5740000000000012</v>
      </c>
      <c r="AK29">
        <f t="shared" si="32"/>
        <v>732.60000000000014</v>
      </c>
      <c r="AL29">
        <f t="shared" si="33"/>
        <v>73.260000000000019</v>
      </c>
      <c r="AM29">
        <f t="shared" si="25"/>
        <v>33</v>
      </c>
      <c r="AN29">
        <f t="shared" si="26"/>
        <v>3.3000000000000003</v>
      </c>
      <c r="AO29">
        <f t="shared" si="11"/>
        <v>1.3</v>
      </c>
      <c r="AP29">
        <f t="shared" si="12"/>
        <v>1.9</v>
      </c>
      <c r="AQ29">
        <f t="shared" si="13"/>
        <v>4</v>
      </c>
      <c r="AR29">
        <v>300</v>
      </c>
      <c r="AS29" s="1" t="str">
        <f t="shared" si="27"/>
        <v>0</v>
      </c>
      <c r="AT29">
        <v>2</v>
      </c>
      <c r="AU29">
        <v>405</v>
      </c>
      <c r="AV29" s="2" t="s">
        <v>218</v>
      </c>
      <c r="AW29">
        <v>1.1000000000000001</v>
      </c>
      <c r="AX29">
        <f t="shared" si="34"/>
        <v>0.90909090909090906</v>
      </c>
      <c r="AY29">
        <v>0.9</v>
      </c>
      <c r="AZ29" s="8">
        <v>1.5</v>
      </c>
      <c r="BA29">
        <f t="shared" si="18"/>
        <v>33</v>
      </c>
      <c r="BB29">
        <f t="shared" si="19"/>
        <v>545.45454545454538</v>
      </c>
      <c r="BC29">
        <f t="shared" si="20"/>
        <v>27</v>
      </c>
      <c r="BD29">
        <v>6</v>
      </c>
      <c r="BE29">
        <f t="shared" si="35"/>
        <v>22</v>
      </c>
      <c r="BF29">
        <f t="shared" si="22"/>
        <v>1.1000000000000001</v>
      </c>
      <c r="BG29">
        <v>33</v>
      </c>
      <c r="BH29">
        <f t="shared" si="14"/>
        <v>1.3333333333333333</v>
      </c>
      <c r="BI29">
        <v>40</v>
      </c>
      <c r="BP29" t="s">
        <v>923</v>
      </c>
      <c r="BQ29" t="str">
        <f t="shared" si="16"/>
        <v>1</v>
      </c>
      <c r="BT29">
        <v>5</v>
      </c>
      <c r="BU29">
        <f t="shared" si="36"/>
        <v>221005</v>
      </c>
      <c r="BV29">
        <f t="shared" si="37"/>
        <v>221005</v>
      </c>
      <c r="CC29" s="2" t="s">
        <v>296</v>
      </c>
      <c r="CD29" t="s">
        <v>277</v>
      </c>
      <c r="CF29" t="str">
        <f t="shared" si="28"/>
        <v>DATA_Class_Base13</v>
      </c>
      <c r="CG29" s="32" t="s">
        <v>921</v>
      </c>
    </row>
    <row r="30" spans="1:85">
      <c r="A30">
        <f t="shared" si="29"/>
        <v>2022403</v>
      </c>
      <c r="B30" s="32" t="s">
        <v>239</v>
      </c>
      <c r="C30">
        <v>2</v>
      </c>
      <c r="D30">
        <v>5</v>
      </c>
      <c r="E30">
        <v>2</v>
      </c>
      <c r="F30" t="s">
        <v>924</v>
      </c>
      <c r="G30" s="3" t="s">
        <v>925</v>
      </c>
      <c r="H30" s="2">
        <v>0</v>
      </c>
      <c r="I30" s="2" t="s">
        <v>250</v>
      </c>
      <c r="J30" s="2">
        <f t="shared" si="24"/>
        <v>6</v>
      </c>
      <c r="K30" s="2">
        <f t="shared" si="2"/>
        <v>0.95000000000000007</v>
      </c>
      <c r="L30" s="2">
        <f t="shared" si="0"/>
        <v>1.3900000000000001</v>
      </c>
      <c r="M30" s="2">
        <v>10</v>
      </c>
      <c r="N30" s="2">
        <f t="shared" si="3"/>
        <v>31.460000000000008</v>
      </c>
      <c r="O30" s="2">
        <f t="shared" si="3"/>
        <v>3.1460000000000008</v>
      </c>
      <c r="P30" s="2">
        <f t="shared" si="3"/>
        <v>600</v>
      </c>
      <c r="Q30" s="2">
        <f t="shared" si="3"/>
        <v>60</v>
      </c>
      <c r="R30" s="2">
        <f t="shared" si="3"/>
        <v>27</v>
      </c>
      <c r="S30" s="2">
        <f t="shared" si="3"/>
        <v>2.7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>
        <v>20225001</v>
      </c>
      <c r="Z30" s="14" t="s">
        <v>926</v>
      </c>
      <c r="AA30" s="14" t="s">
        <v>869</v>
      </c>
      <c r="AB30" s="2">
        <v>0</v>
      </c>
      <c r="AC30" s="2">
        <v>31</v>
      </c>
      <c r="AD30" s="2"/>
      <c r="AE30" s="2"/>
      <c r="AF30">
        <v>1</v>
      </c>
      <c r="AG30" s="1">
        <f t="shared" si="4"/>
        <v>167.02104500734364</v>
      </c>
      <c r="AH30">
        <v>2</v>
      </c>
      <c r="AI30">
        <f t="shared" si="30"/>
        <v>31.460000000000008</v>
      </c>
      <c r="AJ30">
        <f t="shared" si="31"/>
        <v>3.1460000000000008</v>
      </c>
      <c r="AK30">
        <f t="shared" si="32"/>
        <v>600</v>
      </c>
      <c r="AL30">
        <f t="shared" si="33"/>
        <v>60</v>
      </c>
      <c r="AM30">
        <f t="shared" si="25"/>
        <v>27</v>
      </c>
      <c r="AN30">
        <f t="shared" si="26"/>
        <v>2.7</v>
      </c>
      <c r="AO30">
        <f t="shared" si="11"/>
        <v>1.3</v>
      </c>
      <c r="AP30">
        <f t="shared" si="12"/>
        <v>1.9</v>
      </c>
      <c r="AQ30">
        <f t="shared" si="13"/>
        <v>6</v>
      </c>
      <c r="AR30">
        <v>403</v>
      </c>
      <c r="AS30" s="1" t="str">
        <f t="shared" si="27"/>
        <v>3</v>
      </c>
      <c r="AT30">
        <v>2</v>
      </c>
      <c r="AU30">
        <v>406</v>
      </c>
      <c r="AV30" s="2" t="s">
        <v>220</v>
      </c>
      <c r="AW30">
        <v>1.1000000000000001</v>
      </c>
      <c r="AX30">
        <f t="shared" si="34"/>
        <v>0.90909090909090906</v>
      </c>
      <c r="AY30">
        <v>0.9</v>
      </c>
      <c r="AZ30" s="8">
        <v>1.4</v>
      </c>
      <c r="BA30">
        <f t="shared" si="18"/>
        <v>30.799999999999997</v>
      </c>
      <c r="BB30">
        <f t="shared" si="19"/>
        <v>545.45454545454538</v>
      </c>
      <c r="BC30">
        <f t="shared" si="20"/>
        <v>27</v>
      </c>
      <c r="BD30">
        <v>5</v>
      </c>
      <c r="BE30">
        <f t="shared" si="35"/>
        <v>22</v>
      </c>
      <c r="BF30">
        <f t="shared" si="22"/>
        <v>1</v>
      </c>
      <c r="BG30">
        <v>30</v>
      </c>
      <c r="BH30">
        <f t="shared" si="14"/>
        <v>1</v>
      </c>
      <c r="BI30">
        <v>30</v>
      </c>
      <c r="BP30">
        <v>0</v>
      </c>
      <c r="BQ30" t="str">
        <f t="shared" si="16"/>
        <v>0</v>
      </c>
      <c r="BT30">
        <v>6</v>
      </c>
      <c r="BU30">
        <f t="shared" si="36"/>
        <v>221006</v>
      </c>
      <c r="BV30">
        <f t="shared" si="37"/>
        <v>221006</v>
      </c>
      <c r="CC30" s="2" t="s">
        <v>278</v>
      </c>
      <c r="CD30" t="s">
        <v>927</v>
      </c>
      <c r="CF30" t="str">
        <f t="shared" si="28"/>
        <v>DATA_Class_Base8</v>
      </c>
      <c r="CG30" s="32" t="s">
        <v>216</v>
      </c>
    </row>
    <row r="31" spans="1:85">
      <c r="A31">
        <f t="shared" si="29"/>
        <v>2022503</v>
      </c>
      <c r="B31" s="32" t="s">
        <v>247</v>
      </c>
      <c r="C31">
        <v>2</v>
      </c>
      <c r="D31">
        <v>5</v>
      </c>
      <c r="E31">
        <v>2</v>
      </c>
      <c r="F31" t="s">
        <v>928</v>
      </c>
      <c r="G31" s="3" t="s">
        <v>929</v>
      </c>
      <c r="H31">
        <v>0</v>
      </c>
      <c r="I31" s="2">
        <v>0</v>
      </c>
      <c r="J31" s="2">
        <f t="shared" si="24"/>
        <v>2.5</v>
      </c>
      <c r="K31" s="2">
        <f t="shared" si="2"/>
        <v>1.17</v>
      </c>
      <c r="L31" s="2">
        <f t="shared" si="0"/>
        <v>1.1000000000000001</v>
      </c>
      <c r="M31" s="2">
        <v>10</v>
      </c>
      <c r="N31" s="2">
        <f t="shared" si="3"/>
        <v>42.24</v>
      </c>
      <c r="O31" s="2">
        <f t="shared" si="3"/>
        <v>4.2240000000000002</v>
      </c>
      <c r="P31" s="2">
        <f t="shared" si="3"/>
        <v>550</v>
      </c>
      <c r="Q31" s="2">
        <f t="shared" si="3"/>
        <v>55</v>
      </c>
      <c r="R31" s="2">
        <f t="shared" si="3"/>
        <v>24</v>
      </c>
      <c r="S31" s="2">
        <f t="shared" si="3"/>
        <v>2.4000000000000004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>
        <v>20225011</v>
      </c>
      <c r="Z31" s="14" t="s">
        <v>930</v>
      </c>
      <c r="AA31" s="14" t="s">
        <v>869</v>
      </c>
      <c r="AB31" s="2">
        <v>0</v>
      </c>
      <c r="AC31" s="2">
        <v>31</v>
      </c>
      <c r="AD31" s="2"/>
      <c r="AE31" s="2"/>
      <c r="AF31">
        <v>1</v>
      </c>
      <c r="AG31" s="1">
        <f t="shared" si="4"/>
        <v>166.91022599324427</v>
      </c>
      <c r="AH31">
        <v>2</v>
      </c>
      <c r="AI31">
        <f t="shared" si="30"/>
        <v>42.24</v>
      </c>
      <c r="AJ31">
        <f t="shared" si="31"/>
        <v>4.2240000000000002</v>
      </c>
      <c r="AK31">
        <f t="shared" si="32"/>
        <v>550</v>
      </c>
      <c r="AL31">
        <f t="shared" si="33"/>
        <v>55</v>
      </c>
      <c r="AM31">
        <f t="shared" si="25"/>
        <v>24</v>
      </c>
      <c r="AN31">
        <f t="shared" si="26"/>
        <v>2.4000000000000004</v>
      </c>
      <c r="AO31">
        <f t="shared" si="11"/>
        <v>1.6</v>
      </c>
      <c r="AP31">
        <f t="shared" si="12"/>
        <v>1.5</v>
      </c>
      <c r="AQ31">
        <f t="shared" si="13"/>
        <v>2.5</v>
      </c>
      <c r="AR31">
        <v>503</v>
      </c>
      <c r="AS31" s="1" t="str">
        <f t="shared" si="27"/>
        <v>3</v>
      </c>
      <c r="AT31">
        <v>2</v>
      </c>
      <c r="AU31">
        <v>503</v>
      </c>
      <c r="AV31" s="2" t="s">
        <v>221</v>
      </c>
      <c r="AW31">
        <v>1.2</v>
      </c>
      <c r="AX31">
        <f t="shared" si="34"/>
        <v>0.83333333333333337</v>
      </c>
      <c r="AY31">
        <v>0.8</v>
      </c>
      <c r="AZ31" s="8">
        <v>1.6</v>
      </c>
      <c r="BA31">
        <f t="shared" si="18"/>
        <v>38.4</v>
      </c>
      <c r="BB31">
        <f t="shared" si="19"/>
        <v>500</v>
      </c>
      <c r="BC31">
        <f t="shared" si="20"/>
        <v>24</v>
      </c>
      <c r="BD31">
        <v>2.5</v>
      </c>
      <c r="BE31">
        <f t="shared" si="35"/>
        <v>24</v>
      </c>
      <c r="BF31">
        <f t="shared" si="22"/>
        <v>1.3333333333333333</v>
      </c>
      <c r="BG31">
        <v>40</v>
      </c>
      <c r="BH31">
        <f t="shared" si="14"/>
        <v>1.3333333333333333</v>
      </c>
      <c r="BI31">
        <v>40</v>
      </c>
      <c r="BP31">
        <v>0</v>
      </c>
      <c r="BQ31" t="str">
        <f t="shared" si="16"/>
        <v>0</v>
      </c>
      <c r="BT31">
        <v>7</v>
      </c>
      <c r="BU31">
        <f t="shared" si="36"/>
        <v>221007</v>
      </c>
      <c r="BV31">
        <f t="shared" si="37"/>
        <v>221007</v>
      </c>
      <c r="CC31" s="2" t="s">
        <v>283</v>
      </c>
      <c r="CD31" t="s">
        <v>931</v>
      </c>
      <c r="CF31" t="str">
        <f t="shared" si="28"/>
        <v>DATA_Class_Base11</v>
      </c>
      <c r="CG31" s="32" t="s">
        <v>221</v>
      </c>
    </row>
    <row r="32" spans="1:85">
      <c r="A32">
        <f t="shared" si="29"/>
        <v>2022404</v>
      </c>
      <c r="B32" s="32" t="s">
        <v>296</v>
      </c>
      <c r="C32">
        <v>2</v>
      </c>
      <c r="D32">
        <v>4</v>
      </c>
      <c r="E32">
        <v>2</v>
      </c>
      <c r="F32" t="s">
        <v>932</v>
      </c>
      <c r="G32" s="3" t="s">
        <v>933</v>
      </c>
      <c r="H32">
        <v>0</v>
      </c>
      <c r="I32" s="2">
        <v>0</v>
      </c>
      <c r="J32" s="2">
        <f t="shared" si="24"/>
        <v>5</v>
      </c>
      <c r="K32" s="2">
        <f t="shared" si="2"/>
        <v>1.17</v>
      </c>
      <c r="L32" s="2">
        <f t="shared" si="0"/>
        <v>1.3900000000000001</v>
      </c>
      <c r="M32" s="2">
        <v>10</v>
      </c>
      <c r="N32" s="2">
        <f t="shared" si="3"/>
        <v>38.720000000000013</v>
      </c>
      <c r="O32" s="2">
        <f t="shared" si="3"/>
        <v>3.8720000000000017</v>
      </c>
      <c r="P32" s="2">
        <f t="shared" si="3"/>
        <v>600</v>
      </c>
      <c r="Q32" s="2">
        <f t="shared" si="3"/>
        <v>60</v>
      </c>
      <c r="R32" s="2">
        <f t="shared" si="3"/>
        <v>27</v>
      </c>
      <c r="S32" s="2">
        <f t="shared" si="3"/>
        <v>2.7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>
        <v>20224021</v>
      </c>
      <c r="Z32" s="14" t="s">
        <v>934</v>
      </c>
      <c r="AA32" s="14" t="s">
        <v>869</v>
      </c>
      <c r="AB32" s="2">
        <v>0</v>
      </c>
      <c r="AC32" s="2">
        <v>31</v>
      </c>
      <c r="AD32" s="2"/>
      <c r="AE32" s="2"/>
      <c r="AF32">
        <v>1</v>
      </c>
      <c r="AG32" s="1">
        <f t="shared" si="4"/>
        <v>167.02104500734364</v>
      </c>
      <c r="AH32">
        <v>2</v>
      </c>
      <c r="AI32">
        <f t="shared" si="30"/>
        <v>38.720000000000013</v>
      </c>
      <c r="AJ32">
        <f t="shared" si="31"/>
        <v>3.8720000000000017</v>
      </c>
      <c r="AK32">
        <f t="shared" si="32"/>
        <v>600</v>
      </c>
      <c r="AL32">
        <f t="shared" si="33"/>
        <v>60</v>
      </c>
      <c r="AM32">
        <f t="shared" si="25"/>
        <v>27</v>
      </c>
      <c r="AN32">
        <f t="shared" si="26"/>
        <v>2.7</v>
      </c>
      <c r="AO32">
        <f t="shared" si="11"/>
        <v>1.6</v>
      </c>
      <c r="AP32">
        <f t="shared" si="12"/>
        <v>1.9</v>
      </c>
      <c r="AQ32">
        <f t="shared" si="13"/>
        <v>5</v>
      </c>
      <c r="AR32">
        <v>404</v>
      </c>
      <c r="AS32" s="1" t="str">
        <f t="shared" si="27"/>
        <v>4</v>
      </c>
      <c r="AT32">
        <v>2</v>
      </c>
      <c r="AU32">
        <v>504</v>
      </c>
      <c r="AV32" s="2" t="s">
        <v>222</v>
      </c>
      <c r="AW32">
        <v>1.2</v>
      </c>
      <c r="AX32">
        <f t="shared" si="34"/>
        <v>0.83333333333333337</v>
      </c>
      <c r="AY32">
        <v>0.8</v>
      </c>
      <c r="AZ32" s="8">
        <v>1.8</v>
      </c>
      <c r="BA32">
        <f t="shared" si="18"/>
        <v>43.199999999999996</v>
      </c>
      <c r="BB32">
        <f t="shared" si="19"/>
        <v>500</v>
      </c>
      <c r="BC32">
        <f t="shared" si="20"/>
        <v>24</v>
      </c>
      <c r="BD32">
        <v>2.5</v>
      </c>
      <c r="BE32">
        <f t="shared" si="35"/>
        <v>24</v>
      </c>
      <c r="BF32">
        <f t="shared" si="22"/>
        <v>1.5</v>
      </c>
      <c r="BG32">
        <v>45</v>
      </c>
      <c r="BH32">
        <f t="shared" si="14"/>
        <v>1.3</v>
      </c>
      <c r="BI32">
        <v>39</v>
      </c>
      <c r="BP32">
        <v>0</v>
      </c>
      <c r="BQ32" t="str">
        <f t="shared" si="16"/>
        <v>0</v>
      </c>
      <c r="BT32">
        <v>8</v>
      </c>
      <c r="BU32">
        <f t="shared" si="36"/>
        <v>221008</v>
      </c>
      <c r="BV32">
        <f t="shared" si="37"/>
        <v>221008</v>
      </c>
      <c r="CC32" s="2" t="s">
        <v>317</v>
      </c>
      <c r="CD32" t="s">
        <v>935</v>
      </c>
      <c r="CF32" t="str">
        <f t="shared" si="28"/>
        <v>DATA_Class_Base14</v>
      </c>
      <c r="CG32" s="32" t="s">
        <v>277</v>
      </c>
    </row>
    <row r="33" spans="1:85">
      <c r="A33">
        <f t="shared" si="29"/>
        <v>2023206</v>
      </c>
      <c r="B33" s="32" t="s">
        <v>245</v>
      </c>
      <c r="C33">
        <v>2</v>
      </c>
      <c r="D33">
        <v>2</v>
      </c>
      <c r="E33">
        <v>3</v>
      </c>
      <c r="F33" t="s">
        <v>936</v>
      </c>
      <c r="G33" s="3" t="s">
        <v>937</v>
      </c>
      <c r="H33">
        <v>0</v>
      </c>
      <c r="I33" s="2">
        <v>0</v>
      </c>
      <c r="J33" s="2">
        <f t="shared" si="24"/>
        <v>2.5</v>
      </c>
      <c r="K33" s="2">
        <f t="shared" si="2"/>
        <v>1.17</v>
      </c>
      <c r="L33" s="2">
        <f t="shared" si="0"/>
        <v>1.47</v>
      </c>
      <c r="M33" s="2">
        <v>10</v>
      </c>
      <c r="N33" s="2">
        <f t="shared" si="3"/>
        <v>28.160000000000007</v>
      </c>
      <c r="O33" s="2">
        <f t="shared" si="3"/>
        <v>2.8160000000000007</v>
      </c>
      <c r="P33" s="2">
        <f t="shared" si="3"/>
        <v>825.00000000000011</v>
      </c>
      <c r="Q33" s="2">
        <f t="shared" si="3"/>
        <v>82.500000000000014</v>
      </c>
      <c r="R33" s="2">
        <f t="shared" si="3"/>
        <v>36</v>
      </c>
      <c r="S33" s="2">
        <f t="shared" si="3"/>
        <v>3.6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>
        <v>20232001</v>
      </c>
      <c r="Z33" s="14" t="s">
        <v>938</v>
      </c>
      <c r="AA33" s="14" t="s">
        <v>869</v>
      </c>
      <c r="AB33" s="2">
        <v>0</v>
      </c>
      <c r="AC33" s="2">
        <v>31</v>
      </c>
      <c r="AD33" s="2"/>
      <c r="AE33" s="2"/>
      <c r="AF33">
        <v>1</v>
      </c>
      <c r="AG33" s="1">
        <f t="shared" si="4"/>
        <v>167.35438674300465</v>
      </c>
      <c r="AH33">
        <v>2</v>
      </c>
      <c r="AI33">
        <f t="shared" si="30"/>
        <v>28.160000000000007</v>
      </c>
      <c r="AJ33">
        <f t="shared" si="31"/>
        <v>2.8160000000000007</v>
      </c>
      <c r="AK33">
        <f t="shared" si="32"/>
        <v>825.00000000000011</v>
      </c>
      <c r="AL33">
        <f t="shared" si="33"/>
        <v>82.500000000000014</v>
      </c>
      <c r="AM33">
        <f t="shared" si="25"/>
        <v>36</v>
      </c>
      <c r="AN33">
        <f t="shared" si="26"/>
        <v>3.6</v>
      </c>
      <c r="AO33">
        <f t="shared" si="11"/>
        <v>1.6</v>
      </c>
      <c r="AP33">
        <f t="shared" si="12"/>
        <v>2</v>
      </c>
      <c r="AQ33">
        <f t="shared" si="13"/>
        <v>2.5</v>
      </c>
      <c r="AR33">
        <v>206</v>
      </c>
      <c r="AS33" s="1" t="str">
        <f t="shared" si="27"/>
        <v>6</v>
      </c>
      <c r="AT33">
        <v>2</v>
      </c>
      <c r="AU33">
        <v>101</v>
      </c>
      <c r="AV33" s="2" t="s">
        <v>224</v>
      </c>
      <c r="AW33">
        <v>1</v>
      </c>
      <c r="AX33">
        <f t="shared" si="34"/>
        <v>1</v>
      </c>
      <c r="AY33">
        <v>1</v>
      </c>
      <c r="AZ33" s="8">
        <v>1.6</v>
      </c>
      <c r="BA33">
        <f t="shared" si="18"/>
        <v>32</v>
      </c>
      <c r="BB33">
        <f t="shared" si="19"/>
        <v>600</v>
      </c>
      <c r="BC33">
        <f t="shared" si="20"/>
        <v>30</v>
      </c>
      <c r="BD33">
        <v>2.5</v>
      </c>
      <c r="BE33">
        <f t="shared" si="35"/>
        <v>20</v>
      </c>
      <c r="BF33">
        <f t="shared" si="22"/>
        <v>1.3333333333333333</v>
      </c>
      <c r="BG33">
        <v>40</v>
      </c>
      <c r="BH33">
        <f t="shared" si="14"/>
        <v>1.6666666666666667</v>
      </c>
      <c r="BI33">
        <v>50</v>
      </c>
      <c r="BP33">
        <v>0</v>
      </c>
      <c r="BQ33" t="str">
        <f t="shared" si="16"/>
        <v>0</v>
      </c>
      <c r="BT33">
        <v>9</v>
      </c>
      <c r="BU33">
        <f t="shared" si="36"/>
        <v>221009</v>
      </c>
      <c r="BV33">
        <f t="shared" si="37"/>
        <v>221009</v>
      </c>
      <c r="CC33" s="2" t="s">
        <v>323</v>
      </c>
      <c r="CD33" t="s">
        <v>939</v>
      </c>
      <c r="CF33" t="str">
        <f t="shared" si="28"/>
        <v>DATA_Class_Base1</v>
      </c>
      <c r="CG33" s="3" t="s">
        <v>246</v>
      </c>
    </row>
    <row r="34" spans="1:85">
      <c r="A34">
        <f t="shared" si="29"/>
        <v>2023406</v>
      </c>
      <c r="B34" s="32" t="s">
        <v>251</v>
      </c>
      <c r="C34">
        <v>2</v>
      </c>
      <c r="D34">
        <v>4</v>
      </c>
      <c r="E34">
        <v>3</v>
      </c>
      <c r="F34" t="s">
        <v>940</v>
      </c>
      <c r="G34" s="3" t="s">
        <v>941</v>
      </c>
      <c r="H34" s="2">
        <v>0</v>
      </c>
      <c r="I34" s="2" t="s">
        <v>250</v>
      </c>
      <c r="J34" s="2">
        <f t="shared" si="24"/>
        <v>5</v>
      </c>
      <c r="K34" s="2">
        <f t="shared" si="2"/>
        <v>1.02</v>
      </c>
      <c r="L34" s="2">
        <f t="shared" si="0"/>
        <v>0.88</v>
      </c>
      <c r="M34" s="2">
        <v>10</v>
      </c>
      <c r="N34" s="2">
        <f t="shared" si="3"/>
        <v>33.880000000000003</v>
      </c>
      <c r="O34" s="2">
        <f t="shared" si="3"/>
        <v>3.3880000000000003</v>
      </c>
      <c r="P34" s="2">
        <f t="shared" si="3"/>
        <v>600</v>
      </c>
      <c r="Q34" s="2">
        <f t="shared" si="3"/>
        <v>60</v>
      </c>
      <c r="R34" s="2">
        <f t="shared" si="3"/>
        <v>27</v>
      </c>
      <c r="S34" s="2">
        <f t="shared" si="3"/>
        <v>2.7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>
        <v>20234001</v>
      </c>
      <c r="Z34" s="14" t="s">
        <v>942</v>
      </c>
      <c r="AA34" s="14" t="s">
        <v>869</v>
      </c>
      <c r="AB34" s="2">
        <v>0</v>
      </c>
      <c r="AC34" s="2">
        <v>31</v>
      </c>
      <c r="AD34" s="2"/>
      <c r="AE34" s="2"/>
      <c r="AF34">
        <v>1</v>
      </c>
      <c r="AG34" s="1">
        <f t="shared" si="4"/>
        <v>167.02104500734359</v>
      </c>
      <c r="AH34">
        <v>2</v>
      </c>
      <c r="AI34">
        <f t="shared" si="30"/>
        <v>33.880000000000003</v>
      </c>
      <c r="AJ34">
        <f t="shared" si="31"/>
        <v>3.3880000000000003</v>
      </c>
      <c r="AK34">
        <f t="shared" si="32"/>
        <v>600</v>
      </c>
      <c r="AL34">
        <f t="shared" si="33"/>
        <v>60</v>
      </c>
      <c r="AM34">
        <f t="shared" si="25"/>
        <v>27</v>
      </c>
      <c r="AN34">
        <f t="shared" si="26"/>
        <v>2.7</v>
      </c>
      <c r="AO34">
        <f t="shared" si="11"/>
        <v>1.4</v>
      </c>
      <c r="AP34">
        <f t="shared" si="12"/>
        <v>1.2</v>
      </c>
      <c r="AQ34">
        <f t="shared" si="13"/>
        <v>5</v>
      </c>
      <c r="AR34">
        <v>406</v>
      </c>
      <c r="AS34" s="1" t="str">
        <f t="shared" si="27"/>
        <v>6</v>
      </c>
      <c r="AT34">
        <v>2</v>
      </c>
      <c r="AU34">
        <v>102</v>
      </c>
      <c r="AV34" s="2" t="s">
        <v>226</v>
      </c>
      <c r="AW34">
        <v>1</v>
      </c>
      <c r="AX34">
        <f t="shared" si="34"/>
        <v>1</v>
      </c>
      <c r="AY34">
        <v>1</v>
      </c>
      <c r="AZ34" s="8">
        <v>1.4</v>
      </c>
      <c r="BA34">
        <f t="shared" si="18"/>
        <v>28</v>
      </c>
      <c r="BB34">
        <f t="shared" si="19"/>
        <v>600</v>
      </c>
      <c r="BC34">
        <f t="shared" si="20"/>
        <v>30</v>
      </c>
      <c r="BD34">
        <v>2.5</v>
      </c>
      <c r="BE34">
        <f t="shared" si="35"/>
        <v>20</v>
      </c>
      <c r="BF34">
        <f t="shared" si="22"/>
        <v>1</v>
      </c>
      <c r="BG34">
        <v>30</v>
      </c>
      <c r="BH34">
        <f t="shared" si="14"/>
        <v>1.3333333333333333</v>
      </c>
      <c r="BI34">
        <v>40</v>
      </c>
      <c r="BP34">
        <v>0</v>
      </c>
      <c r="BQ34" t="str">
        <f t="shared" si="16"/>
        <v>0</v>
      </c>
      <c r="BT34">
        <v>10</v>
      </c>
      <c r="BU34">
        <f t="shared" si="36"/>
        <v>221010</v>
      </c>
      <c r="BV34">
        <f t="shared" si="37"/>
        <v>221010</v>
      </c>
      <c r="CC34" s="2" t="s">
        <v>301</v>
      </c>
      <c r="CD34" t="s">
        <v>943</v>
      </c>
      <c r="CF34" t="str">
        <f t="shared" si="28"/>
        <v>DATA_Class_Base2</v>
      </c>
      <c r="CG34" s="3" t="s">
        <v>252</v>
      </c>
    </row>
    <row r="35" spans="1:85">
      <c r="A35">
        <f t="shared" si="29"/>
        <v>2023501</v>
      </c>
      <c r="B35" s="32" t="s">
        <v>278</v>
      </c>
      <c r="C35">
        <v>2</v>
      </c>
      <c r="D35">
        <v>5</v>
      </c>
      <c r="E35">
        <v>3</v>
      </c>
      <c r="F35" t="s">
        <v>333</v>
      </c>
      <c r="G35" t="s">
        <v>333</v>
      </c>
      <c r="H35" s="2">
        <v>0</v>
      </c>
      <c r="I35" s="2" t="s">
        <v>334</v>
      </c>
      <c r="J35" s="2">
        <f t="shared" si="24"/>
        <v>6</v>
      </c>
      <c r="K35" s="2">
        <f t="shared" si="2"/>
        <v>1.17</v>
      </c>
      <c r="L35" s="2">
        <f t="shared" si="0"/>
        <v>1.47</v>
      </c>
      <c r="M35" s="2">
        <v>10</v>
      </c>
      <c r="N35" s="2">
        <f t="shared" si="3"/>
        <v>42.24</v>
      </c>
      <c r="O35" s="2">
        <f t="shared" si="3"/>
        <v>4.2240000000000002</v>
      </c>
      <c r="P35" s="2">
        <f t="shared" si="3"/>
        <v>547.80000000000007</v>
      </c>
      <c r="Q35" s="2">
        <f t="shared" si="3"/>
        <v>54.780000000000008</v>
      </c>
      <c r="R35" s="2">
        <f t="shared" si="3"/>
        <v>24</v>
      </c>
      <c r="S35" s="2">
        <f t="shared" si="3"/>
        <v>2.4000000000000004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>
        <v>20235011</v>
      </c>
      <c r="Z35" s="14" t="s">
        <v>944</v>
      </c>
      <c r="AA35" s="14" t="s">
        <v>869</v>
      </c>
      <c r="AB35" s="2">
        <v>0</v>
      </c>
      <c r="AC35" s="2">
        <v>31</v>
      </c>
      <c r="AD35" s="2"/>
      <c r="AE35" s="2"/>
      <c r="AF35">
        <v>1</v>
      </c>
      <c r="AG35" s="1">
        <f t="shared" si="4"/>
        <v>166.24258508927139</v>
      </c>
      <c r="AH35">
        <v>2</v>
      </c>
      <c r="AI35">
        <f t="shared" si="30"/>
        <v>42.24</v>
      </c>
      <c r="AJ35">
        <f t="shared" si="31"/>
        <v>4.2240000000000002</v>
      </c>
      <c r="AK35">
        <f t="shared" si="32"/>
        <v>547.80000000000007</v>
      </c>
      <c r="AL35">
        <f t="shared" si="33"/>
        <v>54.780000000000008</v>
      </c>
      <c r="AM35">
        <f t="shared" si="25"/>
        <v>24</v>
      </c>
      <c r="AN35">
        <f t="shared" si="26"/>
        <v>2.4000000000000004</v>
      </c>
      <c r="AO35">
        <f t="shared" si="11"/>
        <v>1.6</v>
      </c>
      <c r="AP35">
        <f t="shared" si="12"/>
        <v>2</v>
      </c>
      <c r="AQ35">
        <f t="shared" si="13"/>
        <v>6</v>
      </c>
      <c r="AR35">
        <v>501</v>
      </c>
      <c r="AS35" s="1" t="str">
        <f t="shared" si="27"/>
        <v>1</v>
      </c>
      <c r="AT35">
        <v>2</v>
      </c>
      <c r="AZ35" s="8"/>
      <c r="BP35" t="s">
        <v>945</v>
      </c>
      <c r="BQ35" t="str">
        <f t="shared" si="16"/>
        <v>1</v>
      </c>
      <c r="BT35">
        <v>11</v>
      </c>
      <c r="BU35">
        <f t="shared" si="36"/>
        <v>221011</v>
      </c>
      <c r="BV35">
        <f t="shared" si="37"/>
        <v>221011</v>
      </c>
      <c r="CC35" s="2" t="s">
        <v>289</v>
      </c>
      <c r="CD35" t="s">
        <v>946</v>
      </c>
      <c r="CF35" t="str">
        <f t="shared" si="28"/>
        <v>DATA_Class_Base15</v>
      </c>
      <c r="CG35" s="32" t="s">
        <v>927</v>
      </c>
    </row>
    <row r="36" spans="1:85">
      <c r="A36">
        <f t="shared" si="29"/>
        <v>2023504</v>
      </c>
      <c r="B36" s="32" t="s">
        <v>247</v>
      </c>
      <c r="C36">
        <v>2</v>
      </c>
      <c r="D36">
        <v>5</v>
      </c>
      <c r="E36">
        <v>3</v>
      </c>
      <c r="F36" t="s">
        <v>947</v>
      </c>
      <c r="G36" s="3" t="s">
        <v>948</v>
      </c>
      <c r="H36">
        <v>0</v>
      </c>
      <c r="I36" s="2">
        <v>0</v>
      </c>
      <c r="J36" s="2">
        <f t="shared" si="24"/>
        <v>2.5</v>
      </c>
      <c r="K36" s="2">
        <f t="shared" si="2"/>
        <v>1.32</v>
      </c>
      <c r="L36" s="2">
        <f t="shared" si="0"/>
        <v>1.1000000000000001</v>
      </c>
      <c r="M36" s="2">
        <v>10</v>
      </c>
      <c r="N36" s="2">
        <f t="shared" si="3"/>
        <v>47.52000000000001</v>
      </c>
      <c r="O36" s="2">
        <f t="shared" si="3"/>
        <v>4.7520000000000016</v>
      </c>
      <c r="P36" s="2">
        <f t="shared" si="3"/>
        <v>550</v>
      </c>
      <c r="Q36" s="2">
        <f t="shared" si="3"/>
        <v>55</v>
      </c>
      <c r="R36" s="2">
        <f t="shared" si="3"/>
        <v>24</v>
      </c>
      <c r="S36" s="2">
        <f t="shared" si="3"/>
        <v>2.4000000000000004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>
        <v>20235001</v>
      </c>
      <c r="Z36" s="14" t="s">
        <v>949</v>
      </c>
      <c r="AA36" s="14" t="s">
        <v>869</v>
      </c>
      <c r="AB36" s="2">
        <v>0</v>
      </c>
      <c r="AC36" s="2">
        <v>31</v>
      </c>
      <c r="AD36" s="2"/>
      <c r="AE36" s="2"/>
      <c r="AF36">
        <v>1</v>
      </c>
      <c r="AG36" s="1">
        <f t="shared" si="4"/>
        <v>166.91022599324435</v>
      </c>
      <c r="AH36">
        <v>2</v>
      </c>
      <c r="AI36">
        <f t="shared" si="30"/>
        <v>47.52000000000001</v>
      </c>
      <c r="AJ36">
        <f t="shared" si="31"/>
        <v>4.7520000000000016</v>
      </c>
      <c r="AK36">
        <f t="shared" si="32"/>
        <v>550</v>
      </c>
      <c r="AL36">
        <f t="shared" si="33"/>
        <v>55</v>
      </c>
      <c r="AM36">
        <f t="shared" si="25"/>
        <v>24</v>
      </c>
      <c r="AN36">
        <f t="shared" si="26"/>
        <v>2.4000000000000004</v>
      </c>
      <c r="AO36">
        <f t="shared" si="11"/>
        <v>1.8</v>
      </c>
      <c r="AP36">
        <f t="shared" si="12"/>
        <v>1.5</v>
      </c>
      <c r="AQ36">
        <f t="shared" si="13"/>
        <v>2.5</v>
      </c>
      <c r="AR36">
        <v>504</v>
      </c>
      <c r="AS36" s="1">
        <v>0</v>
      </c>
      <c r="AT36">
        <v>2</v>
      </c>
      <c r="AX36" s="3">
        <f>1.5/1.363</f>
        <v>1.1005135730007336</v>
      </c>
      <c r="BP36">
        <v>0</v>
      </c>
      <c r="BQ36" t="str">
        <f t="shared" si="16"/>
        <v>0</v>
      </c>
      <c r="BT36">
        <v>12</v>
      </c>
      <c r="BU36">
        <f t="shared" si="36"/>
        <v>221012</v>
      </c>
      <c r="BV36">
        <f t="shared" si="37"/>
        <v>221012</v>
      </c>
      <c r="CC36" s="2" t="s">
        <v>307</v>
      </c>
      <c r="CD36" t="s">
        <v>122</v>
      </c>
      <c r="CF36" t="str">
        <f t="shared" si="28"/>
        <v>DATA_Class_Base11</v>
      </c>
      <c r="CG36" s="32" t="s">
        <v>221</v>
      </c>
    </row>
    <row r="37" spans="1:85">
      <c r="A37">
        <f t="shared" si="29"/>
        <v>3031201</v>
      </c>
      <c r="B37" s="6" t="s">
        <v>283</v>
      </c>
      <c r="C37">
        <v>3</v>
      </c>
      <c r="D37">
        <v>2</v>
      </c>
      <c r="E37">
        <v>1</v>
      </c>
      <c r="F37" t="s">
        <v>911</v>
      </c>
      <c r="G37" t="str">
        <f>F37</f>
        <v>战士1_33_1</v>
      </c>
      <c r="H37" s="2">
        <v>0</v>
      </c>
      <c r="I37" s="2" t="s">
        <v>298</v>
      </c>
      <c r="J37" s="2">
        <f t="shared" si="24"/>
        <v>2.5</v>
      </c>
      <c r="K37" s="2">
        <f t="shared" si="2"/>
        <v>1.32</v>
      </c>
      <c r="L37" s="2">
        <f t="shared" si="0"/>
        <v>1.32</v>
      </c>
      <c r="M37" s="2">
        <v>10</v>
      </c>
      <c r="N37" s="2">
        <f t="shared" si="3"/>
        <v>34.56</v>
      </c>
      <c r="O37" s="2">
        <f t="shared" si="3"/>
        <v>3.4560000000000004</v>
      </c>
      <c r="P37" s="2">
        <f t="shared" si="3"/>
        <v>900</v>
      </c>
      <c r="Q37" s="2">
        <f t="shared" si="3"/>
        <v>90</v>
      </c>
      <c r="R37" s="2">
        <f t="shared" si="3"/>
        <v>36</v>
      </c>
      <c r="S37" s="2">
        <f t="shared" si="3"/>
        <v>3.6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>
        <v>30312011</v>
      </c>
      <c r="Z37" s="14" t="s">
        <v>950</v>
      </c>
      <c r="AA37" s="14" t="s">
        <v>869</v>
      </c>
      <c r="AB37" s="2">
        <v>0</v>
      </c>
      <c r="AC37" s="2">
        <v>31</v>
      </c>
      <c r="AD37" s="2"/>
      <c r="AE37" s="2"/>
      <c r="AF37">
        <v>1</v>
      </c>
      <c r="AG37" s="1">
        <f t="shared" si="4"/>
        <v>199.16555116522863</v>
      </c>
      <c r="AH37">
        <v>3</v>
      </c>
      <c r="AI37">
        <f t="shared" si="30"/>
        <v>34.56</v>
      </c>
      <c r="AJ37">
        <f t="shared" si="31"/>
        <v>3.4560000000000004</v>
      </c>
      <c r="AK37">
        <f t="shared" si="32"/>
        <v>900</v>
      </c>
      <c r="AL37">
        <f t="shared" si="33"/>
        <v>90</v>
      </c>
      <c r="AM37">
        <f t="shared" si="25"/>
        <v>36</v>
      </c>
      <c r="AN37">
        <f t="shared" si="26"/>
        <v>3.6</v>
      </c>
      <c r="AO37">
        <f t="shared" si="11"/>
        <v>1.8</v>
      </c>
      <c r="AP37">
        <f t="shared" si="12"/>
        <v>1.8</v>
      </c>
      <c r="AQ37">
        <f t="shared" si="13"/>
        <v>2.5</v>
      </c>
      <c r="AR37">
        <v>201</v>
      </c>
      <c r="AS37" s="1" t="str">
        <f t="shared" ref="AS37:AS100" si="38">RIGHT(AR37,1)</f>
        <v>1</v>
      </c>
      <c r="AT37">
        <v>3</v>
      </c>
      <c r="BP37" t="s">
        <v>913</v>
      </c>
      <c r="BQ37" t="str">
        <f t="shared" si="16"/>
        <v>1</v>
      </c>
      <c r="BT37">
        <v>1</v>
      </c>
      <c r="BU37">
        <f t="shared" si="36"/>
        <v>331001</v>
      </c>
      <c r="BV37">
        <f t="shared" si="37"/>
        <v>331001</v>
      </c>
      <c r="CC37" s="2" t="s">
        <v>332</v>
      </c>
      <c r="CD37" t="s">
        <v>193</v>
      </c>
      <c r="CF37" t="str">
        <f t="shared" si="28"/>
        <v>DATA_Class_Base16</v>
      </c>
      <c r="CG37" s="6" t="s">
        <v>931</v>
      </c>
    </row>
    <row r="38" spans="1:85">
      <c r="A38">
        <f t="shared" si="29"/>
        <v>3031301</v>
      </c>
      <c r="B38" s="6" t="s">
        <v>317</v>
      </c>
      <c r="C38">
        <v>3</v>
      </c>
      <c r="D38">
        <v>3</v>
      </c>
      <c r="E38">
        <v>1</v>
      </c>
      <c r="F38" t="s">
        <v>284</v>
      </c>
      <c r="G38" t="str">
        <f t="shared" ref="G38:G101" si="39">F38</f>
        <v>刺客1_33_1</v>
      </c>
      <c r="H38" s="2">
        <v>0</v>
      </c>
      <c r="I38" s="2" t="s">
        <v>285</v>
      </c>
      <c r="J38" s="2">
        <f t="shared" si="24"/>
        <v>2.5</v>
      </c>
      <c r="K38" s="2">
        <f t="shared" si="2"/>
        <v>0.88</v>
      </c>
      <c r="L38" s="2">
        <f t="shared" si="0"/>
        <v>1.47</v>
      </c>
      <c r="M38" s="2">
        <v>10</v>
      </c>
      <c r="N38" s="2">
        <f t="shared" si="3"/>
        <v>25.92</v>
      </c>
      <c r="O38" s="2">
        <f t="shared" si="3"/>
        <v>2.5920000000000005</v>
      </c>
      <c r="P38" s="2">
        <f t="shared" si="3"/>
        <v>799.20000000000016</v>
      </c>
      <c r="Q38" s="2">
        <f t="shared" si="3"/>
        <v>79.920000000000016</v>
      </c>
      <c r="R38" s="2">
        <f t="shared" si="3"/>
        <v>33</v>
      </c>
      <c r="S38" s="2">
        <f t="shared" si="3"/>
        <v>3.3000000000000003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>
        <v>30313011</v>
      </c>
      <c r="Z38" s="14" t="s">
        <v>951</v>
      </c>
      <c r="AA38" s="14" t="s">
        <v>869</v>
      </c>
      <c r="AB38" s="2">
        <v>0</v>
      </c>
      <c r="AC38" s="2">
        <v>31</v>
      </c>
      <c r="AD38" s="2"/>
      <c r="AE38" s="2"/>
      <c r="AF38">
        <v>1</v>
      </c>
      <c r="AG38" s="1">
        <f t="shared" si="4"/>
        <v>198.83410746016082</v>
      </c>
      <c r="AH38">
        <v>3</v>
      </c>
      <c r="AI38">
        <f t="shared" si="30"/>
        <v>25.92</v>
      </c>
      <c r="AJ38">
        <f t="shared" si="31"/>
        <v>2.5920000000000005</v>
      </c>
      <c r="AK38">
        <f t="shared" si="32"/>
        <v>799.20000000000016</v>
      </c>
      <c r="AL38">
        <f t="shared" si="33"/>
        <v>79.920000000000016</v>
      </c>
      <c r="AM38">
        <f t="shared" si="25"/>
        <v>33</v>
      </c>
      <c r="AN38">
        <f t="shared" si="26"/>
        <v>3.3000000000000003</v>
      </c>
      <c r="AO38">
        <f t="shared" si="11"/>
        <v>1.2</v>
      </c>
      <c r="AP38">
        <f t="shared" si="12"/>
        <v>2</v>
      </c>
      <c r="AQ38">
        <f t="shared" si="13"/>
        <v>2.5</v>
      </c>
      <c r="AR38">
        <v>301</v>
      </c>
      <c r="AS38" s="1" t="str">
        <f t="shared" si="38"/>
        <v>1</v>
      </c>
      <c r="AT38">
        <v>3</v>
      </c>
      <c r="BP38" t="s">
        <v>923</v>
      </c>
      <c r="BQ38" t="str">
        <f t="shared" si="16"/>
        <v>1</v>
      </c>
      <c r="BT38">
        <v>2</v>
      </c>
      <c r="BU38">
        <f t="shared" si="36"/>
        <v>331002</v>
      </c>
      <c r="BV38">
        <f t="shared" si="37"/>
        <v>331002</v>
      </c>
      <c r="CC38" s="2" t="s">
        <v>337</v>
      </c>
      <c r="CD38" t="s">
        <v>182</v>
      </c>
      <c r="CF38" t="str">
        <f t="shared" si="28"/>
        <v>DATA_Class_Base17</v>
      </c>
      <c r="CG38" s="6" t="s">
        <v>935</v>
      </c>
    </row>
    <row r="39" spans="1:85">
      <c r="A39">
        <f t="shared" si="29"/>
        <v>3031401</v>
      </c>
      <c r="B39" s="6" t="s">
        <v>323</v>
      </c>
      <c r="C39">
        <v>3</v>
      </c>
      <c r="D39">
        <v>4</v>
      </c>
      <c r="E39">
        <v>1</v>
      </c>
      <c r="F39" t="s">
        <v>319</v>
      </c>
      <c r="G39" t="str">
        <f t="shared" si="39"/>
        <v>法师1_33_1</v>
      </c>
      <c r="H39">
        <v>0</v>
      </c>
      <c r="I39" s="2" t="s">
        <v>161</v>
      </c>
      <c r="J39" s="2">
        <f t="shared" si="24"/>
        <v>6</v>
      </c>
      <c r="K39" s="2">
        <f t="shared" si="2"/>
        <v>1.17</v>
      </c>
      <c r="L39" s="2">
        <f t="shared" si="0"/>
        <v>1.47</v>
      </c>
      <c r="M39" s="2">
        <v>10</v>
      </c>
      <c r="N39" s="2">
        <f t="shared" si="3"/>
        <v>42.240000000000009</v>
      </c>
      <c r="O39" s="2">
        <f t="shared" si="3"/>
        <v>4.2240000000000011</v>
      </c>
      <c r="P39" s="2">
        <f t="shared" si="3"/>
        <v>655.19999999999993</v>
      </c>
      <c r="Q39" s="2">
        <f t="shared" si="3"/>
        <v>65.52</v>
      </c>
      <c r="R39" s="2">
        <f t="shared" si="3"/>
        <v>27</v>
      </c>
      <c r="S39" s="2">
        <f t="shared" si="3"/>
        <v>2.7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>
        <v>30314011</v>
      </c>
      <c r="Z39" s="14" t="s">
        <v>952</v>
      </c>
      <c r="AA39" s="14" t="s">
        <v>869</v>
      </c>
      <c r="AB39" s="2">
        <v>0</v>
      </c>
      <c r="AC39" s="2">
        <v>31</v>
      </c>
      <c r="AD39" s="2"/>
      <c r="AE39" s="2"/>
      <c r="AF39">
        <v>1</v>
      </c>
      <c r="AG39" s="1">
        <f t="shared" si="4"/>
        <v>198.96761579783916</v>
      </c>
      <c r="AH39">
        <v>3</v>
      </c>
      <c r="AI39">
        <f t="shared" si="30"/>
        <v>42.240000000000009</v>
      </c>
      <c r="AJ39">
        <f t="shared" si="31"/>
        <v>4.2240000000000011</v>
      </c>
      <c r="AK39">
        <f t="shared" si="32"/>
        <v>655.19999999999993</v>
      </c>
      <c r="AL39">
        <f t="shared" si="33"/>
        <v>65.52</v>
      </c>
      <c r="AM39">
        <f t="shared" si="25"/>
        <v>27</v>
      </c>
      <c r="AN39">
        <f t="shared" si="26"/>
        <v>2.7</v>
      </c>
      <c r="AO39">
        <f t="shared" si="11"/>
        <v>1.6</v>
      </c>
      <c r="AP39">
        <f t="shared" si="12"/>
        <v>2</v>
      </c>
      <c r="AQ39">
        <f t="shared" si="13"/>
        <v>6</v>
      </c>
      <c r="AR39">
        <v>401</v>
      </c>
      <c r="AS39" s="1" t="str">
        <f t="shared" si="38"/>
        <v>1</v>
      </c>
      <c r="AT39">
        <v>3</v>
      </c>
      <c r="BP39" t="s">
        <v>953</v>
      </c>
      <c r="BQ39" t="str">
        <f t="shared" si="16"/>
        <v>1</v>
      </c>
      <c r="BT39">
        <v>3</v>
      </c>
      <c r="BU39">
        <f t="shared" si="36"/>
        <v>331003</v>
      </c>
      <c r="BV39">
        <f t="shared" si="37"/>
        <v>331003</v>
      </c>
      <c r="CC39" s="2" t="s">
        <v>343</v>
      </c>
      <c r="CD39" t="s">
        <v>386</v>
      </c>
      <c r="CF39" t="str">
        <f t="shared" si="28"/>
        <v>DATA_Class_Base18</v>
      </c>
      <c r="CG39" s="6" t="s">
        <v>939</v>
      </c>
    </row>
    <row r="40" spans="1:85">
      <c r="A40">
        <f t="shared" si="29"/>
        <v>3031500</v>
      </c>
      <c r="B40" s="33" t="s">
        <v>301</v>
      </c>
      <c r="C40">
        <v>3</v>
      </c>
      <c r="D40">
        <v>5</v>
      </c>
      <c r="E40">
        <v>1</v>
      </c>
      <c r="F40" t="s">
        <v>954</v>
      </c>
      <c r="G40" t="str">
        <f t="shared" si="39"/>
        <v>游侠0_33_1</v>
      </c>
      <c r="H40" s="2">
        <v>0</v>
      </c>
      <c r="I40" s="2" t="s">
        <v>303</v>
      </c>
      <c r="J40" s="2">
        <f t="shared" si="24"/>
        <v>5</v>
      </c>
      <c r="K40" s="2">
        <f t="shared" si="2"/>
        <v>1.1000000000000001</v>
      </c>
      <c r="L40" s="2">
        <f t="shared" si="0"/>
        <v>1.1000000000000001</v>
      </c>
      <c r="M40" s="2">
        <v>10</v>
      </c>
      <c r="N40" s="2">
        <f t="shared" si="3"/>
        <v>43.199999999999996</v>
      </c>
      <c r="O40" s="2">
        <f t="shared" si="3"/>
        <v>4.3199999999999994</v>
      </c>
      <c r="P40" s="2">
        <f t="shared" si="3"/>
        <v>597.6</v>
      </c>
      <c r="Q40" s="2">
        <f t="shared" si="3"/>
        <v>59.760000000000005</v>
      </c>
      <c r="R40" s="2">
        <f t="shared" si="3"/>
        <v>24</v>
      </c>
      <c r="S40" s="2">
        <f t="shared" si="3"/>
        <v>2.4000000000000004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>
        <v>30315001</v>
      </c>
      <c r="Z40" s="14" t="s">
        <v>955</v>
      </c>
      <c r="AA40" s="14" t="s">
        <v>869</v>
      </c>
      <c r="AB40" s="2">
        <v>0</v>
      </c>
      <c r="AC40" s="2">
        <v>31</v>
      </c>
      <c r="AD40" s="2"/>
      <c r="AE40" s="2"/>
      <c r="AF40">
        <v>1</v>
      </c>
      <c r="AG40" s="1">
        <f t="shared" si="4"/>
        <v>197.84241531285184</v>
      </c>
      <c r="AH40">
        <v>3</v>
      </c>
      <c r="AI40">
        <f t="shared" si="30"/>
        <v>43.199999999999996</v>
      </c>
      <c r="AJ40">
        <f t="shared" si="31"/>
        <v>4.3199999999999994</v>
      </c>
      <c r="AK40">
        <f t="shared" si="32"/>
        <v>597.6</v>
      </c>
      <c r="AL40">
        <f t="shared" si="33"/>
        <v>59.760000000000005</v>
      </c>
      <c r="AM40">
        <f t="shared" si="25"/>
        <v>24</v>
      </c>
      <c r="AN40">
        <f t="shared" si="26"/>
        <v>2.4000000000000004</v>
      </c>
      <c r="AO40">
        <f t="shared" si="11"/>
        <v>1.5</v>
      </c>
      <c r="AP40">
        <f t="shared" si="12"/>
        <v>1.5</v>
      </c>
      <c r="AQ40">
        <f t="shared" si="13"/>
        <v>5</v>
      </c>
      <c r="AR40">
        <v>500</v>
      </c>
      <c r="AS40" s="1" t="str">
        <f t="shared" si="38"/>
        <v>0</v>
      </c>
      <c r="AT40">
        <v>3</v>
      </c>
      <c r="BP40" t="s">
        <v>956</v>
      </c>
      <c r="BQ40" t="str">
        <f t="shared" si="16"/>
        <v>0</v>
      </c>
      <c r="BT40">
        <v>4</v>
      </c>
      <c r="BU40">
        <f t="shared" si="36"/>
        <v>331004</v>
      </c>
      <c r="BV40">
        <f t="shared" si="37"/>
        <v>331004</v>
      </c>
      <c r="CC40" s="2" t="s">
        <v>350</v>
      </c>
      <c r="CD40" t="s">
        <v>957</v>
      </c>
      <c r="CF40" t="str">
        <f t="shared" si="28"/>
        <v>DATA_Class_Base19</v>
      </c>
      <c r="CG40" s="33" t="s">
        <v>943</v>
      </c>
    </row>
    <row r="41" spans="1:85">
      <c r="A41">
        <f t="shared" si="29"/>
        <v>3031601</v>
      </c>
      <c r="B41" s="33" t="s">
        <v>289</v>
      </c>
      <c r="C41">
        <v>3</v>
      </c>
      <c r="D41">
        <v>6</v>
      </c>
      <c r="E41">
        <v>1</v>
      </c>
      <c r="F41" t="s">
        <v>958</v>
      </c>
      <c r="G41" t="str">
        <f t="shared" si="39"/>
        <v>牧师1_33_1</v>
      </c>
      <c r="H41" s="2">
        <v>0</v>
      </c>
      <c r="I41" s="2" t="s">
        <v>309</v>
      </c>
      <c r="J41" s="2">
        <f t="shared" si="24"/>
        <v>5</v>
      </c>
      <c r="K41" s="2">
        <f t="shared" si="2"/>
        <v>1.1000000000000001</v>
      </c>
      <c r="L41" s="2">
        <f t="shared" si="0"/>
        <v>1.47</v>
      </c>
      <c r="M41" s="2">
        <v>10</v>
      </c>
      <c r="N41" s="2">
        <f t="shared" si="3"/>
        <v>36</v>
      </c>
      <c r="O41" s="2">
        <f t="shared" si="3"/>
        <v>3.6</v>
      </c>
      <c r="P41" s="2">
        <f t="shared" si="3"/>
        <v>720</v>
      </c>
      <c r="Q41" s="2">
        <f t="shared" si="3"/>
        <v>72</v>
      </c>
      <c r="R41" s="2">
        <f t="shared" si="3"/>
        <v>30</v>
      </c>
      <c r="S41" s="2">
        <f t="shared" si="3"/>
        <v>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>
        <v>30316011</v>
      </c>
      <c r="Z41" s="14" t="s">
        <v>959</v>
      </c>
      <c r="AA41" s="14" t="s">
        <v>869</v>
      </c>
      <c r="AB41" s="2">
        <v>0</v>
      </c>
      <c r="AC41" s="2">
        <v>31</v>
      </c>
      <c r="AD41" s="2"/>
      <c r="AE41" s="2"/>
      <c r="AF41">
        <v>1</v>
      </c>
      <c r="AG41" s="1">
        <f t="shared" si="4"/>
        <v>198.90090597946448</v>
      </c>
      <c r="AH41">
        <v>3</v>
      </c>
      <c r="AI41">
        <f t="shared" si="30"/>
        <v>36</v>
      </c>
      <c r="AJ41">
        <f t="shared" si="31"/>
        <v>3.6</v>
      </c>
      <c r="AK41">
        <f t="shared" si="32"/>
        <v>720</v>
      </c>
      <c r="AL41">
        <f t="shared" si="33"/>
        <v>72</v>
      </c>
      <c r="AM41">
        <f t="shared" si="25"/>
        <v>30</v>
      </c>
      <c r="AN41">
        <f t="shared" si="26"/>
        <v>3</v>
      </c>
      <c r="AO41">
        <f t="shared" si="11"/>
        <v>1.5</v>
      </c>
      <c r="AP41">
        <f t="shared" si="12"/>
        <v>2</v>
      </c>
      <c r="AQ41">
        <f t="shared" si="13"/>
        <v>5</v>
      </c>
      <c r="AR41">
        <v>601</v>
      </c>
      <c r="AS41" s="1" t="str">
        <f t="shared" si="38"/>
        <v>1</v>
      </c>
      <c r="AT41">
        <v>3</v>
      </c>
      <c r="BP41" t="s">
        <v>960</v>
      </c>
      <c r="BQ41" t="str">
        <f t="shared" si="16"/>
        <v>1</v>
      </c>
      <c r="BT41">
        <v>5</v>
      </c>
      <c r="BU41">
        <f t="shared" si="36"/>
        <v>331005</v>
      </c>
      <c r="BV41">
        <f t="shared" si="37"/>
        <v>331005</v>
      </c>
      <c r="CC41" s="2" t="s">
        <v>356</v>
      </c>
      <c r="CD41" t="s">
        <v>961</v>
      </c>
      <c r="CF41" t="str">
        <f t="shared" si="28"/>
        <v>DATA_Class_Base20</v>
      </c>
      <c r="CG41" s="33" t="s">
        <v>946</v>
      </c>
    </row>
    <row r="42" spans="1:85">
      <c r="A42">
        <f t="shared" si="29"/>
        <v>3032200</v>
      </c>
      <c r="B42" s="6" t="s">
        <v>307</v>
      </c>
      <c r="C42">
        <v>3</v>
      </c>
      <c r="D42">
        <v>2</v>
      </c>
      <c r="E42">
        <v>2</v>
      </c>
      <c r="F42" t="s">
        <v>962</v>
      </c>
      <c r="G42" t="str">
        <f t="shared" si="39"/>
        <v>战士0_33_2</v>
      </c>
      <c r="H42">
        <v>0</v>
      </c>
      <c r="I42" s="2" t="s">
        <v>314</v>
      </c>
      <c r="J42" s="2">
        <f t="shared" si="24"/>
        <v>2.5</v>
      </c>
      <c r="K42" s="2">
        <f t="shared" si="2"/>
        <v>1.1000000000000001</v>
      </c>
      <c r="L42" s="2">
        <f t="shared" si="0"/>
        <v>0.88</v>
      </c>
      <c r="M42" s="2">
        <v>10</v>
      </c>
      <c r="N42" s="2">
        <f t="shared" si="3"/>
        <v>28.800000000000004</v>
      </c>
      <c r="O42" s="2">
        <f t="shared" si="3"/>
        <v>2.8800000000000008</v>
      </c>
      <c r="P42" s="2">
        <f t="shared" si="3"/>
        <v>900</v>
      </c>
      <c r="Q42" s="2">
        <f t="shared" si="3"/>
        <v>90</v>
      </c>
      <c r="R42" s="2">
        <f t="shared" si="3"/>
        <v>36</v>
      </c>
      <c r="S42" s="2">
        <f t="shared" si="3"/>
        <v>3.6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>
        <v>30322001</v>
      </c>
      <c r="Z42" s="14" t="s">
        <v>963</v>
      </c>
      <c r="AA42" s="14" t="s">
        <v>869</v>
      </c>
      <c r="AB42" s="2">
        <v>0</v>
      </c>
      <c r="AC42" s="2">
        <v>31</v>
      </c>
      <c r="AD42" s="2"/>
      <c r="AE42" s="2"/>
      <c r="AF42">
        <v>1</v>
      </c>
      <c r="AG42" s="1">
        <f t="shared" si="4"/>
        <v>199.16555116522869</v>
      </c>
      <c r="AH42">
        <v>3</v>
      </c>
      <c r="AI42">
        <f t="shared" si="30"/>
        <v>28.800000000000004</v>
      </c>
      <c r="AJ42">
        <f t="shared" si="31"/>
        <v>2.8800000000000008</v>
      </c>
      <c r="AK42">
        <f t="shared" si="32"/>
        <v>900</v>
      </c>
      <c r="AL42">
        <f t="shared" si="33"/>
        <v>90</v>
      </c>
      <c r="AM42">
        <f t="shared" si="25"/>
        <v>36</v>
      </c>
      <c r="AN42">
        <f t="shared" si="26"/>
        <v>3.6</v>
      </c>
      <c r="AO42">
        <f t="shared" si="11"/>
        <v>1.5</v>
      </c>
      <c r="AP42">
        <f t="shared" si="12"/>
        <v>1.2</v>
      </c>
      <c r="AQ42">
        <f t="shared" si="13"/>
        <v>2.5</v>
      </c>
      <c r="AR42">
        <v>200</v>
      </c>
      <c r="AS42" s="1" t="str">
        <f t="shared" si="38"/>
        <v>0</v>
      </c>
      <c r="AT42">
        <v>3</v>
      </c>
      <c r="BP42" t="s">
        <v>964</v>
      </c>
      <c r="BQ42" t="str">
        <f t="shared" si="16"/>
        <v>0</v>
      </c>
      <c r="BT42">
        <v>6</v>
      </c>
      <c r="BU42">
        <f t="shared" si="36"/>
        <v>331006</v>
      </c>
      <c r="BV42">
        <f t="shared" si="37"/>
        <v>331006</v>
      </c>
      <c r="CC42" s="2" t="s">
        <v>362</v>
      </c>
      <c r="CD42" t="s">
        <v>965</v>
      </c>
      <c r="CF42" t="str">
        <f t="shared" si="28"/>
        <v>DATA_Class_Base21</v>
      </c>
      <c r="CG42" s="6" t="s">
        <v>122</v>
      </c>
    </row>
    <row r="43" spans="1:85">
      <c r="A43">
        <f t="shared" si="29"/>
        <v>3032300</v>
      </c>
      <c r="B43" s="6" t="s">
        <v>332</v>
      </c>
      <c r="C43">
        <v>3</v>
      </c>
      <c r="D43">
        <v>3</v>
      </c>
      <c r="E43">
        <v>2</v>
      </c>
      <c r="F43" t="s">
        <v>351</v>
      </c>
      <c r="G43" t="str">
        <f t="shared" si="39"/>
        <v>刺客0_33_2</v>
      </c>
      <c r="H43">
        <v>0</v>
      </c>
      <c r="I43" s="2" t="s">
        <v>352</v>
      </c>
      <c r="J43" s="2">
        <f t="shared" si="24"/>
        <v>4</v>
      </c>
      <c r="K43" s="2">
        <f t="shared" si="2"/>
        <v>0.95000000000000007</v>
      </c>
      <c r="L43" s="2">
        <f t="shared" si="0"/>
        <v>1.3900000000000001</v>
      </c>
      <c r="M43" s="2">
        <v>10</v>
      </c>
      <c r="N43" s="2">
        <f t="shared" si="3"/>
        <v>28.080000000000005</v>
      </c>
      <c r="O43" s="2">
        <f t="shared" si="3"/>
        <v>2.8080000000000007</v>
      </c>
      <c r="P43" s="2">
        <f t="shared" si="3"/>
        <v>799.20000000000016</v>
      </c>
      <c r="Q43" s="2">
        <f t="shared" si="3"/>
        <v>79.920000000000016</v>
      </c>
      <c r="R43" s="2">
        <f t="shared" si="3"/>
        <v>33</v>
      </c>
      <c r="S43" s="2">
        <f t="shared" si="3"/>
        <v>3.3000000000000003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>
        <v>30323001</v>
      </c>
      <c r="Z43" s="14" t="s">
        <v>966</v>
      </c>
      <c r="AA43" s="14" t="s">
        <v>869</v>
      </c>
      <c r="AB43" s="2">
        <v>0</v>
      </c>
      <c r="AC43" s="2">
        <v>31</v>
      </c>
      <c r="AD43" s="2"/>
      <c r="AE43" s="2"/>
      <c r="AF43">
        <v>1</v>
      </c>
      <c r="AG43" s="1">
        <f t="shared" si="4"/>
        <v>198.83410746016082</v>
      </c>
      <c r="AH43">
        <v>3</v>
      </c>
      <c r="AI43">
        <f t="shared" si="30"/>
        <v>28.080000000000005</v>
      </c>
      <c r="AJ43">
        <f t="shared" si="31"/>
        <v>2.8080000000000007</v>
      </c>
      <c r="AK43">
        <f t="shared" si="32"/>
        <v>799.20000000000016</v>
      </c>
      <c r="AL43">
        <f t="shared" si="33"/>
        <v>79.920000000000016</v>
      </c>
      <c r="AM43">
        <f t="shared" si="25"/>
        <v>33</v>
      </c>
      <c r="AN43">
        <f t="shared" si="26"/>
        <v>3.3000000000000003</v>
      </c>
      <c r="AO43">
        <f t="shared" si="11"/>
        <v>1.3</v>
      </c>
      <c r="AP43">
        <f t="shared" si="12"/>
        <v>1.9</v>
      </c>
      <c r="AQ43">
        <f t="shared" si="13"/>
        <v>4</v>
      </c>
      <c r="AR43">
        <v>300</v>
      </c>
      <c r="AS43" s="1" t="str">
        <f t="shared" si="38"/>
        <v>0</v>
      </c>
      <c r="AT43">
        <v>3</v>
      </c>
      <c r="BP43" t="s">
        <v>967</v>
      </c>
      <c r="BQ43" t="str">
        <f t="shared" si="16"/>
        <v>0</v>
      </c>
      <c r="BT43">
        <v>7</v>
      </c>
      <c r="BU43">
        <f t="shared" si="36"/>
        <v>331007</v>
      </c>
      <c r="BV43">
        <f t="shared" si="37"/>
        <v>331007</v>
      </c>
      <c r="CC43" s="2" t="s">
        <v>373</v>
      </c>
      <c r="CD43" t="s">
        <v>968</v>
      </c>
      <c r="CF43" t="str">
        <f t="shared" si="28"/>
        <v>DATA_Class_Base22</v>
      </c>
      <c r="CG43" s="6" t="s">
        <v>193</v>
      </c>
    </row>
    <row r="44" spans="1:85">
      <c r="A44">
        <f t="shared" si="29"/>
        <v>3032402</v>
      </c>
      <c r="B44" s="6" t="s">
        <v>337</v>
      </c>
      <c r="C44">
        <v>3</v>
      </c>
      <c r="D44">
        <v>4</v>
      </c>
      <c r="E44">
        <v>2</v>
      </c>
      <c r="F44" t="s">
        <v>969</v>
      </c>
      <c r="G44" t="str">
        <f t="shared" si="39"/>
        <v>法师2_33_2</v>
      </c>
      <c r="H44" s="2">
        <v>0</v>
      </c>
      <c r="I44" s="2" t="s">
        <v>250</v>
      </c>
      <c r="J44" s="2">
        <f t="shared" si="24"/>
        <v>5</v>
      </c>
      <c r="K44" s="2">
        <f t="shared" si="2"/>
        <v>1.1000000000000001</v>
      </c>
      <c r="L44" s="2">
        <f t="shared" si="0"/>
        <v>1.1000000000000001</v>
      </c>
      <c r="M44" s="2">
        <v>10</v>
      </c>
      <c r="N44" s="2">
        <f t="shared" si="3"/>
        <v>39.6</v>
      </c>
      <c r="O44" s="2">
        <f t="shared" si="3"/>
        <v>3.9600000000000004</v>
      </c>
      <c r="P44" s="2">
        <f t="shared" si="3"/>
        <v>655.19999999999993</v>
      </c>
      <c r="Q44" s="2">
        <f t="shared" si="3"/>
        <v>65.52</v>
      </c>
      <c r="R44" s="2">
        <f t="shared" si="3"/>
        <v>27</v>
      </c>
      <c r="S44" s="2">
        <f t="shared" si="3"/>
        <v>2.7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>
        <v>30324021</v>
      </c>
      <c r="Z44" s="14" t="s">
        <v>970</v>
      </c>
      <c r="AA44" s="14" t="s">
        <v>869</v>
      </c>
      <c r="AB44" s="2">
        <v>0</v>
      </c>
      <c r="AC44" s="2">
        <v>31</v>
      </c>
      <c r="AD44" s="2"/>
      <c r="AE44" s="2"/>
      <c r="AF44">
        <v>1</v>
      </c>
      <c r="AG44" s="1">
        <f t="shared" si="4"/>
        <v>198.96761579783913</v>
      </c>
      <c r="AH44">
        <v>3</v>
      </c>
      <c r="AI44">
        <f t="shared" si="30"/>
        <v>39.6</v>
      </c>
      <c r="AJ44">
        <f t="shared" si="31"/>
        <v>3.9600000000000004</v>
      </c>
      <c r="AK44">
        <f t="shared" si="32"/>
        <v>655.19999999999993</v>
      </c>
      <c r="AL44">
        <f t="shared" si="33"/>
        <v>65.52</v>
      </c>
      <c r="AM44">
        <f t="shared" si="25"/>
        <v>27</v>
      </c>
      <c r="AN44">
        <f t="shared" si="26"/>
        <v>2.7</v>
      </c>
      <c r="AO44">
        <f t="shared" si="11"/>
        <v>1.5</v>
      </c>
      <c r="AP44">
        <f t="shared" si="12"/>
        <v>1.5</v>
      </c>
      <c r="AQ44">
        <f t="shared" si="13"/>
        <v>5</v>
      </c>
      <c r="AR44">
        <v>402</v>
      </c>
      <c r="AS44" s="1" t="str">
        <f t="shared" si="38"/>
        <v>2</v>
      </c>
      <c r="AT44">
        <v>3</v>
      </c>
      <c r="BP44" t="s">
        <v>971</v>
      </c>
      <c r="BQ44" t="str">
        <f t="shared" si="16"/>
        <v>2</v>
      </c>
      <c r="BT44">
        <v>8</v>
      </c>
      <c r="BU44">
        <f t="shared" si="36"/>
        <v>331008</v>
      </c>
      <c r="BV44">
        <f t="shared" si="37"/>
        <v>331008</v>
      </c>
      <c r="CC44" s="2" t="s">
        <v>377</v>
      </c>
      <c r="CD44" t="s">
        <v>190</v>
      </c>
      <c r="CF44" t="str">
        <f t="shared" si="28"/>
        <v>DATA_Class_Base23</v>
      </c>
      <c r="CG44" s="6" t="s">
        <v>182</v>
      </c>
    </row>
    <row r="45" spans="1:85">
      <c r="A45">
        <f t="shared" si="29"/>
        <v>3032502</v>
      </c>
      <c r="B45" s="33" t="s">
        <v>343</v>
      </c>
      <c r="C45">
        <v>3</v>
      </c>
      <c r="D45">
        <v>5</v>
      </c>
      <c r="E45">
        <v>2</v>
      </c>
      <c r="F45" t="s">
        <v>972</v>
      </c>
      <c r="G45" t="str">
        <f t="shared" si="39"/>
        <v>游侠2_33_2</v>
      </c>
      <c r="H45">
        <v>0</v>
      </c>
      <c r="I45" s="2" t="s">
        <v>291</v>
      </c>
      <c r="J45" s="2">
        <f t="shared" si="24"/>
        <v>6</v>
      </c>
      <c r="K45" s="2">
        <f t="shared" si="2"/>
        <v>1.02</v>
      </c>
      <c r="L45" s="2">
        <f t="shared" si="0"/>
        <v>1.47</v>
      </c>
      <c r="M45" s="2">
        <v>10</v>
      </c>
      <c r="N45" s="2">
        <f t="shared" si="3"/>
        <v>40.319999999999993</v>
      </c>
      <c r="O45" s="2">
        <f t="shared" si="3"/>
        <v>4.0319999999999991</v>
      </c>
      <c r="P45" s="2">
        <f t="shared" si="3"/>
        <v>597.6</v>
      </c>
      <c r="Q45" s="2">
        <f t="shared" si="3"/>
        <v>59.760000000000005</v>
      </c>
      <c r="R45" s="2">
        <f t="shared" si="3"/>
        <v>24</v>
      </c>
      <c r="S45" s="2">
        <f t="shared" si="3"/>
        <v>2.4000000000000004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>
        <v>30325021</v>
      </c>
      <c r="Z45" s="14" t="s">
        <v>973</v>
      </c>
      <c r="AA45" s="14" t="s">
        <v>869</v>
      </c>
      <c r="AB45" s="2">
        <v>0</v>
      </c>
      <c r="AC45" s="2">
        <v>31</v>
      </c>
      <c r="AD45" s="2"/>
      <c r="AE45" s="2"/>
      <c r="AF45">
        <v>1</v>
      </c>
      <c r="AG45" s="1">
        <f t="shared" si="4"/>
        <v>197.84241531285181</v>
      </c>
      <c r="AH45">
        <v>3</v>
      </c>
      <c r="AI45">
        <f t="shared" si="30"/>
        <v>40.319999999999993</v>
      </c>
      <c r="AJ45">
        <f t="shared" si="31"/>
        <v>4.0319999999999991</v>
      </c>
      <c r="AK45">
        <f t="shared" si="32"/>
        <v>597.6</v>
      </c>
      <c r="AL45">
        <f t="shared" si="33"/>
        <v>59.760000000000005</v>
      </c>
      <c r="AM45">
        <f t="shared" si="25"/>
        <v>24</v>
      </c>
      <c r="AN45">
        <f t="shared" si="26"/>
        <v>2.4000000000000004</v>
      </c>
      <c r="AO45">
        <f t="shared" si="11"/>
        <v>1.4</v>
      </c>
      <c r="AP45">
        <f t="shared" si="12"/>
        <v>2</v>
      </c>
      <c r="AQ45">
        <f t="shared" si="13"/>
        <v>6</v>
      </c>
      <c r="AR45">
        <v>502</v>
      </c>
      <c r="AS45" s="1" t="str">
        <f t="shared" si="38"/>
        <v>2</v>
      </c>
      <c r="AT45">
        <v>3</v>
      </c>
      <c r="BP45" t="s">
        <v>974</v>
      </c>
      <c r="BQ45" t="str">
        <f t="shared" si="16"/>
        <v>2</v>
      </c>
      <c r="BT45">
        <v>9</v>
      </c>
      <c r="BU45">
        <f t="shared" si="36"/>
        <v>331009</v>
      </c>
      <c r="BV45">
        <f t="shared" si="37"/>
        <v>331009</v>
      </c>
      <c r="CC45" s="2" t="s">
        <v>380</v>
      </c>
      <c r="CD45" t="s">
        <v>975</v>
      </c>
      <c r="CF45" t="str">
        <f t="shared" si="28"/>
        <v>DATA_Class_Base24</v>
      </c>
      <c r="CG45" s="33" t="s">
        <v>386</v>
      </c>
    </row>
    <row r="46" spans="1:85">
      <c r="A46">
        <f t="shared" si="29"/>
        <v>3032602</v>
      </c>
      <c r="B46" s="6" t="s">
        <v>350</v>
      </c>
      <c r="C46">
        <v>3</v>
      </c>
      <c r="D46">
        <v>6</v>
      </c>
      <c r="E46">
        <v>2</v>
      </c>
      <c r="F46" t="s">
        <v>976</v>
      </c>
      <c r="G46" t="str">
        <f t="shared" si="39"/>
        <v>牧师2_33_2</v>
      </c>
      <c r="H46" t="s">
        <v>345</v>
      </c>
      <c r="I46" s="2" t="s">
        <v>346</v>
      </c>
      <c r="J46" s="2">
        <f t="shared" si="24"/>
        <v>6</v>
      </c>
      <c r="K46" s="2">
        <f t="shared" si="2"/>
        <v>1.32</v>
      </c>
      <c r="L46" s="2">
        <f t="shared" si="0"/>
        <v>1.47</v>
      </c>
      <c r="M46" s="2">
        <v>10</v>
      </c>
      <c r="N46" s="2">
        <f t="shared" si="3"/>
        <v>43.199999999999996</v>
      </c>
      <c r="O46" s="2">
        <f t="shared" si="3"/>
        <v>4.3199999999999994</v>
      </c>
      <c r="P46" s="2">
        <f t="shared" si="3"/>
        <v>720</v>
      </c>
      <c r="Q46" s="2">
        <f t="shared" si="3"/>
        <v>72</v>
      </c>
      <c r="R46" s="2">
        <f t="shared" si="3"/>
        <v>30</v>
      </c>
      <c r="S46" s="2">
        <f t="shared" si="3"/>
        <v>3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>
        <v>30326021</v>
      </c>
      <c r="Z46" s="14" t="s">
        <v>977</v>
      </c>
      <c r="AA46" s="14" t="s">
        <v>869</v>
      </c>
      <c r="AB46" s="2">
        <v>0</v>
      </c>
      <c r="AC46" s="2">
        <v>31</v>
      </c>
      <c r="AD46" s="2"/>
      <c r="AE46" s="2"/>
      <c r="AF46">
        <v>1</v>
      </c>
      <c r="AG46" s="1">
        <f t="shared" si="4"/>
        <v>198.90090597946448</v>
      </c>
      <c r="AH46">
        <v>3</v>
      </c>
      <c r="AI46">
        <f t="shared" si="30"/>
        <v>43.199999999999996</v>
      </c>
      <c r="AJ46">
        <f t="shared" si="31"/>
        <v>4.3199999999999994</v>
      </c>
      <c r="AK46">
        <f t="shared" si="32"/>
        <v>720</v>
      </c>
      <c r="AL46">
        <f t="shared" si="33"/>
        <v>72</v>
      </c>
      <c r="AM46">
        <f t="shared" si="25"/>
        <v>30</v>
      </c>
      <c r="AN46">
        <f t="shared" si="26"/>
        <v>3</v>
      </c>
      <c r="AO46">
        <f t="shared" si="11"/>
        <v>1.8</v>
      </c>
      <c r="AP46">
        <f t="shared" si="12"/>
        <v>2</v>
      </c>
      <c r="AQ46">
        <f t="shared" si="13"/>
        <v>6</v>
      </c>
      <c r="AR46">
        <v>602</v>
      </c>
      <c r="AS46" s="1" t="str">
        <f t="shared" si="38"/>
        <v>2</v>
      </c>
      <c r="AT46">
        <v>3</v>
      </c>
      <c r="BP46" t="s">
        <v>978</v>
      </c>
      <c r="BQ46" t="str">
        <f t="shared" si="16"/>
        <v>2</v>
      </c>
      <c r="BT46">
        <v>10</v>
      </c>
      <c r="BU46">
        <f t="shared" si="36"/>
        <v>331010</v>
      </c>
      <c r="BV46">
        <f t="shared" si="37"/>
        <v>331010</v>
      </c>
      <c r="CC46" s="2" t="s">
        <v>383</v>
      </c>
      <c r="CD46" t="s">
        <v>300</v>
      </c>
      <c r="CF46" t="str">
        <f t="shared" si="28"/>
        <v>DATA_Class_Base25</v>
      </c>
      <c r="CG46" s="6" t="s">
        <v>957</v>
      </c>
    </row>
    <row r="47" spans="1:85" ht="16.5">
      <c r="A47">
        <f t="shared" si="29"/>
        <v>3033202</v>
      </c>
      <c r="B47" s="6" t="s">
        <v>356</v>
      </c>
      <c r="C47">
        <v>3</v>
      </c>
      <c r="D47">
        <v>2</v>
      </c>
      <c r="E47">
        <v>3</v>
      </c>
      <c r="F47" s="2" t="s">
        <v>979</v>
      </c>
      <c r="G47" t="str">
        <f t="shared" si="39"/>
        <v>战士2_33_3</v>
      </c>
      <c r="H47">
        <v>0</v>
      </c>
      <c r="I47" s="2" t="s">
        <v>280</v>
      </c>
      <c r="J47" s="2">
        <f t="shared" si="24"/>
        <v>2.5</v>
      </c>
      <c r="K47" s="2">
        <f t="shared" si="2"/>
        <v>1.32</v>
      </c>
      <c r="L47" s="2">
        <f t="shared" si="0"/>
        <v>1.47</v>
      </c>
      <c r="M47" s="2">
        <v>10</v>
      </c>
      <c r="N47" s="2">
        <f t="shared" si="3"/>
        <v>34.56</v>
      </c>
      <c r="O47" s="2">
        <f t="shared" si="3"/>
        <v>3.4560000000000004</v>
      </c>
      <c r="P47" s="2">
        <f t="shared" si="3"/>
        <v>900</v>
      </c>
      <c r="Q47" s="2">
        <f t="shared" si="3"/>
        <v>90</v>
      </c>
      <c r="R47" s="2">
        <f t="shared" si="3"/>
        <v>36</v>
      </c>
      <c r="S47" s="2">
        <f t="shared" si="3"/>
        <v>3.6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>
        <v>30332021</v>
      </c>
      <c r="Z47" s="14" t="s">
        <v>980</v>
      </c>
      <c r="AA47" s="14" t="s">
        <v>869</v>
      </c>
      <c r="AB47" s="2">
        <v>0</v>
      </c>
      <c r="AC47" s="2">
        <v>31</v>
      </c>
      <c r="AD47" s="2"/>
      <c r="AE47" s="2"/>
      <c r="AF47">
        <v>1</v>
      </c>
      <c r="AG47" s="1">
        <f t="shared" si="4"/>
        <v>199.16555116522863</v>
      </c>
      <c r="AH47">
        <v>3</v>
      </c>
      <c r="AI47">
        <f t="shared" si="30"/>
        <v>34.56</v>
      </c>
      <c r="AJ47">
        <f t="shared" si="31"/>
        <v>3.4560000000000004</v>
      </c>
      <c r="AK47">
        <f t="shared" si="32"/>
        <v>900</v>
      </c>
      <c r="AL47">
        <f t="shared" si="33"/>
        <v>90</v>
      </c>
      <c r="AM47">
        <f t="shared" si="25"/>
        <v>36</v>
      </c>
      <c r="AN47">
        <f t="shared" si="26"/>
        <v>3.6</v>
      </c>
      <c r="AO47">
        <f t="shared" si="11"/>
        <v>1.8</v>
      </c>
      <c r="AP47">
        <f t="shared" si="12"/>
        <v>2</v>
      </c>
      <c r="AQ47">
        <f t="shared" si="13"/>
        <v>2.5</v>
      </c>
      <c r="AR47">
        <v>202</v>
      </c>
      <c r="AS47" s="1" t="str">
        <f t="shared" si="38"/>
        <v>2</v>
      </c>
      <c r="AT47">
        <v>3</v>
      </c>
      <c r="AV47" t="s">
        <v>287</v>
      </c>
      <c r="AW47" s="27" t="s">
        <v>288</v>
      </c>
      <c r="BP47" t="s">
        <v>981</v>
      </c>
      <c r="BQ47" t="str">
        <f t="shared" si="16"/>
        <v>2</v>
      </c>
      <c r="BT47">
        <v>11</v>
      </c>
      <c r="BU47">
        <f t="shared" si="36"/>
        <v>331011</v>
      </c>
      <c r="BV47">
        <f t="shared" si="37"/>
        <v>331011</v>
      </c>
      <c r="CC47" s="2" t="s">
        <v>387</v>
      </c>
      <c r="CD47" t="s">
        <v>366</v>
      </c>
      <c r="CF47" t="str">
        <f t="shared" si="28"/>
        <v>DATA_Class_Base26</v>
      </c>
      <c r="CG47" s="6" t="s">
        <v>961</v>
      </c>
    </row>
    <row r="48" spans="1:85" ht="16.5">
      <c r="A48">
        <f t="shared" si="29"/>
        <v>3033302</v>
      </c>
      <c r="B48" s="33" t="s">
        <v>362</v>
      </c>
      <c r="C48">
        <v>3</v>
      </c>
      <c r="D48">
        <v>3</v>
      </c>
      <c r="E48">
        <v>3</v>
      </c>
      <c r="F48" t="s">
        <v>357</v>
      </c>
      <c r="G48" t="str">
        <f t="shared" si="39"/>
        <v>刺客2_33_3</v>
      </c>
      <c r="H48" s="2">
        <v>0</v>
      </c>
      <c r="I48" s="2" t="s">
        <v>358</v>
      </c>
      <c r="J48" s="2">
        <f t="shared" si="24"/>
        <v>2.5</v>
      </c>
      <c r="K48" s="2">
        <f t="shared" si="2"/>
        <v>1.02</v>
      </c>
      <c r="L48" s="2">
        <f t="shared" si="0"/>
        <v>1.25</v>
      </c>
      <c r="M48" s="2">
        <v>10</v>
      </c>
      <c r="N48" s="2">
        <f t="shared" si="3"/>
        <v>30.24</v>
      </c>
      <c r="O48" s="2">
        <f t="shared" si="3"/>
        <v>3.024</v>
      </c>
      <c r="P48" s="2">
        <f t="shared" si="3"/>
        <v>799.20000000000016</v>
      </c>
      <c r="Q48" s="2">
        <f t="shared" si="3"/>
        <v>79.920000000000016</v>
      </c>
      <c r="R48" s="2">
        <f t="shared" si="3"/>
        <v>33</v>
      </c>
      <c r="S48" s="2">
        <f t="shared" si="3"/>
        <v>3.3000000000000003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>
        <v>30333021</v>
      </c>
      <c r="Z48" s="14" t="s">
        <v>982</v>
      </c>
      <c r="AA48" s="14" t="s">
        <v>869</v>
      </c>
      <c r="AB48" s="2">
        <v>0</v>
      </c>
      <c r="AC48" s="2">
        <v>31</v>
      </c>
      <c r="AD48" s="2"/>
      <c r="AE48" s="2"/>
      <c r="AF48">
        <v>1</v>
      </c>
      <c r="AG48" s="1">
        <f t="shared" si="4"/>
        <v>198.83410746016077</v>
      </c>
      <c r="AH48">
        <v>3</v>
      </c>
      <c r="AI48">
        <f t="shared" si="30"/>
        <v>30.24</v>
      </c>
      <c r="AJ48">
        <f t="shared" si="31"/>
        <v>3.024</v>
      </c>
      <c r="AK48">
        <f t="shared" si="32"/>
        <v>799.20000000000016</v>
      </c>
      <c r="AL48">
        <f t="shared" si="33"/>
        <v>79.920000000000016</v>
      </c>
      <c r="AM48">
        <f t="shared" si="25"/>
        <v>33</v>
      </c>
      <c r="AN48">
        <f t="shared" si="26"/>
        <v>3.3000000000000003</v>
      </c>
      <c r="AO48">
        <f t="shared" si="11"/>
        <v>1.4</v>
      </c>
      <c r="AP48">
        <f t="shared" si="12"/>
        <v>1.7</v>
      </c>
      <c r="AQ48">
        <f t="shared" si="13"/>
        <v>2.5</v>
      </c>
      <c r="AR48">
        <v>302</v>
      </c>
      <c r="AS48" s="1" t="str">
        <f t="shared" si="38"/>
        <v>2</v>
      </c>
      <c r="AT48">
        <v>3</v>
      </c>
      <c r="AV48" s="27" t="s">
        <v>293</v>
      </c>
      <c r="BP48" t="s">
        <v>983</v>
      </c>
      <c r="BQ48" t="str">
        <f t="shared" si="16"/>
        <v>2</v>
      </c>
      <c r="BT48">
        <v>12</v>
      </c>
      <c r="BU48">
        <f t="shared" si="36"/>
        <v>331012</v>
      </c>
      <c r="BV48">
        <f t="shared" si="37"/>
        <v>331012</v>
      </c>
      <c r="CC48" s="2" t="s">
        <v>390</v>
      </c>
      <c r="CD48" t="s">
        <v>318</v>
      </c>
      <c r="CF48" t="str">
        <f t="shared" si="28"/>
        <v>DATA_Class_Base27</v>
      </c>
      <c r="CG48" s="33" t="s">
        <v>965</v>
      </c>
    </row>
    <row r="49" spans="1:85">
      <c r="A49">
        <f t="shared" si="29"/>
        <v>3033400</v>
      </c>
      <c r="B49" s="6" t="s">
        <v>373</v>
      </c>
      <c r="C49">
        <v>3</v>
      </c>
      <c r="D49">
        <v>4</v>
      </c>
      <c r="E49">
        <v>3</v>
      </c>
      <c r="F49" t="s">
        <v>984</v>
      </c>
      <c r="G49" t="str">
        <f t="shared" si="39"/>
        <v>法师0_33_3</v>
      </c>
      <c r="H49">
        <v>0</v>
      </c>
      <c r="I49" s="2" t="s">
        <v>364</v>
      </c>
      <c r="J49" s="2">
        <f t="shared" si="24"/>
        <v>5</v>
      </c>
      <c r="K49" s="2">
        <f t="shared" si="2"/>
        <v>1.02</v>
      </c>
      <c r="L49" s="2">
        <f t="shared" si="0"/>
        <v>1.02</v>
      </c>
      <c r="M49" s="2">
        <v>10</v>
      </c>
      <c r="N49" s="2">
        <f t="shared" si="3"/>
        <v>36.959999999999994</v>
      </c>
      <c r="O49" s="2">
        <f t="shared" si="3"/>
        <v>3.6959999999999997</v>
      </c>
      <c r="P49" s="2">
        <f t="shared" si="3"/>
        <v>655.19999999999993</v>
      </c>
      <c r="Q49" s="2">
        <f t="shared" si="3"/>
        <v>65.52</v>
      </c>
      <c r="R49" s="2">
        <f t="shared" si="3"/>
        <v>27</v>
      </c>
      <c r="S49" s="2">
        <f t="shared" si="3"/>
        <v>2.7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>
        <v>30334001</v>
      </c>
      <c r="Z49" s="14" t="s">
        <v>985</v>
      </c>
      <c r="AA49" s="14" t="s">
        <v>869</v>
      </c>
      <c r="AB49" s="2">
        <v>0</v>
      </c>
      <c r="AC49" s="2">
        <v>31</v>
      </c>
      <c r="AD49" s="2"/>
      <c r="AE49" s="2"/>
      <c r="AF49">
        <v>1</v>
      </c>
      <c r="AG49" s="1">
        <f t="shared" si="4"/>
        <v>198.96761579783913</v>
      </c>
      <c r="AH49">
        <v>3</v>
      </c>
      <c r="AI49">
        <f t="shared" si="30"/>
        <v>36.959999999999994</v>
      </c>
      <c r="AJ49">
        <f t="shared" si="31"/>
        <v>3.6959999999999997</v>
      </c>
      <c r="AK49">
        <f t="shared" si="32"/>
        <v>655.19999999999993</v>
      </c>
      <c r="AL49">
        <f t="shared" si="33"/>
        <v>65.52</v>
      </c>
      <c r="AM49">
        <f t="shared" si="25"/>
        <v>27</v>
      </c>
      <c r="AN49">
        <f t="shared" si="26"/>
        <v>2.7</v>
      </c>
      <c r="AO49">
        <f t="shared" si="11"/>
        <v>1.4</v>
      </c>
      <c r="AP49">
        <f t="shared" si="12"/>
        <v>1.4</v>
      </c>
      <c r="AQ49">
        <f t="shared" si="13"/>
        <v>5</v>
      </c>
      <c r="AR49">
        <v>400</v>
      </c>
      <c r="AS49" s="1" t="str">
        <f t="shared" si="38"/>
        <v>0</v>
      </c>
      <c r="AT49">
        <v>3</v>
      </c>
      <c r="BP49" t="s">
        <v>986</v>
      </c>
      <c r="BQ49" t="str">
        <f t="shared" si="16"/>
        <v>0</v>
      </c>
      <c r="BT49">
        <v>13</v>
      </c>
      <c r="BU49">
        <f t="shared" si="36"/>
        <v>331013</v>
      </c>
      <c r="BV49">
        <f t="shared" si="37"/>
        <v>331013</v>
      </c>
      <c r="CC49" s="2" t="s">
        <v>394</v>
      </c>
      <c r="CD49" t="s">
        <v>331</v>
      </c>
      <c r="CF49" t="str">
        <f t="shared" si="28"/>
        <v>DATA_Class_Base28</v>
      </c>
      <c r="CG49" s="6" t="s">
        <v>968</v>
      </c>
    </row>
    <row r="50" spans="1:85">
      <c r="A50">
        <f t="shared" si="29"/>
        <v>3033501</v>
      </c>
      <c r="B50" s="6" t="s">
        <v>377</v>
      </c>
      <c r="C50">
        <v>3</v>
      </c>
      <c r="D50">
        <v>5</v>
      </c>
      <c r="E50">
        <v>3</v>
      </c>
      <c r="F50" t="s">
        <v>333</v>
      </c>
      <c r="G50" t="str">
        <f t="shared" si="39"/>
        <v>游侠1_33_3</v>
      </c>
      <c r="H50" s="2">
        <v>0</v>
      </c>
      <c r="I50" s="2" t="s">
        <v>334</v>
      </c>
      <c r="J50" s="2">
        <f t="shared" si="24"/>
        <v>6</v>
      </c>
      <c r="K50" s="2">
        <f t="shared" si="2"/>
        <v>1.17</v>
      </c>
      <c r="L50" s="2">
        <f t="shared" si="0"/>
        <v>1.47</v>
      </c>
      <c r="M50" s="2">
        <v>10</v>
      </c>
      <c r="N50" s="2">
        <f t="shared" si="3"/>
        <v>46.08</v>
      </c>
      <c r="O50" s="2">
        <f t="shared" si="3"/>
        <v>4.6079999999999997</v>
      </c>
      <c r="P50" s="2">
        <f t="shared" si="3"/>
        <v>597.6</v>
      </c>
      <c r="Q50" s="2">
        <f t="shared" si="3"/>
        <v>59.760000000000005</v>
      </c>
      <c r="R50" s="2">
        <f t="shared" si="3"/>
        <v>24</v>
      </c>
      <c r="S50" s="2">
        <f t="shared" si="3"/>
        <v>2.4000000000000004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>
        <v>30335011</v>
      </c>
      <c r="Z50" s="14" t="s">
        <v>987</v>
      </c>
      <c r="AA50" s="14" t="s">
        <v>869</v>
      </c>
      <c r="AB50" s="2">
        <v>0</v>
      </c>
      <c r="AC50" s="2">
        <v>31</v>
      </c>
      <c r="AD50" s="2"/>
      <c r="AE50" s="2"/>
      <c r="AF50">
        <v>1</v>
      </c>
      <c r="AG50" s="1">
        <f t="shared" si="4"/>
        <v>197.84241531285181</v>
      </c>
      <c r="AH50">
        <v>3</v>
      </c>
      <c r="AI50">
        <f t="shared" si="30"/>
        <v>46.08</v>
      </c>
      <c r="AJ50">
        <f t="shared" si="31"/>
        <v>4.6079999999999997</v>
      </c>
      <c r="AK50">
        <f t="shared" si="32"/>
        <v>597.6</v>
      </c>
      <c r="AL50">
        <f t="shared" si="33"/>
        <v>59.760000000000005</v>
      </c>
      <c r="AM50">
        <f t="shared" si="25"/>
        <v>24</v>
      </c>
      <c r="AN50">
        <f t="shared" si="26"/>
        <v>2.4000000000000004</v>
      </c>
      <c r="AO50">
        <f t="shared" si="11"/>
        <v>1.6</v>
      </c>
      <c r="AP50">
        <f t="shared" si="12"/>
        <v>2</v>
      </c>
      <c r="AQ50">
        <f t="shared" si="13"/>
        <v>6</v>
      </c>
      <c r="AR50">
        <v>501</v>
      </c>
      <c r="AS50" s="1" t="str">
        <f t="shared" si="38"/>
        <v>1</v>
      </c>
      <c r="AT50">
        <v>3</v>
      </c>
      <c r="AV50" t="s">
        <v>305</v>
      </c>
      <c r="BP50" t="s">
        <v>945</v>
      </c>
      <c r="BQ50" t="str">
        <f t="shared" si="16"/>
        <v>1</v>
      </c>
      <c r="BT50">
        <v>14</v>
      </c>
      <c r="BU50">
        <f t="shared" si="36"/>
        <v>331014</v>
      </c>
      <c r="BV50">
        <f t="shared" si="37"/>
        <v>331014</v>
      </c>
      <c r="CC50" s="2" t="s">
        <v>396</v>
      </c>
      <c r="CD50" t="s">
        <v>342</v>
      </c>
      <c r="CF50" t="str">
        <f t="shared" si="28"/>
        <v>DATA_Class_Base29</v>
      </c>
      <c r="CG50" s="6" t="s">
        <v>190</v>
      </c>
    </row>
    <row r="51" spans="1:85">
      <c r="A51">
        <f t="shared" si="29"/>
        <v>3033602</v>
      </c>
      <c r="B51" s="6" t="s">
        <v>350</v>
      </c>
      <c r="C51">
        <v>3</v>
      </c>
      <c r="D51">
        <v>6</v>
      </c>
      <c r="E51">
        <v>3</v>
      </c>
      <c r="F51" s="3" t="s">
        <v>988</v>
      </c>
      <c r="G51" t="str">
        <f t="shared" si="39"/>
        <v>牧师2_33_3</v>
      </c>
      <c r="H51">
        <v>0</v>
      </c>
      <c r="I51" s="2" t="s">
        <v>346</v>
      </c>
      <c r="J51" s="2">
        <f t="shared" si="24"/>
        <v>6</v>
      </c>
      <c r="K51" s="2">
        <f t="shared" si="2"/>
        <v>1.32</v>
      </c>
      <c r="L51" s="2">
        <f t="shared" si="0"/>
        <v>1.47</v>
      </c>
      <c r="M51" s="2">
        <v>10</v>
      </c>
      <c r="N51" s="2">
        <f t="shared" si="3"/>
        <v>43.199999999999996</v>
      </c>
      <c r="O51" s="2">
        <f t="shared" si="3"/>
        <v>4.3199999999999994</v>
      </c>
      <c r="P51" s="2">
        <f t="shared" si="3"/>
        <v>720</v>
      </c>
      <c r="Q51" s="2">
        <f t="shared" si="3"/>
        <v>72</v>
      </c>
      <c r="R51" s="2">
        <f t="shared" si="3"/>
        <v>30</v>
      </c>
      <c r="S51" s="2">
        <f t="shared" si="3"/>
        <v>3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>
        <v>30326021</v>
      </c>
      <c r="Z51" s="14" t="s">
        <v>989</v>
      </c>
      <c r="AA51" s="14" t="s">
        <v>869</v>
      </c>
      <c r="AB51" s="2">
        <v>0</v>
      </c>
      <c r="AC51" s="2">
        <v>31</v>
      </c>
      <c r="AD51" s="2"/>
      <c r="AE51" s="2"/>
      <c r="AF51">
        <v>1</v>
      </c>
      <c r="AG51" s="1">
        <f t="shared" si="4"/>
        <v>198.90090597946448</v>
      </c>
      <c r="AH51">
        <v>3</v>
      </c>
      <c r="AI51">
        <f t="shared" si="30"/>
        <v>43.199999999999996</v>
      </c>
      <c r="AJ51">
        <f t="shared" si="31"/>
        <v>4.3199999999999994</v>
      </c>
      <c r="AK51">
        <f t="shared" si="32"/>
        <v>720</v>
      </c>
      <c r="AL51">
        <f t="shared" si="33"/>
        <v>72</v>
      </c>
      <c r="AM51">
        <f t="shared" si="25"/>
        <v>30</v>
      </c>
      <c r="AN51">
        <f t="shared" si="26"/>
        <v>3</v>
      </c>
      <c r="AO51">
        <f t="shared" si="11"/>
        <v>1.8</v>
      </c>
      <c r="AP51">
        <f t="shared" si="12"/>
        <v>2</v>
      </c>
      <c r="AQ51">
        <f t="shared" si="13"/>
        <v>6</v>
      </c>
      <c r="AR51">
        <v>602</v>
      </c>
      <c r="AS51" s="1" t="str">
        <f t="shared" si="38"/>
        <v>2</v>
      </c>
      <c r="AT51">
        <v>3</v>
      </c>
      <c r="AV51" t="s">
        <v>311</v>
      </c>
      <c r="BP51" t="s">
        <v>990</v>
      </c>
      <c r="BQ51" t="str">
        <f t="shared" si="16"/>
        <v>0</v>
      </c>
      <c r="BT51">
        <v>15</v>
      </c>
      <c r="BU51">
        <f t="shared" si="36"/>
        <v>331015</v>
      </c>
      <c r="BV51">
        <f t="shared" si="37"/>
        <v>331015</v>
      </c>
      <c r="CC51" s="2" t="s">
        <v>398</v>
      </c>
      <c r="CD51" t="s">
        <v>312</v>
      </c>
      <c r="CF51" t="str">
        <f t="shared" si="28"/>
        <v>DATA_Class_Base25</v>
      </c>
      <c r="CG51" s="6" t="s">
        <v>957</v>
      </c>
    </row>
    <row r="52" spans="1:85">
      <c r="A52">
        <f t="shared" si="29"/>
        <v>3034201</v>
      </c>
      <c r="B52" s="6" t="s">
        <v>283</v>
      </c>
      <c r="C52">
        <v>3</v>
      </c>
      <c r="D52">
        <v>2</v>
      </c>
      <c r="E52">
        <v>4</v>
      </c>
      <c r="F52" t="s">
        <v>991</v>
      </c>
      <c r="G52" t="str">
        <f t="shared" si="39"/>
        <v>战士1_33_4</v>
      </c>
      <c r="H52" s="2">
        <v>0</v>
      </c>
      <c r="I52" s="2" t="s">
        <v>298</v>
      </c>
      <c r="J52" s="2">
        <f t="shared" si="24"/>
        <v>2.5</v>
      </c>
      <c r="K52" s="2">
        <f t="shared" si="2"/>
        <v>1.32</v>
      </c>
      <c r="L52" s="2">
        <f t="shared" si="0"/>
        <v>1.32</v>
      </c>
      <c r="M52" s="2">
        <v>10</v>
      </c>
      <c r="N52" s="2">
        <f t="shared" si="3"/>
        <v>34.56</v>
      </c>
      <c r="O52" s="2">
        <f t="shared" si="3"/>
        <v>3.4560000000000004</v>
      </c>
      <c r="P52" s="2">
        <f t="shared" si="3"/>
        <v>900</v>
      </c>
      <c r="Q52" s="2">
        <f t="shared" si="3"/>
        <v>90</v>
      </c>
      <c r="R52" s="2">
        <f t="shared" si="3"/>
        <v>36</v>
      </c>
      <c r="S52" s="2">
        <f t="shared" si="3"/>
        <v>3.6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>
        <v>30342011</v>
      </c>
      <c r="Z52" s="14" t="s">
        <v>992</v>
      </c>
      <c r="AA52" s="14" t="s">
        <v>869</v>
      </c>
      <c r="AB52" s="2">
        <v>0</v>
      </c>
      <c r="AC52" s="2">
        <v>19</v>
      </c>
      <c r="AD52" s="2"/>
      <c r="AE52" s="2"/>
      <c r="AF52">
        <v>1</v>
      </c>
      <c r="AG52" s="1">
        <f t="shared" si="4"/>
        <v>199.16555116522863</v>
      </c>
      <c r="AH52">
        <v>3</v>
      </c>
      <c r="AI52">
        <f t="shared" si="30"/>
        <v>34.56</v>
      </c>
      <c r="AJ52">
        <f t="shared" si="31"/>
        <v>3.4560000000000004</v>
      </c>
      <c r="AK52">
        <f t="shared" si="32"/>
        <v>900</v>
      </c>
      <c r="AL52">
        <f t="shared" si="33"/>
        <v>90</v>
      </c>
      <c r="AM52">
        <f t="shared" si="25"/>
        <v>36</v>
      </c>
      <c r="AN52">
        <f t="shared" si="26"/>
        <v>3.6</v>
      </c>
      <c r="AO52">
        <f t="shared" si="11"/>
        <v>1.8</v>
      </c>
      <c r="AP52">
        <f t="shared" si="12"/>
        <v>1.8</v>
      </c>
      <c r="AQ52">
        <f t="shared" si="13"/>
        <v>2.5</v>
      </c>
      <c r="AR52">
        <v>201</v>
      </c>
      <c r="AS52" s="1" t="str">
        <f t="shared" si="38"/>
        <v>1</v>
      </c>
      <c r="AT52">
        <v>3</v>
      </c>
      <c r="AV52" t="s">
        <v>993</v>
      </c>
      <c r="BP52" t="s">
        <v>913</v>
      </c>
      <c r="BQ52" t="str">
        <f t="shared" si="16"/>
        <v>1</v>
      </c>
      <c r="BT52">
        <v>16</v>
      </c>
      <c r="BU52">
        <f t="shared" si="36"/>
        <v>331016</v>
      </c>
      <c r="BV52">
        <f t="shared" si="37"/>
        <v>331016</v>
      </c>
      <c r="CC52" s="2" t="s">
        <v>401</v>
      </c>
      <c r="CD52" t="s">
        <v>994</v>
      </c>
      <c r="CF52" t="str">
        <f t="shared" si="28"/>
        <v>DATA_Class_Base16</v>
      </c>
      <c r="CG52" s="6" t="s">
        <v>931</v>
      </c>
    </row>
    <row r="53" spans="1:85">
      <c r="A53">
        <f t="shared" si="29"/>
        <v>3034301</v>
      </c>
      <c r="B53" s="6" t="s">
        <v>380</v>
      </c>
      <c r="C53">
        <v>3</v>
      </c>
      <c r="D53">
        <v>3</v>
      </c>
      <c r="E53">
        <v>4</v>
      </c>
      <c r="F53" t="s">
        <v>995</v>
      </c>
      <c r="G53" t="str">
        <f t="shared" si="39"/>
        <v>刺客1_33_4</v>
      </c>
      <c r="H53" s="2">
        <v>0</v>
      </c>
      <c r="I53" s="2" t="s">
        <v>285</v>
      </c>
      <c r="J53" s="2">
        <f t="shared" si="24"/>
        <v>2.5</v>
      </c>
      <c r="K53" s="2">
        <f t="shared" si="2"/>
        <v>0.88</v>
      </c>
      <c r="L53" s="2">
        <f t="shared" si="0"/>
        <v>1.47</v>
      </c>
      <c r="M53" s="2">
        <v>10</v>
      </c>
      <c r="N53" s="2">
        <f t="shared" si="3"/>
        <v>25.92</v>
      </c>
      <c r="O53" s="2">
        <f t="shared" si="3"/>
        <v>2.5920000000000005</v>
      </c>
      <c r="P53" s="2">
        <f t="shared" si="3"/>
        <v>799.20000000000016</v>
      </c>
      <c r="Q53" s="2">
        <f t="shared" si="3"/>
        <v>79.920000000000016</v>
      </c>
      <c r="R53" s="2">
        <f t="shared" si="3"/>
        <v>33</v>
      </c>
      <c r="S53" s="2">
        <f t="shared" si="3"/>
        <v>3.3000000000000003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>
        <v>30343011</v>
      </c>
      <c r="Z53" s="14" t="s">
        <v>996</v>
      </c>
      <c r="AA53" s="14" t="s">
        <v>869</v>
      </c>
      <c r="AB53" s="2">
        <v>0</v>
      </c>
      <c r="AC53" s="2">
        <v>19</v>
      </c>
      <c r="AD53" s="2"/>
      <c r="AE53" s="2"/>
      <c r="AF53">
        <v>1</v>
      </c>
      <c r="AG53" s="1">
        <f t="shared" si="4"/>
        <v>198.83410746016082</v>
      </c>
      <c r="AH53">
        <v>3</v>
      </c>
      <c r="AI53">
        <f t="shared" si="30"/>
        <v>25.92</v>
      </c>
      <c r="AJ53">
        <f t="shared" si="31"/>
        <v>2.5920000000000005</v>
      </c>
      <c r="AK53">
        <f t="shared" si="32"/>
        <v>799.20000000000016</v>
      </c>
      <c r="AL53">
        <f t="shared" si="33"/>
        <v>79.920000000000016</v>
      </c>
      <c r="AM53">
        <f t="shared" si="25"/>
        <v>33</v>
      </c>
      <c r="AN53">
        <f t="shared" si="26"/>
        <v>3.3000000000000003</v>
      </c>
      <c r="AO53">
        <f t="shared" si="11"/>
        <v>1.2</v>
      </c>
      <c r="AP53">
        <f t="shared" si="12"/>
        <v>2</v>
      </c>
      <c r="AQ53">
        <f t="shared" si="13"/>
        <v>2.5</v>
      </c>
      <c r="AR53">
        <v>301</v>
      </c>
      <c r="AS53" s="1" t="str">
        <f t="shared" si="38"/>
        <v>1</v>
      </c>
      <c r="AT53">
        <v>3</v>
      </c>
      <c r="AV53" s="24" t="s">
        <v>321</v>
      </c>
      <c r="AW53">
        <v>1E-4</v>
      </c>
      <c r="AZ53" s="24" t="s">
        <v>322</v>
      </c>
      <c r="BI53">
        <v>10000</v>
      </c>
      <c r="BK53">
        <v>80</v>
      </c>
      <c r="BL53">
        <v>80</v>
      </c>
      <c r="BP53" t="s">
        <v>923</v>
      </c>
      <c r="BQ53" t="str">
        <f t="shared" si="16"/>
        <v>1</v>
      </c>
      <c r="BT53">
        <v>17</v>
      </c>
      <c r="BU53">
        <f t="shared" si="36"/>
        <v>331017</v>
      </c>
      <c r="BV53">
        <f t="shared" si="37"/>
        <v>331017</v>
      </c>
      <c r="CC53" s="2" t="s">
        <v>404</v>
      </c>
      <c r="CD53" t="s">
        <v>306</v>
      </c>
      <c r="CF53" t="str">
        <f t="shared" si="28"/>
        <v>DATA_Class_Base30</v>
      </c>
      <c r="CG53" s="6" t="s">
        <v>975</v>
      </c>
    </row>
    <row r="54" spans="1:85">
      <c r="A54">
        <f t="shared" si="29"/>
        <v>3034402</v>
      </c>
      <c r="B54" s="6" t="s">
        <v>337</v>
      </c>
      <c r="C54">
        <v>3</v>
      </c>
      <c r="D54">
        <v>4</v>
      </c>
      <c r="E54">
        <v>4</v>
      </c>
      <c r="F54" t="s">
        <v>997</v>
      </c>
      <c r="G54" t="str">
        <f t="shared" si="39"/>
        <v>法师2_33_4</v>
      </c>
      <c r="H54" s="2">
        <v>0</v>
      </c>
      <c r="I54" s="2" t="s">
        <v>250</v>
      </c>
      <c r="J54" s="2">
        <f t="shared" si="24"/>
        <v>5</v>
      </c>
      <c r="K54" s="2">
        <f t="shared" si="2"/>
        <v>1.1000000000000001</v>
      </c>
      <c r="L54" s="2">
        <f t="shared" si="0"/>
        <v>1.1000000000000001</v>
      </c>
      <c r="M54" s="2">
        <v>10</v>
      </c>
      <c r="N54" s="2">
        <f t="shared" si="3"/>
        <v>39.6</v>
      </c>
      <c r="O54" s="2">
        <f t="shared" si="3"/>
        <v>3.9600000000000004</v>
      </c>
      <c r="P54" s="2">
        <f t="shared" si="3"/>
        <v>655.19999999999993</v>
      </c>
      <c r="Q54" s="2">
        <f t="shared" si="3"/>
        <v>65.52</v>
      </c>
      <c r="R54" s="2">
        <f t="shared" si="3"/>
        <v>27</v>
      </c>
      <c r="S54" s="2">
        <f t="shared" si="3"/>
        <v>2.7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>
        <v>30344021</v>
      </c>
      <c r="Z54" s="14" t="s">
        <v>998</v>
      </c>
      <c r="AA54" s="14" t="s">
        <v>869</v>
      </c>
      <c r="AB54" s="2">
        <v>0</v>
      </c>
      <c r="AC54" s="2">
        <v>19</v>
      </c>
      <c r="AD54" s="2"/>
      <c r="AE54" s="2"/>
      <c r="AF54">
        <v>1</v>
      </c>
      <c r="AG54" s="1">
        <f t="shared" si="4"/>
        <v>198.96761579783913</v>
      </c>
      <c r="AH54">
        <v>3</v>
      </c>
      <c r="AI54">
        <f t="shared" si="30"/>
        <v>39.6</v>
      </c>
      <c r="AJ54">
        <f t="shared" si="31"/>
        <v>3.9600000000000004</v>
      </c>
      <c r="AK54">
        <f t="shared" si="32"/>
        <v>655.19999999999993</v>
      </c>
      <c r="AL54">
        <f t="shared" si="33"/>
        <v>65.52</v>
      </c>
      <c r="AM54">
        <f t="shared" si="25"/>
        <v>27</v>
      </c>
      <c r="AN54">
        <f t="shared" si="26"/>
        <v>2.7</v>
      </c>
      <c r="AO54">
        <f t="shared" si="11"/>
        <v>1.5</v>
      </c>
      <c r="AP54">
        <f t="shared" si="12"/>
        <v>1.5</v>
      </c>
      <c r="AQ54">
        <f t="shared" si="13"/>
        <v>5</v>
      </c>
      <c r="AR54">
        <v>402</v>
      </c>
      <c r="AS54" s="1" t="str">
        <f t="shared" si="38"/>
        <v>2</v>
      </c>
      <c r="AT54">
        <v>3</v>
      </c>
      <c r="AV54" t="s">
        <v>46</v>
      </c>
      <c r="AW54" t="s">
        <v>327</v>
      </c>
      <c r="AX54" t="s">
        <v>328</v>
      </c>
      <c r="AY54" t="s">
        <v>329</v>
      </c>
      <c r="AZ54" s="24">
        <v>1</v>
      </c>
      <c r="BA54" s="24">
        <v>18</v>
      </c>
      <c r="BB54" s="24">
        <v>33</v>
      </c>
      <c r="BC54" s="24">
        <v>50</v>
      </c>
      <c r="BD54" s="24">
        <v>100</v>
      </c>
      <c r="BE54" s="24">
        <v>150</v>
      </c>
      <c r="BF54" s="24">
        <v>200</v>
      </c>
      <c r="BG54" s="24">
        <v>300</v>
      </c>
      <c r="BH54" t="s">
        <v>330</v>
      </c>
      <c r="BP54" t="s">
        <v>971</v>
      </c>
      <c r="BQ54" t="str">
        <f t="shared" si="16"/>
        <v>2</v>
      </c>
      <c r="BT54">
        <v>18</v>
      </c>
      <c r="BU54">
        <f t="shared" si="36"/>
        <v>331018</v>
      </c>
      <c r="BV54">
        <f t="shared" si="37"/>
        <v>331018</v>
      </c>
      <c r="CC54" s="2" t="s">
        <v>406</v>
      </c>
      <c r="CD54" t="s">
        <v>999</v>
      </c>
      <c r="CF54" t="str">
        <f t="shared" si="28"/>
        <v>DATA_Class_Base23</v>
      </c>
      <c r="CG54" s="6" t="s">
        <v>182</v>
      </c>
    </row>
    <row r="55" spans="1:85">
      <c r="A55">
        <f t="shared" si="29"/>
        <v>3034502</v>
      </c>
      <c r="B55" s="33" t="s">
        <v>343</v>
      </c>
      <c r="C55">
        <v>3</v>
      </c>
      <c r="D55">
        <v>5</v>
      </c>
      <c r="E55">
        <v>4</v>
      </c>
      <c r="F55" t="s">
        <v>1000</v>
      </c>
      <c r="G55" t="str">
        <f t="shared" si="39"/>
        <v>游侠2_33_4</v>
      </c>
      <c r="H55">
        <v>0</v>
      </c>
      <c r="I55" s="2" t="s">
        <v>291</v>
      </c>
      <c r="J55" s="2">
        <f t="shared" si="24"/>
        <v>6</v>
      </c>
      <c r="K55" s="2">
        <f t="shared" si="2"/>
        <v>1.02</v>
      </c>
      <c r="L55" s="2">
        <f t="shared" si="0"/>
        <v>1.47</v>
      </c>
      <c r="M55" s="2">
        <v>10</v>
      </c>
      <c r="N55" s="2">
        <f t="shared" si="3"/>
        <v>40.319999999999993</v>
      </c>
      <c r="O55" s="2">
        <f t="shared" si="3"/>
        <v>4.0319999999999991</v>
      </c>
      <c r="P55" s="2">
        <f t="shared" si="3"/>
        <v>597.6</v>
      </c>
      <c r="Q55" s="2">
        <f t="shared" si="3"/>
        <v>59.760000000000005</v>
      </c>
      <c r="R55" s="2">
        <f t="shared" si="3"/>
        <v>24</v>
      </c>
      <c r="S55" s="2">
        <f t="shared" si="3"/>
        <v>2.4000000000000004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>
        <v>30345021</v>
      </c>
      <c r="Z55" s="14" t="s">
        <v>1001</v>
      </c>
      <c r="AA55" s="14" t="s">
        <v>869</v>
      </c>
      <c r="AB55" s="2">
        <v>0</v>
      </c>
      <c r="AC55" s="2">
        <v>19</v>
      </c>
      <c r="AD55" s="2"/>
      <c r="AE55" s="2"/>
      <c r="AF55">
        <v>1</v>
      </c>
      <c r="AG55" s="1">
        <f t="shared" si="4"/>
        <v>197.84241531285181</v>
      </c>
      <c r="AH55">
        <v>3</v>
      </c>
      <c r="AI55">
        <f t="shared" si="30"/>
        <v>40.319999999999993</v>
      </c>
      <c r="AJ55">
        <f t="shared" si="31"/>
        <v>4.0319999999999991</v>
      </c>
      <c r="AK55">
        <f t="shared" si="32"/>
        <v>597.6</v>
      </c>
      <c r="AL55">
        <f t="shared" si="33"/>
        <v>59.760000000000005</v>
      </c>
      <c r="AM55">
        <f t="shared" si="25"/>
        <v>24</v>
      </c>
      <c r="AN55">
        <f t="shared" si="26"/>
        <v>2.4000000000000004</v>
      </c>
      <c r="AO55">
        <f t="shared" si="11"/>
        <v>1.4</v>
      </c>
      <c r="AP55">
        <f t="shared" si="12"/>
        <v>2</v>
      </c>
      <c r="AQ55">
        <f t="shared" si="13"/>
        <v>6</v>
      </c>
      <c r="AR55">
        <v>502</v>
      </c>
      <c r="AS55" s="1" t="str">
        <f t="shared" si="38"/>
        <v>2</v>
      </c>
      <c r="AT55">
        <v>3</v>
      </c>
      <c r="AV55" t="s">
        <v>113</v>
      </c>
      <c r="AW55">
        <f t="shared" ref="AW55:AW70" si="40">BC5</f>
        <v>30</v>
      </c>
      <c r="AX55">
        <f>AW55*0.1</f>
        <v>3</v>
      </c>
      <c r="AY55" s="28">
        <v>0</v>
      </c>
      <c r="AZ55" s="28">
        <f t="shared" ref="AZ55:BG70" si="41">($AW55+(AZ$54-1)*$AX55)*$AW$53+$AY55</f>
        <v>3.0000000000000001E-3</v>
      </c>
      <c r="BA55" s="28">
        <f t="shared" si="41"/>
        <v>8.0999999999999996E-3</v>
      </c>
      <c r="BB55" s="28">
        <f t="shared" si="41"/>
        <v>1.26E-2</v>
      </c>
      <c r="BC55" s="28">
        <f t="shared" si="41"/>
        <v>1.77E-2</v>
      </c>
      <c r="BD55" s="28">
        <f t="shared" si="41"/>
        <v>3.27E-2</v>
      </c>
      <c r="BE55" s="28">
        <f t="shared" si="41"/>
        <v>4.7699999999999999E-2</v>
      </c>
      <c r="BF55" s="28">
        <f t="shared" si="41"/>
        <v>6.2700000000000006E-2</v>
      </c>
      <c r="BG55" s="28">
        <f t="shared" si="41"/>
        <v>9.2700000000000005E-2</v>
      </c>
      <c r="BH55" s="28">
        <v>0.25</v>
      </c>
      <c r="BI55">
        <f t="shared" ref="BI55:BI70" si="42">$BI$53*(1-BG55)</f>
        <v>9073</v>
      </c>
      <c r="BP55" t="s">
        <v>974</v>
      </c>
      <c r="BQ55" t="str">
        <f t="shared" si="16"/>
        <v>2</v>
      </c>
      <c r="BT55">
        <v>19</v>
      </c>
      <c r="BU55">
        <f t="shared" si="36"/>
        <v>331019</v>
      </c>
      <c r="BV55">
        <f t="shared" si="37"/>
        <v>331019</v>
      </c>
      <c r="CC55" s="2" t="s">
        <v>410</v>
      </c>
      <c r="CD55" t="s">
        <v>324</v>
      </c>
      <c r="CF55" t="str">
        <f t="shared" si="28"/>
        <v>DATA_Class_Base24</v>
      </c>
      <c r="CG55" s="33" t="s">
        <v>386</v>
      </c>
    </row>
    <row r="56" spans="1:85">
      <c r="A56">
        <f t="shared" si="29"/>
        <v>3034601</v>
      </c>
      <c r="B56" s="33" t="s">
        <v>289</v>
      </c>
      <c r="C56">
        <v>3</v>
      </c>
      <c r="D56">
        <v>6</v>
      </c>
      <c r="E56">
        <v>4</v>
      </c>
      <c r="F56" t="s">
        <v>1002</v>
      </c>
      <c r="G56" t="str">
        <f t="shared" si="39"/>
        <v>牧师1_33_4</v>
      </c>
      <c r="H56" s="2">
        <v>0</v>
      </c>
      <c r="I56" s="2" t="s">
        <v>309</v>
      </c>
      <c r="J56" s="2">
        <f t="shared" si="24"/>
        <v>5</v>
      </c>
      <c r="K56" s="2">
        <f t="shared" si="2"/>
        <v>1.1000000000000001</v>
      </c>
      <c r="L56" s="2">
        <f t="shared" si="0"/>
        <v>1.47</v>
      </c>
      <c r="M56" s="2">
        <v>10</v>
      </c>
      <c r="N56" s="2">
        <f t="shared" si="3"/>
        <v>36</v>
      </c>
      <c r="O56" s="2">
        <f t="shared" si="3"/>
        <v>3.6</v>
      </c>
      <c r="P56" s="2">
        <f t="shared" si="3"/>
        <v>720</v>
      </c>
      <c r="Q56" s="2">
        <f t="shared" si="3"/>
        <v>72</v>
      </c>
      <c r="R56" s="2">
        <f t="shared" si="3"/>
        <v>30</v>
      </c>
      <c r="S56" s="2">
        <f t="shared" si="3"/>
        <v>3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>
        <v>30346011</v>
      </c>
      <c r="Z56" s="14" t="s">
        <v>1003</v>
      </c>
      <c r="AA56" s="14" t="s">
        <v>869</v>
      </c>
      <c r="AB56" s="2">
        <v>0</v>
      </c>
      <c r="AC56" s="2">
        <v>19</v>
      </c>
      <c r="AD56" s="2"/>
      <c r="AE56" s="2"/>
      <c r="AF56">
        <v>1</v>
      </c>
      <c r="AG56" s="1">
        <f t="shared" si="4"/>
        <v>198.90090597946448</v>
      </c>
      <c r="AH56">
        <v>3</v>
      </c>
      <c r="AI56">
        <f t="shared" si="30"/>
        <v>36</v>
      </c>
      <c r="AJ56">
        <f t="shared" si="31"/>
        <v>3.6</v>
      </c>
      <c r="AK56">
        <f t="shared" si="32"/>
        <v>720</v>
      </c>
      <c r="AL56">
        <f t="shared" si="33"/>
        <v>72</v>
      </c>
      <c r="AM56">
        <f t="shared" si="25"/>
        <v>30</v>
      </c>
      <c r="AN56">
        <f t="shared" si="26"/>
        <v>3</v>
      </c>
      <c r="AO56">
        <f t="shared" si="11"/>
        <v>1.5</v>
      </c>
      <c r="AP56">
        <f t="shared" si="12"/>
        <v>2</v>
      </c>
      <c r="AQ56">
        <f t="shared" si="13"/>
        <v>5</v>
      </c>
      <c r="AR56">
        <v>601</v>
      </c>
      <c r="AS56" s="1" t="str">
        <f t="shared" si="38"/>
        <v>1</v>
      </c>
      <c r="AT56">
        <v>3</v>
      </c>
      <c r="AV56" s="2" t="s">
        <v>341</v>
      </c>
      <c r="AW56">
        <f t="shared" si="40"/>
        <v>36</v>
      </c>
      <c r="AX56">
        <f t="shared" ref="AX56:AX70" si="43">AW56*0.1</f>
        <v>3.6</v>
      </c>
      <c r="AY56" s="28">
        <v>0</v>
      </c>
      <c r="AZ56" s="28">
        <f t="shared" si="41"/>
        <v>3.6000000000000003E-3</v>
      </c>
      <c r="BA56" s="28">
        <f t="shared" si="41"/>
        <v>9.7200000000000012E-3</v>
      </c>
      <c r="BB56" s="28">
        <f t="shared" si="41"/>
        <v>1.512E-2</v>
      </c>
      <c r="BC56" s="28">
        <f t="shared" si="41"/>
        <v>2.1240000000000002E-2</v>
      </c>
      <c r="BD56" s="28">
        <f t="shared" si="41"/>
        <v>3.9240000000000004E-2</v>
      </c>
      <c r="BE56" s="28">
        <f t="shared" si="41"/>
        <v>5.7239999999999999E-2</v>
      </c>
      <c r="BF56" s="28">
        <f t="shared" si="41"/>
        <v>7.5240000000000001E-2</v>
      </c>
      <c r="BG56" s="28">
        <f t="shared" si="41"/>
        <v>0.11124000000000002</v>
      </c>
      <c r="BH56" s="28">
        <v>0.25</v>
      </c>
      <c r="BI56">
        <f t="shared" si="42"/>
        <v>8887.6</v>
      </c>
      <c r="BL56">
        <f>2+1.5*1.6/1.2</f>
        <v>4</v>
      </c>
      <c r="BP56" t="s">
        <v>960</v>
      </c>
      <c r="BQ56" t="str">
        <f t="shared" si="16"/>
        <v>1</v>
      </c>
      <c r="BT56">
        <v>20</v>
      </c>
      <c r="BU56">
        <f t="shared" si="36"/>
        <v>331020</v>
      </c>
      <c r="BV56">
        <f t="shared" si="37"/>
        <v>331020</v>
      </c>
      <c r="CC56" s="2" t="s">
        <v>412</v>
      </c>
      <c r="CD56" t="s">
        <v>1004</v>
      </c>
      <c r="CF56" t="str">
        <f t="shared" si="28"/>
        <v>DATA_Class_Base20</v>
      </c>
      <c r="CG56" s="33" t="s">
        <v>946</v>
      </c>
    </row>
    <row r="57" spans="1:85">
      <c r="A57">
        <f t="shared" si="29"/>
        <v>3035202</v>
      </c>
      <c r="B57" s="33" t="s">
        <v>356</v>
      </c>
      <c r="C57">
        <v>3</v>
      </c>
      <c r="D57">
        <v>2</v>
      </c>
      <c r="E57">
        <v>5</v>
      </c>
      <c r="F57" s="2" t="s">
        <v>1005</v>
      </c>
      <c r="G57" t="str">
        <f t="shared" si="39"/>
        <v>战士2_33_5</v>
      </c>
      <c r="H57">
        <v>0</v>
      </c>
      <c r="I57" s="2" t="s">
        <v>280</v>
      </c>
      <c r="J57" s="2">
        <f t="shared" si="24"/>
        <v>2.5</v>
      </c>
      <c r="K57" s="2">
        <f t="shared" si="2"/>
        <v>1.32</v>
      </c>
      <c r="L57" s="2">
        <f t="shared" si="0"/>
        <v>1.47</v>
      </c>
      <c r="M57" s="2">
        <v>10</v>
      </c>
      <c r="N57" s="2">
        <f t="shared" si="3"/>
        <v>34.56</v>
      </c>
      <c r="O57" s="2">
        <f t="shared" si="3"/>
        <v>3.4560000000000004</v>
      </c>
      <c r="P57" s="2">
        <f t="shared" si="3"/>
        <v>900</v>
      </c>
      <c r="Q57" s="2">
        <f t="shared" si="3"/>
        <v>90</v>
      </c>
      <c r="R57" s="2">
        <f t="shared" si="3"/>
        <v>36</v>
      </c>
      <c r="S57" s="2">
        <f t="shared" si="3"/>
        <v>3.6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>
        <v>30352021</v>
      </c>
      <c r="Z57" s="14" t="s">
        <v>1006</v>
      </c>
      <c r="AA57" s="14" t="s">
        <v>869</v>
      </c>
      <c r="AB57" s="2">
        <v>0</v>
      </c>
      <c r="AC57" s="2">
        <v>19</v>
      </c>
      <c r="AD57" s="2"/>
      <c r="AE57" s="2"/>
      <c r="AF57">
        <v>1</v>
      </c>
      <c r="AG57" s="1">
        <f t="shared" si="4"/>
        <v>199.16555116522863</v>
      </c>
      <c r="AH57">
        <v>3</v>
      </c>
      <c r="AI57">
        <f t="shared" si="30"/>
        <v>34.56</v>
      </c>
      <c r="AJ57">
        <f t="shared" si="31"/>
        <v>3.4560000000000004</v>
      </c>
      <c r="AK57">
        <f t="shared" si="32"/>
        <v>900</v>
      </c>
      <c r="AL57">
        <f t="shared" si="33"/>
        <v>90</v>
      </c>
      <c r="AM57">
        <f t="shared" si="25"/>
        <v>36</v>
      </c>
      <c r="AN57">
        <f t="shared" si="26"/>
        <v>3.6</v>
      </c>
      <c r="AO57">
        <f t="shared" si="11"/>
        <v>1.8</v>
      </c>
      <c r="AP57">
        <f t="shared" si="12"/>
        <v>2</v>
      </c>
      <c r="AQ57">
        <f t="shared" si="13"/>
        <v>2.5</v>
      </c>
      <c r="AR57">
        <v>202</v>
      </c>
      <c r="AS57" s="1" t="str">
        <f t="shared" si="38"/>
        <v>2</v>
      </c>
      <c r="AT57">
        <v>3</v>
      </c>
      <c r="AV57" t="s">
        <v>132</v>
      </c>
      <c r="AW57">
        <f t="shared" si="40"/>
        <v>36</v>
      </c>
      <c r="AX57">
        <f t="shared" si="43"/>
        <v>3.6</v>
      </c>
      <c r="AY57" s="28">
        <v>0</v>
      </c>
      <c r="AZ57" s="28">
        <f t="shared" si="41"/>
        <v>3.6000000000000003E-3</v>
      </c>
      <c r="BA57" s="28">
        <f t="shared" si="41"/>
        <v>9.7200000000000012E-3</v>
      </c>
      <c r="BB57" s="28">
        <f t="shared" si="41"/>
        <v>1.512E-2</v>
      </c>
      <c r="BC57" s="28">
        <f t="shared" si="41"/>
        <v>2.1240000000000002E-2</v>
      </c>
      <c r="BD57" s="28">
        <f t="shared" si="41"/>
        <v>3.9240000000000004E-2</v>
      </c>
      <c r="BE57" s="28">
        <f t="shared" si="41"/>
        <v>5.7239999999999999E-2</v>
      </c>
      <c r="BF57" s="28">
        <f t="shared" si="41"/>
        <v>7.5240000000000001E-2</v>
      </c>
      <c r="BG57" s="28">
        <f t="shared" si="41"/>
        <v>0.11124000000000002</v>
      </c>
      <c r="BH57" s="28">
        <v>0.25</v>
      </c>
      <c r="BI57">
        <f t="shared" si="42"/>
        <v>8887.6</v>
      </c>
      <c r="BP57" t="s">
        <v>981</v>
      </c>
      <c r="BQ57" t="str">
        <f t="shared" si="16"/>
        <v>2</v>
      </c>
      <c r="BT57">
        <v>21</v>
      </c>
      <c r="BU57">
        <f t="shared" si="36"/>
        <v>331021</v>
      </c>
      <c r="BV57">
        <f t="shared" si="37"/>
        <v>331021</v>
      </c>
      <c r="CC57" s="2" t="s">
        <v>414</v>
      </c>
      <c r="CD57" t="s">
        <v>1007</v>
      </c>
      <c r="CF57" t="str">
        <f t="shared" si="28"/>
        <v>DATA_Class_Base26</v>
      </c>
      <c r="CG57" s="33" t="s">
        <v>961</v>
      </c>
    </row>
    <row r="58" spans="1:85">
      <c r="A58">
        <f t="shared" si="29"/>
        <v>3035302</v>
      </c>
      <c r="B58" s="33" t="s">
        <v>362</v>
      </c>
      <c r="C58">
        <v>3</v>
      </c>
      <c r="D58">
        <v>3</v>
      </c>
      <c r="E58">
        <v>5</v>
      </c>
      <c r="F58" t="s">
        <v>1008</v>
      </c>
      <c r="G58" t="str">
        <f t="shared" si="39"/>
        <v>刺客2_33_5</v>
      </c>
      <c r="H58" s="2">
        <v>0</v>
      </c>
      <c r="I58" s="2" t="s">
        <v>358</v>
      </c>
      <c r="J58" s="2">
        <f t="shared" si="24"/>
        <v>2.5</v>
      </c>
      <c r="K58" s="2">
        <f t="shared" si="2"/>
        <v>1.02</v>
      </c>
      <c r="L58" s="2">
        <f t="shared" si="0"/>
        <v>1.25</v>
      </c>
      <c r="M58" s="2">
        <v>10</v>
      </c>
      <c r="N58" s="2">
        <f t="shared" si="3"/>
        <v>30.24</v>
      </c>
      <c r="O58" s="2">
        <f t="shared" si="3"/>
        <v>3.024</v>
      </c>
      <c r="P58" s="2">
        <f t="shared" si="3"/>
        <v>799.20000000000016</v>
      </c>
      <c r="Q58" s="2">
        <f t="shared" si="3"/>
        <v>79.920000000000016</v>
      </c>
      <c r="R58" s="2">
        <f t="shared" si="3"/>
        <v>33</v>
      </c>
      <c r="S58" s="2">
        <f t="shared" si="3"/>
        <v>3.3000000000000003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>
        <v>30353021</v>
      </c>
      <c r="Z58" s="14" t="s">
        <v>1009</v>
      </c>
      <c r="AA58" s="14" t="s">
        <v>869</v>
      </c>
      <c r="AB58" s="2">
        <v>0</v>
      </c>
      <c r="AC58" s="2">
        <v>19</v>
      </c>
      <c r="AD58" s="2"/>
      <c r="AE58" s="2"/>
      <c r="AF58">
        <v>1</v>
      </c>
      <c r="AG58" s="1">
        <f t="shared" si="4"/>
        <v>198.83410746016077</v>
      </c>
      <c r="AH58">
        <v>3</v>
      </c>
      <c r="AI58">
        <f t="shared" si="30"/>
        <v>30.24</v>
      </c>
      <c r="AJ58">
        <f t="shared" si="31"/>
        <v>3.024</v>
      </c>
      <c r="AK58">
        <f t="shared" si="32"/>
        <v>799.20000000000016</v>
      </c>
      <c r="AL58">
        <f t="shared" si="33"/>
        <v>79.920000000000016</v>
      </c>
      <c r="AM58">
        <f t="shared" si="25"/>
        <v>33</v>
      </c>
      <c r="AN58">
        <f t="shared" si="26"/>
        <v>3.3000000000000003</v>
      </c>
      <c r="AO58">
        <f t="shared" si="11"/>
        <v>1.4</v>
      </c>
      <c r="AP58">
        <f t="shared" si="12"/>
        <v>1.7</v>
      </c>
      <c r="AQ58">
        <f t="shared" si="13"/>
        <v>2.5</v>
      </c>
      <c r="AR58">
        <v>302</v>
      </c>
      <c r="AS58" s="1" t="str">
        <f t="shared" si="38"/>
        <v>2</v>
      </c>
      <c r="AT58">
        <v>3</v>
      </c>
      <c r="AV58" s="2" t="s">
        <v>354</v>
      </c>
      <c r="AW58">
        <f t="shared" si="40"/>
        <v>36</v>
      </c>
      <c r="AX58">
        <f t="shared" si="43"/>
        <v>3.6</v>
      </c>
      <c r="AY58" s="28">
        <v>0</v>
      </c>
      <c r="AZ58" s="28">
        <f t="shared" si="41"/>
        <v>3.6000000000000003E-3</v>
      </c>
      <c r="BA58" s="28">
        <f t="shared" si="41"/>
        <v>9.7200000000000012E-3</v>
      </c>
      <c r="BB58" s="28">
        <f t="shared" si="41"/>
        <v>1.512E-2</v>
      </c>
      <c r="BC58" s="28">
        <f t="shared" si="41"/>
        <v>2.1240000000000002E-2</v>
      </c>
      <c r="BD58" s="28">
        <f t="shared" si="41"/>
        <v>3.9240000000000004E-2</v>
      </c>
      <c r="BE58" s="28">
        <f t="shared" si="41"/>
        <v>5.7239999999999999E-2</v>
      </c>
      <c r="BF58" s="28">
        <f t="shared" si="41"/>
        <v>7.5240000000000001E-2</v>
      </c>
      <c r="BG58" s="28">
        <f t="shared" si="41"/>
        <v>0.11124000000000002</v>
      </c>
      <c r="BH58" s="28">
        <v>0.25</v>
      </c>
      <c r="BI58">
        <f t="shared" si="42"/>
        <v>8887.6</v>
      </c>
      <c r="BK58" t="s">
        <v>348</v>
      </c>
      <c r="BL58" t="s">
        <v>348</v>
      </c>
      <c r="BP58" t="s">
        <v>983</v>
      </c>
      <c r="BQ58" t="str">
        <f t="shared" si="16"/>
        <v>2</v>
      </c>
      <c r="BT58">
        <v>22</v>
      </c>
      <c r="BU58">
        <f t="shared" si="36"/>
        <v>331022</v>
      </c>
      <c r="BV58">
        <f t="shared" si="37"/>
        <v>331022</v>
      </c>
      <c r="CC58" s="2" t="s">
        <v>1010</v>
      </c>
      <c r="CD58" t="s">
        <v>1011</v>
      </c>
      <c r="CF58" t="str">
        <f t="shared" si="28"/>
        <v>DATA_Class_Base27</v>
      </c>
      <c r="CG58" s="33" t="s">
        <v>965</v>
      </c>
    </row>
    <row r="59" spans="1:85">
      <c r="A59">
        <f t="shared" si="29"/>
        <v>3035400</v>
      </c>
      <c r="B59" s="6" t="s">
        <v>373</v>
      </c>
      <c r="C59">
        <v>3</v>
      </c>
      <c r="D59">
        <v>4</v>
      </c>
      <c r="E59">
        <v>5</v>
      </c>
      <c r="F59" t="s">
        <v>1012</v>
      </c>
      <c r="G59" t="str">
        <f t="shared" si="39"/>
        <v>法师0_33_5</v>
      </c>
      <c r="H59">
        <v>0</v>
      </c>
      <c r="I59" s="2" t="s">
        <v>364</v>
      </c>
      <c r="J59" s="2">
        <f t="shared" si="24"/>
        <v>5</v>
      </c>
      <c r="K59" s="2">
        <f t="shared" si="2"/>
        <v>1.02</v>
      </c>
      <c r="L59" s="2">
        <f t="shared" si="0"/>
        <v>1.02</v>
      </c>
      <c r="M59" s="2">
        <v>10</v>
      </c>
      <c r="N59" s="2">
        <f t="shared" si="3"/>
        <v>36.959999999999994</v>
      </c>
      <c r="O59" s="2">
        <f t="shared" si="3"/>
        <v>3.6959999999999997</v>
      </c>
      <c r="P59" s="2">
        <f t="shared" si="3"/>
        <v>655.19999999999993</v>
      </c>
      <c r="Q59" s="2">
        <f t="shared" si="3"/>
        <v>65.52</v>
      </c>
      <c r="R59" s="2">
        <f t="shared" si="3"/>
        <v>27</v>
      </c>
      <c r="S59" s="2">
        <f t="shared" si="3"/>
        <v>2.7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>
        <v>30354001</v>
      </c>
      <c r="Z59" s="14" t="s">
        <v>1013</v>
      </c>
      <c r="AA59" s="14" t="s">
        <v>869</v>
      </c>
      <c r="AB59" s="2">
        <v>0</v>
      </c>
      <c r="AC59" s="2">
        <v>19</v>
      </c>
      <c r="AD59" s="2"/>
      <c r="AE59" s="2"/>
      <c r="AF59">
        <v>1</v>
      </c>
      <c r="AG59" s="1">
        <f t="shared" si="4"/>
        <v>198.96761579783913</v>
      </c>
      <c r="AH59">
        <v>3</v>
      </c>
      <c r="AI59">
        <f t="shared" si="30"/>
        <v>36.959999999999994</v>
      </c>
      <c r="AJ59">
        <f t="shared" si="31"/>
        <v>3.6959999999999997</v>
      </c>
      <c r="AK59">
        <f t="shared" si="32"/>
        <v>655.19999999999993</v>
      </c>
      <c r="AL59">
        <f t="shared" si="33"/>
        <v>65.52</v>
      </c>
      <c r="AM59">
        <f t="shared" si="25"/>
        <v>27</v>
      </c>
      <c r="AN59">
        <f t="shared" si="26"/>
        <v>2.7</v>
      </c>
      <c r="AO59">
        <f t="shared" si="11"/>
        <v>1.4</v>
      </c>
      <c r="AP59">
        <f t="shared" si="12"/>
        <v>1.4</v>
      </c>
      <c r="AQ59">
        <f t="shared" si="13"/>
        <v>5</v>
      </c>
      <c r="AR59">
        <v>400</v>
      </c>
      <c r="AS59" s="1" t="str">
        <f t="shared" si="38"/>
        <v>0</v>
      </c>
      <c r="AT59">
        <v>3</v>
      </c>
      <c r="AV59" s="2" t="s">
        <v>360</v>
      </c>
      <c r="AW59">
        <f t="shared" si="40"/>
        <v>33</v>
      </c>
      <c r="AX59">
        <f t="shared" si="43"/>
        <v>3.3000000000000003</v>
      </c>
      <c r="AY59" s="28">
        <v>0</v>
      </c>
      <c r="AZ59" s="28">
        <f t="shared" si="41"/>
        <v>3.3E-3</v>
      </c>
      <c r="BA59" s="28">
        <f t="shared" si="41"/>
        <v>8.9099999999999995E-3</v>
      </c>
      <c r="BB59" s="28">
        <f t="shared" si="41"/>
        <v>1.3860000000000003E-2</v>
      </c>
      <c r="BC59" s="28">
        <f t="shared" si="41"/>
        <v>1.9470000000000001E-2</v>
      </c>
      <c r="BD59" s="28">
        <f t="shared" si="41"/>
        <v>3.5970000000000009E-2</v>
      </c>
      <c r="BE59" s="28">
        <f t="shared" si="41"/>
        <v>5.247000000000001E-2</v>
      </c>
      <c r="BF59" s="28">
        <f t="shared" si="41"/>
        <v>6.8970000000000004E-2</v>
      </c>
      <c r="BG59" s="28">
        <f t="shared" si="41"/>
        <v>0.10197000000000001</v>
      </c>
      <c r="BH59" s="28">
        <v>0.25</v>
      </c>
      <c r="BI59">
        <f t="shared" si="42"/>
        <v>8980.2999999999993</v>
      </c>
      <c r="BP59" t="s">
        <v>986</v>
      </c>
      <c r="BQ59" t="str">
        <f t="shared" si="16"/>
        <v>0</v>
      </c>
      <c r="BT59">
        <v>23</v>
      </c>
      <c r="BU59">
        <f t="shared" si="36"/>
        <v>331023</v>
      </c>
      <c r="BV59">
        <f t="shared" si="37"/>
        <v>331023</v>
      </c>
      <c r="CC59" s="2" t="s">
        <v>1014</v>
      </c>
      <c r="CD59" t="s">
        <v>371</v>
      </c>
      <c r="CF59" t="str">
        <f t="shared" si="28"/>
        <v>DATA_Class_Base28</v>
      </c>
      <c r="CG59" s="6" t="s">
        <v>968</v>
      </c>
    </row>
    <row r="60" spans="1:85">
      <c r="A60">
        <f t="shared" si="29"/>
        <v>3035500</v>
      </c>
      <c r="B60" s="33" t="s">
        <v>301</v>
      </c>
      <c r="C60">
        <v>3</v>
      </c>
      <c r="D60">
        <v>5</v>
      </c>
      <c r="E60">
        <v>5</v>
      </c>
      <c r="F60" t="s">
        <v>1015</v>
      </c>
      <c r="G60" t="str">
        <f t="shared" si="39"/>
        <v>游侠0_33_5</v>
      </c>
      <c r="H60" s="2">
        <v>0</v>
      </c>
      <c r="I60" s="2" t="s">
        <v>303</v>
      </c>
      <c r="J60" s="2">
        <f t="shared" si="24"/>
        <v>5</v>
      </c>
      <c r="K60" s="2">
        <f t="shared" si="2"/>
        <v>1.1000000000000001</v>
      </c>
      <c r="L60" s="2">
        <f t="shared" si="0"/>
        <v>1.1000000000000001</v>
      </c>
      <c r="M60" s="2">
        <v>10</v>
      </c>
      <c r="N60" s="2">
        <f t="shared" ref="N60:S102" si="44">AI60</f>
        <v>43.199999999999996</v>
      </c>
      <c r="O60" s="2">
        <f t="shared" si="44"/>
        <v>4.3199999999999994</v>
      </c>
      <c r="P60" s="2">
        <f t="shared" si="44"/>
        <v>597.6</v>
      </c>
      <c r="Q60" s="2">
        <f t="shared" si="44"/>
        <v>59.760000000000005</v>
      </c>
      <c r="R60" s="2">
        <f t="shared" si="44"/>
        <v>24</v>
      </c>
      <c r="S60" s="2">
        <f t="shared" si="44"/>
        <v>2.4000000000000004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>
        <v>30355001</v>
      </c>
      <c r="Z60" s="14" t="s">
        <v>1016</v>
      </c>
      <c r="AA60" s="14" t="s">
        <v>869</v>
      </c>
      <c r="AB60" s="2">
        <v>0</v>
      </c>
      <c r="AC60" s="2">
        <v>19</v>
      </c>
      <c r="AD60" s="2"/>
      <c r="AE60" s="2"/>
      <c r="AF60">
        <v>1</v>
      </c>
      <c r="AG60" s="1">
        <f t="shared" si="4"/>
        <v>197.84241531285184</v>
      </c>
      <c r="AH60">
        <v>3</v>
      </c>
      <c r="AI60">
        <f t="shared" si="30"/>
        <v>43.199999999999996</v>
      </c>
      <c r="AJ60">
        <f t="shared" si="31"/>
        <v>4.3199999999999994</v>
      </c>
      <c r="AK60">
        <f t="shared" si="32"/>
        <v>597.6</v>
      </c>
      <c r="AL60">
        <f t="shared" si="33"/>
        <v>59.760000000000005</v>
      </c>
      <c r="AM60">
        <f t="shared" si="25"/>
        <v>24</v>
      </c>
      <c r="AN60">
        <f t="shared" si="26"/>
        <v>2.4000000000000004</v>
      </c>
      <c r="AO60">
        <f t="shared" si="11"/>
        <v>1.5</v>
      </c>
      <c r="AP60">
        <f t="shared" si="12"/>
        <v>1.5</v>
      </c>
      <c r="AQ60">
        <f t="shared" si="13"/>
        <v>5</v>
      </c>
      <c r="AR60">
        <v>500</v>
      </c>
      <c r="AS60" s="1" t="str">
        <f t="shared" si="38"/>
        <v>0</v>
      </c>
      <c r="AT60">
        <v>3</v>
      </c>
      <c r="AV60" s="2" t="s">
        <v>165</v>
      </c>
      <c r="AW60">
        <f t="shared" si="40"/>
        <v>33</v>
      </c>
      <c r="AX60">
        <f t="shared" si="43"/>
        <v>3.3000000000000003</v>
      </c>
      <c r="AY60" s="28">
        <v>0</v>
      </c>
      <c r="AZ60" s="28">
        <f t="shared" si="41"/>
        <v>3.3E-3</v>
      </c>
      <c r="BA60" s="28">
        <f t="shared" si="41"/>
        <v>8.9099999999999995E-3</v>
      </c>
      <c r="BB60" s="28">
        <f t="shared" si="41"/>
        <v>1.3860000000000003E-2</v>
      </c>
      <c r="BC60" s="28">
        <f t="shared" si="41"/>
        <v>1.9470000000000001E-2</v>
      </c>
      <c r="BD60" s="28">
        <f t="shared" si="41"/>
        <v>3.5970000000000009E-2</v>
      </c>
      <c r="BE60" s="28">
        <f t="shared" si="41"/>
        <v>5.247000000000001E-2</v>
      </c>
      <c r="BF60" s="28">
        <f t="shared" si="41"/>
        <v>6.8970000000000004E-2</v>
      </c>
      <c r="BG60" s="28">
        <f t="shared" si="41"/>
        <v>0.10197000000000001</v>
      </c>
      <c r="BH60" s="28">
        <v>0.25</v>
      </c>
      <c r="BI60">
        <f t="shared" si="42"/>
        <v>8980.2999999999993</v>
      </c>
      <c r="BP60" t="s">
        <v>956</v>
      </c>
      <c r="BQ60" t="str">
        <f t="shared" si="16"/>
        <v>0</v>
      </c>
      <c r="BT60">
        <v>24</v>
      </c>
      <c r="BU60">
        <f t="shared" si="36"/>
        <v>331024</v>
      </c>
      <c r="BV60">
        <f t="shared" si="37"/>
        <v>331024</v>
      </c>
      <c r="CC60" s="2" t="s">
        <v>1017</v>
      </c>
      <c r="CD60" t="s">
        <v>1018</v>
      </c>
      <c r="CF60" t="str">
        <f t="shared" si="28"/>
        <v>DATA_Class_Base19</v>
      </c>
      <c r="CG60" s="33" t="s">
        <v>943</v>
      </c>
    </row>
    <row r="61" spans="1:85">
      <c r="A61">
        <f t="shared" si="29"/>
        <v>3035601</v>
      </c>
      <c r="B61" s="33" t="s">
        <v>289</v>
      </c>
      <c r="C61">
        <v>3</v>
      </c>
      <c r="D61">
        <v>6</v>
      </c>
      <c r="E61">
        <v>5</v>
      </c>
      <c r="F61" t="s">
        <v>1019</v>
      </c>
      <c r="G61" t="str">
        <f t="shared" si="39"/>
        <v>牧师1_33_5</v>
      </c>
      <c r="H61" s="2">
        <v>0</v>
      </c>
      <c r="I61" s="2" t="s">
        <v>309</v>
      </c>
      <c r="J61" s="2">
        <f t="shared" si="24"/>
        <v>5</v>
      </c>
      <c r="K61" s="2">
        <f t="shared" si="2"/>
        <v>1.1000000000000001</v>
      </c>
      <c r="L61" s="2">
        <f t="shared" si="0"/>
        <v>1.47</v>
      </c>
      <c r="M61" s="2">
        <v>10</v>
      </c>
      <c r="N61" s="2">
        <f t="shared" si="44"/>
        <v>36</v>
      </c>
      <c r="O61" s="2">
        <f t="shared" si="44"/>
        <v>3.6</v>
      </c>
      <c r="P61" s="2">
        <f t="shared" si="44"/>
        <v>720</v>
      </c>
      <c r="Q61" s="2">
        <f t="shared" si="44"/>
        <v>72</v>
      </c>
      <c r="R61" s="2">
        <f t="shared" si="44"/>
        <v>30</v>
      </c>
      <c r="S61" s="2">
        <f t="shared" si="44"/>
        <v>3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>
        <v>30356011</v>
      </c>
      <c r="Z61" s="14" t="s">
        <v>1020</v>
      </c>
      <c r="AA61" s="14" t="s">
        <v>869</v>
      </c>
      <c r="AB61" s="2">
        <v>0</v>
      </c>
      <c r="AC61" s="2">
        <v>19</v>
      </c>
      <c r="AD61" s="2"/>
      <c r="AE61" s="2"/>
      <c r="AF61">
        <v>1</v>
      </c>
      <c r="AG61" s="1">
        <f t="shared" si="4"/>
        <v>198.90090597946448</v>
      </c>
      <c r="AH61">
        <v>3</v>
      </c>
      <c r="AI61">
        <f t="shared" si="30"/>
        <v>36</v>
      </c>
      <c r="AJ61">
        <f t="shared" si="31"/>
        <v>3.6</v>
      </c>
      <c r="AK61">
        <f t="shared" si="32"/>
        <v>720</v>
      </c>
      <c r="AL61">
        <f t="shared" si="33"/>
        <v>72</v>
      </c>
      <c r="AM61">
        <f t="shared" si="25"/>
        <v>30</v>
      </c>
      <c r="AN61">
        <f t="shared" si="26"/>
        <v>3</v>
      </c>
      <c r="AO61">
        <f t="shared" si="11"/>
        <v>1.5</v>
      </c>
      <c r="AP61">
        <f t="shared" si="12"/>
        <v>2</v>
      </c>
      <c r="AQ61">
        <f t="shared" si="13"/>
        <v>5</v>
      </c>
      <c r="AR61">
        <v>601</v>
      </c>
      <c r="AS61" s="1" t="str">
        <f t="shared" si="38"/>
        <v>1</v>
      </c>
      <c r="AT61">
        <v>3</v>
      </c>
      <c r="AV61" s="2" t="s">
        <v>172</v>
      </c>
      <c r="AW61">
        <f t="shared" si="40"/>
        <v>33</v>
      </c>
      <c r="AX61">
        <f t="shared" si="43"/>
        <v>3.3000000000000003</v>
      </c>
      <c r="AY61" s="28">
        <v>0</v>
      </c>
      <c r="AZ61" s="28">
        <f t="shared" si="41"/>
        <v>3.3E-3</v>
      </c>
      <c r="BA61" s="28">
        <f t="shared" si="41"/>
        <v>8.9099999999999995E-3</v>
      </c>
      <c r="BB61" s="28">
        <f t="shared" si="41"/>
        <v>1.3860000000000003E-2</v>
      </c>
      <c r="BC61" s="28">
        <f t="shared" si="41"/>
        <v>1.9470000000000001E-2</v>
      </c>
      <c r="BD61" s="28">
        <f t="shared" si="41"/>
        <v>3.5970000000000009E-2</v>
      </c>
      <c r="BE61" s="28">
        <f t="shared" si="41"/>
        <v>5.247000000000001E-2</v>
      </c>
      <c r="BF61" s="28">
        <f t="shared" si="41"/>
        <v>6.8970000000000004E-2</v>
      </c>
      <c r="BG61" s="28">
        <f t="shared" si="41"/>
        <v>0.10197000000000001</v>
      </c>
      <c r="BH61" s="28">
        <v>0.25</v>
      </c>
      <c r="BI61">
        <f t="shared" si="42"/>
        <v>8980.2999999999993</v>
      </c>
      <c r="BP61" t="s">
        <v>960</v>
      </c>
      <c r="BQ61" t="str">
        <f t="shared" si="16"/>
        <v>1</v>
      </c>
      <c r="BT61">
        <v>25</v>
      </c>
      <c r="BU61">
        <f t="shared" si="36"/>
        <v>331025</v>
      </c>
      <c r="BV61">
        <f t="shared" si="37"/>
        <v>331025</v>
      </c>
      <c r="CC61" s="2" t="s">
        <v>1021</v>
      </c>
      <c r="CD61" t="s">
        <v>1022</v>
      </c>
      <c r="CF61" t="str">
        <f t="shared" si="28"/>
        <v>DATA_Class_Base20</v>
      </c>
      <c r="CG61" s="33" t="s">
        <v>946</v>
      </c>
    </row>
    <row r="62" spans="1:85">
      <c r="A62">
        <f t="shared" si="29"/>
        <v>4041201</v>
      </c>
      <c r="B62" s="34" t="s">
        <v>383</v>
      </c>
      <c r="C62">
        <v>4</v>
      </c>
      <c r="D62">
        <v>2</v>
      </c>
      <c r="E62">
        <v>1</v>
      </c>
      <c r="F62" t="s">
        <v>1023</v>
      </c>
      <c r="G62" t="str">
        <f t="shared" si="39"/>
        <v>战士1_44_1</v>
      </c>
      <c r="H62" s="2">
        <v>0</v>
      </c>
      <c r="I62" s="2" t="s">
        <v>298</v>
      </c>
      <c r="J62" s="2">
        <f t="shared" si="24"/>
        <v>2.5</v>
      </c>
      <c r="K62" s="2">
        <f t="shared" si="2"/>
        <v>1.32</v>
      </c>
      <c r="L62" s="2">
        <f t="shared" si="0"/>
        <v>1.32</v>
      </c>
      <c r="M62" s="2">
        <v>10</v>
      </c>
      <c r="N62" s="2">
        <f t="shared" si="44"/>
        <v>40.32</v>
      </c>
      <c r="O62" s="2">
        <f t="shared" si="44"/>
        <v>4.032</v>
      </c>
      <c r="P62" s="2">
        <f t="shared" si="44"/>
        <v>1050</v>
      </c>
      <c r="Q62" s="2">
        <f t="shared" si="44"/>
        <v>105</v>
      </c>
      <c r="R62" s="2">
        <f t="shared" si="44"/>
        <v>36</v>
      </c>
      <c r="S62" s="2">
        <f t="shared" si="44"/>
        <v>3.6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>
        <v>40412011</v>
      </c>
      <c r="Z62" s="14" t="s">
        <v>1024</v>
      </c>
      <c r="AA62" s="14" t="s">
        <v>889</v>
      </c>
      <c r="AB62">
        <v>4051201</v>
      </c>
      <c r="AC62" s="2">
        <v>31</v>
      </c>
      <c r="AD62" s="2"/>
      <c r="AE62" s="2"/>
      <c r="AF62">
        <v>1</v>
      </c>
      <c r="AG62" s="1">
        <f t="shared" si="4"/>
        <v>271.08644464156123</v>
      </c>
      <c r="AH62">
        <v>4</v>
      </c>
      <c r="AI62">
        <f t="shared" si="30"/>
        <v>40.32</v>
      </c>
      <c r="AJ62">
        <f t="shared" si="31"/>
        <v>4.032</v>
      </c>
      <c r="AK62">
        <f t="shared" si="32"/>
        <v>1050</v>
      </c>
      <c r="AL62">
        <f t="shared" si="33"/>
        <v>105</v>
      </c>
      <c r="AM62">
        <f t="shared" si="25"/>
        <v>36</v>
      </c>
      <c r="AN62">
        <f t="shared" si="26"/>
        <v>3.6</v>
      </c>
      <c r="AO62">
        <f t="shared" si="11"/>
        <v>1.8</v>
      </c>
      <c r="AP62">
        <f t="shared" si="12"/>
        <v>1.8</v>
      </c>
      <c r="AQ62">
        <f t="shared" si="13"/>
        <v>2.5</v>
      </c>
      <c r="AR62">
        <v>201</v>
      </c>
      <c r="AS62" s="1" t="str">
        <f t="shared" si="38"/>
        <v>1</v>
      </c>
      <c r="AT62">
        <v>4</v>
      </c>
      <c r="AV62" s="2" t="s">
        <v>174</v>
      </c>
      <c r="AW62">
        <f t="shared" si="40"/>
        <v>27</v>
      </c>
      <c r="AX62">
        <f t="shared" si="43"/>
        <v>2.7</v>
      </c>
      <c r="AY62" s="28">
        <v>0</v>
      </c>
      <c r="AZ62" s="28">
        <f t="shared" si="41"/>
        <v>2.7000000000000001E-3</v>
      </c>
      <c r="BA62" s="28">
        <f t="shared" si="41"/>
        <v>7.2900000000000013E-3</v>
      </c>
      <c r="BB62" s="28">
        <f t="shared" si="41"/>
        <v>1.1340000000000001E-2</v>
      </c>
      <c r="BC62" s="28">
        <f t="shared" si="41"/>
        <v>1.5930000000000003E-2</v>
      </c>
      <c r="BD62" s="28">
        <f t="shared" si="41"/>
        <v>2.9430000000000001E-2</v>
      </c>
      <c r="BE62" s="28">
        <f t="shared" si="41"/>
        <v>4.2930000000000003E-2</v>
      </c>
      <c r="BF62" s="28">
        <f t="shared" si="41"/>
        <v>5.6430000000000008E-2</v>
      </c>
      <c r="BG62" s="28">
        <f t="shared" si="41"/>
        <v>8.3430000000000004E-2</v>
      </c>
      <c r="BH62" s="28">
        <v>0.25</v>
      </c>
      <c r="BI62">
        <f t="shared" si="42"/>
        <v>9165.7000000000007</v>
      </c>
      <c r="BP62" t="s">
        <v>913</v>
      </c>
      <c r="BQ62" t="str">
        <f t="shared" si="16"/>
        <v>1</v>
      </c>
      <c r="BT62">
        <v>1</v>
      </c>
      <c r="BU62" t="str">
        <f>BV62&amp;","&amp;BW62</f>
        <v>441001,442001</v>
      </c>
      <c r="BV62">
        <f t="shared" si="37"/>
        <v>441001</v>
      </c>
      <c r="BW62">
        <f>$AT62*100000+$AH62*10000+2*1000+$BT62</f>
        <v>442001</v>
      </c>
      <c r="CC62" s="2" t="s">
        <v>1025</v>
      </c>
      <c r="CD62" t="s">
        <v>378</v>
      </c>
      <c r="CF62" t="str">
        <f t="shared" si="28"/>
        <v>DATA_Class_Base31</v>
      </c>
      <c r="CG62" s="34" t="s">
        <v>300</v>
      </c>
    </row>
    <row r="63" spans="1:85">
      <c r="A63">
        <f t="shared" si="29"/>
        <v>4041300</v>
      </c>
      <c r="B63" s="35" t="s">
        <v>387</v>
      </c>
      <c r="C63">
        <v>4</v>
      </c>
      <c r="D63">
        <v>3</v>
      </c>
      <c r="E63">
        <v>1</v>
      </c>
      <c r="F63" t="s">
        <v>1026</v>
      </c>
      <c r="G63" t="str">
        <f t="shared" si="39"/>
        <v>刺客0_44_1</v>
      </c>
      <c r="H63">
        <v>0</v>
      </c>
      <c r="I63" s="2" t="s">
        <v>352</v>
      </c>
      <c r="J63" s="2">
        <f t="shared" si="24"/>
        <v>4</v>
      </c>
      <c r="K63" s="2">
        <f t="shared" si="2"/>
        <v>0.95000000000000007</v>
      </c>
      <c r="L63" s="2">
        <f t="shared" si="0"/>
        <v>1.3900000000000001</v>
      </c>
      <c r="M63" s="2">
        <v>10</v>
      </c>
      <c r="N63" s="2">
        <f t="shared" si="44"/>
        <v>32.760000000000005</v>
      </c>
      <c r="O63" s="2">
        <f t="shared" si="44"/>
        <v>3.2760000000000007</v>
      </c>
      <c r="P63" s="2">
        <f t="shared" si="44"/>
        <v>932.40000000000009</v>
      </c>
      <c r="Q63" s="2">
        <f t="shared" si="44"/>
        <v>93.240000000000009</v>
      </c>
      <c r="R63" s="2">
        <f t="shared" si="44"/>
        <v>33</v>
      </c>
      <c r="S63" s="2">
        <f t="shared" si="44"/>
        <v>3.3000000000000003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>
        <v>40413001</v>
      </c>
      <c r="Z63" s="14" t="s">
        <v>1027</v>
      </c>
      <c r="AA63" s="14" t="s">
        <v>889</v>
      </c>
      <c r="AB63">
        <v>4051300</v>
      </c>
      <c r="AC63" s="2">
        <v>31</v>
      </c>
      <c r="AD63" s="2"/>
      <c r="AE63" s="2"/>
      <c r="AF63">
        <v>1</v>
      </c>
      <c r="AG63" s="1">
        <f t="shared" si="4"/>
        <v>270.63531293188561</v>
      </c>
      <c r="AH63">
        <v>4</v>
      </c>
      <c r="AI63">
        <f t="shared" si="30"/>
        <v>32.760000000000005</v>
      </c>
      <c r="AJ63">
        <f t="shared" si="31"/>
        <v>3.2760000000000007</v>
      </c>
      <c r="AK63">
        <f t="shared" si="32"/>
        <v>932.40000000000009</v>
      </c>
      <c r="AL63">
        <f t="shared" si="33"/>
        <v>93.240000000000009</v>
      </c>
      <c r="AM63">
        <f t="shared" si="25"/>
        <v>33</v>
      </c>
      <c r="AN63">
        <f t="shared" si="26"/>
        <v>3.3000000000000003</v>
      </c>
      <c r="AO63">
        <f t="shared" si="11"/>
        <v>1.3</v>
      </c>
      <c r="AP63">
        <f t="shared" si="12"/>
        <v>1.9</v>
      </c>
      <c r="AQ63">
        <f t="shared" si="13"/>
        <v>4</v>
      </c>
      <c r="AR63">
        <v>300</v>
      </c>
      <c r="AS63" s="1" t="str">
        <f t="shared" si="38"/>
        <v>0</v>
      </c>
      <c r="AT63">
        <v>4</v>
      </c>
      <c r="AV63" s="2" t="s">
        <v>176</v>
      </c>
      <c r="AW63">
        <f t="shared" si="40"/>
        <v>27</v>
      </c>
      <c r="AX63">
        <f t="shared" si="43"/>
        <v>2.7</v>
      </c>
      <c r="AY63" s="28">
        <v>0</v>
      </c>
      <c r="AZ63" s="28">
        <f t="shared" si="41"/>
        <v>2.7000000000000001E-3</v>
      </c>
      <c r="BA63" s="28">
        <f t="shared" si="41"/>
        <v>7.2900000000000013E-3</v>
      </c>
      <c r="BB63" s="28">
        <f t="shared" si="41"/>
        <v>1.1340000000000001E-2</v>
      </c>
      <c r="BC63" s="28">
        <f t="shared" si="41"/>
        <v>1.5930000000000003E-2</v>
      </c>
      <c r="BD63" s="28">
        <f t="shared" si="41"/>
        <v>2.9430000000000001E-2</v>
      </c>
      <c r="BE63" s="28">
        <f t="shared" si="41"/>
        <v>4.2930000000000003E-2</v>
      </c>
      <c r="BF63" s="28">
        <f t="shared" si="41"/>
        <v>5.6430000000000008E-2</v>
      </c>
      <c r="BG63" s="28">
        <f t="shared" si="41"/>
        <v>8.3430000000000004E-2</v>
      </c>
      <c r="BH63" s="28">
        <v>0.25</v>
      </c>
      <c r="BI63">
        <f t="shared" si="42"/>
        <v>9165.7000000000007</v>
      </c>
      <c r="BP63" t="s">
        <v>967</v>
      </c>
      <c r="BQ63" t="str">
        <f t="shared" si="16"/>
        <v>0</v>
      </c>
      <c r="BT63">
        <v>2</v>
      </c>
      <c r="BU63" t="str">
        <f t="shared" ref="BU63:BU126" si="45">BV63&amp;","&amp;BW63</f>
        <v>441002,442002</v>
      </c>
      <c r="BV63">
        <f t="shared" si="37"/>
        <v>441002</v>
      </c>
      <c r="BW63">
        <f t="shared" ref="BW63:BW101" si="46">$AT63*100000+$AH63*10000+2*1000+$BT63</f>
        <v>442002</v>
      </c>
      <c r="CC63" s="2" t="s">
        <v>1028</v>
      </c>
      <c r="CD63" t="s">
        <v>411</v>
      </c>
      <c r="CF63" t="str">
        <f t="shared" si="28"/>
        <v>DATA_Class_Base32</v>
      </c>
      <c r="CG63" s="35" t="s">
        <v>366</v>
      </c>
    </row>
    <row r="64" spans="1:85">
      <c r="A64">
        <f t="shared" si="29"/>
        <v>4041401</v>
      </c>
      <c r="B64" s="34" t="s">
        <v>390</v>
      </c>
      <c r="C64">
        <v>4</v>
      </c>
      <c r="D64">
        <v>4</v>
      </c>
      <c r="E64">
        <v>1</v>
      </c>
      <c r="F64" t="s">
        <v>1029</v>
      </c>
      <c r="G64" t="str">
        <f t="shared" si="39"/>
        <v>法师1_44_1</v>
      </c>
      <c r="H64">
        <v>0</v>
      </c>
      <c r="I64" s="2" t="s">
        <v>161</v>
      </c>
      <c r="J64" s="2">
        <f t="shared" si="24"/>
        <v>6</v>
      </c>
      <c r="K64" s="2">
        <f t="shared" si="2"/>
        <v>1.17</v>
      </c>
      <c r="L64" s="2">
        <f t="shared" si="0"/>
        <v>1.47</v>
      </c>
      <c r="M64" s="2">
        <v>10</v>
      </c>
      <c r="N64" s="2">
        <f t="shared" si="44"/>
        <v>49.280000000000008</v>
      </c>
      <c r="O64" s="2">
        <f t="shared" si="44"/>
        <v>4.9280000000000008</v>
      </c>
      <c r="P64" s="2">
        <f t="shared" si="44"/>
        <v>764.4</v>
      </c>
      <c r="Q64" s="2">
        <f t="shared" si="44"/>
        <v>76.44</v>
      </c>
      <c r="R64" s="2">
        <f t="shared" si="44"/>
        <v>27</v>
      </c>
      <c r="S64" s="2">
        <f t="shared" si="44"/>
        <v>2.7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>
        <v>40414011</v>
      </c>
      <c r="Z64" s="14" t="s">
        <v>1030</v>
      </c>
      <c r="AA64" s="14" t="s">
        <v>889</v>
      </c>
      <c r="AB64">
        <v>4051401</v>
      </c>
      <c r="AC64" s="2">
        <v>31</v>
      </c>
      <c r="AD64" s="2"/>
      <c r="AE64" s="2"/>
      <c r="AF64">
        <v>1</v>
      </c>
      <c r="AG64" s="1">
        <f t="shared" si="4"/>
        <v>270.81703261372559</v>
      </c>
      <c r="AH64">
        <v>4</v>
      </c>
      <c r="AI64">
        <f t="shared" si="30"/>
        <v>49.280000000000008</v>
      </c>
      <c r="AJ64">
        <f t="shared" si="31"/>
        <v>4.9280000000000008</v>
      </c>
      <c r="AK64">
        <f t="shared" si="32"/>
        <v>764.4</v>
      </c>
      <c r="AL64">
        <f t="shared" si="33"/>
        <v>76.44</v>
      </c>
      <c r="AM64">
        <f t="shared" si="25"/>
        <v>27</v>
      </c>
      <c r="AN64">
        <f t="shared" si="26"/>
        <v>2.7</v>
      </c>
      <c r="AO64">
        <f t="shared" si="11"/>
        <v>1.6</v>
      </c>
      <c r="AP64">
        <f t="shared" si="12"/>
        <v>2</v>
      </c>
      <c r="AQ64">
        <f t="shared" si="13"/>
        <v>6</v>
      </c>
      <c r="AR64">
        <v>401</v>
      </c>
      <c r="AS64" s="1" t="str">
        <f t="shared" si="38"/>
        <v>1</v>
      </c>
      <c r="AT64">
        <v>4</v>
      </c>
      <c r="AV64" s="2" t="s">
        <v>376</v>
      </c>
      <c r="AW64">
        <f t="shared" si="40"/>
        <v>27</v>
      </c>
      <c r="AX64">
        <f t="shared" si="43"/>
        <v>2.7</v>
      </c>
      <c r="AY64" s="28">
        <v>0</v>
      </c>
      <c r="AZ64" s="28">
        <f t="shared" si="41"/>
        <v>2.7000000000000001E-3</v>
      </c>
      <c r="BA64" s="28">
        <f t="shared" si="41"/>
        <v>7.2900000000000013E-3</v>
      </c>
      <c r="BB64" s="28">
        <f t="shared" si="41"/>
        <v>1.1340000000000001E-2</v>
      </c>
      <c r="BC64" s="28">
        <f t="shared" si="41"/>
        <v>1.5930000000000003E-2</v>
      </c>
      <c r="BD64" s="28">
        <f t="shared" si="41"/>
        <v>2.9430000000000001E-2</v>
      </c>
      <c r="BE64" s="28">
        <f t="shared" si="41"/>
        <v>4.2930000000000003E-2</v>
      </c>
      <c r="BF64" s="28">
        <f t="shared" si="41"/>
        <v>5.6430000000000008E-2</v>
      </c>
      <c r="BG64" s="28">
        <f t="shared" si="41"/>
        <v>8.3430000000000004E-2</v>
      </c>
      <c r="BH64" s="28">
        <v>0.25</v>
      </c>
      <c r="BI64">
        <f t="shared" si="42"/>
        <v>9165.7000000000007</v>
      </c>
      <c r="BP64" t="s">
        <v>953</v>
      </c>
      <c r="BQ64" t="str">
        <f t="shared" si="16"/>
        <v>1</v>
      </c>
      <c r="BT64">
        <v>3</v>
      </c>
      <c r="BU64" t="str">
        <f t="shared" si="45"/>
        <v>441003,442003</v>
      </c>
      <c r="BV64">
        <f t="shared" si="37"/>
        <v>441003</v>
      </c>
      <c r="BW64">
        <f t="shared" si="46"/>
        <v>442003</v>
      </c>
      <c r="CC64" s="2" t="s">
        <v>1031</v>
      </c>
      <c r="CD64" t="s">
        <v>384</v>
      </c>
      <c r="CF64" t="str">
        <f t="shared" si="28"/>
        <v>DATA_Class_Base33</v>
      </c>
      <c r="CG64" s="34" t="s">
        <v>318</v>
      </c>
    </row>
    <row r="65" spans="1:85">
      <c r="A65">
        <f t="shared" si="29"/>
        <v>4041500</v>
      </c>
      <c r="B65" s="35" t="s">
        <v>394</v>
      </c>
      <c r="C65">
        <v>4</v>
      </c>
      <c r="D65">
        <v>5</v>
      </c>
      <c r="E65">
        <v>1</v>
      </c>
      <c r="F65" t="s">
        <v>1032</v>
      </c>
      <c r="G65" t="str">
        <f t="shared" si="39"/>
        <v>游侠0_44_1</v>
      </c>
      <c r="H65" s="2">
        <v>0</v>
      </c>
      <c r="I65" s="2" t="s">
        <v>303</v>
      </c>
      <c r="J65" s="2">
        <f t="shared" si="24"/>
        <v>5</v>
      </c>
      <c r="K65" s="2">
        <f t="shared" si="2"/>
        <v>1.1000000000000001</v>
      </c>
      <c r="L65" s="2">
        <f t="shared" si="0"/>
        <v>1.1000000000000001</v>
      </c>
      <c r="M65" s="2">
        <v>10</v>
      </c>
      <c r="N65" s="2">
        <f t="shared" si="44"/>
        <v>50.4</v>
      </c>
      <c r="O65" s="2">
        <f t="shared" si="44"/>
        <v>5.04</v>
      </c>
      <c r="P65" s="2">
        <f t="shared" si="44"/>
        <v>697.19999999999993</v>
      </c>
      <c r="Q65" s="2">
        <f t="shared" si="44"/>
        <v>69.72</v>
      </c>
      <c r="R65" s="2">
        <f t="shared" si="44"/>
        <v>24</v>
      </c>
      <c r="S65" s="2">
        <f t="shared" si="44"/>
        <v>2.4000000000000004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>
        <v>40415001</v>
      </c>
      <c r="Z65" s="14" t="s">
        <v>1033</v>
      </c>
      <c r="AA65" s="14" t="s">
        <v>889</v>
      </c>
      <c r="AB65">
        <v>4051500</v>
      </c>
      <c r="AC65" s="2">
        <v>31</v>
      </c>
      <c r="AD65" s="2"/>
      <c r="AE65" s="2"/>
      <c r="AF65">
        <v>1</v>
      </c>
      <c r="AG65" s="1">
        <f t="shared" si="4"/>
        <v>269.28550973138164</v>
      </c>
      <c r="AH65">
        <v>4</v>
      </c>
      <c r="AI65">
        <f t="shared" si="30"/>
        <v>50.4</v>
      </c>
      <c r="AJ65">
        <f t="shared" si="31"/>
        <v>5.04</v>
      </c>
      <c r="AK65">
        <f t="shared" si="32"/>
        <v>697.19999999999993</v>
      </c>
      <c r="AL65">
        <f t="shared" si="33"/>
        <v>69.72</v>
      </c>
      <c r="AM65">
        <f t="shared" si="25"/>
        <v>24</v>
      </c>
      <c r="AN65">
        <f t="shared" si="26"/>
        <v>2.4000000000000004</v>
      </c>
      <c r="AO65">
        <f t="shared" si="11"/>
        <v>1.5</v>
      </c>
      <c r="AP65">
        <f t="shared" si="12"/>
        <v>1.5</v>
      </c>
      <c r="AQ65">
        <f t="shared" si="13"/>
        <v>5</v>
      </c>
      <c r="AR65">
        <v>500</v>
      </c>
      <c r="AS65" s="1" t="str">
        <f t="shared" si="38"/>
        <v>0</v>
      </c>
      <c r="AT65">
        <v>4</v>
      </c>
      <c r="AV65" s="2" t="s">
        <v>184</v>
      </c>
      <c r="AW65">
        <f t="shared" si="40"/>
        <v>24</v>
      </c>
      <c r="AX65">
        <f t="shared" si="43"/>
        <v>2.4000000000000004</v>
      </c>
      <c r="AY65" s="28">
        <v>0</v>
      </c>
      <c r="AZ65" s="28">
        <f t="shared" si="41"/>
        <v>2.4000000000000002E-3</v>
      </c>
      <c r="BA65" s="28">
        <f t="shared" si="41"/>
        <v>6.4800000000000014E-3</v>
      </c>
      <c r="BB65" s="28">
        <f t="shared" si="41"/>
        <v>1.0080000000000002E-2</v>
      </c>
      <c r="BC65" s="28">
        <f t="shared" si="41"/>
        <v>1.4160000000000002E-2</v>
      </c>
      <c r="BD65" s="28">
        <f t="shared" si="41"/>
        <v>2.6160000000000003E-2</v>
      </c>
      <c r="BE65" s="28">
        <f t="shared" si="41"/>
        <v>3.8160000000000006E-2</v>
      </c>
      <c r="BF65" s="28">
        <f t="shared" si="41"/>
        <v>5.016000000000001E-2</v>
      </c>
      <c r="BG65" s="28">
        <f t="shared" si="41"/>
        <v>7.4160000000000018E-2</v>
      </c>
      <c r="BH65" s="28">
        <v>0.25</v>
      </c>
      <c r="BI65">
        <f t="shared" si="42"/>
        <v>9258.4</v>
      </c>
      <c r="BP65" t="s">
        <v>956</v>
      </c>
      <c r="BQ65" t="str">
        <f t="shared" si="16"/>
        <v>0</v>
      </c>
      <c r="BT65">
        <v>4</v>
      </c>
      <c r="BU65" t="str">
        <f t="shared" si="45"/>
        <v>441004,442004</v>
      </c>
      <c r="BV65">
        <f t="shared" si="37"/>
        <v>441004</v>
      </c>
      <c r="BW65">
        <f t="shared" si="46"/>
        <v>442004</v>
      </c>
      <c r="CC65" s="2" t="s">
        <v>1034</v>
      </c>
      <c r="CD65" t="s">
        <v>176</v>
      </c>
      <c r="CF65" t="str">
        <f t="shared" si="28"/>
        <v>DATA_Class_Base34</v>
      </c>
      <c r="CG65" s="35" t="s">
        <v>331</v>
      </c>
    </row>
    <row r="66" spans="1:85">
      <c r="A66">
        <f t="shared" si="29"/>
        <v>4041601</v>
      </c>
      <c r="B66" s="35" t="s">
        <v>396</v>
      </c>
      <c r="C66">
        <v>4</v>
      </c>
      <c r="D66">
        <v>6</v>
      </c>
      <c r="E66">
        <v>1</v>
      </c>
      <c r="F66" t="s">
        <v>1035</v>
      </c>
      <c r="G66" t="str">
        <f t="shared" si="39"/>
        <v>牧师1_44_1</v>
      </c>
      <c r="H66" s="2">
        <v>0</v>
      </c>
      <c r="I66" s="2" t="s">
        <v>309</v>
      </c>
      <c r="J66" s="2">
        <f t="shared" si="24"/>
        <v>5</v>
      </c>
      <c r="K66" s="2">
        <f t="shared" si="2"/>
        <v>1.1000000000000001</v>
      </c>
      <c r="L66" s="2">
        <f t="shared" si="0"/>
        <v>1.47</v>
      </c>
      <c r="M66" s="2">
        <v>10</v>
      </c>
      <c r="N66" s="2">
        <f t="shared" si="44"/>
        <v>42</v>
      </c>
      <c r="O66" s="2">
        <f t="shared" si="44"/>
        <v>4.2</v>
      </c>
      <c r="P66" s="2">
        <f t="shared" si="44"/>
        <v>840</v>
      </c>
      <c r="Q66" s="2">
        <f t="shared" si="44"/>
        <v>84</v>
      </c>
      <c r="R66" s="2">
        <f t="shared" si="44"/>
        <v>30</v>
      </c>
      <c r="S66" s="2">
        <f t="shared" si="44"/>
        <v>3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>
        <v>40416011</v>
      </c>
      <c r="Z66" s="14" t="s">
        <v>1036</v>
      </c>
      <c r="AA66" s="14" t="s">
        <v>889</v>
      </c>
      <c r="AB66">
        <v>4051601</v>
      </c>
      <c r="AC66" s="2">
        <v>31</v>
      </c>
      <c r="AD66" s="2"/>
      <c r="AE66" s="2"/>
      <c r="AF66">
        <v>1</v>
      </c>
      <c r="AG66" s="1">
        <f t="shared" si="4"/>
        <v>270.7262331387156</v>
      </c>
      <c r="AH66">
        <v>4</v>
      </c>
      <c r="AI66">
        <f t="shared" si="30"/>
        <v>42</v>
      </c>
      <c r="AJ66">
        <f t="shared" si="31"/>
        <v>4.2</v>
      </c>
      <c r="AK66">
        <f t="shared" si="32"/>
        <v>840</v>
      </c>
      <c r="AL66">
        <f t="shared" si="33"/>
        <v>84</v>
      </c>
      <c r="AM66">
        <f t="shared" si="25"/>
        <v>30</v>
      </c>
      <c r="AN66">
        <f t="shared" si="26"/>
        <v>3</v>
      </c>
      <c r="AO66">
        <f t="shared" si="11"/>
        <v>1.5</v>
      </c>
      <c r="AP66">
        <f t="shared" si="12"/>
        <v>2</v>
      </c>
      <c r="AQ66">
        <f t="shared" si="13"/>
        <v>5</v>
      </c>
      <c r="AR66">
        <v>601</v>
      </c>
      <c r="AS66" s="1" t="str">
        <f t="shared" si="38"/>
        <v>1</v>
      </c>
      <c r="AT66">
        <v>4</v>
      </c>
      <c r="AV66" t="s">
        <v>190</v>
      </c>
      <c r="AW66">
        <f t="shared" si="40"/>
        <v>24</v>
      </c>
      <c r="AX66">
        <f t="shared" si="43"/>
        <v>2.4000000000000004</v>
      </c>
      <c r="AY66" s="28">
        <v>0</v>
      </c>
      <c r="AZ66" s="28">
        <f t="shared" si="41"/>
        <v>2.4000000000000002E-3</v>
      </c>
      <c r="BA66" s="28">
        <f t="shared" si="41"/>
        <v>6.4800000000000014E-3</v>
      </c>
      <c r="BB66" s="28">
        <f t="shared" si="41"/>
        <v>1.0080000000000002E-2</v>
      </c>
      <c r="BC66" s="28">
        <f t="shared" si="41"/>
        <v>1.4160000000000002E-2</v>
      </c>
      <c r="BD66" s="28">
        <f t="shared" si="41"/>
        <v>2.6160000000000003E-2</v>
      </c>
      <c r="BE66" s="28">
        <f t="shared" si="41"/>
        <v>3.8160000000000006E-2</v>
      </c>
      <c r="BF66" s="28">
        <f t="shared" si="41"/>
        <v>5.016000000000001E-2</v>
      </c>
      <c r="BG66" s="28">
        <f t="shared" si="41"/>
        <v>7.4160000000000018E-2</v>
      </c>
      <c r="BH66" s="28">
        <v>0.25</v>
      </c>
      <c r="BI66">
        <f t="shared" si="42"/>
        <v>9258.4</v>
      </c>
      <c r="BP66" t="s">
        <v>960</v>
      </c>
      <c r="BQ66" t="str">
        <f t="shared" si="16"/>
        <v>1</v>
      </c>
      <c r="BT66">
        <v>5</v>
      </c>
      <c r="BU66" t="str">
        <f t="shared" si="45"/>
        <v>441005,442005</v>
      </c>
      <c r="BV66">
        <f t="shared" si="37"/>
        <v>441005</v>
      </c>
      <c r="BW66">
        <f t="shared" si="46"/>
        <v>442005</v>
      </c>
      <c r="CC66" s="2" t="s">
        <v>1037</v>
      </c>
      <c r="CD66" t="s">
        <v>1038</v>
      </c>
      <c r="CF66" t="str">
        <f t="shared" si="28"/>
        <v>DATA_Class_Base35</v>
      </c>
      <c r="CG66" s="35" t="s">
        <v>342</v>
      </c>
    </row>
    <row r="67" spans="1:85">
      <c r="A67">
        <f t="shared" si="29"/>
        <v>4041301</v>
      </c>
      <c r="B67" s="35" t="s">
        <v>398</v>
      </c>
      <c r="C67">
        <v>4</v>
      </c>
      <c r="D67">
        <v>3</v>
      </c>
      <c r="E67">
        <v>1</v>
      </c>
      <c r="F67" t="s">
        <v>1039</v>
      </c>
      <c r="G67" t="str">
        <f t="shared" si="39"/>
        <v>刺客1_44_1</v>
      </c>
      <c r="H67" s="2">
        <v>0</v>
      </c>
      <c r="I67" s="2" t="s">
        <v>285</v>
      </c>
      <c r="J67" s="2">
        <f t="shared" si="24"/>
        <v>2.5</v>
      </c>
      <c r="K67" s="2">
        <f t="shared" si="2"/>
        <v>0.88</v>
      </c>
      <c r="L67" s="2">
        <f t="shared" si="0"/>
        <v>1.47</v>
      </c>
      <c r="M67" s="2">
        <v>10</v>
      </c>
      <c r="N67" s="2">
        <f t="shared" si="44"/>
        <v>30.24</v>
      </c>
      <c r="O67" s="2">
        <f t="shared" si="44"/>
        <v>3.024</v>
      </c>
      <c r="P67" s="2">
        <f t="shared" si="44"/>
        <v>932.40000000000009</v>
      </c>
      <c r="Q67" s="2">
        <f t="shared" si="44"/>
        <v>93.240000000000009</v>
      </c>
      <c r="R67" s="2">
        <f t="shared" si="44"/>
        <v>33</v>
      </c>
      <c r="S67" s="2">
        <f t="shared" si="44"/>
        <v>3.3000000000000003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>
        <v>40413011</v>
      </c>
      <c r="Z67" s="14" t="s">
        <v>1040</v>
      </c>
      <c r="AA67" s="14" t="s">
        <v>889</v>
      </c>
      <c r="AB67">
        <v>4051301</v>
      </c>
      <c r="AC67" s="2">
        <v>31</v>
      </c>
      <c r="AD67" s="2"/>
      <c r="AE67" s="2"/>
      <c r="AF67">
        <v>1</v>
      </c>
      <c r="AG67" s="1">
        <f t="shared" si="4"/>
        <v>270.63531293188555</v>
      </c>
      <c r="AH67">
        <v>4</v>
      </c>
      <c r="AI67">
        <f t="shared" si="30"/>
        <v>30.24</v>
      </c>
      <c r="AJ67">
        <f t="shared" si="31"/>
        <v>3.024</v>
      </c>
      <c r="AK67">
        <f t="shared" si="32"/>
        <v>932.40000000000009</v>
      </c>
      <c r="AL67">
        <f t="shared" si="33"/>
        <v>93.240000000000009</v>
      </c>
      <c r="AM67">
        <f t="shared" si="25"/>
        <v>33</v>
      </c>
      <c r="AN67">
        <f t="shared" si="26"/>
        <v>3.3000000000000003</v>
      </c>
      <c r="AO67">
        <f t="shared" si="11"/>
        <v>1.2</v>
      </c>
      <c r="AP67">
        <f t="shared" si="12"/>
        <v>2</v>
      </c>
      <c r="AQ67">
        <f t="shared" si="13"/>
        <v>2.5</v>
      </c>
      <c r="AR67">
        <v>301</v>
      </c>
      <c r="AS67" s="1" t="str">
        <f t="shared" si="38"/>
        <v>1</v>
      </c>
      <c r="AT67">
        <v>4</v>
      </c>
      <c r="AV67" s="2" t="s">
        <v>386</v>
      </c>
      <c r="AW67">
        <f t="shared" si="40"/>
        <v>24</v>
      </c>
      <c r="AX67">
        <f t="shared" si="43"/>
        <v>2.4000000000000004</v>
      </c>
      <c r="AY67" s="28">
        <v>0</v>
      </c>
      <c r="AZ67" s="28">
        <f t="shared" si="41"/>
        <v>2.4000000000000002E-3</v>
      </c>
      <c r="BA67" s="28">
        <f t="shared" si="41"/>
        <v>6.4800000000000014E-3</v>
      </c>
      <c r="BB67" s="28">
        <f t="shared" si="41"/>
        <v>1.0080000000000002E-2</v>
      </c>
      <c r="BC67" s="28">
        <f t="shared" si="41"/>
        <v>1.4160000000000002E-2</v>
      </c>
      <c r="BD67" s="28">
        <f t="shared" si="41"/>
        <v>2.6160000000000003E-2</v>
      </c>
      <c r="BE67" s="28">
        <f t="shared" si="41"/>
        <v>3.8160000000000006E-2</v>
      </c>
      <c r="BF67" s="28">
        <f t="shared" si="41"/>
        <v>5.016000000000001E-2</v>
      </c>
      <c r="BG67" s="28">
        <f t="shared" si="41"/>
        <v>7.4160000000000018E-2</v>
      </c>
      <c r="BH67" s="28">
        <v>0.25</v>
      </c>
      <c r="BI67">
        <f t="shared" si="42"/>
        <v>9258.4</v>
      </c>
      <c r="BP67" t="s">
        <v>923</v>
      </c>
      <c r="BQ67" t="str">
        <f t="shared" si="16"/>
        <v>1</v>
      </c>
      <c r="BT67">
        <v>6</v>
      </c>
      <c r="BU67" t="str">
        <f t="shared" si="45"/>
        <v>441006,442006</v>
      </c>
      <c r="BV67">
        <f t="shared" si="37"/>
        <v>441006</v>
      </c>
      <c r="BW67">
        <f t="shared" si="46"/>
        <v>442006</v>
      </c>
      <c r="CC67" s="2" t="s">
        <v>1041</v>
      </c>
      <c r="CD67" t="s">
        <v>184</v>
      </c>
      <c r="CF67" t="str">
        <f t="shared" si="28"/>
        <v>DATA_Class_Base36</v>
      </c>
      <c r="CG67" s="35" t="s">
        <v>312</v>
      </c>
    </row>
    <row r="68" spans="1:85">
      <c r="A68">
        <f t="shared" si="29"/>
        <v>4041501</v>
      </c>
      <c r="B68" s="35" t="s">
        <v>401</v>
      </c>
      <c r="C68">
        <v>4</v>
      </c>
      <c r="D68">
        <v>5</v>
      </c>
      <c r="E68">
        <v>1</v>
      </c>
      <c r="F68" t="s">
        <v>1042</v>
      </c>
      <c r="G68" t="str">
        <f t="shared" si="39"/>
        <v>游侠1_44_1</v>
      </c>
      <c r="H68" s="2">
        <v>0</v>
      </c>
      <c r="I68" s="2" t="s">
        <v>334</v>
      </c>
      <c r="J68" s="2">
        <f t="shared" si="24"/>
        <v>6</v>
      </c>
      <c r="K68" s="2">
        <f t="shared" si="2"/>
        <v>1.17</v>
      </c>
      <c r="L68" s="2">
        <f t="shared" ref="L68:L131" si="47">FLOOR(AP68/1.36,0.01)</f>
        <v>1.47</v>
      </c>
      <c r="M68" s="2">
        <v>10</v>
      </c>
      <c r="N68" s="2">
        <f t="shared" si="44"/>
        <v>53.76</v>
      </c>
      <c r="O68" s="2">
        <f t="shared" si="44"/>
        <v>5.3760000000000003</v>
      </c>
      <c r="P68" s="2">
        <f t="shared" si="44"/>
        <v>697.19999999999993</v>
      </c>
      <c r="Q68" s="2">
        <f t="shared" si="44"/>
        <v>69.72</v>
      </c>
      <c r="R68" s="2">
        <f t="shared" si="44"/>
        <v>24</v>
      </c>
      <c r="S68" s="2">
        <f t="shared" si="44"/>
        <v>2.4000000000000004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>
        <v>40415011</v>
      </c>
      <c r="Z68" s="14" t="s">
        <v>1043</v>
      </c>
      <c r="AA68" s="14" t="s">
        <v>889</v>
      </c>
      <c r="AB68">
        <v>4051501</v>
      </c>
      <c r="AC68" s="2">
        <v>31</v>
      </c>
      <c r="AD68" s="2"/>
      <c r="AE68" s="2"/>
      <c r="AF68">
        <v>1</v>
      </c>
      <c r="AG68" s="1">
        <f t="shared" si="4"/>
        <v>269.28550973138164</v>
      </c>
      <c r="AH68">
        <v>4</v>
      </c>
      <c r="AI68">
        <f t="shared" si="30"/>
        <v>53.76</v>
      </c>
      <c r="AJ68">
        <f t="shared" si="31"/>
        <v>5.3760000000000003</v>
      </c>
      <c r="AK68">
        <f t="shared" si="32"/>
        <v>697.19999999999993</v>
      </c>
      <c r="AL68">
        <f t="shared" si="33"/>
        <v>69.72</v>
      </c>
      <c r="AM68">
        <f t="shared" si="25"/>
        <v>24</v>
      </c>
      <c r="AN68">
        <f t="shared" si="26"/>
        <v>2.4000000000000004</v>
      </c>
      <c r="AO68">
        <f t="shared" si="11"/>
        <v>1.6</v>
      </c>
      <c r="AP68">
        <f t="shared" si="12"/>
        <v>2</v>
      </c>
      <c r="AQ68">
        <f t="shared" si="13"/>
        <v>6</v>
      </c>
      <c r="AR68">
        <v>501</v>
      </c>
      <c r="AS68" s="1" t="str">
        <f t="shared" si="38"/>
        <v>1</v>
      </c>
      <c r="AT68">
        <v>4</v>
      </c>
      <c r="AV68" s="2" t="s">
        <v>198</v>
      </c>
      <c r="AW68">
        <f t="shared" si="40"/>
        <v>30</v>
      </c>
      <c r="AX68">
        <f t="shared" si="43"/>
        <v>3</v>
      </c>
      <c r="AY68" s="28">
        <v>0</v>
      </c>
      <c r="AZ68" s="28">
        <f t="shared" si="41"/>
        <v>3.0000000000000001E-3</v>
      </c>
      <c r="BA68" s="28">
        <f t="shared" si="41"/>
        <v>8.0999999999999996E-3</v>
      </c>
      <c r="BB68" s="28">
        <f t="shared" si="41"/>
        <v>1.26E-2</v>
      </c>
      <c r="BC68" s="28">
        <f t="shared" si="41"/>
        <v>1.77E-2</v>
      </c>
      <c r="BD68" s="28">
        <f t="shared" si="41"/>
        <v>3.27E-2</v>
      </c>
      <c r="BE68" s="28">
        <f t="shared" si="41"/>
        <v>4.7699999999999999E-2</v>
      </c>
      <c r="BF68" s="28">
        <f t="shared" si="41"/>
        <v>6.2700000000000006E-2</v>
      </c>
      <c r="BG68" s="28">
        <f t="shared" si="41"/>
        <v>9.2700000000000005E-2</v>
      </c>
      <c r="BH68" s="28">
        <v>0.25</v>
      </c>
      <c r="BI68">
        <f t="shared" si="42"/>
        <v>9073</v>
      </c>
      <c r="BP68" t="s">
        <v>945</v>
      </c>
      <c r="BQ68" t="str">
        <f t="shared" si="16"/>
        <v>1</v>
      </c>
      <c r="BT68">
        <v>7</v>
      </c>
      <c r="BU68" t="str">
        <f t="shared" si="45"/>
        <v>441007,442007</v>
      </c>
      <c r="BV68">
        <f t="shared" si="37"/>
        <v>441007</v>
      </c>
      <c r="BW68">
        <f t="shared" si="46"/>
        <v>442007</v>
      </c>
      <c r="CC68" s="2" t="s">
        <v>1044</v>
      </c>
      <c r="CD68" t="s">
        <v>349</v>
      </c>
      <c r="CF68" t="str">
        <f t="shared" si="28"/>
        <v>DATA_Class_Base37</v>
      </c>
      <c r="CG68" s="35" t="s">
        <v>994</v>
      </c>
    </row>
    <row r="69" spans="1:85">
      <c r="A69">
        <f t="shared" si="29"/>
        <v>4041202</v>
      </c>
      <c r="B69" s="34" t="s">
        <v>404</v>
      </c>
      <c r="C69">
        <v>4</v>
      </c>
      <c r="D69">
        <v>2</v>
      </c>
      <c r="E69">
        <v>1</v>
      </c>
      <c r="F69" s="2" t="s">
        <v>1045</v>
      </c>
      <c r="G69" t="str">
        <f t="shared" si="39"/>
        <v>战士2_44_1</v>
      </c>
      <c r="H69">
        <v>0</v>
      </c>
      <c r="I69" s="2" t="s">
        <v>280</v>
      </c>
      <c r="J69" s="2">
        <f t="shared" si="24"/>
        <v>2.5</v>
      </c>
      <c r="K69" s="2">
        <f t="shared" ref="K69:K132" si="48">FLOOR(AO69/1.363,0.01)</f>
        <v>1.32</v>
      </c>
      <c r="L69" s="2">
        <f t="shared" si="47"/>
        <v>1.47</v>
      </c>
      <c r="M69" s="2">
        <v>10</v>
      </c>
      <c r="N69" s="2">
        <f t="shared" si="44"/>
        <v>40.32</v>
      </c>
      <c r="O69" s="2">
        <f t="shared" si="44"/>
        <v>4.032</v>
      </c>
      <c r="P69" s="2">
        <f t="shared" si="44"/>
        <v>1050</v>
      </c>
      <c r="Q69" s="2">
        <f t="shared" si="44"/>
        <v>105</v>
      </c>
      <c r="R69" s="2">
        <f t="shared" si="44"/>
        <v>36</v>
      </c>
      <c r="S69" s="2">
        <f t="shared" si="44"/>
        <v>3.6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>
        <v>40412021</v>
      </c>
      <c r="Z69" s="14" t="s">
        <v>1046</v>
      </c>
      <c r="AA69" s="14" t="s">
        <v>889</v>
      </c>
      <c r="AB69">
        <v>4051202</v>
      </c>
      <c r="AC69" s="2">
        <v>31</v>
      </c>
      <c r="AD69" s="2"/>
      <c r="AE69" s="2"/>
      <c r="AF69">
        <v>1</v>
      </c>
      <c r="AG69" s="1">
        <f t="shared" ref="AG69:AG132" si="49">(AK69+AL69*AF69)*(AI69+AJ69*AF69)/AO69*(0.9)*(1+0.5*0.1)*1/1/(1-(AM69+AN69*AF69)*0.0002)/100</f>
        <v>271.08644464156123</v>
      </c>
      <c r="AH69">
        <v>4</v>
      </c>
      <c r="AI69">
        <f t="shared" si="30"/>
        <v>40.32</v>
      </c>
      <c r="AJ69">
        <f t="shared" si="31"/>
        <v>4.032</v>
      </c>
      <c r="AK69">
        <f t="shared" si="32"/>
        <v>1050</v>
      </c>
      <c r="AL69">
        <f t="shared" si="33"/>
        <v>105</v>
      </c>
      <c r="AM69">
        <f t="shared" si="25"/>
        <v>36</v>
      </c>
      <c r="AN69">
        <f t="shared" si="26"/>
        <v>3.6</v>
      </c>
      <c r="AO69">
        <f t="shared" ref="AO69:AO132" si="50">INDEX($AZ$5:$AZ$34,MATCH($AR69,$AU$5:$AU$34,0))</f>
        <v>1.8</v>
      </c>
      <c r="AP69">
        <f t="shared" ref="AP69:AP132" si="51">ROUND(IF(INDEX($BH$5:$BH$34,MATCH($AR69,$AU$5:$AU$34,0))&lt;2,INDEX($BH$5:$BH$34,MATCH($AR69,$AU$5:$AU$34,0))+0.2,2),1)</f>
        <v>2</v>
      </c>
      <c r="AQ69">
        <f t="shared" ref="AQ69:AQ132" si="52">INDEX($BD$5:$BD$34,MATCH($AR69,$AU$5:$AU$34,0))</f>
        <v>2.5</v>
      </c>
      <c r="AR69">
        <v>202</v>
      </c>
      <c r="AS69" s="1" t="str">
        <f t="shared" si="38"/>
        <v>2</v>
      </c>
      <c r="AT69">
        <v>4</v>
      </c>
      <c r="AV69" s="2" t="s">
        <v>393</v>
      </c>
      <c r="AW69">
        <f t="shared" si="40"/>
        <v>30</v>
      </c>
      <c r="AX69">
        <f t="shared" si="43"/>
        <v>3</v>
      </c>
      <c r="AY69" s="28">
        <v>0</v>
      </c>
      <c r="AZ69" s="28">
        <f t="shared" si="41"/>
        <v>3.0000000000000001E-3</v>
      </c>
      <c r="BA69" s="28">
        <f t="shared" si="41"/>
        <v>8.0999999999999996E-3</v>
      </c>
      <c r="BB69" s="28">
        <f t="shared" si="41"/>
        <v>1.26E-2</v>
      </c>
      <c r="BC69" s="28">
        <f t="shared" si="41"/>
        <v>1.77E-2</v>
      </c>
      <c r="BD69" s="28">
        <f t="shared" si="41"/>
        <v>3.27E-2</v>
      </c>
      <c r="BE69" s="28">
        <f t="shared" si="41"/>
        <v>4.7699999999999999E-2</v>
      </c>
      <c r="BF69" s="28">
        <f t="shared" si="41"/>
        <v>6.2700000000000006E-2</v>
      </c>
      <c r="BG69" s="28">
        <f t="shared" si="41"/>
        <v>9.2700000000000005E-2</v>
      </c>
      <c r="BH69" s="28">
        <v>0.25</v>
      </c>
      <c r="BI69">
        <f t="shared" si="42"/>
        <v>9073</v>
      </c>
      <c r="BP69" t="s">
        <v>981</v>
      </c>
      <c r="BQ69" t="str">
        <f t="shared" ref="BQ69:BQ132" si="53">RIGHT(BP69,1)</f>
        <v>2</v>
      </c>
      <c r="BT69">
        <v>8</v>
      </c>
      <c r="BU69" t="str">
        <f t="shared" si="45"/>
        <v>441008,442008</v>
      </c>
      <c r="BV69">
        <f t="shared" si="37"/>
        <v>441008</v>
      </c>
      <c r="BW69">
        <f t="shared" si="46"/>
        <v>442008</v>
      </c>
      <c r="CC69" s="2" t="s">
        <v>1047</v>
      </c>
      <c r="CD69" t="s">
        <v>198</v>
      </c>
      <c r="CF69" t="str">
        <f t="shared" si="28"/>
        <v>DATA_Class_Base38</v>
      </c>
      <c r="CG69" s="34" t="s">
        <v>306</v>
      </c>
    </row>
    <row r="70" spans="1:85">
      <c r="A70">
        <f t="shared" si="29"/>
        <v>4042200</v>
      </c>
      <c r="B70" s="34" t="s">
        <v>406</v>
      </c>
      <c r="C70">
        <v>4</v>
      </c>
      <c r="D70">
        <v>2</v>
      </c>
      <c r="E70">
        <v>2</v>
      </c>
      <c r="F70" t="s">
        <v>1048</v>
      </c>
      <c r="G70" t="str">
        <f t="shared" si="39"/>
        <v>战士0_44_2</v>
      </c>
      <c r="H70">
        <v>0</v>
      </c>
      <c r="I70" s="2" t="s">
        <v>314</v>
      </c>
      <c r="J70" s="2">
        <f t="shared" si="24"/>
        <v>2.5</v>
      </c>
      <c r="K70" s="2">
        <f t="shared" si="48"/>
        <v>1.1000000000000001</v>
      </c>
      <c r="L70" s="2">
        <f t="shared" si="47"/>
        <v>0.88</v>
      </c>
      <c r="M70" s="2">
        <v>10</v>
      </c>
      <c r="N70" s="2">
        <f t="shared" si="44"/>
        <v>33.6</v>
      </c>
      <c r="O70" s="2">
        <f t="shared" si="44"/>
        <v>3.3600000000000003</v>
      </c>
      <c r="P70" s="2">
        <f t="shared" si="44"/>
        <v>1050</v>
      </c>
      <c r="Q70" s="2">
        <f t="shared" si="44"/>
        <v>105</v>
      </c>
      <c r="R70" s="2">
        <f t="shared" si="44"/>
        <v>36</v>
      </c>
      <c r="S70" s="2">
        <f t="shared" si="44"/>
        <v>3.6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>
        <v>40422001</v>
      </c>
      <c r="Z70" s="14" t="s">
        <v>1049</v>
      </c>
      <c r="AA70" s="14" t="s">
        <v>889</v>
      </c>
      <c r="AB70">
        <v>4052200</v>
      </c>
      <c r="AC70" s="2">
        <v>31</v>
      </c>
      <c r="AD70" s="2"/>
      <c r="AE70" s="2"/>
      <c r="AF70">
        <v>1</v>
      </c>
      <c r="AG70" s="1">
        <f t="shared" si="49"/>
        <v>271.08644464156123</v>
      </c>
      <c r="AH70">
        <v>4</v>
      </c>
      <c r="AI70">
        <f t="shared" si="30"/>
        <v>33.6</v>
      </c>
      <c r="AJ70">
        <f t="shared" si="31"/>
        <v>3.3600000000000003</v>
      </c>
      <c r="AK70">
        <f t="shared" si="32"/>
        <v>1050</v>
      </c>
      <c r="AL70">
        <f t="shared" si="33"/>
        <v>105</v>
      </c>
      <c r="AM70">
        <f t="shared" si="25"/>
        <v>36</v>
      </c>
      <c r="AN70">
        <f t="shared" si="26"/>
        <v>3.6</v>
      </c>
      <c r="AO70">
        <f t="shared" si="50"/>
        <v>1.5</v>
      </c>
      <c r="AP70">
        <f t="shared" si="51"/>
        <v>1.2</v>
      </c>
      <c r="AQ70">
        <f t="shared" si="52"/>
        <v>2.5</v>
      </c>
      <c r="AR70">
        <v>200</v>
      </c>
      <c r="AS70" s="1" t="str">
        <f t="shared" si="38"/>
        <v>0</v>
      </c>
      <c r="AT70">
        <v>4</v>
      </c>
      <c r="AV70" s="2" t="s">
        <v>203</v>
      </c>
      <c r="AW70">
        <f t="shared" si="40"/>
        <v>30</v>
      </c>
      <c r="AX70">
        <f t="shared" si="43"/>
        <v>3</v>
      </c>
      <c r="AY70" s="28">
        <v>0</v>
      </c>
      <c r="AZ70" s="28">
        <f t="shared" si="41"/>
        <v>3.0000000000000001E-3</v>
      </c>
      <c r="BA70" s="28">
        <f t="shared" si="41"/>
        <v>8.0999999999999996E-3</v>
      </c>
      <c r="BB70" s="28">
        <f t="shared" si="41"/>
        <v>1.26E-2</v>
      </c>
      <c r="BC70" s="28">
        <f t="shared" si="41"/>
        <v>1.77E-2</v>
      </c>
      <c r="BD70" s="28">
        <f t="shared" si="41"/>
        <v>3.27E-2</v>
      </c>
      <c r="BE70" s="28">
        <f t="shared" si="41"/>
        <v>4.7699999999999999E-2</v>
      </c>
      <c r="BF70" s="28">
        <f t="shared" si="41"/>
        <v>6.2700000000000006E-2</v>
      </c>
      <c r="BG70" s="28">
        <f t="shared" si="41"/>
        <v>9.2700000000000005E-2</v>
      </c>
      <c r="BH70" s="28">
        <v>0.25</v>
      </c>
      <c r="BI70">
        <f t="shared" si="42"/>
        <v>9073</v>
      </c>
      <c r="BP70" t="s">
        <v>964</v>
      </c>
      <c r="BQ70" t="str">
        <f t="shared" si="53"/>
        <v>0</v>
      </c>
      <c r="BT70">
        <v>9</v>
      </c>
      <c r="BU70" t="str">
        <f t="shared" si="45"/>
        <v>441009,442009</v>
      </c>
      <c r="BV70">
        <f t="shared" si="37"/>
        <v>441009</v>
      </c>
      <c r="BW70">
        <f t="shared" si="46"/>
        <v>442009</v>
      </c>
      <c r="CC70" s="2" t="s">
        <v>1050</v>
      </c>
      <c r="CD70" t="s">
        <v>201</v>
      </c>
      <c r="CF70" t="str">
        <f t="shared" si="28"/>
        <v>DATA_Class_Base39</v>
      </c>
      <c r="CG70" s="34" t="s">
        <v>999</v>
      </c>
    </row>
    <row r="71" spans="1:85">
      <c r="A71">
        <f t="shared" si="29"/>
        <v>4042300</v>
      </c>
      <c r="B71" s="35" t="s">
        <v>387</v>
      </c>
      <c r="C71">
        <v>4</v>
      </c>
      <c r="D71">
        <v>3</v>
      </c>
      <c r="E71">
        <v>2</v>
      </c>
      <c r="F71" t="s">
        <v>1051</v>
      </c>
      <c r="G71" t="str">
        <f t="shared" si="39"/>
        <v>刺客0_44_2</v>
      </c>
      <c r="H71">
        <v>0</v>
      </c>
      <c r="I71" s="2" t="s">
        <v>352</v>
      </c>
      <c r="J71" s="2">
        <f t="shared" si="24"/>
        <v>4</v>
      </c>
      <c r="K71" s="2">
        <f t="shared" si="48"/>
        <v>0.95000000000000007</v>
      </c>
      <c r="L71" s="2">
        <f t="shared" si="47"/>
        <v>1.3900000000000001</v>
      </c>
      <c r="M71" s="2">
        <v>10</v>
      </c>
      <c r="N71" s="2">
        <f t="shared" si="44"/>
        <v>32.760000000000005</v>
      </c>
      <c r="O71" s="2">
        <f t="shared" si="44"/>
        <v>3.2760000000000007</v>
      </c>
      <c r="P71" s="2">
        <f t="shared" si="44"/>
        <v>932.40000000000009</v>
      </c>
      <c r="Q71" s="2">
        <f t="shared" si="44"/>
        <v>93.240000000000009</v>
      </c>
      <c r="R71" s="2">
        <f t="shared" si="44"/>
        <v>33</v>
      </c>
      <c r="S71" s="2">
        <f t="shared" si="44"/>
        <v>3.3000000000000003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>
        <v>40423001</v>
      </c>
      <c r="Z71" s="14" t="s">
        <v>1052</v>
      </c>
      <c r="AA71" s="14" t="s">
        <v>889</v>
      </c>
      <c r="AB71">
        <v>4052300</v>
      </c>
      <c r="AC71" s="2">
        <v>31</v>
      </c>
      <c r="AD71" s="2"/>
      <c r="AE71" s="2"/>
      <c r="AF71">
        <v>1</v>
      </c>
      <c r="AG71" s="1">
        <f t="shared" si="49"/>
        <v>270.63531293188561</v>
      </c>
      <c r="AH71">
        <v>4</v>
      </c>
      <c r="AI71">
        <f t="shared" si="30"/>
        <v>32.760000000000005</v>
      </c>
      <c r="AJ71">
        <f t="shared" si="31"/>
        <v>3.2760000000000007</v>
      </c>
      <c r="AK71">
        <f t="shared" si="32"/>
        <v>932.40000000000009</v>
      </c>
      <c r="AL71">
        <f t="shared" si="33"/>
        <v>93.240000000000009</v>
      </c>
      <c r="AM71">
        <f t="shared" si="25"/>
        <v>33</v>
      </c>
      <c r="AN71">
        <f t="shared" si="26"/>
        <v>3.3000000000000003</v>
      </c>
      <c r="AO71">
        <f t="shared" si="50"/>
        <v>1.3</v>
      </c>
      <c r="AP71">
        <f t="shared" si="51"/>
        <v>1.9</v>
      </c>
      <c r="AQ71">
        <f t="shared" si="52"/>
        <v>4</v>
      </c>
      <c r="AR71">
        <v>300</v>
      </c>
      <c r="AS71" s="1" t="str">
        <f t="shared" si="38"/>
        <v>0</v>
      </c>
      <c r="AT71">
        <v>4</v>
      </c>
      <c r="BP71" t="s">
        <v>967</v>
      </c>
      <c r="BQ71" t="str">
        <f t="shared" si="53"/>
        <v>0</v>
      </c>
      <c r="BT71">
        <v>10</v>
      </c>
      <c r="BU71" t="str">
        <f t="shared" si="45"/>
        <v>441010,442010</v>
      </c>
      <c r="BV71">
        <f t="shared" si="37"/>
        <v>441010</v>
      </c>
      <c r="BW71">
        <f t="shared" si="46"/>
        <v>442010</v>
      </c>
      <c r="CC71" s="2" t="s">
        <v>1053</v>
      </c>
      <c r="CD71" t="s">
        <v>381</v>
      </c>
      <c r="CF71" t="str">
        <f t="shared" si="28"/>
        <v>DATA_Class_Base32</v>
      </c>
      <c r="CG71" s="35" t="s">
        <v>366</v>
      </c>
    </row>
    <row r="72" spans="1:85">
      <c r="A72">
        <f t="shared" si="29"/>
        <v>4042402</v>
      </c>
      <c r="B72" s="34" t="s">
        <v>410</v>
      </c>
      <c r="C72">
        <v>4</v>
      </c>
      <c r="D72">
        <v>4</v>
      </c>
      <c r="E72">
        <v>2</v>
      </c>
      <c r="F72" t="s">
        <v>1054</v>
      </c>
      <c r="G72" t="str">
        <f t="shared" si="39"/>
        <v>法师2_44_2</v>
      </c>
      <c r="H72" s="2">
        <v>0</v>
      </c>
      <c r="I72" s="2" t="s">
        <v>250</v>
      </c>
      <c r="J72" s="2">
        <f t="shared" si="24"/>
        <v>5</v>
      </c>
      <c r="K72" s="2">
        <f t="shared" si="48"/>
        <v>1.1000000000000001</v>
      </c>
      <c r="L72" s="2">
        <f t="shared" si="47"/>
        <v>1.1000000000000001</v>
      </c>
      <c r="M72" s="2">
        <v>10</v>
      </c>
      <c r="N72" s="2">
        <f t="shared" si="44"/>
        <v>46.199999999999996</v>
      </c>
      <c r="O72" s="2">
        <f t="shared" si="44"/>
        <v>4.62</v>
      </c>
      <c r="P72" s="2">
        <f t="shared" si="44"/>
        <v>764.4</v>
      </c>
      <c r="Q72" s="2">
        <f t="shared" si="44"/>
        <v>76.44</v>
      </c>
      <c r="R72" s="2">
        <f t="shared" si="44"/>
        <v>27</v>
      </c>
      <c r="S72" s="2">
        <f t="shared" si="44"/>
        <v>2.7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>
        <v>40424021</v>
      </c>
      <c r="Z72" s="14" t="s">
        <v>1055</v>
      </c>
      <c r="AA72" s="14" t="s">
        <v>889</v>
      </c>
      <c r="AB72">
        <v>4052402</v>
      </c>
      <c r="AC72" s="2">
        <v>31</v>
      </c>
      <c r="AD72" s="2"/>
      <c r="AE72" s="2"/>
      <c r="AF72">
        <v>1</v>
      </c>
      <c r="AG72" s="1">
        <f t="shared" si="49"/>
        <v>270.81703261372547</v>
      </c>
      <c r="AH72">
        <v>4</v>
      </c>
      <c r="AI72">
        <f t="shared" si="30"/>
        <v>46.199999999999996</v>
      </c>
      <c r="AJ72">
        <f t="shared" si="31"/>
        <v>4.62</v>
      </c>
      <c r="AK72">
        <f t="shared" si="32"/>
        <v>764.4</v>
      </c>
      <c r="AL72">
        <f t="shared" si="33"/>
        <v>76.44</v>
      </c>
      <c r="AM72">
        <f t="shared" si="25"/>
        <v>27</v>
      </c>
      <c r="AN72">
        <f t="shared" si="26"/>
        <v>2.7</v>
      </c>
      <c r="AO72">
        <f t="shared" si="50"/>
        <v>1.5</v>
      </c>
      <c r="AP72">
        <f t="shared" si="51"/>
        <v>1.5</v>
      </c>
      <c r="AQ72">
        <f t="shared" si="52"/>
        <v>5</v>
      </c>
      <c r="AR72">
        <v>402</v>
      </c>
      <c r="AS72" s="1" t="str">
        <f t="shared" si="38"/>
        <v>2</v>
      </c>
      <c r="AT72">
        <v>4</v>
      </c>
      <c r="BP72" t="s">
        <v>971</v>
      </c>
      <c r="BQ72" t="str">
        <f t="shared" si="53"/>
        <v>2</v>
      </c>
      <c r="BT72">
        <v>11</v>
      </c>
      <c r="BU72" t="str">
        <f t="shared" si="45"/>
        <v>441011,442011</v>
      </c>
      <c r="BV72">
        <f t="shared" si="37"/>
        <v>441011</v>
      </c>
      <c r="BW72">
        <f t="shared" si="46"/>
        <v>442011</v>
      </c>
      <c r="CC72" s="2" t="s">
        <v>1056</v>
      </c>
      <c r="CD72" t="s">
        <v>1057</v>
      </c>
      <c r="CF72" t="str">
        <f t="shared" si="28"/>
        <v>DATA_Class_Base40</v>
      </c>
      <c r="CG72" s="34" t="s">
        <v>324</v>
      </c>
    </row>
    <row r="73" spans="1:85">
      <c r="A73">
        <f t="shared" si="29"/>
        <v>4042502</v>
      </c>
      <c r="B73" s="34" t="s">
        <v>412</v>
      </c>
      <c r="C73">
        <v>4</v>
      </c>
      <c r="D73">
        <v>5</v>
      </c>
      <c r="E73">
        <v>2</v>
      </c>
      <c r="F73" t="s">
        <v>1058</v>
      </c>
      <c r="G73" t="str">
        <f t="shared" si="39"/>
        <v>游侠2_44_2</v>
      </c>
      <c r="H73">
        <v>0</v>
      </c>
      <c r="I73" s="2" t="s">
        <v>291</v>
      </c>
      <c r="J73" s="2">
        <f t="shared" si="24"/>
        <v>6</v>
      </c>
      <c r="K73" s="2">
        <f t="shared" si="48"/>
        <v>1.02</v>
      </c>
      <c r="L73" s="2">
        <f t="shared" si="47"/>
        <v>1.47</v>
      </c>
      <c r="M73" s="2">
        <v>10</v>
      </c>
      <c r="N73" s="2">
        <f t="shared" si="44"/>
        <v>47.039999999999992</v>
      </c>
      <c r="O73" s="2">
        <f t="shared" si="44"/>
        <v>4.7039999999999997</v>
      </c>
      <c r="P73" s="2">
        <f t="shared" si="44"/>
        <v>697.19999999999993</v>
      </c>
      <c r="Q73" s="2">
        <f t="shared" si="44"/>
        <v>69.72</v>
      </c>
      <c r="R73" s="2">
        <f t="shared" si="44"/>
        <v>24</v>
      </c>
      <c r="S73" s="2">
        <f t="shared" si="44"/>
        <v>2.4000000000000004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>
        <v>40425021</v>
      </c>
      <c r="Z73" s="14" t="s">
        <v>1059</v>
      </c>
      <c r="AA73" s="14" t="s">
        <v>889</v>
      </c>
      <c r="AB73">
        <v>4052502</v>
      </c>
      <c r="AC73" s="2">
        <v>31</v>
      </c>
      <c r="AD73" s="2"/>
      <c r="AE73" s="2"/>
      <c r="AF73">
        <v>1</v>
      </c>
      <c r="AG73" s="1">
        <f t="shared" si="49"/>
        <v>269.28550973138158</v>
      </c>
      <c r="AH73">
        <v>4</v>
      </c>
      <c r="AI73">
        <f t="shared" si="30"/>
        <v>47.039999999999992</v>
      </c>
      <c r="AJ73">
        <f t="shared" si="31"/>
        <v>4.7039999999999997</v>
      </c>
      <c r="AK73">
        <f t="shared" si="32"/>
        <v>697.19999999999993</v>
      </c>
      <c r="AL73">
        <f t="shared" si="33"/>
        <v>69.72</v>
      </c>
      <c r="AM73">
        <f t="shared" si="25"/>
        <v>24</v>
      </c>
      <c r="AN73">
        <f t="shared" si="26"/>
        <v>2.4000000000000004</v>
      </c>
      <c r="AO73">
        <f t="shared" si="50"/>
        <v>1.4</v>
      </c>
      <c r="AP73">
        <f t="shared" si="51"/>
        <v>2</v>
      </c>
      <c r="AQ73">
        <f t="shared" si="52"/>
        <v>6</v>
      </c>
      <c r="AR73">
        <v>502</v>
      </c>
      <c r="AS73" s="1" t="str">
        <f t="shared" si="38"/>
        <v>2</v>
      </c>
      <c r="AT73">
        <v>4</v>
      </c>
      <c r="AV73" t="s">
        <v>400</v>
      </c>
      <c r="AW73">
        <v>1</v>
      </c>
      <c r="AX73" s="2">
        <v>2</v>
      </c>
      <c r="AY73" s="2">
        <v>3</v>
      </c>
      <c r="AZ73" s="2">
        <v>4</v>
      </c>
      <c r="BA73" s="2">
        <v>5</v>
      </c>
      <c r="BB73" s="2">
        <v>6</v>
      </c>
      <c r="BC73" s="2">
        <v>7</v>
      </c>
      <c r="BD73" s="2">
        <v>8</v>
      </c>
      <c r="BE73" s="2">
        <v>9</v>
      </c>
      <c r="BF73" s="2">
        <v>10</v>
      </c>
      <c r="BG73" s="2">
        <v>11</v>
      </c>
      <c r="BH73" s="2">
        <v>12</v>
      </c>
      <c r="BI73" s="2">
        <v>13</v>
      </c>
      <c r="BJ73" s="2">
        <v>14</v>
      </c>
      <c r="BP73" t="s">
        <v>974</v>
      </c>
      <c r="BQ73" t="str">
        <f t="shared" si="53"/>
        <v>2</v>
      </c>
      <c r="BT73">
        <v>12</v>
      </c>
      <c r="BU73" t="str">
        <f t="shared" si="45"/>
        <v>441012,442012</v>
      </c>
      <c r="BV73">
        <f t="shared" si="37"/>
        <v>441012</v>
      </c>
      <c r="BW73">
        <f t="shared" si="46"/>
        <v>442012</v>
      </c>
      <c r="CC73" s="2" t="s">
        <v>1060</v>
      </c>
      <c r="CD73" t="s">
        <v>174</v>
      </c>
      <c r="CF73" t="str">
        <f t="shared" si="28"/>
        <v>DATA_Class_Base41</v>
      </c>
      <c r="CG73" s="34" t="s">
        <v>1004</v>
      </c>
    </row>
    <row r="74" spans="1:85">
      <c r="A74">
        <f t="shared" si="29"/>
        <v>4042602</v>
      </c>
      <c r="B74" s="35" t="s">
        <v>414</v>
      </c>
      <c r="C74">
        <v>4</v>
      </c>
      <c r="D74">
        <v>6</v>
      </c>
      <c r="E74">
        <v>2</v>
      </c>
      <c r="F74" t="s">
        <v>1061</v>
      </c>
      <c r="G74" t="str">
        <f t="shared" si="39"/>
        <v>牧师2_44_2</v>
      </c>
      <c r="H74" t="s">
        <v>345</v>
      </c>
      <c r="I74" s="2" t="s">
        <v>346</v>
      </c>
      <c r="J74" s="2">
        <f t="shared" si="24"/>
        <v>6</v>
      </c>
      <c r="K74" s="2">
        <f t="shared" si="48"/>
        <v>1.32</v>
      </c>
      <c r="L74" s="2">
        <f t="shared" si="47"/>
        <v>1.47</v>
      </c>
      <c r="M74" s="2">
        <v>10</v>
      </c>
      <c r="N74" s="2">
        <f t="shared" si="44"/>
        <v>50.4</v>
      </c>
      <c r="O74" s="2">
        <f t="shared" si="44"/>
        <v>5.04</v>
      </c>
      <c r="P74" s="2">
        <f t="shared" si="44"/>
        <v>840</v>
      </c>
      <c r="Q74" s="2">
        <f t="shared" si="44"/>
        <v>84</v>
      </c>
      <c r="R74" s="2">
        <f t="shared" si="44"/>
        <v>30</v>
      </c>
      <c r="S74" s="2">
        <f t="shared" si="44"/>
        <v>3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>
        <v>40426021</v>
      </c>
      <c r="Z74" s="14" t="s">
        <v>1062</v>
      </c>
      <c r="AA74" s="14" t="s">
        <v>889</v>
      </c>
      <c r="AB74">
        <v>4052602</v>
      </c>
      <c r="AC74" s="2">
        <v>31</v>
      </c>
      <c r="AD74" s="2"/>
      <c r="AE74" s="2"/>
      <c r="AF74">
        <v>1</v>
      </c>
      <c r="AG74" s="1">
        <f t="shared" si="49"/>
        <v>270.72623313871554</v>
      </c>
      <c r="AH74">
        <v>4</v>
      </c>
      <c r="AI74">
        <f t="shared" si="30"/>
        <v>50.4</v>
      </c>
      <c r="AJ74">
        <f t="shared" si="31"/>
        <v>5.04</v>
      </c>
      <c r="AK74">
        <f t="shared" si="32"/>
        <v>840</v>
      </c>
      <c r="AL74">
        <f t="shared" si="33"/>
        <v>84</v>
      </c>
      <c r="AM74">
        <f t="shared" si="25"/>
        <v>30</v>
      </c>
      <c r="AN74">
        <f t="shared" si="26"/>
        <v>3</v>
      </c>
      <c r="AO74">
        <f t="shared" si="50"/>
        <v>1.8</v>
      </c>
      <c r="AP74">
        <f t="shared" si="51"/>
        <v>2</v>
      </c>
      <c r="AQ74">
        <f t="shared" si="52"/>
        <v>6</v>
      </c>
      <c r="AR74">
        <v>602</v>
      </c>
      <c r="AS74" s="1" t="str">
        <f t="shared" si="38"/>
        <v>2</v>
      </c>
      <c r="AT74">
        <v>4</v>
      </c>
      <c r="AW74">
        <v>2.4</v>
      </c>
      <c r="AX74" s="2">
        <v>2.8</v>
      </c>
      <c r="AY74">
        <v>3.2</v>
      </c>
      <c r="AZ74">
        <v>3.6</v>
      </c>
      <c r="BA74" s="2">
        <v>4</v>
      </c>
      <c r="BB74">
        <v>4.4000000000000004</v>
      </c>
      <c r="BC74">
        <v>4.5999999999999996</v>
      </c>
      <c r="BD74">
        <v>4.8</v>
      </c>
      <c r="BE74">
        <v>5</v>
      </c>
      <c r="BF74">
        <v>5.2</v>
      </c>
      <c r="BG74">
        <v>5.4</v>
      </c>
      <c r="BH74">
        <v>5.6</v>
      </c>
      <c r="BI74">
        <v>5.8</v>
      </c>
      <c r="BJ74">
        <v>6</v>
      </c>
      <c r="BP74" t="s">
        <v>978</v>
      </c>
      <c r="BQ74" t="str">
        <f t="shared" si="53"/>
        <v>2</v>
      </c>
      <c r="BT74">
        <v>13</v>
      </c>
      <c r="BU74" t="str">
        <f t="shared" si="45"/>
        <v>441013,442013</v>
      </c>
      <c r="BV74">
        <f t="shared" si="37"/>
        <v>441013</v>
      </c>
      <c r="BW74">
        <f t="shared" si="46"/>
        <v>442013</v>
      </c>
      <c r="CC74" s="2" t="s">
        <v>1063</v>
      </c>
      <c r="CD74" t="s">
        <v>195</v>
      </c>
      <c r="CF74" t="str">
        <f t="shared" si="28"/>
        <v>DATA_Class_Base42</v>
      </c>
      <c r="CG74" s="35" t="s">
        <v>1007</v>
      </c>
    </row>
    <row r="75" spans="1:85">
      <c r="A75">
        <f t="shared" si="29"/>
        <v>4042601</v>
      </c>
      <c r="B75" s="35" t="s">
        <v>396</v>
      </c>
      <c r="C75">
        <v>4</v>
      </c>
      <c r="D75">
        <v>6</v>
      </c>
      <c r="E75">
        <v>2</v>
      </c>
      <c r="F75" t="s">
        <v>1064</v>
      </c>
      <c r="G75" t="str">
        <f t="shared" si="39"/>
        <v>牧师1_44_2</v>
      </c>
      <c r="H75" s="2">
        <v>0</v>
      </c>
      <c r="I75" s="2" t="s">
        <v>309</v>
      </c>
      <c r="J75" s="2">
        <f t="shared" si="24"/>
        <v>5</v>
      </c>
      <c r="K75" s="2">
        <f t="shared" si="48"/>
        <v>1.1000000000000001</v>
      </c>
      <c r="L75" s="2">
        <f t="shared" si="47"/>
        <v>1.47</v>
      </c>
      <c r="M75" s="2">
        <v>10</v>
      </c>
      <c r="N75" s="2">
        <f t="shared" si="44"/>
        <v>42</v>
      </c>
      <c r="O75" s="2">
        <f t="shared" si="44"/>
        <v>4.2</v>
      </c>
      <c r="P75" s="2">
        <f t="shared" si="44"/>
        <v>840</v>
      </c>
      <c r="Q75" s="2">
        <f t="shared" si="44"/>
        <v>84</v>
      </c>
      <c r="R75" s="2">
        <f t="shared" si="44"/>
        <v>30</v>
      </c>
      <c r="S75" s="2">
        <f t="shared" si="44"/>
        <v>3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>
        <v>40426011</v>
      </c>
      <c r="Z75" s="14" t="s">
        <v>1065</v>
      </c>
      <c r="AA75" s="14" t="s">
        <v>889</v>
      </c>
      <c r="AB75">
        <v>4052601</v>
      </c>
      <c r="AC75" s="2">
        <v>31</v>
      </c>
      <c r="AD75" s="2"/>
      <c r="AE75" s="2"/>
      <c r="AF75">
        <v>1</v>
      </c>
      <c r="AG75" s="1">
        <f t="shared" si="49"/>
        <v>270.7262331387156</v>
      </c>
      <c r="AH75">
        <v>4</v>
      </c>
      <c r="AI75">
        <f t="shared" si="30"/>
        <v>42</v>
      </c>
      <c r="AJ75">
        <f t="shared" si="31"/>
        <v>4.2</v>
      </c>
      <c r="AK75">
        <f t="shared" si="32"/>
        <v>840</v>
      </c>
      <c r="AL75">
        <f t="shared" si="33"/>
        <v>84</v>
      </c>
      <c r="AM75">
        <f t="shared" si="25"/>
        <v>30</v>
      </c>
      <c r="AN75">
        <f t="shared" si="26"/>
        <v>3</v>
      </c>
      <c r="AO75">
        <f t="shared" si="50"/>
        <v>1.5</v>
      </c>
      <c r="AP75">
        <f t="shared" si="51"/>
        <v>2</v>
      </c>
      <c r="AQ75">
        <f t="shared" si="52"/>
        <v>5</v>
      </c>
      <c r="AR75">
        <v>601</v>
      </c>
      <c r="AS75" s="1" t="str">
        <f t="shared" si="38"/>
        <v>1</v>
      </c>
      <c r="AT75">
        <v>4</v>
      </c>
      <c r="BP75" t="s">
        <v>960</v>
      </c>
      <c r="BQ75" t="str">
        <f t="shared" si="53"/>
        <v>1</v>
      </c>
      <c r="BT75">
        <v>14</v>
      </c>
      <c r="BU75" t="str">
        <f t="shared" si="45"/>
        <v>441014,442014</v>
      </c>
      <c r="BV75">
        <f t="shared" si="37"/>
        <v>441014</v>
      </c>
      <c r="BW75">
        <f t="shared" si="46"/>
        <v>442014</v>
      </c>
      <c r="CC75" s="2" t="s">
        <v>1066</v>
      </c>
      <c r="CD75" t="s">
        <v>407</v>
      </c>
      <c r="CF75" t="str">
        <f t="shared" si="28"/>
        <v>DATA_Class_Base35</v>
      </c>
      <c r="CG75" s="35" t="s">
        <v>342</v>
      </c>
    </row>
    <row r="76" spans="1:85">
      <c r="A76">
        <f t="shared" si="29"/>
        <v>4042500</v>
      </c>
      <c r="B76" s="35" t="s">
        <v>394</v>
      </c>
      <c r="C76">
        <v>4</v>
      </c>
      <c r="D76">
        <v>5</v>
      </c>
      <c r="E76">
        <v>2</v>
      </c>
      <c r="F76" t="s">
        <v>1067</v>
      </c>
      <c r="G76" t="str">
        <f t="shared" si="39"/>
        <v>游侠0_44_2</v>
      </c>
      <c r="H76" s="2">
        <v>0</v>
      </c>
      <c r="I76" s="2" t="s">
        <v>303</v>
      </c>
      <c r="J76" s="2">
        <f t="shared" si="24"/>
        <v>5</v>
      </c>
      <c r="K76" s="2">
        <f t="shared" si="48"/>
        <v>1.1000000000000001</v>
      </c>
      <c r="L76" s="2">
        <f t="shared" si="47"/>
        <v>1.1000000000000001</v>
      </c>
      <c r="M76" s="2">
        <v>10</v>
      </c>
      <c r="N76" s="2">
        <f t="shared" si="44"/>
        <v>50.4</v>
      </c>
      <c r="O76" s="2">
        <f t="shared" si="44"/>
        <v>5.04</v>
      </c>
      <c r="P76" s="2">
        <f t="shared" si="44"/>
        <v>697.19999999999993</v>
      </c>
      <c r="Q76" s="2">
        <f t="shared" si="44"/>
        <v>69.72</v>
      </c>
      <c r="R76" s="2">
        <f t="shared" si="44"/>
        <v>24</v>
      </c>
      <c r="S76" s="2">
        <f t="shared" si="44"/>
        <v>2.4000000000000004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>
        <v>40425001</v>
      </c>
      <c r="Z76" s="14" t="s">
        <v>1068</v>
      </c>
      <c r="AA76" s="14" t="s">
        <v>889</v>
      </c>
      <c r="AB76">
        <v>4052500</v>
      </c>
      <c r="AC76" s="2">
        <v>31</v>
      </c>
      <c r="AD76" s="2"/>
      <c r="AE76" s="2"/>
      <c r="AF76">
        <v>1</v>
      </c>
      <c r="AG76" s="1">
        <f t="shared" si="49"/>
        <v>269.28550973138164</v>
      </c>
      <c r="AH76">
        <v>4</v>
      </c>
      <c r="AI76">
        <f t="shared" si="30"/>
        <v>50.4</v>
      </c>
      <c r="AJ76">
        <f t="shared" si="31"/>
        <v>5.04</v>
      </c>
      <c r="AK76">
        <f t="shared" si="32"/>
        <v>697.19999999999993</v>
      </c>
      <c r="AL76">
        <f t="shared" si="33"/>
        <v>69.72</v>
      </c>
      <c r="AM76">
        <f t="shared" si="25"/>
        <v>24</v>
      </c>
      <c r="AN76">
        <f t="shared" si="26"/>
        <v>2.4000000000000004</v>
      </c>
      <c r="AO76">
        <f t="shared" si="50"/>
        <v>1.5</v>
      </c>
      <c r="AP76">
        <f t="shared" si="51"/>
        <v>1.5</v>
      </c>
      <c r="AQ76">
        <f t="shared" si="52"/>
        <v>5</v>
      </c>
      <c r="AR76">
        <v>500</v>
      </c>
      <c r="AS76" s="1" t="str">
        <f t="shared" si="38"/>
        <v>0</v>
      </c>
      <c r="AT76">
        <v>4</v>
      </c>
      <c r="AV76" t="s">
        <v>409</v>
      </c>
      <c r="AW76">
        <v>1</v>
      </c>
      <c r="AX76" s="2">
        <v>2</v>
      </c>
      <c r="AY76" s="2">
        <v>3</v>
      </c>
      <c r="AZ76" s="2">
        <v>4</v>
      </c>
      <c r="BA76" s="2">
        <v>5</v>
      </c>
      <c r="BB76" s="2">
        <v>6</v>
      </c>
      <c r="BC76" s="2">
        <v>7</v>
      </c>
      <c r="BD76" s="2">
        <v>8</v>
      </c>
      <c r="BE76" s="2">
        <v>9</v>
      </c>
      <c r="BF76" s="2">
        <v>10</v>
      </c>
      <c r="BG76" s="2">
        <v>11</v>
      </c>
      <c r="BH76" s="2">
        <v>12</v>
      </c>
      <c r="BI76" s="2">
        <v>13</v>
      </c>
      <c r="BJ76" s="2">
        <v>14</v>
      </c>
      <c r="BP76" t="s">
        <v>956</v>
      </c>
      <c r="BQ76" t="str">
        <f t="shared" si="53"/>
        <v>0</v>
      </c>
      <c r="BT76">
        <v>15</v>
      </c>
      <c r="BU76" t="str">
        <f t="shared" si="45"/>
        <v>441015,442015</v>
      </c>
      <c r="BV76">
        <f t="shared" si="37"/>
        <v>441015</v>
      </c>
      <c r="BW76">
        <f t="shared" si="46"/>
        <v>442015</v>
      </c>
      <c r="CF76" t="str">
        <f t="shared" si="28"/>
        <v>DATA_Class_Base34</v>
      </c>
      <c r="CG76" s="35" t="s">
        <v>331</v>
      </c>
    </row>
    <row r="77" spans="1:85">
      <c r="A77">
        <f t="shared" si="29"/>
        <v>4042301</v>
      </c>
      <c r="B77" s="35" t="s">
        <v>398</v>
      </c>
      <c r="C77">
        <v>4</v>
      </c>
      <c r="D77">
        <v>3</v>
      </c>
      <c r="E77">
        <v>2</v>
      </c>
      <c r="F77" t="s">
        <v>1069</v>
      </c>
      <c r="G77" t="str">
        <f t="shared" si="39"/>
        <v>刺客1_44_2</v>
      </c>
      <c r="H77" s="2">
        <v>0</v>
      </c>
      <c r="I77" s="2" t="s">
        <v>285</v>
      </c>
      <c r="J77" s="2">
        <f t="shared" si="24"/>
        <v>2.5</v>
      </c>
      <c r="K77" s="2">
        <f t="shared" si="48"/>
        <v>0.88</v>
      </c>
      <c r="L77" s="2">
        <f t="shared" si="47"/>
        <v>1.47</v>
      </c>
      <c r="M77" s="2">
        <v>10</v>
      </c>
      <c r="N77" s="2">
        <f t="shared" si="44"/>
        <v>30.24</v>
      </c>
      <c r="O77" s="2">
        <f t="shared" si="44"/>
        <v>3.024</v>
      </c>
      <c r="P77" s="2">
        <f t="shared" si="44"/>
        <v>932.40000000000009</v>
      </c>
      <c r="Q77" s="2">
        <f t="shared" si="44"/>
        <v>93.240000000000009</v>
      </c>
      <c r="R77" s="2">
        <f t="shared" si="44"/>
        <v>33</v>
      </c>
      <c r="S77" s="2">
        <f t="shared" si="44"/>
        <v>3.3000000000000003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>
        <v>40423011</v>
      </c>
      <c r="Z77" s="14" t="s">
        <v>1070</v>
      </c>
      <c r="AA77" s="14" t="s">
        <v>889</v>
      </c>
      <c r="AB77">
        <v>4052301</v>
      </c>
      <c r="AC77" s="2">
        <v>31</v>
      </c>
      <c r="AD77" s="2"/>
      <c r="AE77" s="2"/>
      <c r="AF77">
        <v>1</v>
      </c>
      <c r="AG77" s="1">
        <f t="shared" si="49"/>
        <v>270.63531293188555</v>
      </c>
      <c r="AH77">
        <v>4</v>
      </c>
      <c r="AI77">
        <f t="shared" si="30"/>
        <v>30.24</v>
      </c>
      <c r="AJ77">
        <f t="shared" si="31"/>
        <v>3.024</v>
      </c>
      <c r="AK77">
        <f t="shared" si="32"/>
        <v>932.40000000000009</v>
      </c>
      <c r="AL77">
        <f t="shared" si="33"/>
        <v>93.240000000000009</v>
      </c>
      <c r="AM77">
        <f t="shared" si="25"/>
        <v>33</v>
      </c>
      <c r="AN77">
        <f t="shared" si="26"/>
        <v>3.3000000000000003</v>
      </c>
      <c r="AO77">
        <f t="shared" si="50"/>
        <v>1.2</v>
      </c>
      <c r="AP77">
        <f t="shared" si="51"/>
        <v>2</v>
      </c>
      <c r="AQ77">
        <f t="shared" si="52"/>
        <v>2.5</v>
      </c>
      <c r="AR77">
        <v>301</v>
      </c>
      <c r="AS77" s="1" t="str">
        <f t="shared" si="38"/>
        <v>1</v>
      </c>
      <c r="AT77">
        <v>4</v>
      </c>
      <c r="AW77">
        <v>1</v>
      </c>
      <c r="AX77" s="2">
        <v>1.1000000000000001</v>
      </c>
      <c r="AY77">
        <v>1.2</v>
      </c>
      <c r="AZ77" s="2">
        <v>1.4</v>
      </c>
      <c r="BA77">
        <v>1.6</v>
      </c>
      <c r="BB77" s="2">
        <v>1.8</v>
      </c>
      <c r="BC77">
        <v>2</v>
      </c>
      <c r="BD77" s="2">
        <v>2.2000000000000002</v>
      </c>
      <c r="BE77">
        <v>2.4</v>
      </c>
      <c r="BF77" s="2">
        <v>2.6</v>
      </c>
      <c r="BG77">
        <v>2.8</v>
      </c>
      <c r="BH77" s="2">
        <v>3</v>
      </c>
      <c r="BI77">
        <v>3.2</v>
      </c>
      <c r="BJ77" s="2">
        <v>3.4</v>
      </c>
      <c r="BP77" t="s">
        <v>923</v>
      </c>
      <c r="BQ77" t="str">
        <f t="shared" si="53"/>
        <v>1</v>
      </c>
      <c r="BT77">
        <v>16</v>
      </c>
      <c r="BU77" t="str">
        <f t="shared" si="45"/>
        <v>441016,442016</v>
      </c>
      <c r="BV77">
        <f t="shared" si="37"/>
        <v>441016</v>
      </c>
      <c r="BW77">
        <f t="shared" si="46"/>
        <v>442016</v>
      </c>
      <c r="CF77" t="str">
        <f t="shared" si="28"/>
        <v>DATA_Class_Base36</v>
      </c>
      <c r="CG77" s="35" t="s">
        <v>312</v>
      </c>
    </row>
    <row r="78" spans="1:85">
      <c r="A78">
        <f t="shared" si="29"/>
        <v>4043202</v>
      </c>
      <c r="B78" s="34" t="s">
        <v>404</v>
      </c>
      <c r="C78">
        <v>4</v>
      </c>
      <c r="D78">
        <v>2</v>
      </c>
      <c r="E78">
        <v>3</v>
      </c>
      <c r="F78" s="2" t="s">
        <v>1071</v>
      </c>
      <c r="G78" t="str">
        <f t="shared" si="39"/>
        <v>战士2_44_3</v>
      </c>
      <c r="H78">
        <v>0</v>
      </c>
      <c r="I78" s="2" t="s">
        <v>280</v>
      </c>
      <c r="J78" s="2">
        <f t="shared" si="24"/>
        <v>2.5</v>
      </c>
      <c r="K78" s="2">
        <f t="shared" si="48"/>
        <v>1.32</v>
      </c>
      <c r="L78" s="2">
        <f t="shared" si="47"/>
        <v>1.47</v>
      </c>
      <c r="M78" s="2">
        <v>10</v>
      </c>
      <c r="N78" s="2">
        <f t="shared" si="44"/>
        <v>40.32</v>
      </c>
      <c r="O78" s="2">
        <f t="shared" si="44"/>
        <v>4.032</v>
      </c>
      <c r="P78" s="2">
        <f t="shared" si="44"/>
        <v>1050</v>
      </c>
      <c r="Q78" s="2">
        <f t="shared" si="44"/>
        <v>105</v>
      </c>
      <c r="R78" s="2">
        <f t="shared" si="44"/>
        <v>36</v>
      </c>
      <c r="S78" s="2">
        <f t="shared" si="44"/>
        <v>3.6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>
        <v>40432021</v>
      </c>
      <c r="Z78" s="14" t="s">
        <v>1072</v>
      </c>
      <c r="AA78" s="14" t="s">
        <v>889</v>
      </c>
      <c r="AB78">
        <v>4053202</v>
      </c>
      <c r="AC78" s="2">
        <v>31</v>
      </c>
      <c r="AD78" s="2"/>
      <c r="AE78" s="2"/>
      <c r="AF78">
        <v>1</v>
      </c>
      <c r="AG78" s="1">
        <f t="shared" si="49"/>
        <v>271.08644464156123</v>
      </c>
      <c r="AH78">
        <v>4</v>
      </c>
      <c r="AI78">
        <f t="shared" si="30"/>
        <v>40.32</v>
      </c>
      <c r="AJ78">
        <f t="shared" si="31"/>
        <v>4.032</v>
      </c>
      <c r="AK78">
        <f t="shared" si="32"/>
        <v>1050</v>
      </c>
      <c r="AL78">
        <f t="shared" si="33"/>
        <v>105</v>
      </c>
      <c r="AM78">
        <f t="shared" si="25"/>
        <v>36</v>
      </c>
      <c r="AN78">
        <f t="shared" si="26"/>
        <v>3.6</v>
      </c>
      <c r="AO78">
        <f t="shared" si="50"/>
        <v>1.8</v>
      </c>
      <c r="AP78">
        <f t="shared" si="51"/>
        <v>2</v>
      </c>
      <c r="AQ78">
        <f t="shared" si="52"/>
        <v>2.5</v>
      </c>
      <c r="AR78">
        <v>202</v>
      </c>
      <c r="AS78" s="1" t="str">
        <f t="shared" si="38"/>
        <v>2</v>
      </c>
      <c r="AT78">
        <v>4</v>
      </c>
      <c r="AX78" s="2"/>
      <c r="BB78" s="2"/>
      <c r="BP78" t="s">
        <v>981</v>
      </c>
      <c r="BQ78" t="str">
        <f t="shared" si="53"/>
        <v>2</v>
      </c>
      <c r="BT78">
        <v>17</v>
      </c>
      <c r="BU78" t="str">
        <f t="shared" si="45"/>
        <v>441017,442017</v>
      </c>
      <c r="BV78">
        <f t="shared" si="37"/>
        <v>441017</v>
      </c>
      <c r="BW78">
        <f t="shared" si="46"/>
        <v>442017</v>
      </c>
      <c r="CF78" t="str">
        <f t="shared" si="28"/>
        <v>DATA_Class_Base38</v>
      </c>
      <c r="CG78" s="34" t="s">
        <v>306</v>
      </c>
    </row>
    <row r="79" spans="1:85">
      <c r="A79">
        <f t="shared" si="29"/>
        <v>4043302</v>
      </c>
      <c r="B79" s="35" t="s">
        <v>1010</v>
      </c>
      <c r="C79">
        <v>4</v>
      </c>
      <c r="D79">
        <v>3</v>
      </c>
      <c r="E79">
        <v>3</v>
      </c>
      <c r="F79" t="s">
        <v>1073</v>
      </c>
      <c r="G79" t="str">
        <f t="shared" si="39"/>
        <v>刺客2_44_3</v>
      </c>
      <c r="H79" s="2">
        <v>0</v>
      </c>
      <c r="I79" s="2" t="s">
        <v>358</v>
      </c>
      <c r="J79" s="2">
        <f t="shared" si="24"/>
        <v>2.5</v>
      </c>
      <c r="K79" s="2">
        <f t="shared" si="48"/>
        <v>1.02</v>
      </c>
      <c r="L79" s="2">
        <f t="shared" si="47"/>
        <v>1.25</v>
      </c>
      <c r="M79" s="2">
        <v>10</v>
      </c>
      <c r="N79" s="2">
        <f t="shared" si="44"/>
        <v>35.279999999999994</v>
      </c>
      <c r="O79" s="2">
        <f t="shared" si="44"/>
        <v>3.5279999999999996</v>
      </c>
      <c r="P79" s="2">
        <f t="shared" si="44"/>
        <v>932.40000000000009</v>
      </c>
      <c r="Q79" s="2">
        <f t="shared" si="44"/>
        <v>93.240000000000009</v>
      </c>
      <c r="R79" s="2">
        <f t="shared" si="44"/>
        <v>33</v>
      </c>
      <c r="S79" s="2">
        <f t="shared" si="44"/>
        <v>3.3000000000000003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>
        <v>40433021</v>
      </c>
      <c r="Z79" s="14" t="s">
        <v>1074</v>
      </c>
      <c r="AA79" s="14" t="s">
        <v>889</v>
      </c>
      <c r="AB79">
        <v>4053302</v>
      </c>
      <c r="AC79" s="2">
        <v>31</v>
      </c>
      <c r="AD79" s="2"/>
      <c r="AE79" s="2"/>
      <c r="AF79">
        <v>1</v>
      </c>
      <c r="AG79" s="1">
        <f t="shared" si="49"/>
        <v>270.63531293188549</v>
      </c>
      <c r="AH79">
        <v>4</v>
      </c>
      <c r="AI79">
        <f t="shared" si="30"/>
        <v>35.279999999999994</v>
      </c>
      <c r="AJ79">
        <f t="shared" si="31"/>
        <v>3.5279999999999996</v>
      </c>
      <c r="AK79">
        <f t="shared" si="32"/>
        <v>932.40000000000009</v>
      </c>
      <c r="AL79">
        <f t="shared" si="33"/>
        <v>93.240000000000009</v>
      </c>
      <c r="AM79">
        <f t="shared" si="25"/>
        <v>33</v>
      </c>
      <c r="AN79">
        <f t="shared" si="26"/>
        <v>3.3000000000000003</v>
      </c>
      <c r="AO79">
        <f t="shared" si="50"/>
        <v>1.4</v>
      </c>
      <c r="AP79">
        <f t="shared" si="51"/>
        <v>1.7</v>
      </c>
      <c r="AQ79">
        <f t="shared" si="52"/>
        <v>2.5</v>
      </c>
      <c r="AR79">
        <v>302</v>
      </c>
      <c r="AS79" s="1" t="str">
        <f t="shared" si="38"/>
        <v>2</v>
      </c>
      <c r="AT79">
        <v>4</v>
      </c>
      <c r="BB79" s="2"/>
      <c r="BP79" t="s">
        <v>983</v>
      </c>
      <c r="BQ79" t="str">
        <f t="shared" si="53"/>
        <v>2</v>
      </c>
      <c r="BT79">
        <v>18</v>
      </c>
      <c r="BU79" t="str">
        <f t="shared" si="45"/>
        <v>441018,442018</v>
      </c>
      <c r="BV79">
        <f t="shared" si="37"/>
        <v>441018</v>
      </c>
      <c r="BW79">
        <f t="shared" si="46"/>
        <v>442018</v>
      </c>
      <c r="CF79" t="str">
        <f t="shared" si="28"/>
        <v>DATA_Class_Base43</v>
      </c>
      <c r="CG79" s="35" t="s">
        <v>1011</v>
      </c>
    </row>
    <row r="80" spans="1:85">
      <c r="A80">
        <f t="shared" si="29"/>
        <v>4043400</v>
      </c>
      <c r="B80" s="34" t="s">
        <v>1014</v>
      </c>
      <c r="C80">
        <v>4</v>
      </c>
      <c r="D80">
        <v>4</v>
      </c>
      <c r="E80">
        <v>3</v>
      </c>
      <c r="F80" t="s">
        <v>1075</v>
      </c>
      <c r="G80" t="str">
        <f t="shared" si="39"/>
        <v>法师0_44_3</v>
      </c>
      <c r="H80">
        <v>0</v>
      </c>
      <c r="I80" s="2" t="s">
        <v>364</v>
      </c>
      <c r="J80" s="2">
        <f t="shared" ref="J80:J143" si="54">AQ80</f>
        <v>5</v>
      </c>
      <c r="K80" s="2">
        <f t="shared" si="48"/>
        <v>1.02</v>
      </c>
      <c r="L80" s="2">
        <f t="shared" si="47"/>
        <v>1.02</v>
      </c>
      <c r="M80" s="2">
        <v>10</v>
      </c>
      <c r="N80" s="2">
        <f t="shared" si="44"/>
        <v>43.11999999999999</v>
      </c>
      <c r="O80" s="2">
        <f t="shared" si="44"/>
        <v>4.3119999999999994</v>
      </c>
      <c r="P80" s="2">
        <f t="shared" si="44"/>
        <v>764.4</v>
      </c>
      <c r="Q80" s="2">
        <f t="shared" si="44"/>
        <v>76.44</v>
      </c>
      <c r="R80" s="2">
        <f t="shared" si="44"/>
        <v>27</v>
      </c>
      <c r="S80" s="2">
        <f t="shared" si="44"/>
        <v>2.7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>
        <v>40434001</v>
      </c>
      <c r="Z80" s="14" t="s">
        <v>1076</v>
      </c>
      <c r="AA80" s="14" t="s">
        <v>889</v>
      </c>
      <c r="AB80">
        <v>4053400</v>
      </c>
      <c r="AC80" s="2">
        <v>31</v>
      </c>
      <c r="AD80" s="2"/>
      <c r="AE80" s="2"/>
      <c r="AF80">
        <v>1</v>
      </c>
      <c r="AG80" s="1">
        <f t="shared" si="49"/>
        <v>270.81703261372547</v>
      </c>
      <c r="AH80">
        <v>4</v>
      </c>
      <c r="AI80">
        <f t="shared" si="30"/>
        <v>43.11999999999999</v>
      </c>
      <c r="AJ80">
        <f t="shared" si="31"/>
        <v>4.3119999999999994</v>
      </c>
      <c r="AK80">
        <f t="shared" si="32"/>
        <v>764.4</v>
      </c>
      <c r="AL80">
        <f t="shared" si="33"/>
        <v>76.44</v>
      </c>
      <c r="AM80">
        <f t="shared" ref="AM80:AM143" si="55">INDEX($AY$5:$AY$34,MATCH($AR80,$AU$5:$AU$34,0))*$BC$4</f>
        <v>27</v>
      </c>
      <c r="AN80">
        <f t="shared" ref="AN80:AN143" si="56">(INDEX($AY$5:$AY$34,MATCH($AR80,$AU$5:$AU$34,0))*$BC$4)*0.1</f>
        <v>2.7</v>
      </c>
      <c r="AO80">
        <f t="shared" si="50"/>
        <v>1.4</v>
      </c>
      <c r="AP80">
        <f t="shared" si="51"/>
        <v>1.4</v>
      </c>
      <c r="AQ80">
        <f t="shared" si="52"/>
        <v>5</v>
      </c>
      <c r="AR80">
        <v>400</v>
      </c>
      <c r="AS80" s="1" t="str">
        <f t="shared" si="38"/>
        <v>0</v>
      </c>
      <c r="AT80">
        <v>4</v>
      </c>
      <c r="AV80">
        <v>1</v>
      </c>
      <c r="AW80">
        <v>0</v>
      </c>
      <c r="AX80">
        <v>0.2</v>
      </c>
      <c r="AY80">
        <v>0.2</v>
      </c>
      <c r="AZ80">
        <v>0.2</v>
      </c>
      <c r="BA80">
        <v>0.2</v>
      </c>
      <c r="BB80">
        <v>0.2</v>
      </c>
      <c r="BC80">
        <v>0.2</v>
      </c>
      <c r="BD80">
        <v>0.2</v>
      </c>
      <c r="BE80">
        <v>0.2</v>
      </c>
      <c r="BF80">
        <v>0.2</v>
      </c>
      <c r="BG80">
        <v>0.2</v>
      </c>
      <c r="BH80">
        <v>0.2</v>
      </c>
      <c r="BI80">
        <v>0.2</v>
      </c>
      <c r="BJ80">
        <v>0.2</v>
      </c>
      <c r="BP80" t="s">
        <v>986</v>
      </c>
      <c r="BQ80" t="str">
        <f t="shared" si="53"/>
        <v>0</v>
      </c>
      <c r="BT80">
        <v>19</v>
      </c>
      <c r="BU80" t="str">
        <f t="shared" si="45"/>
        <v>441019,442019</v>
      </c>
      <c r="BV80">
        <f t="shared" si="37"/>
        <v>441019</v>
      </c>
      <c r="BW80">
        <f t="shared" si="46"/>
        <v>442019</v>
      </c>
      <c r="CF80" t="str">
        <f t="shared" ref="CF80:CF143" si="57">INDEX($CC$16:$CC$75,MATCH($CG80,$CD$16:$CD$75,0))</f>
        <v>DATA_Class_Base44</v>
      </c>
      <c r="CG80" s="34" t="s">
        <v>371</v>
      </c>
    </row>
    <row r="81" spans="1:85">
      <c r="A81">
        <f t="shared" ref="A81:A144" si="58">AT81*1000000+C81*10000+E81*1000+AR81</f>
        <v>4043501</v>
      </c>
      <c r="B81" s="34" t="s">
        <v>401</v>
      </c>
      <c r="C81">
        <v>4</v>
      </c>
      <c r="D81">
        <v>5</v>
      </c>
      <c r="E81">
        <v>3</v>
      </c>
      <c r="F81" t="s">
        <v>1077</v>
      </c>
      <c r="G81" t="str">
        <f t="shared" si="39"/>
        <v>游侠1_44_3</v>
      </c>
      <c r="H81" s="2">
        <v>0</v>
      </c>
      <c r="I81" s="2" t="s">
        <v>334</v>
      </c>
      <c r="J81" s="2">
        <f t="shared" si="54"/>
        <v>6</v>
      </c>
      <c r="K81" s="2">
        <f t="shared" si="48"/>
        <v>1.17</v>
      </c>
      <c r="L81" s="2">
        <f t="shared" si="47"/>
        <v>1.47</v>
      </c>
      <c r="M81" s="2">
        <v>10</v>
      </c>
      <c r="N81" s="2">
        <f t="shared" si="44"/>
        <v>53.76</v>
      </c>
      <c r="O81" s="2">
        <f t="shared" si="44"/>
        <v>5.3760000000000003</v>
      </c>
      <c r="P81" s="2">
        <f t="shared" si="44"/>
        <v>697.19999999999993</v>
      </c>
      <c r="Q81" s="2">
        <f t="shared" si="44"/>
        <v>69.72</v>
      </c>
      <c r="R81" s="2">
        <f t="shared" si="44"/>
        <v>24</v>
      </c>
      <c r="S81" s="2">
        <f t="shared" si="44"/>
        <v>2.4000000000000004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>
        <v>40435011</v>
      </c>
      <c r="Z81" s="14" t="s">
        <v>1078</v>
      </c>
      <c r="AA81" s="14" t="s">
        <v>889</v>
      </c>
      <c r="AB81">
        <v>4053501</v>
      </c>
      <c r="AC81" s="2">
        <v>31</v>
      </c>
      <c r="AD81" s="2"/>
      <c r="AE81" s="2"/>
      <c r="AF81">
        <v>1</v>
      </c>
      <c r="AG81" s="1">
        <f t="shared" si="49"/>
        <v>269.28550973138164</v>
      </c>
      <c r="AH81">
        <v>4</v>
      </c>
      <c r="AI81">
        <f t="shared" ref="AI81:AI144" si="59">INDEX($AW$5:$AW$34,MATCH($AR81,$AU$5:$AU$34,0))*$AO81/1.5*$BA$4*INDEX($AW$77:$BJ$77,MATCH($AH81,$AW$76:$BJ$76,0))</f>
        <v>53.76</v>
      </c>
      <c r="AJ81">
        <f t="shared" ref="AJ81:AJ144" si="60">(INDEX($AW$5:$AW$34,MATCH($AR81,$AU$5:$AU$34,0))*$AO81/1.5*$BA$4*INDEX($AW$77:$BJ$77,MATCH($AH81,$AW$76:$BJ$76,0)))*0.1</f>
        <v>5.3760000000000003</v>
      </c>
      <c r="AK81">
        <f t="shared" ref="AK81:AK144" si="61">INDEX($AX$5:$AX$34,MATCH($AR81,$AU$5:$AU$34,0))*$BB$4*INDEX($AW$77:$BJ$77,MATCH($AH81,$AW$76:$BJ$76,0))</f>
        <v>697.19999999999993</v>
      </c>
      <c r="AL81">
        <f t="shared" ref="AL81:AL144" si="62">(INDEX($AX$5:$AX$34,MATCH($AR81,$AU$5:$AU$34,0))*$BB$4*INDEX($AW$77:$BJ$77,MATCH($AH81,$AW$76:$BJ$76,0)))*0.1</f>
        <v>69.72</v>
      </c>
      <c r="AM81">
        <f t="shared" si="55"/>
        <v>24</v>
      </c>
      <c r="AN81">
        <f t="shared" si="56"/>
        <v>2.4000000000000004</v>
      </c>
      <c r="AO81">
        <f t="shared" si="50"/>
        <v>1.6</v>
      </c>
      <c r="AP81">
        <f t="shared" si="51"/>
        <v>2</v>
      </c>
      <c r="AQ81">
        <f t="shared" si="52"/>
        <v>6</v>
      </c>
      <c r="AR81">
        <v>501</v>
      </c>
      <c r="AS81" s="1" t="str">
        <f t="shared" si="38"/>
        <v>1</v>
      </c>
      <c r="AT81">
        <v>4</v>
      </c>
      <c r="AV81">
        <v>1</v>
      </c>
      <c r="AW81">
        <v>0</v>
      </c>
      <c r="AX81" s="2">
        <v>0.1</v>
      </c>
      <c r="AY81">
        <v>0.1</v>
      </c>
      <c r="AZ81">
        <v>0.2</v>
      </c>
      <c r="BA81">
        <v>0.2</v>
      </c>
      <c r="BB81">
        <v>0.4</v>
      </c>
      <c r="BC81">
        <v>0.2</v>
      </c>
      <c r="BD81">
        <v>0.2</v>
      </c>
      <c r="BE81">
        <v>0.2</v>
      </c>
      <c r="BF81">
        <v>0.2</v>
      </c>
      <c r="BG81">
        <v>0.2</v>
      </c>
      <c r="BH81">
        <v>0.2</v>
      </c>
      <c r="BI81">
        <v>0.2</v>
      </c>
      <c r="BJ81">
        <v>0.2</v>
      </c>
      <c r="BP81" t="s">
        <v>945</v>
      </c>
      <c r="BQ81" t="str">
        <f t="shared" si="53"/>
        <v>1</v>
      </c>
      <c r="BT81">
        <v>20</v>
      </c>
      <c r="BU81" t="str">
        <f t="shared" si="45"/>
        <v>441020,442020</v>
      </c>
      <c r="BV81">
        <f t="shared" si="37"/>
        <v>441020</v>
      </c>
      <c r="BW81">
        <f t="shared" si="46"/>
        <v>442020</v>
      </c>
      <c r="CF81" t="str">
        <f t="shared" si="57"/>
        <v>DATA_Class_Base37</v>
      </c>
      <c r="CG81" s="34" t="s">
        <v>994</v>
      </c>
    </row>
    <row r="82" spans="1:85">
      <c r="A82">
        <f t="shared" si="58"/>
        <v>4043600</v>
      </c>
      <c r="B82" s="35" t="s">
        <v>1017</v>
      </c>
      <c r="C82">
        <v>4</v>
      </c>
      <c r="D82">
        <v>6</v>
      </c>
      <c r="E82">
        <v>3</v>
      </c>
      <c r="F82" t="s">
        <v>1079</v>
      </c>
      <c r="G82" t="str">
        <f t="shared" si="39"/>
        <v>牧师0_44_3</v>
      </c>
      <c r="H82">
        <v>0</v>
      </c>
      <c r="I82" s="2" t="s">
        <v>339</v>
      </c>
      <c r="J82" s="2">
        <f t="shared" si="54"/>
        <v>4</v>
      </c>
      <c r="K82" s="2">
        <f t="shared" si="48"/>
        <v>1.02</v>
      </c>
      <c r="L82" s="2">
        <f t="shared" si="47"/>
        <v>1.3900000000000001</v>
      </c>
      <c r="M82" s="2">
        <v>10</v>
      </c>
      <c r="N82" s="2">
        <f t="shared" si="44"/>
        <v>39.199999999999996</v>
      </c>
      <c r="O82" s="2">
        <f t="shared" si="44"/>
        <v>3.92</v>
      </c>
      <c r="P82" s="2">
        <f t="shared" si="44"/>
        <v>840</v>
      </c>
      <c r="Q82" s="2">
        <f t="shared" si="44"/>
        <v>84</v>
      </c>
      <c r="R82" s="2">
        <f t="shared" si="44"/>
        <v>30</v>
      </c>
      <c r="S82" s="2">
        <f t="shared" si="44"/>
        <v>3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>
        <v>40436001</v>
      </c>
      <c r="Z82" s="14" t="s">
        <v>1080</v>
      </c>
      <c r="AA82" s="14" t="s">
        <v>889</v>
      </c>
      <c r="AB82">
        <v>4053600</v>
      </c>
      <c r="AC82" s="2">
        <v>31</v>
      </c>
      <c r="AD82" s="2"/>
      <c r="AE82" s="2"/>
      <c r="AF82">
        <v>1</v>
      </c>
      <c r="AG82" s="1">
        <f t="shared" si="49"/>
        <v>270.7262331387156</v>
      </c>
      <c r="AH82">
        <v>4</v>
      </c>
      <c r="AI82">
        <f t="shared" si="59"/>
        <v>39.199999999999996</v>
      </c>
      <c r="AJ82">
        <f t="shared" si="60"/>
        <v>3.92</v>
      </c>
      <c r="AK82">
        <f t="shared" si="61"/>
        <v>840</v>
      </c>
      <c r="AL82">
        <f t="shared" si="62"/>
        <v>84</v>
      </c>
      <c r="AM82">
        <f t="shared" si="55"/>
        <v>30</v>
      </c>
      <c r="AN82">
        <f t="shared" si="56"/>
        <v>3</v>
      </c>
      <c r="AO82">
        <f t="shared" si="50"/>
        <v>1.4</v>
      </c>
      <c r="AP82">
        <f t="shared" si="51"/>
        <v>1.9</v>
      </c>
      <c r="AQ82">
        <f t="shared" si="52"/>
        <v>4</v>
      </c>
      <c r="AR82">
        <v>600</v>
      </c>
      <c r="AS82" s="1" t="str">
        <f t="shared" si="38"/>
        <v>0</v>
      </c>
      <c r="AT82">
        <v>4</v>
      </c>
      <c r="AV82">
        <v>1</v>
      </c>
      <c r="AW82">
        <f>AV82+AW81</f>
        <v>1</v>
      </c>
      <c r="AX82">
        <f t="shared" ref="AX82:BJ82" si="63">AW82+AX81</f>
        <v>1.1000000000000001</v>
      </c>
      <c r="AY82">
        <f t="shared" si="63"/>
        <v>1.2000000000000002</v>
      </c>
      <c r="AZ82">
        <f t="shared" si="63"/>
        <v>1.4000000000000001</v>
      </c>
      <c r="BA82">
        <f t="shared" si="63"/>
        <v>1.6</v>
      </c>
      <c r="BB82">
        <f t="shared" si="63"/>
        <v>2</v>
      </c>
      <c r="BC82">
        <f t="shared" si="63"/>
        <v>2.2000000000000002</v>
      </c>
      <c r="BD82">
        <f t="shared" si="63"/>
        <v>2.4000000000000004</v>
      </c>
      <c r="BE82">
        <f t="shared" si="63"/>
        <v>2.6000000000000005</v>
      </c>
      <c r="BF82">
        <f t="shared" si="63"/>
        <v>2.8000000000000007</v>
      </c>
      <c r="BG82">
        <f t="shared" si="63"/>
        <v>3.0000000000000009</v>
      </c>
      <c r="BH82">
        <f t="shared" si="63"/>
        <v>3.2000000000000011</v>
      </c>
      <c r="BI82">
        <f t="shared" si="63"/>
        <v>3.4000000000000012</v>
      </c>
      <c r="BJ82">
        <f t="shared" si="63"/>
        <v>3.6000000000000014</v>
      </c>
      <c r="BP82" t="s">
        <v>990</v>
      </c>
      <c r="BQ82" t="str">
        <f t="shared" si="53"/>
        <v>0</v>
      </c>
      <c r="BT82">
        <v>21</v>
      </c>
      <c r="BU82" t="str">
        <f t="shared" si="45"/>
        <v>441021,442021</v>
      </c>
      <c r="BV82">
        <f t="shared" si="37"/>
        <v>441021</v>
      </c>
      <c r="BW82">
        <f t="shared" si="46"/>
        <v>442021</v>
      </c>
      <c r="CF82" t="str">
        <f t="shared" si="57"/>
        <v>DATA_Class_Base45</v>
      </c>
      <c r="CG82" s="35" t="s">
        <v>1018</v>
      </c>
    </row>
    <row r="83" spans="1:85">
      <c r="A83">
        <f t="shared" si="58"/>
        <v>4043201</v>
      </c>
      <c r="B83" s="34" t="s">
        <v>383</v>
      </c>
      <c r="C83">
        <v>4</v>
      </c>
      <c r="D83">
        <v>2</v>
      </c>
      <c r="E83">
        <v>3</v>
      </c>
      <c r="F83" t="s">
        <v>1081</v>
      </c>
      <c r="G83" t="str">
        <f t="shared" si="39"/>
        <v>战士1_44_3</v>
      </c>
      <c r="H83" s="2">
        <v>0</v>
      </c>
      <c r="I83" s="2" t="s">
        <v>298</v>
      </c>
      <c r="J83" s="2">
        <f t="shared" si="54"/>
        <v>2.5</v>
      </c>
      <c r="K83" s="2">
        <f t="shared" si="48"/>
        <v>1.32</v>
      </c>
      <c r="L83" s="2">
        <f t="shared" si="47"/>
        <v>1.32</v>
      </c>
      <c r="M83" s="2">
        <v>10</v>
      </c>
      <c r="N83" s="2">
        <f t="shared" si="44"/>
        <v>40.32</v>
      </c>
      <c r="O83" s="2">
        <f t="shared" si="44"/>
        <v>4.032</v>
      </c>
      <c r="P83" s="2">
        <f t="shared" si="44"/>
        <v>1050</v>
      </c>
      <c r="Q83" s="2">
        <f t="shared" si="44"/>
        <v>105</v>
      </c>
      <c r="R83" s="2">
        <f t="shared" si="44"/>
        <v>36</v>
      </c>
      <c r="S83" s="2">
        <f t="shared" si="44"/>
        <v>3.6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>
        <v>40432011</v>
      </c>
      <c r="Z83" s="14" t="s">
        <v>1082</v>
      </c>
      <c r="AA83" s="14" t="s">
        <v>889</v>
      </c>
      <c r="AB83">
        <v>4053201</v>
      </c>
      <c r="AC83" s="2">
        <v>31</v>
      </c>
      <c r="AD83" s="2"/>
      <c r="AE83" s="2"/>
      <c r="AF83">
        <v>1</v>
      </c>
      <c r="AG83" s="1">
        <f t="shared" si="49"/>
        <v>271.08644464156123</v>
      </c>
      <c r="AH83">
        <v>4</v>
      </c>
      <c r="AI83">
        <f t="shared" si="59"/>
        <v>40.32</v>
      </c>
      <c r="AJ83">
        <f t="shared" si="60"/>
        <v>4.032</v>
      </c>
      <c r="AK83">
        <f t="shared" si="61"/>
        <v>1050</v>
      </c>
      <c r="AL83">
        <f t="shared" si="62"/>
        <v>105</v>
      </c>
      <c r="AM83">
        <f t="shared" si="55"/>
        <v>36</v>
      </c>
      <c r="AN83">
        <f t="shared" si="56"/>
        <v>3.6</v>
      </c>
      <c r="AO83">
        <f t="shared" si="50"/>
        <v>1.8</v>
      </c>
      <c r="AP83">
        <f t="shared" si="51"/>
        <v>1.8</v>
      </c>
      <c r="AQ83">
        <f t="shared" si="52"/>
        <v>2.5</v>
      </c>
      <c r="AR83">
        <v>201</v>
      </c>
      <c r="AS83" s="1" t="str">
        <f t="shared" si="38"/>
        <v>1</v>
      </c>
      <c r="AT83">
        <v>4</v>
      </c>
      <c r="BP83" t="s">
        <v>913</v>
      </c>
      <c r="BQ83" t="str">
        <f t="shared" si="53"/>
        <v>1</v>
      </c>
      <c r="BT83">
        <v>22</v>
      </c>
      <c r="BU83" t="str">
        <f t="shared" si="45"/>
        <v>441022,442022</v>
      </c>
      <c r="BV83">
        <f t="shared" si="37"/>
        <v>441022</v>
      </c>
      <c r="BW83">
        <f t="shared" si="46"/>
        <v>442022</v>
      </c>
      <c r="CF83" t="str">
        <f t="shared" si="57"/>
        <v>DATA_Class_Base31</v>
      </c>
      <c r="CG83" s="34" t="s">
        <v>300</v>
      </c>
    </row>
    <row r="84" spans="1:85">
      <c r="A84">
        <f t="shared" si="58"/>
        <v>4043502</v>
      </c>
      <c r="B84" s="34" t="s">
        <v>412</v>
      </c>
      <c r="C84">
        <v>4</v>
      </c>
      <c r="D84">
        <v>5</v>
      </c>
      <c r="E84">
        <v>3</v>
      </c>
      <c r="F84" t="s">
        <v>1083</v>
      </c>
      <c r="G84" t="str">
        <f t="shared" si="39"/>
        <v>游侠2_44_3</v>
      </c>
      <c r="H84">
        <v>0</v>
      </c>
      <c r="I84" s="2" t="s">
        <v>291</v>
      </c>
      <c r="J84" s="2">
        <f t="shared" si="54"/>
        <v>6</v>
      </c>
      <c r="K84" s="2">
        <f t="shared" si="48"/>
        <v>1.02</v>
      </c>
      <c r="L84" s="2">
        <f t="shared" si="47"/>
        <v>1.47</v>
      </c>
      <c r="M84" s="2">
        <v>10</v>
      </c>
      <c r="N84" s="2">
        <f t="shared" si="44"/>
        <v>47.039999999999992</v>
      </c>
      <c r="O84" s="2">
        <f t="shared" si="44"/>
        <v>4.7039999999999997</v>
      </c>
      <c r="P84" s="2">
        <f t="shared" si="44"/>
        <v>697.19999999999993</v>
      </c>
      <c r="Q84" s="2">
        <f t="shared" si="44"/>
        <v>69.72</v>
      </c>
      <c r="R84" s="2">
        <f t="shared" si="44"/>
        <v>24</v>
      </c>
      <c r="S84" s="2">
        <f t="shared" si="44"/>
        <v>2.4000000000000004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>
        <v>40435021</v>
      </c>
      <c r="Z84" s="14" t="s">
        <v>1084</v>
      </c>
      <c r="AA84" s="14" t="s">
        <v>889</v>
      </c>
      <c r="AB84">
        <v>4053502</v>
      </c>
      <c r="AC84" s="2">
        <v>31</v>
      </c>
      <c r="AD84" s="2"/>
      <c r="AE84" s="2"/>
      <c r="AF84">
        <v>1</v>
      </c>
      <c r="AG84" s="1">
        <f t="shared" si="49"/>
        <v>269.28550973138158</v>
      </c>
      <c r="AH84">
        <v>4</v>
      </c>
      <c r="AI84">
        <f t="shared" si="59"/>
        <v>47.039999999999992</v>
      </c>
      <c r="AJ84">
        <f t="shared" si="60"/>
        <v>4.7039999999999997</v>
      </c>
      <c r="AK84">
        <f t="shared" si="61"/>
        <v>697.19999999999993</v>
      </c>
      <c r="AL84">
        <f t="shared" si="62"/>
        <v>69.72</v>
      </c>
      <c r="AM84">
        <f t="shared" si="55"/>
        <v>24</v>
      </c>
      <c r="AN84">
        <f t="shared" si="56"/>
        <v>2.4000000000000004</v>
      </c>
      <c r="AO84">
        <f t="shared" si="50"/>
        <v>1.4</v>
      </c>
      <c r="AP84">
        <f t="shared" si="51"/>
        <v>2</v>
      </c>
      <c r="AQ84">
        <f t="shared" si="52"/>
        <v>6</v>
      </c>
      <c r="AR84">
        <v>502</v>
      </c>
      <c r="AS84" s="1" t="str">
        <f t="shared" si="38"/>
        <v>2</v>
      </c>
      <c r="AT84">
        <v>4</v>
      </c>
      <c r="AY84">
        <f>252*1.3*(1-0.0147)</f>
        <v>322.78428000000002</v>
      </c>
      <c r="AZ84">
        <f>203*(100-1.26)/100</f>
        <v>200.44219999999999</v>
      </c>
      <c r="BP84" t="s">
        <v>974</v>
      </c>
      <c r="BQ84" t="str">
        <f t="shared" si="53"/>
        <v>2</v>
      </c>
      <c r="BT84">
        <v>23</v>
      </c>
      <c r="BU84" t="str">
        <f t="shared" si="45"/>
        <v>441023,442023</v>
      </c>
      <c r="BV84">
        <f t="shared" si="37"/>
        <v>441023</v>
      </c>
      <c r="BW84">
        <f t="shared" si="46"/>
        <v>442023</v>
      </c>
      <c r="CF84" t="str">
        <f t="shared" si="57"/>
        <v>DATA_Class_Base41</v>
      </c>
      <c r="CG84" s="34" t="s">
        <v>1004</v>
      </c>
    </row>
    <row r="85" spans="1:85">
      <c r="A85">
        <f t="shared" si="58"/>
        <v>4043401</v>
      </c>
      <c r="B85" s="34" t="s">
        <v>390</v>
      </c>
      <c r="C85">
        <v>4</v>
      </c>
      <c r="D85">
        <v>4</v>
      </c>
      <c r="E85">
        <v>3</v>
      </c>
      <c r="F85" t="s">
        <v>1085</v>
      </c>
      <c r="G85" t="str">
        <f t="shared" si="39"/>
        <v>法师1_44_3</v>
      </c>
      <c r="H85">
        <v>0</v>
      </c>
      <c r="I85" s="2" t="s">
        <v>161</v>
      </c>
      <c r="J85" s="2">
        <f t="shared" si="54"/>
        <v>6</v>
      </c>
      <c r="K85" s="2">
        <f t="shared" si="48"/>
        <v>1.17</v>
      </c>
      <c r="L85" s="2">
        <f t="shared" si="47"/>
        <v>1.47</v>
      </c>
      <c r="M85" s="2">
        <v>10</v>
      </c>
      <c r="N85" s="2">
        <f t="shared" si="44"/>
        <v>49.280000000000008</v>
      </c>
      <c r="O85" s="2">
        <f t="shared" si="44"/>
        <v>4.9280000000000008</v>
      </c>
      <c r="P85" s="2">
        <f t="shared" si="44"/>
        <v>764.4</v>
      </c>
      <c r="Q85" s="2">
        <f t="shared" si="44"/>
        <v>76.44</v>
      </c>
      <c r="R85" s="2">
        <f t="shared" si="44"/>
        <v>27</v>
      </c>
      <c r="S85" s="2">
        <f t="shared" si="44"/>
        <v>2.7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>
        <v>40434011</v>
      </c>
      <c r="Z85" s="14" t="s">
        <v>1086</v>
      </c>
      <c r="AA85" s="14" t="s">
        <v>889</v>
      </c>
      <c r="AB85">
        <v>4053401</v>
      </c>
      <c r="AC85" s="2">
        <v>31</v>
      </c>
      <c r="AD85" s="2"/>
      <c r="AE85" s="2"/>
      <c r="AF85">
        <v>1</v>
      </c>
      <c r="AG85" s="1">
        <f t="shared" si="49"/>
        <v>270.81703261372559</v>
      </c>
      <c r="AH85">
        <v>4</v>
      </c>
      <c r="AI85">
        <f t="shared" si="59"/>
        <v>49.280000000000008</v>
      </c>
      <c r="AJ85">
        <f t="shared" si="60"/>
        <v>4.9280000000000008</v>
      </c>
      <c r="AK85">
        <f t="shared" si="61"/>
        <v>764.4</v>
      </c>
      <c r="AL85">
        <f t="shared" si="62"/>
        <v>76.44</v>
      </c>
      <c r="AM85">
        <f t="shared" si="55"/>
        <v>27</v>
      </c>
      <c r="AN85">
        <f t="shared" si="56"/>
        <v>2.7</v>
      </c>
      <c r="AO85">
        <f t="shared" si="50"/>
        <v>1.6</v>
      </c>
      <c r="AP85">
        <f t="shared" si="51"/>
        <v>2</v>
      </c>
      <c r="AQ85">
        <f t="shared" si="52"/>
        <v>6</v>
      </c>
      <c r="AR85">
        <v>401</v>
      </c>
      <c r="AS85" s="1" t="str">
        <f t="shared" si="38"/>
        <v>1</v>
      </c>
      <c r="AT85">
        <v>4</v>
      </c>
      <c r="BH85">
        <v>36</v>
      </c>
      <c r="BI85">
        <v>1440</v>
      </c>
      <c r="BJ85">
        <v>48</v>
      </c>
      <c r="BP85" t="s">
        <v>953</v>
      </c>
      <c r="BQ85" t="str">
        <f t="shared" si="53"/>
        <v>1</v>
      </c>
      <c r="BT85">
        <v>24</v>
      </c>
      <c r="BU85" t="str">
        <f t="shared" si="45"/>
        <v>441024,442024</v>
      </c>
      <c r="BV85">
        <f t="shared" si="37"/>
        <v>441024</v>
      </c>
      <c r="BW85">
        <f t="shared" si="46"/>
        <v>442024</v>
      </c>
      <c r="CF85" t="str">
        <f t="shared" si="57"/>
        <v>DATA_Class_Base33</v>
      </c>
      <c r="CG85" s="34" t="s">
        <v>318</v>
      </c>
    </row>
    <row r="86" spans="1:85">
      <c r="A86">
        <f t="shared" si="58"/>
        <v>4044201</v>
      </c>
      <c r="B86" s="34" t="s">
        <v>383</v>
      </c>
      <c r="C86">
        <v>4</v>
      </c>
      <c r="D86">
        <v>2</v>
      </c>
      <c r="E86">
        <v>4</v>
      </c>
      <c r="F86" t="s">
        <v>1087</v>
      </c>
      <c r="G86" t="str">
        <f t="shared" si="39"/>
        <v>战士1_44_4</v>
      </c>
      <c r="H86" s="2">
        <v>0</v>
      </c>
      <c r="I86" s="2" t="s">
        <v>298</v>
      </c>
      <c r="J86" s="2">
        <f t="shared" si="54"/>
        <v>2.5</v>
      </c>
      <c r="K86" s="2">
        <f t="shared" si="48"/>
        <v>1.32</v>
      </c>
      <c r="L86" s="2">
        <f t="shared" si="47"/>
        <v>1.32</v>
      </c>
      <c r="M86" s="2">
        <v>10</v>
      </c>
      <c r="N86" s="2">
        <f t="shared" si="44"/>
        <v>40.32</v>
      </c>
      <c r="O86" s="2">
        <f t="shared" si="44"/>
        <v>4.032</v>
      </c>
      <c r="P86" s="2">
        <f t="shared" si="44"/>
        <v>1050</v>
      </c>
      <c r="Q86" s="2">
        <f t="shared" si="44"/>
        <v>105</v>
      </c>
      <c r="R86" s="2">
        <f t="shared" si="44"/>
        <v>36</v>
      </c>
      <c r="S86" s="2">
        <f t="shared" si="44"/>
        <v>3.6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>
        <v>40442011</v>
      </c>
      <c r="Z86" s="14" t="s">
        <v>1088</v>
      </c>
      <c r="AA86" s="14" t="s">
        <v>889</v>
      </c>
      <c r="AB86">
        <v>4054201</v>
      </c>
      <c r="AC86" s="2">
        <v>19</v>
      </c>
      <c r="AD86" s="2"/>
      <c r="AE86" s="2"/>
      <c r="AF86">
        <v>1</v>
      </c>
      <c r="AG86" s="1">
        <f t="shared" si="49"/>
        <v>271.08644464156123</v>
      </c>
      <c r="AH86">
        <v>4</v>
      </c>
      <c r="AI86">
        <f t="shared" si="59"/>
        <v>40.32</v>
      </c>
      <c r="AJ86">
        <f t="shared" si="60"/>
        <v>4.032</v>
      </c>
      <c r="AK86">
        <f t="shared" si="61"/>
        <v>1050</v>
      </c>
      <c r="AL86">
        <f t="shared" si="62"/>
        <v>105</v>
      </c>
      <c r="AM86">
        <f t="shared" si="55"/>
        <v>36</v>
      </c>
      <c r="AN86">
        <f t="shared" si="56"/>
        <v>3.6</v>
      </c>
      <c r="AO86">
        <f t="shared" si="50"/>
        <v>1.8</v>
      </c>
      <c r="AP86">
        <f t="shared" si="51"/>
        <v>1.8</v>
      </c>
      <c r="AQ86">
        <f t="shared" si="52"/>
        <v>2.5</v>
      </c>
      <c r="AR86">
        <v>201</v>
      </c>
      <c r="AS86" s="1" t="str">
        <f t="shared" si="38"/>
        <v>1</v>
      </c>
      <c r="AT86">
        <v>4</v>
      </c>
      <c r="BP86" t="s">
        <v>913</v>
      </c>
      <c r="BQ86" t="str">
        <f t="shared" si="53"/>
        <v>1</v>
      </c>
      <c r="BT86">
        <v>25</v>
      </c>
      <c r="BU86" t="str">
        <f t="shared" si="45"/>
        <v>441025,442025</v>
      </c>
      <c r="BV86">
        <f t="shared" si="37"/>
        <v>441025</v>
      </c>
      <c r="BW86">
        <f t="shared" si="46"/>
        <v>442025</v>
      </c>
      <c r="CF86" t="str">
        <f t="shared" si="57"/>
        <v>DATA_Class_Base31</v>
      </c>
      <c r="CG86" s="34" t="s">
        <v>300</v>
      </c>
    </row>
    <row r="87" spans="1:85">
      <c r="A87">
        <f t="shared" si="58"/>
        <v>4044301</v>
      </c>
      <c r="B87" s="35" t="s">
        <v>398</v>
      </c>
      <c r="C87">
        <v>4</v>
      </c>
      <c r="D87">
        <v>3</v>
      </c>
      <c r="E87">
        <v>4</v>
      </c>
      <c r="F87" t="s">
        <v>1089</v>
      </c>
      <c r="G87" t="str">
        <f t="shared" si="39"/>
        <v>刺客1_44_4</v>
      </c>
      <c r="H87" s="2">
        <v>0</v>
      </c>
      <c r="I87" s="2" t="s">
        <v>285</v>
      </c>
      <c r="J87" s="2">
        <f t="shared" si="54"/>
        <v>2.5</v>
      </c>
      <c r="K87" s="2">
        <f t="shared" si="48"/>
        <v>0.88</v>
      </c>
      <c r="L87" s="2">
        <f t="shared" si="47"/>
        <v>1.47</v>
      </c>
      <c r="M87" s="2">
        <v>10</v>
      </c>
      <c r="N87" s="2">
        <f t="shared" si="44"/>
        <v>30.24</v>
      </c>
      <c r="O87" s="2">
        <f t="shared" si="44"/>
        <v>3.024</v>
      </c>
      <c r="P87" s="2">
        <f t="shared" si="44"/>
        <v>932.40000000000009</v>
      </c>
      <c r="Q87" s="2">
        <f t="shared" si="44"/>
        <v>93.240000000000009</v>
      </c>
      <c r="R87" s="2">
        <f t="shared" si="44"/>
        <v>33</v>
      </c>
      <c r="S87" s="2">
        <f t="shared" si="44"/>
        <v>3.3000000000000003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>
        <v>40443011</v>
      </c>
      <c r="Z87" s="14" t="s">
        <v>1090</v>
      </c>
      <c r="AA87" s="14" t="s">
        <v>889</v>
      </c>
      <c r="AB87">
        <v>4054301</v>
      </c>
      <c r="AC87" s="2">
        <v>19</v>
      </c>
      <c r="AD87" s="2"/>
      <c r="AE87" s="2"/>
      <c r="AF87">
        <v>1</v>
      </c>
      <c r="AG87" s="1">
        <f t="shared" si="49"/>
        <v>270.63531293188555</v>
      </c>
      <c r="AH87">
        <v>4</v>
      </c>
      <c r="AI87">
        <f t="shared" si="59"/>
        <v>30.24</v>
      </c>
      <c r="AJ87">
        <f t="shared" si="60"/>
        <v>3.024</v>
      </c>
      <c r="AK87">
        <f t="shared" si="61"/>
        <v>932.40000000000009</v>
      </c>
      <c r="AL87">
        <f t="shared" si="62"/>
        <v>93.240000000000009</v>
      </c>
      <c r="AM87">
        <f t="shared" si="55"/>
        <v>33</v>
      </c>
      <c r="AN87">
        <f t="shared" si="56"/>
        <v>3.3000000000000003</v>
      </c>
      <c r="AO87">
        <f t="shared" si="50"/>
        <v>1.2</v>
      </c>
      <c r="AP87">
        <f t="shared" si="51"/>
        <v>2</v>
      </c>
      <c r="AQ87">
        <f t="shared" si="52"/>
        <v>2.5</v>
      </c>
      <c r="AR87">
        <v>301</v>
      </c>
      <c r="AS87" s="1" t="str">
        <f t="shared" si="38"/>
        <v>1</v>
      </c>
      <c r="AT87">
        <v>4</v>
      </c>
      <c r="AW87">
        <v>26809</v>
      </c>
      <c r="AX87">
        <v>2828</v>
      </c>
      <c r="AY87">
        <v>14</v>
      </c>
      <c r="AZ87">
        <v>590</v>
      </c>
      <c r="BC87">
        <v>19279</v>
      </c>
      <c r="BD87">
        <v>3422</v>
      </c>
      <c r="BE87">
        <v>11</v>
      </c>
      <c r="BF87">
        <v>631</v>
      </c>
      <c r="BG87">
        <v>100</v>
      </c>
      <c r="BH87">
        <f>(BH$85+(BH$85*0.1*$BG87))*$BA$77*2*1.1</f>
        <v>1393.92</v>
      </c>
      <c r="BI87">
        <f>(BI$85+(BI$85*0.1*$BG87))*$BA$77*2*1.15</f>
        <v>58291.199999999997</v>
      </c>
      <c r="BJ87">
        <f>(BJ$85+(BJ$85*0.1*$BG87))</f>
        <v>528</v>
      </c>
      <c r="BP87" t="s">
        <v>923</v>
      </c>
      <c r="BQ87" t="str">
        <f t="shared" si="53"/>
        <v>1</v>
      </c>
      <c r="BT87">
        <v>26</v>
      </c>
      <c r="BU87" t="str">
        <f t="shared" si="45"/>
        <v>441026,442026</v>
      </c>
      <c r="BV87">
        <f t="shared" si="37"/>
        <v>441026</v>
      </c>
      <c r="BW87">
        <f t="shared" si="46"/>
        <v>442026</v>
      </c>
      <c r="CF87" t="str">
        <f t="shared" si="57"/>
        <v>DATA_Class_Base36</v>
      </c>
      <c r="CG87" s="35" t="s">
        <v>312</v>
      </c>
    </row>
    <row r="88" spans="1:85">
      <c r="A88">
        <f t="shared" si="58"/>
        <v>4044401</v>
      </c>
      <c r="B88" s="34" t="s">
        <v>390</v>
      </c>
      <c r="C88">
        <v>4</v>
      </c>
      <c r="D88">
        <v>4</v>
      </c>
      <c r="E88">
        <v>4</v>
      </c>
      <c r="F88" t="s">
        <v>1091</v>
      </c>
      <c r="G88" t="str">
        <f t="shared" si="39"/>
        <v>法师1_44_4</v>
      </c>
      <c r="H88">
        <v>0</v>
      </c>
      <c r="I88" s="2" t="s">
        <v>161</v>
      </c>
      <c r="J88" s="2">
        <f t="shared" si="54"/>
        <v>6</v>
      </c>
      <c r="K88" s="2">
        <f t="shared" si="48"/>
        <v>1.17</v>
      </c>
      <c r="L88" s="2">
        <f t="shared" si="47"/>
        <v>1.47</v>
      </c>
      <c r="M88" s="2">
        <v>10</v>
      </c>
      <c r="N88" s="2">
        <f t="shared" si="44"/>
        <v>49.280000000000008</v>
      </c>
      <c r="O88" s="2">
        <f t="shared" si="44"/>
        <v>4.9280000000000008</v>
      </c>
      <c r="P88" s="2">
        <f t="shared" si="44"/>
        <v>764.4</v>
      </c>
      <c r="Q88" s="2">
        <f t="shared" si="44"/>
        <v>76.44</v>
      </c>
      <c r="R88" s="2">
        <f t="shared" si="44"/>
        <v>27</v>
      </c>
      <c r="S88" s="2">
        <f t="shared" si="44"/>
        <v>2.7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>
        <v>40444011</v>
      </c>
      <c r="Z88" s="14" t="s">
        <v>1092</v>
      </c>
      <c r="AA88" s="14" t="s">
        <v>889</v>
      </c>
      <c r="AB88">
        <v>4054401</v>
      </c>
      <c r="AC88" s="2">
        <v>19</v>
      </c>
      <c r="AD88" s="2"/>
      <c r="AE88" s="2"/>
      <c r="AF88">
        <v>1</v>
      </c>
      <c r="AG88" s="1">
        <f t="shared" si="49"/>
        <v>270.81703261372559</v>
      </c>
      <c r="AH88">
        <v>4</v>
      </c>
      <c r="AI88">
        <f t="shared" si="59"/>
        <v>49.280000000000008</v>
      </c>
      <c r="AJ88">
        <f t="shared" si="60"/>
        <v>4.9280000000000008</v>
      </c>
      <c r="AK88">
        <f t="shared" si="61"/>
        <v>764.4</v>
      </c>
      <c r="AL88">
        <f t="shared" si="62"/>
        <v>76.44</v>
      </c>
      <c r="AM88">
        <f t="shared" si="55"/>
        <v>27</v>
      </c>
      <c r="AN88">
        <f t="shared" si="56"/>
        <v>2.7</v>
      </c>
      <c r="AO88">
        <f t="shared" si="50"/>
        <v>1.6</v>
      </c>
      <c r="AP88">
        <f t="shared" si="51"/>
        <v>2</v>
      </c>
      <c r="AQ88">
        <f t="shared" si="52"/>
        <v>6</v>
      </c>
      <c r="AR88">
        <v>401</v>
      </c>
      <c r="AS88" s="1" t="str">
        <f t="shared" si="38"/>
        <v>1</v>
      </c>
      <c r="AT88">
        <v>4</v>
      </c>
      <c r="AW88">
        <v>74370</v>
      </c>
      <c r="AX88">
        <v>7402</v>
      </c>
      <c r="AY88">
        <v>16</v>
      </c>
      <c r="AZ88">
        <v>786</v>
      </c>
      <c r="BC88">
        <v>59372</v>
      </c>
      <c r="BD88">
        <v>7710</v>
      </c>
      <c r="BE88">
        <v>12</v>
      </c>
      <c r="BF88">
        <v>835</v>
      </c>
      <c r="BG88">
        <v>140</v>
      </c>
      <c r="BH88">
        <f>(BH$85+(BH$85*0.1*$BG88))*$BB$77*2.2*1.15</f>
        <v>2459.16</v>
      </c>
      <c r="BI88">
        <f>(BI$85+(BI$85*0.1*$BG88))*$BB$77*2.2*1.2</f>
        <v>102643.2</v>
      </c>
      <c r="BJ88">
        <f>(BJ$85+(BJ$85*0.1*$BG88))</f>
        <v>720.00000000000011</v>
      </c>
      <c r="BP88" t="s">
        <v>953</v>
      </c>
      <c r="BQ88" t="str">
        <f t="shared" si="53"/>
        <v>1</v>
      </c>
      <c r="BT88">
        <v>27</v>
      </c>
      <c r="BU88" t="str">
        <f t="shared" si="45"/>
        <v>441027,442027</v>
      </c>
      <c r="BV88">
        <f t="shared" si="37"/>
        <v>441027</v>
      </c>
      <c r="BW88">
        <f t="shared" si="46"/>
        <v>442027</v>
      </c>
      <c r="CF88" t="str">
        <f t="shared" si="57"/>
        <v>DATA_Class_Base33</v>
      </c>
      <c r="CG88" s="34" t="s">
        <v>318</v>
      </c>
    </row>
    <row r="89" spans="1:85">
      <c r="A89">
        <f t="shared" si="58"/>
        <v>4044501</v>
      </c>
      <c r="B89" s="34" t="s">
        <v>401</v>
      </c>
      <c r="C89">
        <v>4</v>
      </c>
      <c r="D89">
        <v>5</v>
      </c>
      <c r="E89">
        <v>4</v>
      </c>
      <c r="F89" t="s">
        <v>1093</v>
      </c>
      <c r="G89" t="str">
        <f t="shared" si="39"/>
        <v>游侠1_44_4</v>
      </c>
      <c r="H89" s="2">
        <v>0</v>
      </c>
      <c r="I89" s="2" t="s">
        <v>334</v>
      </c>
      <c r="J89" s="2">
        <f t="shared" si="54"/>
        <v>6</v>
      </c>
      <c r="K89" s="2">
        <f t="shared" si="48"/>
        <v>1.17</v>
      </c>
      <c r="L89" s="2">
        <f t="shared" si="47"/>
        <v>1.47</v>
      </c>
      <c r="M89" s="2">
        <v>10</v>
      </c>
      <c r="N89" s="2">
        <f t="shared" si="44"/>
        <v>53.76</v>
      </c>
      <c r="O89" s="2">
        <f t="shared" si="44"/>
        <v>5.3760000000000003</v>
      </c>
      <c r="P89" s="2">
        <f t="shared" si="44"/>
        <v>697.19999999999993</v>
      </c>
      <c r="Q89" s="2">
        <f t="shared" si="44"/>
        <v>69.72</v>
      </c>
      <c r="R89" s="2">
        <f t="shared" si="44"/>
        <v>24</v>
      </c>
      <c r="S89" s="2">
        <f t="shared" si="44"/>
        <v>2.4000000000000004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>
        <v>40445011</v>
      </c>
      <c r="Z89" s="14" t="s">
        <v>1094</v>
      </c>
      <c r="AA89" s="14" t="s">
        <v>889</v>
      </c>
      <c r="AB89">
        <v>4054501</v>
      </c>
      <c r="AC89" s="2">
        <v>19</v>
      </c>
      <c r="AD89" s="2"/>
      <c r="AE89" s="2"/>
      <c r="AF89">
        <v>1</v>
      </c>
      <c r="AG89" s="1">
        <f t="shared" si="49"/>
        <v>269.28550973138164</v>
      </c>
      <c r="AH89">
        <v>4</v>
      </c>
      <c r="AI89">
        <f t="shared" si="59"/>
        <v>53.76</v>
      </c>
      <c r="AJ89">
        <f t="shared" si="60"/>
        <v>5.3760000000000003</v>
      </c>
      <c r="AK89">
        <f t="shared" si="61"/>
        <v>697.19999999999993</v>
      </c>
      <c r="AL89">
        <f t="shared" si="62"/>
        <v>69.72</v>
      </c>
      <c r="AM89">
        <f t="shared" si="55"/>
        <v>24</v>
      </c>
      <c r="AN89">
        <f t="shared" si="56"/>
        <v>2.4000000000000004</v>
      </c>
      <c r="AO89">
        <f t="shared" si="50"/>
        <v>1.6</v>
      </c>
      <c r="AP89">
        <f t="shared" si="51"/>
        <v>2</v>
      </c>
      <c r="AQ89">
        <f t="shared" si="52"/>
        <v>6</v>
      </c>
      <c r="AR89">
        <v>501</v>
      </c>
      <c r="AS89" s="1" t="str">
        <f t="shared" si="38"/>
        <v>1</v>
      </c>
      <c r="AT89">
        <v>4</v>
      </c>
      <c r="AW89">
        <f>AW88/AW87</f>
        <v>2.7740684098623598</v>
      </c>
      <c r="AX89">
        <f t="shared" ref="AX89:AZ89" si="64">AX88/AX87</f>
        <v>2.6173974540311176</v>
      </c>
      <c r="AY89">
        <f t="shared" si="64"/>
        <v>1.1428571428571428</v>
      </c>
      <c r="AZ89">
        <f t="shared" si="64"/>
        <v>1.3322033898305086</v>
      </c>
      <c r="BC89">
        <f>BC88/BC87</f>
        <v>3.0796203122568597</v>
      </c>
      <c r="BD89">
        <f t="shared" ref="BD89:BF89" si="65">BD88/BD87</f>
        <v>2.2530683810637053</v>
      </c>
      <c r="BE89">
        <f t="shared" si="65"/>
        <v>1.0909090909090908</v>
      </c>
      <c r="BF89">
        <f t="shared" si="65"/>
        <v>1.323296354992076</v>
      </c>
      <c r="BH89">
        <f t="shared" ref="BH89:BJ89" si="66">BH88/BH87</f>
        <v>1.7642045454545452</v>
      </c>
      <c r="BI89">
        <f t="shared" si="66"/>
        <v>1.7608695652173914</v>
      </c>
      <c r="BJ89">
        <f t="shared" si="66"/>
        <v>1.3636363636363638</v>
      </c>
      <c r="BP89" t="s">
        <v>945</v>
      </c>
      <c r="BQ89" t="str">
        <f t="shared" si="53"/>
        <v>1</v>
      </c>
      <c r="BT89">
        <v>28</v>
      </c>
      <c r="BU89" t="str">
        <f t="shared" si="45"/>
        <v>441028,442028</v>
      </c>
      <c r="BV89">
        <f t="shared" si="37"/>
        <v>441028</v>
      </c>
      <c r="BW89">
        <f t="shared" si="46"/>
        <v>442028</v>
      </c>
      <c r="CF89" t="str">
        <f t="shared" si="57"/>
        <v>DATA_Class_Base37</v>
      </c>
      <c r="CG89" s="34" t="s">
        <v>994</v>
      </c>
    </row>
    <row r="90" spans="1:85">
      <c r="A90">
        <f t="shared" si="58"/>
        <v>4044601</v>
      </c>
      <c r="B90" s="35" t="s">
        <v>396</v>
      </c>
      <c r="C90">
        <v>4</v>
      </c>
      <c r="D90">
        <v>6</v>
      </c>
      <c r="E90">
        <v>4</v>
      </c>
      <c r="F90" t="s">
        <v>1095</v>
      </c>
      <c r="G90" t="str">
        <f t="shared" si="39"/>
        <v>牧师1_44_4</v>
      </c>
      <c r="H90" s="2">
        <v>0</v>
      </c>
      <c r="I90" s="2" t="s">
        <v>309</v>
      </c>
      <c r="J90" s="2">
        <f t="shared" si="54"/>
        <v>5</v>
      </c>
      <c r="K90" s="2">
        <f t="shared" si="48"/>
        <v>1.1000000000000001</v>
      </c>
      <c r="L90" s="2">
        <f t="shared" si="47"/>
        <v>1.47</v>
      </c>
      <c r="M90" s="2">
        <v>10</v>
      </c>
      <c r="N90" s="2">
        <f t="shared" si="44"/>
        <v>42</v>
      </c>
      <c r="O90" s="2">
        <f t="shared" si="44"/>
        <v>4.2</v>
      </c>
      <c r="P90" s="2">
        <f t="shared" si="44"/>
        <v>840</v>
      </c>
      <c r="Q90" s="2">
        <f t="shared" si="44"/>
        <v>84</v>
      </c>
      <c r="R90" s="2">
        <f t="shared" si="44"/>
        <v>30</v>
      </c>
      <c r="S90" s="2">
        <f t="shared" si="44"/>
        <v>3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>
        <v>40446011</v>
      </c>
      <c r="Z90" s="14" t="s">
        <v>1096</v>
      </c>
      <c r="AA90" s="14" t="s">
        <v>889</v>
      </c>
      <c r="AB90">
        <v>4054601</v>
      </c>
      <c r="AC90" s="2">
        <v>19</v>
      </c>
      <c r="AD90" s="2"/>
      <c r="AE90" s="2"/>
      <c r="AF90">
        <v>1</v>
      </c>
      <c r="AG90" s="1">
        <f t="shared" si="49"/>
        <v>270.7262331387156</v>
      </c>
      <c r="AH90">
        <v>4</v>
      </c>
      <c r="AI90">
        <f t="shared" si="59"/>
        <v>42</v>
      </c>
      <c r="AJ90">
        <f t="shared" si="60"/>
        <v>4.2</v>
      </c>
      <c r="AK90">
        <f t="shared" si="61"/>
        <v>840</v>
      </c>
      <c r="AL90">
        <f t="shared" si="62"/>
        <v>84</v>
      </c>
      <c r="AM90">
        <f t="shared" si="55"/>
        <v>30</v>
      </c>
      <c r="AN90">
        <f t="shared" si="56"/>
        <v>3</v>
      </c>
      <c r="AO90">
        <f t="shared" si="50"/>
        <v>1.5</v>
      </c>
      <c r="AP90">
        <f t="shared" si="51"/>
        <v>2</v>
      </c>
      <c r="AQ90">
        <f t="shared" si="52"/>
        <v>5</v>
      </c>
      <c r="AR90">
        <v>601</v>
      </c>
      <c r="AS90" s="1" t="str">
        <f t="shared" si="38"/>
        <v>1</v>
      </c>
      <c r="AT90">
        <v>4</v>
      </c>
      <c r="BP90" t="s">
        <v>960</v>
      </c>
      <c r="BQ90" t="str">
        <f t="shared" si="53"/>
        <v>1</v>
      </c>
      <c r="BT90">
        <v>29</v>
      </c>
      <c r="BU90" t="str">
        <f t="shared" si="45"/>
        <v>441029,442029</v>
      </c>
      <c r="BV90">
        <f t="shared" ref="BV90:BV101" si="67">$AT90*100000+$AH90*10000+1*1000+$BT90</f>
        <v>441029</v>
      </c>
      <c r="BW90">
        <f t="shared" si="46"/>
        <v>442029</v>
      </c>
      <c r="CF90" t="str">
        <f t="shared" si="57"/>
        <v>DATA_Class_Base35</v>
      </c>
      <c r="CG90" s="35" t="s">
        <v>342</v>
      </c>
    </row>
    <row r="91" spans="1:85">
      <c r="A91">
        <f t="shared" si="58"/>
        <v>4044502</v>
      </c>
      <c r="B91" s="34" t="s">
        <v>412</v>
      </c>
      <c r="C91">
        <v>4</v>
      </c>
      <c r="D91">
        <v>5</v>
      </c>
      <c r="E91">
        <v>4</v>
      </c>
      <c r="F91" t="s">
        <v>1097</v>
      </c>
      <c r="G91" t="str">
        <f t="shared" si="39"/>
        <v>游侠2_44_4</v>
      </c>
      <c r="H91">
        <v>0</v>
      </c>
      <c r="I91" s="2" t="s">
        <v>291</v>
      </c>
      <c r="J91" s="2">
        <f t="shared" si="54"/>
        <v>6</v>
      </c>
      <c r="K91" s="2">
        <f t="shared" si="48"/>
        <v>1.02</v>
      </c>
      <c r="L91" s="2">
        <f t="shared" si="47"/>
        <v>1.47</v>
      </c>
      <c r="M91" s="2">
        <v>10</v>
      </c>
      <c r="N91" s="2">
        <f t="shared" si="44"/>
        <v>47.039999999999992</v>
      </c>
      <c r="O91" s="2">
        <f t="shared" si="44"/>
        <v>4.7039999999999997</v>
      </c>
      <c r="P91" s="2">
        <f t="shared" si="44"/>
        <v>697.19999999999993</v>
      </c>
      <c r="Q91" s="2">
        <f t="shared" si="44"/>
        <v>69.72</v>
      </c>
      <c r="R91" s="2">
        <f t="shared" si="44"/>
        <v>24</v>
      </c>
      <c r="S91" s="2">
        <f t="shared" si="44"/>
        <v>2.4000000000000004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>
        <v>40445021</v>
      </c>
      <c r="Z91" s="14" t="s">
        <v>1098</v>
      </c>
      <c r="AA91" s="14" t="s">
        <v>889</v>
      </c>
      <c r="AB91">
        <v>4054502</v>
      </c>
      <c r="AC91" s="2">
        <v>19</v>
      </c>
      <c r="AD91" s="2"/>
      <c r="AE91" s="2"/>
      <c r="AF91">
        <v>1</v>
      </c>
      <c r="AG91" s="1">
        <f t="shared" si="49"/>
        <v>269.28550973138158</v>
      </c>
      <c r="AH91">
        <v>4</v>
      </c>
      <c r="AI91">
        <f t="shared" si="59"/>
        <v>47.039999999999992</v>
      </c>
      <c r="AJ91">
        <f t="shared" si="60"/>
        <v>4.7039999999999997</v>
      </c>
      <c r="AK91">
        <f t="shared" si="61"/>
        <v>697.19999999999993</v>
      </c>
      <c r="AL91">
        <f t="shared" si="62"/>
        <v>69.72</v>
      </c>
      <c r="AM91">
        <f t="shared" si="55"/>
        <v>24</v>
      </c>
      <c r="AN91">
        <f t="shared" si="56"/>
        <v>2.4000000000000004</v>
      </c>
      <c r="AO91">
        <f t="shared" si="50"/>
        <v>1.4</v>
      </c>
      <c r="AP91">
        <f t="shared" si="51"/>
        <v>2</v>
      </c>
      <c r="AQ91">
        <f t="shared" si="52"/>
        <v>6</v>
      </c>
      <c r="AR91">
        <v>502</v>
      </c>
      <c r="AS91" s="1" t="str">
        <f t="shared" si="38"/>
        <v>2</v>
      </c>
      <c r="AT91">
        <v>4</v>
      </c>
      <c r="BG91">
        <v>96</v>
      </c>
      <c r="BP91" t="s">
        <v>974</v>
      </c>
      <c r="BQ91" t="str">
        <f t="shared" si="53"/>
        <v>2</v>
      </c>
      <c r="BT91">
        <v>30</v>
      </c>
      <c r="BU91" t="str">
        <f t="shared" si="45"/>
        <v>441030,442030</v>
      </c>
      <c r="BV91">
        <f t="shared" si="67"/>
        <v>441030</v>
      </c>
      <c r="BW91">
        <f t="shared" si="46"/>
        <v>442030</v>
      </c>
      <c r="CF91" t="str">
        <f t="shared" si="57"/>
        <v>DATA_Class_Base41</v>
      </c>
      <c r="CG91" s="34" t="s">
        <v>1004</v>
      </c>
    </row>
    <row r="92" spans="1:85">
      <c r="A92">
        <f t="shared" si="58"/>
        <v>4044600</v>
      </c>
      <c r="B92" s="35" t="s">
        <v>1017</v>
      </c>
      <c r="C92">
        <v>4</v>
      </c>
      <c r="D92">
        <v>6</v>
      </c>
      <c r="E92">
        <v>4</v>
      </c>
      <c r="F92" t="s">
        <v>1099</v>
      </c>
      <c r="G92" t="str">
        <f t="shared" si="39"/>
        <v>牧师0_44_4</v>
      </c>
      <c r="H92">
        <v>0</v>
      </c>
      <c r="I92" s="2" t="s">
        <v>339</v>
      </c>
      <c r="J92" s="2">
        <f t="shared" si="54"/>
        <v>4</v>
      </c>
      <c r="K92" s="2">
        <f t="shared" si="48"/>
        <v>1.02</v>
      </c>
      <c r="L92" s="2">
        <f t="shared" si="47"/>
        <v>1.3900000000000001</v>
      </c>
      <c r="M92" s="2">
        <v>10</v>
      </c>
      <c r="N92" s="2">
        <f t="shared" si="44"/>
        <v>39.199999999999996</v>
      </c>
      <c r="O92" s="2">
        <f t="shared" si="44"/>
        <v>3.92</v>
      </c>
      <c r="P92" s="2">
        <f t="shared" si="44"/>
        <v>840</v>
      </c>
      <c r="Q92" s="2">
        <f t="shared" si="44"/>
        <v>84</v>
      </c>
      <c r="R92" s="2">
        <f t="shared" si="44"/>
        <v>30</v>
      </c>
      <c r="S92" s="2">
        <f t="shared" si="44"/>
        <v>3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>
        <v>40446001</v>
      </c>
      <c r="Z92" s="14" t="s">
        <v>1100</v>
      </c>
      <c r="AA92" s="14" t="s">
        <v>889</v>
      </c>
      <c r="AB92">
        <v>4054600</v>
      </c>
      <c r="AC92" s="2">
        <v>19</v>
      </c>
      <c r="AD92" s="2"/>
      <c r="AE92" s="2"/>
      <c r="AF92">
        <v>1</v>
      </c>
      <c r="AG92" s="1">
        <f t="shared" si="49"/>
        <v>270.7262331387156</v>
      </c>
      <c r="AH92">
        <v>4</v>
      </c>
      <c r="AI92">
        <f t="shared" si="59"/>
        <v>39.199999999999996</v>
      </c>
      <c r="AJ92">
        <f t="shared" si="60"/>
        <v>3.92</v>
      </c>
      <c r="AK92">
        <f t="shared" si="61"/>
        <v>840</v>
      </c>
      <c r="AL92">
        <f t="shared" si="62"/>
        <v>84</v>
      </c>
      <c r="AM92">
        <f t="shared" si="55"/>
        <v>30</v>
      </c>
      <c r="AN92">
        <f t="shared" si="56"/>
        <v>3</v>
      </c>
      <c r="AO92">
        <f t="shared" si="50"/>
        <v>1.4</v>
      </c>
      <c r="AP92">
        <f t="shared" si="51"/>
        <v>1.9</v>
      </c>
      <c r="AQ92">
        <f t="shared" si="52"/>
        <v>4</v>
      </c>
      <c r="AR92">
        <v>600</v>
      </c>
      <c r="AS92" s="1" t="str">
        <f t="shared" si="38"/>
        <v>0</v>
      </c>
      <c r="AT92">
        <v>4</v>
      </c>
      <c r="BG92">
        <v>5.2</v>
      </c>
      <c r="BI92" t="s">
        <v>1101</v>
      </c>
      <c r="BP92" t="s">
        <v>990</v>
      </c>
      <c r="BQ92" t="str">
        <f t="shared" si="53"/>
        <v>0</v>
      </c>
      <c r="BT92">
        <v>31</v>
      </c>
      <c r="BU92" t="str">
        <f t="shared" si="45"/>
        <v>441031,442031</v>
      </c>
      <c r="BV92">
        <f t="shared" si="67"/>
        <v>441031</v>
      </c>
      <c r="BW92">
        <f t="shared" si="46"/>
        <v>442031</v>
      </c>
      <c r="CF92" t="str">
        <f t="shared" si="57"/>
        <v>DATA_Class_Base45</v>
      </c>
      <c r="CG92" s="35" t="s">
        <v>1018</v>
      </c>
    </row>
    <row r="93" spans="1:85">
      <c r="A93">
        <f t="shared" si="58"/>
        <v>4044200</v>
      </c>
      <c r="B93" s="34" t="s">
        <v>406</v>
      </c>
      <c r="C93">
        <v>4</v>
      </c>
      <c r="D93">
        <v>2</v>
      </c>
      <c r="E93">
        <v>4</v>
      </c>
      <c r="F93" t="s">
        <v>1102</v>
      </c>
      <c r="G93" t="str">
        <f t="shared" si="39"/>
        <v>战士0_44_4</v>
      </c>
      <c r="H93">
        <v>0</v>
      </c>
      <c r="I93" s="2" t="s">
        <v>314</v>
      </c>
      <c r="J93" s="2">
        <f t="shared" si="54"/>
        <v>2.5</v>
      </c>
      <c r="K93" s="2">
        <f t="shared" si="48"/>
        <v>1.1000000000000001</v>
      </c>
      <c r="L93" s="2">
        <f t="shared" si="47"/>
        <v>0.88</v>
      </c>
      <c r="M93" s="2">
        <v>10</v>
      </c>
      <c r="N93" s="2">
        <f t="shared" si="44"/>
        <v>33.6</v>
      </c>
      <c r="O93" s="2">
        <f t="shared" si="44"/>
        <v>3.3600000000000003</v>
      </c>
      <c r="P93" s="2">
        <f t="shared" si="44"/>
        <v>1050</v>
      </c>
      <c r="Q93" s="2">
        <f t="shared" si="44"/>
        <v>105</v>
      </c>
      <c r="R93" s="2">
        <f t="shared" si="44"/>
        <v>36</v>
      </c>
      <c r="S93" s="2">
        <f t="shared" si="44"/>
        <v>3.6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>
        <v>40442001</v>
      </c>
      <c r="Z93" s="14" t="s">
        <v>1103</v>
      </c>
      <c r="AA93" s="14" t="s">
        <v>889</v>
      </c>
      <c r="AB93">
        <v>4054200</v>
      </c>
      <c r="AC93" s="2">
        <v>19</v>
      </c>
      <c r="AD93" s="2"/>
      <c r="AE93" s="2"/>
      <c r="AF93">
        <v>1</v>
      </c>
      <c r="AG93" s="1">
        <f t="shared" si="49"/>
        <v>271.08644464156123</v>
      </c>
      <c r="AH93">
        <v>4</v>
      </c>
      <c r="AI93">
        <f t="shared" si="59"/>
        <v>33.6</v>
      </c>
      <c r="AJ93">
        <f t="shared" si="60"/>
        <v>3.3600000000000003</v>
      </c>
      <c r="AK93">
        <f t="shared" si="61"/>
        <v>1050</v>
      </c>
      <c r="AL93">
        <f t="shared" si="62"/>
        <v>105</v>
      </c>
      <c r="AM93">
        <f t="shared" si="55"/>
        <v>36</v>
      </c>
      <c r="AN93">
        <f t="shared" si="56"/>
        <v>3.6</v>
      </c>
      <c r="AO93">
        <f t="shared" si="50"/>
        <v>1.5</v>
      </c>
      <c r="AP93">
        <f t="shared" si="51"/>
        <v>1.2</v>
      </c>
      <c r="AQ93">
        <f t="shared" si="52"/>
        <v>2.5</v>
      </c>
      <c r="AR93">
        <v>200</v>
      </c>
      <c r="AS93" s="1" t="str">
        <f t="shared" si="38"/>
        <v>0</v>
      </c>
      <c r="AT93">
        <v>4</v>
      </c>
      <c r="BF93" t="s">
        <v>1104</v>
      </c>
      <c r="BP93" t="s">
        <v>964</v>
      </c>
      <c r="BQ93" t="str">
        <f t="shared" si="53"/>
        <v>0</v>
      </c>
      <c r="BT93">
        <v>32</v>
      </c>
      <c r="BU93" t="str">
        <f t="shared" si="45"/>
        <v>441032,442032</v>
      </c>
      <c r="BV93">
        <f t="shared" si="67"/>
        <v>441032</v>
      </c>
      <c r="BW93">
        <f t="shared" si="46"/>
        <v>442032</v>
      </c>
      <c r="CF93" t="str">
        <f t="shared" si="57"/>
        <v>DATA_Class_Base39</v>
      </c>
      <c r="CG93" s="34" t="s">
        <v>999</v>
      </c>
    </row>
    <row r="94" spans="1:85">
      <c r="A94">
        <f t="shared" si="58"/>
        <v>4045202</v>
      </c>
      <c r="B94" s="34" t="s">
        <v>404</v>
      </c>
      <c r="C94">
        <v>4</v>
      </c>
      <c r="D94">
        <v>2</v>
      </c>
      <c r="E94">
        <v>5</v>
      </c>
      <c r="F94" s="2" t="s">
        <v>1105</v>
      </c>
      <c r="G94" t="str">
        <f t="shared" si="39"/>
        <v>战士2_44_5</v>
      </c>
      <c r="H94">
        <v>0</v>
      </c>
      <c r="I94" s="2" t="s">
        <v>280</v>
      </c>
      <c r="J94" s="2">
        <f t="shared" si="54"/>
        <v>2.5</v>
      </c>
      <c r="K94" s="2">
        <f t="shared" si="48"/>
        <v>1.32</v>
      </c>
      <c r="L94" s="2">
        <f t="shared" si="47"/>
        <v>1.47</v>
      </c>
      <c r="M94" s="2">
        <v>10</v>
      </c>
      <c r="N94" s="2">
        <f t="shared" si="44"/>
        <v>40.32</v>
      </c>
      <c r="O94" s="2">
        <f t="shared" si="44"/>
        <v>4.032</v>
      </c>
      <c r="P94" s="2">
        <f t="shared" si="44"/>
        <v>1050</v>
      </c>
      <c r="Q94" s="2">
        <f t="shared" si="44"/>
        <v>105</v>
      </c>
      <c r="R94" s="2">
        <f t="shared" si="44"/>
        <v>36</v>
      </c>
      <c r="S94" s="2">
        <f t="shared" si="44"/>
        <v>3.6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>
        <v>40452021</v>
      </c>
      <c r="Z94" s="14" t="s">
        <v>1106</v>
      </c>
      <c r="AA94" s="14" t="s">
        <v>889</v>
      </c>
      <c r="AB94">
        <v>4055202</v>
      </c>
      <c r="AC94" s="2">
        <v>19</v>
      </c>
      <c r="AD94" s="2"/>
      <c r="AE94" s="2"/>
      <c r="AF94">
        <v>1</v>
      </c>
      <c r="AG94" s="1">
        <f t="shared" si="49"/>
        <v>271.08644464156123</v>
      </c>
      <c r="AH94">
        <v>4</v>
      </c>
      <c r="AI94">
        <f t="shared" si="59"/>
        <v>40.32</v>
      </c>
      <c r="AJ94">
        <f t="shared" si="60"/>
        <v>4.032</v>
      </c>
      <c r="AK94">
        <f t="shared" si="61"/>
        <v>1050</v>
      </c>
      <c r="AL94">
        <f t="shared" si="62"/>
        <v>105</v>
      </c>
      <c r="AM94">
        <f t="shared" si="55"/>
        <v>36</v>
      </c>
      <c r="AN94">
        <f t="shared" si="56"/>
        <v>3.6</v>
      </c>
      <c r="AO94">
        <f t="shared" si="50"/>
        <v>1.8</v>
      </c>
      <c r="AP94">
        <f t="shared" si="51"/>
        <v>2</v>
      </c>
      <c r="AQ94">
        <f t="shared" si="52"/>
        <v>2.5</v>
      </c>
      <c r="AR94">
        <v>202</v>
      </c>
      <c r="AS94" s="1" t="str">
        <f t="shared" si="38"/>
        <v>2</v>
      </c>
      <c r="AT94">
        <v>4</v>
      </c>
      <c r="BI94">
        <v>1.3</v>
      </c>
      <c r="BJ94">
        <v>4</v>
      </c>
      <c r="BP94" t="s">
        <v>981</v>
      </c>
      <c r="BQ94" t="str">
        <f t="shared" si="53"/>
        <v>2</v>
      </c>
      <c r="BT94">
        <v>33</v>
      </c>
      <c r="BU94" t="str">
        <f t="shared" si="45"/>
        <v>441033,442033</v>
      </c>
      <c r="BV94">
        <f t="shared" si="67"/>
        <v>441033</v>
      </c>
      <c r="BW94">
        <f t="shared" si="46"/>
        <v>442033</v>
      </c>
      <c r="CF94" t="str">
        <f t="shared" si="57"/>
        <v>DATA_Class_Base38</v>
      </c>
      <c r="CG94" s="34" t="s">
        <v>306</v>
      </c>
    </row>
    <row r="95" spans="1:85">
      <c r="A95">
        <f t="shared" si="58"/>
        <v>4045302</v>
      </c>
      <c r="B95" s="35" t="s">
        <v>1010</v>
      </c>
      <c r="C95">
        <v>4</v>
      </c>
      <c r="D95">
        <v>3</v>
      </c>
      <c r="E95">
        <v>5</v>
      </c>
      <c r="F95" t="s">
        <v>1107</v>
      </c>
      <c r="G95" t="str">
        <f t="shared" si="39"/>
        <v>刺客2_44_5</v>
      </c>
      <c r="H95" s="2">
        <v>0</v>
      </c>
      <c r="I95" s="2" t="s">
        <v>358</v>
      </c>
      <c r="J95" s="2">
        <f t="shared" si="54"/>
        <v>2.5</v>
      </c>
      <c r="K95" s="2">
        <f t="shared" si="48"/>
        <v>1.02</v>
      </c>
      <c r="L95" s="2">
        <f t="shared" si="47"/>
        <v>1.25</v>
      </c>
      <c r="M95" s="2">
        <v>10</v>
      </c>
      <c r="N95" s="2">
        <f t="shared" si="44"/>
        <v>35.279999999999994</v>
      </c>
      <c r="O95" s="2">
        <f t="shared" si="44"/>
        <v>3.5279999999999996</v>
      </c>
      <c r="P95" s="2">
        <f t="shared" si="44"/>
        <v>932.40000000000009</v>
      </c>
      <c r="Q95" s="2">
        <f t="shared" si="44"/>
        <v>93.240000000000009</v>
      </c>
      <c r="R95" s="2">
        <f t="shared" si="44"/>
        <v>33</v>
      </c>
      <c r="S95" s="2">
        <f t="shared" si="44"/>
        <v>3.3000000000000003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>
        <v>40453021</v>
      </c>
      <c r="Z95" s="14" t="s">
        <v>1108</v>
      </c>
      <c r="AA95" s="14" t="s">
        <v>889</v>
      </c>
      <c r="AB95">
        <v>4055302</v>
      </c>
      <c r="AC95" s="2">
        <v>19</v>
      </c>
      <c r="AD95" s="2"/>
      <c r="AE95" s="2"/>
      <c r="AF95">
        <v>1</v>
      </c>
      <c r="AG95" s="1">
        <f t="shared" si="49"/>
        <v>270.63531293188549</v>
      </c>
      <c r="AH95">
        <v>4</v>
      </c>
      <c r="AI95">
        <f t="shared" si="59"/>
        <v>35.279999999999994</v>
      </c>
      <c r="AJ95">
        <f t="shared" si="60"/>
        <v>3.5279999999999996</v>
      </c>
      <c r="AK95">
        <f t="shared" si="61"/>
        <v>932.40000000000009</v>
      </c>
      <c r="AL95">
        <f t="shared" si="62"/>
        <v>93.240000000000009</v>
      </c>
      <c r="AM95">
        <f t="shared" si="55"/>
        <v>33</v>
      </c>
      <c r="AN95">
        <f t="shared" si="56"/>
        <v>3.3000000000000003</v>
      </c>
      <c r="AO95">
        <f t="shared" si="50"/>
        <v>1.4</v>
      </c>
      <c r="AP95">
        <f t="shared" si="51"/>
        <v>1.7</v>
      </c>
      <c r="AQ95">
        <f t="shared" si="52"/>
        <v>2.5</v>
      </c>
      <c r="AR95">
        <v>302</v>
      </c>
      <c r="AS95" s="1" t="str">
        <f t="shared" si="38"/>
        <v>2</v>
      </c>
      <c r="AT95">
        <v>4</v>
      </c>
      <c r="BP95" t="s">
        <v>983</v>
      </c>
      <c r="BQ95" t="str">
        <f t="shared" si="53"/>
        <v>2</v>
      </c>
      <c r="BT95">
        <v>34</v>
      </c>
      <c r="BU95" t="str">
        <f t="shared" si="45"/>
        <v>441034,442034</v>
      </c>
      <c r="BV95">
        <f t="shared" si="67"/>
        <v>441034</v>
      </c>
      <c r="BW95">
        <f t="shared" si="46"/>
        <v>442034</v>
      </c>
      <c r="CF95" t="str">
        <f t="shared" si="57"/>
        <v>DATA_Class_Base43</v>
      </c>
      <c r="CG95" s="35" t="s">
        <v>1011</v>
      </c>
    </row>
    <row r="96" spans="1:85">
      <c r="A96">
        <f t="shared" si="58"/>
        <v>4045400</v>
      </c>
      <c r="B96" s="34" t="s">
        <v>1014</v>
      </c>
      <c r="C96">
        <v>4</v>
      </c>
      <c r="D96">
        <v>4</v>
      </c>
      <c r="E96">
        <v>5</v>
      </c>
      <c r="F96" t="s">
        <v>1109</v>
      </c>
      <c r="G96" t="str">
        <f t="shared" si="39"/>
        <v>法师0_44_5</v>
      </c>
      <c r="H96">
        <v>0</v>
      </c>
      <c r="I96" s="2" t="s">
        <v>364</v>
      </c>
      <c r="J96" s="2">
        <f t="shared" si="54"/>
        <v>5</v>
      </c>
      <c r="K96" s="2">
        <f t="shared" si="48"/>
        <v>1.02</v>
      </c>
      <c r="L96" s="2">
        <f t="shared" si="47"/>
        <v>1.02</v>
      </c>
      <c r="M96" s="2">
        <v>10</v>
      </c>
      <c r="N96" s="2">
        <f t="shared" si="44"/>
        <v>43.11999999999999</v>
      </c>
      <c r="O96" s="2">
        <f t="shared" si="44"/>
        <v>4.3119999999999994</v>
      </c>
      <c r="P96" s="2">
        <f t="shared" si="44"/>
        <v>764.4</v>
      </c>
      <c r="Q96" s="2">
        <f t="shared" si="44"/>
        <v>76.44</v>
      </c>
      <c r="R96" s="2">
        <f t="shared" si="44"/>
        <v>27</v>
      </c>
      <c r="S96" s="2">
        <f t="shared" si="44"/>
        <v>2.7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>
        <v>40454001</v>
      </c>
      <c r="Z96" s="14" t="s">
        <v>1110</v>
      </c>
      <c r="AA96" s="14" t="s">
        <v>889</v>
      </c>
      <c r="AB96">
        <v>4055400</v>
      </c>
      <c r="AC96" s="2">
        <v>19</v>
      </c>
      <c r="AD96" s="2"/>
      <c r="AE96" s="2"/>
      <c r="AF96">
        <v>1</v>
      </c>
      <c r="AG96" s="1">
        <f t="shared" si="49"/>
        <v>270.81703261372547</v>
      </c>
      <c r="AH96">
        <v>4</v>
      </c>
      <c r="AI96">
        <f t="shared" si="59"/>
        <v>43.11999999999999</v>
      </c>
      <c r="AJ96">
        <f t="shared" si="60"/>
        <v>4.3119999999999994</v>
      </c>
      <c r="AK96">
        <f t="shared" si="61"/>
        <v>764.4</v>
      </c>
      <c r="AL96">
        <f t="shared" si="62"/>
        <v>76.44</v>
      </c>
      <c r="AM96">
        <f t="shared" si="55"/>
        <v>27</v>
      </c>
      <c r="AN96">
        <f t="shared" si="56"/>
        <v>2.7</v>
      </c>
      <c r="AO96">
        <f t="shared" si="50"/>
        <v>1.4</v>
      </c>
      <c r="AP96">
        <f t="shared" si="51"/>
        <v>1.4</v>
      </c>
      <c r="AQ96">
        <f t="shared" si="52"/>
        <v>5</v>
      </c>
      <c r="AR96">
        <v>400</v>
      </c>
      <c r="AS96" s="1" t="str">
        <f t="shared" si="38"/>
        <v>0</v>
      </c>
      <c r="AT96">
        <v>4</v>
      </c>
      <c r="AY96" t="s">
        <v>1111</v>
      </c>
      <c r="AZ96" t="s">
        <v>1112</v>
      </c>
      <c r="BA96" t="s">
        <v>1113</v>
      </c>
      <c r="BB96" t="s">
        <v>53</v>
      </c>
      <c r="BC96" t="s">
        <v>1114</v>
      </c>
      <c r="BE96" t="s">
        <v>1115</v>
      </c>
      <c r="BF96" t="s">
        <v>1116</v>
      </c>
      <c r="BH96" s="24" t="s">
        <v>1117</v>
      </c>
      <c r="BP96" t="s">
        <v>986</v>
      </c>
      <c r="BQ96" t="str">
        <f t="shared" si="53"/>
        <v>0</v>
      </c>
      <c r="BT96">
        <v>35</v>
      </c>
      <c r="BU96" t="str">
        <f t="shared" si="45"/>
        <v>441035,442035</v>
      </c>
      <c r="BV96">
        <f t="shared" si="67"/>
        <v>441035</v>
      </c>
      <c r="BW96">
        <f t="shared" si="46"/>
        <v>442035</v>
      </c>
      <c r="CF96" t="str">
        <f t="shared" si="57"/>
        <v>DATA_Class_Base44</v>
      </c>
      <c r="CG96" s="34" t="s">
        <v>371</v>
      </c>
    </row>
    <row r="97" spans="1:85">
      <c r="A97">
        <f t="shared" si="58"/>
        <v>4045500</v>
      </c>
      <c r="B97" s="35" t="s">
        <v>394</v>
      </c>
      <c r="C97">
        <v>4</v>
      </c>
      <c r="D97">
        <v>5</v>
      </c>
      <c r="E97">
        <v>5</v>
      </c>
      <c r="F97" t="s">
        <v>1118</v>
      </c>
      <c r="G97" t="str">
        <f t="shared" si="39"/>
        <v>游侠0_44_5</v>
      </c>
      <c r="H97" s="2">
        <v>0</v>
      </c>
      <c r="I97" s="2" t="s">
        <v>303</v>
      </c>
      <c r="J97" s="2">
        <f t="shared" si="54"/>
        <v>5</v>
      </c>
      <c r="K97" s="2">
        <f t="shared" si="48"/>
        <v>1.1000000000000001</v>
      </c>
      <c r="L97" s="2">
        <f t="shared" si="47"/>
        <v>1.1000000000000001</v>
      </c>
      <c r="M97" s="2">
        <v>10</v>
      </c>
      <c r="N97" s="2">
        <f t="shared" si="44"/>
        <v>50.4</v>
      </c>
      <c r="O97" s="2">
        <f t="shared" si="44"/>
        <v>5.04</v>
      </c>
      <c r="P97" s="2">
        <f t="shared" si="44"/>
        <v>697.19999999999993</v>
      </c>
      <c r="Q97" s="2">
        <f t="shared" si="44"/>
        <v>69.72</v>
      </c>
      <c r="R97" s="2">
        <f t="shared" si="44"/>
        <v>24</v>
      </c>
      <c r="S97" s="2">
        <f t="shared" si="44"/>
        <v>2.4000000000000004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>
        <v>40455001</v>
      </c>
      <c r="Z97" s="14" t="s">
        <v>1119</v>
      </c>
      <c r="AA97" s="14" t="s">
        <v>889</v>
      </c>
      <c r="AB97">
        <v>4055500</v>
      </c>
      <c r="AC97" s="2">
        <v>19</v>
      </c>
      <c r="AD97" s="2"/>
      <c r="AE97" s="2"/>
      <c r="AF97">
        <v>1</v>
      </c>
      <c r="AG97" s="1">
        <f t="shared" si="49"/>
        <v>269.28550973138164</v>
      </c>
      <c r="AH97">
        <v>4</v>
      </c>
      <c r="AI97">
        <f t="shared" si="59"/>
        <v>50.4</v>
      </c>
      <c r="AJ97">
        <f t="shared" si="60"/>
        <v>5.04</v>
      </c>
      <c r="AK97">
        <f t="shared" si="61"/>
        <v>697.19999999999993</v>
      </c>
      <c r="AL97">
        <f t="shared" si="62"/>
        <v>69.72</v>
      </c>
      <c r="AM97">
        <f t="shared" si="55"/>
        <v>24</v>
      </c>
      <c r="AN97">
        <f t="shared" si="56"/>
        <v>2.4000000000000004</v>
      </c>
      <c r="AO97">
        <f t="shared" si="50"/>
        <v>1.5</v>
      </c>
      <c r="AP97">
        <f t="shared" si="51"/>
        <v>1.5</v>
      </c>
      <c r="AQ97">
        <f t="shared" si="52"/>
        <v>5</v>
      </c>
      <c r="AR97">
        <v>500</v>
      </c>
      <c r="AS97" s="1" t="str">
        <f t="shared" si="38"/>
        <v>0</v>
      </c>
      <c r="AT97">
        <v>4</v>
      </c>
      <c r="AW97">
        <v>600</v>
      </c>
      <c r="AX97" s="2" t="s">
        <v>198</v>
      </c>
      <c r="AY97">
        <v>1</v>
      </c>
      <c r="AZ97">
        <f t="shared" ref="AZ97" si="68">ROUND(1/AY97,2)</f>
        <v>1</v>
      </c>
      <c r="BA97">
        <v>1</v>
      </c>
      <c r="BB97" s="2">
        <v>1.3</v>
      </c>
      <c r="BC97">
        <v>1.6</v>
      </c>
      <c r="BD97" t="s">
        <v>1120</v>
      </c>
      <c r="BE97">
        <f>(26-(1.5-1.3)*26)*4</f>
        <v>83.2</v>
      </c>
      <c r="BF97">
        <f>26*4-(2-1.6)*26</f>
        <v>93.6</v>
      </c>
      <c r="BG97">
        <f>BE97+BF97</f>
        <v>176.8</v>
      </c>
      <c r="BH97" s="24">
        <f>BG97/BG98</f>
        <v>26</v>
      </c>
      <c r="BK97" s="29">
        <v>1</v>
      </c>
      <c r="BL97" s="29">
        <v>4</v>
      </c>
      <c r="BP97" t="s">
        <v>956</v>
      </c>
      <c r="BQ97" t="str">
        <f t="shared" si="53"/>
        <v>0</v>
      </c>
      <c r="BT97">
        <v>36</v>
      </c>
      <c r="BU97" t="str">
        <f t="shared" si="45"/>
        <v>441036,442036</v>
      </c>
      <c r="BV97">
        <f t="shared" si="67"/>
        <v>441036</v>
      </c>
      <c r="BW97">
        <f t="shared" si="46"/>
        <v>442036</v>
      </c>
      <c r="CF97" t="str">
        <f t="shared" si="57"/>
        <v>DATA_Class_Base34</v>
      </c>
      <c r="CG97" s="35" t="s">
        <v>331</v>
      </c>
    </row>
    <row r="98" spans="1:85">
      <c r="A98">
        <f t="shared" si="58"/>
        <v>4045602</v>
      </c>
      <c r="B98" s="35" t="s">
        <v>414</v>
      </c>
      <c r="C98">
        <v>4</v>
      </c>
      <c r="D98">
        <v>6</v>
      </c>
      <c r="E98">
        <v>5</v>
      </c>
      <c r="F98" t="s">
        <v>1121</v>
      </c>
      <c r="G98" t="str">
        <f t="shared" si="39"/>
        <v>牧师2_44_5</v>
      </c>
      <c r="H98" t="s">
        <v>345</v>
      </c>
      <c r="I98" s="2" t="s">
        <v>346</v>
      </c>
      <c r="J98" s="2">
        <f t="shared" si="54"/>
        <v>6</v>
      </c>
      <c r="K98" s="2">
        <f t="shared" si="48"/>
        <v>1.32</v>
      </c>
      <c r="L98" s="2">
        <f t="shared" si="47"/>
        <v>1.47</v>
      </c>
      <c r="M98" s="2">
        <v>10</v>
      </c>
      <c r="N98" s="2">
        <f t="shared" si="44"/>
        <v>50.4</v>
      </c>
      <c r="O98" s="2">
        <f t="shared" si="44"/>
        <v>5.04</v>
      </c>
      <c r="P98" s="2">
        <f t="shared" si="44"/>
        <v>840</v>
      </c>
      <c r="Q98" s="2">
        <f t="shared" si="44"/>
        <v>84</v>
      </c>
      <c r="R98" s="2">
        <f t="shared" si="44"/>
        <v>30</v>
      </c>
      <c r="S98" s="2">
        <f t="shared" si="44"/>
        <v>3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>
        <v>40456021</v>
      </c>
      <c r="Z98" s="14" t="s">
        <v>1122</v>
      </c>
      <c r="AA98" s="14" t="s">
        <v>889</v>
      </c>
      <c r="AB98">
        <v>4055602</v>
      </c>
      <c r="AC98" s="2">
        <v>19</v>
      </c>
      <c r="AD98" s="2"/>
      <c r="AE98" s="2"/>
      <c r="AF98">
        <v>1</v>
      </c>
      <c r="AG98" s="1">
        <f t="shared" si="49"/>
        <v>270.72623313871554</v>
      </c>
      <c r="AH98">
        <v>4</v>
      </c>
      <c r="AI98">
        <f t="shared" si="59"/>
        <v>50.4</v>
      </c>
      <c r="AJ98">
        <f t="shared" si="60"/>
        <v>5.04</v>
      </c>
      <c r="AK98">
        <f t="shared" si="61"/>
        <v>840</v>
      </c>
      <c r="AL98">
        <f t="shared" si="62"/>
        <v>84</v>
      </c>
      <c r="AM98">
        <f t="shared" si="55"/>
        <v>30</v>
      </c>
      <c r="AN98">
        <f t="shared" si="56"/>
        <v>3</v>
      </c>
      <c r="AO98">
        <f t="shared" si="50"/>
        <v>1.8</v>
      </c>
      <c r="AP98">
        <f t="shared" si="51"/>
        <v>2</v>
      </c>
      <c r="AQ98">
        <f t="shared" si="52"/>
        <v>6</v>
      </c>
      <c r="AR98">
        <v>602</v>
      </c>
      <c r="AS98" s="1" t="str">
        <f t="shared" si="38"/>
        <v>2</v>
      </c>
      <c r="AT98">
        <v>4</v>
      </c>
      <c r="BD98" t="s">
        <v>53</v>
      </c>
      <c r="BE98">
        <v>1.3</v>
      </c>
      <c r="BF98">
        <v>1.6</v>
      </c>
      <c r="BG98">
        <f>BE98*4+BF98</f>
        <v>6.8000000000000007</v>
      </c>
      <c r="BK98">
        <v>1.5</v>
      </c>
      <c r="BL98">
        <v>6</v>
      </c>
      <c r="BM98">
        <v>5.2</v>
      </c>
      <c r="BP98" t="s">
        <v>978</v>
      </c>
      <c r="BQ98" t="str">
        <f t="shared" si="53"/>
        <v>2</v>
      </c>
      <c r="BT98">
        <v>37</v>
      </c>
      <c r="BU98" t="str">
        <f t="shared" si="45"/>
        <v>441037,442037</v>
      </c>
      <c r="BV98">
        <f t="shared" si="67"/>
        <v>441037</v>
      </c>
      <c r="BW98">
        <f t="shared" si="46"/>
        <v>442037</v>
      </c>
      <c r="CF98" t="str">
        <f t="shared" si="57"/>
        <v>DATA_Class_Base42</v>
      </c>
      <c r="CG98" s="35" t="s">
        <v>1007</v>
      </c>
    </row>
    <row r="99" spans="1:85">
      <c r="A99">
        <f t="shared" si="58"/>
        <v>4045301</v>
      </c>
      <c r="B99" s="35" t="s">
        <v>398</v>
      </c>
      <c r="C99">
        <v>4</v>
      </c>
      <c r="D99">
        <v>3</v>
      </c>
      <c r="E99">
        <v>5</v>
      </c>
      <c r="F99" t="s">
        <v>1123</v>
      </c>
      <c r="G99" t="str">
        <f t="shared" si="39"/>
        <v>刺客1_44_5</v>
      </c>
      <c r="H99" s="2">
        <v>0</v>
      </c>
      <c r="I99" s="2" t="s">
        <v>285</v>
      </c>
      <c r="J99" s="2">
        <f t="shared" si="54"/>
        <v>2.5</v>
      </c>
      <c r="K99" s="2">
        <f t="shared" si="48"/>
        <v>0.88</v>
      </c>
      <c r="L99" s="2">
        <f t="shared" si="47"/>
        <v>1.47</v>
      </c>
      <c r="M99" s="2">
        <v>10</v>
      </c>
      <c r="N99" s="2">
        <f t="shared" si="44"/>
        <v>30.24</v>
      </c>
      <c r="O99" s="2">
        <f t="shared" si="44"/>
        <v>3.024</v>
      </c>
      <c r="P99" s="2">
        <f t="shared" si="44"/>
        <v>932.40000000000009</v>
      </c>
      <c r="Q99" s="2">
        <f t="shared" si="44"/>
        <v>93.240000000000009</v>
      </c>
      <c r="R99" s="2">
        <f t="shared" si="44"/>
        <v>33</v>
      </c>
      <c r="S99" s="2">
        <f t="shared" si="44"/>
        <v>3.3000000000000003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>
        <v>40453011</v>
      </c>
      <c r="Z99" s="14" t="s">
        <v>1124</v>
      </c>
      <c r="AA99" s="14" t="s">
        <v>889</v>
      </c>
      <c r="AB99">
        <v>4055301</v>
      </c>
      <c r="AC99" s="2">
        <v>19</v>
      </c>
      <c r="AD99" s="2"/>
      <c r="AE99" s="2"/>
      <c r="AF99">
        <v>1</v>
      </c>
      <c r="AG99" s="1">
        <f t="shared" si="49"/>
        <v>270.63531293188555</v>
      </c>
      <c r="AH99">
        <v>4</v>
      </c>
      <c r="AI99">
        <f t="shared" si="59"/>
        <v>30.24</v>
      </c>
      <c r="AJ99">
        <f t="shared" si="60"/>
        <v>3.024</v>
      </c>
      <c r="AK99">
        <f t="shared" si="61"/>
        <v>932.40000000000009</v>
      </c>
      <c r="AL99">
        <f t="shared" si="62"/>
        <v>93.240000000000009</v>
      </c>
      <c r="AM99">
        <f t="shared" si="55"/>
        <v>33</v>
      </c>
      <c r="AN99">
        <f t="shared" si="56"/>
        <v>3.3000000000000003</v>
      </c>
      <c r="AO99">
        <f t="shared" si="50"/>
        <v>1.2</v>
      </c>
      <c r="AP99">
        <f t="shared" si="51"/>
        <v>2</v>
      </c>
      <c r="AQ99">
        <f t="shared" si="52"/>
        <v>2.5</v>
      </c>
      <c r="AR99">
        <v>301</v>
      </c>
      <c r="AS99" s="1" t="str">
        <f t="shared" si="38"/>
        <v>1</v>
      </c>
      <c r="AT99">
        <v>4</v>
      </c>
      <c r="BH99" s="24"/>
      <c r="BP99" t="s">
        <v>923</v>
      </c>
      <c r="BQ99" t="str">
        <f t="shared" si="53"/>
        <v>1</v>
      </c>
      <c r="BT99">
        <v>38</v>
      </c>
      <c r="BU99" t="str">
        <f t="shared" si="45"/>
        <v>441038,442038</v>
      </c>
      <c r="BV99">
        <f t="shared" si="67"/>
        <v>441038</v>
      </c>
      <c r="BW99">
        <f t="shared" si="46"/>
        <v>442038</v>
      </c>
      <c r="CF99" t="str">
        <f t="shared" si="57"/>
        <v>DATA_Class_Base36</v>
      </c>
      <c r="CG99" s="35" t="s">
        <v>312</v>
      </c>
    </row>
    <row r="100" spans="1:85">
      <c r="A100">
        <f t="shared" si="58"/>
        <v>4045502</v>
      </c>
      <c r="B100" s="34" t="s">
        <v>412</v>
      </c>
      <c r="C100">
        <v>4</v>
      </c>
      <c r="D100">
        <v>5</v>
      </c>
      <c r="E100">
        <v>5</v>
      </c>
      <c r="F100" t="s">
        <v>1125</v>
      </c>
      <c r="G100" t="str">
        <f t="shared" si="39"/>
        <v>游侠2_44_5</v>
      </c>
      <c r="H100">
        <v>0</v>
      </c>
      <c r="I100" s="2" t="s">
        <v>291</v>
      </c>
      <c r="J100" s="2">
        <f t="shared" si="54"/>
        <v>6</v>
      </c>
      <c r="K100" s="2">
        <f t="shared" si="48"/>
        <v>1.02</v>
      </c>
      <c r="L100" s="2">
        <f t="shared" si="47"/>
        <v>1.47</v>
      </c>
      <c r="M100" s="2">
        <v>10</v>
      </c>
      <c r="N100" s="2">
        <f t="shared" si="44"/>
        <v>47.039999999999992</v>
      </c>
      <c r="O100" s="2">
        <f t="shared" si="44"/>
        <v>4.7039999999999997</v>
      </c>
      <c r="P100" s="2">
        <f t="shared" si="44"/>
        <v>697.19999999999993</v>
      </c>
      <c r="Q100" s="2">
        <f t="shared" si="44"/>
        <v>69.72</v>
      </c>
      <c r="R100" s="2">
        <f t="shared" si="44"/>
        <v>24</v>
      </c>
      <c r="S100" s="2">
        <f t="shared" si="44"/>
        <v>2.4000000000000004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>
        <v>40455021</v>
      </c>
      <c r="Z100" s="14" t="s">
        <v>1126</v>
      </c>
      <c r="AA100" s="14" t="s">
        <v>889</v>
      </c>
      <c r="AB100">
        <v>4055502</v>
      </c>
      <c r="AC100" s="2">
        <v>19</v>
      </c>
      <c r="AD100" s="2"/>
      <c r="AE100" s="2"/>
      <c r="AF100">
        <v>1</v>
      </c>
      <c r="AG100" s="1">
        <f t="shared" si="49"/>
        <v>269.28550973138158</v>
      </c>
      <c r="AH100">
        <v>4</v>
      </c>
      <c r="AI100">
        <f t="shared" si="59"/>
        <v>47.039999999999992</v>
      </c>
      <c r="AJ100">
        <f t="shared" si="60"/>
        <v>4.7039999999999997</v>
      </c>
      <c r="AK100">
        <f t="shared" si="61"/>
        <v>697.19999999999993</v>
      </c>
      <c r="AL100">
        <f t="shared" si="62"/>
        <v>69.72</v>
      </c>
      <c r="AM100">
        <f t="shared" si="55"/>
        <v>24</v>
      </c>
      <c r="AN100">
        <f t="shared" si="56"/>
        <v>2.4000000000000004</v>
      </c>
      <c r="AO100">
        <f t="shared" si="50"/>
        <v>1.4</v>
      </c>
      <c r="AP100">
        <f t="shared" si="51"/>
        <v>2</v>
      </c>
      <c r="AQ100">
        <f t="shared" si="52"/>
        <v>6</v>
      </c>
      <c r="AR100">
        <v>502</v>
      </c>
      <c r="AS100" s="1" t="str">
        <f t="shared" si="38"/>
        <v>2</v>
      </c>
      <c r="AT100">
        <v>4</v>
      </c>
      <c r="AW100">
        <v>601</v>
      </c>
      <c r="AX100" s="2" t="s">
        <v>393</v>
      </c>
      <c r="AY100">
        <v>1</v>
      </c>
      <c r="AZ100">
        <f>ROUND(1/AY100,2)</f>
        <v>1</v>
      </c>
      <c r="BA100">
        <v>1</v>
      </c>
      <c r="BB100" s="2">
        <v>1.5</v>
      </c>
      <c r="BC100">
        <v>2</v>
      </c>
      <c r="BD100" t="s">
        <v>1120</v>
      </c>
      <c r="BE100">
        <f>(1-(1.5-1.5)*1)*4</f>
        <v>4</v>
      </c>
      <c r="BF100">
        <f>1*4-(2-2)*1</f>
        <v>4</v>
      </c>
      <c r="BG100">
        <f>BE100+BF100</f>
        <v>8</v>
      </c>
      <c r="BH100">
        <f>BG100/BG101</f>
        <v>1</v>
      </c>
      <c r="BP100" t="s">
        <v>974</v>
      </c>
      <c r="BQ100" t="str">
        <f t="shared" si="53"/>
        <v>2</v>
      </c>
      <c r="BT100">
        <v>39</v>
      </c>
      <c r="BU100" t="str">
        <f t="shared" si="45"/>
        <v>441039,442039</v>
      </c>
      <c r="BV100">
        <f t="shared" si="67"/>
        <v>441039</v>
      </c>
      <c r="BW100">
        <f t="shared" si="46"/>
        <v>442039</v>
      </c>
      <c r="CF100" t="str">
        <f t="shared" si="57"/>
        <v>DATA_Class_Base41</v>
      </c>
      <c r="CG100" s="34" t="s">
        <v>1004</v>
      </c>
    </row>
    <row r="101" spans="1:85">
      <c r="A101">
        <f t="shared" si="58"/>
        <v>4045201</v>
      </c>
      <c r="B101" s="34" t="s">
        <v>383</v>
      </c>
      <c r="C101">
        <v>4</v>
      </c>
      <c r="D101">
        <v>2</v>
      </c>
      <c r="E101">
        <v>5</v>
      </c>
      <c r="F101" t="s">
        <v>1127</v>
      </c>
      <c r="G101" t="str">
        <f t="shared" si="39"/>
        <v>战士1_44_5</v>
      </c>
      <c r="H101" s="2">
        <v>0</v>
      </c>
      <c r="I101" s="2" t="s">
        <v>298</v>
      </c>
      <c r="J101" s="2">
        <f t="shared" si="54"/>
        <v>2.5</v>
      </c>
      <c r="K101" s="2">
        <f t="shared" si="48"/>
        <v>1.32</v>
      </c>
      <c r="L101" s="2">
        <f t="shared" si="47"/>
        <v>1.32</v>
      </c>
      <c r="M101" s="2">
        <v>10</v>
      </c>
      <c r="N101" s="2">
        <f t="shared" si="44"/>
        <v>40.32</v>
      </c>
      <c r="O101" s="2">
        <f t="shared" si="44"/>
        <v>4.032</v>
      </c>
      <c r="P101" s="2">
        <f t="shared" si="44"/>
        <v>1050</v>
      </c>
      <c r="Q101" s="2">
        <f t="shared" si="44"/>
        <v>105</v>
      </c>
      <c r="R101" s="2">
        <f t="shared" si="44"/>
        <v>36</v>
      </c>
      <c r="S101" s="2">
        <f t="shared" si="44"/>
        <v>3.6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>
        <v>40452011</v>
      </c>
      <c r="Z101" s="14" t="s">
        <v>1128</v>
      </c>
      <c r="AA101" s="14" t="s">
        <v>889</v>
      </c>
      <c r="AB101">
        <v>4055201</v>
      </c>
      <c r="AC101" s="2">
        <v>19</v>
      </c>
      <c r="AD101" s="2"/>
      <c r="AE101" s="2"/>
      <c r="AF101">
        <v>1</v>
      </c>
      <c r="AG101" s="1">
        <f t="shared" si="49"/>
        <v>271.08644464156123</v>
      </c>
      <c r="AH101">
        <v>4</v>
      </c>
      <c r="AI101">
        <f t="shared" si="59"/>
        <v>40.32</v>
      </c>
      <c r="AJ101">
        <f t="shared" si="60"/>
        <v>4.032</v>
      </c>
      <c r="AK101">
        <f t="shared" si="61"/>
        <v>1050</v>
      </c>
      <c r="AL101">
        <f t="shared" si="62"/>
        <v>105</v>
      </c>
      <c r="AM101">
        <f t="shared" si="55"/>
        <v>36</v>
      </c>
      <c r="AN101">
        <f t="shared" si="56"/>
        <v>3.6</v>
      </c>
      <c r="AO101">
        <f t="shared" si="50"/>
        <v>1.8</v>
      </c>
      <c r="AP101">
        <f t="shared" si="51"/>
        <v>1.8</v>
      </c>
      <c r="AQ101">
        <f t="shared" si="52"/>
        <v>2.5</v>
      </c>
      <c r="AR101">
        <v>201</v>
      </c>
      <c r="AS101" s="1" t="str">
        <f t="shared" ref="AS101:AS164" si="69">RIGHT(AR101,1)</f>
        <v>1</v>
      </c>
      <c r="AT101">
        <v>4</v>
      </c>
      <c r="BD101" t="s">
        <v>53</v>
      </c>
      <c r="BE101">
        <v>1.5</v>
      </c>
      <c r="BF101">
        <v>2</v>
      </c>
      <c r="BG101">
        <f t="shared" ref="BG101" si="70">BE101*4+BF101</f>
        <v>8</v>
      </c>
      <c r="BP101" t="s">
        <v>913</v>
      </c>
      <c r="BQ101" t="str">
        <f t="shared" si="53"/>
        <v>1</v>
      </c>
      <c r="BT101">
        <v>40</v>
      </c>
      <c r="BU101" t="str">
        <f t="shared" si="45"/>
        <v>441040,442040</v>
      </c>
      <c r="BV101">
        <f t="shared" si="67"/>
        <v>441040</v>
      </c>
      <c r="BW101">
        <f t="shared" si="46"/>
        <v>442040</v>
      </c>
      <c r="CF101" t="str">
        <f t="shared" si="57"/>
        <v>DATA_Class_Base31</v>
      </c>
      <c r="CG101" s="34" t="s">
        <v>300</v>
      </c>
    </row>
    <row r="102" spans="1:85">
      <c r="A102">
        <f t="shared" si="58"/>
        <v>4051201</v>
      </c>
      <c r="B102" s="34" t="s">
        <v>383</v>
      </c>
      <c r="C102">
        <v>5</v>
      </c>
      <c r="D102">
        <v>2</v>
      </c>
      <c r="E102">
        <v>1</v>
      </c>
      <c r="F102" t="s">
        <v>1129</v>
      </c>
      <c r="G102" t="str">
        <f t="shared" ref="G102:G165" si="71">F102</f>
        <v>战士1_45_1</v>
      </c>
      <c r="H102" s="2">
        <v>0</v>
      </c>
      <c r="I102" s="2" t="s">
        <v>298</v>
      </c>
      <c r="J102" s="2">
        <f t="shared" si="54"/>
        <v>2.5</v>
      </c>
      <c r="K102" s="2">
        <f t="shared" si="48"/>
        <v>1.32</v>
      </c>
      <c r="L102" s="2">
        <f t="shared" si="47"/>
        <v>1.32</v>
      </c>
      <c r="M102" s="2">
        <v>10</v>
      </c>
      <c r="N102" s="2">
        <f t="shared" si="44"/>
        <v>46.080000000000005</v>
      </c>
      <c r="O102" s="2">
        <f t="shared" si="44"/>
        <v>4.6080000000000005</v>
      </c>
      <c r="P102" s="2">
        <f t="shared" si="44"/>
        <v>1200</v>
      </c>
      <c r="Q102" s="2">
        <f t="shared" ref="Q102:S165" si="72">AL102</f>
        <v>120</v>
      </c>
      <c r="R102" s="2">
        <f t="shared" si="72"/>
        <v>36</v>
      </c>
      <c r="S102" s="2">
        <f t="shared" si="72"/>
        <v>3.6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>
        <v>40412011</v>
      </c>
      <c r="Z102" s="14" t="s">
        <v>1024</v>
      </c>
      <c r="AA102" s="14" t="s">
        <v>1130</v>
      </c>
      <c r="AB102">
        <v>0</v>
      </c>
      <c r="AC102" s="2">
        <v>31</v>
      </c>
      <c r="AD102" s="2"/>
      <c r="AE102" s="2"/>
      <c r="AF102">
        <v>100</v>
      </c>
      <c r="AG102" s="1">
        <f t="shared" si="49"/>
        <v>38148.114682884458</v>
      </c>
      <c r="AH102">
        <v>5</v>
      </c>
      <c r="AI102">
        <f t="shared" si="59"/>
        <v>46.080000000000005</v>
      </c>
      <c r="AJ102">
        <f t="shared" si="60"/>
        <v>4.6080000000000005</v>
      </c>
      <c r="AK102">
        <f t="shared" si="61"/>
        <v>1200</v>
      </c>
      <c r="AL102">
        <f t="shared" si="62"/>
        <v>120</v>
      </c>
      <c r="AM102">
        <f t="shared" si="55"/>
        <v>36</v>
      </c>
      <c r="AN102">
        <f t="shared" si="56"/>
        <v>3.6</v>
      </c>
      <c r="AO102">
        <f t="shared" si="50"/>
        <v>1.8</v>
      </c>
      <c r="AP102">
        <f t="shared" si="51"/>
        <v>1.8</v>
      </c>
      <c r="AQ102">
        <f t="shared" si="52"/>
        <v>2.5</v>
      </c>
      <c r="AR102">
        <v>201</v>
      </c>
      <c r="AS102" s="1" t="str">
        <f t="shared" si="69"/>
        <v>1</v>
      </c>
      <c r="AT102">
        <v>4</v>
      </c>
      <c r="BP102" t="s">
        <v>913</v>
      </c>
      <c r="BQ102" t="str">
        <f t="shared" si="53"/>
        <v>1</v>
      </c>
      <c r="BT102">
        <v>1</v>
      </c>
      <c r="BU102" t="str">
        <f t="shared" si="45"/>
        <v>441001,442001</v>
      </c>
      <c r="BV102">
        <f>$AT102*100000+4*10000+1*1000+$BT102</f>
        <v>441001</v>
      </c>
      <c r="BW102">
        <f>$AT102*100000+4*10000+2*1000+$BT102</f>
        <v>442001</v>
      </c>
      <c r="CF102" t="str">
        <f t="shared" si="57"/>
        <v>DATA_Class_Base31</v>
      </c>
      <c r="CG102" s="34" t="s">
        <v>300</v>
      </c>
    </row>
    <row r="103" spans="1:85">
      <c r="A103">
        <f t="shared" si="58"/>
        <v>4051300</v>
      </c>
      <c r="B103" s="35" t="s">
        <v>387</v>
      </c>
      <c r="C103">
        <v>5</v>
      </c>
      <c r="D103">
        <v>3</v>
      </c>
      <c r="E103">
        <v>1</v>
      </c>
      <c r="F103" t="s">
        <v>1131</v>
      </c>
      <c r="G103" t="str">
        <f t="shared" si="71"/>
        <v>刺客0_45_1</v>
      </c>
      <c r="H103">
        <v>0</v>
      </c>
      <c r="I103" s="2" t="s">
        <v>352</v>
      </c>
      <c r="J103" s="2">
        <f t="shared" si="54"/>
        <v>4</v>
      </c>
      <c r="K103" s="2">
        <f t="shared" si="48"/>
        <v>0.95000000000000007</v>
      </c>
      <c r="L103" s="2">
        <f t="shared" si="47"/>
        <v>1.3900000000000001</v>
      </c>
      <c r="M103" s="2">
        <v>10</v>
      </c>
      <c r="N103" s="2">
        <f t="shared" ref="N103:S166" si="73">AI103</f>
        <v>37.440000000000012</v>
      </c>
      <c r="O103" s="2">
        <f t="shared" si="73"/>
        <v>3.7440000000000015</v>
      </c>
      <c r="P103" s="2">
        <f t="shared" si="73"/>
        <v>1065.6000000000001</v>
      </c>
      <c r="Q103" s="2">
        <f t="shared" si="72"/>
        <v>106.56000000000002</v>
      </c>
      <c r="R103" s="2">
        <f t="shared" si="72"/>
        <v>33</v>
      </c>
      <c r="S103" s="2">
        <f t="shared" si="72"/>
        <v>3.3000000000000003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>
        <v>40413001</v>
      </c>
      <c r="Z103" s="14" t="s">
        <v>1027</v>
      </c>
      <c r="AA103" s="14" t="s">
        <v>1130</v>
      </c>
      <c r="AB103">
        <v>0</v>
      </c>
      <c r="AC103" s="2">
        <v>31</v>
      </c>
      <c r="AD103" s="2"/>
      <c r="AE103" s="2"/>
      <c r="AF103">
        <v>1</v>
      </c>
      <c r="AG103" s="1">
        <f t="shared" si="49"/>
        <v>353.48285770695264</v>
      </c>
      <c r="AH103">
        <v>5</v>
      </c>
      <c r="AI103">
        <f t="shared" si="59"/>
        <v>37.440000000000012</v>
      </c>
      <c r="AJ103">
        <f t="shared" si="60"/>
        <v>3.7440000000000015</v>
      </c>
      <c r="AK103">
        <f t="shared" si="61"/>
        <v>1065.6000000000001</v>
      </c>
      <c r="AL103">
        <f t="shared" si="62"/>
        <v>106.56000000000002</v>
      </c>
      <c r="AM103">
        <f t="shared" si="55"/>
        <v>33</v>
      </c>
      <c r="AN103">
        <f t="shared" si="56"/>
        <v>3.3000000000000003</v>
      </c>
      <c r="AO103">
        <f t="shared" si="50"/>
        <v>1.3</v>
      </c>
      <c r="AP103">
        <f t="shared" si="51"/>
        <v>1.9</v>
      </c>
      <c r="AQ103">
        <f t="shared" si="52"/>
        <v>4</v>
      </c>
      <c r="AR103">
        <v>300</v>
      </c>
      <c r="AS103" s="1" t="str">
        <f t="shared" si="69"/>
        <v>0</v>
      </c>
      <c r="AT103">
        <v>4</v>
      </c>
      <c r="AW103">
        <v>602</v>
      </c>
      <c r="AX103" s="2" t="s">
        <v>203</v>
      </c>
      <c r="AY103">
        <v>1</v>
      </c>
      <c r="AZ103">
        <f>ROUND(1/AY103,2)</f>
        <v>1</v>
      </c>
      <c r="BA103">
        <v>1</v>
      </c>
      <c r="BB103" s="2">
        <v>2</v>
      </c>
      <c r="BC103">
        <v>2</v>
      </c>
      <c r="BD103" t="s">
        <v>1120</v>
      </c>
      <c r="BE103">
        <f>(1-(1.5-2)*1)*4</f>
        <v>6</v>
      </c>
      <c r="BF103">
        <f>1*4-(2-2)*1</f>
        <v>4</v>
      </c>
      <c r="BG103">
        <f>BE103+BF103</f>
        <v>10</v>
      </c>
      <c r="BH103">
        <f>BG103/BG104</f>
        <v>1</v>
      </c>
      <c r="BP103" t="s">
        <v>967</v>
      </c>
      <c r="BQ103" t="str">
        <f t="shared" si="53"/>
        <v>0</v>
      </c>
      <c r="BT103">
        <v>2</v>
      </c>
      <c r="BU103" t="str">
        <f t="shared" si="45"/>
        <v>441002,442002</v>
      </c>
      <c r="BV103">
        <f t="shared" ref="BV103:BV141" si="74">$AT103*100000+4*10000+1*1000+$BT103</f>
        <v>441002</v>
      </c>
      <c r="BW103">
        <f t="shared" ref="BW103:BW141" si="75">$AT103*100000+4*10000+2*1000+$BT103</f>
        <v>442002</v>
      </c>
      <c r="CF103" t="str">
        <f t="shared" si="57"/>
        <v>DATA_Class_Base32</v>
      </c>
      <c r="CG103" s="35" t="s">
        <v>366</v>
      </c>
    </row>
    <row r="104" spans="1:85">
      <c r="A104">
        <f t="shared" si="58"/>
        <v>4051401</v>
      </c>
      <c r="B104" s="34" t="s">
        <v>390</v>
      </c>
      <c r="C104">
        <v>5</v>
      </c>
      <c r="D104">
        <v>4</v>
      </c>
      <c r="E104">
        <v>1</v>
      </c>
      <c r="F104" t="s">
        <v>1132</v>
      </c>
      <c r="G104" t="str">
        <f t="shared" si="71"/>
        <v>法师1_45_1</v>
      </c>
      <c r="H104">
        <v>0</v>
      </c>
      <c r="I104" s="2" t="s">
        <v>161</v>
      </c>
      <c r="J104" s="2">
        <f t="shared" si="54"/>
        <v>6</v>
      </c>
      <c r="K104" s="2">
        <f t="shared" si="48"/>
        <v>1.17</v>
      </c>
      <c r="L104" s="2">
        <f t="shared" si="47"/>
        <v>1.47</v>
      </c>
      <c r="M104" s="2">
        <v>10</v>
      </c>
      <c r="N104" s="2">
        <f t="shared" si="73"/>
        <v>56.320000000000022</v>
      </c>
      <c r="O104" s="2">
        <f t="shared" si="73"/>
        <v>5.6320000000000023</v>
      </c>
      <c r="P104" s="2">
        <f t="shared" si="73"/>
        <v>873.6</v>
      </c>
      <c r="Q104" s="2">
        <f t="shared" si="72"/>
        <v>87.360000000000014</v>
      </c>
      <c r="R104" s="2">
        <f t="shared" si="72"/>
        <v>27</v>
      </c>
      <c r="S104" s="2">
        <f t="shared" si="72"/>
        <v>2.7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>
        <v>40414011</v>
      </c>
      <c r="Z104" s="14" t="s">
        <v>1030</v>
      </c>
      <c r="AA104" s="14" t="s">
        <v>1130</v>
      </c>
      <c r="AB104">
        <v>0</v>
      </c>
      <c r="AC104" s="2">
        <v>31</v>
      </c>
      <c r="AD104" s="2"/>
      <c r="AE104" s="2"/>
      <c r="AF104">
        <v>1</v>
      </c>
      <c r="AG104" s="1">
        <f t="shared" si="49"/>
        <v>353.72020586282531</v>
      </c>
      <c r="AH104">
        <v>5</v>
      </c>
      <c r="AI104">
        <f t="shared" si="59"/>
        <v>56.320000000000022</v>
      </c>
      <c r="AJ104">
        <f t="shared" si="60"/>
        <v>5.6320000000000023</v>
      </c>
      <c r="AK104">
        <f t="shared" si="61"/>
        <v>873.6</v>
      </c>
      <c r="AL104">
        <f t="shared" si="62"/>
        <v>87.360000000000014</v>
      </c>
      <c r="AM104">
        <f t="shared" si="55"/>
        <v>27</v>
      </c>
      <c r="AN104">
        <f t="shared" si="56"/>
        <v>2.7</v>
      </c>
      <c r="AO104">
        <f t="shared" si="50"/>
        <v>1.6</v>
      </c>
      <c r="AP104">
        <f t="shared" si="51"/>
        <v>2</v>
      </c>
      <c r="AQ104">
        <f t="shared" si="52"/>
        <v>6</v>
      </c>
      <c r="AR104">
        <v>401</v>
      </c>
      <c r="AS104" s="1" t="str">
        <f t="shared" si="69"/>
        <v>1</v>
      </c>
      <c r="AT104">
        <v>4</v>
      </c>
      <c r="BD104" t="s">
        <v>53</v>
      </c>
      <c r="BE104">
        <v>2</v>
      </c>
      <c r="BF104">
        <v>2</v>
      </c>
      <c r="BG104">
        <f t="shared" ref="BG104" si="76">BE104*4+BF104</f>
        <v>10</v>
      </c>
      <c r="BP104" t="s">
        <v>953</v>
      </c>
      <c r="BQ104" t="str">
        <f t="shared" si="53"/>
        <v>1</v>
      </c>
      <c r="BT104">
        <v>3</v>
      </c>
      <c r="BU104" t="str">
        <f t="shared" si="45"/>
        <v>441003,442003</v>
      </c>
      <c r="BV104">
        <f t="shared" si="74"/>
        <v>441003</v>
      </c>
      <c r="BW104">
        <f t="shared" si="75"/>
        <v>442003</v>
      </c>
      <c r="CF104" t="str">
        <f t="shared" si="57"/>
        <v>DATA_Class_Base33</v>
      </c>
      <c r="CG104" s="34" t="s">
        <v>318</v>
      </c>
    </row>
    <row r="105" spans="1:85">
      <c r="A105">
        <f t="shared" si="58"/>
        <v>4051500</v>
      </c>
      <c r="B105" s="35" t="s">
        <v>394</v>
      </c>
      <c r="C105">
        <v>5</v>
      </c>
      <c r="D105">
        <v>5</v>
      </c>
      <c r="E105">
        <v>1</v>
      </c>
      <c r="F105" t="s">
        <v>1133</v>
      </c>
      <c r="G105" t="str">
        <f t="shared" si="71"/>
        <v>游侠0_45_1</v>
      </c>
      <c r="H105" s="2">
        <v>0</v>
      </c>
      <c r="I105" s="2" t="s">
        <v>303</v>
      </c>
      <c r="J105" s="2">
        <f t="shared" si="54"/>
        <v>5</v>
      </c>
      <c r="K105" s="2">
        <f t="shared" si="48"/>
        <v>1.1000000000000001</v>
      </c>
      <c r="L105" s="2">
        <f t="shared" si="47"/>
        <v>1.1000000000000001</v>
      </c>
      <c r="M105" s="2">
        <v>10</v>
      </c>
      <c r="N105" s="2">
        <f t="shared" si="73"/>
        <v>57.6</v>
      </c>
      <c r="O105" s="2">
        <f t="shared" si="73"/>
        <v>5.7600000000000007</v>
      </c>
      <c r="P105" s="2">
        <f t="shared" si="73"/>
        <v>796.80000000000007</v>
      </c>
      <c r="Q105" s="2">
        <f t="shared" si="72"/>
        <v>79.680000000000007</v>
      </c>
      <c r="R105" s="2">
        <f t="shared" si="72"/>
        <v>24</v>
      </c>
      <c r="S105" s="2">
        <f t="shared" si="72"/>
        <v>2.4000000000000004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>
        <v>40415001</v>
      </c>
      <c r="Z105" s="14" t="s">
        <v>1033</v>
      </c>
      <c r="AA105" s="14" t="s">
        <v>1130</v>
      </c>
      <c r="AB105">
        <v>0</v>
      </c>
      <c r="AC105" s="2">
        <v>31</v>
      </c>
      <c r="AD105" s="2"/>
      <c r="AE105" s="2"/>
      <c r="AF105">
        <v>1</v>
      </c>
      <c r="AG105" s="1">
        <f t="shared" si="49"/>
        <v>351.71984944507</v>
      </c>
      <c r="AH105">
        <v>5</v>
      </c>
      <c r="AI105">
        <f t="shared" si="59"/>
        <v>57.6</v>
      </c>
      <c r="AJ105">
        <f t="shared" si="60"/>
        <v>5.7600000000000007</v>
      </c>
      <c r="AK105">
        <f t="shared" si="61"/>
        <v>796.80000000000007</v>
      </c>
      <c r="AL105">
        <f t="shared" si="62"/>
        <v>79.680000000000007</v>
      </c>
      <c r="AM105">
        <f t="shared" si="55"/>
        <v>24</v>
      </c>
      <c r="AN105">
        <f t="shared" si="56"/>
        <v>2.4000000000000004</v>
      </c>
      <c r="AO105">
        <f t="shared" si="50"/>
        <v>1.5</v>
      </c>
      <c r="AP105">
        <f t="shared" si="51"/>
        <v>1.5</v>
      </c>
      <c r="AQ105">
        <f t="shared" si="52"/>
        <v>5</v>
      </c>
      <c r="AR105">
        <v>500</v>
      </c>
      <c r="AS105" s="1" t="str">
        <f t="shared" si="69"/>
        <v>0</v>
      </c>
      <c r="AT105">
        <v>4</v>
      </c>
      <c r="BP105" t="s">
        <v>956</v>
      </c>
      <c r="BQ105" t="str">
        <f t="shared" si="53"/>
        <v>0</v>
      </c>
      <c r="BT105">
        <v>4</v>
      </c>
      <c r="BU105" t="str">
        <f t="shared" si="45"/>
        <v>441004,442004</v>
      </c>
      <c r="BV105">
        <f t="shared" si="74"/>
        <v>441004</v>
      </c>
      <c r="BW105">
        <f t="shared" si="75"/>
        <v>442004</v>
      </c>
      <c r="CF105" t="str">
        <f t="shared" si="57"/>
        <v>DATA_Class_Base34</v>
      </c>
      <c r="CG105" s="35" t="s">
        <v>331</v>
      </c>
    </row>
    <row r="106" spans="1:85">
      <c r="A106">
        <f t="shared" si="58"/>
        <v>4051601</v>
      </c>
      <c r="B106" s="35" t="s">
        <v>396</v>
      </c>
      <c r="C106">
        <v>5</v>
      </c>
      <c r="D106">
        <v>6</v>
      </c>
      <c r="E106">
        <v>1</v>
      </c>
      <c r="F106" t="s">
        <v>1134</v>
      </c>
      <c r="G106" t="str">
        <f t="shared" si="71"/>
        <v>牧师1_45_1</v>
      </c>
      <c r="H106" s="2">
        <v>0</v>
      </c>
      <c r="I106" s="2" t="s">
        <v>309</v>
      </c>
      <c r="J106" s="2">
        <f t="shared" si="54"/>
        <v>5</v>
      </c>
      <c r="K106" s="2">
        <f t="shared" si="48"/>
        <v>1.1000000000000001</v>
      </c>
      <c r="L106" s="2">
        <f t="shared" si="47"/>
        <v>1.47</v>
      </c>
      <c r="M106" s="2">
        <v>10</v>
      </c>
      <c r="N106" s="2">
        <f t="shared" si="73"/>
        <v>48</v>
      </c>
      <c r="O106" s="2">
        <f t="shared" si="73"/>
        <v>4.8000000000000007</v>
      </c>
      <c r="P106" s="2">
        <f t="shared" si="73"/>
        <v>960</v>
      </c>
      <c r="Q106" s="2">
        <f t="shared" si="72"/>
        <v>96</v>
      </c>
      <c r="R106" s="2">
        <f t="shared" si="72"/>
        <v>30</v>
      </c>
      <c r="S106" s="2">
        <f t="shared" si="72"/>
        <v>3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>
        <v>40416011</v>
      </c>
      <c r="Z106" s="14" t="s">
        <v>1036</v>
      </c>
      <c r="AA106" s="14" t="s">
        <v>1130</v>
      </c>
      <c r="AB106">
        <v>0</v>
      </c>
      <c r="AC106" s="2">
        <v>31</v>
      </c>
      <c r="AD106" s="2"/>
      <c r="AE106" s="2"/>
      <c r="AF106">
        <v>1</v>
      </c>
      <c r="AG106" s="1">
        <f t="shared" si="49"/>
        <v>353.60161063015914</v>
      </c>
      <c r="AH106">
        <v>5</v>
      </c>
      <c r="AI106">
        <f t="shared" si="59"/>
        <v>48</v>
      </c>
      <c r="AJ106">
        <f t="shared" si="60"/>
        <v>4.8000000000000007</v>
      </c>
      <c r="AK106">
        <f t="shared" si="61"/>
        <v>960</v>
      </c>
      <c r="AL106">
        <f t="shared" si="62"/>
        <v>96</v>
      </c>
      <c r="AM106">
        <f t="shared" si="55"/>
        <v>30</v>
      </c>
      <c r="AN106">
        <f t="shared" si="56"/>
        <v>3</v>
      </c>
      <c r="AO106">
        <f t="shared" si="50"/>
        <v>1.5</v>
      </c>
      <c r="AP106">
        <f t="shared" si="51"/>
        <v>2</v>
      </c>
      <c r="AQ106">
        <f t="shared" si="52"/>
        <v>5</v>
      </c>
      <c r="AR106">
        <v>601</v>
      </c>
      <c r="AS106" s="1" t="str">
        <f t="shared" si="69"/>
        <v>1</v>
      </c>
      <c r="AT106">
        <v>4</v>
      </c>
      <c r="BP106" t="s">
        <v>960</v>
      </c>
      <c r="BQ106" t="str">
        <f t="shared" si="53"/>
        <v>1</v>
      </c>
      <c r="BT106">
        <v>5</v>
      </c>
      <c r="BU106" t="str">
        <f t="shared" si="45"/>
        <v>441005,442005</v>
      </c>
      <c r="BV106">
        <f t="shared" si="74"/>
        <v>441005</v>
      </c>
      <c r="BW106">
        <f t="shared" si="75"/>
        <v>442005</v>
      </c>
      <c r="CF106" t="str">
        <f t="shared" si="57"/>
        <v>DATA_Class_Base35</v>
      </c>
      <c r="CG106" s="35" t="s">
        <v>342</v>
      </c>
    </row>
    <row r="107" spans="1:85">
      <c r="A107">
        <f t="shared" si="58"/>
        <v>4051301</v>
      </c>
      <c r="B107" s="35" t="s">
        <v>398</v>
      </c>
      <c r="C107">
        <v>5</v>
      </c>
      <c r="D107">
        <v>3</v>
      </c>
      <c r="E107">
        <v>1</v>
      </c>
      <c r="F107" t="s">
        <v>1135</v>
      </c>
      <c r="G107" t="str">
        <f t="shared" si="71"/>
        <v>刺客1_45_1</v>
      </c>
      <c r="H107" s="2">
        <v>0</v>
      </c>
      <c r="I107" s="2" t="s">
        <v>285</v>
      </c>
      <c r="J107" s="2">
        <f t="shared" si="54"/>
        <v>2.5</v>
      </c>
      <c r="K107" s="2">
        <f t="shared" si="48"/>
        <v>0.88</v>
      </c>
      <c r="L107" s="2">
        <f t="shared" si="47"/>
        <v>1.47</v>
      </c>
      <c r="M107" s="2">
        <v>10</v>
      </c>
      <c r="N107" s="2">
        <f t="shared" si="73"/>
        <v>34.56</v>
      </c>
      <c r="O107" s="2">
        <f t="shared" si="73"/>
        <v>3.4560000000000004</v>
      </c>
      <c r="P107" s="2">
        <f t="shared" si="73"/>
        <v>1065.6000000000001</v>
      </c>
      <c r="Q107" s="2">
        <f t="shared" si="72"/>
        <v>106.56000000000002</v>
      </c>
      <c r="R107" s="2">
        <f t="shared" si="72"/>
        <v>33</v>
      </c>
      <c r="S107" s="2">
        <f t="shared" si="72"/>
        <v>3.3000000000000003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>
        <v>40413011</v>
      </c>
      <c r="Z107" s="14" t="s">
        <v>1040</v>
      </c>
      <c r="AA107" s="14" t="s">
        <v>1130</v>
      </c>
      <c r="AB107">
        <v>0</v>
      </c>
      <c r="AC107" s="2">
        <v>31</v>
      </c>
      <c r="AD107" s="2"/>
      <c r="AE107" s="2"/>
      <c r="AF107">
        <v>1</v>
      </c>
      <c r="AG107" s="1">
        <f t="shared" si="49"/>
        <v>353.48285770695259</v>
      </c>
      <c r="AH107">
        <v>5</v>
      </c>
      <c r="AI107">
        <f t="shared" si="59"/>
        <v>34.56</v>
      </c>
      <c r="AJ107">
        <f t="shared" si="60"/>
        <v>3.4560000000000004</v>
      </c>
      <c r="AK107">
        <f t="shared" si="61"/>
        <v>1065.6000000000001</v>
      </c>
      <c r="AL107">
        <f t="shared" si="62"/>
        <v>106.56000000000002</v>
      </c>
      <c r="AM107">
        <f t="shared" si="55"/>
        <v>33</v>
      </c>
      <c r="AN107">
        <f t="shared" si="56"/>
        <v>3.3000000000000003</v>
      </c>
      <c r="AO107">
        <f t="shared" si="50"/>
        <v>1.2</v>
      </c>
      <c r="AP107">
        <f t="shared" si="51"/>
        <v>2</v>
      </c>
      <c r="AQ107">
        <f t="shared" si="52"/>
        <v>2.5</v>
      </c>
      <c r="AR107">
        <v>301</v>
      </c>
      <c r="AS107" s="1" t="str">
        <f t="shared" si="69"/>
        <v>1</v>
      </c>
      <c r="AT107">
        <v>4</v>
      </c>
      <c r="BB107" t="s">
        <v>1136</v>
      </c>
      <c r="BC107" t="s">
        <v>1137</v>
      </c>
      <c r="BD107" t="s">
        <v>1137</v>
      </c>
      <c r="BI107" s="24" t="s">
        <v>77</v>
      </c>
      <c r="BJ107" s="24">
        <v>30</v>
      </c>
      <c r="BP107" t="s">
        <v>923</v>
      </c>
      <c r="BQ107" t="str">
        <f t="shared" si="53"/>
        <v>1</v>
      </c>
      <c r="BT107">
        <v>6</v>
      </c>
      <c r="BU107" t="str">
        <f t="shared" si="45"/>
        <v>441006,442006</v>
      </c>
      <c r="BV107">
        <f t="shared" si="74"/>
        <v>441006</v>
      </c>
      <c r="BW107">
        <f t="shared" si="75"/>
        <v>442006</v>
      </c>
      <c r="CF107" t="str">
        <f t="shared" si="57"/>
        <v>DATA_Class_Base36</v>
      </c>
      <c r="CG107" s="35" t="s">
        <v>312</v>
      </c>
    </row>
    <row r="108" spans="1:85">
      <c r="A108">
        <f t="shared" si="58"/>
        <v>4051501</v>
      </c>
      <c r="B108" s="35" t="s">
        <v>401</v>
      </c>
      <c r="C108">
        <v>5</v>
      </c>
      <c r="D108">
        <v>5</v>
      </c>
      <c r="E108">
        <v>1</v>
      </c>
      <c r="F108" t="s">
        <v>1138</v>
      </c>
      <c r="G108" t="str">
        <f t="shared" si="71"/>
        <v>游侠1_45_1</v>
      </c>
      <c r="H108" s="2">
        <v>0</v>
      </c>
      <c r="I108" s="2" t="s">
        <v>334</v>
      </c>
      <c r="J108" s="2">
        <f t="shared" si="54"/>
        <v>6</v>
      </c>
      <c r="K108" s="2">
        <f t="shared" si="48"/>
        <v>1.17</v>
      </c>
      <c r="L108" s="2">
        <f t="shared" si="47"/>
        <v>1.47</v>
      </c>
      <c r="M108" s="2">
        <v>10</v>
      </c>
      <c r="N108" s="2">
        <f t="shared" si="73"/>
        <v>61.44</v>
      </c>
      <c r="O108" s="2">
        <f t="shared" si="73"/>
        <v>6.1440000000000001</v>
      </c>
      <c r="P108" s="2">
        <f t="shared" si="73"/>
        <v>796.80000000000007</v>
      </c>
      <c r="Q108" s="2">
        <f t="shared" si="72"/>
        <v>79.680000000000007</v>
      </c>
      <c r="R108" s="2">
        <f t="shared" si="72"/>
        <v>24</v>
      </c>
      <c r="S108" s="2">
        <f t="shared" si="72"/>
        <v>2.4000000000000004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>
        <v>40415011</v>
      </c>
      <c r="Z108" s="14" t="s">
        <v>1043</v>
      </c>
      <c r="AA108" s="14" t="s">
        <v>1130</v>
      </c>
      <c r="AB108">
        <v>0</v>
      </c>
      <c r="AC108" s="2">
        <v>31</v>
      </c>
      <c r="AD108" s="2"/>
      <c r="AE108" s="2"/>
      <c r="AF108">
        <v>1</v>
      </c>
      <c r="AG108" s="1">
        <f t="shared" si="49"/>
        <v>351.71984944507</v>
      </c>
      <c r="AH108">
        <v>5</v>
      </c>
      <c r="AI108">
        <f t="shared" si="59"/>
        <v>61.44</v>
      </c>
      <c r="AJ108">
        <f t="shared" si="60"/>
        <v>6.1440000000000001</v>
      </c>
      <c r="AK108">
        <f t="shared" si="61"/>
        <v>796.80000000000007</v>
      </c>
      <c r="AL108">
        <f t="shared" si="62"/>
        <v>79.680000000000007</v>
      </c>
      <c r="AM108">
        <f t="shared" si="55"/>
        <v>24</v>
      </c>
      <c r="AN108">
        <f t="shared" si="56"/>
        <v>2.4000000000000004</v>
      </c>
      <c r="AO108">
        <f t="shared" si="50"/>
        <v>1.6</v>
      </c>
      <c r="AP108">
        <f t="shared" si="51"/>
        <v>2</v>
      </c>
      <c r="AQ108">
        <f t="shared" si="52"/>
        <v>6</v>
      </c>
      <c r="AR108">
        <v>501</v>
      </c>
      <c r="AS108" s="1" t="str">
        <f t="shared" si="69"/>
        <v>1</v>
      </c>
      <c r="AT108">
        <v>4</v>
      </c>
      <c r="BB108" t="s">
        <v>1139</v>
      </c>
      <c r="BC108" t="s">
        <v>1140</v>
      </c>
      <c r="BD108" t="s">
        <v>1141</v>
      </c>
      <c r="BE108" t="s">
        <v>1117</v>
      </c>
      <c r="BF108">
        <v>7.5</v>
      </c>
      <c r="BI108" s="24" t="s">
        <v>1142</v>
      </c>
      <c r="BJ108" s="24">
        <v>1.5</v>
      </c>
      <c r="BP108" t="s">
        <v>945</v>
      </c>
      <c r="BQ108" t="str">
        <f t="shared" si="53"/>
        <v>1</v>
      </c>
      <c r="BT108">
        <v>7</v>
      </c>
      <c r="BU108" t="str">
        <f t="shared" si="45"/>
        <v>441007,442007</v>
      </c>
      <c r="BV108">
        <f t="shared" si="74"/>
        <v>441007</v>
      </c>
      <c r="BW108">
        <f t="shared" si="75"/>
        <v>442007</v>
      </c>
      <c r="CF108" t="str">
        <f t="shared" si="57"/>
        <v>DATA_Class_Base37</v>
      </c>
      <c r="CG108" s="35" t="s">
        <v>994</v>
      </c>
    </row>
    <row r="109" spans="1:85">
      <c r="A109">
        <f t="shared" si="58"/>
        <v>4051202</v>
      </c>
      <c r="B109" s="34" t="s">
        <v>404</v>
      </c>
      <c r="C109">
        <v>5</v>
      </c>
      <c r="D109">
        <v>2</v>
      </c>
      <c r="E109">
        <v>1</v>
      </c>
      <c r="F109" s="2" t="s">
        <v>1143</v>
      </c>
      <c r="G109" t="str">
        <f t="shared" si="71"/>
        <v>战士2_45_1</v>
      </c>
      <c r="H109">
        <v>0</v>
      </c>
      <c r="I109" s="2" t="s">
        <v>280</v>
      </c>
      <c r="J109" s="2">
        <f t="shared" si="54"/>
        <v>2.5</v>
      </c>
      <c r="K109" s="2">
        <f t="shared" si="48"/>
        <v>1.32</v>
      </c>
      <c r="L109" s="2">
        <f t="shared" si="47"/>
        <v>1.47</v>
      </c>
      <c r="M109" s="2">
        <v>10</v>
      </c>
      <c r="N109" s="2">
        <f t="shared" si="73"/>
        <v>46.080000000000005</v>
      </c>
      <c r="O109" s="2">
        <f t="shared" si="73"/>
        <v>4.6080000000000005</v>
      </c>
      <c r="P109" s="2">
        <f t="shared" si="73"/>
        <v>1200</v>
      </c>
      <c r="Q109" s="2">
        <f t="shared" si="72"/>
        <v>120</v>
      </c>
      <c r="R109" s="2">
        <f t="shared" si="72"/>
        <v>36</v>
      </c>
      <c r="S109" s="2">
        <f t="shared" si="72"/>
        <v>3.6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>
        <v>40412021</v>
      </c>
      <c r="Z109" s="14" t="s">
        <v>1046</v>
      </c>
      <c r="AA109" s="14" t="s">
        <v>1130</v>
      </c>
      <c r="AB109">
        <v>0</v>
      </c>
      <c r="AC109" s="2">
        <v>31</v>
      </c>
      <c r="AD109" s="2"/>
      <c r="AE109" s="2"/>
      <c r="AF109">
        <v>1</v>
      </c>
      <c r="AG109" s="1">
        <f t="shared" si="49"/>
        <v>354.07209096040651</v>
      </c>
      <c r="AH109">
        <v>5</v>
      </c>
      <c r="AI109">
        <f t="shared" si="59"/>
        <v>46.080000000000005</v>
      </c>
      <c r="AJ109">
        <f t="shared" si="60"/>
        <v>4.6080000000000005</v>
      </c>
      <c r="AK109">
        <f t="shared" si="61"/>
        <v>1200</v>
      </c>
      <c r="AL109">
        <f t="shared" si="62"/>
        <v>120</v>
      </c>
      <c r="AM109">
        <f t="shared" si="55"/>
        <v>36</v>
      </c>
      <c r="AN109">
        <f t="shared" si="56"/>
        <v>3.6</v>
      </c>
      <c r="AO109">
        <f t="shared" si="50"/>
        <v>1.8</v>
      </c>
      <c r="AP109">
        <f t="shared" si="51"/>
        <v>2</v>
      </c>
      <c r="AQ109">
        <f t="shared" si="52"/>
        <v>2.5</v>
      </c>
      <c r="AR109">
        <v>202</v>
      </c>
      <c r="AS109" s="1" t="str">
        <f t="shared" si="69"/>
        <v>2</v>
      </c>
      <c r="AT109">
        <v>4</v>
      </c>
      <c r="AY109" s="3" t="s">
        <v>1144</v>
      </c>
      <c r="AZ109" s="3" t="s">
        <v>1145</v>
      </c>
      <c r="BB109" s="29">
        <v>4</v>
      </c>
      <c r="BC109" s="29">
        <v>4</v>
      </c>
      <c r="BD109" s="29">
        <v>3.5</v>
      </c>
      <c r="BF109" s="29">
        <v>7.5</v>
      </c>
      <c r="BI109" s="24" t="s">
        <v>1146</v>
      </c>
      <c r="BJ109" s="24">
        <v>2</v>
      </c>
      <c r="BP109" t="s">
        <v>981</v>
      </c>
      <c r="BQ109" t="str">
        <f t="shared" si="53"/>
        <v>2</v>
      </c>
      <c r="BT109">
        <v>8</v>
      </c>
      <c r="BU109" t="str">
        <f t="shared" si="45"/>
        <v>441008,442008</v>
      </c>
      <c r="BV109">
        <f t="shared" si="74"/>
        <v>441008</v>
      </c>
      <c r="BW109">
        <f t="shared" si="75"/>
        <v>442008</v>
      </c>
      <c r="CF109" t="str">
        <f t="shared" si="57"/>
        <v>DATA_Class_Base38</v>
      </c>
      <c r="CG109" s="34" t="s">
        <v>306</v>
      </c>
    </row>
    <row r="110" spans="1:85">
      <c r="A110">
        <f t="shared" si="58"/>
        <v>4052200</v>
      </c>
      <c r="B110" s="34" t="s">
        <v>406</v>
      </c>
      <c r="C110">
        <v>5</v>
      </c>
      <c r="D110">
        <v>2</v>
      </c>
      <c r="E110">
        <v>2</v>
      </c>
      <c r="F110" t="s">
        <v>1147</v>
      </c>
      <c r="G110" t="str">
        <f t="shared" si="71"/>
        <v>战士0_45_2</v>
      </c>
      <c r="H110">
        <v>0</v>
      </c>
      <c r="I110" s="2" t="s">
        <v>314</v>
      </c>
      <c r="J110" s="2">
        <f t="shared" si="54"/>
        <v>2.5</v>
      </c>
      <c r="K110" s="2">
        <f t="shared" si="48"/>
        <v>1.1000000000000001</v>
      </c>
      <c r="L110" s="2">
        <f t="shared" si="47"/>
        <v>0.88</v>
      </c>
      <c r="M110" s="2">
        <v>10</v>
      </c>
      <c r="N110" s="2">
        <f t="shared" si="73"/>
        <v>38.400000000000006</v>
      </c>
      <c r="O110" s="2">
        <f t="shared" si="73"/>
        <v>3.8400000000000007</v>
      </c>
      <c r="P110" s="2">
        <f t="shared" si="73"/>
        <v>1200</v>
      </c>
      <c r="Q110" s="2">
        <f t="shared" si="72"/>
        <v>120</v>
      </c>
      <c r="R110" s="2">
        <f t="shared" si="72"/>
        <v>36</v>
      </c>
      <c r="S110" s="2">
        <f t="shared" si="72"/>
        <v>3.6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>
        <v>40422001</v>
      </c>
      <c r="Z110" s="14" t="s">
        <v>1049</v>
      </c>
      <c r="AA110" s="14" t="s">
        <v>1130</v>
      </c>
      <c r="AB110">
        <v>0</v>
      </c>
      <c r="AC110" s="2">
        <v>31</v>
      </c>
      <c r="AD110" s="2"/>
      <c r="AE110" s="2"/>
      <c r="AF110">
        <v>1</v>
      </c>
      <c r="AG110" s="1">
        <f t="shared" si="49"/>
        <v>354.07209096040651</v>
      </c>
      <c r="AH110">
        <v>5</v>
      </c>
      <c r="AI110">
        <f t="shared" si="59"/>
        <v>38.400000000000006</v>
      </c>
      <c r="AJ110">
        <f t="shared" si="60"/>
        <v>3.8400000000000007</v>
      </c>
      <c r="AK110">
        <f t="shared" si="61"/>
        <v>1200</v>
      </c>
      <c r="AL110">
        <f t="shared" si="62"/>
        <v>120</v>
      </c>
      <c r="AM110">
        <f t="shared" si="55"/>
        <v>36</v>
      </c>
      <c r="AN110">
        <f t="shared" si="56"/>
        <v>3.6</v>
      </c>
      <c r="AO110">
        <f t="shared" si="50"/>
        <v>1.5</v>
      </c>
      <c r="AP110">
        <f t="shared" si="51"/>
        <v>1.2</v>
      </c>
      <c r="AQ110">
        <f t="shared" si="52"/>
        <v>2.5</v>
      </c>
      <c r="AR110">
        <v>200</v>
      </c>
      <c r="AS110" s="1" t="str">
        <f t="shared" si="69"/>
        <v>0</v>
      </c>
      <c r="AT110">
        <v>4</v>
      </c>
      <c r="AW110" s="8" t="s">
        <v>1148</v>
      </c>
      <c r="AX110" s="2">
        <v>376</v>
      </c>
      <c r="AY110">
        <v>10000</v>
      </c>
      <c r="BF110">
        <v>1</v>
      </c>
      <c r="BJ110" t="s">
        <v>1115</v>
      </c>
      <c r="BK110" t="s">
        <v>1116</v>
      </c>
      <c r="BM110" t="s">
        <v>415</v>
      </c>
      <c r="BP110" t="s">
        <v>964</v>
      </c>
      <c r="BQ110" t="str">
        <f t="shared" si="53"/>
        <v>0</v>
      </c>
      <c r="BT110">
        <v>9</v>
      </c>
      <c r="BU110" t="str">
        <f t="shared" si="45"/>
        <v>441009,442009</v>
      </c>
      <c r="BV110">
        <f t="shared" si="74"/>
        <v>441009</v>
      </c>
      <c r="BW110">
        <f t="shared" si="75"/>
        <v>442009</v>
      </c>
      <c r="CF110" t="str">
        <f t="shared" si="57"/>
        <v>DATA_Class_Base39</v>
      </c>
      <c r="CG110" s="34" t="s">
        <v>999</v>
      </c>
    </row>
    <row r="111" spans="1:85">
      <c r="A111">
        <f t="shared" si="58"/>
        <v>4052300</v>
      </c>
      <c r="B111" s="35" t="s">
        <v>387</v>
      </c>
      <c r="C111">
        <v>5</v>
      </c>
      <c r="D111">
        <v>3</v>
      </c>
      <c r="E111">
        <v>2</v>
      </c>
      <c r="F111" t="s">
        <v>1149</v>
      </c>
      <c r="G111" t="str">
        <f t="shared" si="71"/>
        <v>刺客0_45_2</v>
      </c>
      <c r="H111">
        <v>0</v>
      </c>
      <c r="I111" s="2" t="s">
        <v>352</v>
      </c>
      <c r="J111" s="2">
        <f t="shared" si="54"/>
        <v>4</v>
      </c>
      <c r="K111" s="2">
        <f t="shared" si="48"/>
        <v>0.95000000000000007</v>
      </c>
      <c r="L111" s="2">
        <f t="shared" si="47"/>
        <v>1.3900000000000001</v>
      </c>
      <c r="M111" s="2">
        <v>10</v>
      </c>
      <c r="N111" s="2">
        <f t="shared" si="73"/>
        <v>37.440000000000012</v>
      </c>
      <c r="O111" s="2">
        <f t="shared" si="73"/>
        <v>3.7440000000000015</v>
      </c>
      <c r="P111" s="2">
        <f t="shared" si="73"/>
        <v>1065.6000000000001</v>
      </c>
      <c r="Q111" s="2">
        <f t="shared" si="72"/>
        <v>106.56000000000002</v>
      </c>
      <c r="R111" s="2">
        <f t="shared" si="72"/>
        <v>33</v>
      </c>
      <c r="S111" s="2">
        <f t="shared" si="72"/>
        <v>3.3000000000000003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>
        <v>40423001</v>
      </c>
      <c r="Z111" s="14" t="s">
        <v>1052</v>
      </c>
      <c r="AA111" s="14" t="s">
        <v>1130</v>
      </c>
      <c r="AB111">
        <v>0</v>
      </c>
      <c r="AC111" s="2">
        <v>31</v>
      </c>
      <c r="AD111" s="2"/>
      <c r="AE111" s="2"/>
      <c r="AF111">
        <v>1</v>
      </c>
      <c r="AG111" s="1">
        <f t="shared" si="49"/>
        <v>353.48285770695264</v>
      </c>
      <c r="AH111">
        <v>5</v>
      </c>
      <c r="AI111">
        <f t="shared" si="59"/>
        <v>37.440000000000012</v>
      </c>
      <c r="AJ111">
        <f t="shared" si="60"/>
        <v>3.7440000000000015</v>
      </c>
      <c r="AK111">
        <f t="shared" si="61"/>
        <v>1065.6000000000001</v>
      </c>
      <c r="AL111">
        <f t="shared" si="62"/>
        <v>106.56000000000002</v>
      </c>
      <c r="AM111">
        <f t="shared" si="55"/>
        <v>33</v>
      </c>
      <c r="AN111">
        <f t="shared" si="56"/>
        <v>3.3000000000000003</v>
      </c>
      <c r="AO111">
        <f t="shared" si="50"/>
        <v>1.3</v>
      </c>
      <c r="AP111">
        <f t="shared" si="51"/>
        <v>1.9</v>
      </c>
      <c r="AQ111">
        <f t="shared" si="52"/>
        <v>4</v>
      </c>
      <c r="AR111">
        <v>300</v>
      </c>
      <c r="AS111" s="1" t="str">
        <f t="shared" si="69"/>
        <v>0</v>
      </c>
      <c r="AT111">
        <v>4</v>
      </c>
      <c r="AW111" s="3" t="s">
        <v>1150</v>
      </c>
      <c r="AX111" s="2">
        <v>78</v>
      </c>
      <c r="AY111">
        <f>$AY$110*0.24</f>
        <v>2400</v>
      </c>
      <c r="AZ111">
        <f>AY111/AX111</f>
        <v>30.76923076923077</v>
      </c>
      <c r="BB111" t="s">
        <v>1151</v>
      </c>
      <c r="BI111" t="s">
        <v>1152</v>
      </c>
      <c r="BJ111">
        <f>30*4</f>
        <v>120</v>
      </c>
      <c r="BK111">
        <f>BJ107*4</f>
        <v>120</v>
      </c>
      <c r="BL111">
        <f>BJ111+BK111</f>
        <v>240</v>
      </c>
      <c r="BM111">
        <f>BL111/BL112</f>
        <v>30</v>
      </c>
      <c r="BP111" t="s">
        <v>967</v>
      </c>
      <c r="BQ111" t="str">
        <f t="shared" si="53"/>
        <v>0</v>
      </c>
      <c r="BT111">
        <v>10</v>
      </c>
      <c r="BU111" t="str">
        <f t="shared" si="45"/>
        <v>441010,442010</v>
      </c>
      <c r="BV111">
        <f t="shared" si="74"/>
        <v>441010</v>
      </c>
      <c r="BW111">
        <f t="shared" si="75"/>
        <v>442010</v>
      </c>
      <c r="CF111" t="str">
        <f t="shared" si="57"/>
        <v>DATA_Class_Base32</v>
      </c>
      <c r="CG111" s="35" t="s">
        <v>366</v>
      </c>
    </row>
    <row r="112" spans="1:85">
      <c r="A112">
        <f t="shared" si="58"/>
        <v>4052402</v>
      </c>
      <c r="B112" s="34" t="s">
        <v>410</v>
      </c>
      <c r="C112">
        <v>5</v>
      </c>
      <c r="D112">
        <v>4</v>
      </c>
      <c r="E112">
        <v>2</v>
      </c>
      <c r="F112" t="s">
        <v>1153</v>
      </c>
      <c r="G112" t="str">
        <f t="shared" si="71"/>
        <v>法师2_45_2</v>
      </c>
      <c r="H112" s="2">
        <v>0</v>
      </c>
      <c r="I112" s="2" t="s">
        <v>250</v>
      </c>
      <c r="J112" s="2">
        <f t="shared" si="54"/>
        <v>5</v>
      </c>
      <c r="K112" s="2">
        <f t="shared" si="48"/>
        <v>1.1000000000000001</v>
      </c>
      <c r="L112" s="2">
        <f t="shared" si="47"/>
        <v>1.1000000000000001</v>
      </c>
      <c r="M112" s="2">
        <v>10</v>
      </c>
      <c r="N112" s="2">
        <f t="shared" si="73"/>
        <v>52.800000000000004</v>
      </c>
      <c r="O112" s="2">
        <f t="shared" si="73"/>
        <v>5.2800000000000011</v>
      </c>
      <c r="P112" s="2">
        <f t="shared" si="73"/>
        <v>873.6</v>
      </c>
      <c r="Q112" s="2">
        <f t="shared" si="72"/>
        <v>87.360000000000014</v>
      </c>
      <c r="R112" s="2">
        <f t="shared" si="72"/>
        <v>27</v>
      </c>
      <c r="S112" s="2">
        <f t="shared" si="72"/>
        <v>2.7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>
        <v>40424021</v>
      </c>
      <c r="Z112" s="14" t="s">
        <v>1055</v>
      </c>
      <c r="AA112" s="14" t="s">
        <v>1130</v>
      </c>
      <c r="AB112">
        <v>0</v>
      </c>
      <c r="AC112" s="2">
        <v>31</v>
      </c>
      <c r="AD112" s="2"/>
      <c r="AE112" s="2"/>
      <c r="AF112">
        <v>1</v>
      </c>
      <c r="AG112" s="1">
        <f t="shared" si="49"/>
        <v>353.72020586282525</v>
      </c>
      <c r="AH112">
        <v>5</v>
      </c>
      <c r="AI112">
        <f t="shared" si="59"/>
        <v>52.800000000000004</v>
      </c>
      <c r="AJ112">
        <f t="shared" si="60"/>
        <v>5.2800000000000011</v>
      </c>
      <c r="AK112">
        <f t="shared" si="61"/>
        <v>873.6</v>
      </c>
      <c r="AL112">
        <f t="shared" si="62"/>
        <v>87.360000000000014</v>
      </c>
      <c r="AM112">
        <f t="shared" si="55"/>
        <v>27</v>
      </c>
      <c r="AN112">
        <f t="shared" si="56"/>
        <v>2.7</v>
      </c>
      <c r="AO112">
        <f t="shared" si="50"/>
        <v>1.5</v>
      </c>
      <c r="AP112">
        <f t="shared" si="51"/>
        <v>1.5</v>
      </c>
      <c r="AQ112">
        <f t="shared" si="52"/>
        <v>5</v>
      </c>
      <c r="AR112">
        <v>402</v>
      </c>
      <c r="AS112" s="1" t="str">
        <f t="shared" si="69"/>
        <v>2</v>
      </c>
      <c r="AT112">
        <v>4</v>
      </c>
      <c r="AW112" s="3" t="s">
        <v>1154</v>
      </c>
      <c r="AX112" s="2">
        <v>78</v>
      </c>
      <c r="AY112">
        <f t="shared" ref="AY112:AY113" si="77">$AY$110*0.24</f>
        <v>2400</v>
      </c>
      <c r="AZ112">
        <f t="shared" ref="AZ112:AZ115" si="78">AY112/AX112</f>
        <v>30.76923076923077</v>
      </c>
      <c r="BI112" t="s">
        <v>1155</v>
      </c>
      <c r="BJ112">
        <f>BJ108*4</f>
        <v>6</v>
      </c>
      <c r="BK112">
        <f>BJ109</f>
        <v>2</v>
      </c>
      <c r="BL112">
        <f>BJ112+BK112</f>
        <v>8</v>
      </c>
      <c r="BP112" t="s">
        <v>971</v>
      </c>
      <c r="BQ112" t="str">
        <f t="shared" si="53"/>
        <v>2</v>
      </c>
      <c r="BT112">
        <v>11</v>
      </c>
      <c r="BU112" t="str">
        <f t="shared" si="45"/>
        <v>441011,442011</v>
      </c>
      <c r="BV112">
        <f t="shared" si="74"/>
        <v>441011</v>
      </c>
      <c r="BW112">
        <f t="shared" si="75"/>
        <v>442011</v>
      </c>
      <c r="CF112" t="str">
        <f t="shared" si="57"/>
        <v>DATA_Class_Base40</v>
      </c>
      <c r="CG112" s="34" t="s">
        <v>324</v>
      </c>
    </row>
    <row r="113" spans="1:85">
      <c r="A113">
        <f t="shared" si="58"/>
        <v>4052502</v>
      </c>
      <c r="B113" s="34" t="s">
        <v>412</v>
      </c>
      <c r="C113">
        <v>5</v>
      </c>
      <c r="D113">
        <v>5</v>
      </c>
      <c r="E113">
        <v>2</v>
      </c>
      <c r="F113" t="s">
        <v>1156</v>
      </c>
      <c r="G113" t="str">
        <f t="shared" si="71"/>
        <v>游侠2_45_2</v>
      </c>
      <c r="H113">
        <v>0</v>
      </c>
      <c r="I113" s="2" t="s">
        <v>291</v>
      </c>
      <c r="J113" s="2">
        <f t="shared" si="54"/>
        <v>6</v>
      </c>
      <c r="K113" s="2">
        <f t="shared" si="48"/>
        <v>1.02</v>
      </c>
      <c r="L113" s="2">
        <f t="shared" si="47"/>
        <v>1.47</v>
      </c>
      <c r="M113" s="2">
        <v>10</v>
      </c>
      <c r="N113" s="2">
        <f t="shared" si="73"/>
        <v>53.759999999999991</v>
      </c>
      <c r="O113" s="2">
        <f t="shared" si="73"/>
        <v>5.3759999999999994</v>
      </c>
      <c r="P113" s="2">
        <f t="shared" si="73"/>
        <v>796.80000000000007</v>
      </c>
      <c r="Q113" s="2">
        <f t="shared" si="72"/>
        <v>79.680000000000007</v>
      </c>
      <c r="R113" s="2">
        <f t="shared" si="72"/>
        <v>24</v>
      </c>
      <c r="S113" s="2">
        <f t="shared" si="72"/>
        <v>2.4000000000000004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>
        <v>40425021</v>
      </c>
      <c r="Z113" s="14" t="s">
        <v>1059</v>
      </c>
      <c r="AA113" s="14" t="s">
        <v>1130</v>
      </c>
      <c r="AB113">
        <v>0</v>
      </c>
      <c r="AC113" s="2">
        <v>31</v>
      </c>
      <c r="AD113" s="2"/>
      <c r="AE113" s="2"/>
      <c r="AF113">
        <v>1</v>
      </c>
      <c r="AG113" s="1">
        <f t="shared" si="49"/>
        <v>351.71984944506994</v>
      </c>
      <c r="AH113">
        <v>5</v>
      </c>
      <c r="AI113">
        <f t="shared" si="59"/>
        <v>53.759999999999991</v>
      </c>
      <c r="AJ113">
        <f t="shared" si="60"/>
        <v>5.3759999999999994</v>
      </c>
      <c r="AK113">
        <f t="shared" si="61"/>
        <v>796.80000000000007</v>
      </c>
      <c r="AL113">
        <f t="shared" si="62"/>
        <v>79.680000000000007</v>
      </c>
      <c r="AM113">
        <f t="shared" si="55"/>
        <v>24</v>
      </c>
      <c r="AN113">
        <f t="shared" si="56"/>
        <v>2.4000000000000004</v>
      </c>
      <c r="AO113">
        <f t="shared" si="50"/>
        <v>1.4</v>
      </c>
      <c r="AP113">
        <f t="shared" si="51"/>
        <v>2</v>
      </c>
      <c r="AQ113">
        <f t="shared" si="52"/>
        <v>6</v>
      </c>
      <c r="AR113">
        <v>502</v>
      </c>
      <c r="AS113" s="1" t="str">
        <f t="shared" si="69"/>
        <v>2</v>
      </c>
      <c r="AT113">
        <v>4</v>
      </c>
      <c r="AW113" s="3" t="s">
        <v>1157</v>
      </c>
      <c r="AX113" s="2">
        <v>78</v>
      </c>
      <c r="AY113">
        <f t="shared" si="77"/>
        <v>2400</v>
      </c>
      <c r="AZ113">
        <f t="shared" si="78"/>
        <v>30.76923076923077</v>
      </c>
      <c r="BP113" t="s">
        <v>974</v>
      </c>
      <c r="BQ113" t="str">
        <f t="shared" si="53"/>
        <v>2</v>
      </c>
      <c r="BT113">
        <v>12</v>
      </c>
      <c r="BU113" t="str">
        <f t="shared" si="45"/>
        <v>441012,442012</v>
      </c>
      <c r="BV113">
        <f t="shared" si="74"/>
        <v>441012</v>
      </c>
      <c r="BW113">
        <f t="shared" si="75"/>
        <v>442012</v>
      </c>
      <c r="CF113" t="str">
        <f t="shared" si="57"/>
        <v>DATA_Class_Base41</v>
      </c>
      <c r="CG113" s="34" t="s">
        <v>1004</v>
      </c>
    </row>
    <row r="114" spans="1:85">
      <c r="A114">
        <f t="shared" si="58"/>
        <v>4052602</v>
      </c>
      <c r="B114" s="35" t="s">
        <v>414</v>
      </c>
      <c r="C114">
        <v>5</v>
      </c>
      <c r="D114">
        <v>6</v>
      </c>
      <c r="E114">
        <v>2</v>
      </c>
      <c r="F114" t="s">
        <v>1158</v>
      </c>
      <c r="G114" t="str">
        <f t="shared" si="71"/>
        <v>牧师2_45_2</v>
      </c>
      <c r="H114" t="s">
        <v>345</v>
      </c>
      <c r="I114" s="2" t="s">
        <v>346</v>
      </c>
      <c r="J114" s="2">
        <f t="shared" si="54"/>
        <v>6</v>
      </c>
      <c r="K114" s="2">
        <f t="shared" si="48"/>
        <v>1.32</v>
      </c>
      <c r="L114" s="2">
        <f t="shared" si="47"/>
        <v>1.47</v>
      </c>
      <c r="M114" s="2">
        <v>10</v>
      </c>
      <c r="N114" s="2">
        <f t="shared" si="73"/>
        <v>57.6</v>
      </c>
      <c r="O114" s="2">
        <f t="shared" si="73"/>
        <v>5.7600000000000007</v>
      </c>
      <c r="P114" s="2">
        <f t="shared" si="73"/>
        <v>960</v>
      </c>
      <c r="Q114" s="2">
        <f t="shared" si="72"/>
        <v>96</v>
      </c>
      <c r="R114" s="2">
        <f t="shared" si="72"/>
        <v>30</v>
      </c>
      <c r="S114" s="2">
        <f t="shared" si="72"/>
        <v>3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>
        <v>40426021</v>
      </c>
      <c r="Z114" s="14" t="s">
        <v>1062</v>
      </c>
      <c r="AA114" s="14" t="s">
        <v>1130</v>
      </c>
      <c r="AB114">
        <v>0</v>
      </c>
      <c r="AC114" s="2">
        <v>31</v>
      </c>
      <c r="AD114" s="2"/>
      <c r="AE114" s="2"/>
      <c r="AF114">
        <v>1</v>
      </c>
      <c r="AG114" s="1">
        <f t="shared" si="49"/>
        <v>353.60161063015914</v>
      </c>
      <c r="AH114">
        <v>5</v>
      </c>
      <c r="AI114">
        <f t="shared" si="59"/>
        <v>57.6</v>
      </c>
      <c r="AJ114">
        <f t="shared" si="60"/>
        <v>5.7600000000000007</v>
      </c>
      <c r="AK114">
        <f t="shared" si="61"/>
        <v>960</v>
      </c>
      <c r="AL114">
        <f t="shared" si="62"/>
        <v>96</v>
      </c>
      <c r="AM114">
        <f t="shared" si="55"/>
        <v>30</v>
      </c>
      <c r="AN114">
        <f t="shared" si="56"/>
        <v>3</v>
      </c>
      <c r="AO114">
        <f t="shared" si="50"/>
        <v>1.8</v>
      </c>
      <c r="AP114">
        <f t="shared" si="51"/>
        <v>2</v>
      </c>
      <c r="AQ114">
        <f t="shared" si="52"/>
        <v>6</v>
      </c>
      <c r="AR114">
        <v>602</v>
      </c>
      <c r="AS114" s="1" t="str">
        <f t="shared" si="69"/>
        <v>2</v>
      </c>
      <c r="AT114">
        <v>4</v>
      </c>
      <c r="AW114" s="3" t="s">
        <v>1159</v>
      </c>
      <c r="AX114" s="2">
        <v>71</v>
      </c>
      <c r="AY114">
        <f>$AY$110*0.14</f>
        <v>1400.0000000000002</v>
      </c>
      <c r="AZ114">
        <f t="shared" si="78"/>
        <v>19.718309859154932</v>
      </c>
      <c r="BB114" t="s">
        <v>1160</v>
      </c>
      <c r="BC114">
        <v>24</v>
      </c>
      <c r="BD114">
        <f>24*1.5/1.2</f>
        <v>30</v>
      </c>
      <c r="BP114" t="s">
        <v>978</v>
      </c>
      <c r="BQ114" t="str">
        <f t="shared" si="53"/>
        <v>2</v>
      </c>
      <c r="BT114">
        <v>13</v>
      </c>
      <c r="BU114" t="str">
        <f t="shared" si="45"/>
        <v>441013,442013</v>
      </c>
      <c r="BV114">
        <f t="shared" si="74"/>
        <v>441013</v>
      </c>
      <c r="BW114">
        <f t="shared" si="75"/>
        <v>442013</v>
      </c>
      <c r="CF114" t="str">
        <f t="shared" si="57"/>
        <v>DATA_Class_Base42</v>
      </c>
      <c r="CG114" s="35" t="s">
        <v>1007</v>
      </c>
    </row>
    <row r="115" spans="1:85">
      <c r="A115">
        <f t="shared" si="58"/>
        <v>4052601</v>
      </c>
      <c r="B115" s="35" t="s">
        <v>396</v>
      </c>
      <c r="C115">
        <v>5</v>
      </c>
      <c r="D115">
        <v>6</v>
      </c>
      <c r="E115">
        <v>2</v>
      </c>
      <c r="F115" t="s">
        <v>1161</v>
      </c>
      <c r="G115" t="str">
        <f t="shared" si="71"/>
        <v>牧师1_45_2</v>
      </c>
      <c r="H115" s="2">
        <v>0</v>
      </c>
      <c r="I115" s="2" t="s">
        <v>309</v>
      </c>
      <c r="J115" s="2">
        <f t="shared" si="54"/>
        <v>5</v>
      </c>
      <c r="K115" s="2">
        <f t="shared" si="48"/>
        <v>1.1000000000000001</v>
      </c>
      <c r="L115" s="2">
        <f t="shared" si="47"/>
        <v>1.47</v>
      </c>
      <c r="M115" s="2">
        <v>10</v>
      </c>
      <c r="N115" s="2">
        <f t="shared" si="73"/>
        <v>48</v>
      </c>
      <c r="O115" s="2">
        <f t="shared" si="73"/>
        <v>4.8000000000000007</v>
      </c>
      <c r="P115" s="2">
        <f t="shared" si="73"/>
        <v>960</v>
      </c>
      <c r="Q115" s="2">
        <f t="shared" si="72"/>
        <v>96</v>
      </c>
      <c r="R115" s="2">
        <f t="shared" si="72"/>
        <v>30</v>
      </c>
      <c r="S115" s="2">
        <f t="shared" si="72"/>
        <v>3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>
        <v>40426011</v>
      </c>
      <c r="Z115" s="14" t="s">
        <v>1065</v>
      </c>
      <c r="AA115" s="14" t="s">
        <v>1130</v>
      </c>
      <c r="AB115">
        <v>0</v>
      </c>
      <c r="AC115" s="2">
        <v>31</v>
      </c>
      <c r="AD115" s="2"/>
      <c r="AE115" s="2"/>
      <c r="AF115">
        <v>1</v>
      </c>
      <c r="AG115" s="1">
        <f t="shared" si="49"/>
        <v>353.60161063015914</v>
      </c>
      <c r="AH115">
        <v>5</v>
      </c>
      <c r="AI115">
        <f t="shared" si="59"/>
        <v>48</v>
      </c>
      <c r="AJ115">
        <f t="shared" si="60"/>
        <v>4.8000000000000007</v>
      </c>
      <c r="AK115">
        <f t="shared" si="61"/>
        <v>960</v>
      </c>
      <c r="AL115">
        <f t="shared" si="62"/>
        <v>96</v>
      </c>
      <c r="AM115">
        <f t="shared" si="55"/>
        <v>30</v>
      </c>
      <c r="AN115">
        <f t="shared" si="56"/>
        <v>3</v>
      </c>
      <c r="AO115">
        <f t="shared" si="50"/>
        <v>1.5</v>
      </c>
      <c r="AP115">
        <f t="shared" si="51"/>
        <v>2</v>
      </c>
      <c r="AQ115">
        <f t="shared" si="52"/>
        <v>5</v>
      </c>
      <c r="AR115">
        <v>601</v>
      </c>
      <c r="AS115" s="1" t="str">
        <f t="shared" si="69"/>
        <v>1</v>
      </c>
      <c r="AT115">
        <v>4</v>
      </c>
      <c r="AW115" s="3" t="s">
        <v>1162</v>
      </c>
      <c r="AX115" s="2">
        <v>71</v>
      </c>
      <c r="AY115">
        <f>$AY$110*0.14</f>
        <v>1400.0000000000002</v>
      </c>
      <c r="AZ115">
        <f t="shared" si="78"/>
        <v>19.718309859154932</v>
      </c>
      <c r="BI115" s="24" t="s">
        <v>77</v>
      </c>
      <c r="BJ115" s="24">
        <v>26</v>
      </c>
      <c r="BP115" t="s">
        <v>960</v>
      </c>
      <c r="BQ115" t="str">
        <f t="shared" si="53"/>
        <v>1</v>
      </c>
      <c r="BT115">
        <v>14</v>
      </c>
      <c r="BU115" t="str">
        <f t="shared" si="45"/>
        <v>441014,442014</v>
      </c>
      <c r="BV115">
        <f t="shared" si="74"/>
        <v>441014</v>
      </c>
      <c r="BW115">
        <f t="shared" si="75"/>
        <v>442014</v>
      </c>
      <c r="CF115" t="str">
        <f t="shared" si="57"/>
        <v>DATA_Class_Base35</v>
      </c>
      <c r="CG115" s="35" t="s">
        <v>342</v>
      </c>
    </row>
    <row r="116" spans="1:85">
      <c r="A116">
        <f t="shared" si="58"/>
        <v>4052500</v>
      </c>
      <c r="B116" s="35" t="s">
        <v>394</v>
      </c>
      <c r="C116">
        <v>5</v>
      </c>
      <c r="D116">
        <v>5</v>
      </c>
      <c r="E116">
        <v>2</v>
      </c>
      <c r="F116" t="s">
        <v>1163</v>
      </c>
      <c r="G116" t="str">
        <f t="shared" si="71"/>
        <v>游侠0_45_2</v>
      </c>
      <c r="H116" s="2">
        <v>0</v>
      </c>
      <c r="I116" s="2" t="s">
        <v>303</v>
      </c>
      <c r="J116" s="2">
        <f t="shared" si="54"/>
        <v>5</v>
      </c>
      <c r="K116" s="2">
        <f t="shared" si="48"/>
        <v>1.1000000000000001</v>
      </c>
      <c r="L116" s="2">
        <f t="shared" si="47"/>
        <v>1.1000000000000001</v>
      </c>
      <c r="M116" s="2">
        <v>10</v>
      </c>
      <c r="N116" s="2">
        <f t="shared" si="73"/>
        <v>57.6</v>
      </c>
      <c r="O116" s="2">
        <f t="shared" si="73"/>
        <v>5.7600000000000007</v>
      </c>
      <c r="P116" s="2">
        <f t="shared" si="73"/>
        <v>796.80000000000007</v>
      </c>
      <c r="Q116" s="2">
        <f t="shared" si="72"/>
        <v>79.680000000000007</v>
      </c>
      <c r="R116" s="2">
        <f t="shared" si="72"/>
        <v>24</v>
      </c>
      <c r="S116" s="2">
        <f t="shared" si="72"/>
        <v>2.4000000000000004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>
        <v>40425001</v>
      </c>
      <c r="Z116" s="14" t="s">
        <v>1068</v>
      </c>
      <c r="AA116" s="14" t="s">
        <v>1130</v>
      </c>
      <c r="AB116">
        <v>0</v>
      </c>
      <c r="AC116" s="2">
        <v>31</v>
      </c>
      <c r="AD116" s="2"/>
      <c r="AE116" s="2"/>
      <c r="AF116">
        <v>1</v>
      </c>
      <c r="AG116" s="1">
        <f t="shared" si="49"/>
        <v>351.71984944507</v>
      </c>
      <c r="AH116">
        <v>5</v>
      </c>
      <c r="AI116">
        <f t="shared" si="59"/>
        <v>57.6</v>
      </c>
      <c r="AJ116">
        <f t="shared" si="60"/>
        <v>5.7600000000000007</v>
      </c>
      <c r="AK116">
        <f t="shared" si="61"/>
        <v>796.80000000000007</v>
      </c>
      <c r="AL116">
        <f t="shared" si="62"/>
        <v>79.680000000000007</v>
      </c>
      <c r="AM116">
        <f t="shared" si="55"/>
        <v>24</v>
      </c>
      <c r="AN116">
        <f t="shared" si="56"/>
        <v>2.4000000000000004</v>
      </c>
      <c r="AO116">
        <f t="shared" si="50"/>
        <v>1.5</v>
      </c>
      <c r="AP116">
        <f t="shared" si="51"/>
        <v>1.5</v>
      </c>
      <c r="AQ116">
        <f t="shared" si="52"/>
        <v>5</v>
      </c>
      <c r="AR116">
        <v>500</v>
      </c>
      <c r="AS116" s="1" t="str">
        <f t="shared" si="69"/>
        <v>0</v>
      </c>
      <c r="AT116">
        <v>4</v>
      </c>
      <c r="BB116">
        <v>1.2</v>
      </c>
      <c r="BC116">
        <v>1.5</v>
      </c>
      <c r="BD116">
        <f>BB116*4+BC116</f>
        <v>6.3</v>
      </c>
      <c r="BI116" s="24" t="s">
        <v>1142</v>
      </c>
      <c r="BJ116" s="24">
        <v>1.3</v>
      </c>
      <c r="BP116" t="s">
        <v>956</v>
      </c>
      <c r="BQ116" t="str">
        <f t="shared" si="53"/>
        <v>0</v>
      </c>
      <c r="BT116">
        <v>15</v>
      </c>
      <c r="BU116" t="str">
        <f t="shared" si="45"/>
        <v>441015,442015</v>
      </c>
      <c r="BV116">
        <f t="shared" si="74"/>
        <v>441015</v>
      </c>
      <c r="BW116">
        <f t="shared" si="75"/>
        <v>442015</v>
      </c>
      <c r="CF116" t="str">
        <f t="shared" si="57"/>
        <v>DATA_Class_Base34</v>
      </c>
      <c r="CG116" s="35" t="s">
        <v>331</v>
      </c>
    </row>
    <row r="117" spans="1:85">
      <c r="A117">
        <f t="shared" si="58"/>
        <v>4052301</v>
      </c>
      <c r="B117" s="35" t="s">
        <v>398</v>
      </c>
      <c r="C117">
        <v>5</v>
      </c>
      <c r="D117">
        <v>3</v>
      </c>
      <c r="E117">
        <v>2</v>
      </c>
      <c r="F117" t="s">
        <v>1164</v>
      </c>
      <c r="G117" t="str">
        <f t="shared" si="71"/>
        <v>刺客1_45_2</v>
      </c>
      <c r="H117" s="2">
        <v>0</v>
      </c>
      <c r="I117" s="2" t="s">
        <v>285</v>
      </c>
      <c r="J117" s="2">
        <f t="shared" si="54"/>
        <v>2.5</v>
      </c>
      <c r="K117" s="2">
        <f t="shared" si="48"/>
        <v>0.88</v>
      </c>
      <c r="L117" s="2">
        <f t="shared" si="47"/>
        <v>1.47</v>
      </c>
      <c r="M117" s="2">
        <v>10</v>
      </c>
      <c r="N117" s="2">
        <f t="shared" si="73"/>
        <v>34.56</v>
      </c>
      <c r="O117" s="2">
        <f t="shared" si="73"/>
        <v>3.4560000000000004</v>
      </c>
      <c r="P117" s="2">
        <f t="shared" si="73"/>
        <v>1065.6000000000001</v>
      </c>
      <c r="Q117" s="2">
        <f t="shared" si="72"/>
        <v>106.56000000000002</v>
      </c>
      <c r="R117" s="2">
        <f t="shared" si="72"/>
        <v>33</v>
      </c>
      <c r="S117" s="2">
        <f t="shared" si="72"/>
        <v>3.3000000000000003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>
        <v>40423011</v>
      </c>
      <c r="Z117" s="14" t="s">
        <v>1070</v>
      </c>
      <c r="AA117" s="14" t="s">
        <v>1130</v>
      </c>
      <c r="AB117">
        <v>0</v>
      </c>
      <c r="AC117" s="2">
        <v>31</v>
      </c>
      <c r="AD117" s="2"/>
      <c r="AE117" s="2"/>
      <c r="AF117">
        <v>1</v>
      </c>
      <c r="AG117" s="1">
        <f t="shared" si="49"/>
        <v>353.48285770695259</v>
      </c>
      <c r="AH117">
        <v>5</v>
      </c>
      <c r="AI117">
        <f t="shared" si="59"/>
        <v>34.56</v>
      </c>
      <c r="AJ117">
        <f t="shared" si="60"/>
        <v>3.4560000000000004</v>
      </c>
      <c r="AK117">
        <f t="shared" si="61"/>
        <v>1065.6000000000001</v>
      </c>
      <c r="AL117">
        <f t="shared" si="62"/>
        <v>106.56000000000002</v>
      </c>
      <c r="AM117">
        <f t="shared" si="55"/>
        <v>33</v>
      </c>
      <c r="AN117">
        <f t="shared" si="56"/>
        <v>3.3000000000000003</v>
      </c>
      <c r="AO117">
        <f t="shared" si="50"/>
        <v>1.2</v>
      </c>
      <c r="AP117">
        <f t="shared" si="51"/>
        <v>2</v>
      </c>
      <c r="AQ117">
        <f t="shared" si="52"/>
        <v>2.5</v>
      </c>
      <c r="AR117">
        <v>301</v>
      </c>
      <c r="AS117" s="1" t="str">
        <f t="shared" si="69"/>
        <v>1</v>
      </c>
      <c r="AT117">
        <v>4</v>
      </c>
      <c r="AW117">
        <f>AY117/$AY$110</f>
        <v>0.24179999999999999</v>
      </c>
      <c r="AX117" s="2">
        <v>78</v>
      </c>
      <c r="AY117">
        <f>AZ117*AX117</f>
        <v>2418</v>
      </c>
      <c r="AZ117">
        <v>31</v>
      </c>
      <c r="BB117">
        <f>(100-(1.5-1.2)*100)*4</f>
        <v>280</v>
      </c>
      <c r="BC117">
        <f>400-(2-1.5)*100</f>
        <v>350</v>
      </c>
      <c r="BD117">
        <f>BB117+BC117</f>
        <v>630</v>
      </c>
      <c r="BI117" s="24" t="s">
        <v>1146</v>
      </c>
      <c r="BJ117" s="24">
        <v>1.6</v>
      </c>
      <c r="BP117" t="s">
        <v>923</v>
      </c>
      <c r="BQ117" t="str">
        <f t="shared" si="53"/>
        <v>1</v>
      </c>
      <c r="BT117">
        <v>16</v>
      </c>
      <c r="BU117" t="str">
        <f t="shared" si="45"/>
        <v>441016,442016</v>
      </c>
      <c r="BV117">
        <f t="shared" si="74"/>
        <v>441016</v>
      </c>
      <c r="BW117">
        <f t="shared" si="75"/>
        <v>442016</v>
      </c>
      <c r="CF117" t="str">
        <f t="shared" si="57"/>
        <v>DATA_Class_Base36</v>
      </c>
      <c r="CG117" s="35" t="s">
        <v>312</v>
      </c>
    </row>
    <row r="118" spans="1:85">
      <c r="A118">
        <f t="shared" si="58"/>
        <v>4053202</v>
      </c>
      <c r="B118" s="34" t="s">
        <v>404</v>
      </c>
      <c r="C118">
        <v>5</v>
      </c>
      <c r="D118">
        <v>2</v>
      </c>
      <c r="E118">
        <v>3</v>
      </c>
      <c r="F118" s="2" t="s">
        <v>1165</v>
      </c>
      <c r="G118" t="str">
        <f t="shared" si="71"/>
        <v>战士2_45_3</v>
      </c>
      <c r="H118">
        <v>0</v>
      </c>
      <c r="I118" s="2" t="s">
        <v>280</v>
      </c>
      <c r="J118" s="2">
        <f t="shared" si="54"/>
        <v>2.5</v>
      </c>
      <c r="K118" s="2">
        <f t="shared" si="48"/>
        <v>1.32</v>
      </c>
      <c r="L118" s="2">
        <f t="shared" si="47"/>
        <v>1.47</v>
      </c>
      <c r="M118" s="2">
        <v>10</v>
      </c>
      <c r="N118" s="2">
        <f t="shared" si="73"/>
        <v>46.080000000000005</v>
      </c>
      <c r="O118" s="2">
        <f t="shared" si="73"/>
        <v>4.6080000000000005</v>
      </c>
      <c r="P118" s="2">
        <f t="shared" si="73"/>
        <v>1200</v>
      </c>
      <c r="Q118" s="2">
        <f t="shared" si="72"/>
        <v>120</v>
      </c>
      <c r="R118" s="2">
        <f t="shared" si="72"/>
        <v>36</v>
      </c>
      <c r="S118" s="2">
        <f t="shared" si="72"/>
        <v>3.6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>
        <v>40432021</v>
      </c>
      <c r="Z118" s="14" t="s">
        <v>1072</v>
      </c>
      <c r="AA118" s="14" t="s">
        <v>1130</v>
      </c>
      <c r="AB118">
        <v>0</v>
      </c>
      <c r="AC118" s="2">
        <v>31</v>
      </c>
      <c r="AD118" s="2"/>
      <c r="AE118" s="2"/>
      <c r="AF118">
        <v>1</v>
      </c>
      <c r="AG118" s="1">
        <f t="shared" si="49"/>
        <v>354.07209096040651</v>
      </c>
      <c r="AH118">
        <v>5</v>
      </c>
      <c r="AI118">
        <f t="shared" si="59"/>
        <v>46.080000000000005</v>
      </c>
      <c r="AJ118">
        <f t="shared" si="60"/>
        <v>4.6080000000000005</v>
      </c>
      <c r="AK118">
        <f t="shared" si="61"/>
        <v>1200</v>
      </c>
      <c r="AL118">
        <f t="shared" si="62"/>
        <v>120</v>
      </c>
      <c r="AM118">
        <f t="shared" si="55"/>
        <v>36</v>
      </c>
      <c r="AN118">
        <f t="shared" si="56"/>
        <v>3.6</v>
      </c>
      <c r="AO118">
        <f t="shared" si="50"/>
        <v>1.8</v>
      </c>
      <c r="AP118">
        <f t="shared" si="51"/>
        <v>2</v>
      </c>
      <c r="AQ118">
        <f t="shared" si="52"/>
        <v>2.5</v>
      </c>
      <c r="AR118">
        <v>202</v>
      </c>
      <c r="AS118" s="1" t="str">
        <f t="shared" si="69"/>
        <v>2</v>
      </c>
      <c r="AT118">
        <v>4</v>
      </c>
      <c r="AW118">
        <f t="shared" ref="AW118:AW121" si="79">AY118/$AY$110</f>
        <v>0.24179999999999999</v>
      </c>
      <c r="AX118" s="2">
        <v>78</v>
      </c>
      <c r="AY118">
        <f t="shared" ref="AY118:AY121" si="80">AZ118*AX118</f>
        <v>2418</v>
      </c>
      <c r="AZ118">
        <v>31</v>
      </c>
      <c r="BP118" t="s">
        <v>981</v>
      </c>
      <c r="BQ118" t="str">
        <f t="shared" si="53"/>
        <v>2</v>
      </c>
      <c r="BT118">
        <v>17</v>
      </c>
      <c r="BU118" t="str">
        <f t="shared" si="45"/>
        <v>441017,442017</v>
      </c>
      <c r="BV118">
        <f t="shared" si="74"/>
        <v>441017</v>
      </c>
      <c r="BW118">
        <f t="shared" si="75"/>
        <v>442017</v>
      </c>
      <c r="CF118" t="str">
        <f t="shared" si="57"/>
        <v>DATA_Class_Base38</v>
      </c>
      <c r="CG118" s="34" t="s">
        <v>306</v>
      </c>
    </row>
    <row r="119" spans="1:85">
      <c r="A119">
        <f t="shared" si="58"/>
        <v>4053302</v>
      </c>
      <c r="B119" s="35" t="s">
        <v>1010</v>
      </c>
      <c r="C119">
        <v>5</v>
      </c>
      <c r="D119">
        <v>3</v>
      </c>
      <c r="E119">
        <v>3</v>
      </c>
      <c r="F119" t="s">
        <v>1166</v>
      </c>
      <c r="G119" t="str">
        <f t="shared" si="71"/>
        <v>刺客2_45_3</v>
      </c>
      <c r="H119" s="2">
        <v>0</v>
      </c>
      <c r="I119" s="2" t="s">
        <v>358</v>
      </c>
      <c r="J119" s="2">
        <f t="shared" si="54"/>
        <v>2.5</v>
      </c>
      <c r="K119" s="2">
        <f t="shared" si="48"/>
        <v>1.02</v>
      </c>
      <c r="L119" s="2">
        <f t="shared" si="47"/>
        <v>1.25</v>
      </c>
      <c r="M119" s="2">
        <v>10</v>
      </c>
      <c r="N119" s="2">
        <f t="shared" si="73"/>
        <v>40.32</v>
      </c>
      <c r="O119" s="2">
        <f t="shared" si="73"/>
        <v>4.032</v>
      </c>
      <c r="P119" s="2">
        <f t="shared" si="73"/>
        <v>1065.6000000000001</v>
      </c>
      <c r="Q119" s="2">
        <f t="shared" si="72"/>
        <v>106.56000000000002</v>
      </c>
      <c r="R119" s="2">
        <f t="shared" si="72"/>
        <v>33</v>
      </c>
      <c r="S119" s="2">
        <f t="shared" si="72"/>
        <v>3.3000000000000003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>
        <v>40433021</v>
      </c>
      <c r="Z119" s="14" t="s">
        <v>1074</v>
      </c>
      <c r="AA119" s="14" t="s">
        <v>1130</v>
      </c>
      <c r="AB119">
        <v>0</v>
      </c>
      <c r="AC119" s="2">
        <v>31</v>
      </c>
      <c r="AD119" s="2"/>
      <c r="AE119" s="2"/>
      <c r="AF119">
        <v>1</v>
      </c>
      <c r="AG119" s="1">
        <f t="shared" si="49"/>
        <v>353.48285770695259</v>
      </c>
      <c r="AH119">
        <v>5</v>
      </c>
      <c r="AI119">
        <f t="shared" si="59"/>
        <v>40.32</v>
      </c>
      <c r="AJ119">
        <f t="shared" si="60"/>
        <v>4.032</v>
      </c>
      <c r="AK119">
        <f t="shared" si="61"/>
        <v>1065.6000000000001</v>
      </c>
      <c r="AL119">
        <f t="shared" si="62"/>
        <v>106.56000000000002</v>
      </c>
      <c r="AM119">
        <f t="shared" si="55"/>
        <v>33</v>
      </c>
      <c r="AN119">
        <f t="shared" si="56"/>
        <v>3.3000000000000003</v>
      </c>
      <c r="AO119">
        <f t="shared" si="50"/>
        <v>1.4</v>
      </c>
      <c r="AP119">
        <f t="shared" si="51"/>
        <v>1.7</v>
      </c>
      <c r="AQ119">
        <f t="shared" si="52"/>
        <v>2.5</v>
      </c>
      <c r="AR119">
        <v>302</v>
      </c>
      <c r="AS119" s="1" t="str">
        <f t="shared" si="69"/>
        <v>2</v>
      </c>
      <c r="AT119">
        <v>4</v>
      </c>
      <c r="AW119">
        <f t="shared" si="79"/>
        <v>0.24179999999999999</v>
      </c>
      <c r="AX119" s="2">
        <v>78</v>
      </c>
      <c r="AY119">
        <f t="shared" si="80"/>
        <v>2418</v>
      </c>
      <c r="AZ119">
        <v>31</v>
      </c>
      <c r="BJ119" t="s">
        <v>1115</v>
      </c>
      <c r="BK119" t="s">
        <v>1116</v>
      </c>
      <c r="BM119" t="s">
        <v>415</v>
      </c>
      <c r="BP119" t="s">
        <v>983</v>
      </c>
      <c r="BQ119" t="str">
        <f t="shared" si="53"/>
        <v>2</v>
      </c>
      <c r="BT119">
        <v>18</v>
      </c>
      <c r="BU119" t="str">
        <f t="shared" si="45"/>
        <v>441018,442018</v>
      </c>
      <c r="BV119">
        <f t="shared" si="74"/>
        <v>441018</v>
      </c>
      <c r="BW119">
        <f t="shared" si="75"/>
        <v>442018</v>
      </c>
      <c r="CF119" t="str">
        <f t="shared" si="57"/>
        <v>DATA_Class_Base43</v>
      </c>
      <c r="CG119" s="35" t="s">
        <v>1011</v>
      </c>
    </row>
    <row r="120" spans="1:85">
      <c r="A120">
        <f t="shared" si="58"/>
        <v>4053400</v>
      </c>
      <c r="B120" s="34" t="s">
        <v>1014</v>
      </c>
      <c r="C120">
        <v>5</v>
      </c>
      <c r="D120">
        <v>4</v>
      </c>
      <c r="E120">
        <v>3</v>
      </c>
      <c r="F120" t="s">
        <v>1167</v>
      </c>
      <c r="G120" t="str">
        <f t="shared" si="71"/>
        <v>法师0_45_3</v>
      </c>
      <c r="H120">
        <v>0</v>
      </c>
      <c r="I120" s="2" t="s">
        <v>364</v>
      </c>
      <c r="J120" s="2">
        <f t="shared" si="54"/>
        <v>5</v>
      </c>
      <c r="K120" s="2">
        <f t="shared" si="48"/>
        <v>1.02</v>
      </c>
      <c r="L120" s="2">
        <f t="shared" si="47"/>
        <v>1.02</v>
      </c>
      <c r="M120" s="2">
        <v>10</v>
      </c>
      <c r="N120" s="2">
        <f t="shared" si="73"/>
        <v>49.28</v>
      </c>
      <c r="O120" s="2">
        <f t="shared" si="73"/>
        <v>4.9280000000000008</v>
      </c>
      <c r="P120" s="2">
        <f t="shared" si="73"/>
        <v>873.6</v>
      </c>
      <c r="Q120" s="2">
        <f t="shared" si="72"/>
        <v>87.360000000000014</v>
      </c>
      <c r="R120" s="2">
        <f t="shared" si="72"/>
        <v>27</v>
      </c>
      <c r="S120" s="2">
        <f t="shared" si="72"/>
        <v>2.7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>
        <v>40434001</v>
      </c>
      <c r="Z120" s="14" t="s">
        <v>1076</v>
      </c>
      <c r="AA120" s="14" t="s">
        <v>1130</v>
      </c>
      <c r="AB120">
        <v>0</v>
      </c>
      <c r="AC120" s="2">
        <v>31</v>
      </c>
      <c r="AD120" s="2"/>
      <c r="AE120" s="2"/>
      <c r="AF120">
        <v>1</v>
      </c>
      <c r="AG120" s="1">
        <f t="shared" si="49"/>
        <v>353.72020586282525</v>
      </c>
      <c r="AH120">
        <v>5</v>
      </c>
      <c r="AI120">
        <f t="shared" si="59"/>
        <v>49.28</v>
      </c>
      <c r="AJ120">
        <f t="shared" si="60"/>
        <v>4.9280000000000008</v>
      </c>
      <c r="AK120">
        <f t="shared" si="61"/>
        <v>873.6</v>
      </c>
      <c r="AL120">
        <f t="shared" si="62"/>
        <v>87.360000000000014</v>
      </c>
      <c r="AM120">
        <f t="shared" si="55"/>
        <v>27</v>
      </c>
      <c r="AN120">
        <f t="shared" si="56"/>
        <v>2.7</v>
      </c>
      <c r="AO120">
        <f t="shared" si="50"/>
        <v>1.4</v>
      </c>
      <c r="AP120">
        <f t="shared" si="51"/>
        <v>1.4</v>
      </c>
      <c r="AQ120">
        <f t="shared" si="52"/>
        <v>5</v>
      </c>
      <c r="AR120">
        <v>400</v>
      </c>
      <c r="AS120" s="1" t="str">
        <f t="shared" si="69"/>
        <v>0</v>
      </c>
      <c r="AT120">
        <v>4</v>
      </c>
      <c r="AW120">
        <f t="shared" si="79"/>
        <v>0.13489999999999999</v>
      </c>
      <c r="AX120" s="2">
        <v>71</v>
      </c>
      <c r="AY120">
        <f t="shared" si="80"/>
        <v>1349</v>
      </c>
      <c r="AZ120">
        <v>19</v>
      </c>
      <c r="BB120">
        <v>400</v>
      </c>
      <c r="BI120" t="s">
        <v>1152</v>
      </c>
      <c r="BJ120">
        <f>$BJ$115*4</f>
        <v>104</v>
      </c>
      <c r="BK120">
        <f>$BJ$115*4</f>
        <v>104</v>
      </c>
      <c r="BL120">
        <f>BJ120+BK120</f>
        <v>208</v>
      </c>
      <c r="BM120">
        <f>BL120/BL121</f>
        <v>30.588235294117645</v>
      </c>
      <c r="BP120" t="s">
        <v>986</v>
      </c>
      <c r="BQ120" t="str">
        <f t="shared" si="53"/>
        <v>0</v>
      </c>
      <c r="BT120">
        <v>19</v>
      </c>
      <c r="BU120" t="str">
        <f t="shared" si="45"/>
        <v>441019,442019</v>
      </c>
      <c r="BV120">
        <f t="shared" si="74"/>
        <v>441019</v>
      </c>
      <c r="BW120">
        <f t="shared" si="75"/>
        <v>442019</v>
      </c>
      <c r="CF120" t="str">
        <f t="shared" si="57"/>
        <v>DATA_Class_Base44</v>
      </c>
      <c r="CG120" s="34" t="s">
        <v>371</v>
      </c>
    </row>
    <row r="121" spans="1:85">
      <c r="A121">
        <f t="shared" si="58"/>
        <v>4053501</v>
      </c>
      <c r="B121" s="34" t="s">
        <v>401</v>
      </c>
      <c r="C121">
        <v>5</v>
      </c>
      <c r="D121">
        <v>5</v>
      </c>
      <c r="E121">
        <v>3</v>
      </c>
      <c r="F121" t="s">
        <v>1168</v>
      </c>
      <c r="G121" t="str">
        <f t="shared" si="71"/>
        <v>游侠1_45_3</v>
      </c>
      <c r="H121" s="2">
        <v>0</v>
      </c>
      <c r="I121" s="2" t="s">
        <v>334</v>
      </c>
      <c r="J121" s="2">
        <f t="shared" si="54"/>
        <v>6</v>
      </c>
      <c r="K121" s="2">
        <f t="shared" si="48"/>
        <v>1.17</v>
      </c>
      <c r="L121" s="2">
        <f t="shared" si="47"/>
        <v>1.47</v>
      </c>
      <c r="M121" s="2">
        <v>10</v>
      </c>
      <c r="N121" s="2">
        <f t="shared" si="73"/>
        <v>61.44</v>
      </c>
      <c r="O121" s="2">
        <f t="shared" si="73"/>
        <v>6.1440000000000001</v>
      </c>
      <c r="P121" s="2">
        <f t="shared" si="73"/>
        <v>796.80000000000007</v>
      </c>
      <c r="Q121" s="2">
        <f t="shared" si="72"/>
        <v>79.680000000000007</v>
      </c>
      <c r="R121" s="2">
        <f t="shared" si="72"/>
        <v>24</v>
      </c>
      <c r="S121" s="2">
        <f t="shared" si="72"/>
        <v>2.4000000000000004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>
        <v>40435011</v>
      </c>
      <c r="Z121" s="14" t="s">
        <v>1078</v>
      </c>
      <c r="AA121" s="14" t="s">
        <v>1130</v>
      </c>
      <c r="AB121">
        <v>0</v>
      </c>
      <c r="AC121" s="2">
        <v>31</v>
      </c>
      <c r="AD121" s="2"/>
      <c r="AE121" s="2"/>
      <c r="AF121">
        <v>1</v>
      </c>
      <c r="AG121" s="1">
        <f t="shared" si="49"/>
        <v>351.71984944507</v>
      </c>
      <c r="AH121">
        <v>5</v>
      </c>
      <c r="AI121">
        <f t="shared" si="59"/>
        <v>61.44</v>
      </c>
      <c r="AJ121">
        <f t="shared" si="60"/>
        <v>6.1440000000000001</v>
      </c>
      <c r="AK121">
        <f t="shared" si="61"/>
        <v>796.80000000000007</v>
      </c>
      <c r="AL121">
        <f t="shared" si="62"/>
        <v>79.680000000000007</v>
      </c>
      <c r="AM121">
        <f t="shared" si="55"/>
        <v>24</v>
      </c>
      <c r="AN121">
        <f t="shared" si="56"/>
        <v>2.4000000000000004</v>
      </c>
      <c r="AO121">
        <f t="shared" si="50"/>
        <v>1.6</v>
      </c>
      <c r="AP121">
        <f t="shared" si="51"/>
        <v>2</v>
      </c>
      <c r="AQ121">
        <f t="shared" si="52"/>
        <v>6</v>
      </c>
      <c r="AR121">
        <v>501</v>
      </c>
      <c r="AS121" s="1" t="str">
        <f t="shared" si="69"/>
        <v>1</v>
      </c>
      <c r="AT121">
        <v>4</v>
      </c>
      <c r="AW121">
        <f t="shared" si="79"/>
        <v>0.13489999999999999</v>
      </c>
      <c r="AX121" s="2">
        <v>71</v>
      </c>
      <c r="AY121">
        <f t="shared" si="80"/>
        <v>1349</v>
      </c>
      <c r="AZ121">
        <v>19</v>
      </c>
      <c r="BC121">
        <f>400-(2-BD121)*100</f>
        <v>400</v>
      </c>
      <c r="BD121">
        <v>2</v>
      </c>
      <c r="BE121">
        <f t="shared" ref="BE121:BE131" si="81">($BB$120+BC121)/(6+BD121)</f>
        <v>100</v>
      </c>
      <c r="BI121" t="s">
        <v>1155</v>
      </c>
      <c r="BJ121">
        <f>BJ116*4</f>
        <v>5.2</v>
      </c>
      <c r="BK121">
        <v>1.6</v>
      </c>
      <c r="BL121">
        <f>BJ121+BK121</f>
        <v>6.8000000000000007</v>
      </c>
      <c r="BP121" t="s">
        <v>945</v>
      </c>
      <c r="BQ121" t="str">
        <f t="shared" si="53"/>
        <v>1</v>
      </c>
      <c r="BT121">
        <v>20</v>
      </c>
      <c r="BU121" t="str">
        <f t="shared" si="45"/>
        <v>441020,442020</v>
      </c>
      <c r="BV121">
        <f t="shared" si="74"/>
        <v>441020</v>
      </c>
      <c r="BW121">
        <f t="shared" si="75"/>
        <v>442020</v>
      </c>
      <c r="CF121" t="str">
        <f t="shared" si="57"/>
        <v>DATA_Class_Base37</v>
      </c>
      <c r="CG121" s="34" t="s">
        <v>994</v>
      </c>
    </row>
    <row r="122" spans="1:85">
      <c r="A122">
        <f t="shared" si="58"/>
        <v>4053600</v>
      </c>
      <c r="B122" s="35" t="s">
        <v>1017</v>
      </c>
      <c r="C122">
        <v>5</v>
      </c>
      <c r="D122">
        <v>6</v>
      </c>
      <c r="E122">
        <v>3</v>
      </c>
      <c r="F122" t="s">
        <v>1169</v>
      </c>
      <c r="G122" t="str">
        <f t="shared" si="71"/>
        <v>牧师0_45_3</v>
      </c>
      <c r="H122">
        <v>0</v>
      </c>
      <c r="I122" s="2" t="s">
        <v>339</v>
      </c>
      <c r="J122" s="2">
        <f t="shared" si="54"/>
        <v>4</v>
      </c>
      <c r="K122" s="2">
        <f t="shared" si="48"/>
        <v>1.02</v>
      </c>
      <c r="L122" s="2">
        <f t="shared" si="47"/>
        <v>1.3900000000000001</v>
      </c>
      <c r="M122" s="2">
        <v>10</v>
      </c>
      <c r="N122" s="2">
        <f t="shared" si="73"/>
        <v>44.8</v>
      </c>
      <c r="O122" s="2">
        <f t="shared" si="73"/>
        <v>4.4799999999999995</v>
      </c>
      <c r="P122" s="2">
        <f t="shared" si="73"/>
        <v>960</v>
      </c>
      <c r="Q122" s="2">
        <f t="shared" si="72"/>
        <v>96</v>
      </c>
      <c r="R122" s="2">
        <f t="shared" si="72"/>
        <v>30</v>
      </c>
      <c r="S122" s="2">
        <f t="shared" si="72"/>
        <v>3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>
        <v>40436001</v>
      </c>
      <c r="Z122" s="14" t="s">
        <v>1080</v>
      </c>
      <c r="AA122" s="14" t="s">
        <v>1130</v>
      </c>
      <c r="AB122">
        <v>0</v>
      </c>
      <c r="AC122" s="2">
        <v>31</v>
      </c>
      <c r="AD122" s="2"/>
      <c r="AE122" s="2"/>
      <c r="AF122">
        <v>1</v>
      </c>
      <c r="AG122" s="1">
        <f t="shared" si="49"/>
        <v>353.60161063015914</v>
      </c>
      <c r="AH122">
        <v>5</v>
      </c>
      <c r="AI122">
        <f t="shared" si="59"/>
        <v>44.8</v>
      </c>
      <c r="AJ122">
        <f t="shared" si="60"/>
        <v>4.4799999999999995</v>
      </c>
      <c r="AK122">
        <f t="shared" si="61"/>
        <v>960</v>
      </c>
      <c r="AL122">
        <f t="shared" si="62"/>
        <v>96</v>
      </c>
      <c r="AM122">
        <f t="shared" si="55"/>
        <v>30</v>
      </c>
      <c r="AN122">
        <f t="shared" si="56"/>
        <v>3</v>
      </c>
      <c r="AO122">
        <f t="shared" si="50"/>
        <v>1.4</v>
      </c>
      <c r="AP122">
        <f t="shared" si="51"/>
        <v>1.9</v>
      </c>
      <c r="AQ122">
        <f t="shared" si="52"/>
        <v>4</v>
      </c>
      <c r="AR122">
        <v>600</v>
      </c>
      <c r="AS122" s="1" t="str">
        <f t="shared" si="69"/>
        <v>0</v>
      </c>
      <c r="AT122">
        <v>4</v>
      </c>
      <c r="BC122">
        <f t="shared" ref="BC122:BC131" si="82">400-(2-BD122)*100</f>
        <v>390</v>
      </c>
      <c r="BD122">
        <v>1.9</v>
      </c>
      <c r="BE122">
        <f t="shared" si="81"/>
        <v>100</v>
      </c>
      <c r="BP122" t="s">
        <v>990</v>
      </c>
      <c r="BQ122" t="str">
        <f t="shared" si="53"/>
        <v>0</v>
      </c>
      <c r="BT122">
        <v>21</v>
      </c>
      <c r="BU122" t="str">
        <f t="shared" si="45"/>
        <v>441021,442021</v>
      </c>
      <c r="BV122">
        <f t="shared" si="74"/>
        <v>441021</v>
      </c>
      <c r="BW122">
        <f t="shared" si="75"/>
        <v>442021</v>
      </c>
      <c r="CF122" t="str">
        <f t="shared" si="57"/>
        <v>DATA_Class_Base45</v>
      </c>
      <c r="CG122" s="35" t="s">
        <v>1018</v>
      </c>
    </row>
    <row r="123" spans="1:85">
      <c r="A123">
        <f t="shared" si="58"/>
        <v>4053201</v>
      </c>
      <c r="B123" s="34" t="s">
        <v>383</v>
      </c>
      <c r="C123">
        <v>5</v>
      </c>
      <c r="D123">
        <v>2</v>
      </c>
      <c r="E123">
        <v>3</v>
      </c>
      <c r="F123" t="s">
        <v>1170</v>
      </c>
      <c r="G123" t="str">
        <f t="shared" si="71"/>
        <v>战士1_45_3</v>
      </c>
      <c r="H123" s="2">
        <v>0</v>
      </c>
      <c r="I123" s="2" t="s">
        <v>298</v>
      </c>
      <c r="J123" s="2">
        <f t="shared" si="54"/>
        <v>2.5</v>
      </c>
      <c r="K123" s="2">
        <f t="shared" si="48"/>
        <v>1.32</v>
      </c>
      <c r="L123" s="2">
        <f t="shared" si="47"/>
        <v>1.32</v>
      </c>
      <c r="M123" s="2">
        <v>10</v>
      </c>
      <c r="N123" s="2">
        <f t="shared" si="73"/>
        <v>46.080000000000005</v>
      </c>
      <c r="O123" s="2">
        <f t="shared" si="73"/>
        <v>4.6080000000000005</v>
      </c>
      <c r="P123" s="2">
        <f t="shared" si="73"/>
        <v>1200</v>
      </c>
      <c r="Q123" s="2">
        <f t="shared" si="72"/>
        <v>120</v>
      </c>
      <c r="R123" s="2">
        <f t="shared" si="72"/>
        <v>36</v>
      </c>
      <c r="S123" s="2">
        <f t="shared" si="72"/>
        <v>3.6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>
        <v>40432011</v>
      </c>
      <c r="Z123" s="14" t="s">
        <v>1082</v>
      </c>
      <c r="AA123" s="14" t="s">
        <v>1130</v>
      </c>
      <c r="AB123">
        <v>0</v>
      </c>
      <c r="AC123" s="2">
        <v>31</v>
      </c>
      <c r="AD123" s="2"/>
      <c r="AE123" s="2"/>
      <c r="AF123">
        <v>1</v>
      </c>
      <c r="AG123" s="1">
        <f t="shared" si="49"/>
        <v>354.07209096040651</v>
      </c>
      <c r="AH123">
        <v>5</v>
      </c>
      <c r="AI123">
        <f t="shared" si="59"/>
        <v>46.080000000000005</v>
      </c>
      <c r="AJ123">
        <f t="shared" si="60"/>
        <v>4.6080000000000005</v>
      </c>
      <c r="AK123">
        <f t="shared" si="61"/>
        <v>1200</v>
      </c>
      <c r="AL123">
        <f t="shared" si="62"/>
        <v>120</v>
      </c>
      <c r="AM123">
        <f t="shared" si="55"/>
        <v>36</v>
      </c>
      <c r="AN123">
        <f t="shared" si="56"/>
        <v>3.6</v>
      </c>
      <c r="AO123">
        <f t="shared" si="50"/>
        <v>1.8</v>
      </c>
      <c r="AP123">
        <f t="shared" si="51"/>
        <v>1.8</v>
      </c>
      <c r="AQ123">
        <f t="shared" si="52"/>
        <v>2.5</v>
      </c>
      <c r="AR123">
        <v>201</v>
      </c>
      <c r="AS123" s="1" t="str">
        <f t="shared" si="69"/>
        <v>1</v>
      </c>
      <c r="AT123">
        <v>4</v>
      </c>
      <c r="BC123">
        <f t="shared" si="82"/>
        <v>380</v>
      </c>
      <c r="BD123">
        <v>1.8</v>
      </c>
      <c r="BE123">
        <f t="shared" si="81"/>
        <v>100</v>
      </c>
      <c r="BI123">
        <v>104</v>
      </c>
      <c r="BJ123">
        <f>BI123*BJ124/BI124</f>
        <v>120</v>
      </c>
      <c r="BL123">
        <f>26*4</f>
        <v>104</v>
      </c>
      <c r="BM123">
        <v>20</v>
      </c>
      <c r="BP123" t="s">
        <v>913</v>
      </c>
      <c r="BQ123" t="str">
        <f t="shared" si="53"/>
        <v>1</v>
      </c>
      <c r="BT123">
        <v>22</v>
      </c>
      <c r="BU123" t="str">
        <f t="shared" si="45"/>
        <v>441022,442022</v>
      </c>
      <c r="BV123">
        <f t="shared" si="74"/>
        <v>441022</v>
      </c>
      <c r="BW123">
        <f t="shared" si="75"/>
        <v>442022</v>
      </c>
      <c r="CF123" t="str">
        <f t="shared" si="57"/>
        <v>DATA_Class_Base31</v>
      </c>
      <c r="CG123" s="34" t="s">
        <v>300</v>
      </c>
    </row>
    <row r="124" spans="1:85">
      <c r="A124">
        <f t="shared" si="58"/>
        <v>4053502</v>
      </c>
      <c r="B124" s="34" t="s">
        <v>412</v>
      </c>
      <c r="C124">
        <v>5</v>
      </c>
      <c r="D124">
        <v>5</v>
      </c>
      <c r="E124">
        <v>3</v>
      </c>
      <c r="F124" t="s">
        <v>1171</v>
      </c>
      <c r="G124" t="str">
        <f t="shared" si="71"/>
        <v>游侠2_45_3</v>
      </c>
      <c r="H124">
        <v>0</v>
      </c>
      <c r="I124" s="2" t="s">
        <v>291</v>
      </c>
      <c r="J124" s="2">
        <f t="shared" si="54"/>
        <v>6</v>
      </c>
      <c r="K124" s="2">
        <f t="shared" si="48"/>
        <v>1.02</v>
      </c>
      <c r="L124" s="2">
        <f t="shared" si="47"/>
        <v>1.47</v>
      </c>
      <c r="M124" s="2">
        <v>10</v>
      </c>
      <c r="N124" s="2">
        <f t="shared" si="73"/>
        <v>53.759999999999991</v>
      </c>
      <c r="O124" s="2">
        <f t="shared" si="73"/>
        <v>5.3759999999999994</v>
      </c>
      <c r="P124" s="2">
        <f t="shared" si="73"/>
        <v>796.80000000000007</v>
      </c>
      <c r="Q124" s="2">
        <f t="shared" si="72"/>
        <v>79.680000000000007</v>
      </c>
      <c r="R124" s="2">
        <f t="shared" si="72"/>
        <v>24</v>
      </c>
      <c r="S124" s="2">
        <f t="shared" si="72"/>
        <v>2.4000000000000004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>
        <v>40435021</v>
      </c>
      <c r="Z124" s="14" t="s">
        <v>1084</v>
      </c>
      <c r="AA124" s="14" t="s">
        <v>1130</v>
      </c>
      <c r="AB124">
        <v>0</v>
      </c>
      <c r="AC124" s="2">
        <v>31</v>
      </c>
      <c r="AD124" s="2"/>
      <c r="AE124" s="2"/>
      <c r="AF124">
        <v>1</v>
      </c>
      <c r="AG124" s="1">
        <f t="shared" si="49"/>
        <v>351.71984944506994</v>
      </c>
      <c r="AH124">
        <v>5</v>
      </c>
      <c r="AI124">
        <f t="shared" si="59"/>
        <v>53.759999999999991</v>
      </c>
      <c r="AJ124">
        <f t="shared" si="60"/>
        <v>5.3759999999999994</v>
      </c>
      <c r="AK124">
        <f t="shared" si="61"/>
        <v>796.80000000000007</v>
      </c>
      <c r="AL124">
        <f t="shared" si="62"/>
        <v>79.680000000000007</v>
      </c>
      <c r="AM124">
        <f t="shared" si="55"/>
        <v>24</v>
      </c>
      <c r="AN124">
        <f t="shared" si="56"/>
        <v>2.4000000000000004</v>
      </c>
      <c r="AO124">
        <f t="shared" si="50"/>
        <v>1.4</v>
      </c>
      <c r="AP124">
        <f t="shared" si="51"/>
        <v>2</v>
      </c>
      <c r="AQ124">
        <f t="shared" si="52"/>
        <v>6</v>
      </c>
      <c r="AR124">
        <v>502</v>
      </c>
      <c r="AS124" s="1" t="str">
        <f t="shared" si="69"/>
        <v>2</v>
      </c>
      <c r="AT124">
        <v>4</v>
      </c>
      <c r="BC124">
        <f t="shared" si="82"/>
        <v>370</v>
      </c>
      <c r="BD124">
        <v>1.7</v>
      </c>
      <c r="BE124">
        <f t="shared" si="81"/>
        <v>100</v>
      </c>
      <c r="BI124">
        <v>5.2</v>
      </c>
      <c r="BJ124">
        <v>6</v>
      </c>
      <c r="BK124">
        <v>1.6</v>
      </c>
      <c r="BL124">
        <v>2</v>
      </c>
      <c r="BP124" t="s">
        <v>974</v>
      </c>
      <c r="BQ124" t="str">
        <f t="shared" si="53"/>
        <v>2</v>
      </c>
      <c r="BT124">
        <v>23</v>
      </c>
      <c r="BU124" t="str">
        <f t="shared" si="45"/>
        <v>441023,442023</v>
      </c>
      <c r="BV124">
        <f t="shared" si="74"/>
        <v>441023</v>
      </c>
      <c r="BW124">
        <f t="shared" si="75"/>
        <v>442023</v>
      </c>
      <c r="CF124" t="str">
        <f t="shared" si="57"/>
        <v>DATA_Class_Base41</v>
      </c>
      <c r="CG124" s="34" t="s">
        <v>1004</v>
      </c>
    </row>
    <row r="125" spans="1:85">
      <c r="A125">
        <f t="shared" si="58"/>
        <v>4053401</v>
      </c>
      <c r="B125" s="34" t="s">
        <v>390</v>
      </c>
      <c r="C125">
        <v>5</v>
      </c>
      <c r="D125">
        <v>4</v>
      </c>
      <c r="E125">
        <v>3</v>
      </c>
      <c r="F125" t="s">
        <v>1172</v>
      </c>
      <c r="G125" t="str">
        <f t="shared" si="71"/>
        <v>法师1_45_3</v>
      </c>
      <c r="H125">
        <v>0</v>
      </c>
      <c r="I125" s="2" t="s">
        <v>161</v>
      </c>
      <c r="J125" s="2">
        <f t="shared" si="54"/>
        <v>6</v>
      </c>
      <c r="K125" s="2">
        <f t="shared" si="48"/>
        <v>1.17</v>
      </c>
      <c r="L125" s="2">
        <f t="shared" si="47"/>
        <v>1.47</v>
      </c>
      <c r="M125" s="2">
        <v>10</v>
      </c>
      <c r="N125" s="2">
        <f t="shared" si="73"/>
        <v>56.320000000000022</v>
      </c>
      <c r="O125" s="2">
        <f t="shared" si="73"/>
        <v>5.6320000000000023</v>
      </c>
      <c r="P125" s="2">
        <f t="shared" si="73"/>
        <v>873.6</v>
      </c>
      <c r="Q125" s="2">
        <f t="shared" si="72"/>
        <v>87.360000000000014</v>
      </c>
      <c r="R125" s="2">
        <f t="shared" si="72"/>
        <v>27</v>
      </c>
      <c r="S125" s="2">
        <f t="shared" si="72"/>
        <v>2.7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>
        <v>40434011</v>
      </c>
      <c r="Z125" s="14" t="s">
        <v>1086</v>
      </c>
      <c r="AA125" s="14" t="s">
        <v>1130</v>
      </c>
      <c r="AB125">
        <v>0</v>
      </c>
      <c r="AC125" s="2">
        <v>31</v>
      </c>
      <c r="AD125" s="2"/>
      <c r="AE125" s="2"/>
      <c r="AF125">
        <v>1</v>
      </c>
      <c r="AG125" s="1">
        <f t="shared" si="49"/>
        <v>353.72020586282531</v>
      </c>
      <c r="AH125">
        <v>5</v>
      </c>
      <c r="AI125">
        <f t="shared" si="59"/>
        <v>56.320000000000022</v>
      </c>
      <c r="AJ125">
        <f t="shared" si="60"/>
        <v>5.6320000000000023</v>
      </c>
      <c r="AK125">
        <f t="shared" si="61"/>
        <v>873.6</v>
      </c>
      <c r="AL125">
        <f t="shared" si="62"/>
        <v>87.360000000000014</v>
      </c>
      <c r="AM125">
        <f t="shared" si="55"/>
        <v>27</v>
      </c>
      <c r="AN125">
        <f t="shared" si="56"/>
        <v>2.7</v>
      </c>
      <c r="AO125">
        <f t="shared" si="50"/>
        <v>1.6</v>
      </c>
      <c r="AP125">
        <f t="shared" si="51"/>
        <v>2</v>
      </c>
      <c r="AQ125">
        <f t="shared" si="52"/>
        <v>6</v>
      </c>
      <c r="AR125">
        <v>401</v>
      </c>
      <c r="AS125" s="1" t="str">
        <f t="shared" si="69"/>
        <v>1</v>
      </c>
      <c r="AT125">
        <v>4</v>
      </c>
      <c r="BC125">
        <f t="shared" si="82"/>
        <v>360</v>
      </c>
      <c r="BD125">
        <v>1.6</v>
      </c>
      <c r="BE125">
        <f t="shared" si="81"/>
        <v>100</v>
      </c>
      <c r="BP125" t="s">
        <v>953</v>
      </c>
      <c r="BQ125" t="str">
        <f t="shared" si="53"/>
        <v>1</v>
      </c>
      <c r="BT125">
        <v>24</v>
      </c>
      <c r="BU125" t="str">
        <f t="shared" si="45"/>
        <v>441024,442024</v>
      </c>
      <c r="BV125">
        <f t="shared" si="74"/>
        <v>441024</v>
      </c>
      <c r="BW125">
        <f t="shared" si="75"/>
        <v>442024</v>
      </c>
      <c r="CF125" t="str">
        <f t="shared" si="57"/>
        <v>DATA_Class_Base33</v>
      </c>
      <c r="CG125" s="34" t="s">
        <v>318</v>
      </c>
    </row>
    <row r="126" spans="1:85">
      <c r="A126">
        <f t="shared" si="58"/>
        <v>4054201</v>
      </c>
      <c r="B126" s="34" t="s">
        <v>383</v>
      </c>
      <c r="C126">
        <v>5</v>
      </c>
      <c r="D126">
        <v>2</v>
      </c>
      <c r="E126">
        <v>4</v>
      </c>
      <c r="F126" t="s">
        <v>1173</v>
      </c>
      <c r="G126" t="str">
        <f t="shared" si="71"/>
        <v>战士1_45_4</v>
      </c>
      <c r="H126" s="2">
        <v>0</v>
      </c>
      <c r="I126" s="2" t="s">
        <v>298</v>
      </c>
      <c r="J126" s="2">
        <f t="shared" si="54"/>
        <v>2.5</v>
      </c>
      <c r="K126" s="2">
        <f t="shared" si="48"/>
        <v>1.32</v>
      </c>
      <c r="L126" s="2">
        <f t="shared" si="47"/>
        <v>1.32</v>
      </c>
      <c r="M126" s="2">
        <v>10</v>
      </c>
      <c r="N126" s="2">
        <f t="shared" si="73"/>
        <v>46.080000000000005</v>
      </c>
      <c r="O126" s="2">
        <f t="shared" si="73"/>
        <v>4.6080000000000005</v>
      </c>
      <c r="P126" s="2">
        <f t="shared" si="73"/>
        <v>1200</v>
      </c>
      <c r="Q126" s="2">
        <f t="shared" si="72"/>
        <v>120</v>
      </c>
      <c r="R126" s="2">
        <f t="shared" si="72"/>
        <v>36</v>
      </c>
      <c r="S126" s="2">
        <f t="shared" si="72"/>
        <v>3.6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>
        <v>40442011</v>
      </c>
      <c r="Z126" s="14" t="s">
        <v>1088</v>
      </c>
      <c r="AA126" s="14" t="s">
        <v>1130</v>
      </c>
      <c r="AB126">
        <v>0</v>
      </c>
      <c r="AC126" s="2">
        <v>19</v>
      </c>
      <c r="AD126" s="2"/>
      <c r="AE126" s="2"/>
      <c r="AF126">
        <v>1</v>
      </c>
      <c r="AG126" s="1">
        <f t="shared" si="49"/>
        <v>354.07209096040651</v>
      </c>
      <c r="AH126">
        <v>5</v>
      </c>
      <c r="AI126">
        <f t="shared" si="59"/>
        <v>46.080000000000005</v>
      </c>
      <c r="AJ126">
        <f t="shared" si="60"/>
        <v>4.6080000000000005</v>
      </c>
      <c r="AK126">
        <f t="shared" si="61"/>
        <v>1200</v>
      </c>
      <c r="AL126">
        <f t="shared" si="62"/>
        <v>120</v>
      </c>
      <c r="AM126">
        <f t="shared" si="55"/>
        <v>36</v>
      </c>
      <c r="AN126">
        <f t="shared" si="56"/>
        <v>3.6</v>
      </c>
      <c r="AO126">
        <f t="shared" si="50"/>
        <v>1.8</v>
      </c>
      <c r="AP126">
        <f t="shared" si="51"/>
        <v>1.8</v>
      </c>
      <c r="AQ126">
        <f t="shared" si="52"/>
        <v>2.5</v>
      </c>
      <c r="AR126">
        <v>201</v>
      </c>
      <c r="AS126" s="1" t="str">
        <f t="shared" si="69"/>
        <v>1</v>
      </c>
      <c r="AT126">
        <v>4</v>
      </c>
      <c r="BC126">
        <f t="shared" si="82"/>
        <v>350</v>
      </c>
      <c r="BD126">
        <v>1.5</v>
      </c>
      <c r="BE126">
        <f t="shared" si="81"/>
        <v>100</v>
      </c>
      <c r="BI126" t="s">
        <v>1174</v>
      </c>
      <c r="BJ126">
        <v>30</v>
      </c>
      <c r="BL126" t="s">
        <v>1175</v>
      </c>
      <c r="BM126">
        <v>30</v>
      </c>
      <c r="BP126" t="s">
        <v>913</v>
      </c>
      <c r="BQ126" t="str">
        <f t="shared" si="53"/>
        <v>1</v>
      </c>
      <c r="BT126">
        <v>25</v>
      </c>
      <c r="BU126" t="str">
        <f t="shared" si="45"/>
        <v>441025,442025</v>
      </c>
      <c r="BV126">
        <f t="shared" si="74"/>
        <v>441025</v>
      </c>
      <c r="BW126">
        <f t="shared" si="75"/>
        <v>442025</v>
      </c>
      <c r="CF126" t="str">
        <f t="shared" si="57"/>
        <v>DATA_Class_Base31</v>
      </c>
      <c r="CG126" s="34" t="s">
        <v>300</v>
      </c>
    </row>
    <row r="127" spans="1:85">
      <c r="A127">
        <f t="shared" si="58"/>
        <v>4054301</v>
      </c>
      <c r="B127" s="35" t="s">
        <v>398</v>
      </c>
      <c r="C127">
        <v>5</v>
      </c>
      <c r="D127">
        <v>3</v>
      </c>
      <c r="E127">
        <v>4</v>
      </c>
      <c r="F127" t="s">
        <v>1176</v>
      </c>
      <c r="G127" t="str">
        <f t="shared" si="71"/>
        <v>刺客1_45_4</v>
      </c>
      <c r="H127" s="2">
        <v>0</v>
      </c>
      <c r="I127" s="2" t="s">
        <v>285</v>
      </c>
      <c r="J127" s="2">
        <f t="shared" si="54"/>
        <v>2.5</v>
      </c>
      <c r="K127" s="2">
        <f t="shared" si="48"/>
        <v>0.88</v>
      </c>
      <c r="L127" s="2">
        <f t="shared" si="47"/>
        <v>1.47</v>
      </c>
      <c r="M127" s="2">
        <v>10</v>
      </c>
      <c r="N127" s="2">
        <f t="shared" si="73"/>
        <v>34.56</v>
      </c>
      <c r="O127" s="2">
        <f t="shared" si="73"/>
        <v>3.4560000000000004</v>
      </c>
      <c r="P127" s="2">
        <f t="shared" si="73"/>
        <v>1065.6000000000001</v>
      </c>
      <c r="Q127" s="2">
        <f t="shared" si="72"/>
        <v>106.56000000000002</v>
      </c>
      <c r="R127" s="2">
        <f t="shared" si="72"/>
        <v>33</v>
      </c>
      <c r="S127" s="2">
        <f t="shared" si="72"/>
        <v>3.3000000000000003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>
        <v>40443011</v>
      </c>
      <c r="Z127" s="14" t="s">
        <v>1090</v>
      </c>
      <c r="AA127" s="14" t="s">
        <v>1130</v>
      </c>
      <c r="AB127">
        <v>0</v>
      </c>
      <c r="AC127" s="2">
        <v>19</v>
      </c>
      <c r="AD127" s="2"/>
      <c r="AE127" s="2"/>
      <c r="AF127">
        <v>1</v>
      </c>
      <c r="AG127" s="1">
        <f t="shared" si="49"/>
        <v>353.48285770695259</v>
      </c>
      <c r="AH127">
        <v>5</v>
      </c>
      <c r="AI127">
        <f t="shared" si="59"/>
        <v>34.56</v>
      </c>
      <c r="AJ127">
        <f t="shared" si="60"/>
        <v>3.4560000000000004</v>
      </c>
      <c r="AK127">
        <f t="shared" si="61"/>
        <v>1065.6000000000001</v>
      </c>
      <c r="AL127">
        <f t="shared" si="62"/>
        <v>106.56000000000002</v>
      </c>
      <c r="AM127">
        <f t="shared" si="55"/>
        <v>33</v>
      </c>
      <c r="AN127">
        <f t="shared" si="56"/>
        <v>3.3000000000000003</v>
      </c>
      <c r="AO127">
        <f t="shared" si="50"/>
        <v>1.2</v>
      </c>
      <c r="AP127">
        <f t="shared" si="51"/>
        <v>2</v>
      </c>
      <c r="AQ127">
        <f t="shared" si="52"/>
        <v>2.5</v>
      </c>
      <c r="AR127">
        <v>301</v>
      </c>
      <c r="AS127" s="1" t="str">
        <f t="shared" si="69"/>
        <v>1</v>
      </c>
      <c r="AT127">
        <v>4</v>
      </c>
      <c r="BC127">
        <f t="shared" si="82"/>
        <v>340</v>
      </c>
      <c r="BD127">
        <v>1.4</v>
      </c>
      <c r="BE127">
        <f t="shared" si="81"/>
        <v>100</v>
      </c>
      <c r="BI127">
        <f>5.2+1.6</f>
        <v>6.8000000000000007</v>
      </c>
      <c r="BJ127">
        <v>1</v>
      </c>
      <c r="BL127">
        <v>8</v>
      </c>
      <c r="BM127">
        <v>1</v>
      </c>
      <c r="BP127" t="s">
        <v>923</v>
      </c>
      <c r="BQ127" t="str">
        <f t="shared" si="53"/>
        <v>1</v>
      </c>
      <c r="BT127">
        <v>26</v>
      </c>
      <c r="BU127" t="str">
        <f t="shared" ref="BU127:BU141" si="83">BV127&amp;","&amp;BW127</f>
        <v>441026,442026</v>
      </c>
      <c r="BV127">
        <f t="shared" si="74"/>
        <v>441026</v>
      </c>
      <c r="BW127">
        <f t="shared" si="75"/>
        <v>442026</v>
      </c>
      <c r="CF127" t="str">
        <f t="shared" si="57"/>
        <v>DATA_Class_Base36</v>
      </c>
      <c r="CG127" s="35" t="s">
        <v>312</v>
      </c>
    </row>
    <row r="128" spans="1:85">
      <c r="A128">
        <f t="shared" si="58"/>
        <v>4054401</v>
      </c>
      <c r="B128" s="34" t="s">
        <v>390</v>
      </c>
      <c r="C128">
        <v>5</v>
      </c>
      <c r="D128">
        <v>4</v>
      </c>
      <c r="E128">
        <v>4</v>
      </c>
      <c r="F128" t="s">
        <v>1177</v>
      </c>
      <c r="G128" t="str">
        <f t="shared" si="71"/>
        <v>法师1_45_4</v>
      </c>
      <c r="H128">
        <v>0</v>
      </c>
      <c r="I128" s="2" t="s">
        <v>161</v>
      </c>
      <c r="J128" s="2">
        <f t="shared" si="54"/>
        <v>6</v>
      </c>
      <c r="K128" s="2">
        <f t="shared" si="48"/>
        <v>1.17</v>
      </c>
      <c r="L128" s="2">
        <f t="shared" si="47"/>
        <v>1.47</v>
      </c>
      <c r="M128" s="2">
        <v>10</v>
      </c>
      <c r="N128" s="2">
        <f t="shared" si="73"/>
        <v>56.320000000000022</v>
      </c>
      <c r="O128" s="2">
        <f t="shared" si="73"/>
        <v>5.6320000000000023</v>
      </c>
      <c r="P128" s="2">
        <f t="shared" si="73"/>
        <v>873.6</v>
      </c>
      <c r="Q128" s="2">
        <f t="shared" si="72"/>
        <v>87.360000000000014</v>
      </c>
      <c r="R128" s="2">
        <f t="shared" si="72"/>
        <v>27</v>
      </c>
      <c r="S128" s="2">
        <f t="shared" si="72"/>
        <v>2.7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>
        <v>40444011</v>
      </c>
      <c r="Z128" s="14" t="s">
        <v>1092</v>
      </c>
      <c r="AA128" s="14" t="s">
        <v>1130</v>
      </c>
      <c r="AB128">
        <v>0</v>
      </c>
      <c r="AC128" s="2">
        <v>19</v>
      </c>
      <c r="AD128" s="2"/>
      <c r="AE128" s="2"/>
      <c r="AF128">
        <v>1</v>
      </c>
      <c r="AG128" s="1">
        <f t="shared" si="49"/>
        <v>353.72020586282531</v>
      </c>
      <c r="AH128">
        <v>5</v>
      </c>
      <c r="AI128">
        <f t="shared" si="59"/>
        <v>56.320000000000022</v>
      </c>
      <c r="AJ128">
        <f t="shared" si="60"/>
        <v>5.6320000000000023</v>
      </c>
      <c r="AK128">
        <f t="shared" si="61"/>
        <v>873.6</v>
      </c>
      <c r="AL128">
        <f t="shared" si="62"/>
        <v>87.360000000000014</v>
      </c>
      <c r="AM128">
        <f t="shared" si="55"/>
        <v>27</v>
      </c>
      <c r="AN128">
        <f t="shared" si="56"/>
        <v>2.7</v>
      </c>
      <c r="AO128">
        <f t="shared" si="50"/>
        <v>1.6</v>
      </c>
      <c r="AP128">
        <f t="shared" si="51"/>
        <v>2</v>
      </c>
      <c r="AQ128">
        <f t="shared" si="52"/>
        <v>6</v>
      </c>
      <c r="AR128">
        <v>401</v>
      </c>
      <c r="AS128" s="1" t="str">
        <f t="shared" si="69"/>
        <v>1</v>
      </c>
      <c r="AT128">
        <v>4</v>
      </c>
      <c r="BC128">
        <f t="shared" si="82"/>
        <v>330</v>
      </c>
      <c r="BD128">
        <v>1.3</v>
      </c>
      <c r="BE128">
        <f t="shared" si="81"/>
        <v>100</v>
      </c>
      <c r="BI128">
        <f>BJ126*BI127/BJ127</f>
        <v>204.00000000000003</v>
      </c>
      <c r="BJ128">
        <v>100</v>
      </c>
      <c r="BL128">
        <f>BL127*BM126/BM127</f>
        <v>240</v>
      </c>
      <c r="BM128">
        <v>120</v>
      </c>
      <c r="BP128" t="s">
        <v>953</v>
      </c>
      <c r="BQ128" t="str">
        <f t="shared" si="53"/>
        <v>1</v>
      </c>
      <c r="BT128">
        <v>27</v>
      </c>
      <c r="BU128" t="str">
        <f t="shared" si="83"/>
        <v>441027,442027</v>
      </c>
      <c r="BV128">
        <f t="shared" si="74"/>
        <v>441027</v>
      </c>
      <c r="BW128">
        <f t="shared" si="75"/>
        <v>442027</v>
      </c>
      <c r="CF128" t="str">
        <f t="shared" si="57"/>
        <v>DATA_Class_Base33</v>
      </c>
      <c r="CG128" s="34" t="s">
        <v>318</v>
      </c>
    </row>
    <row r="129" spans="1:85">
      <c r="A129">
        <f t="shared" si="58"/>
        <v>4054501</v>
      </c>
      <c r="B129" s="34" t="s">
        <v>401</v>
      </c>
      <c r="C129">
        <v>5</v>
      </c>
      <c r="D129">
        <v>5</v>
      </c>
      <c r="E129">
        <v>4</v>
      </c>
      <c r="F129" t="s">
        <v>1178</v>
      </c>
      <c r="G129" t="str">
        <f t="shared" si="71"/>
        <v>游侠1_45_4</v>
      </c>
      <c r="H129" s="2">
        <v>0</v>
      </c>
      <c r="I129" s="2" t="s">
        <v>334</v>
      </c>
      <c r="J129" s="2">
        <f t="shared" si="54"/>
        <v>6</v>
      </c>
      <c r="K129" s="2">
        <f t="shared" si="48"/>
        <v>1.17</v>
      </c>
      <c r="L129" s="2">
        <f t="shared" si="47"/>
        <v>1.47</v>
      </c>
      <c r="M129" s="2">
        <v>10</v>
      </c>
      <c r="N129" s="2">
        <f t="shared" si="73"/>
        <v>61.44</v>
      </c>
      <c r="O129" s="2">
        <f t="shared" si="73"/>
        <v>6.1440000000000001</v>
      </c>
      <c r="P129" s="2">
        <f t="shared" si="73"/>
        <v>796.80000000000007</v>
      </c>
      <c r="Q129" s="2">
        <f t="shared" si="72"/>
        <v>79.680000000000007</v>
      </c>
      <c r="R129" s="2">
        <f t="shared" si="72"/>
        <v>24</v>
      </c>
      <c r="S129" s="2">
        <f t="shared" si="72"/>
        <v>2.4000000000000004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>
        <v>40445011</v>
      </c>
      <c r="Z129" s="14" t="s">
        <v>1094</v>
      </c>
      <c r="AA129" s="14" t="s">
        <v>1130</v>
      </c>
      <c r="AB129">
        <v>0</v>
      </c>
      <c r="AC129" s="2">
        <v>19</v>
      </c>
      <c r="AD129" s="2"/>
      <c r="AE129" s="2"/>
      <c r="AF129">
        <v>1</v>
      </c>
      <c r="AG129" s="1">
        <f t="shared" si="49"/>
        <v>351.71984944507</v>
      </c>
      <c r="AH129">
        <v>5</v>
      </c>
      <c r="AI129">
        <f t="shared" si="59"/>
        <v>61.44</v>
      </c>
      <c r="AJ129">
        <f t="shared" si="60"/>
        <v>6.1440000000000001</v>
      </c>
      <c r="AK129">
        <f t="shared" si="61"/>
        <v>796.80000000000007</v>
      </c>
      <c r="AL129">
        <f t="shared" si="62"/>
        <v>79.680000000000007</v>
      </c>
      <c r="AM129">
        <f t="shared" si="55"/>
        <v>24</v>
      </c>
      <c r="AN129">
        <f t="shared" si="56"/>
        <v>2.4000000000000004</v>
      </c>
      <c r="AO129">
        <f t="shared" si="50"/>
        <v>1.6</v>
      </c>
      <c r="AP129">
        <f t="shared" si="51"/>
        <v>2</v>
      </c>
      <c r="AQ129">
        <f t="shared" si="52"/>
        <v>6</v>
      </c>
      <c r="AR129">
        <v>501</v>
      </c>
      <c r="AS129" s="1" t="str">
        <f t="shared" si="69"/>
        <v>1</v>
      </c>
      <c r="AT129">
        <v>4</v>
      </c>
      <c r="BC129">
        <f t="shared" si="82"/>
        <v>320</v>
      </c>
      <c r="BD129">
        <v>1.2</v>
      </c>
      <c r="BE129">
        <f t="shared" si="81"/>
        <v>100</v>
      </c>
      <c r="BP129" t="s">
        <v>945</v>
      </c>
      <c r="BQ129" t="str">
        <f t="shared" si="53"/>
        <v>1</v>
      </c>
      <c r="BT129">
        <v>28</v>
      </c>
      <c r="BU129" t="str">
        <f t="shared" si="83"/>
        <v>441028,442028</v>
      </c>
      <c r="BV129">
        <f t="shared" si="74"/>
        <v>441028</v>
      </c>
      <c r="BW129">
        <f t="shared" si="75"/>
        <v>442028</v>
      </c>
      <c r="CF129" t="str">
        <f t="shared" si="57"/>
        <v>DATA_Class_Base37</v>
      </c>
      <c r="CG129" s="34" t="s">
        <v>994</v>
      </c>
    </row>
    <row r="130" spans="1:85">
      <c r="A130">
        <f t="shared" si="58"/>
        <v>4054601</v>
      </c>
      <c r="B130" s="35" t="s">
        <v>396</v>
      </c>
      <c r="C130">
        <v>5</v>
      </c>
      <c r="D130">
        <v>6</v>
      </c>
      <c r="E130">
        <v>4</v>
      </c>
      <c r="F130" t="s">
        <v>1179</v>
      </c>
      <c r="G130" t="str">
        <f t="shared" si="71"/>
        <v>牧师1_45_4</v>
      </c>
      <c r="H130" s="2">
        <v>0</v>
      </c>
      <c r="I130" s="2" t="s">
        <v>309</v>
      </c>
      <c r="J130" s="2">
        <f t="shared" si="54"/>
        <v>5</v>
      </c>
      <c r="K130" s="2">
        <f t="shared" si="48"/>
        <v>1.1000000000000001</v>
      </c>
      <c r="L130" s="2">
        <f t="shared" si="47"/>
        <v>1.47</v>
      </c>
      <c r="M130" s="2">
        <v>10</v>
      </c>
      <c r="N130" s="2">
        <f t="shared" si="73"/>
        <v>48</v>
      </c>
      <c r="O130" s="2">
        <f t="shared" si="73"/>
        <v>4.8000000000000007</v>
      </c>
      <c r="P130" s="2">
        <f t="shared" si="73"/>
        <v>960</v>
      </c>
      <c r="Q130" s="2">
        <f t="shared" si="72"/>
        <v>96</v>
      </c>
      <c r="R130" s="2">
        <f t="shared" si="72"/>
        <v>30</v>
      </c>
      <c r="S130" s="2">
        <f t="shared" si="72"/>
        <v>3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>
        <v>40446011</v>
      </c>
      <c r="Z130" s="14" t="s">
        <v>1096</v>
      </c>
      <c r="AA130" s="14" t="s">
        <v>1130</v>
      </c>
      <c r="AB130">
        <v>0</v>
      </c>
      <c r="AC130" s="2">
        <v>19</v>
      </c>
      <c r="AD130" s="2"/>
      <c r="AE130" s="2"/>
      <c r="AF130">
        <v>1</v>
      </c>
      <c r="AG130" s="1">
        <f t="shared" si="49"/>
        <v>353.60161063015914</v>
      </c>
      <c r="AH130">
        <v>5</v>
      </c>
      <c r="AI130">
        <f t="shared" si="59"/>
        <v>48</v>
      </c>
      <c r="AJ130">
        <f t="shared" si="60"/>
        <v>4.8000000000000007</v>
      </c>
      <c r="AK130">
        <f t="shared" si="61"/>
        <v>960</v>
      </c>
      <c r="AL130">
        <f t="shared" si="62"/>
        <v>96</v>
      </c>
      <c r="AM130">
        <f t="shared" si="55"/>
        <v>30</v>
      </c>
      <c r="AN130">
        <f t="shared" si="56"/>
        <v>3</v>
      </c>
      <c r="AO130">
        <f t="shared" si="50"/>
        <v>1.5</v>
      </c>
      <c r="AP130">
        <f t="shared" si="51"/>
        <v>2</v>
      </c>
      <c r="AQ130">
        <f t="shared" si="52"/>
        <v>5</v>
      </c>
      <c r="AR130">
        <v>601</v>
      </c>
      <c r="AS130" s="1" t="str">
        <f t="shared" si="69"/>
        <v>1</v>
      </c>
      <c r="AT130">
        <v>4</v>
      </c>
      <c r="BC130">
        <f t="shared" si="82"/>
        <v>310</v>
      </c>
      <c r="BD130">
        <v>1.1000000000000001</v>
      </c>
      <c r="BE130">
        <f t="shared" si="81"/>
        <v>100</v>
      </c>
      <c r="BI130" t="s">
        <v>1180</v>
      </c>
      <c r="BP130" t="s">
        <v>960</v>
      </c>
      <c r="BQ130" t="str">
        <f t="shared" si="53"/>
        <v>1</v>
      </c>
      <c r="BT130">
        <v>29</v>
      </c>
      <c r="BU130" t="str">
        <f t="shared" si="83"/>
        <v>441029,442029</v>
      </c>
      <c r="BV130">
        <f t="shared" si="74"/>
        <v>441029</v>
      </c>
      <c r="BW130">
        <f t="shared" si="75"/>
        <v>442029</v>
      </c>
      <c r="CF130" t="str">
        <f t="shared" si="57"/>
        <v>DATA_Class_Base35</v>
      </c>
      <c r="CG130" s="35" t="s">
        <v>342</v>
      </c>
    </row>
    <row r="131" spans="1:85">
      <c r="A131">
        <f t="shared" si="58"/>
        <v>4054502</v>
      </c>
      <c r="B131" s="34" t="s">
        <v>412</v>
      </c>
      <c r="C131">
        <v>5</v>
      </c>
      <c r="D131">
        <v>5</v>
      </c>
      <c r="E131">
        <v>4</v>
      </c>
      <c r="F131" t="s">
        <v>1181</v>
      </c>
      <c r="G131" t="str">
        <f t="shared" si="71"/>
        <v>游侠2_45_4</v>
      </c>
      <c r="H131">
        <v>0</v>
      </c>
      <c r="I131" s="2" t="s">
        <v>291</v>
      </c>
      <c r="J131" s="2">
        <f t="shared" si="54"/>
        <v>6</v>
      </c>
      <c r="K131" s="2">
        <f t="shared" si="48"/>
        <v>1.02</v>
      </c>
      <c r="L131" s="2">
        <f t="shared" si="47"/>
        <v>1.47</v>
      </c>
      <c r="M131" s="2">
        <v>10</v>
      </c>
      <c r="N131" s="2">
        <f t="shared" si="73"/>
        <v>53.759999999999991</v>
      </c>
      <c r="O131" s="2">
        <f t="shared" si="73"/>
        <v>5.3759999999999994</v>
      </c>
      <c r="P131" s="2">
        <f t="shared" si="73"/>
        <v>796.80000000000007</v>
      </c>
      <c r="Q131" s="2">
        <f t="shared" si="72"/>
        <v>79.680000000000007</v>
      </c>
      <c r="R131" s="2">
        <f t="shared" si="72"/>
        <v>24</v>
      </c>
      <c r="S131" s="2">
        <f t="shared" si="72"/>
        <v>2.4000000000000004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>
        <v>40445021</v>
      </c>
      <c r="Z131" s="14" t="s">
        <v>1098</v>
      </c>
      <c r="AA131" s="14" t="s">
        <v>1130</v>
      </c>
      <c r="AB131">
        <v>0</v>
      </c>
      <c r="AC131" s="2">
        <v>19</v>
      </c>
      <c r="AD131" s="2"/>
      <c r="AE131" s="2"/>
      <c r="AF131">
        <v>1</v>
      </c>
      <c r="AG131" s="1">
        <f t="shared" si="49"/>
        <v>351.71984944506994</v>
      </c>
      <c r="AH131">
        <v>5</v>
      </c>
      <c r="AI131">
        <f t="shared" si="59"/>
        <v>53.759999999999991</v>
      </c>
      <c r="AJ131">
        <f t="shared" si="60"/>
        <v>5.3759999999999994</v>
      </c>
      <c r="AK131">
        <f t="shared" si="61"/>
        <v>796.80000000000007</v>
      </c>
      <c r="AL131">
        <f t="shared" si="62"/>
        <v>79.680000000000007</v>
      </c>
      <c r="AM131">
        <f t="shared" si="55"/>
        <v>24</v>
      </c>
      <c r="AN131">
        <f t="shared" si="56"/>
        <v>2.4000000000000004</v>
      </c>
      <c r="AO131">
        <f t="shared" si="50"/>
        <v>1.4</v>
      </c>
      <c r="AP131">
        <f t="shared" si="51"/>
        <v>2</v>
      </c>
      <c r="AQ131">
        <f t="shared" si="52"/>
        <v>6</v>
      </c>
      <c r="AR131">
        <v>502</v>
      </c>
      <c r="AS131" s="1" t="str">
        <f t="shared" si="69"/>
        <v>2</v>
      </c>
      <c r="AT131">
        <v>4</v>
      </c>
      <c r="BC131">
        <f t="shared" si="82"/>
        <v>300</v>
      </c>
      <c r="BD131">
        <v>1</v>
      </c>
      <c r="BE131">
        <f t="shared" si="81"/>
        <v>100</v>
      </c>
      <c r="BI131" t="s">
        <v>1182</v>
      </c>
      <c r="BP131" t="s">
        <v>974</v>
      </c>
      <c r="BQ131" t="str">
        <f t="shared" si="53"/>
        <v>2</v>
      </c>
      <c r="BT131">
        <v>30</v>
      </c>
      <c r="BU131" t="str">
        <f t="shared" si="83"/>
        <v>441030,442030</v>
      </c>
      <c r="BV131">
        <f t="shared" si="74"/>
        <v>441030</v>
      </c>
      <c r="BW131">
        <f t="shared" si="75"/>
        <v>442030</v>
      </c>
      <c r="CF131" t="str">
        <f t="shared" si="57"/>
        <v>DATA_Class_Base41</v>
      </c>
      <c r="CG131" s="34" t="s">
        <v>1004</v>
      </c>
    </row>
    <row r="132" spans="1:85">
      <c r="A132">
        <f t="shared" si="58"/>
        <v>4054600</v>
      </c>
      <c r="B132" s="35" t="s">
        <v>1017</v>
      </c>
      <c r="C132">
        <v>5</v>
      </c>
      <c r="D132">
        <v>6</v>
      </c>
      <c r="E132">
        <v>4</v>
      </c>
      <c r="F132" t="s">
        <v>1183</v>
      </c>
      <c r="G132" t="str">
        <f t="shared" si="71"/>
        <v>牧师0_45_4</v>
      </c>
      <c r="H132">
        <v>0</v>
      </c>
      <c r="I132" s="2" t="s">
        <v>339</v>
      </c>
      <c r="J132" s="2">
        <f t="shared" si="54"/>
        <v>4</v>
      </c>
      <c r="K132" s="2">
        <f t="shared" si="48"/>
        <v>1.02</v>
      </c>
      <c r="L132" s="2">
        <f t="shared" ref="L132:L195" si="84">FLOOR(AP132/1.36,0.01)</f>
        <v>1.3900000000000001</v>
      </c>
      <c r="M132" s="2">
        <v>10</v>
      </c>
      <c r="N132" s="2">
        <f t="shared" si="73"/>
        <v>44.8</v>
      </c>
      <c r="O132" s="2">
        <f t="shared" si="73"/>
        <v>4.4799999999999995</v>
      </c>
      <c r="P132" s="2">
        <f t="shared" si="73"/>
        <v>960</v>
      </c>
      <c r="Q132" s="2">
        <f t="shared" si="72"/>
        <v>96</v>
      </c>
      <c r="R132" s="2">
        <f t="shared" si="72"/>
        <v>30</v>
      </c>
      <c r="S132" s="2">
        <f t="shared" si="72"/>
        <v>3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>
        <v>40446001</v>
      </c>
      <c r="Z132" s="14" t="s">
        <v>1100</v>
      </c>
      <c r="AA132" s="14" t="s">
        <v>1130</v>
      </c>
      <c r="AB132">
        <v>0</v>
      </c>
      <c r="AC132" s="2">
        <v>19</v>
      </c>
      <c r="AD132" s="2"/>
      <c r="AE132" s="2"/>
      <c r="AF132">
        <v>1</v>
      </c>
      <c r="AG132" s="1">
        <f t="shared" si="49"/>
        <v>353.60161063015914</v>
      </c>
      <c r="AH132">
        <v>5</v>
      </c>
      <c r="AI132">
        <f t="shared" si="59"/>
        <v>44.8</v>
      </c>
      <c r="AJ132">
        <f t="shared" si="60"/>
        <v>4.4799999999999995</v>
      </c>
      <c r="AK132">
        <f t="shared" si="61"/>
        <v>960</v>
      </c>
      <c r="AL132">
        <f t="shared" si="62"/>
        <v>96</v>
      </c>
      <c r="AM132">
        <f t="shared" si="55"/>
        <v>30</v>
      </c>
      <c r="AN132">
        <f t="shared" si="56"/>
        <v>3</v>
      </c>
      <c r="AO132">
        <f t="shared" si="50"/>
        <v>1.4</v>
      </c>
      <c r="AP132">
        <f t="shared" si="51"/>
        <v>1.9</v>
      </c>
      <c r="AQ132">
        <f t="shared" si="52"/>
        <v>4</v>
      </c>
      <c r="AR132">
        <v>600</v>
      </c>
      <c r="AS132" s="1" t="str">
        <f t="shared" si="69"/>
        <v>0</v>
      </c>
      <c r="AT132">
        <v>4</v>
      </c>
      <c r="BP132" t="s">
        <v>990</v>
      </c>
      <c r="BQ132" t="str">
        <f t="shared" si="53"/>
        <v>0</v>
      </c>
      <c r="BT132">
        <v>31</v>
      </c>
      <c r="BU132" t="str">
        <f t="shared" si="83"/>
        <v>441031,442031</v>
      </c>
      <c r="BV132">
        <f t="shared" si="74"/>
        <v>441031</v>
      </c>
      <c r="BW132">
        <f t="shared" si="75"/>
        <v>442031</v>
      </c>
      <c r="CF132" t="str">
        <f t="shared" si="57"/>
        <v>DATA_Class_Base45</v>
      </c>
      <c r="CG132" s="35" t="s">
        <v>1018</v>
      </c>
    </row>
    <row r="133" spans="1:85">
      <c r="A133">
        <f t="shared" si="58"/>
        <v>4054200</v>
      </c>
      <c r="B133" s="34" t="s">
        <v>406</v>
      </c>
      <c r="C133">
        <v>5</v>
      </c>
      <c r="D133">
        <v>2</v>
      </c>
      <c r="E133">
        <v>4</v>
      </c>
      <c r="F133" t="s">
        <v>1184</v>
      </c>
      <c r="G133" t="str">
        <f t="shared" si="71"/>
        <v>战士0_45_4</v>
      </c>
      <c r="H133">
        <v>0</v>
      </c>
      <c r="I133" s="2" t="s">
        <v>314</v>
      </c>
      <c r="J133" s="2">
        <f t="shared" si="54"/>
        <v>2.5</v>
      </c>
      <c r="K133" s="2">
        <f t="shared" ref="K133:K196" si="85">FLOOR(AO133/1.363,0.01)</f>
        <v>1.1000000000000001</v>
      </c>
      <c r="L133" s="2">
        <f t="shared" si="84"/>
        <v>0.88</v>
      </c>
      <c r="M133" s="2">
        <v>10</v>
      </c>
      <c r="N133" s="2">
        <f t="shared" si="73"/>
        <v>38.400000000000006</v>
      </c>
      <c r="O133" s="2">
        <f t="shared" si="73"/>
        <v>3.8400000000000007</v>
      </c>
      <c r="P133" s="2">
        <f t="shared" si="73"/>
        <v>1200</v>
      </c>
      <c r="Q133" s="2">
        <f t="shared" si="72"/>
        <v>120</v>
      </c>
      <c r="R133" s="2">
        <f t="shared" si="72"/>
        <v>36</v>
      </c>
      <c r="S133" s="2">
        <f t="shared" si="72"/>
        <v>3.6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>
        <v>40442001</v>
      </c>
      <c r="Z133" s="14" t="s">
        <v>1103</v>
      </c>
      <c r="AA133" s="14" t="s">
        <v>1130</v>
      </c>
      <c r="AB133">
        <v>0</v>
      </c>
      <c r="AC133" s="2">
        <v>19</v>
      </c>
      <c r="AD133" s="2"/>
      <c r="AE133" s="2"/>
      <c r="AF133">
        <v>1</v>
      </c>
      <c r="AG133" s="1">
        <f t="shared" ref="AG133:AG196" si="86">(AK133+AL133*AF133)*(AI133+AJ133*AF133)/AO133*(0.9)*(1+0.5*0.1)*1/1/(1-(AM133+AN133*AF133)*0.0002)/100</f>
        <v>354.07209096040651</v>
      </c>
      <c r="AH133">
        <v>5</v>
      </c>
      <c r="AI133">
        <f t="shared" si="59"/>
        <v>38.400000000000006</v>
      </c>
      <c r="AJ133">
        <f t="shared" si="60"/>
        <v>3.8400000000000007</v>
      </c>
      <c r="AK133">
        <f t="shared" si="61"/>
        <v>1200</v>
      </c>
      <c r="AL133">
        <f t="shared" si="62"/>
        <v>120</v>
      </c>
      <c r="AM133">
        <f t="shared" si="55"/>
        <v>36</v>
      </c>
      <c r="AN133">
        <f t="shared" si="56"/>
        <v>3.6</v>
      </c>
      <c r="AO133">
        <f t="shared" ref="AO133:AO196" si="87">INDEX($AZ$5:$AZ$34,MATCH($AR133,$AU$5:$AU$34,0))</f>
        <v>1.5</v>
      </c>
      <c r="AP133">
        <f t="shared" ref="AP133:AP196" si="88">ROUND(IF(INDEX($BH$5:$BH$34,MATCH($AR133,$AU$5:$AU$34,0))&lt;2,INDEX($BH$5:$BH$34,MATCH($AR133,$AU$5:$AU$34,0))+0.2,2),1)</f>
        <v>1.2</v>
      </c>
      <c r="AQ133">
        <f t="shared" ref="AQ133:AQ196" si="89">INDEX($BD$5:$BD$34,MATCH($AR133,$AU$5:$AU$34,0))</f>
        <v>2.5</v>
      </c>
      <c r="AR133">
        <v>200</v>
      </c>
      <c r="AS133" s="1" t="str">
        <f t="shared" si="69"/>
        <v>0</v>
      </c>
      <c r="AT133">
        <v>4</v>
      </c>
      <c r="BP133" t="s">
        <v>964</v>
      </c>
      <c r="BQ133" t="str">
        <f t="shared" ref="BQ133:BQ196" si="90">RIGHT(BP133,1)</f>
        <v>0</v>
      </c>
      <c r="BT133">
        <v>32</v>
      </c>
      <c r="BU133" t="str">
        <f t="shared" si="83"/>
        <v>441032,442032</v>
      </c>
      <c r="BV133">
        <f t="shared" si="74"/>
        <v>441032</v>
      </c>
      <c r="BW133">
        <f t="shared" si="75"/>
        <v>442032</v>
      </c>
      <c r="CF133" t="str">
        <f t="shared" si="57"/>
        <v>DATA_Class_Base39</v>
      </c>
      <c r="CG133" s="34" t="s">
        <v>999</v>
      </c>
    </row>
    <row r="134" spans="1:85">
      <c r="A134">
        <f t="shared" si="58"/>
        <v>4055202</v>
      </c>
      <c r="B134" s="34" t="s">
        <v>404</v>
      </c>
      <c r="C134">
        <v>5</v>
      </c>
      <c r="D134">
        <v>2</v>
      </c>
      <c r="E134">
        <v>5</v>
      </c>
      <c r="F134" s="2" t="s">
        <v>1185</v>
      </c>
      <c r="G134" t="str">
        <f t="shared" si="71"/>
        <v>战士2_45_5</v>
      </c>
      <c r="H134">
        <v>0</v>
      </c>
      <c r="I134" s="2" t="s">
        <v>280</v>
      </c>
      <c r="J134" s="2">
        <f t="shared" si="54"/>
        <v>2.5</v>
      </c>
      <c r="K134" s="2">
        <f t="shared" si="85"/>
        <v>1.32</v>
      </c>
      <c r="L134" s="2">
        <f t="shared" si="84"/>
        <v>1.47</v>
      </c>
      <c r="M134" s="2">
        <v>10</v>
      </c>
      <c r="N134" s="2">
        <f t="shared" si="73"/>
        <v>46.080000000000005</v>
      </c>
      <c r="O134" s="2">
        <f t="shared" si="73"/>
        <v>4.6080000000000005</v>
      </c>
      <c r="P134" s="2">
        <f t="shared" si="73"/>
        <v>1200</v>
      </c>
      <c r="Q134" s="2">
        <f t="shared" si="72"/>
        <v>120</v>
      </c>
      <c r="R134" s="2">
        <f t="shared" si="72"/>
        <v>36</v>
      </c>
      <c r="S134" s="2">
        <f t="shared" si="72"/>
        <v>3.6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>
        <v>40452021</v>
      </c>
      <c r="Z134" s="14" t="s">
        <v>1106</v>
      </c>
      <c r="AA134" s="14" t="s">
        <v>1130</v>
      </c>
      <c r="AB134">
        <v>0</v>
      </c>
      <c r="AC134" s="2">
        <v>19</v>
      </c>
      <c r="AD134" s="2"/>
      <c r="AE134" s="2"/>
      <c r="AF134">
        <v>1</v>
      </c>
      <c r="AG134" s="1">
        <f t="shared" si="86"/>
        <v>354.07209096040651</v>
      </c>
      <c r="AH134">
        <v>5</v>
      </c>
      <c r="AI134">
        <f t="shared" si="59"/>
        <v>46.080000000000005</v>
      </c>
      <c r="AJ134">
        <f t="shared" si="60"/>
        <v>4.6080000000000005</v>
      </c>
      <c r="AK134">
        <f t="shared" si="61"/>
        <v>1200</v>
      </c>
      <c r="AL134">
        <f t="shared" si="62"/>
        <v>120</v>
      </c>
      <c r="AM134">
        <f t="shared" si="55"/>
        <v>36</v>
      </c>
      <c r="AN134">
        <f t="shared" si="56"/>
        <v>3.6</v>
      </c>
      <c r="AO134">
        <f t="shared" si="87"/>
        <v>1.8</v>
      </c>
      <c r="AP134">
        <f t="shared" si="88"/>
        <v>2</v>
      </c>
      <c r="AQ134">
        <f t="shared" si="89"/>
        <v>2.5</v>
      </c>
      <c r="AR134">
        <v>202</v>
      </c>
      <c r="AS134" s="1" t="str">
        <f t="shared" si="69"/>
        <v>2</v>
      </c>
      <c r="AT134">
        <v>4</v>
      </c>
      <c r="BP134" t="s">
        <v>981</v>
      </c>
      <c r="BQ134" t="str">
        <f t="shared" si="90"/>
        <v>2</v>
      </c>
      <c r="BT134">
        <v>33</v>
      </c>
      <c r="BU134" t="str">
        <f t="shared" si="83"/>
        <v>441033,442033</v>
      </c>
      <c r="BV134">
        <f t="shared" si="74"/>
        <v>441033</v>
      </c>
      <c r="BW134">
        <f t="shared" si="75"/>
        <v>442033</v>
      </c>
      <c r="CF134" t="str">
        <f t="shared" si="57"/>
        <v>DATA_Class_Base38</v>
      </c>
      <c r="CG134" s="34" t="s">
        <v>306</v>
      </c>
    </row>
    <row r="135" spans="1:85">
      <c r="A135">
        <f t="shared" si="58"/>
        <v>4055302</v>
      </c>
      <c r="B135" s="35" t="s">
        <v>1010</v>
      </c>
      <c r="C135">
        <v>5</v>
      </c>
      <c r="D135">
        <v>3</v>
      </c>
      <c r="E135">
        <v>5</v>
      </c>
      <c r="F135" t="s">
        <v>1186</v>
      </c>
      <c r="G135" t="str">
        <f t="shared" si="71"/>
        <v>刺客2_45_5</v>
      </c>
      <c r="H135" s="2">
        <v>0</v>
      </c>
      <c r="I135" s="2" t="s">
        <v>358</v>
      </c>
      <c r="J135" s="2">
        <f t="shared" si="54"/>
        <v>2.5</v>
      </c>
      <c r="K135" s="2">
        <f t="shared" si="85"/>
        <v>1.02</v>
      </c>
      <c r="L135" s="2">
        <f t="shared" si="84"/>
        <v>1.25</v>
      </c>
      <c r="M135" s="2">
        <v>10</v>
      </c>
      <c r="N135" s="2">
        <f t="shared" si="73"/>
        <v>40.32</v>
      </c>
      <c r="O135" s="2">
        <f t="shared" si="73"/>
        <v>4.032</v>
      </c>
      <c r="P135" s="2">
        <f t="shared" si="73"/>
        <v>1065.6000000000001</v>
      </c>
      <c r="Q135" s="2">
        <f t="shared" si="72"/>
        <v>106.56000000000002</v>
      </c>
      <c r="R135" s="2">
        <f t="shared" si="72"/>
        <v>33</v>
      </c>
      <c r="S135" s="2">
        <f t="shared" si="72"/>
        <v>3.3000000000000003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>
        <v>40453021</v>
      </c>
      <c r="Z135" s="14" t="s">
        <v>1108</v>
      </c>
      <c r="AA135" s="14" t="s">
        <v>1130</v>
      </c>
      <c r="AB135">
        <v>0</v>
      </c>
      <c r="AC135" s="2">
        <v>19</v>
      </c>
      <c r="AD135" s="2"/>
      <c r="AE135" s="2"/>
      <c r="AF135">
        <v>1</v>
      </c>
      <c r="AG135" s="1">
        <f t="shared" si="86"/>
        <v>353.48285770695259</v>
      </c>
      <c r="AH135">
        <v>5</v>
      </c>
      <c r="AI135">
        <f t="shared" si="59"/>
        <v>40.32</v>
      </c>
      <c r="AJ135">
        <f t="shared" si="60"/>
        <v>4.032</v>
      </c>
      <c r="AK135">
        <f t="shared" si="61"/>
        <v>1065.6000000000001</v>
      </c>
      <c r="AL135">
        <f t="shared" si="62"/>
        <v>106.56000000000002</v>
      </c>
      <c r="AM135">
        <f t="shared" si="55"/>
        <v>33</v>
      </c>
      <c r="AN135">
        <f t="shared" si="56"/>
        <v>3.3000000000000003</v>
      </c>
      <c r="AO135">
        <f t="shared" si="87"/>
        <v>1.4</v>
      </c>
      <c r="AP135">
        <f t="shared" si="88"/>
        <v>1.7</v>
      </c>
      <c r="AQ135">
        <f t="shared" si="89"/>
        <v>2.5</v>
      </c>
      <c r="AR135">
        <v>302</v>
      </c>
      <c r="AS135" s="1" t="str">
        <f t="shared" si="69"/>
        <v>2</v>
      </c>
      <c r="AT135">
        <v>4</v>
      </c>
      <c r="BP135" t="s">
        <v>983</v>
      </c>
      <c r="BQ135" t="str">
        <f t="shared" si="90"/>
        <v>2</v>
      </c>
      <c r="BT135">
        <v>34</v>
      </c>
      <c r="BU135" t="str">
        <f t="shared" si="83"/>
        <v>441034,442034</v>
      </c>
      <c r="BV135">
        <f t="shared" si="74"/>
        <v>441034</v>
      </c>
      <c r="BW135">
        <f t="shared" si="75"/>
        <v>442034</v>
      </c>
      <c r="CF135" t="str">
        <f t="shared" si="57"/>
        <v>DATA_Class_Base43</v>
      </c>
      <c r="CG135" s="35" t="s">
        <v>1011</v>
      </c>
    </row>
    <row r="136" spans="1:85">
      <c r="A136">
        <f t="shared" si="58"/>
        <v>4055400</v>
      </c>
      <c r="B136" s="34" t="s">
        <v>1014</v>
      </c>
      <c r="C136">
        <v>5</v>
      </c>
      <c r="D136">
        <v>4</v>
      </c>
      <c r="E136">
        <v>5</v>
      </c>
      <c r="F136" t="s">
        <v>1187</v>
      </c>
      <c r="G136" t="str">
        <f t="shared" si="71"/>
        <v>法师0_45_5</v>
      </c>
      <c r="H136">
        <v>0</v>
      </c>
      <c r="I136" s="2" t="s">
        <v>364</v>
      </c>
      <c r="J136" s="2">
        <f t="shared" si="54"/>
        <v>5</v>
      </c>
      <c r="K136" s="2">
        <f t="shared" si="85"/>
        <v>1.02</v>
      </c>
      <c r="L136" s="2">
        <f t="shared" si="84"/>
        <v>1.02</v>
      </c>
      <c r="M136" s="2">
        <v>10</v>
      </c>
      <c r="N136" s="2">
        <f t="shared" si="73"/>
        <v>49.28</v>
      </c>
      <c r="O136" s="2">
        <f t="shared" si="73"/>
        <v>4.9280000000000008</v>
      </c>
      <c r="P136" s="2">
        <f t="shared" si="73"/>
        <v>873.6</v>
      </c>
      <c r="Q136" s="2">
        <f t="shared" si="72"/>
        <v>87.360000000000014</v>
      </c>
      <c r="R136" s="2">
        <f t="shared" si="72"/>
        <v>27</v>
      </c>
      <c r="S136" s="2">
        <f t="shared" si="72"/>
        <v>2.7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>
        <v>40454001</v>
      </c>
      <c r="Z136" s="14" t="s">
        <v>1110</v>
      </c>
      <c r="AA136" s="14" t="s">
        <v>1130</v>
      </c>
      <c r="AB136">
        <v>0</v>
      </c>
      <c r="AC136" s="2">
        <v>19</v>
      </c>
      <c r="AD136" s="2"/>
      <c r="AE136" s="2"/>
      <c r="AF136">
        <v>1</v>
      </c>
      <c r="AG136" s="1">
        <f t="shared" si="86"/>
        <v>353.72020586282525</v>
      </c>
      <c r="AH136">
        <v>5</v>
      </c>
      <c r="AI136">
        <f t="shared" si="59"/>
        <v>49.28</v>
      </c>
      <c r="AJ136">
        <f t="shared" si="60"/>
        <v>4.9280000000000008</v>
      </c>
      <c r="AK136">
        <f t="shared" si="61"/>
        <v>873.6</v>
      </c>
      <c r="AL136">
        <f t="shared" si="62"/>
        <v>87.360000000000014</v>
      </c>
      <c r="AM136">
        <f t="shared" si="55"/>
        <v>27</v>
      </c>
      <c r="AN136">
        <f t="shared" si="56"/>
        <v>2.7</v>
      </c>
      <c r="AO136">
        <f t="shared" si="87"/>
        <v>1.4</v>
      </c>
      <c r="AP136">
        <f t="shared" si="88"/>
        <v>1.4</v>
      </c>
      <c r="AQ136">
        <f t="shared" si="89"/>
        <v>5</v>
      </c>
      <c r="AR136">
        <v>400</v>
      </c>
      <c r="AS136" s="1" t="str">
        <f t="shared" si="69"/>
        <v>0</v>
      </c>
      <c r="AT136">
        <v>4</v>
      </c>
      <c r="BP136" t="s">
        <v>986</v>
      </c>
      <c r="BQ136" t="str">
        <f t="shared" si="90"/>
        <v>0</v>
      </c>
      <c r="BT136">
        <v>35</v>
      </c>
      <c r="BU136" t="str">
        <f t="shared" si="83"/>
        <v>441035,442035</v>
      </c>
      <c r="BV136">
        <f t="shared" si="74"/>
        <v>441035</v>
      </c>
      <c r="BW136">
        <f t="shared" si="75"/>
        <v>442035</v>
      </c>
      <c r="CF136" t="str">
        <f t="shared" si="57"/>
        <v>DATA_Class_Base44</v>
      </c>
      <c r="CG136" s="34" t="s">
        <v>371</v>
      </c>
    </row>
    <row r="137" spans="1:85">
      <c r="A137">
        <f t="shared" si="58"/>
        <v>4055500</v>
      </c>
      <c r="B137" s="35" t="s">
        <v>394</v>
      </c>
      <c r="C137">
        <v>5</v>
      </c>
      <c r="D137">
        <v>5</v>
      </c>
      <c r="E137">
        <v>5</v>
      </c>
      <c r="F137" t="s">
        <v>1188</v>
      </c>
      <c r="G137" t="str">
        <f t="shared" si="71"/>
        <v>游侠0_45_5</v>
      </c>
      <c r="H137" s="2">
        <v>0</v>
      </c>
      <c r="I137" s="2" t="s">
        <v>303</v>
      </c>
      <c r="J137" s="2">
        <f t="shared" si="54"/>
        <v>5</v>
      </c>
      <c r="K137" s="2">
        <f t="shared" si="85"/>
        <v>1.1000000000000001</v>
      </c>
      <c r="L137" s="2">
        <f t="shared" si="84"/>
        <v>1.1000000000000001</v>
      </c>
      <c r="M137" s="2">
        <v>10</v>
      </c>
      <c r="N137" s="2">
        <f t="shared" si="73"/>
        <v>57.6</v>
      </c>
      <c r="O137" s="2">
        <f t="shared" si="73"/>
        <v>5.7600000000000007</v>
      </c>
      <c r="P137" s="2">
        <f t="shared" si="73"/>
        <v>796.80000000000007</v>
      </c>
      <c r="Q137" s="2">
        <f t="shared" si="72"/>
        <v>79.680000000000007</v>
      </c>
      <c r="R137" s="2">
        <f t="shared" si="72"/>
        <v>24</v>
      </c>
      <c r="S137" s="2">
        <f t="shared" si="72"/>
        <v>2.4000000000000004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>
        <v>40455001</v>
      </c>
      <c r="Z137" s="14" t="s">
        <v>1119</v>
      </c>
      <c r="AA137" s="14" t="s">
        <v>1130</v>
      </c>
      <c r="AB137">
        <v>0</v>
      </c>
      <c r="AC137" s="2">
        <v>19</v>
      </c>
      <c r="AD137" s="2"/>
      <c r="AE137" s="2"/>
      <c r="AF137">
        <v>1</v>
      </c>
      <c r="AG137" s="1">
        <f t="shared" si="86"/>
        <v>351.71984944507</v>
      </c>
      <c r="AH137">
        <v>5</v>
      </c>
      <c r="AI137">
        <f t="shared" si="59"/>
        <v>57.6</v>
      </c>
      <c r="AJ137">
        <f t="shared" si="60"/>
        <v>5.7600000000000007</v>
      </c>
      <c r="AK137">
        <f t="shared" si="61"/>
        <v>796.80000000000007</v>
      </c>
      <c r="AL137">
        <f t="shared" si="62"/>
        <v>79.680000000000007</v>
      </c>
      <c r="AM137">
        <f t="shared" si="55"/>
        <v>24</v>
      </c>
      <c r="AN137">
        <f t="shared" si="56"/>
        <v>2.4000000000000004</v>
      </c>
      <c r="AO137">
        <f t="shared" si="87"/>
        <v>1.5</v>
      </c>
      <c r="AP137">
        <f t="shared" si="88"/>
        <v>1.5</v>
      </c>
      <c r="AQ137">
        <f t="shared" si="89"/>
        <v>5</v>
      </c>
      <c r="AR137">
        <v>500</v>
      </c>
      <c r="AS137" s="1" t="str">
        <f t="shared" si="69"/>
        <v>0</v>
      </c>
      <c r="AT137">
        <v>4</v>
      </c>
      <c r="BP137" t="s">
        <v>956</v>
      </c>
      <c r="BQ137" t="str">
        <f t="shared" si="90"/>
        <v>0</v>
      </c>
      <c r="BT137">
        <v>36</v>
      </c>
      <c r="BU137" t="str">
        <f t="shared" si="83"/>
        <v>441036,442036</v>
      </c>
      <c r="BV137">
        <f t="shared" si="74"/>
        <v>441036</v>
      </c>
      <c r="BW137">
        <f t="shared" si="75"/>
        <v>442036</v>
      </c>
      <c r="CF137" t="str">
        <f t="shared" si="57"/>
        <v>DATA_Class_Base34</v>
      </c>
      <c r="CG137" s="35" t="s">
        <v>331</v>
      </c>
    </row>
    <row r="138" spans="1:85">
      <c r="A138">
        <f t="shared" si="58"/>
        <v>4055602</v>
      </c>
      <c r="B138" s="35" t="s">
        <v>414</v>
      </c>
      <c r="C138">
        <v>5</v>
      </c>
      <c r="D138">
        <v>6</v>
      </c>
      <c r="E138">
        <v>5</v>
      </c>
      <c r="F138" t="s">
        <v>1189</v>
      </c>
      <c r="G138" t="str">
        <f t="shared" si="71"/>
        <v>牧师2_45_5</v>
      </c>
      <c r="H138" t="s">
        <v>345</v>
      </c>
      <c r="I138" s="2" t="s">
        <v>346</v>
      </c>
      <c r="J138" s="2">
        <f t="shared" si="54"/>
        <v>6</v>
      </c>
      <c r="K138" s="2">
        <f t="shared" si="85"/>
        <v>1.32</v>
      </c>
      <c r="L138" s="2">
        <f t="shared" si="84"/>
        <v>1.47</v>
      </c>
      <c r="M138" s="2">
        <v>10</v>
      </c>
      <c r="N138" s="2">
        <f t="shared" si="73"/>
        <v>57.6</v>
      </c>
      <c r="O138" s="2">
        <f t="shared" si="73"/>
        <v>5.7600000000000007</v>
      </c>
      <c r="P138" s="2">
        <f t="shared" si="73"/>
        <v>960</v>
      </c>
      <c r="Q138" s="2">
        <f t="shared" si="72"/>
        <v>96</v>
      </c>
      <c r="R138" s="2">
        <f t="shared" si="72"/>
        <v>30</v>
      </c>
      <c r="S138" s="2">
        <f t="shared" si="72"/>
        <v>3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>
        <v>40456021</v>
      </c>
      <c r="Z138" s="14" t="s">
        <v>1122</v>
      </c>
      <c r="AA138" s="14" t="s">
        <v>1130</v>
      </c>
      <c r="AB138">
        <v>0</v>
      </c>
      <c r="AC138" s="2">
        <v>19</v>
      </c>
      <c r="AD138" s="2"/>
      <c r="AE138" s="2"/>
      <c r="AF138">
        <v>1</v>
      </c>
      <c r="AG138" s="1">
        <f t="shared" si="86"/>
        <v>353.60161063015914</v>
      </c>
      <c r="AH138">
        <v>5</v>
      </c>
      <c r="AI138">
        <f t="shared" si="59"/>
        <v>57.6</v>
      </c>
      <c r="AJ138">
        <f t="shared" si="60"/>
        <v>5.7600000000000007</v>
      </c>
      <c r="AK138">
        <f t="shared" si="61"/>
        <v>960</v>
      </c>
      <c r="AL138">
        <f t="shared" si="62"/>
        <v>96</v>
      </c>
      <c r="AM138">
        <f t="shared" si="55"/>
        <v>30</v>
      </c>
      <c r="AN138">
        <f t="shared" si="56"/>
        <v>3</v>
      </c>
      <c r="AO138">
        <f t="shared" si="87"/>
        <v>1.8</v>
      </c>
      <c r="AP138">
        <f t="shared" si="88"/>
        <v>2</v>
      </c>
      <c r="AQ138">
        <f t="shared" si="89"/>
        <v>6</v>
      </c>
      <c r="AR138">
        <v>602</v>
      </c>
      <c r="AS138" s="1" t="str">
        <f t="shared" si="69"/>
        <v>2</v>
      </c>
      <c r="AT138">
        <v>4</v>
      </c>
      <c r="BP138" t="s">
        <v>978</v>
      </c>
      <c r="BQ138" t="str">
        <f t="shared" si="90"/>
        <v>2</v>
      </c>
      <c r="BT138">
        <v>37</v>
      </c>
      <c r="BU138" t="str">
        <f t="shared" si="83"/>
        <v>441037,442037</v>
      </c>
      <c r="BV138">
        <f t="shared" si="74"/>
        <v>441037</v>
      </c>
      <c r="BW138">
        <f t="shared" si="75"/>
        <v>442037</v>
      </c>
      <c r="CF138" t="str">
        <f t="shared" si="57"/>
        <v>DATA_Class_Base42</v>
      </c>
      <c r="CG138" s="35" t="s">
        <v>1007</v>
      </c>
    </row>
    <row r="139" spans="1:85">
      <c r="A139">
        <f t="shared" si="58"/>
        <v>4055301</v>
      </c>
      <c r="B139" s="35" t="s">
        <v>398</v>
      </c>
      <c r="C139">
        <v>5</v>
      </c>
      <c r="D139">
        <v>3</v>
      </c>
      <c r="E139">
        <v>5</v>
      </c>
      <c r="F139" t="s">
        <v>1190</v>
      </c>
      <c r="G139" t="str">
        <f t="shared" si="71"/>
        <v>刺客1_45_5</v>
      </c>
      <c r="H139" s="2">
        <v>0</v>
      </c>
      <c r="I139" s="2" t="s">
        <v>285</v>
      </c>
      <c r="J139" s="2">
        <f t="shared" si="54"/>
        <v>2.5</v>
      </c>
      <c r="K139" s="2">
        <f t="shared" si="85"/>
        <v>0.88</v>
      </c>
      <c r="L139" s="2">
        <f t="shared" si="84"/>
        <v>1.47</v>
      </c>
      <c r="M139" s="2">
        <v>10</v>
      </c>
      <c r="N139" s="2">
        <f t="shared" si="73"/>
        <v>34.56</v>
      </c>
      <c r="O139" s="2">
        <f t="shared" si="73"/>
        <v>3.4560000000000004</v>
      </c>
      <c r="P139" s="2">
        <f t="shared" si="73"/>
        <v>1065.6000000000001</v>
      </c>
      <c r="Q139" s="2">
        <f t="shared" si="72"/>
        <v>106.56000000000002</v>
      </c>
      <c r="R139" s="2">
        <f t="shared" si="72"/>
        <v>33</v>
      </c>
      <c r="S139" s="2">
        <f t="shared" si="72"/>
        <v>3.3000000000000003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>
        <v>40453011</v>
      </c>
      <c r="Z139" s="14" t="s">
        <v>1124</v>
      </c>
      <c r="AA139" s="14" t="s">
        <v>1130</v>
      </c>
      <c r="AB139">
        <v>0</v>
      </c>
      <c r="AC139" s="2">
        <v>19</v>
      </c>
      <c r="AD139" s="2"/>
      <c r="AE139" s="2"/>
      <c r="AF139">
        <v>1</v>
      </c>
      <c r="AG139" s="1">
        <f t="shared" si="86"/>
        <v>353.48285770695259</v>
      </c>
      <c r="AH139">
        <v>5</v>
      </c>
      <c r="AI139">
        <f t="shared" si="59"/>
        <v>34.56</v>
      </c>
      <c r="AJ139">
        <f t="shared" si="60"/>
        <v>3.4560000000000004</v>
      </c>
      <c r="AK139">
        <f t="shared" si="61"/>
        <v>1065.6000000000001</v>
      </c>
      <c r="AL139">
        <f t="shared" si="62"/>
        <v>106.56000000000002</v>
      </c>
      <c r="AM139">
        <f t="shared" si="55"/>
        <v>33</v>
      </c>
      <c r="AN139">
        <f t="shared" si="56"/>
        <v>3.3000000000000003</v>
      </c>
      <c r="AO139">
        <f t="shared" si="87"/>
        <v>1.2</v>
      </c>
      <c r="AP139">
        <f t="shared" si="88"/>
        <v>2</v>
      </c>
      <c r="AQ139">
        <f t="shared" si="89"/>
        <v>2.5</v>
      </c>
      <c r="AR139">
        <v>301</v>
      </c>
      <c r="AS139" s="1" t="str">
        <f t="shared" si="69"/>
        <v>1</v>
      </c>
      <c r="AT139">
        <v>4</v>
      </c>
      <c r="BP139" t="s">
        <v>923</v>
      </c>
      <c r="BQ139" t="str">
        <f t="shared" si="90"/>
        <v>1</v>
      </c>
      <c r="BT139">
        <v>38</v>
      </c>
      <c r="BU139" t="str">
        <f t="shared" si="83"/>
        <v>441038,442038</v>
      </c>
      <c r="BV139">
        <f t="shared" si="74"/>
        <v>441038</v>
      </c>
      <c r="BW139">
        <f t="shared" si="75"/>
        <v>442038</v>
      </c>
      <c r="CF139" t="str">
        <f t="shared" si="57"/>
        <v>DATA_Class_Base36</v>
      </c>
      <c r="CG139" s="35" t="s">
        <v>312</v>
      </c>
    </row>
    <row r="140" spans="1:85">
      <c r="A140">
        <f t="shared" si="58"/>
        <v>4055502</v>
      </c>
      <c r="B140" s="35" t="s">
        <v>412</v>
      </c>
      <c r="C140">
        <v>5</v>
      </c>
      <c r="D140">
        <v>5</v>
      </c>
      <c r="E140">
        <v>5</v>
      </c>
      <c r="F140" t="s">
        <v>1191</v>
      </c>
      <c r="G140" t="str">
        <f t="shared" si="71"/>
        <v>游侠2_45_5</v>
      </c>
      <c r="H140">
        <v>0</v>
      </c>
      <c r="I140" s="2" t="s">
        <v>291</v>
      </c>
      <c r="J140" s="2">
        <f t="shared" si="54"/>
        <v>6</v>
      </c>
      <c r="K140" s="2">
        <f t="shared" si="85"/>
        <v>1.02</v>
      </c>
      <c r="L140" s="2">
        <f t="shared" si="84"/>
        <v>1.47</v>
      </c>
      <c r="M140" s="2">
        <v>10</v>
      </c>
      <c r="N140" s="2">
        <f t="shared" si="73"/>
        <v>53.759999999999991</v>
      </c>
      <c r="O140" s="2">
        <f t="shared" si="73"/>
        <v>5.3759999999999994</v>
      </c>
      <c r="P140" s="2">
        <f t="shared" si="73"/>
        <v>796.80000000000007</v>
      </c>
      <c r="Q140" s="2">
        <f t="shared" si="72"/>
        <v>79.680000000000007</v>
      </c>
      <c r="R140" s="2">
        <f t="shared" si="72"/>
        <v>24</v>
      </c>
      <c r="S140" s="2">
        <f t="shared" si="72"/>
        <v>2.4000000000000004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>
        <v>40455021</v>
      </c>
      <c r="Z140" s="14" t="s">
        <v>1126</v>
      </c>
      <c r="AA140" s="14" t="s">
        <v>1130</v>
      </c>
      <c r="AB140">
        <v>0</v>
      </c>
      <c r="AC140" s="2">
        <v>19</v>
      </c>
      <c r="AD140" s="2"/>
      <c r="AE140" s="2"/>
      <c r="AF140">
        <v>1</v>
      </c>
      <c r="AG140" s="1">
        <f t="shared" si="86"/>
        <v>351.71984944506994</v>
      </c>
      <c r="AH140">
        <v>5</v>
      </c>
      <c r="AI140">
        <f t="shared" si="59"/>
        <v>53.759999999999991</v>
      </c>
      <c r="AJ140">
        <f t="shared" si="60"/>
        <v>5.3759999999999994</v>
      </c>
      <c r="AK140">
        <f t="shared" si="61"/>
        <v>796.80000000000007</v>
      </c>
      <c r="AL140">
        <f t="shared" si="62"/>
        <v>79.680000000000007</v>
      </c>
      <c r="AM140">
        <f t="shared" si="55"/>
        <v>24</v>
      </c>
      <c r="AN140">
        <f t="shared" si="56"/>
        <v>2.4000000000000004</v>
      </c>
      <c r="AO140">
        <f t="shared" si="87"/>
        <v>1.4</v>
      </c>
      <c r="AP140">
        <f t="shared" si="88"/>
        <v>2</v>
      </c>
      <c r="AQ140">
        <f t="shared" si="89"/>
        <v>6</v>
      </c>
      <c r="AR140">
        <v>502</v>
      </c>
      <c r="AS140" s="1" t="str">
        <f t="shared" si="69"/>
        <v>2</v>
      </c>
      <c r="AT140">
        <v>4</v>
      </c>
      <c r="BP140" t="s">
        <v>974</v>
      </c>
      <c r="BQ140" t="str">
        <f t="shared" si="90"/>
        <v>2</v>
      </c>
      <c r="BT140">
        <v>39</v>
      </c>
      <c r="BU140" t="str">
        <f t="shared" si="83"/>
        <v>441039,442039</v>
      </c>
      <c r="BV140">
        <f t="shared" si="74"/>
        <v>441039</v>
      </c>
      <c r="BW140">
        <f t="shared" si="75"/>
        <v>442039</v>
      </c>
      <c r="CF140" t="str">
        <f t="shared" si="57"/>
        <v>DATA_Class_Base41</v>
      </c>
      <c r="CG140" s="35" t="s">
        <v>1004</v>
      </c>
    </row>
    <row r="141" spans="1:85">
      <c r="A141">
        <f t="shared" si="58"/>
        <v>4055201</v>
      </c>
      <c r="B141" s="34" t="s">
        <v>383</v>
      </c>
      <c r="C141">
        <v>5</v>
      </c>
      <c r="D141">
        <v>2</v>
      </c>
      <c r="E141">
        <v>5</v>
      </c>
      <c r="F141" t="s">
        <v>1192</v>
      </c>
      <c r="G141" t="str">
        <f t="shared" si="71"/>
        <v>战士1_45_5</v>
      </c>
      <c r="H141" s="2">
        <v>0</v>
      </c>
      <c r="I141" s="2" t="s">
        <v>298</v>
      </c>
      <c r="J141" s="2">
        <f t="shared" si="54"/>
        <v>2.5</v>
      </c>
      <c r="K141" s="2">
        <f t="shared" si="85"/>
        <v>1.32</v>
      </c>
      <c r="L141" s="2">
        <f t="shared" si="84"/>
        <v>1.32</v>
      </c>
      <c r="M141" s="2">
        <v>10</v>
      </c>
      <c r="N141" s="2">
        <f t="shared" si="73"/>
        <v>46.080000000000005</v>
      </c>
      <c r="O141" s="2">
        <f t="shared" si="73"/>
        <v>4.6080000000000005</v>
      </c>
      <c r="P141" s="2">
        <f t="shared" si="73"/>
        <v>1200</v>
      </c>
      <c r="Q141" s="2">
        <f t="shared" si="72"/>
        <v>120</v>
      </c>
      <c r="R141" s="2">
        <f t="shared" si="72"/>
        <v>36</v>
      </c>
      <c r="S141" s="2">
        <f t="shared" si="72"/>
        <v>3.6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>
        <v>40452011</v>
      </c>
      <c r="Z141" s="14" t="s">
        <v>1128</v>
      </c>
      <c r="AA141" s="14" t="s">
        <v>1130</v>
      </c>
      <c r="AB141">
        <v>0</v>
      </c>
      <c r="AC141" s="2">
        <v>19</v>
      </c>
      <c r="AD141" s="2"/>
      <c r="AE141" s="2"/>
      <c r="AF141">
        <v>1</v>
      </c>
      <c r="AG141" s="1">
        <f t="shared" si="86"/>
        <v>354.07209096040651</v>
      </c>
      <c r="AH141">
        <v>5</v>
      </c>
      <c r="AI141">
        <f t="shared" si="59"/>
        <v>46.080000000000005</v>
      </c>
      <c r="AJ141">
        <f t="shared" si="60"/>
        <v>4.6080000000000005</v>
      </c>
      <c r="AK141">
        <f t="shared" si="61"/>
        <v>1200</v>
      </c>
      <c r="AL141">
        <f t="shared" si="62"/>
        <v>120</v>
      </c>
      <c r="AM141">
        <f t="shared" si="55"/>
        <v>36</v>
      </c>
      <c r="AN141">
        <f t="shared" si="56"/>
        <v>3.6</v>
      </c>
      <c r="AO141">
        <f t="shared" si="87"/>
        <v>1.8</v>
      </c>
      <c r="AP141">
        <f t="shared" si="88"/>
        <v>1.8</v>
      </c>
      <c r="AQ141">
        <f t="shared" si="89"/>
        <v>2.5</v>
      </c>
      <c r="AR141">
        <v>201</v>
      </c>
      <c r="AS141" s="1" t="str">
        <f t="shared" si="69"/>
        <v>1</v>
      </c>
      <c r="AT141">
        <v>4</v>
      </c>
      <c r="BP141" t="s">
        <v>913</v>
      </c>
      <c r="BQ141" t="str">
        <f t="shared" si="90"/>
        <v>1</v>
      </c>
      <c r="BT141">
        <v>40</v>
      </c>
      <c r="BU141" t="str">
        <f t="shared" si="83"/>
        <v>441040,442040</v>
      </c>
      <c r="BV141">
        <f t="shared" si="74"/>
        <v>441040</v>
      </c>
      <c r="BW141">
        <f t="shared" si="75"/>
        <v>442040</v>
      </c>
      <c r="CF141" t="str">
        <f t="shared" si="57"/>
        <v>DATA_Class_Base31</v>
      </c>
      <c r="CG141" s="34" t="s">
        <v>300</v>
      </c>
    </row>
    <row r="142" spans="1:85">
      <c r="A142">
        <f t="shared" si="58"/>
        <v>5051200</v>
      </c>
      <c r="B142" s="36" t="s">
        <v>1021</v>
      </c>
      <c r="C142">
        <v>5</v>
      </c>
      <c r="D142">
        <v>2</v>
      </c>
      <c r="E142">
        <v>1</v>
      </c>
      <c r="F142" t="s">
        <v>466</v>
      </c>
      <c r="G142" t="str">
        <f t="shared" si="71"/>
        <v>战士0_55_1</v>
      </c>
      <c r="H142">
        <v>0</v>
      </c>
      <c r="I142" s="2" t="s">
        <v>314</v>
      </c>
      <c r="J142" s="2">
        <f t="shared" si="54"/>
        <v>2.5</v>
      </c>
      <c r="K142" s="2">
        <f t="shared" si="85"/>
        <v>1.1000000000000001</v>
      </c>
      <c r="L142" s="2">
        <f t="shared" si="84"/>
        <v>0.88</v>
      </c>
      <c r="M142" s="2">
        <v>10</v>
      </c>
      <c r="N142" s="2">
        <f t="shared" si="73"/>
        <v>38.400000000000006</v>
      </c>
      <c r="O142" s="2">
        <f t="shared" si="73"/>
        <v>3.8400000000000007</v>
      </c>
      <c r="P142" s="2">
        <f t="shared" si="73"/>
        <v>1200</v>
      </c>
      <c r="Q142" s="2">
        <f t="shared" si="72"/>
        <v>120</v>
      </c>
      <c r="R142" s="2">
        <f t="shared" si="72"/>
        <v>36</v>
      </c>
      <c r="S142" s="2">
        <f t="shared" si="72"/>
        <v>3.6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>
        <v>50512001</v>
      </c>
      <c r="Z142" s="14" t="s">
        <v>1193</v>
      </c>
      <c r="AA142" s="14" t="s">
        <v>890</v>
      </c>
      <c r="AB142">
        <v>5061200</v>
      </c>
      <c r="AC142" s="2">
        <v>31</v>
      </c>
      <c r="AD142" s="2"/>
      <c r="AE142" s="2"/>
      <c r="AF142">
        <v>1</v>
      </c>
      <c r="AG142" s="1">
        <f t="shared" si="86"/>
        <v>354.07209096040651</v>
      </c>
      <c r="AH142">
        <v>5</v>
      </c>
      <c r="AI142">
        <f t="shared" si="59"/>
        <v>38.400000000000006</v>
      </c>
      <c r="AJ142">
        <f t="shared" si="60"/>
        <v>3.8400000000000007</v>
      </c>
      <c r="AK142">
        <f t="shared" si="61"/>
        <v>1200</v>
      </c>
      <c r="AL142">
        <f t="shared" si="62"/>
        <v>120</v>
      </c>
      <c r="AM142">
        <f t="shared" si="55"/>
        <v>36</v>
      </c>
      <c r="AN142">
        <f t="shared" si="56"/>
        <v>3.6</v>
      </c>
      <c r="AO142">
        <f t="shared" si="87"/>
        <v>1.5</v>
      </c>
      <c r="AP142">
        <f t="shared" si="88"/>
        <v>1.2</v>
      </c>
      <c r="AQ142">
        <f t="shared" si="89"/>
        <v>2.5</v>
      </c>
      <c r="AR142">
        <v>200</v>
      </c>
      <c r="AS142" s="1" t="str">
        <f t="shared" si="69"/>
        <v>0</v>
      </c>
      <c r="AT142">
        <v>5</v>
      </c>
      <c r="BP142" t="s">
        <v>964</v>
      </c>
      <c r="BQ142" t="str">
        <f t="shared" si="90"/>
        <v>0</v>
      </c>
      <c r="BT142">
        <v>1</v>
      </c>
      <c r="BU142" t="str">
        <f>BV142&amp;","&amp;BW142&amp;","&amp;BX142</f>
        <v>551001,552001,553001</v>
      </c>
      <c r="BV142">
        <f t="shared" ref="BV142:BV205" si="91">$AT142*100000+$AH142*10000+1*1000+$BT142</f>
        <v>551001</v>
      </c>
      <c r="BW142">
        <f t="shared" ref="BW142:BW205" si="92">$AT142*100000+$AH142*10000+2*1000+$BT142</f>
        <v>552001</v>
      </c>
      <c r="BX142">
        <f>$AT142*100000+$AH142*10000+3*1000+$BT142</f>
        <v>553001</v>
      </c>
      <c r="CF142" t="str">
        <f t="shared" si="57"/>
        <v>DATA_Class_Base46</v>
      </c>
      <c r="CG142" s="36" t="s">
        <v>1022</v>
      </c>
    </row>
    <row r="143" spans="1:85" ht="27">
      <c r="A143">
        <f t="shared" si="58"/>
        <v>5051201</v>
      </c>
      <c r="B143" s="37" t="s">
        <v>1025</v>
      </c>
      <c r="C143">
        <v>5</v>
      </c>
      <c r="D143">
        <v>2</v>
      </c>
      <c r="E143">
        <v>1</v>
      </c>
      <c r="F143" t="s">
        <v>472</v>
      </c>
      <c r="G143" t="str">
        <f t="shared" si="71"/>
        <v>战士1_55_1</v>
      </c>
      <c r="H143" s="2">
        <v>0</v>
      </c>
      <c r="I143" s="2" t="s">
        <v>298</v>
      </c>
      <c r="J143" s="2">
        <f t="shared" si="54"/>
        <v>2.5</v>
      </c>
      <c r="K143" s="2">
        <f t="shared" si="85"/>
        <v>1.32</v>
      </c>
      <c r="L143" s="2">
        <f t="shared" si="84"/>
        <v>1.32</v>
      </c>
      <c r="M143" s="2">
        <v>10</v>
      </c>
      <c r="N143" s="2">
        <f t="shared" si="73"/>
        <v>46.080000000000005</v>
      </c>
      <c r="O143" s="2">
        <f t="shared" si="73"/>
        <v>4.6080000000000005</v>
      </c>
      <c r="P143" s="2">
        <f t="shared" si="73"/>
        <v>1200</v>
      </c>
      <c r="Q143" s="2">
        <f t="shared" si="72"/>
        <v>120</v>
      </c>
      <c r="R143" s="2">
        <f t="shared" si="72"/>
        <v>36</v>
      </c>
      <c r="S143" s="2">
        <f t="shared" si="72"/>
        <v>3.6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>
        <v>50512011</v>
      </c>
      <c r="Z143" s="14" t="s">
        <v>1194</v>
      </c>
      <c r="AA143" s="14" t="s">
        <v>890</v>
      </c>
      <c r="AB143">
        <v>5061201</v>
      </c>
      <c r="AC143" s="2">
        <v>31</v>
      </c>
      <c r="AD143" s="2"/>
      <c r="AE143" s="2"/>
      <c r="AF143">
        <v>1</v>
      </c>
      <c r="AG143" s="1">
        <f t="shared" si="86"/>
        <v>354.07209096040651</v>
      </c>
      <c r="AH143">
        <v>5</v>
      </c>
      <c r="AI143">
        <f t="shared" si="59"/>
        <v>46.080000000000005</v>
      </c>
      <c r="AJ143">
        <f t="shared" si="60"/>
        <v>4.6080000000000005</v>
      </c>
      <c r="AK143">
        <f t="shared" si="61"/>
        <v>1200</v>
      </c>
      <c r="AL143">
        <f t="shared" si="62"/>
        <v>120</v>
      </c>
      <c r="AM143">
        <f t="shared" si="55"/>
        <v>36</v>
      </c>
      <c r="AN143">
        <f t="shared" si="56"/>
        <v>3.6</v>
      </c>
      <c r="AO143">
        <f t="shared" si="87"/>
        <v>1.8</v>
      </c>
      <c r="AP143">
        <f t="shared" si="88"/>
        <v>1.8</v>
      </c>
      <c r="AQ143">
        <f t="shared" si="89"/>
        <v>2.5</v>
      </c>
      <c r="AR143">
        <v>201</v>
      </c>
      <c r="AS143" s="1" t="str">
        <f t="shared" si="69"/>
        <v>1</v>
      </c>
      <c r="AT143">
        <v>5</v>
      </c>
      <c r="BP143" t="s">
        <v>913</v>
      </c>
      <c r="BQ143" t="str">
        <f t="shared" si="90"/>
        <v>1</v>
      </c>
      <c r="BT143">
        <v>2</v>
      </c>
      <c r="BU143" t="str">
        <f t="shared" ref="BU143:BU206" si="93">BV143&amp;","&amp;BW143&amp;","&amp;BX143</f>
        <v>551002,552002,553002</v>
      </c>
      <c r="BV143">
        <f t="shared" si="91"/>
        <v>551002</v>
      </c>
      <c r="BW143">
        <f t="shared" si="92"/>
        <v>552002</v>
      </c>
      <c r="BX143">
        <f t="shared" ref="BX143:BX206" si="94">$AT143*100000+$AH143*10000+3*1000+$BT143</f>
        <v>553002</v>
      </c>
      <c r="CF143" t="str">
        <f t="shared" si="57"/>
        <v>DATA_Class_Base47</v>
      </c>
      <c r="CG143" s="37" t="s">
        <v>378</v>
      </c>
    </row>
    <row r="144" spans="1:85" ht="27">
      <c r="A144">
        <f t="shared" si="58"/>
        <v>5051300</v>
      </c>
      <c r="B144" s="37" t="s">
        <v>1028</v>
      </c>
      <c r="C144">
        <v>5</v>
      </c>
      <c r="D144">
        <v>3</v>
      </c>
      <c r="E144">
        <v>1</v>
      </c>
      <c r="F144" t="s">
        <v>1195</v>
      </c>
      <c r="G144" t="str">
        <f t="shared" si="71"/>
        <v>刺客0_55_1</v>
      </c>
      <c r="H144">
        <v>0</v>
      </c>
      <c r="I144" s="2" t="s">
        <v>352</v>
      </c>
      <c r="J144" s="2">
        <f t="shared" ref="J144:J207" si="95">AQ144</f>
        <v>4</v>
      </c>
      <c r="K144" s="2">
        <f t="shared" si="85"/>
        <v>0.95000000000000007</v>
      </c>
      <c r="L144" s="2">
        <f t="shared" si="84"/>
        <v>1.3900000000000001</v>
      </c>
      <c r="M144" s="2">
        <v>10</v>
      </c>
      <c r="N144" s="2">
        <f t="shared" si="73"/>
        <v>37.440000000000012</v>
      </c>
      <c r="O144" s="2">
        <f t="shared" si="73"/>
        <v>3.7440000000000015</v>
      </c>
      <c r="P144" s="2">
        <f t="shared" si="73"/>
        <v>1065.6000000000001</v>
      </c>
      <c r="Q144" s="2">
        <f t="shared" si="72"/>
        <v>106.56000000000002</v>
      </c>
      <c r="R144" s="2">
        <f t="shared" si="72"/>
        <v>33</v>
      </c>
      <c r="S144" s="2">
        <f t="shared" si="72"/>
        <v>3.3000000000000003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>
        <v>50513001</v>
      </c>
      <c r="Z144" s="14" t="s">
        <v>1196</v>
      </c>
      <c r="AA144" s="14" t="s">
        <v>890</v>
      </c>
      <c r="AB144">
        <v>5061300</v>
      </c>
      <c r="AC144" s="2">
        <v>31</v>
      </c>
      <c r="AD144" s="2"/>
      <c r="AE144" s="2"/>
      <c r="AF144">
        <v>1</v>
      </c>
      <c r="AG144" s="1">
        <f t="shared" si="86"/>
        <v>353.48285770695264</v>
      </c>
      <c r="AH144">
        <v>5</v>
      </c>
      <c r="AI144">
        <f t="shared" si="59"/>
        <v>37.440000000000012</v>
      </c>
      <c r="AJ144">
        <f t="shared" si="60"/>
        <v>3.7440000000000015</v>
      </c>
      <c r="AK144">
        <f t="shared" si="61"/>
        <v>1065.6000000000001</v>
      </c>
      <c r="AL144">
        <f t="shared" si="62"/>
        <v>106.56000000000002</v>
      </c>
      <c r="AM144">
        <f t="shared" ref="AM144:AM207" si="96">INDEX($AY$5:$AY$34,MATCH($AR144,$AU$5:$AU$34,0))*$BC$4</f>
        <v>33</v>
      </c>
      <c r="AN144">
        <f t="shared" ref="AN144:AN207" si="97">(INDEX($AY$5:$AY$34,MATCH($AR144,$AU$5:$AU$34,0))*$BC$4)*0.1</f>
        <v>3.3000000000000003</v>
      </c>
      <c r="AO144">
        <f t="shared" si="87"/>
        <v>1.3</v>
      </c>
      <c r="AP144">
        <f t="shared" si="88"/>
        <v>1.9</v>
      </c>
      <c r="AQ144">
        <f t="shared" si="89"/>
        <v>4</v>
      </c>
      <c r="AR144">
        <v>300</v>
      </c>
      <c r="AS144" s="1" t="str">
        <f t="shared" si="69"/>
        <v>0</v>
      </c>
      <c r="AT144">
        <v>5</v>
      </c>
      <c r="BP144" t="s">
        <v>967</v>
      </c>
      <c r="BQ144" t="str">
        <f t="shared" si="90"/>
        <v>0</v>
      </c>
      <c r="BT144">
        <v>3</v>
      </c>
      <c r="BU144" t="str">
        <f t="shared" si="93"/>
        <v>551003,552003,553003</v>
      </c>
      <c r="BV144">
        <f t="shared" si="91"/>
        <v>551003</v>
      </c>
      <c r="BW144">
        <f t="shared" si="92"/>
        <v>552003</v>
      </c>
      <c r="BX144">
        <f t="shared" si="94"/>
        <v>553003</v>
      </c>
      <c r="CF144" t="str">
        <f t="shared" ref="CF144:CF207" si="98">INDEX($CC$16:$CC$75,MATCH($CG144,$CD$16:$CD$75,0))</f>
        <v>DATA_Class_Base48</v>
      </c>
      <c r="CG144" s="37" t="s">
        <v>411</v>
      </c>
    </row>
    <row r="145" spans="1:85" ht="27">
      <c r="A145">
        <f t="shared" ref="A145:A208" si="99">AT145*1000000+C145*10000+E145*1000+AR145</f>
        <v>5051301</v>
      </c>
      <c r="B145" s="37" t="s">
        <v>1031</v>
      </c>
      <c r="C145">
        <v>5</v>
      </c>
      <c r="D145">
        <v>3</v>
      </c>
      <c r="E145">
        <v>1</v>
      </c>
      <c r="F145" t="s">
        <v>481</v>
      </c>
      <c r="G145" t="str">
        <f t="shared" si="71"/>
        <v>刺客1_55_1</v>
      </c>
      <c r="H145" s="2">
        <v>0</v>
      </c>
      <c r="I145" s="2" t="s">
        <v>285</v>
      </c>
      <c r="J145" s="2">
        <f t="shared" si="95"/>
        <v>2.5</v>
      </c>
      <c r="K145" s="2">
        <f t="shared" si="85"/>
        <v>0.88</v>
      </c>
      <c r="L145" s="2">
        <f t="shared" si="84"/>
        <v>1.47</v>
      </c>
      <c r="M145" s="2">
        <v>10</v>
      </c>
      <c r="N145" s="2">
        <f t="shared" si="73"/>
        <v>34.56</v>
      </c>
      <c r="O145" s="2">
        <f t="shared" si="73"/>
        <v>3.4560000000000004</v>
      </c>
      <c r="P145" s="2">
        <f t="shared" si="73"/>
        <v>1065.6000000000001</v>
      </c>
      <c r="Q145" s="2">
        <f t="shared" si="72"/>
        <v>106.56000000000002</v>
      </c>
      <c r="R145" s="2">
        <f t="shared" si="72"/>
        <v>33</v>
      </c>
      <c r="S145" s="2">
        <f t="shared" si="72"/>
        <v>3.3000000000000003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>
        <v>50513011</v>
      </c>
      <c r="Z145" s="14" t="s">
        <v>1197</v>
      </c>
      <c r="AA145" s="14" t="s">
        <v>890</v>
      </c>
      <c r="AB145">
        <v>5061301</v>
      </c>
      <c r="AC145" s="2">
        <v>31</v>
      </c>
      <c r="AD145" s="2"/>
      <c r="AE145" s="2"/>
      <c r="AF145">
        <v>1</v>
      </c>
      <c r="AG145" s="1">
        <f t="shared" si="86"/>
        <v>353.48285770695259</v>
      </c>
      <c r="AH145">
        <v>5</v>
      </c>
      <c r="AI145">
        <f t="shared" ref="AI145:AI208" si="100">INDEX($AW$5:$AW$34,MATCH($AR145,$AU$5:$AU$34,0))*$AO145/1.5*$BA$4*INDEX($AW$77:$BJ$77,MATCH($AH145,$AW$76:$BJ$76,0))</f>
        <v>34.56</v>
      </c>
      <c r="AJ145">
        <f t="shared" ref="AJ145:AJ208" si="101">(INDEX($AW$5:$AW$34,MATCH($AR145,$AU$5:$AU$34,0))*$AO145/1.5*$BA$4*INDEX($AW$77:$BJ$77,MATCH($AH145,$AW$76:$BJ$76,0)))*0.1</f>
        <v>3.4560000000000004</v>
      </c>
      <c r="AK145">
        <f t="shared" ref="AK145:AK208" si="102">INDEX($AX$5:$AX$34,MATCH($AR145,$AU$5:$AU$34,0))*$BB$4*INDEX($AW$77:$BJ$77,MATCH($AH145,$AW$76:$BJ$76,0))</f>
        <v>1065.6000000000001</v>
      </c>
      <c r="AL145">
        <f t="shared" ref="AL145:AL208" si="103">(INDEX($AX$5:$AX$34,MATCH($AR145,$AU$5:$AU$34,0))*$BB$4*INDEX($AW$77:$BJ$77,MATCH($AH145,$AW$76:$BJ$76,0)))*0.1</f>
        <v>106.56000000000002</v>
      </c>
      <c r="AM145">
        <f t="shared" si="96"/>
        <v>33</v>
      </c>
      <c r="AN145">
        <f t="shared" si="97"/>
        <v>3.3000000000000003</v>
      </c>
      <c r="AO145">
        <f t="shared" si="87"/>
        <v>1.2</v>
      </c>
      <c r="AP145">
        <f t="shared" si="88"/>
        <v>2</v>
      </c>
      <c r="AQ145">
        <f t="shared" si="89"/>
        <v>2.5</v>
      </c>
      <c r="AR145">
        <v>301</v>
      </c>
      <c r="AS145" s="1" t="str">
        <f t="shared" si="69"/>
        <v>1</v>
      </c>
      <c r="AT145">
        <v>5</v>
      </c>
      <c r="BP145" t="s">
        <v>923</v>
      </c>
      <c r="BQ145" t="str">
        <f t="shared" si="90"/>
        <v>1</v>
      </c>
      <c r="BT145">
        <v>4</v>
      </c>
      <c r="BU145" t="str">
        <f t="shared" si="93"/>
        <v>551004,552004,553004</v>
      </c>
      <c r="BV145">
        <f t="shared" si="91"/>
        <v>551004</v>
      </c>
      <c r="BW145">
        <f t="shared" si="92"/>
        <v>552004</v>
      </c>
      <c r="BX145">
        <f t="shared" si="94"/>
        <v>553004</v>
      </c>
      <c r="CF145" t="str">
        <f t="shared" si="98"/>
        <v>DATA_Class_Base49</v>
      </c>
      <c r="CG145" s="37" t="s">
        <v>384</v>
      </c>
    </row>
    <row r="146" spans="1:85" ht="27">
      <c r="A146">
        <f t="shared" si="99"/>
        <v>5051401</v>
      </c>
      <c r="B146" s="37" t="s">
        <v>1034</v>
      </c>
      <c r="C146">
        <v>5</v>
      </c>
      <c r="D146">
        <v>4</v>
      </c>
      <c r="E146">
        <v>1</v>
      </c>
      <c r="F146" t="s">
        <v>486</v>
      </c>
      <c r="G146" t="str">
        <f t="shared" si="71"/>
        <v>法师1_55_1</v>
      </c>
      <c r="H146">
        <v>0</v>
      </c>
      <c r="I146" s="2" t="s">
        <v>161</v>
      </c>
      <c r="J146" s="2">
        <f t="shared" si="95"/>
        <v>6</v>
      </c>
      <c r="K146" s="2">
        <f t="shared" si="85"/>
        <v>1.17</v>
      </c>
      <c r="L146" s="2">
        <f t="shared" si="84"/>
        <v>1.47</v>
      </c>
      <c r="M146" s="2">
        <v>10</v>
      </c>
      <c r="N146" s="2">
        <f t="shared" si="73"/>
        <v>56.320000000000022</v>
      </c>
      <c r="O146" s="2">
        <f t="shared" si="73"/>
        <v>5.6320000000000023</v>
      </c>
      <c r="P146" s="2">
        <f t="shared" si="73"/>
        <v>873.6</v>
      </c>
      <c r="Q146" s="2">
        <f t="shared" si="72"/>
        <v>87.360000000000014</v>
      </c>
      <c r="R146" s="2">
        <f t="shared" si="72"/>
        <v>27</v>
      </c>
      <c r="S146" s="2">
        <f t="shared" si="72"/>
        <v>2.7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>
        <v>50514011</v>
      </c>
      <c r="Z146" s="14" t="s">
        <v>1198</v>
      </c>
      <c r="AA146" s="14" t="s">
        <v>890</v>
      </c>
      <c r="AB146">
        <v>5061401</v>
      </c>
      <c r="AC146" s="2">
        <v>31</v>
      </c>
      <c r="AD146" s="2"/>
      <c r="AE146" s="2"/>
      <c r="AF146">
        <v>1</v>
      </c>
      <c r="AG146" s="1">
        <f t="shared" si="86"/>
        <v>353.72020586282531</v>
      </c>
      <c r="AH146">
        <v>5</v>
      </c>
      <c r="AI146">
        <f t="shared" si="100"/>
        <v>56.320000000000022</v>
      </c>
      <c r="AJ146">
        <f t="shared" si="101"/>
        <v>5.6320000000000023</v>
      </c>
      <c r="AK146">
        <f t="shared" si="102"/>
        <v>873.6</v>
      </c>
      <c r="AL146">
        <f t="shared" si="103"/>
        <v>87.360000000000014</v>
      </c>
      <c r="AM146">
        <f t="shared" si="96"/>
        <v>27</v>
      </c>
      <c r="AN146">
        <f t="shared" si="97"/>
        <v>2.7</v>
      </c>
      <c r="AO146">
        <f t="shared" si="87"/>
        <v>1.6</v>
      </c>
      <c r="AP146">
        <f t="shared" si="88"/>
        <v>2</v>
      </c>
      <c r="AQ146">
        <f t="shared" si="89"/>
        <v>6</v>
      </c>
      <c r="AR146">
        <v>401</v>
      </c>
      <c r="AS146" s="1" t="str">
        <f t="shared" si="69"/>
        <v>1</v>
      </c>
      <c r="AT146">
        <v>5</v>
      </c>
      <c r="BP146" t="s">
        <v>953</v>
      </c>
      <c r="BQ146" t="str">
        <f t="shared" si="90"/>
        <v>1</v>
      </c>
      <c r="BT146">
        <v>5</v>
      </c>
      <c r="BU146" t="str">
        <f t="shared" si="93"/>
        <v>551005,552005,553005</v>
      </c>
      <c r="BV146">
        <f t="shared" si="91"/>
        <v>551005</v>
      </c>
      <c r="BW146">
        <f t="shared" si="92"/>
        <v>552005</v>
      </c>
      <c r="BX146">
        <f t="shared" si="94"/>
        <v>553005</v>
      </c>
      <c r="CF146" t="str">
        <f t="shared" si="98"/>
        <v>DATA_Class_Base50</v>
      </c>
      <c r="CG146" s="37" t="s">
        <v>176</v>
      </c>
    </row>
    <row r="147" spans="1:85" ht="27">
      <c r="A147">
        <f t="shared" si="99"/>
        <v>5051402</v>
      </c>
      <c r="B147" s="37" t="s">
        <v>1037</v>
      </c>
      <c r="C147">
        <v>5</v>
      </c>
      <c r="D147">
        <v>4</v>
      </c>
      <c r="E147">
        <v>1</v>
      </c>
      <c r="F147" t="s">
        <v>490</v>
      </c>
      <c r="G147" t="str">
        <f t="shared" si="71"/>
        <v>法师2_55_1</v>
      </c>
      <c r="H147" s="2">
        <v>0</v>
      </c>
      <c r="I147" s="2" t="s">
        <v>250</v>
      </c>
      <c r="J147" s="2">
        <f t="shared" si="95"/>
        <v>5</v>
      </c>
      <c r="K147" s="2">
        <f t="shared" si="85"/>
        <v>1.1000000000000001</v>
      </c>
      <c r="L147" s="2">
        <f t="shared" si="84"/>
        <v>1.1000000000000001</v>
      </c>
      <c r="M147" s="2">
        <v>10</v>
      </c>
      <c r="N147" s="2">
        <f t="shared" si="73"/>
        <v>52.800000000000004</v>
      </c>
      <c r="O147" s="2">
        <f t="shared" si="73"/>
        <v>5.2800000000000011</v>
      </c>
      <c r="P147" s="2">
        <f t="shared" si="73"/>
        <v>873.6</v>
      </c>
      <c r="Q147" s="2">
        <f t="shared" si="72"/>
        <v>87.360000000000014</v>
      </c>
      <c r="R147" s="2">
        <f t="shared" si="72"/>
        <v>27</v>
      </c>
      <c r="S147" s="2">
        <f t="shared" si="72"/>
        <v>2.7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>
        <v>50514021</v>
      </c>
      <c r="Z147" s="14" t="s">
        <v>1199</v>
      </c>
      <c r="AA147" s="14" t="s">
        <v>890</v>
      </c>
      <c r="AB147">
        <v>5061402</v>
      </c>
      <c r="AC147" s="2">
        <v>31</v>
      </c>
      <c r="AD147" s="2"/>
      <c r="AE147" s="2"/>
      <c r="AF147">
        <v>1</v>
      </c>
      <c r="AG147" s="1">
        <f t="shared" si="86"/>
        <v>353.72020586282525</v>
      </c>
      <c r="AH147">
        <v>5</v>
      </c>
      <c r="AI147">
        <f t="shared" si="100"/>
        <v>52.800000000000004</v>
      </c>
      <c r="AJ147">
        <f t="shared" si="101"/>
        <v>5.2800000000000011</v>
      </c>
      <c r="AK147">
        <f t="shared" si="102"/>
        <v>873.6</v>
      </c>
      <c r="AL147">
        <f t="shared" si="103"/>
        <v>87.360000000000014</v>
      </c>
      <c r="AM147">
        <f t="shared" si="96"/>
        <v>27</v>
      </c>
      <c r="AN147">
        <f t="shared" si="97"/>
        <v>2.7</v>
      </c>
      <c r="AO147">
        <f t="shared" si="87"/>
        <v>1.5</v>
      </c>
      <c r="AP147">
        <f t="shared" si="88"/>
        <v>1.5</v>
      </c>
      <c r="AQ147">
        <f t="shared" si="89"/>
        <v>5</v>
      </c>
      <c r="AR147">
        <v>402</v>
      </c>
      <c r="AS147" s="1" t="str">
        <f t="shared" si="69"/>
        <v>2</v>
      </c>
      <c r="AT147">
        <v>5</v>
      </c>
      <c r="BP147" t="s">
        <v>971</v>
      </c>
      <c r="BQ147" t="str">
        <f t="shared" si="90"/>
        <v>2</v>
      </c>
      <c r="BT147">
        <v>6</v>
      </c>
      <c r="BU147" t="str">
        <f t="shared" si="93"/>
        <v>551006,552006,553006</v>
      </c>
      <c r="BV147">
        <f t="shared" si="91"/>
        <v>551006</v>
      </c>
      <c r="BW147">
        <f t="shared" si="92"/>
        <v>552006</v>
      </c>
      <c r="BX147">
        <f t="shared" si="94"/>
        <v>553006</v>
      </c>
      <c r="CF147" t="str">
        <f t="shared" si="98"/>
        <v>DATA_Class_Base51</v>
      </c>
      <c r="CG147" s="37" t="s">
        <v>1038</v>
      </c>
    </row>
    <row r="148" spans="1:85" ht="27">
      <c r="A148">
        <f t="shared" si="99"/>
        <v>5051500</v>
      </c>
      <c r="B148" s="37" t="s">
        <v>1041</v>
      </c>
      <c r="C148">
        <v>5</v>
      </c>
      <c r="D148">
        <v>5</v>
      </c>
      <c r="E148">
        <v>1</v>
      </c>
      <c r="F148" t="s">
        <v>494</v>
      </c>
      <c r="G148" t="str">
        <f t="shared" si="71"/>
        <v>游侠0_55_1</v>
      </c>
      <c r="H148" s="2">
        <v>0</v>
      </c>
      <c r="I148" s="2" t="s">
        <v>303</v>
      </c>
      <c r="J148" s="2">
        <f t="shared" si="95"/>
        <v>5</v>
      </c>
      <c r="K148" s="2">
        <f t="shared" si="85"/>
        <v>1.1000000000000001</v>
      </c>
      <c r="L148" s="2">
        <f t="shared" si="84"/>
        <v>1.1000000000000001</v>
      </c>
      <c r="M148" s="2">
        <v>10</v>
      </c>
      <c r="N148" s="2">
        <f t="shared" si="73"/>
        <v>57.6</v>
      </c>
      <c r="O148" s="2">
        <f t="shared" si="73"/>
        <v>5.7600000000000007</v>
      </c>
      <c r="P148" s="2">
        <f t="shared" si="73"/>
        <v>796.80000000000007</v>
      </c>
      <c r="Q148" s="2">
        <f t="shared" si="72"/>
        <v>79.680000000000007</v>
      </c>
      <c r="R148" s="2">
        <f t="shared" si="72"/>
        <v>24</v>
      </c>
      <c r="S148" s="2">
        <f t="shared" si="72"/>
        <v>2.4000000000000004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>
        <v>50515001</v>
      </c>
      <c r="Z148" s="14" t="s">
        <v>1200</v>
      </c>
      <c r="AA148" s="14" t="s">
        <v>890</v>
      </c>
      <c r="AB148">
        <v>5061500</v>
      </c>
      <c r="AC148" s="2">
        <v>31</v>
      </c>
      <c r="AD148" s="2"/>
      <c r="AE148" s="2"/>
      <c r="AF148">
        <v>1</v>
      </c>
      <c r="AG148" s="1">
        <f t="shared" si="86"/>
        <v>351.71984944507</v>
      </c>
      <c r="AH148">
        <v>5</v>
      </c>
      <c r="AI148">
        <f t="shared" si="100"/>
        <v>57.6</v>
      </c>
      <c r="AJ148">
        <f t="shared" si="101"/>
        <v>5.7600000000000007</v>
      </c>
      <c r="AK148">
        <f t="shared" si="102"/>
        <v>796.80000000000007</v>
      </c>
      <c r="AL148">
        <f t="shared" si="103"/>
        <v>79.680000000000007</v>
      </c>
      <c r="AM148">
        <f t="shared" si="96"/>
        <v>24</v>
      </c>
      <c r="AN148">
        <f t="shared" si="97"/>
        <v>2.4000000000000004</v>
      </c>
      <c r="AO148">
        <f t="shared" si="87"/>
        <v>1.5</v>
      </c>
      <c r="AP148">
        <f t="shared" si="88"/>
        <v>1.5</v>
      </c>
      <c r="AQ148">
        <f t="shared" si="89"/>
        <v>5</v>
      </c>
      <c r="AR148">
        <v>500</v>
      </c>
      <c r="AS148" s="1" t="str">
        <f t="shared" si="69"/>
        <v>0</v>
      </c>
      <c r="AT148">
        <v>5</v>
      </c>
      <c r="BP148" t="s">
        <v>956</v>
      </c>
      <c r="BQ148" t="str">
        <f t="shared" si="90"/>
        <v>0</v>
      </c>
      <c r="BT148">
        <v>7</v>
      </c>
      <c r="BU148" t="str">
        <f t="shared" si="93"/>
        <v>551007,552007,553007</v>
      </c>
      <c r="BV148">
        <f t="shared" si="91"/>
        <v>551007</v>
      </c>
      <c r="BW148">
        <f t="shared" si="92"/>
        <v>552007</v>
      </c>
      <c r="BX148">
        <f t="shared" si="94"/>
        <v>553007</v>
      </c>
      <c r="CF148" t="str">
        <f t="shared" si="98"/>
        <v>DATA_Class_Base52</v>
      </c>
      <c r="CG148" s="37" t="s">
        <v>184</v>
      </c>
    </row>
    <row r="149" spans="1:85" ht="27">
      <c r="A149">
        <f t="shared" si="99"/>
        <v>5051501</v>
      </c>
      <c r="B149" s="37" t="s">
        <v>1044</v>
      </c>
      <c r="C149">
        <v>5</v>
      </c>
      <c r="D149">
        <v>5</v>
      </c>
      <c r="E149">
        <v>1</v>
      </c>
      <c r="F149" t="s">
        <v>1201</v>
      </c>
      <c r="G149" t="str">
        <f t="shared" si="71"/>
        <v>游侠1_55_1</v>
      </c>
      <c r="H149" s="2">
        <v>0</v>
      </c>
      <c r="I149" s="2" t="s">
        <v>334</v>
      </c>
      <c r="J149" s="2">
        <f t="shared" si="95"/>
        <v>6</v>
      </c>
      <c r="K149" s="2">
        <f t="shared" si="85"/>
        <v>1.17</v>
      </c>
      <c r="L149" s="2">
        <f t="shared" si="84"/>
        <v>1.47</v>
      </c>
      <c r="M149" s="2">
        <v>10</v>
      </c>
      <c r="N149" s="2">
        <f t="shared" si="73"/>
        <v>61.44</v>
      </c>
      <c r="O149" s="2">
        <f t="shared" si="73"/>
        <v>6.1440000000000001</v>
      </c>
      <c r="P149" s="2">
        <f t="shared" si="73"/>
        <v>796.80000000000007</v>
      </c>
      <c r="Q149" s="2">
        <f t="shared" si="72"/>
        <v>79.680000000000007</v>
      </c>
      <c r="R149" s="2">
        <f t="shared" si="72"/>
        <v>24</v>
      </c>
      <c r="S149" s="2">
        <f t="shared" si="72"/>
        <v>2.4000000000000004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>
        <v>50515011</v>
      </c>
      <c r="Z149" s="14" t="s">
        <v>1202</v>
      </c>
      <c r="AA149" s="14" t="s">
        <v>890</v>
      </c>
      <c r="AB149">
        <v>5061501</v>
      </c>
      <c r="AC149" s="2">
        <v>31</v>
      </c>
      <c r="AD149" s="2"/>
      <c r="AE149" s="2"/>
      <c r="AF149">
        <v>1</v>
      </c>
      <c r="AG149" s="1">
        <f t="shared" si="86"/>
        <v>351.71984944507</v>
      </c>
      <c r="AH149">
        <v>5</v>
      </c>
      <c r="AI149">
        <f t="shared" si="100"/>
        <v>61.44</v>
      </c>
      <c r="AJ149">
        <f t="shared" si="101"/>
        <v>6.1440000000000001</v>
      </c>
      <c r="AK149">
        <f t="shared" si="102"/>
        <v>796.80000000000007</v>
      </c>
      <c r="AL149">
        <f t="shared" si="103"/>
        <v>79.680000000000007</v>
      </c>
      <c r="AM149">
        <f t="shared" si="96"/>
        <v>24</v>
      </c>
      <c r="AN149">
        <f t="shared" si="97"/>
        <v>2.4000000000000004</v>
      </c>
      <c r="AO149">
        <f t="shared" si="87"/>
        <v>1.6</v>
      </c>
      <c r="AP149">
        <f t="shared" si="88"/>
        <v>2</v>
      </c>
      <c r="AQ149">
        <f t="shared" si="89"/>
        <v>6</v>
      </c>
      <c r="AR149">
        <v>501</v>
      </c>
      <c r="AS149" s="1" t="str">
        <f t="shared" si="69"/>
        <v>1</v>
      </c>
      <c r="AT149">
        <v>5</v>
      </c>
      <c r="BP149" t="s">
        <v>945</v>
      </c>
      <c r="BQ149" t="str">
        <f t="shared" si="90"/>
        <v>1</v>
      </c>
      <c r="BT149">
        <v>8</v>
      </c>
      <c r="BU149" t="str">
        <f t="shared" si="93"/>
        <v>551008,552008,553008</v>
      </c>
      <c r="BV149">
        <f t="shared" si="91"/>
        <v>551008</v>
      </c>
      <c r="BW149">
        <f t="shared" si="92"/>
        <v>552008</v>
      </c>
      <c r="BX149">
        <f t="shared" si="94"/>
        <v>553008</v>
      </c>
      <c r="CF149" t="str">
        <f t="shared" si="98"/>
        <v>DATA_Class_Base53</v>
      </c>
      <c r="CG149" s="37" t="s">
        <v>349</v>
      </c>
    </row>
    <row r="150" spans="1:85" ht="27">
      <c r="A150">
        <f t="shared" si="99"/>
        <v>5051600</v>
      </c>
      <c r="B150" s="37" t="s">
        <v>1047</v>
      </c>
      <c r="C150">
        <v>5</v>
      </c>
      <c r="D150">
        <v>6</v>
      </c>
      <c r="E150">
        <v>1</v>
      </c>
      <c r="F150" t="s">
        <v>1203</v>
      </c>
      <c r="G150" t="str">
        <f t="shared" si="71"/>
        <v>牧师0_55_1</v>
      </c>
      <c r="H150">
        <v>0</v>
      </c>
      <c r="I150" s="2" t="s">
        <v>339</v>
      </c>
      <c r="J150" s="2">
        <f t="shared" si="95"/>
        <v>4</v>
      </c>
      <c r="K150" s="2">
        <f t="shared" si="85"/>
        <v>1.02</v>
      </c>
      <c r="L150" s="2">
        <f t="shared" si="84"/>
        <v>1.3900000000000001</v>
      </c>
      <c r="M150" s="2">
        <v>10</v>
      </c>
      <c r="N150" s="2">
        <f t="shared" si="73"/>
        <v>44.8</v>
      </c>
      <c r="O150" s="2">
        <f t="shared" si="73"/>
        <v>4.4799999999999995</v>
      </c>
      <c r="P150" s="2">
        <f t="shared" si="73"/>
        <v>960</v>
      </c>
      <c r="Q150" s="2">
        <f t="shared" si="72"/>
        <v>96</v>
      </c>
      <c r="R150" s="2">
        <f t="shared" si="72"/>
        <v>30</v>
      </c>
      <c r="S150" s="2">
        <f t="shared" si="72"/>
        <v>3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>
        <v>50516001</v>
      </c>
      <c r="Z150" s="14" t="s">
        <v>1204</v>
      </c>
      <c r="AA150" s="14" t="s">
        <v>890</v>
      </c>
      <c r="AB150">
        <v>5061600</v>
      </c>
      <c r="AC150" s="2">
        <v>31</v>
      </c>
      <c r="AD150" s="2"/>
      <c r="AE150" s="2"/>
      <c r="AF150">
        <v>1</v>
      </c>
      <c r="AG150" s="1">
        <f t="shared" si="86"/>
        <v>353.60161063015914</v>
      </c>
      <c r="AH150">
        <v>5</v>
      </c>
      <c r="AI150">
        <f t="shared" si="100"/>
        <v>44.8</v>
      </c>
      <c r="AJ150">
        <f t="shared" si="101"/>
        <v>4.4799999999999995</v>
      </c>
      <c r="AK150">
        <f t="shared" si="102"/>
        <v>960</v>
      </c>
      <c r="AL150">
        <f t="shared" si="103"/>
        <v>96</v>
      </c>
      <c r="AM150">
        <f t="shared" si="96"/>
        <v>30</v>
      </c>
      <c r="AN150">
        <f t="shared" si="97"/>
        <v>3</v>
      </c>
      <c r="AO150">
        <f t="shared" si="87"/>
        <v>1.4</v>
      </c>
      <c r="AP150">
        <f t="shared" si="88"/>
        <v>1.9</v>
      </c>
      <c r="AQ150">
        <f t="shared" si="89"/>
        <v>4</v>
      </c>
      <c r="AR150">
        <v>600</v>
      </c>
      <c r="AS150" s="1" t="str">
        <f t="shared" si="69"/>
        <v>0</v>
      </c>
      <c r="AT150">
        <v>5</v>
      </c>
      <c r="BP150" t="s">
        <v>990</v>
      </c>
      <c r="BQ150" t="str">
        <f t="shared" si="90"/>
        <v>0</v>
      </c>
      <c r="BT150">
        <v>9</v>
      </c>
      <c r="BU150" t="str">
        <f t="shared" si="93"/>
        <v>551009,552009,553009</v>
      </c>
      <c r="BV150">
        <f t="shared" si="91"/>
        <v>551009</v>
      </c>
      <c r="BW150">
        <f t="shared" si="92"/>
        <v>552009</v>
      </c>
      <c r="BX150">
        <f t="shared" si="94"/>
        <v>553009</v>
      </c>
      <c r="CF150" t="str">
        <f t="shared" si="98"/>
        <v>DATA_Class_Base54</v>
      </c>
      <c r="CG150" s="37" t="s">
        <v>198</v>
      </c>
    </row>
    <row r="151" spans="1:85" ht="27">
      <c r="A151">
        <f t="shared" si="99"/>
        <v>5051601</v>
      </c>
      <c r="B151" s="37" t="s">
        <v>1050</v>
      </c>
      <c r="C151">
        <v>5</v>
      </c>
      <c r="D151">
        <v>6</v>
      </c>
      <c r="E151">
        <v>1</v>
      </c>
      <c r="F151" t="s">
        <v>502</v>
      </c>
      <c r="G151" t="str">
        <f t="shared" si="71"/>
        <v>牧师1_55_1</v>
      </c>
      <c r="H151" s="2">
        <v>0</v>
      </c>
      <c r="I151" s="2" t="s">
        <v>309</v>
      </c>
      <c r="J151" s="2">
        <f t="shared" si="95"/>
        <v>5</v>
      </c>
      <c r="K151" s="2">
        <f t="shared" si="85"/>
        <v>1.1000000000000001</v>
      </c>
      <c r="L151" s="2">
        <f t="shared" si="84"/>
        <v>1.47</v>
      </c>
      <c r="M151" s="2">
        <v>10</v>
      </c>
      <c r="N151" s="2">
        <f t="shared" si="73"/>
        <v>48</v>
      </c>
      <c r="O151" s="2">
        <f t="shared" si="73"/>
        <v>4.8000000000000007</v>
      </c>
      <c r="P151" s="2">
        <f t="shared" si="73"/>
        <v>960</v>
      </c>
      <c r="Q151" s="2">
        <f t="shared" si="72"/>
        <v>96</v>
      </c>
      <c r="R151" s="2">
        <f t="shared" si="72"/>
        <v>30</v>
      </c>
      <c r="S151" s="2">
        <f t="shared" si="72"/>
        <v>3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>
        <v>50516011</v>
      </c>
      <c r="Z151" s="14" t="s">
        <v>1205</v>
      </c>
      <c r="AA151" s="14" t="s">
        <v>890</v>
      </c>
      <c r="AB151">
        <v>5061601</v>
      </c>
      <c r="AC151" s="2">
        <v>31</v>
      </c>
      <c r="AD151" s="2"/>
      <c r="AE151" s="2"/>
      <c r="AF151">
        <v>1</v>
      </c>
      <c r="AG151" s="1">
        <f t="shared" si="86"/>
        <v>353.60161063015914</v>
      </c>
      <c r="AH151">
        <v>5</v>
      </c>
      <c r="AI151">
        <f t="shared" si="100"/>
        <v>48</v>
      </c>
      <c r="AJ151">
        <f t="shared" si="101"/>
        <v>4.8000000000000007</v>
      </c>
      <c r="AK151">
        <f t="shared" si="102"/>
        <v>960</v>
      </c>
      <c r="AL151">
        <f t="shared" si="103"/>
        <v>96</v>
      </c>
      <c r="AM151">
        <f t="shared" si="96"/>
        <v>30</v>
      </c>
      <c r="AN151">
        <f t="shared" si="97"/>
        <v>3</v>
      </c>
      <c r="AO151">
        <f t="shared" si="87"/>
        <v>1.5</v>
      </c>
      <c r="AP151">
        <f t="shared" si="88"/>
        <v>2</v>
      </c>
      <c r="AQ151">
        <f t="shared" si="89"/>
        <v>5</v>
      </c>
      <c r="AR151">
        <v>601</v>
      </c>
      <c r="AS151" s="1" t="str">
        <f t="shared" si="69"/>
        <v>1</v>
      </c>
      <c r="AT151">
        <v>5</v>
      </c>
      <c r="BP151" t="s">
        <v>960</v>
      </c>
      <c r="BQ151" t="str">
        <f t="shared" si="90"/>
        <v>1</v>
      </c>
      <c r="BT151">
        <v>10</v>
      </c>
      <c r="BU151" t="str">
        <f t="shared" si="93"/>
        <v>551010,552010,553010</v>
      </c>
      <c r="BV151">
        <f t="shared" si="91"/>
        <v>551010</v>
      </c>
      <c r="BW151">
        <f t="shared" si="92"/>
        <v>552010</v>
      </c>
      <c r="BX151">
        <f t="shared" si="94"/>
        <v>553010</v>
      </c>
      <c r="CF151" t="str">
        <f t="shared" si="98"/>
        <v>DATA_Class_Base55</v>
      </c>
      <c r="CG151" s="37" t="s">
        <v>201</v>
      </c>
    </row>
    <row r="152" spans="1:85">
      <c r="A152">
        <f t="shared" si="99"/>
        <v>5052200</v>
      </c>
      <c r="B152" s="36" t="s">
        <v>1021</v>
      </c>
      <c r="C152">
        <v>5</v>
      </c>
      <c r="D152">
        <v>2</v>
      </c>
      <c r="E152">
        <v>2</v>
      </c>
      <c r="F152" t="s">
        <v>506</v>
      </c>
      <c r="G152" t="str">
        <f t="shared" si="71"/>
        <v>战士0_55_2</v>
      </c>
      <c r="H152">
        <v>0</v>
      </c>
      <c r="I152" s="2" t="s">
        <v>314</v>
      </c>
      <c r="J152" s="2">
        <f t="shared" si="95"/>
        <v>2.5</v>
      </c>
      <c r="K152" s="2">
        <f t="shared" si="85"/>
        <v>1.1000000000000001</v>
      </c>
      <c r="L152" s="2">
        <f t="shared" si="84"/>
        <v>0.88</v>
      </c>
      <c r="M152" s="2">
        <v>10</v>
      </c>
      <c r="N152" s="2">
        <f t="shared" si="73"/>
        <v>38.400000000000006</v>
      </c>
      <c r="O152" s="2">
        <f t="shared" si="73"/>
        <v>3.8400000000000007</v>
      </c>
      <c r="P152" s="2">
        <f t="shared" si="73"/>
        <v>1200</v>
      </c>
      <c r="Q152" s="2">
        <f t="shared" si="72"/>
        <v>120</v>
      </c>
      <c r="R152" s="2">
        <f t="shared" si="72"/>
        <v>36</v>
      </c>
      <c r="S152" s="2">
        <f t="shared" si="72"/>
        <v>3.6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>
        <v>50522001</v>
      </c>
      <c r="Z152" s="14" t="s">
        <v>1206</v>
      </c>
      <c r="AA152" s="14" t="s">
        <v>890</v>
      </c>
      <c r="AB152">
        <v>5062200</v>
      </c>
      <c r="AC152" s="2">
        <v>31</v>
      </c>
      <c r="AD152" s="2"/>
      <c r="AE152" s="2"/>
      <c r="AF152">
        <v>1</v>
      </c>
      <c r="AG152" s="1">
        <f t="shared" si="86"/>
        <v>354.07209096040651</v>
      </c>
      <c r="AH152">
        <v>5</v>
      </c>
      <c r="AI152">
        <f t="shared" si="100"/>
        <v>38.400000000000006</v>
      </c>
      <c r="AJ152">
        <f t="shared" si="101"/>
        <v>3.8400000000000007</v>
      </c>
      <c r="AK152">
        <f t="shared" si="102"/>
        <v>1200</v>
      </c>
      <c r="AL152">
        <f t="shared" si="103"/>
        <v>120</v>
      </c>
      <c r="AM152">
        <f t="shared" si="96"/>
        <v>36</v>
      </c>
      <c r="AN152">
        <f t="shared" si="97"/>
        <v>3.6</v>
      </c>
      <c r="AO152">
        <f t="shared" si="87"/>
        <v>1.5</v>
      </c>
      <c r="AP152">
        <f t="shared" si="88"/>
        <v>1.2</v>
      </c>
      <c r="AQ152">
        <f t="shared" si="89"/>
        <v>2.5</v>
      </c>
      <c r="AR152">
        <v>200</v>
      </c>
      <c r="AS152" s="1" t="str">
        <f t="shared" si="69"/>
        <v>0</v>
      </c>
      <c r="AT152">
        <v>5</v>
      </c>
      <c r="BP152" t="s">
        <v>964</v>
      </c>
      <c r="BQ152" t="str">
        <f t="shared" si="90"/>
        <v>0</v>
      </c>
      <c r="BT152">
        <v>11</v>
      </c>
      <c r="BU152" t="str">
        <f t="shared" si="93"/>
        <v>551011,552011,553011</v>
      </c>
      <c r="BV152">
        <f t="shared" si="91"/>
        <v>551011</v>
      </c>
      <c r="BW152">
        <f t="shared" si="92"/>
        <v>552011</v>
      </c>
      <c r="BX152">
        <f t="shared" si="94"/>
        <v>553011</v>
      </c>
      <c r="CF152" t="str">
        <f t="shared" si="98"/>
        <v>DATA_Class_Base46</v>
      </c>
      <c r="CG152" s="36" t="s">
        <v>1022</v>
      </c>
    </row>
    <row r="153" spans="1:85" ht="27">
      <c r="A153">
        <f t="shared" si="99"/>
        <v>5052202</v>
      </c>
      <c r="B153" s="37" t="s">
        <v>1053</v>
      </c>
      <c r="C153">
        <v>5</v>
      </c>
      <c r="D153">
        <v>2</v>
      </c>
      <c r="E153">
        <v>2</v>
      </c>
      <c r="F153" s="2" t="s">
        <v>516</v>
      </c>
      <c r="G153" t="str">
        <f t="shared" si="71"/>
        <v>战士2_55_2</v>
      </c>
      <c r="H153">
        <v>0</v>
      </c>
      <c r="I153" s="2" t="s">
        <v>280</v>
      </c>
      <c r="J153" s="2">
        <f t="shared" si="95"/>
        <v>2.5</v>
      </c>
      <c r="K153" s="2">
        <f t="shared" si="85"/>
        <v>1.32</v>
      </c>
      <c r="L153" s="2">
        <f t="shared" si="84"/>
        <v>1.47</v>
      </c>
      <c r="M153" s="2">
        <v>10</v>
      </c>
      <c r="N153" s="2">
        <f t="shared" si="73"/>
        <v>46.080000000000005</v>
      </c>
      <c r="O153" s="2">
        <f t="shared" si="73"/>
        <v>4.6080000000000005</v>
      </c>
      <c r="P153" s="2">
        <f t="shared" si="73"/>
        <v>1200</v>
      </c>
      <c r="Q153" s="2">
        <f t="shared" si="72"/>
        <v>120</v>
      </c>
      <c r="R153" s="2">
        <f t="shared" si="72"/>
        <v>36</v>
      </c>
      <c r="S153" s="2">
        <f t="shared" si="72"/>
        <v>3.6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>
        <v>50522021</v>
      </c>
      <c r="Z153" s="14" t="s">
        <v>1207</v>
      </c>
      <c r="AA153" s="14" t="s">
        <v>890</v>
      </c>
      <c r="AB153">
        <v>5062202</v>
      </c>
      <c r="AC153" s="2">
        <v>31</v>
      </c>
      <c r="AD153" s="2"/>
      <c r="AE153" s="2"/>
      <c r="AF153">
        <v>1</v>
      </c>
      <c r="AG153" s="1">
        <f t="shared" si="86"/>
        <v>354.07209096040651</v>
      </c>
      <c r="AH153">
        <v>5</v>
      </c>
      <c r="AI153">
        <f t="shared" si="100"/>
        <v>46.080000000000005</v>
      </c>
      <c r="AJ153">
        <f t="shared" si="101"/>
        <v>4.6080000000000005</v>
      </c>
      <c r="AK153">
        <f t="shared" si="102"/>
        <v>1200</v>
      </c>
      <c r="AL153">
        <f t="shared" si="103"/>
        <v>120</v>
      </c>
      <c r="AM153">
        <f t="shared" si="96"/>
        <v>36</v>
      </c>
      <c r="AN153">
        <f t="shared" si="97"/>
        <v>3.6</v>
      </c>
      <c r="AO153">
        <f t="shared" si="87"/>
        <v>1.8</v>
      </c>
      <c r="AP153">
        <f t="shared" si="88"/>
        <v>2</v>
      </c>
      <c r="AQ153">
        <f t="shared" si="89"/>
        <v>2.5</v>
      </c>
      <c r="AR153">
        <v>202</v>
      </c>
      <c r="AS153" s="1" t="str">
        <f t="shared" si="69"/>
        <v>2</v>
      </c>
      <c r="AT153">
        <v>5</v>
      </c>
      <c r="BP153" t="s">
        <v>981</v>
      </c>
      <c r="BQ153" t="str">
        <f t="shared" si="90"/>
        <v>2</v>
      </c>
      <c r="BT153">
        <v>12</v>
      </c>
      <c r="BU153" t="str">
        <f t="shared" si="93"/>
        <v>551012,552012,553012</v>
      </c>
      <c r="BV153">
        <f t="shared" si="91"/>
        <v>551012</v>
      </c>
      <c r="BW153">
        <f t="shared" si="92"/>
        <v>552012</v>
      </c>
      <c r="BX153">
        <f t="shared" si="94"/>
        <v>553012</v>
      </c>
      <c r="CF153" t="str">
        <f t="shared" si="98"/>
        <v>DATA_Class_Base56</v>
      </c>
      <c r="CG153" s="37" t="s">
        <v>381</v>
      </c>
    </row>
    <row r="154" spans="1:85" ht="27">
      <c r="A154">
        <f t="shared" si="99"/>
        <v>5052302</v>
      </c>
      <c r="B154" s="37" t="s">
        <v>1056</v>
      </c>
      <c r="C154">
        <v>5</v>
      </c>
      <c r="D154">
        <v>3</v>
      </c>
      <c r="E154">
        <v>2</v>
      </c>
      <c r="F154" t="s">
        <v>1208</v>
      </c>
      <c r="G154" t="str">
        <f t="shared" si="71"/>
        <v>刺客2_55_2</v>
      </c>
      <c r="H154" s="2">
        <v>0</v>
      </c>
      <c r="I154" s="2" t="s">
        <v>358</v>
      </c>
      <c r="J154" s="2">
        <f t="shared" si="95"/>
        <v>2.5</v>
      </c>
      <c r="K154" s="2">
        <f t="shared" si="85"/>
        <v>1.02</v>
      </c>
      <c r="L154" s="2">
        <f t="shared" si="84"/>
        <v>1.25</v>
      </c>
      <c r="M154" s="2">
        <v>10</v>
      </c>
      <c r="N154" s="2">
        <f t="shared" si="73"/>
        <v>40.32</v>
      </c>
      <c r="O154" s="2">
        <f t="shared" si="73"/>
        <v>4.032</v>
      </c>
      <c r="P154" s="2">
        <f t="shared" si="73"/>
        <v>1065.6000000000001</v>
      </c>
      <c r="Q154" s="2">
        <f t="shared" si="72"/>
        <v>106.56000000000002</v>
      </c>
      <c r="R154" s="2">
        <f t="shared" si="72"/>
        <v>33</v>
      </c>
      <c r="S154" s="2">
        <f t="shared" si="72"/>
        <v>3.3000000000000003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>
        <v>50523021</v>
      </c>
      <c r="Z154" s="14" t="s">
        <v>1209</v>
      </c>
      <c r="AA154" s="14" t="s">
        <v>890</v>
      </c>
      <c r="AB154">
        <v>5062302</v>
      </c>
      <c r="AC154" s="2">
        <v>31</v>
      </c>
      <c r="AD154" s="2"/>
      <c r="AE154" s="2"/>
      <c r="AF154">
        <v>1</v>
      </c>
      <c r="AG154" s="1">
        <f t="shared" si="86"/>
        <v>353.48285770695259</v>
      </c>
      <c r="AH154">
        <v>5</v>
      </c>
      <c r="AI154">
        <f t="shared" si="100"/>
        <v>40.32</v>
      </c>
      <c r="AJ154">
        <f t="shared" si="101"/>
        <v>4.032</v>
      </c>
      <c r="AK154">
        <f t="shared" si="102"/>
        <v>1065.6000000000001</v>
      </c>
      <c r="AL154">
        <f t="shared" si="103"/>
        <v>106.56000000000002</v>
      </c>
      <c r="AM154">
        <f t="shared" si="96"/>
        <v>33</v>
      </c>
      <c r="AN154">
        <f t="shared" si="97"/>
        <v>3.3000000000000003</v>
      </c>
      <c r="AO154">
        <f t="shared" si="87"/>
        <v>1.4</v>
      </c>
      <c r="AP154">
        <f t="shared" si="88"/>
        <v>1.7</v>
      </c>
      <c r="AQ154">
        <f t="shared" si="89"/>
        <v>2.5</v>
      </c>
      <c r="AR154">
        <v>302</v>
      </c>
      <c r="AS154" s="1" t="str">
        <f t="shared" si="69"/>
        <v>2</v>
      </c>
      <c r="AT154">
        <v>5</v>
      </c>
      <c r="BP154" t="s">
        <v>983</v>
      </c>
      <c r="BQ154" t="str">
        <f t="shared" si="90"/>
        <v>2</v>
      </c>
      <c r="BT154">
        <v>13</v>
      </c>
      <c r="BU154" t="str">
        <f t="shared" si="93"/>
        <v>551013,552013,553013</v>
      </c>
      <c r="BV154">
        <f t="shared" si="91"/>
        <v>551013</v>
      </c>
      <c r="BW154">
        <f t="shared" si="92"/>
        <v>552013</v>
      </c>
      <c r="BX154">
        <f t="shared" si="94"/>
        <v>553013</v>
      </c>
      <c r="CF154" t="str">
        <f t="shared" si="98"/>
        <v>DATA_Class_Base57</v>
      </c>
      <c r="CG154" s="37" t="s">
        <v>1057</v>
      </c>
    </row>
    <row r="155" spans="1:85" ht="27">
      <c r="A155">
        <f t="shared" si="99"/>
        <v>5052300</v>
      </c>
      <c r="B155" s="37" t="s">
        <v>1028</v>
      </c>
      <c r="C155">
        <v>5</v>
      </c>
      <c r="D155">
        <v>3</v>
      </c>
      <c r="E155">
        <v>2</v>
      </c>
      <c r="F155" t="s">
        <v>1210</v>
      </c>
      <c r="G155" t="str">
        <f t="shared" si="71"/>
        <v>刺客0_55_2</v>
      </c>
      <c r="H155">
        <v>0</v>
      </c>
      <c r="I155" s="2" t="s">
        <v>352</v>
      </c>
      <c r="J155" s="2">
        <f t="shared" si="95"/>
        <v>4</v>
      </c>
      <c r="K155" s="2">
        <f t="shared" si="85"/>
        <v>0.95000000000000007</v>
      </c>
      <c r="L155" s="2">
        <f t="shared" si="84"/>
        <v>1.3900000000000001</v>
      </c>
      <c r="M155" s="2">
        <v>10</v>
      </c>
      <c r="N155" s="2">
        <f t="shared" si="73"/>
        <v>37.440000000000012</v>
      </c>
      <c r="O155" s="2">
        <f t="shared" si="73"/>
        <v>3.7440000000000015</v>
      </c>
      <c r="P155" s="2">
        <f t="shared" si="73"/>
        <v>1065.6000000000001</v>
      </c>
      <c r="Q155" s="2">
        <f t="shared" si="72"/>
        <v>106.56000000000002</v>
      </c>
      <c r="R155" s="2">
        <f t="shared" si="72"/>
        <v>33</v>
      </c>
      <c r="S155" s="2">
        <f t="shared" si="72"/>
        <v>3.3000000000000003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>
        <v>50523001</v>
      </c>
      <c r="Z155" s="14" t="s">
        <v>1211</v>
      </c>
      <c r="AA155" s="14" t="s">
        <v>890</v>
      </c>
      <c r="AB155">
        <v>5062300</v>
      </c>
      <c r="AC155" s="2">
        <v>31</v>
      </c>
      <c r="AD155" s="2"/>
      <c r="AE155" s="2"/>
      <c r="AF155">
        <v>1</v>
      </c>
      <c r="AG155" s="1">
        <f t="shared" si="86"/>
        <v>353.48285770695264</v>
      </c>
      <c r="AH155">
        <v>5</v>
      </c>
      <c r="AI155">
        <f t="shared" si="100"/>
        <v>37.440000000000012</v>
      </c>
      <c r="AJ155">
        <f t="shared" si="101"/>
        <v>3.7440000000000015</v>
      </c>
      <c r="AK155">
        <f t="shared" si="102"/>
        <v>1065.6000000000001</v>
      </c>
      <c r="AL155">
        <f t="shared" si="103"/>
        <v>106.56000000000002</v>
      </c>
      <c r="AM155">
        <f t="shared" si="96"/>
        <v>33</v>
      </c>
      <c r="AN155">
        <f t="shared" si="97"/>
        <v>3.3000000000000003</v>
      </c>
      <c r="AO155">
        <f t="shared" si="87"/>
        <v>1.3</v>
      </c>
      <c r="AP155">
        <f t="shared" si="88"/>
        <v>1.9</v>
      </c>
      <c r="AQ155">
        <f t="shared" si="89"/>
        <v>4</v>
      </c>
      <c r="AR155">
        <v>300</v>
      </c>
      <c r="AS155" s="1" t="str">
        <f t="shared" si="69"/>
        <v>0</v>
      </c>
      <c r="AT155">
        <v>5</v>
      </c>
      <c r="BP155" t="s">
        <v>967</v>
      </c>
      <c r="BQ155" t="str">
        <f t="shared" si="90"/>
        <v>0</v>
      </c>
      <c r="BT155">
        <v>14</v>
      </c>
      <c r="BU155" t="str">
        <f t="shared" si="93"/>
        <v>551014,552014,553014</v>
      </c>
      <c r="BV155">
        <f t="shared" si="91"/>
        <v>551014</v>
      </c>
      <c r="BW155">
        <f t="shared" si="92"/>
        <v>552014</v>
      </c>
      <c r="BX155">
        <f t="shared" si="94"/>
        <v>553014</v>
      </c>
      <c r="CF155" t="str">
        <f t="shared" si="98"/>
        <v>DATA_Class_Base48</v>
      </c>
      <c r="CG155" s="37" t="s">
        <v>411</v>
      </c>
    </row>
    <row r="156" spans="1:85" ht="27">
      <c r="A156">
        <f t="shared" si="99"/>
        <v>5052400</v>
      </c>
      <c r="B156" s="37" t="s">
        <v>1060</v>
      </c>
      <c r="C156">
        <v>5</v>
      </c>
      <c r="D156">
        <v>4</v>
      </c>
      <c r="E156">
        <v>2</v>
      </c>
      <c r="F156" t="s">
        <v>1212</v>
      </c>
      <c r="G156" t="str">
        <f t="shared" si="71"/>
        <v>法师0_55_2</v>
      </c>
      <c r="H156">
        <v>0</v>
      </c>
      <c r="I156" s="2" t="s">
        <v>364</v>
      </c>
      <c r="J156" s="2">
        <f t="shared" si="95"/>
        <v>5</v>
      </c>
      <c r="K156" s="2">
        <f t="shared" si="85"/>
        <v>1.02</v>
      </c>
      <c r="L156" s="2">
        <f t="shared" si="84"/>
        <v>1.02</v>
      </c>
      <c r="M156" s="2">
        <v>10</v>
      </c>
      <c r="N156" s="2">
        <f t="shared" si="73"/>
        <v>49.28</v>
      </c>
      <c r="O156" s="2">
        <f t="shared" si="73"/>
        <v>4.9280000000000008</v>
      </c>
      <c r="P156" s="2">
        <f t="shared" si="73"/>
        <v>873.6</v>
      </c>
      <c r="Q156" s="2">
        <f t="shared" si="72"/>
        <v>87.360000000000014</v>
      </c>
      <c r="R156" s="2">
        <f t="shared" si="72"/>
        <v>27</v>
      </c>
      <c r="S156" s="2">
        <f t="shared" si="72"/>
        <v>2.7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>
        <v>50524001</v>
      </c>
      <c r="Z156" s="14" t="s">
        <v>1213</v>
      </c>
      <c r="AA156" s="14" t="s">
        <v>890</v>
      </c>
      <c r="AB156">
        <v>5062400</v>
      </c>
      <c r="AC156" s="2">
        <v>31</v>
      </c>
      <c r="AD156" s="2"/>
      <c r="AE156" s="2"/>
      <c r="AF156">
        <v>1</v>
      </c>
      <c r="AG156" s="1">
        <f t="shared" si="86"/>
        <v>353.72020586282525</v>
      </c>
      <c r="AH156">
        <v>5</v>
      </c>
      <c r="AI156">
        <f t="shared" si="100"/>
        <v>49.28</v>
      </c>
      <c r="AJ156">
        <f t="shared" si="101"/>
        <v>4.9280000000000008</v>
      </c>
      <c r="AK156">
        <f t="shared" si="102"/>
        <v>873.6</v>
      </c>
      <c r="AL156">
        <f t="shared" si="103"/>
        <v>87.360000000000014</v>
      </c>
      <c r="AM156">
        <f t="shared" si="96"/>
        <v>27</v>
      </c>
      <c r="AN156">
        <f t="shared" si="97"/>
        <v>2.7</v>
      </c>
      <c r="AO156">
        <f t="shared" si="87"/>
        <v>1.4</v>
      </c>
      <c r="AP156">
        <f t="shared" si="88"/>
        <v>1.4</v>
      </c>
      <c r="AQ156">
        <f t="shared" si="89"/>
        <v>5</v>
      </c>
      <c r="AR156">
        <v>400</v>
      </c>
      <c r="AS156" s="1" t="str">
        <f t="shared" si="69"/>
        <v>0</v>
      </c>
      <c r="AT156">
        <v>5</v>
      </c>
      <c r="BP156" t="s">
        <v>986</v>
      </c>
      <c r="BQ156" t="str">
        <f t="shared" si="90"/>
        <v>0</v>
      </c>
      <c r="BT156">
        <v>15</v>
      </c>
      <c r="BU156" t="str">
        <f t="shared" si="93"/>
        <v>551015,552015,553015</v>
      </c>
      <c r="BV156">
        <f t="shared" si="91"/>
        <v>551015</v>
      </c>
      <c r="BW156">
        <f t="shared" si="92"/>
        <v>552015</v>
      </c>
      <c r="BX156">
        <f t="shared" si="94"/>
        <v>553015</v>
      </c>
      <c r="CF156" t="str">
        <f t="shared" si="98"/>
        <v>DATA_Class_Base58</v>
      </c>
      <c r="CG156" s="37" t="s">
        <v>174</v>
      </c>
    </row>
    <row r="157" spans="1:85" ht="27">
      <c r="A157">
        <f t="shared" si="99"/>
        <v>5052402</v>
      </c>
      <c r="B157" s="37" t="s">
        <v>1037</v>
      </c>
      <c r="C157">
        <v>5</v>
      </c>
      <c r="D157">
        <v>4</v>
      </c>
      <c r="E157">
        <v>2</v>
      </c>
      <c r="F157" t="s">
        <v>528</v>
      </c>
      <c r="G157" t="str">
        <f t="shared" si="71"/>
        <v>法师2_55_2</v>
      </c>
      <c r="H157" s="2">
        <v>0</v>
      </c>
      <c r="I157" s="2" t="s">
        <v>250</v>
      </c>
      <c r="J157" s="2">
        <f t="shared" si="95"/>
        <v>5</v>
      </c>
      <c r="K157" s="2">
        <f t="shared" si="85"/>
        <v>1.1000000000000001</v>
      </c>
      <c r="L157" s="2">
        <f t="shared" si="84"/>
        <v>1.1000000000000001</v>
      </c>
      <c r="M157" s="2">
        <v>10</v>
      </c>
      <c r="N157" s="2">
        <f t="shared" si="73"/>
        <v>52.800000000000004</v>
      </c>
      <c r="O157" s="2">
        <f t="shared" si="73"/>
        <v>5.2800000000000011</v>
      </c>
      <c r="P157" s="2">
        <f t="shared" si="73"/>
        <v>873.6</v>
      </c>
      <c r="Q157" s="2">
        <f t="shared" si="72"/>
        <v>87.360000000000014</v>
      </c>
      <c r="R157" s="2">
        <f t="shared" si="72"/>
        <v>27</v>
      </c>
      <c r="S157" s="2">
        <f t="shared" si="72"/>
        <v>2.7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>
        <v>50524021</v>
      </c>
      <c r="Z157" s="14" t="s">
        <v>1214</v>
      </c>
      <c r="AA157" s="14" t="s">
        <v>890</v>
      </c>
      <c r="AB157">
        <v>5062402</v>
      </c>
      <c r="AC157" s="2">
        <v>31</v>
      </c>
      <c r="AD157" s="2"/>
      <c r="AE157" s="2"/>
      <c r="AF157">
        <v>1</v>
      </c>
      <c r="AG157" s="1">
        <f t="shared" si="86"/>
        <v>353.72020586282525</v>
      </c>
      <c r="AH157">
        <v>5</v>
      </c>
      <c r="AI157">
        <f t="shared" si="100"/>
        <v>52.800000000000004</v>
      </c>
      <c r="AJ157">
        <f t="shared" si="101"/>
        <v>5.2800000000000011</v>
      </c>
      <c r="AK157">
        <f t="shared" si="102"/>
        <v>873.6</v>
      </c>
      <c r="AL157">
        <f t="shared" si="103"/>
        <v>87.360000000000014</v>
      </c>
      <c r="AM157">
        <f t="shared" si="96"/>
        <v>27</v>
      </c>
      <c r="AN157">
        <f t="shared" si="97"/>
        <v>2.7</v>
      </c>
      <c r="AO157">
        <f t="shared" si="87"/>
        <v>1.5</v>
      </c>
      <c r="AP157">
        <f t="shared" si="88"/>
        <v>1.5</v>
      </c>
      <c r="AQ157">
        <f t="shared" si="89"/>
        <v>5</v>
      </c>
      <c r="AR157">
        <v>402</v>
      </c>
      <c r="AS157" s="1" t="str">
        <f t="shared" si="69"/>
        <v>2</v>
      </c>
      <c r="AT157">
        <v>5</v>
      </c>
      <c r="BP157" t="s">
        <v>971</v>
      </c>
      <c r="BQ157" t="str">
        <f t="shared" si="90"/>
        <v>2</v>
      </c>
      <c r="BT157">
        <v>16</v>
      </c>
      <c r="BU157" t="str">
        <f t="shared" si="93"/>
        <v>551016,552016,553016</v>
      </c>
      <c r="BV157">
        <f t="shared" si="91"/>
        <v>551016</v>
      </c>
      <c r="BW157">
        <f t="shared" si="92"/>
        <v>552016</v>
      </c>
      <c r="BX157">
        <f t="shared" si="94"/>
        <v>553016</v>
      </c>
      <c r="CF157" t="str">
        <f t="shared" si="98"/>
        <v>DATA_Class_Base51</v>
      </c>
      <c r="CG157" s="37" t="s">
        <v>1038</v>
      </c>
    </row>
    <row r="158" spans="1:85" ht="27">
      <c r="A158">
        <f t="shared" si="99"/>
        <v>5052500</v>
      </c>
      <c r="B158" s="37" t="s">
        <v>1041</v>
      </c>
      <c r="C158">
        <v>5</v>
      </c>
      <c r="D158">
        <v>5</v>
      </c>
      <c r="E158">
        <v>2</v>
      </c>
      <c r="F158" t="s">
        <v>532</v>
      </c>
      <c r="G158" t="str">
        <f t="shared" si="71"/>
        <v>游侠0_55_2</v>
      </c>
      <c r="H158" s="2">
        <v>0</v>
      </c>
      <c r="I158" s="2" t="s">
        <v>303</v>
      </c>
      <c r="J158" s="2">
        <f t="shared" si="95"/>
        <v>5</v>
      </c>
      <c r="K158" s="2">
        <f t="shared" si="85"/>
        <v>1.1000000000000001</v>
      </c>
      <c r="L158" s="2">
        <f t="shared" si="84"/>
        <v>1.1000000000000001</v>
      </c>
      <c r="M158" s="2">
        <v>10</v>
      </c>
      <c r="N158" s="2">
        <f t="shared" si="73"/>
        <v>57.6</v>
      </c>
      <c r="O158" s="2">
        <f t="shared" si="73"/>
        <v>5.7600000000000007</v>
      </c>
      <c r="P158" s="2">
        <f t="shared" si="73"/>
        <v>796.80000000000007</v>
      </c>
      <c r="Q158" s="2">
        <f t="shared" si="72"/>
        <v>79.680000000000007</v>
      </c>
      <c r="R158" s="2">
        <f t="shared" si="72"/>
        <v>24</v>
      </c>
      <c r="S158" s="2">
        <f t="shared" si="72"/>
        <v>2.4000000000000004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>
        <v>50525001</v>
      </c>
      <c r="Z158" s="14" t="s">
        <v>1215</v>
      </c>
      <c r="AA158" s="14" t="s">
        <v>890</v>
      </c>
      <c r="AB158">
        <v>5062500</v>
      </c>
      <c r="AC158" s="2">
        <v>31</v>
      </c>
      <c r="AD158" s="2"/>
      <c r="AE158" s="2"/>
      <c r="AF158">
        <v>1</v>
      </c>
      <c r="AG158" s="1">
        <f t="shared" si="86"/>
        <v>351.71984944507</v>
      </c>
      <c r="AH158">
        <v>5</v>
      </c>
      <c r="AI158">
        <f t="shared" si="100"/>
        <v>57.6</v>
      </c>
      <c r="AJ158">
        <f t="shared" si="101"/>
        <v>5.7600000000000007</v>
      </c>
      <c r="AK158">
        <f t="shared" si="102"/>
        <v>796.80000000000007</v>
      </c>
      <c r="AL158">
        <f t="shared" si="103"/>
        <v>79.680000000000007</v>
      </c>
      <c r="AM158">
        <f t="shared" si="96"/>
        <v>24</v>
      </c>
      <c r="AN158">
        <f t="shared" si="97"/>
        <v>2.4000000000000004</v>
      </c>
      <c r="AO158">
        <f t="shared" si="87"/>
        <v>1.5</v>
      </c>
      <c r="AP158">
        <f t="shared" si="88"/>
        <v>1.5</v>
      </c>
      <c r="AQ158">
        <f t="shared" si="89"/>
        <v>5</v>
      </c>
      <c r="AR158">
        <v>500</v>
      </c>
      <c r="AS158" s="1" t="str">
        <f t="shared" si="69"/>
        <v>0</v>
      </c>
      <c r="AT158">
        <v>5</v>
      </c>
      <c r="BP158" t="s">
        <v>956</v>
      </c>
      <c r="BQ158" t="str">
        <f t="shared" si="90"/>
        <v>0</v>
      </c>
      <c r="BT158">
        <v>17</v>
      </c>
      <c r="BU158" t="str">
        <f t="shared" si="93"/>
        <v>551017,552017,553017</v>
      </c>
      <c r="BV158">
        <f t="shared" si="91"/>
        <v>551017</v>
      </c>
      <c r="BW158">
        <f t="shared" si="92"/>
        <v>552017</v>
      </c>
      <c r="BX158">
        <f t="shared" si="94"/>
        <v>553017</v>
      </c>
      <c r="CF158" t="str">
        <f t="shared" si="98"/>
        <v>DATA_Class_Base52</v>
      </c>
      <c r="CG158" s="37" t="s">
        <v>184</v>
      </c>
    </row>
    <row r="159" spans="1:85" ht="27">
      <c r="A159">
        <f t="shared" si="99"/>
        <v>5052502</v>
      </c>
      <c r="B159" s="37" t="s">
        <v>1063</v>
      </c>
      <c r="C159">
        <v>5</v>
      </c>
      <c r="D159">
        <v>5</v>
      </c>
      <c r="E159">
        <v>2</v>
      </c>
      <c r="F159" t="s">
        <v>537</v>
      </c>
      <c r="G159" t="str">
        <f t="shared" si="71"/>
        <v>游侠2_55_2</v>
      </c>
      <c r="H159">
        <v>0</v>
      </c>
      <c r="I159" s="2" t="s">
        <v>291</v>
      </c>
      <c r="J159" s="2">
        <f t="shared" si="95"/>
        <v>6</v>
      </c>
      <c r="K159" s="2">
        <f t="shared" si="85"/>
        <v>1.02</v>
      </c>
      <c r="L159" s="2">
        <f t="shared" si="84"/>
        <v>1.47</v>
      </c>
      <c r="M159" s="2">
        <v>10</v>
      </c>
      <c r="N159" s="2">
        <f t="shared" si="73"/>
        <v>53.759999999999991</v>
      </c>
      <c r="O159" s="2">
        <f t="shared" si="73"/>
        <v>5.3759999999999994</v>
      </c>
      <c r="P159" s="2">
        <f t="shared" si="73"/>
        <v>796.80000000000007</v>
      </c>
      <c r="Q159" s="2">
        <f t="shared" si="72"/>
        <v>79.680000000000007</v>
      </c>
      <c r="R159" s="2">
        <f t="shared" si="72"/>
        <v>24</v>
      </c>
      <c r="S159" s="2">
        <f t="shared" si="72"/>
        <v>2.4000000000000004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>
        <v>50525021</v>
      </c>
      <c r="Z159" s="14" t="s">
        <v>1216</v>
      </c>
      <c r="AA159" s="14" t="s">
        <v>890</v>
      </c>
      <c r="AB159">
        <v>5062502</v>
      </c>
      <c r="AC159" s="2">
        <v>31</v>
      </c>
      <c r="AD159" s="2"/>
      <c r="AE159" s="2"/>
      <c r="AF159">
        <v>1</v>
      </c>
      <c r="AG159" s="1">
        <f t="shared" si="86"/>
        <v>351.71984944506994</v>
      </c>
      <c r="AH159">
        <v>5</v>
      </c>
      <c r="AI159">
        <f t="shared" si="100"/>
        <v>53.759999999999991</v>
      </c>
      <c r="AJ159">
        <f t="shared" si="101"/>
        <v>5.3759999999999994</v>
      </c>
      <c r="AK159">
        <f t="shared" si="102"/>
        <v>796.80000000000007</v>
      </c>
      <c r="AL159">
        <f t="shared" si="103"/>
        <v>79.680000000000007</v>
      </c>
      <c r="AM159">
        <f t="shared" si="96"/>
        <v>24</v>
      </c>
      <c r="AN159">
        <f t="shared" si="97"/>
        <v>2.4000000000000004</v>
      </c>
      <c r="AO159">
        <f t="shared" si="87"/>
        <v>1.4</v>
      </c>
      <c r="AP159">
        <f t="shared" si="88"/>
        <v>2</v>
      </c>
      <c r="AQ159">
        <f t="shared" si="89"/>
        <v>6</v>
      </c>
      <c r="AR159">
        <v>502</v>
      </c>
      <c r="AS159" s="1" t="str">
        <f t="shared" si="69"/>
        <v>2</v>
      </c>
      <c r="AT159">
        <v>5</v>
      </c>
      <c r="BP159" t="s">
        <v>974</v>
      </c>
      <c r="BQ159" t="str">
        <f t="shared" si="90"/>
        <v>2</v>
      </c>
      <c r="BT159">
        <v>18</v>
      </c>
      <c r="BU159" t="str">
        <f t="shared" si="93"/>
        <v>551018,552018,553018</v>
      </c>
      <c r="BV159">
        <f t="shared" si="91"/>
        <v>551018</v>
      </c>
      <c r="BW159">
        <f t="shared" si="92"/>
        <v>552018</v>
      </c>
      <c r="BX159">
        <f t="shared" si="94"/>
        <v>553018</v>
      </c>
      <c r="CF159" t="str">
        <f t="shared" si="98"/>
        <v>DATA_Class_Base59</v>
      </c>
      <c r="CG159" s="37" t="s">
        <v>195</v>
      </c>
    </row>
    <row r="160" spans="1:85" ht="27">
      <c r="A160">
        <f t="shared" si="99"/>
        <v>5052600</v>
      </c>
      <c r="B160" s="37" t="s">
        <v>1047</v>
      </c>
      <c r="C160">
        <v>5</v>
      </c>
      <c r="D160">
        <v>6</v>
      </c>
      <c r="E160">
        <v>2</v>
      </c>
      <c r="F160" t="s">
        <v>1217</v>
      </c>
      <c r="G160" t="str">
        <f t="shared" si="71"/>
        <v>牧师0_55_2</v>
      </c>
      <c r="H160">
        <v>0</v>
      </c>
      <c r="I160" s="2" t="s">
        <v>339</v>
      </c>
      <c r="J160" s="2">
        <f t="shared" si="95"/>
        <v>4</v>
      </c>
      <c r="K160" s="2">
        <f t="shared" si="85"/>
        <v>1.02</v>
      </c>
      <c r="L160" s="2">
        <f t="shared" si="84"/>
        <v>1.3900000000000001</v>
      </c>
      <c r="M160" s="2">
        <v>10</v>
      </c>
      <c r="N160" s="2">
        <f t="shared" si="73"/>
        <v>44.8</v>
      </c>
      <c r="O160" s="2">
        <f t="shared" si="73"/>
        <v>4.4799999999999995</v>
      </c>
      <c r="P160" s="2">
        <f t="shared" si="73"/>
        <v>960</v>
      </c>
      <c r="Q160" s="2">
        <f t="shared" si="72"/>
        <v>96</v>
      </c>
      <c r="R160" s="2">
        <f t="shared" si="72"/>
        <v>30</v>
      </c>
      <c r="S160" s="2">
        <f t="shared" si="72"/>
        <v>3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>
        <v>50526001</v>
      </c>
      <c r="Z160" s="14" t="s">
        <v>1218</v>
      </c>
      <c r="AA160" s="14" t="s">
        <v>890</v>
      </c>
      <c r="AB160">
        <v>5062600</v>
      </c>
      <c r="AC160" s="2">
        <v>31</v>
      </c>
      <c r="AD160" s="2"/>
      <c r="AE160" s="2"/>
      <c r="AF160">
        <v>1</v>
      </c>
      <c r="AG160" s="1">
        <f t="shared" si="86"/>
        <v>353.60161063015914</v>
      </c>
      <c r="AH160">
        <v>5</v>
      </c>
      <c r="AI160">
        <f t="shared" si="100"/>
        <v>44.8</v>
      </c>
      <c r="AJ160">
        <f t="shared" si="101"/>
        <v>4.4799999999999995</v>
      </c>
      <c r="AK160">
        <f t="shared" si="102"/>
        <v>960</v>
      </c>
      <c r="AL160">
        <f t="shared" si="103"/>
        <v>96</v>
      </c>
      <c r="AM160">
        <f t="shared" si="96"/>
        <v>30</v>
      </c>
      <c r="AN160">
        <f t="shared" si="97"/>
        <v>3</v>
      </c>
      <c r="AO160">
        <f t="shared" si="87"/>
        <v>1.4</v>
      </c>
      <c r="AP160">
        <f t="shared" si="88"/>
        <v>1.9</v>
      </c>
      <c r="AQ160">
        <f t="shared" si="89"/>
        <v>4</v>
      </c>
      <c r="AR160">
        <v>600</v>
      </c>
      <c r="AS160" s="1" t="str">
        <f t="shared" si="69"/>
        <v>0</v>
      </c>
      <c r="AT160">
        <v>5</v>
      </c>
      <c r="BP160" t="s">
        <v>990</v>
      </c>
      <c r="BQ160" t="str">
        <f t="shared" si="90"/>
        <v>0</v>
      </c>
      <c r="BT160">
        <v>19</v>
      </c>
      <c r="BU160" t="str">
        <f t="shared" si="93"/>
        <v>551019,552019,553019</v>
      </c>
      <c r="BV160">
        <f t="shared" si="91"/>
        <v>551019</v>
      </c>
      <c r="BW160">
        <f t="shared" si="92"/>
        <v>552019</v>
      </c>
      <c r="BX160">
        <f t="shared" si="94"/>
        <v>553019</v>
      </c>
      <c r="CF160" t="str">
        <f t="shared" si="98"/>
        <v>DATA_Class_Base54</v>
      </c>
      <c r="CG160" s="37" t="s">
        <v>198</v>
      </c>
    </row>
    <row r="161" spans="1:85" ht="27">
      <c r="A161">
        <f t="shared" si="99"/>
        <v>5052602</v>
      </c>
      <c r="B161" s="37" t="s">
        <v>1066</v>
      </c>
      <c r="C161">
        <v>5</v>
      </c>
      <c r="D161">
        <v>6</v>
      </c>
      <c r="E161">
        <v>2</v>
      </c>
      <c r="F161" t="s">
        <v>1219</v>
      </c>
      <c r="G161" t="str">
        <f t="shared" si="71"/>
        <v>牧师2_55_2</v>
      </c>
      <c r="H161" t="s">
        <v>345</v>
      </c>
      <c r="I161" s="2" t="s">
        <v>346</v>
      </c>
      <c r="J161" s="2">
        <f t="shared" si="95"/>
        <v>6</v>
      </c>
      <c r="K161" s="2">
        <f t="shared" si="85"/>
        <v>1.32</v>
      </c>
      <c r="L161" s="2">
        <f t="shared" si="84"/>
        <v>1.47</v>
      </c>
      <c r="M161" s="2">
        <v>10</v>
      </c>
      <c r="N161" s="2">
        <f t="shared" si="73"/>
        <v>57.6</v>
      </c>
      <c r="O161" s="2">
        <f t="shared" si="73"/>
        <v>5.7600000000000007</v>
      </c>
      <c r="P161" s="2">
        <f t="shared" si="73"/>
        <v>960</v>
      </c>
      <c r="Q161" s="2">
        <f t="shared" si="72"/>
        <v>96</v>
      </c>
      <c r="R161" s="2">
        <f t="shared" si="72"/>
        <v>30</v>
      </c>
      <c r="S161" s="2">
        <f t="shared" si="72"/>
        <v>3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>
        <v>50526021</v>
      </c>
      <c r="Z161" s="14" t="s">
        <v>1220</v>
      </c>
      <c r="AA161" s="14" t="s">
        <v>890</v>
      </c>
      <c r="AB161">
        <v>5062602</v>
      </c>
      <c r="AC161" s="2">
        <v>31</v>
      </c>
      <c r="AD161" s="2"/>
      <c r="AE161" s="2"/>
      <c r="AF161">
        <v>1</v>
      </c>
      <c r="AG161" s="1">
        <f t="shared" si="86"/>
        <v>353.60161063015914</v>
      </c>
      <c r="AH161">
        <v>5</v>
      </c>
      <c r="AI161">
        <f t="shared" si="100"/>
        <v>57.6</v>
      </c>
      <c r="AJ161">
        <f t="shared" si="101"/>
        <v>5.7600000000000007</v>
      </c>
      <c r="AK161">
        <f t="shared" si="102"/>
        <v>960</v>
      </c>
      <c r="AL161">
        <f t="shared" si="103"/>
        <v>96</v>
      </c>
      <c r="AM161">
        <f t="shared" si="96"/>
        <v>30</v>
      </c>
      <c r="AN161">
        <f t="shared" si="97"/>
        <v>3</v>
      </c>
      <c r="AO161">
        <f t="shared" si="87"/>
        <v>1.8</v>
      </c>
      <c r="AP161">
        <f t="shared" si="88"/>
        <v>2</v>
      </c>
      <c r="AQ161">
        <f t="shared" si="89"/>
        <v>6</v>
      </c>
      <c r="AR161">
        <v>602</v>
      </c>
      <c r="AS161" s="1" t="str">
        <f t="shared" si="69"/>
        <v>2</v>
      </c>
      <c r="AT161">
        <v>5</v>
      </c>
      <c r="BP161" t="s">
        <v>978</v>
      </c>
      <c r="BQ161" t="str">
        <f t="shared" si="90"/>
        <v>2</v>
      </c>
      <c r="BT161">
        <v>20</v>
      </c>
      <c r="BU161" t="str">
        <f t="shared" si="93"/>
        <v>551020,552020,553020</v>
      </c>
      <c r="BV161">
        <f t="shared" si="91"/>
        <v>551020</v>
      </c>
      <c r="BW161">
        <f t="shared" si="92"/>
        <v>552020</v>
      </c>
      <c r="BX161">
        <f t="shared" si="94"/>
        <v>553020</v>
      </c>
      <c r="CF161" t="str">
        <f t="shared" si="98"/>
        <v>DATA_Class_Base60</v>
      </c>
      <c r="CG161" s="37" t="s">
        <v>407</v>
      </c>
    </row>
    <row r="162" spans="1:85">
      <c r="A162">
        <f t="shared" si="99"/>
        <v>5053200</v>
      </c>
      <c r="B162" s="36" t="s">
        <v>1021</v>
      </c>
      <c r="C162">
        <v>5</v>
      </c>
      <c r="D162">
        <v>2</v>
      </c>
      <c r="E162">
        <v>3</v>
      </c>
      <c r="F162" t="s">
        <v>546</v>
      </c>
      <c r="G162" t="str">
        <f t="shared" si="71"/>
        <v>战士0_55_3</v>
      </c>
      <c r="H162">
        <v>0</v>
      </c>
      <c r="I162" s="2" t="s">
        <v>314</v>
      </c>
      <c r="J162" s="2">
        <f t="shared" si="95"/>
        <v>2.5</v>
      </c>
      <c r="K162" s="2">
        <f t="shared" si="85"/>
        <v>1.1000000000000001</v>
      </c>
      <c r="L162" s="2">
        <f t="shared" si="84"/>
        <v>0.88</v>
      </c>
      <c r="M162" s="2">
        <v>10</v>
      </c>
      <c r="N162" s="2">
        <f t="shared" si="73"/>
        <v>38.400000000000006</v>
      </c>
      <c r="O162" s="2">
        <f t="shared" si="73"/>
        <v>3.8400000000000007</v>
      </c>
      <c r="P162" s="2">
        <f t="shared" si="73"/>
        <v>1200</v>
      </c>
      <c r="Q162" s="2">
        <f t="shared" si="72"/>
        <v>120</v>
      </c>
      <c r="R162" s="2">
        <f t="shared" si="72"/>
        <v>36</v>
      </c>
      <c r="S162" s="2">
        <f t="shared" si="72"/>
        <v>3.6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>
        <v>50532001</v>
      </c>
      <c r="Z162" s="14" t="s">
        <v>1221</v>
      </c>
      <c r="AA162" s="14" t="s">
        <v>890</v>
      </c>
      <c r="AB162">
        <v>5063200</v>
      </c>
      <c r="AC162" s="2">
        <v>31</v>
      </c>
      <c r="AD162" s="2"/>
      <c r="AE162" s="2"/>
      <c r="AF162">
        <v>1</v>
      </c>
      <c r="AG162" s="1">
        <f t="shared" si="86"/>
        <v>354.07209096040651</v>
      </c>
      <c r="AH162">
        <v>5</v>
      </c>
      <c r="AI162">
        <f t="shared" si="100"/>
        <v>38.400000000000006</v>
      </c>
      <c r="AJ162">
        <f t="shared" si="101"/>
        <v>3.8400000000000007</v>
      </c>
      <c r="AK162">
        <f t="shared" si="102"/>
        <v>1200</v>
      </c>
      <c r="AL162">
        <f t="shared" si="103"/>
        <v>120</v>
      </c>
      <c r="AM162">
        <f t="shared" si="96"/>
        <v>36</v>
      </c>
      <c r="AN162">
        <f t="shared" si="97"/>
        <v>3.6</v>
      </c>
      <c r="AO162">
        <f t="shared" si="87"/>
        <v>1.5</v>
      </c>
      <c r="AP162">
        <f t="shared" si="88"/>
        <v>1.2</v>
      </c>
      <c r="AQ162">
        <f t="shared" si="89"/>
        <v>2.5</v>
      </c>
      <c r="AR162">
        <v>200</v>
      </c>
      <c r="AS162" s="1" t="str">
        <f t="shared" si="69"/>
        <v>0</v>
      </c>
      <c r="AT162">
        <v>5</v>
      </c>
      <c r="BP162" t="s">
        <v>964</v>
      </c>
      <c r="BQ162" t="str">
        <f t="shared" si="90"/>
        <v>0</v>
      </c>
      <c r="BT162">
        <v>21</v>
      </c>
      <c r="BU162" t="str">
        <f t="shared" si="93"/>
        <v>551021,552021,553021</v>
      </c>
      <c r="BV162">
        <f t="shared" si="91"/>
        <v>551021</v>
      </c>
      <c r="BW162">
        <f t="shared" si="92"/>
        <v>552021</v>
      </c>
      <c r="BX162">
        <f t="shared" si="94"/>
        <v>553021</v>
      </c>
      <c r="CF162" t="str">
        <f t="shared" si="98"/>
        <v>DATA_Class_Base46</v>
      </c>
      <c r="CG162" s="36" t="s">
        <v>1022</v>
      </c>
    </row>
    <row r="163" spans="1:85" ht="27">
      <c r="A163">
        <f t="shared" si="99"/>
        <v>5053202</v>
      </c>
      <c r="B163" s="37" t="s">
        <v>1053</v>
      </c>
      <c r="C163">
        <v>5</v>
      </c>
      <c r="D163">
        <v>2</v>
      </c>
      <c r="E163">
        <v>3</v>
      </c>
      <c r="F163" s="2" t="s">
        <v>554</v>
      </c>
      <c r="G163" t="str">
        <f t="shared" si="71"/>
        <v>战士2_55_3</v>
      </c>
      <c r="H163">
        <v>0</v>
      </c>
      <c r="I163" s="2" t="s">
        <v>280</v>
      </c>
      <c r="J163" s="2">
        <f t="shared" si="95"/>
        <v>2.5</v>
      </c>
      <c r="K163" s="2">
        <f t="shared" si="85"/>
        <v>1.32</v>
      </c>
      <c r="L163" s="2">
        <f t="shared" si="84"/>
        <v>1.47</v>
      </c>
      <c r="M163" s="2">
        <v>10</v>
      </c>
      <c r="N163" s="2">
        <f t="shared" si="73"/>
        <v>46.080000000000005</v>
      </c>
      <c r="O163" s="2">
        <f t="shared" si="73"/>
        <v>4.6080000000000005</v>
      </c>
      <c r="P163" s="2">
        <f t="shared" si="73"/>
        <v>1200</v>
      </c>
      <c r="Q163" s="2">
        <f t="shared" si="72"/>
        <v>120</v>
      </c>
      <c r="R163" s="2">
        <f t="shared" si="72"/>
        <v>36</v>
      </c>
      <c r="S163" s="2">
        <f t="shared" si="72"/>
        <v>3.6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>
        <v>50532021</v>
      </c>
      <c r="Z163" s="14" t="s">
        <v>1222</v>
      </c>
      <c r="AA163" s="14" t="s">
        <v>890</v>
      </c>
      <c r="AB163">
        <v>5063202</v>
      </c>
      <c r="AC163" s="2">
        <v>31</v>
      </c>
      <c r="AD163" s="2"/>
      <c r="AE163" s="2"/>
      <c r="AF163">
        <v>1</v>
      </c>
      <c r="AG163" s="1">
        <f t="shared" si="86"/>
        <v>354.07209096040651</v>
      </c>
      <c r="AH163">
        <v>5</v>
      </c>
      <c r="AI163">
        <f t="shared" si="100"/>
        <v>46.080000000000005</v>
      </c>
      <c r="AJ163">
        <f t="shared" si="101"/>
        <v>4.6080000000000005</v>
      </c>
      <c r="AK163">
        <f t="shared" si="102"/>
        <v>1200</v>
      </c>
      <c r="AL163">
        <f t="shared" si="103"/>
        <v>120</v>
      </c>
      <c r="AM163">
        <f t="shared" si="96"/>
        <v>36</v>
      </c>
      <c r="AN163">
        <f t="shared" si="97"/>
        <v>3.6</v>
      </c>
      <c r="AO163">
        <f t="shared" si="87"/>
        <v>1.8</v>
      </c>
      <c r="AP163">
        <f t="shared" si="88"/>
        <v>2</v>
      </c>
      <c r="AQ163">
        <f t="shared" si="89"/>
        <v>2.5</v>
      </c>
      <c r="AR163">
        <v>202</v>
      </c>
      <c r="AS163" s="1" t="str">
        <f t="shared" si="69"/>
        <v>2</v>
      </c>
      <c r="AT163">
        <v>5</v>
      </c>
      <c r="BP163" t="s">
        <v>981</v>
      </c>
      <c r="BQ163" t="str">
        <f t="shared" si="90"/>
        <v>2</v>
      </c>
      <c r="BT163">
        <v>22</v>
      </c>
      <c r="BU163" t="str">
        <f t="shared" si="93"/>
        <v>551022,552022,553022</v>
      </c>
      <c r="BV163">
        <f t="shared" si="91"/>
        <v>551022</v>
      </c>
      <c r="BW163">
        <f t="shared" si="92"/>
        <v>552022</v>
      </c>
      <c r="BX163">
        <f t="shared" si="94"/>
        <v>553022</v>
      </c>
      <c r="CF163" t="str">
        <f t="shared" si="98"/>
        <v>DATA_Class_Base56</v>
      </c>
      <c r="CG163" s="37" t="s">
        <v>381</v>
      </c>
    </row>
    <row r="164" spans="1:85" ht="27">
      <c r="A164">
        <f t="shared" si="99"/>
        <v>5053302</v>
      </c>
      <c r="B164" s="37" t="s">
        <v>1056</v>
      </c>
      <c r="C164">
        <v>5</v>
      </c>
      <c r="D164">
        <v>3</v>
      </c>
      <c r="E164">
        <v>3</v>
      </c>
      <c r="F164" t="s">
        <v>1223</v>
      </c>
      <c r="G164" t="str">
        <f t="shared" si="71"/>
        <v>刺客2_55_3</v>
      </c>
      <c r="H164" s="2">
        <v>0</v>
      </c>
      <c r="I164" s="2" t="s">
        <v>358</v>
      </c>
      <c r="J164" s="2">
        <f t="shared" si="95"/>
        <v>2.5</v>
      </c>
      <c r="K164" s="2">
        <f t="shared" si="85"/>
        <v>1.02</v>
      </c>
      <c r="L164" s="2">
        <f t="shared" si="84"/>
        <v>1.25</v>
      </c>
      <c r="M164" s="2">
        <v>10</v>
      </c>
      <c r="N164" s="2">
        <f t="shared" si="73"/>
        <v>40.32</v>
      </c>
      <c r="O164" s="2">
        <f t="shared" si="73"/>
        <v>4.032</v>
      </c>
      <c r="P164" s="2">
        <f t="shared" si="73"/>
        <v>1065.6000000000001</v>
      </c>
      <c r="Q164" s="2">
        <f t="shared" si="72"/>
        <v>106.56000000000002</v>
      </c>
      <c r="R164" s="2">
        <f t="shared" si="72"/>
        <v>33</v>
      </c>
      <c r="S164" s="2">
        <f t="shared" si="72"/>
        <v>3.3000000000000003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>
        <v>50533021</v>
      </c>
      <c r="Z164" s="14" t="s">
        <v>1224</v>
      </c>
      <c r="AA164" s="14" t="s">
        <v>890</v>
      </c>
      <c r="AB164">
        <v>5063302</v>
      </c>
      <c r="AC164" s="2">
        <v>31</v>
      </c>
      <c r="AD164" s="2"/>
      <c r="AE164" s="2"/>
      <c r="AF164">
        <v>1</v>
      </c>
      <c r="AG164" s="1">
        <f t="shared" si="86"/>
        <v>353.48285770695259</v>
      </c>
      <c r="AH164">
        <v>5</v>
      </c>
      <c r="AI164">
        <f t="shared" si="100"/>
        <v>40.32</v>
      </c>
      <c r="AJ164">
        <f t="shared" si="101"/>
        <v>4.032</v>
      </c>
      <c r="AK164">
        <f t="shared" si="102"/>
        <v>1065.6000000000001</v>
      </c>
      <c r="AL164">
        <f t="shared" si="103"/>
        <v>106.56000000000002</v>
      </c>
      <c r="AM164">
        <f t="shared" si="96"/>
        <v>33</v>
      </c>
      <c r="AN164">
        <f t="shared" si="97"/>
        <v>3.3000000000000003</v>
      </c>
      <c r="AO164">
        <f t="shared" si="87"/>
        <v>1.4</v>
      </c>
      <c r="AP164">
        <f t="shared" si="88"/>
        <v>1.7</v>
      </c>
      <c r="AQ164">
        <f t="shared" si="89"/>
        <v>2.5</v>
      </c>
      <c r="AR164">
        <v>302</v>
      </c>
      <c r="AS164" s="1" t="str">
        <f t="shared" si="69"/>
        <v>2</v>
      </c>
      <c r="AT164">
        <v>5</v>
      </c>
      <c r="BP164" t="s">
        <v>983</v>
      </c>
      <c r="BQ164" t="str">
        <f t="shared" si="90"/>
        <v>2</v>
      </c>
      <c r="BT164">
        <v>23</v>
      </c>
      <c r="BU164" t="str">
        <f t="shared" si="93"/>
        <v>551023,552023,553023</v>
      </c>
      <c r="BV164">
        <f t="shared" si="91"/>
        <v>551023</v>
      </c>
      <c r="BW164">
        <f t="shared" si="92"/>
        <v>552023</v>
      </c>
      <c r="BX164">
        <f t="shared" si="94"/>
        <v>553023</v>
      </c>
      <c r="CF164" t="str">
        <f t="shared" si="98"/>
        <v>DATA_Class_Base57</v>
      </c>
      <c r="CG164" s="37" t="s">
        <v>1057</v>
      </c>
    </row>
    <row r="165" spans="1:85" ht="27">
      <c r="A165">
        <f t="shared" si="99"/>
        <v>5053301</v>
      </c>
      <c r="B165" s="37" t="s">
        <v>1031</v>
      </c>
      <c r="C165">
        <v>5</v>
      </c>
      <c r="D165">
        <v>3</v>
      </c>
      <c r="E165">
        <v>3</v>
      </c>
      <c r="F165" t="s">
        <v>559</v>
      </c>
      <c r="G165" t="str">
        <f t="shared" si="71"/>
        <v>刺客1_55_3</v>
      </c>
      <c r="H165" s="2">
        <v>0</v>
      </c>
      <c r="I165" s="2" t="s">
        <v>285</v>
      </c>
      <c r="J165" s="2">
        <f t="shared" si="95"/>
        <v>2.5</v>
      </c>
      <c r="K165" s="2">
        <f t="shared" si="85"/>
        <v>0.88</v>
      </c>
      <c r="L165" s="2">
        <f t="shared" si="84"/>
        <v>1.47</v>
      </c>
      <c r="M165" s="2">
        <v>10</v>
      </c>
      <c r="N165" s="2">
        <f t="shared" si="73"/>
        <v>34.56</v>
      </c>
      <c r="O165" s="2">
        <f t="shared" si="73"/>
        <v>3.4560000000000004</v>
      </c>
      <c r="P165" s="2">
        <f t="shared" si="73"/>
        <v>1065.6000000000001</v>
      </c>
      <c r="Q165" s="2">
        <f t="shared" si="72"/>
        <v>106.56000000000002</v>
      </c>
      <c r="R165" s="2">
        <f t="shared" si="72"/>
        <v>33</v>
      </c>
      <c r="S165" s="2">
        <f t="shared" si="72"/>
        <v>3.3000000000000003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>
        <v>50533011</v>
      </c>
      <c r="Z165" s="14" t="s">
        <v>1225</v>
      </c>
      <c r="AA165" s="14" t="s">
        <v>890</v>
      </c>
      <c r="AB165">
        <v>5063301</v>
      </c>
      <c r="AC165" s="2">
        <v>31</v>
      </c>
      <c r="AD165" s="2"/>
      <c r="AE165" s="2"/>
      <c r="AF165">
        <v>1</v>
      </c>
      <c r="AG165" s="1">
        <f t="shared" si="86"/>
        <v>353.48285770695259</v>
      </c>
      <c r="AH165">
        <v>5</v>
      </c>
      <c r="AI165">
        <f t="shared" si="100"/>
        <v>34.56</v>
      </c>
      <c r="AJ165">
        <f t="shared" si="101"/>
        <v>3.4560000000000004</v>
      </c>
      <c r="AK165">
        <f t="shared" si="102"/>
        <v>1065.6000000000001</v>
      </c>
      <c r="AL165">
        <f t="shared" si="103"/>
        <v>106.56000000000002</v>
      </c>
      <c r="AM165">
        <f t="shared" si="96"/>
        <v>33</v>
      </c>
      <c r="AN165">
        <f t="shared" si="97"/>
        <v>3.3000000000000003</v>
      </c>
      <c r="AO165">
        <f t="shared" si="87"/>
        <v>1.2</v>
      </c>
      <c r="AP165">
        <f t="shared" si="88"/>
        <v>2</v>
      </c>
      <c r="AQ165">
        <f t="shared" si="89"/>
        <v>2.5</v>
      </c>
      <c r="AR165">
        <v>301</v>
      </c>
      <c r="AS165" s="1" t="str">
        <f t="shared" ref="AS165:AS228" si="104">RIGHT(AR165,1)</f>
        <v>1</v>
      </c>
      <c r="AT165">
        <v>5</v>
      </c>
      <c r="BP165" t="s">
        <v>923</v>
      </c>
      <c r="BQ165" t="str">
        <f t="shared" si="90"/>
        <v>1</v>
      </c>
      <c r="BT165">
        <v>24</v>
      </c>
      <c r="BU165" t="str">
        <f t="shared" si="93"/>
        <v>551024,552024,553024</v>
      </c>
      <c r="BV165">
        <f t="shared" si="91"/>
        <v>551024</v>
      </c>
      <c r="BW165">
        <f t="shared" si="92"/>
        <v>552024</v>
      </c>
      <c r="BX165">
        <f t="shared" si="94"/>
        <v>553024</v>
      </c>
      <c r="CF165" t="str">
        <f t="shared" si="98"/>
        <v>DATA_Class_Base49</v>
      </c>
      <c r="CG165" s="37" t="s">
        <v>384</v>
      </c>
    </row>
    <row r="166" spans="1:85" ht="27">
      <c r="A166">
        <f t="shared" si="99"/>
        <v>5053400</v>
      </c>
      <c r="B166" s="37" t="s">
        <v>1060</v>
      </c>
      <c r="C166">
        <v>5</v>
      </c>
      <c r="D166">
        <v>4</v>
      </c>
      <c r="E166">
        <v>3</v>
      </c>
      <c r="F166" t="s">
        <v>1226</v>
      </c>
      <c r="G166" t="str">
        <f t="shared" ref="G166:G229" si="105">F166</f>
        <v>法师0_55_3</v>
      </c>
      <c r="H166">
        <v>0</v>
      </c>
      <c r="I166" s="2" t="s">
        <v>364</v>
      </c>
      <c r="J166" s="2">
        <f t="shared" si="95"/>
        <v>5</v>
      </c>
      <c r="K166" s="2">
        <f t="shared" si="85"/>
        <v>1.02</v>
      </c>
      <c r="L166" s="2">
        <f t="shared" si="84"/>
        <v>1.02</v>
      </c>
      <c r="M166" s="2">
        <v>10</v>
      </c>
      <c r="N166" s="2">
        <f t="shared" si="73"/>
        <v>49.28</v>
      </c>
      <c r="O166" s="2">
        <f t="shared" si="73"/>
        <v>4.9280000000000008</v>
      </c>
      <c r="P166" s="2">
        <f t="shared" si="73"/>
        <v>873.6</v>
      </c>
      <c r="Q166" s="2">
        <f t="shared" si="73"/>
        <v>87.360000000000014</v>
      </c>
      <c r="R166" s="2">
        <f t="shared" si="73"/>
        <v>27</v>
      </c>
      <c r="S166" s="2">
        <f t="shared" si="73"/>
        <v>2.7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>
        <v>50534001</v>
      </c>
      <c r="Z166" s="14" t="s">
        <v>1227</v>
      </c>
      <c r="AA166" s="14" t="s">
        <v>890</v>
      </c>
      <c r="AB166">
        <v>5063400</v>
      </c>
      <c r="AC166" s="2">
        <v>31</v>
      </c>
      <c r="AD166" s="2"/>
      <c r="AE166" s="2"/>
      <c r="AF166">
        <v>1</v>
      </c>
      <c r="AG166" s="1">
        <f t="shared" si="86"/>
        <v>353.72020586282525</v>
      </c>
      <c r="AH166">
        <v>5</v>
      </c>
      <c r="AI166">
        <f t="shared" si="100"/>
        <v>49.28</v>
      </c>
      <c r="AJ166">
        <f t="shared" si="101"/>
        <v>4.9280000000000008</v>
      </c>
      <c r="AK166">
        <f t="shared" si="102"/>
        <v>873.6</v>
      </c>
      <c r="AL166">
        <f t="shared" si="103"/>
        <v>87.360000000000014</v>
      </c>
      <c r="AM166">
        <f t="shared" si="96"/>
        <v>27</v>
      </c>
      <c r="AN166">
        <f t="shared" si="97"/>
        <v>2.7</v>
      </c>
      <c r="AO166">
        <f t="shared" si="87"/>
        <v>1.4</v>
      </c>
      <c r="AP166">
        <f t="shared" si="88"/>
        <v>1.4</v>
      </c>
      <c r="AQ166">
        <f t="shared" si="89"/>
        <v>5</v>
      </c>
      <c r="AR166">
        <v>400</v>
      </c>
      <c r="AS166" s="1" t="str">
        <f t="shared" si="104"/>
        <v>0</v>
      </c>
      <c r="AT166">
        <v>5</v>
      </c>
      <c r="BP166" t="s">
        <v>986</v>
      </c>
      <c r="BQ166" t="str">
        <f t="shared" si="90"/>
        <v>0</v>
      </c>
      <c r="BT166">
        <v>25</v>
      </c>
      <c r="BU166" t="str">
        <f t="shared" si="93"/>
        <v>551025,552025,553025</v>
      </c>
      <c r="BV166">
        <f t="shared" si="91"/>
        <v>551025</v>
      </c>
      <c r="BW166">
        <f t="shared" si="92"/>
        <v>552025</v>
      </c>
      <c r="BX166">
        <f t="shared" si="94"/>
        <v>553025</v>
      </c>
      <c r="CF166" t="str">
        <f t="shared" si="98"/>
        <v>DATA_Class_Base58</v>
      </c>
      <c r="CG166" s="37" t="s">
        <v>174</v>
      </c>
    </row>
    <row r="167" spans="1:85" ht="14.25" customHeight="1">
      <c r="A167">
        <f t="shared" si="99"/>
        <v>5053401</v>
      </c>
      <c r="B167" s="37" t="s">
        <v>1034</v>
      </c>
      <c r="C167">
        <v>5</v>
      </c>
      <c r="D167">
        <v>4</v>
      </c>
      <c r="E167">
        <v>3</v>
      </c>
      <c r="F167" t="s">
        <v>563</v>
      </c>
      <c r="G167" t="str">
        <f t="shared" si="105"/>
        <v>法师1_55_3</v>
      </c>
      <c r="H167">
        <v>0</v>
      </c>
      <c r="I167" s="2" t="s">
        <v>161</v>
      </c>
      <c r="J167" s="2">
        <f t="shared" si="95"/>
        <v>6</v>
      </c>
      <c r="K167" s="2">
        <f t="shared" si="85"/>
        <v>1.17</v>
      </c>
      <c r="L167" s="2">
        <f t="shared" si="84"/>
        <v>1.47</v>
      </c>
      <c r="M167" s="2">
        <v>10</v>
      </c>
      <c r="N167" s="2">
        <f t="shared" ref="N167:S209" si="106">AI167</f>
        <v>56.320000000000022</v>
      </c>
      <c r="O167" s="2">
        <f t="shared" si="106"/>
        <v>5.6320000000000023</v>
      </c>
      <c r="P167" s="2">
        <f t="shared" si="106"/>
        <v>873.6</v>
      </c>
      <c r="Q167" s="2">
        <f t="shared" si="106"/>
        <v>87.360000000000014</v>
      </c>
      <c r="R167" s="2">
        <f t="shared" si="106"/>
        <v>27</v>
      </c>
      <c r="S167" s="2">
        <f t="shared" si="106"/>
        <v>2.7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>
        <v>50534011</v>
      </c>
      <c r="Z167" s="14" t="s">
        <v>1228</v>
      </c>
      <c r="AA167" s="14" t="s">
        <v>890</v>
      </c>
      <c r="AB167">
        <v>5063401</v>
      </c>
      <c r="AC167" s="2">
        <v>31</v>
      </c>
      <c r="AD167" s="2"/>
      <c r="AE167" s="2"/>
      <c r="AF167">
        <v>1</v>
      </c>
      <c r="AG167" s="1">
        <f t="shared" si="86"/>
        <v>353.72020586282531</v>
      </c>
      <c r="AH167">
        <v>5</v>
      </c>
      <c r="AI167">
        <f t="shared" si="100"/>
        <v>56.320000000000022</v>
      </c>
      <c r="AJ167">
        <f t="shared" si="101"/>
        <v>5.6320000000000023</v>
      </c>
      <c r="AK167">
        <f t="shared" si="102"/>
        <v>873.6</v>
      </c>
      <c r="AL167">
        <f t="shared" si="103"/>
        <v>87.360000000000014</v>
      </c>
      <c r="AM167">
        <f t="shared" si="96"/>
        <v>27</v>
      </c>
      <c r="AN167">
        <f t="shared" si="97"/>
        <v>2.7</v>
      </c>
      <c r="AO167">
        <f t="shared" si="87"/>
        <v>1.6</v>
      </c>
      <c r="AP167">
        <f t="shared" si="88"/>
        <v>2</v>
      </c>
      <c r="AQ167">
        <f t="shared" si="89"/>
        <v>6</v>
      </c>
      <c r="AR167">
        <v>401</v>
      </c>
      <c r="AS167" s="1" t="str">
        <f t="shared" si="104"/>
        <v>1</v>
      </c>
      <c r="AT167">
        <v>5</v>
      </c>
      <c r="BP167" t="s">
        <v>953</v>
      </c>
      <c r="BQ167" t="str">
        <f t="shared" si="90"/>
        <v>1</v>
      </c>
      <c r="BT167">
        <v>26</v>
      </c>
      <c r="BU167" t="str">
        <f t="shared" si="93"/>
        <v>551026,552026,553026</v>
      </c>
      <c r="BV167">
        <f t="shared" si="91"/>
        <v>551026</v>
      </c>
      <c r="BW167">
        <f t="shared" si="92"/>
        <v>552026</v>
      </c>
      <c r="BX167">
        <f t="shared" si="94"/>
        <v>553026</v>
      </c>
      <c r="CF167" t="str">
        <f t="shared" si="98"/>
        <v>DATA_Class_Base50</v>
      </c>
      <c r="CG167" s="37" t="s">
        <v>176</v>
      </c>
    </row>
    <row r="168" spans="1:85" ht="27">
      <c r="A168">
        <f t="shared" si="99"/>
        <v>5053501</v>
      </c>
      <c r="B168" s="37" t="s">
        <v>1044</v>
      </c>
      <c r="C168">
        <v>5</v>
      </c>
      <c r="D168">
        <v>5</v>
      </c>
      <c r="E168">
        <v>3</v>
      </c>
      <c r="F168" t="s">
        <v>1229</v>
      </c>
      <c r="G168" t="str">
        <f t="shared" si="105"/>
        <v>游侠1_55_3</v>
      </c>
      <c r="H168" s="2">
        <v>0</v>
      </c>
      <c r="I168" s="2" t="s">
        <v>334</v>
      </c>
      <c r="J168" s="2">
        <f t="shared" si="95"/>
        <v>6</v>
      </c>
      <c r="K168" s="2">
        <f t="shared" si="85"/>
        <v>1.17</v>
      </c>
      <c r="L168" s="2">
        <f t="shared" si="84"/>
        <v>1.47</v>
      </c>
      <c r="M168" s="2">
        <v>10</v>
      </c>
      <c r="N168" s="2">
        <f t="shared" si="106"/>
        <v>61.44</v>
      </c>
      <c r="O168" s="2">
        <f t="shared" si="106"/>
        <v>6.1440000000000001</v>
      </c>
      <c r="P168" s="2">
        <f t="shared" si="106"/>
        <v>796.80000000000007</v>
      </c>
      <c r="Q168" s="2">
        <f t="shared" si="106"/>
        <v>79.680000000000007</v>
      </c>
      <c r="R168" s="2">
        <f t="shared" si="106"/>
        <v>24</v>
      </c>
      <c r="S168" s="2">
        <f t="shared" si="106"/>
        <v>2.4000000000000004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>
        <v>50535011</v>
      </c>
      <c r="Z168" s="14" t="s">
        <v>1230</v>
      </c>
      <c r="AA168" s="14" t="s">
        <v>890</v>
      </c>
      <c r="AB168">
        <v>5063501</v>
      </c>
      <c r="AC168" s="2">
        <v>31</v>
      </c>
      <c r="AD168" s="2"/>
      <c r="AE168" s="2"/>
      <c r="AF168">
        <v>1</v>
      </c>
      <c r="AG168" s="1">
        <f t="shared" si="86"/>
        <v>351.71984944507</v>
      </c>
      <c r="AH168">
        <v>5</v>
      </c>
      <c r="AI168">
        <f t="shared" si="100"/>
        <v>61.44</v>
      </c>
      <c r="AJ168">
        <f t="shared" si="101"/>
        <v>6.1440000000000001</v>
      </c>
      <c r="AK168">
        <f t="shared" si="102"/>
        <v>796.80000000000007</v>
      </c>
      <c r="AL168">
        <f t="shared" si="103"/>
        <v>79.680000000000007</v>
      </c>
      <c r="AM168">
        <f t="shared" si="96"/>
        <v>24</v>
      </c>
      <c r="AN168">
        <f t="shared" si="97"/>
        <v>2.4000000000000004</v>
      </c>
      <c r="AO168">
        <f t="shared" si="87"/>
        <v>1.6</v>
      </c>
      <c r="AP168">
        <f t="shared" si="88"/>
        <v>2</v>
      </c>
      <c r="AQ168">
        <f t="shared" si="89"/>
        <v>6</v>
      </c>
      <c r="AR168">
        <v>501</v>
      </c>
      <c r="AS168" s="1" t="str">
        <f t="shared" si="104"/>
        <v>1</v>
      </c>
      <c r="AT168">
        <v>5</v>
      </c>
      <c r="BP168" t="s">
        <v>945</v>
      </c>
      <c r="BQ168" t="str">
        <f t="shared" si="90"/>
        <v>1</v>
      </c>
      <c r="BT168">
        <v>27</v>
      </c>
      <c r="BU168" t="str">
        <f t="shared" si="93"/>
        <v>551027,552027,553027</v>
      </c>
      <c r="BV168">
        <f t="shared" si="91"/>
        <v>551027</v>
      </c>
      <c r="BW168">
        <f t="shared" si="92"/>
        <v>552027</v>
      </c>
      <c r="BX168">
        <f t="shared" si="94"/>
        <v>553027</v>
      </c>
      <c r="CF168" t="str">
        <f t="shared" si="98"/>
        <v>DATA_Class_Base53</v>
      </c>
      <c r="CG168" s="37" t="s">
        <v>349</v>
      </c>
    </row>
    <row r="169" spans="1:85" ht="27">
      <c r="A169">
        <f t="shared" si="99"/>
        <v>5053502</v>
      </c>
      <c r="B169" s="37" t="s">
        <v>1063</v>
      </c>
      <c r="C169">
        <v>5</v>
      </c>
      <c r="D169">
        <v>5</v>
      </c>
      <c r="E169">
        <v>3</v>
      </c>
      <c r="F169" t="s">
        <v>576</v>
      </c>
      <c r="G169" t="str">
        <f t="shared" si="105"/>
        <v>游侠2_55_3</v>
      </c>
      <c r="H169">
        <v>0</v>
      </c>
      <c r="I169" s="2" t="s">
        <v>291</v>
      </c>
      <c r="J169" s="2">
        <f t="shared" si="95"/>
        <v>6</v>
      </c>
      <c r="K169" s="2">
        <f t="shared" si="85"/>
        <v>1.02</v>
      </c>
      <c r="L169" s="2">
        <f t="shared" si="84"/>
        <v>1.47</v>
      </c>
      <c r="M169" s="2">
        <v>10</v>
      </c>
      <c r="N169" s="2">
        <f t="shared" si="106"/>
        <v>53.759999999999991</v>
      </c>
      <c r="O169" s="2">
        <f t="shared" si="106"/>
        <v>5.3759999999999994</v>
      </c>
      <c r="P169" s="2">
        <f t="shared" si="106"/>
        <v>796.80000000000007</v>
      </c>
      <c r="Q169" s="2">
        <f t="shared" si="106"/>
        <v>79.680000000000007</v>
      </c>
      <c r="R169" s="2">
        <f t="shared" si="106"/>
        <v>24</v>
      </c>
      <c r="S169" s="2">
        <f t="shared" si="106"/>
        <v>2.4000000000000004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>
        <v>50535021</v>
      </c>
      <c r="Z169" s="14" t="s">
        <v>1231</v>
      </c>
      <c r="AA169" s="14" t="s">
        <v>890</v>
      </c>
      <c r="AB169">
        <v>5063502</v>
      </c>
      <c r="AC169" s="2">
        <v>31</v>
      </c>
      <c r="AD169" s="2"/>
      <c r="AE169" s="2"/>
      <c r="AF169">
        <v>1</v>
      </c>
      <c r="AG169" s="1">
        <f t="shared" si="86"/>
        <v>351.71984944506994</v>
      </c>
      <c r="AH169">
        <v>5</v>
      </c>
      <c r="AI169">
        <f t="shared" si="100"/>
        <v>53.759999999999991</v>
      </c>
      <c r="AJ169">
        <f t="shared" si="101"/>
        <v>5.3759999999999994</v>
      </c>
      <c r="AK169">
        <f t="shared" si="102"/>
        <v>796.80000000000007</v>
      </c>
      <c r="AL169">
        <f t="shared" si="103"/>
        <v>79.680000000000007</v>
      </c>
      <c r="AM169">
        <f t="shared" si="96"/>
        <v>24</v>
      </c>
      <c r="AN169">
        <f t="shared" si="97"/>
        <v>2.4000000000000004</v>
      </c>
      <c r="AO169">
        <f t="shared" si="87"/>
        <v>1.4</v>
      </c>
      <c r="AP169">
        <f t="shared" si="88"/>
        <v>2</v>
      </c>
      <c r="AQ169">
        <f t="shared" si="89"/>
        <v>6</v>
      </c>
      <c r="AR169">
        <v>502</v>
      </c>
      <c r="AS169" s="1" t="str">
        <f t="shared" si="104"/>
        <v>2</v>
      </c>
      <c r="AT169">
        <v>5</v>
      </c>
      <c r="BP169" t="s">
        <v>974</v>
      </c>
      <c r="BQ169" t="str">
        <f t="shared" si="90"/>
        <v>2</v>
      </c>
      <c r="BT169">
        <v>28</v>
      </c>
      <c r="BU169" t="str">
        <f t="shared" si="93"/>
        <v>551028,552028,553028</v>
      </c>
      <c r="BV169">
        <f t="shared" si="91"/>
        <v>551028</v>
      </c>
      <c r="BW169">
        <f t="shared" si="92"/>
        <v>552028</v>
      </c>
      <c r="BX169">
        <f t="shared" si="94"/>
        <v>553028</v>
      </c>
      <c r="CF169" t="str">
        <f t="shared" si="98"/>
        <v>DATA_Class_Base59</v>
      </c>
      <c r="CG169" s="37" t="s">
        <v>195</v>
      </c>
    </row>
    <row r="170" spans="1:85" ht="27">
      <c r="A170">
        <f t="shared" si="99"/>
        <v>5053600</v>
      </c>
      <c r="B170" s="37" t="s">
        <v>1047</v>
      </c>
      <c r="C170">
        <v>5</v>
      </c>
      <c r="D170">
        <v>6</v>
      </c>
      <c r="E170">
        <v>3</v>
      </c>
      <c r="F170" t="s">
        <v>1232</v>
      </c>
      <c r="G170" t="str">
        <f t="shared" si="105"/>
        <v>牧师0_55_3</v>
      </c>
      <c r="H170">
        <v>0</v>
      </c>
      <c r="I170" s="2" t="s">
        <v>339</v>
      </c>
      <c r="J170" s="2">
        <f t="shared" si="95"/>
        <v>4</v>
      </c>
      <c r="K170" s="2">
        <f t="shared" si="85"/>
        <v>1.02</v>
      </c>
      <c r="L170" s="2">
        <f t="shared" si="84"/>
        <v>1.3900000000000001</v>
      </c>
      <c r="M170" s="2">
        <v>10</v>
      </c>
      <c r="N170" s="2">
        <f t="shared" si="106"/>
        <v>44.8</v>
      </c>
      <c r="O170" s="2">
        <f t="shared" si="106"/>
        <v>4.4799999999999995</v>
      </c>
      <c r="P170" s="2">
        <f t="shared" si="106"/>
        <v>960</v>
      </c>
      <c r="Q170" s="2">
        <f t="shared" si="106"/>
        <v>96</v>
      </c>
      <c r="R170" s="2">
        <f t="shared" si="106"/>
        <v>30</v>
      </c>
      <c r="S170" s="2">
        <f t="shared" si="106"/>
        <v>3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>
        <v>50536001</v>
      </c>
      <c r="Z170" s="14" t="s">
        <v>1233</v>
      </c>
      <c r="AA170" s="14" t="s">
        <v>890</v>
      </c>
      <c r="AB170">
        <v>5063600</v>
      </c>
      <c r="AC170" s="2">
        <v>31</v>
      </c>
      <c r="AD170" s="2"/>
      <c r="AE170" s="2"/>
      <c r="AF170">
        <v>1</v>
      </c>
      <c r="AG170" s="1">
        <f t="shared" si="86"/>
        <v>353.60161063015914</v>
      </c>
      <c r="AH170">
        <v>5</v>
      </c>
      <c r="AI170">
        <f t="shared" si="100"/>
        <v>44.8</v>
      </c>
      <c r="AJ170">
        <f t="shared" si="101"/>
        <v>4.4799999999999995</v>
      </c>
      <c r="AK170">
        <f t="shared" si="102"/>
        <v>960</v>
      </c>
      <c r="AL170">
        <f t="shared" si="103"/>
        <v>96</v>
      </c>
      <c r="AM170">
        <f t="shared" si="96"/>
        <v>30</v>
      </c>
      <c r="AN170">
        <f t="shared" si="97"/>
        <v>3</v>
      </c>
      <c r="AO170">
        <f t="shared" si="87"/>
        <v>1.4</v>
      </c>
      <c r="AP170">
        <f t="shared" si="88"/>
        <v>1.9</v>
      </c>
      <c r="AQ170">
        <f t="shared" si="89"/>
        <v>4</v>
      </c>
      <c r="AR170">
        <v>600</v>
      </c>
      <c r="AS170" s="1" t="str">
        <f t="shared" si="104"/>
        <v>0</v>
      </c>
      <c r="AT170">
        <v>5</v>
      </c>
      <c r="BP170" t="s">
        <v>990</v>
      </c>
      <c r="BQ170" t="str">
        <f t="shared" si="90"/>
        <v>0</v>
      </c>
      <c r="BT170">
        <v>29</v>
      </c>
      <c r="BU170" t="str">
        <f t="shared" si="93"/>
        <v>551029,552029,553029</v>
      </c>
      <c r="BV170">
        <f t="shared" si="91"/>
        <v>551029</v>
      </c>
      <c r="BW170">
        <f t="shared" si="92"/>
        <v>552029</v>
      </c>
      <c r="BX170">
        <f t="shared" si="94"/>
        <v>553029</v>
      </c>
      <c r="CF170" t="str">
        <f t="shared" si="98"/>
        <v>DATA_Class_Base54</v>
      </c>
      <c r="CG170" s="37" t="s">
        <v>198</v>
      </c>
    </row>
    <row r="171" spans="1:85" ht="27">
      <c r="A171">
        <f t="shared" si="99"/>
        <v>5053601</v>
      </c>
      <c r="B171" s="37" t="s">
        <v>1050</v>
      </c>
      <c r="C171">
        <v>5</v>
      </c>
      <c r="D171">
        <v>6</v>
      </c>
      <c r="E171">
        <v>3</v>
      </c>
      <c r="F171" t="s">
        <v>581</v>
      </c>
      <c r="G171" t="str">
        <f t="shared" si="105"/>
        <v>牧师1_55_3</v>
      </c>
      <c r="H171" s="2">
        <v>0</v>
      </c>
      <c r="I171" s="2" t="s">
        <v>309</v>
      </c>
      <c r="J171" s="2">
        <f t="shared" si="95"/>
        <v>5</v>
      </c>
      <c r="K171" s="2">
        <f t="shared" si="85"/>
        <v>1.1000000000000001</v>
      </c>
      <c r="L171" s="2">
        <f t="shared" si="84"/>
        <v>1.47</v>
      </c>
      <c r="M171" s="2">
        <v>10</v>
      </c>
      <c r="N171" s="2">
        <f t="shared" si="106"/>
        <v>48</v>
      </c>
      <c r="O171" s="2">
        <f t="shared" si="106"/>
        <v>4.8000000000000007</v>
      </c>
      <c r="P171" s="2">
        <f t="shared" si="106"/>
        <v>960</v>
      </c>
      <c r="Q171" s="2">
        <f t="shared" si="106"/>
        <v>96</v>
      </c>
      <c r="R171" s="2">
        <f t="shared" si="106"/>
        <v>30</v>
      </c>
      <c r="S171" s="2">
        <f t="shared" si="106"/>
        <v>3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>
        <v>50536011</v>
      </c>
      <c r="Z171" s="14" t="s">
        <v>1234</v>
      </c>
      <c r="AA171" s="14" t="s">
        <v>890</v>
      </c>
      <c r="AB171">
        <v>5063601</v>
      </c>
      <c r="AC171" s="2">
        <v>31</v>
      </c>
      <c r="AD171" s="2"/>
      <c r="AE171" s="2"/>
      <c r="AF171">
        <v>1</v>
      </c>
      <c r="AG171" s="1">
        <f t="shared" si="86"/>
        <v>353.60161063015914</v>
      </c>
      <c r="AH171">
        <v>5</v>
      </c>
      <c r="AI171">
        <f t="shared" si="100"/>
        <v>48</v>
      </c>
      <c r="AJ171">
        <f t="shared" si="101"/>
        <v>4.8000000000000007</v>
      </c>
      <c r="AK171">
        <f t="shared" si="102"/>
        <v>960</v>
      </c>
      <c r="AL171">
        <f t="shared" si="103"/>
        <v>96</v>
      </c>
      <c r="AM171">
        <f t="shared" si="96"/>
        <v>30</v>
      </c>
      <c r="AN171">
        <f t="shared" si="97"/>
        <v>3</v>
      </c>
      <c r="AO171">
        <f t="shared" si="87"/>
        <v>1.5</v>
      </c>
      <c r="AP171">
        <f t="shared" si="88"/>
        <v>2</v>
      </c>
      <c r="AQ171">
        <f t="shared" si="89"/>
        <v>5</v>
      </c>
      <c r="AR171">
        <v>601</v>
      </c>
      <c r="AS171" s="1" t="str">
        <f t="shared" si="104"/>
        <v>1</v>
      </c>
      <c r="AT171">
        <v>5</v>
      </c>
      <c r="BP171" t="s">
        <v>960</v>
      </c>
      <c r="BQ171" t="str">
        <f t="shared" si="90"/>
        <v>1</v>
      </c>
      <c r="BT171">
        <v>30</v>
      </c>
      <c r="BU171" t="str">
        <f t="shared" si="93"/>
        <v>551030,552030,553030</v>
      </c>
      <c r="BV171">
        <f t="shared" si="91"/>
        <v>551030</v>
      </c>
      <c r="BW171">
        <f t="shared" si="92"/>
        <v>552030</v>
      </c>
      <c r="BX171">
        <f t="shared" si="94"/>
        <v>553030</v>
      </c>
      <c r="CF171" t="str">
        <f t="shared" si="98"/>
        <v>DATA_Class_Base55</v>
      </c>
      <c r="CG171" s="37" t="s">
        <v>201</v>
      </c>
    </row>
    <row r="172" spans="1:85">
      <c r="A172">
        <f t="shared" si="99"/>
        <v>5054200</v>
      </c>
      <c r="B172" s="36" t="s">
        <v>1021</v>
      </c>
      <c r="C172">
        <v>5</v>
      </c>
      <c r="D172">
        <v>2</v>
      </c>
      <c r="E172">
        <v>4</v>
      </c>
      <c r="F172" t="s">
        <v>1235</v>
      </c>
      <c r="G172" t="str">
        <f t="shared" si="105"/>
        <v>战士0_55_4</v>
      </c>
      <c r="H172">
        <v>0</v>
      </c>
      <c r="I172" s="2" t="s">
        <v>314</v>
      </c>
      <c r="J172" s="2">
        <f t="shared" si="95"/>
        <v>2.5</v>
      </c>
      <c r="K172" s="2">
        <f t="shared" si="85"/>
        <v>1.1000000000000001</v>
      </c>
      <c r="L172" s="2">
        <f t="shared" si="84"/>
        <v>0.88</v>
      </c>
      <c r="M172" s="2">
        <v>10</v>
      </c>
      <c r="N172" s="2">
        <f t="shared" si="106"/>
        <v>38.400000000000006</v>
      </c>
      <c r="O172" s="2">
        <f t="shared" si="106"/>
        <v>3.8400000000000007</v>
      </c>
      <c r="P172" s="2">
        <f t="shared" si="106"/>
        <v>1200</v>
      </c>
      <c r="Q172" s="2">
        <f t="shared" si="106"/>
        <v>120</v>
      </c>
      <c r="R172" s="2">
        <f t="shared" si="106"/>
        <v>36</v>
      </c>
      <c r="S172" s="2">
        <f t="shared" si="106"/>
        <v>3.6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>
        <v>50542001</v>
      </c>
      <c r="Z172" s="14" t="s">
        <v>1236</v>
      </c>
      <c r="AA172" s="14" t="s">
        <v>890</v>
      </c>
      <c r="AB172">
        <v>5064200</v>
      </c>
      <c r="AC172" s="2">
        <v>19</v>
      </c>
      <c r="AD172" s="2"/>
      <c r="AE172" s="2"/>
      <c r="AF172">
        <v>1</v>
      </c>
      <c r="AG172" s="1">
        <f t="shared" si="86"/>
        <v>354.07209096040651</v>
      </c>
      <c r="AH172">
        <v>5</v>
      </c>
      <c r="AI172">
        <f t="shared" si="100"/>
        <v>38.400000000000006</v>
      </c>
      <c r="AJ172">
        <f t="shared" si="101"/>
        <v>3.8400000000000007</v>
      </c>
      <c r="AK172">
        <f t="shared" si="102"/>
        <v>1200</v>
      </c>
      <c r="AL172">
        <f t="shared" si="103"/>
        <v>120</v>
      </c>
      <c r="AM172">
        <f t="shared" si="96"/>
        <v>36</v>
      </c>
      <c r="AN172">
        <f t="shared" si="97"/>
        <v>3.6</v>
      </c>
      <c r="AO172">
        <f t="shared" si="87"/>
        <v>1.5</v>
      </c>
      <c r="AP172">
        <f t="shared" si="88"/>
        <v>1.2</v>
      </c>
      <c r="AQ172">
        <f t="shared" si="89"/>
        <v>2.5</v>
      </c>
      <c r="AR172">
        <v>200</v>
      </c>
      <c r="AS172" s="1" t="str">
        <f t="shared" si="104"/>
        <v>0</v>
      </c>
      <c r="AT172">
        <v>5</v>
      </c>
      <c r="BP172" t="s">
        <v>964</v>
      </c>
      <c r="BQ172" t="str">
        <f t="shared" si="90"/>
        <v>0</v>
      </c>
      <c r="BT172">
        <v>31</v>
      </c>
      <c r="BU172" t="str">
        <f t="shared" si="93"/>
        <v>551031,552031,553031</v>
      </c>
      <c r="BV172">
        <f t="shared" si="91"/>
        <v>551031</v>
      </c>
      <c r="BW172">
        <f t="shared" si="92"/>
        <v>552031</v>
      </c>
      <c r="BX172">
        <f t="shared" si="94"/>
        <v>553031</v>
      </c>
      <c r="CF172" t="str">
        <f t="shared" si="98"/>
        <v>DATA_Class_Base46</v>
      </c>
      <c r="CG172" s="36" t="s">
        <v>1022</v>
      </c>
    </row>
    <row r="173" spans="1:85" ht="27">
      <c r="A173">
        <f t="shared" si="99"/>
        <v>5054201</v>
      </c>
      <c r="B173" s="37" t="s">
        <v>1025</v>
      </c>
      <c r="C173">
        <v>5</v>
      </c>
      <c r="D173">
        <v>2</v>
      </c>
      <c r="E173">
        <v>4</v>
      </c>
      <c r="F173" t="s">
        <v>585</v>
      </c>
      <c r="G173" t="str">
        <f t="shared" si="105"/>
        <v>战士1_55_4</v>
      </c>
      <c r="H173" s="2">
        <v>0</v>
      </c>
      <c r="I173" s="2" t="s">
        <v>298</v>
      </c>
      <c r="J173" s="2">
        <f t="shared" si="95"/>
        <v>2.5</v>
      </c>
      <c r="K173" s="2">
        <f t="shared" si="85"/>
        <v>1.32</v>
      </c>
      <c r="L173" s="2">
        <f t="shared" si="84"/>
        <v>1.32</v>
      </c>
      <c r="M173" s="2">
        <v>10</v>
      </c>
      <c r="N173" s="2">
        <f t="shared" si="106"/>
        <v>46.080000000000005</v>
      </c>
      <c r="O173" s="2">
        <f t="shared" si="106"/>
        <v>4.6080000000000005</v>
      </c>
      <c r="P173" s="2">
        <f t="shared" si="106"/>
        <v>1200</v>
      </c>
      <c r="Q173" s="2">
        <f t="shared" si="106"/>
        <v>120</v>
      </c>
      <c r="R173" s="2">
        <f t="shared" si="106"/>
        <v>36</v>
      </c>
      <c r="S173" s="2">
        <f t="shared" si="106"/>
        <v>3.6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>
        <v>50542011</v>
      </c>
      <c r="Z173" s="14" t="s">
        <v>1237</v>
      </c>
      <c r="AA173" s="14" t="s">
        <v>890</v>
      </c>
      <c r="AB173">
        <v>5064201</v>
      </c>
      <c r="AC173" s="2">
        <v>19</v>
      </c>
      <c r="AD173" s="2"/>
      <c r="AE173" s="2"/>
      <c r="AF173">
        <v>1</v>
      </c>
      <c r="AG173" s="1">
        <f t="shared" si="86"/>
        <v>354.07209096040651</v>
      </c>
      <c r="AH173">
        <v>5</v>
      </c>
      <c r="AI173">
        <f t="shared" si="100"/>
        <v>46.080000000000005</v>
      </c>
      <c r="AJ173">
        <f t="shared" si="101"/>
        <v>4.6080000000000005</v>
      </c>
      <c r="AK173">
        <f t="shared" si="102"/>
        <v>1200</v>
      </c>
      <c r="AL173">
        <f t="shared" si="103"/>
        <v>120</v>
      </c>
      <c r="AM173">
        <f t="shared" si="96"/>
        <v>36</v>
      </c>
      <c r="AN173">
        <f t="shared" si="97"/>
        <v>3.6</v>
      </c>
      <c r="AO173">
        <f t="shared" si="87"/>
        <v>1.8</v>
      </c>
      <c r="AP173">
        <f t="shared" si="88"/>
        <v>1.8</v>
      </c>
      <c r="AQ173">
        <f t="shared" si="89"/>
        <v>2.5</v>
      </c>
      <c r="AR173">
        <v>201</v>
      </c>
      <c r="AS173" s="1" t="str">
        <f t="shared" si="104"/>
        <v>1</v>
      </c>
      <c r="AT173">
        <v>5</v>
      </c>
      <c r="BP173" t="s">
        <v>913</v>
      </c>
      <c r="BQ173" t="str">
        <f t="shared" si="90"/>
        <v>1</v>
      </c>
      <c r="BT173">
        <v>32</v>
      </c>
      <c r="BU173" t="str">
        <f t="shared" si="93"/>
        <v>551032,552032,553032</v>
      </c>
      <c r="BV173">
        <f t="shared" si="91"/>
        <v>551032</v>
      </c>
      <c r="BW173">
        <f t="shared" si="92"/>
        <v>552032</v>
      </c>
      <c r="BX173">
        <f t="shared" si="94"/>
        <v>553032</v>
      </c>
      <c r="CF173" t="str">
        <f t="shared" si="98"/>
        <v>DATA_Class_Base47</v>
      </c>
      <c r="CG173" s="37" t="s">
        <v>378</v>
      </c>
    </row>
    <row r="174" spans="1:85" ht="27">
      <c r="A174">
        <f t="shared" si="99"/>
        <v>5054300</v>
      </c>
      <c r="B174" s="37" t="s">
        <v>1028</v>
      </c>
      <c r="C174">
        <v>5</v>
      </c>
      <c r="D174">
        <v>3</v>
      </c>
      <c r="E174">
        <v>4</v>
      </c>
      <c r="F174" t="s">
        <v>1238</v>
      </c>
      <c r="G174" t="str">
        <f t="shared" si="105"/>
        <v>刺客0_55_4</v>
      </c>
      <c r="H174">
        <v>0</v>
      </c>
      <c r="I174" s="2" t="s">
        <v>352</v>
      </c>
      <c r="J174" s="2">
        <f t="shared" si="95"/>
        <v>4</v>
      </c>
      <c r="K174" s="2">
        <f t="shared" si="85"/>
        <v>0.95000000000000007</v>
      </c>
      <c r="L174" s="2">
        <f t="shared" si="84"/>
        <v>1.3900000000000001</v>
      </c>
      <c r="M174" s="2">
        <v>10</v>
      </c>
      <c r="N174" s="2">
        <f t="shared" si="106"/>
        <v>37.440000000000012</v>
      </c>
      <c r="O174" s="2">
        <f t="shared" si="106"/>
        <v>3.7440000000000015</v>
      </c>
      <c r="P174" s="2">
        <f t="shared" si="106"/>
        <v>1065.6000000000001</v>
      </c>
      <c r="Q174" s="2">
        <f t="shared" si="106"/>
        <v>106.56000000000002</v>
      </c>
      <c r="R174" s="2">
        <f t="shared" si="106"/>
        <v>33</v>
      </c>
      <c r="S174" s="2">
        <f t="shared" si="106"/>
        <v>3.3000000000000003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>
        <v>50543001</v>
      </c>
      <c r="Z174" s="14" t="s">
        <v>1239</v>
      </c>
      <c r="AA174" s="14" t="s">
        <v>890</v>
      </c>
      <c r="AB174">
        <v>5064300</v>
      </c>
      <c r="AC174" s="2">
        <v>19</v>
      </c>
      <c r="AD174" s="2"/>
      <c r="AE174" s="2"/>
      <c r="AF174">
        <v>1</v>
      </c>
      <c r="AG174" s="1">
        <f t="shared" si="86"/>
        <v>353.48285770695264</v>
      </c>
      <c r="AH174">
        <v>5</v>
      </c>
      <c r="AI174">
        <f t="shared" si="100"/>
        <v>37.440000000000012</v>
      </c>
      <c r="AJ174">
        <f t="shared" si="101"/>
        <v>3.7440000000000015</v>
      </c>
      <c r="AK174">
        <f t="shared" si="102"/>
        <v>1065.6000000000001</v>
      </c>
      <c r="AL174">
        <f t="shared" si="103"/>
        <v>106.56000000000002</v>
      </c>
      <c r="AM174">
        <f t="shared" si="96"/>
        <v>33</v>
      </c>
      <c r="AN174">
        <f t="shared" si="97"/>
        <v>3.3000000000000003</v>
      </c>
      <c r="AO174">
        <f t="shared" si="87"/>
        <v>1.3</v>
      </c>
      <c r="AP174">
        <f t="shared" si="88"/>
        <v>1.9</v>
      </c>
      <c r="AQ174">
        <f t="shared" si="89"/>
        <v>4</v>
      </c>
      <c r="AR174">
        <v>300</v>
      </c>
      <c r="AS174" s="1" t="str">
        <f t="shared" si="104"/>
        <v>0</v>
      </c>
      <c r="AT174">
        <v>5</v>
      </c>
      <c r="BP174" t="s">
        <v>967</v>
      </c>
      <c r="BQ174" t="str">
        <f t="shared" si="90"/>
        <v>0</v>
      </c>
      <c r="BT174">
        <v>33</v>
      </c>
      <c r="BU174" t="str">
        <f t="shared" si="93"/>
        <v>551033,552033,553033</v>
      </c>
      <c r="BV174">
        <f t="shared" si="91"/>
        <v>551033</v>
      </c>
      <c r="BW174">
        <f t="shared" si="92"/>
        <v>552033</v>
      </c>
      <c r="BX174">
        <f t="shared" si="94"/>
        <v>553033</v>
      </c>
      <c r="CF174" t="str">
        <f t="shared" si="98"/>
        <v>DATA_Class_Base48</v>
      </c>
      <c r="CG174" s="37" t="s">
        <v>411</v>
      </c>
    </row>
    <row r="175" spans="1:85" ht="27">
      <c r="A175">
        <f t="shared" si="99"/>
        <v>5054301</v>
      </c>
      <c r="B175" s="37" t="s">
        <v>1031</v>
      </c>
      <c r="C175">
        <v>5</v>
      </c>
      <c r="D175">
        <v>3</v>
      </c>
      <c r="E175">
        <v>4</v>
      </c>
      <c r="F175" t="s">
        <v>1240</v>
      </c>
      <c r="G175" t="str">
        <f t="shared" si="105"/>
        <v>刺客1_55_4</v>
      </c>
      <c r="H175" s="2">
        <v>0</v>
      </c>
      <c r="I175" s="2" t="s">
        <v>285</v>
      </c>
      <c r="J175" s="2">
        <f t="shared" si="95"/>
        <v>2.5</v>
      </c>
      <c r="K175" s="2">
        <f t="shared" si="85"/>
        <v>0.88</v>
      </c>
      <c r="L175" s="2">
        <f t="shared" si="84"/>
        <v>1.47</v>
      </c>
      <c r="M175" s="2">
        <v>10</v>
      </c>
      <c r="N175" s="2">
        <f t="shared" si="106"/>
        <v>34.56</v>
      </c>
      <c r="O175" s="2">
        <f t="shared" si="106"/>
        <v>3.4560000000000004</v>
      </c>
      <c r="P175" s="2">
        <f t="shared" si="106"/>
        <v>1065.6000000000001</v>
      </c>
      <c r="Q175" s="2">
        <f t="shared" si="106"/>
        <v>106.56000000000002</v>
      </c>
      <c r="R175" s="2">
        <f t="shared" si="106"/>
        <v>33</v>
      </c>
      <c r="S175" s="2">
        <f t="shared" si="106"/>
        <v>3.3000000000000003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>
        <v>50543011</v>
      </c>
      <c r="Z175" s="14" t="s">
        <v>1241</v>
      </c>
      <c r="AA175" s="14" t="s">
        <v>890</v>
      </c>
      <c r="AB175">
        <v>5064301</v>
      </c>
      <c r="AC175" s="2">
        <v>19</v>
      </c>
      <c r="AD175" s="2"/>
      <c r="AE175" s="2"/>
      <c r="AF175">
        <v>1</v>
      </c>
      <c r="AG175" s="1">
        <f t="shared" si="86"/>
        <v>353.48285770695259</v>
      </c>
      <c r="AH175">
        <v>5</v>
      </c>
      <c r="AI175">
        <f t="shared" si="100"/>
        <v>34.56</v>
      </c>
      <c r="AJ175">
        <f t="shared" si="101"/>
        <v>3.4560000000000004</v>
      </c>
      <c r="AK175">
        <f t="shared" si="102"/>
        <v>1065.6000000000001</v>
      </c>
      <c r="AL175">
        <f t="shared" si="103"/>
        <v>106.56000000000002</v>
      </c>
      <c r="AM175">
        <f t="shared" si="96"/>
        <v>33</v>
      </c>
      <c r="AN175">
        <f t="shared" si="97"/>
        <v>3.3000000000000003</v>
      </c>
      <c r="AO175">
        <f t="shared" si="87"/>
        <v>1.2</v>
      </c>
      <c r="AP175">
        <f t="shared" si="88"/>
        <v>2</v>
      </c>
      <c r="AQ175">
        <f t="shared" si="89"/>
        <v>2.5</v>
      </c>
      <c r="AR175">
        <v>301</v>
      </c>
      <c r="AS175" s="1" t="str">
        <f t="shared" si="104"/>
        <v>1</v>
      </c>
      <c r="AT175">
        <v>5</v>
      </c>
      <c r="BP175" t="s">
        <v>923</v>
      </c>
      <c r="BQ175" t="str">
        <f t="shared" si="90"/>
        <v>1</v>
      </c>
      <c r="BT175">
        <v>34</v>
      </c>
      <c r="BU175" t="str">
        <f t="shared" si="93"/>
        <v>551034,552034,553034</v>
      </c>
      <c r="BV175">
        <f t="shared" si="91"/>
        <v>551034</v>
      </c>
      <c r="BW175">
        <f t="shared" si="92"/>
        <v>552034</v>
      </c>
      <c r="BX175">
        <f t="shared" si="94"/>
        <v>553034</v>
      </c>
      <c r="CF175" t="str">
        <f t="shared" si="98"/>
        <v>DATA_Class_Base49</v>
      </c>
      <c r="CG175" s="37" t="s">
        <v>384</v>
      </c>
    </row>
    <row r="176" spans="1:85" ht="27">
      <c r="A176">
        <f t="shared" si="99"/>
        <v>5054401</v>
      </c>
      <c r="B176" s="37" t="s">
        <v>1034</v>
      </c>
      <c r="C176">
        <v>5</v>
      </c>
      <c r="D176">
        <v>4</v>
      </c>
      <c r="E176">
        <v>4</v>
      </c>
      <c r="F176" t="s">
        <v>1242</v>
      </c>
      <c r="G176" t="str">
        <f t="shared" si="105"/>
        <v>法师1_55_4</v>
      </c>
      <c r="H176">
        <v>0</v>
      </c>
      <c r="I176" s="2" t="s">
        <v>161</v>
      </c>
      <c r="J176" s="2">
        <f t="shared" si="95"/>
        <v>6</v>
      </c>
      <c r="K176" s="2">
        <f t="shared" si="85"/>
        <v>1.17</v>
      </c>
      <c r="L176" s="2">
        <f t="shared" si="84"/>
        <v>1.47</v>
      </c>
      <c r="M176" s="2">
        <v>10</v>
      </c>
      <c r="N176" s="2">
        <f t="shared" si="106"/>
        <v>56.320000000000022</v>
      </c>
      <c r="O176" s="2">
        <f t="shared" si="106"/>
        <v>5.6320000000000023</v>
      </c>
      <c r="P176" s="2">
        <f t="shared" si="106"/>
        <v>873.6</v>
      </c>
      <c r="Q176" s="2">
        <f t="shared" si="106"/>
        <v>87.360000000000014</v>
      </c>
      <c r="R176" s="2">
        <f t="shared" si="106"/>
        <v>27</v>
      </c>
      <c r="S176" s="2">
        <f t="shared" si="106"/>
        <v>2.7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>
        <v>50544011</v>
      </c>
      <c r="Z176" s="14" t="s">
        <v>1243</v>
      </c>
      <c r="AA176" s="14" t="s">
        <v>890</v>
      </c>
      <c r="AB176">
        <v>5064401</v>
      </c>
      <c r="AC176" s="2">
        <v>19</v>
      </c>
      <c r="AD176" s="2"/>
      <c r="AE176" s="2"/>
      <c r="AF176">
        <v>1</v>
      </c>
      <c r="AG176" s="1">
        <f t="shared" si="86"/>
        <v>353.72020586282531</v>
      </c>
      <c r="AH176">
        <v>5</v>
      </c>
      <c r="AI176">
        <f t="shared" si="100"/>
        <v>56.320000000000022</v>
      </c>
      <c r="AJ176">
        <f t="shared" si="101"/>
        <v>5.6320000000000023</v>
      </c>
      <c r="AK176">
        <f t="shared" si="102"/>
        <v>873.6</v>
      </c>
      <c r="AL176">
        <f t="shared" si="103"/>
        <v>87.360000000000014</v>
      </c>
      <c r="AM176">
        <f t="shared" si="96"/>
        <v>27</v>
      </c>
      <c r="AN176">
        <f t="shared" si="97"/>
        <v>2.7</v>
      </c>
      <c r="AO176">
        <f t="shared" si="87"/>
        <v>1.6</v>
      </c>
      <c r="AP176">
        <f t="shared" si="88"/>
        <v>2</v>
      </c>
      <c r="AQ176">
        <f t="shared" si="89"/>
        <v>6</v>
      </c>
      <c r="AR176">
        <v>401</v>
      </c>
      <c r="AS176" s="1" t="str">
        <f t="shared" si="104"/>
        <v>1</v>
      </c>
      <c r="AT176">
        <v>5</v>
      </c>
      <c r="BP176" t="s">
        <v>953</v>
      </c>
      <c r="BQ176" t="str">
        <f t="shared" si="90"/>
        <v>1</v>
      </c>
      <c r="BT176">
        <v>35</v>
      </c>
      <c r="BU176" t="str">
        <f t="shared" si="93"/>
        <v>551035,552035,553035</v>
      </c>
      <c r="BV176">
        <f t="shared" si="91"/>
        <v>551035</v>
      </c>
      <c r="BW176">
        <f t="shared" si="92"/>
        <v>552035</v>
      </c>
      <c r="BX176">
        <f t="shared" si="94"/>
        <v>553035</v>
      </c>
      <c r="CF176" t="str">
        <f t="shared" si="98"/>
        <v>DATA_Class_Base50</v>
      </c>
      <c r="CG176" s="37" t="s">
        <v>176</v>
      </c>
    </row>
    <row r="177" spans="1:85" ht="27">
      <c r="A177">
        <f t="shared" si="99"/>
        <v>5054402</v>
      </c>
      <c r="B177" s="37" t="s">
        <v>1037</v>
      </c>
      <c r="C177">
        <v>5</v>
      </c>
      <c r="D177">
        <v>4</v>
      </c>
      <c r="E177">
        <v>4</v>
      </c>
      <c r="F177" t="s">
        <v>1244</v>
      </c>
      <c r="G177" t="str">
        <f t="shared" si="105"/>
        <v>法师2_55_4</v>
      </c>
      <c r="H177" s="2">
        <v>0</v>
      </c>
      <c r="I177" s="2" t="s">
        <v>250</v>
      </c>
      <c r="J177" s="2">
        <f t="shared" si="95"/>
        <v>5</v>
      </c>
      <c r="K177" s="2">
        <f t="shared" si="85"/>
        <v>1.1000000000000001</v>
      </c>
      <c r="L177" s="2">
        <f t="shared" si="84"/>
        <v>1.1000000000000001</v>
      </c>
      <c r="M177" s="2">
        <v>10</v>
      </c>
      <c r="N177" s="2">
        <f t="shared" si="106"/>
        <v>52.800000000000004</v>
      </c>
      <c r="O177" s="2">
        <f t="shared" si="106"/>
        <v>5.2800000000000011</v>
      </c>
      <c r="P177" s="2">
        <f t="shared" si="106"/>
        <v>873.6</v>
      </c>
      <c r="Q177" s="2">
        <f t="shared" si="106"/>
        <v>87.360000000000014</v>
      </c>
      <c r="R177" s="2">
        <f t="shared" si="106"/>
        <v>27</v>
      </c>
      <c r="S177" s="2">
        <f t="shared" si="106"/>
        <v>2.7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>
        <v>50544021</v>
      </c>
      <c r="Z177" s="14" t="s">
        <v>1245</v>
      </c>
      <c r="AA177" s="14" t="s">
        <v>890</v>
      </c>
      <c r="AB177">
        <v>5064402</v>
      </c>
      <c r="AC177" s="2">
        <v>19</v>
      </c>
      <c r="AD177" s="2"/>
      <c r="AE177" s="2"/>
      <c r="AF177">
        <v>1</v>
      </c>
      <c r="AG177" s="1">
        <f t="shared" si="86"/>
        <v>353.72020586282525</v>
      </c>
      <c r="AH177">
        <v>5</v>
      </c>
      <c r="AI177">
        <f t="shared" si="100"/>
        <v>52.800000000000004</v>
      </c>
      <c r="AJ177">
        <f t="shared" si="101"/>
        <v>5.2800000000000011</v>
      </c>
      <c r="AK177">
        <f t="shared" si="102"/>
        <v>873.6</v>
      </c>
      <c r="AL177">
        <f t="shared" si="103"/>
        <v>87.360000000000014</v>
      </c>
      <c r="AM177">
        <f t="shared" si="96"/>
        <v>27</v>
      </c>
      <c r="AN177">
        <f t="shared" si="97"/>
        <v>2.7</v>
      </c>
      <c r="AO177">
        <f t="shared" si="87"/>
        <v>1.5</v>
      </c>
      <c r="AP177">
        <f t="shared" si="88"/>
        <v>1.5</v>
      </c>
      <c r="AQ177">
        <f t="shared" si="89"/>
        <v>5</v>
      </c>
      <c r="AR177">
        <v>402</v>
      </c>
      <c r="AS177" s="1" t="str">
        <f t="shared" si="104"/>
        <v>2</v>
      </c>
      <c r="AT177">
        <v>5</v>
      </c>
      <c r="BP177" t="s">
        <v>971</v>
      </c>
      <c r="BQ177" t="str">
        <f t="shared" si="90"/>
        <v>2</v>
      </c>
      <c r="BT177">
        <v>36</v>
      </c>
      <c r="BU177" t="str">
        <f t="shared" si="93"/>
        <v>551036,552036,553036</v>
      </c>
      <c r="BV177">
        <f t="shared" si="91"/>
        <v>551036</v>
      </c>
      <c r="BW177">
        <f t="shared" si="92"/>
        <v>552036</v>
      </c>
      <c r="BX177">
        <f t="shared" si="94"/>
        <v>553036</v>
      </c>
      <c r="CF177" t="str">
        <f t="shared" si="98"/>
        <v>DATA_Class_Base51</v>
      </c>
      <c r="CG177" s="37" t="s">
        <v>1038</v>
      </c>
    </row>
    <row r="178" spans="1:85" ht="27">
      <c r="A178">
        <f t="shared" si="99"/>
        <v>5054501</v>
      </c>
      <c r="B178" s="37" t="s">
        <v>1044</v>
      </c>
      <c r="C178">
        <v>5</v>
      </c>
      <c r="D178">
        <v>5</v>
      </c>
      <c r="E178">
        <v>4</v>
      </c>
      <c r="F178" t="s">
        <v>594</v>
      </c>
      <c r="G178" t="str">
        <f t="shared" si="105"/>
        <v>游侠1_55_4</v>
      </c>
      <c r="H178" s="2">
        <v>0</v>
      </c>
      <c r="I178" s="2" t="s">
        <v>334</v>
      </c>
      <c r="J178" s="2">
        <f t="shared" si="95"/>
        <v>6</v>
      </c>
      <c r="K178" s="2">
        <f t="shared" si="85"/>
        <v>1.17</v>
      </c>
      <c r="L178" s="2">
        <f t="shared" si="84"/>
        <v>1.47</v>
      </c>
      <c r="M178" s="2">
        <v>10</v>
      </c>
      <c r="N178" s="2">
        <f t="shared" si="106"/>
        <v>61.44</v>
      </c>
      <c r="O178" s="2">
        <f t="shared" si="106"/>
        <v>6.1440000000000001</v>
      </c>
      <c r="P178" s="2">
        <f t="shared" si="106"/>
        <v>796.80000000000007</v>
      </c>
      <c r="Q178" s="2">
        <f t="shared" si="106"/>
        <v>79.680000000000007</v>
      </c>
      <c r="R178" s="2">
        <f t="shared" si="106"/>
        <v>24</v>
      </c>
      <c r="S178" s="2">
        <f t="shared" si="106"/>
        <v>2.4000000000000004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>
        <v>50545011</v>
      </c>
      <c r="Z178" s="14" t="s">
        <v>1246</v>
      </c>
      <c r="AA178" s="14" t="s">
        <v>890</v>
      </c>
      <c r="AB178">
        <v>5064501</v>
      </c>
      <c r="AC178" s="2">
        <v>19</v>
      </c>
      <c r="AD178" s="2"/>
      <c r="AE178" s="2"/>
      <c r="AF178">
        <v>1</v>
      </c>
      <c r="AG178" s="1">
        <f t="shared" si="86"/>
        <v>351.71984944507</v>
      </c>
      <c r="AH178">
        <v>5</v>
      </c>
      <c r="AI178">
        <f t="shared" si="100"/>
        <v>61.44</v>
      </c>
      <c r="AJ178">
        <f t="shared" si="101"/>
        <v>6.1440000000000001</v>
      </c>
      <c r="AK178">
        <f t="shared" si="102"/>
        <v>796.80000000000007</v>
      </c>
      <c r="AL178">
        <f t="shared" si="103"/>
        <v>79.680000000000007</v>
      </c>
      <c r="AM178">
        <f t="shared" si="96"/>
        <v>24</v>
      </c>
      <c r="AN178">
        <f t="shared" si="97"/>
        <v>2.4000000000000004</v>
      </c>
      <c r="AO178">
        <f t="shared" si="87"/>
        <v>1.6</v>
      </c>
      <c r="AP178">
        <f t="shared" si="88"/>
        <v>2</v>
      </c>
      <c r="AQ178">
        <f t="shared" si="89"/>
        <v>6</v>
      </c>
      <c r="AR178">
        <v>501</v>
      </c>
      <c r="AS178" s="1" t="str">
        <f t="shared" si="104"/>
        <v>1</v>
      </c>
      <c r="AT178">
        <v>5</v>
      </c>
      <c r="BP178" t="s">
        <v>945</v>
      </c>
      <c r="BQ178" t="str">
        <f t="shared" si="90"/>
        <v>1</v>
      </c>
      <c r="BT178">
        <v>37</v>
      </c>
      <c r="BU178" t="str">
        <f t="shared" si="93"/>
        <v>551037,552037,553037</v>
      </c>
      <c r="BV178">
        <f t="shared" si="91"/>
        <v>551037</v>
      </c>
      <c r="BW178">
        <f t="shared" si="92"/>
        <v>552037</v>
      </c>
      <c r="BX178">
        <f t="shared" si="94"/>
        <v>553037</v>
      </c>
      <c r="CF178" t="str">
        <f t="shared" si="98"/>
        <v>DATA_Class_Base53</v>
      </c>
      <c r="CG178" s="37" t="s">
        <v>349</v>
      </c>
    </row>
    <row r="179" spans="1:85" ht="27">
      <c r="A179">
        <f t="shared" si="99"/>
        <v>5054502</v>
      </c>
      <c r="B179" s="37" t="s">
        <v>1063</v>
      </c>
      <c r="C179">
        <v>5</v>
      </c>
      <c r="D179">
        <v>5</v>
      </c>
      <c r="E179">
        <v>4</v>
      </c>
      <c r="F179" t="s">
        <v>1247</v>
      </c>
      <c r="G179" t="str">
        <f t="shared" si="105"/>
        <v>游侠2_55_4</v>
      </c>
      <c r="H179">
        <v>0</v>
      </c>
      <c r="I179" s="2" t="s">
        <v>291</v>
      </c>
      <c r="J179" s="2">
        <f t="shared" si="95"/>
        <v>6</v>
      </c>
      <c r="K179" s="2">
        <f t="shared" si="85"/>
        <v>1.02</v>
      </c>
      <c r="L179" s="2">
        <f t="shared" si="84"/>
        <v>1.47</v>
      </c>
      <c r="M179" s="2">
        <v>10</v>
      </c>
      <c r="N179" s="2">
        <f t="shared" si="106"/>
        <v>53.759999999999991</v>
      </c>
      <c r="O179" s="2">
        <f t="shared" si="106"/>
        <v>5.3759999999999994</v>
      </c>
      <c r="P179" s="2">
        <f t="shared" si="106"/>
        <v>796.80000000000007</v>
      </c>
      <c r="Q179" s="2">
        <f t="shared" si="106"/>
        <v>79.680000000000007</v>
      </c>
      <c r="R179" s="2">
        <f t="shared" si="106"/>
        <v>24</v>
      </c>
      <c r="S179" s="2">
        <f t="shared" si="106"/>
        <v>2.4000000000000004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>
        <v>50545021</v>
      </c>
      <c r="Z179" s="14" t="s">
        <v>1248</v>
      </c>
      <c r="AA179" s="14" t="s">
        <v>890</v>
      </c>
      <c r="AB179">
        <v>5064502</v>
      </c>
      <c r="AC179" s="2">
        <v>19</v>
      </c>
      <c r="AD179" s="2"/>
      <c r="AE179" s="2"/>
      <c r="AF179">
        <v>1</v>
      </c>
      <c r="AG179" s="1">
        <f t="shared" si="86"/>
        <v>351.71984944506994</v>
      </c>
      <c r="AH179">
        <v>5</v>
      </c>
      <c r="AI179">
        <f t="shared" si="100"/>
        <v>53.759999999999991</v>
      </c>
      <c r="AJ179">
        <f t="shared" si="101"/>
        <v>5.3759999999999994</v>
      </c>
      <c r="AK179">
        <f t="shared" si="102"/>
        <v>796.80000000000007</v>
      </c>
      <c r="AL179">
        <f t="shared" si="103"/>
        <v>79.680000000000007</v>
      </c>
      <c r="AM179">
        <f t="shared" si="96"/>
        <v>24</v>
      </c>
      <c r="AN179">
        <f t="shared" si="97"/>
        <v>2.4000000000000004</v>
      </c>
      <c r="AO179">
        <f t="shared" si="87"/>
        <v>1.4</v>
      </c>
      <c r="AP179">
        <f t="shared" si="88"/>
        <v>2</v>
      </c>
      <c r="AQ179">
        <f t="shared" si="89"/>
        <v>6</v>
      </c>
      <c r="AR179">
        <v>502</v>
      </c>
      <c r="AS179" s="1" t="str">
        <f t="shared" si="104"/>
        <v>2</v>
      </c>
      <c r="AT179">
        <v>5</v>
      </c>
      <c r="BP179" t="s">
        <v>974</v>
      </c>
      <c r="BQ179" t="str">
        <f t="shared" si="90"/>
        <v>2</v>
      </c>
      <c r="BT179">
        <v>38</v>
      </c>
      <c r="BU179" t="str">
        <f t="shared" si="93"/>
        <v>551038,552038,553038</v>
      </c>
      <c r="BV179">
        <f t="shared" si="91"/>
        <v>551038</v>
      </c>
      <c r="BW179">
        <f t="shared" si="92"/>
        <v>552038</v>
      </c>
      <c r="BX179">
        <f t="shared" si="94"/>
        <v>553038</v>
      </c>
      <c r="CF179" t="str">
        <f t="shared" si="98"/>
        <v>DATA_Class_Base59</v>
      </c>
      <c r="CG179" s="37" t="s">
        <v>195</v>
      </c>
    </row>
    <row r="180" spans="1:85" ht="27">
      <c r="A180">
        <f t="shared" si="99"/>
        <v>5054600</v>
      </c>
      <c r="B180" s="37" t="s">
        <v>1047</v>
      </c>
      <c r="C180">
        <v>5</v>
      </c>
      <c r="D180">
        <v>6</v>
      </c>
      <c r="E180">
        <v>4</v>
      </c>
      <c r="F180" t="s">
        <v>598</v>
      </c>
      <c r="G180" t="str">
        <f t="shared" si="105"/>
        <v>牧师0_55_4</v>
      </c>
      <c r="H180">
        <v>0</v>
      </c>
      <c r="I180" s="2" t="s">
        <v>339</v>
      </c>
      <c r="J180" s="2">
        <f t="shared" si="95"/>
        <v>4</v>
      </c>
      <c r="K180" s="2">
        <f t="shared" si="85"/>
        <v>1.02</v>
      </c>
      <c r="L180" s="2">
        <f t="shared" si="84"/>
        <v>1.3900000000000001</v>
      </c>
      <c r="M180" s="2">
        <v>10</v>
      </c>
      <c r="N180" s="2">
        <f t="shared" si="106"/>
        <v>44.8</v>
      </c>
      <c r="O180" s="2">
        <f t="shared" si="106"/>
        <v>4.4799999999999995</v>
      </c>
      <c r="P180" s="2">
        <f t="shared" si="106"/>
        <v>960</v>
      </c>
      <c r="Q180" s="2">
        <f t="shared" si="106"/>
        <v>96</v>
      </c>
      <c r="R180" s="2">
        <f t="shared" si="106"/>
        <v>30</v>
      </c>
      <c r="S180" s="2">
        <f t="shared" si="106"/>
        <v>3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>
        <v>50546001</v>
      </c>
      <c r="Z180" s="14" t="s">
        <v>1249</v>
      </c>
      <c r="AA180" s="14" t="s">
        <v>890</v>
      </c>
      <c r="AB180">
        <v>5064600</v>
      </c>
      <c r="AC180" s="2">
        <v>19</v>
      </c>
      <c r="AD180" s="2"/>
      <c r="AE180" s="2"/>
      <c r="AF180">
        <v>1</v>
      </c>
      <c r="AG180" s="1">
        <f t="shared" si="86"/>
        <v>353.60161063015914</v>
      </c>
      <c r="AH180">
        <v>5</v>
      </c>
      <c r="AI180">
        <f t="shared" si="100"/>
        <v>44.8</v>
      </c>
      <c r="AJ180">
        <f t="shared" si="101"/>
        <v>4.4799999999999995</v>
      </c>
      <c r="AK180">
        <f t="shared" si="102"/>
        <v>960</v>
      </c>
      <c r="AL180">
        <f t="shared" si="103"/>
        <v>96</v>
      </c>
      <c r="AM180">
        <f t="shared" si="96"/>
        <v>30</v>
      </c>
      <c r="AN180">
        <f t="shared" si="97"/>
        <v>3</v>
      </c>
      <c r="AO180">
        <f t="shared" si="87"/>
        <v>1.4</v>
      </c>
      <c r="AP180">
        <f t="shared" si="88"/>
        <v>1.9</v>
      </c>
      <c r="AQ180">
        <f t="shared" si="89"/>
        <v>4</v>
      </c>
      <c r="AR180">
        <v>600</v>
      </c>
      <c r="AS180" s="1" t="str">
        <f t="shared" si="104"/>
        <v>0</v>
      </c>
      <c r="AT180">
        <v>5</v>
      </c>
      <c r="BP180" t="s">
        <v>990</v>
      </c>
      <c r="BQ180" t="str">
        <f t="shared" si="90"/>
        <v>0</v>
      </c>
      <c r="BT180">
        <v>39</v>
      </c>
      <c r="BU180" t="str">
        <f t="shared" si="93"/>
        <v>551039,552039,553039</v>
      </c>
      <c r="BV180">
        <f t="shared" si="91"/>
        <v>551039</v>
      </c>
      <c r="BW180">
        <f t="shared" si="92"/>
        <v>552039</v>
      </c>
      <c r="BX180">
        <f t="shared" si="94"/>
        <v>553039</v>
      </c>
      <c r="CF180" t="str">
        <f t="shared" si="98"/>
        <v>DATA_Class_Base54</v>
      </c>
      <c r="CG180" s="37" t="s">
        <v>198</v>
      </c>
    </row>
    <row r="181" spans="1:85" ht="27">
      <c r="A181">
        <f t="shared" si="99"/>
        <v>5054601</v>
      </c>
      <c r="B181" s="37" t="s">
        <v>1050</v>
      </c>
      <c r="C181">
        <v>5</v>
      </c>
      <c r="D181">
        <v>6</v>
      </c>
      <c r="E181">
        <v>4</v>
      </c>
      <c r="F181" t="s">
        <v>1250</v>
      </c>
      <c r="G181" t="str">
        <f t="shared" si="105"/>
        <v>牧师1_55_4</v>
      </c>
      <c r="H181" s="2">
        <v>0</v>
      </c>
      <c r="I181" s="2" t="s">
        <v>309</v>
      </c>
      <c r="J181" s="2">
        <f t="shared" si="95"/>
        <v>5</v>
      </c>
      <c r="K181" s="2">
        <f t="shared" si="85"/>
        <v>1.1000000000000001</v>
      </c>
      <c r="L181" s="2">
        <f t="shared" si="84"/>
        <v>1.47</v>
      </c>
      <c r="M181" s="2">
        <v>10</v>
      </c>
      <c r="N181" s="2">
        <f t="shared" si="106"/>
        <v>48</v>
      </c>
      <c r="O181" s="2">
        <f t="shared" si="106"/>
        <v>4.8000000000000007</v>
      </c>
      <c r="P181" s="2">
        <f t="shared" si="106"/>
        <v>960</v>
      </c>
      <c r="Q181" s="2">
        <f t="shared" si="106"/>
        <v>96</v>
      </c>
      <c r="R181" s="2">
        <f t="shared" si="106"/>
        <v>30</v>
      </c>
      <c r="S181" s="2">
        <f t="shared" si="106"/>
        <v>3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>
        <v>50546011</v>
      </c>
      <c r="Z181" s="14" t="s">
        <v>1251</v>
      </c>
      <c r="AA181" s="14" t="s">
        <v>890</v>
      </c>
      <c r="AB181">
        <v>5064601</v>
      </c>
      <c r="AC181" s="2">
        <v>19</v>
      </c>
      <c r="AD181" s="2"/>
      <c r="AE181" s="2"/>
      <c r="AF181">
        <v>1</v>
      </c>
      <c r="AG181" s="1">
        <f t="shared" si="86"/>
        <v>353.60161063015914</v>
      </c>
      <c r="AH181">
        <v>5</v>
      </c>
      <c r="AI181">
        <f t="shared" si="100"/>
        <v>48</v>
      </c>
      <c r="AJ181">
        <f t="shared" si="101"/>
        <v>4.8000000000000007</v>
      </c>
      <c r="AK181">
        <f t="shared" si="102"/>
        <v>960</v>
      </c>
      <c r="AL181">
        <f t="shared" si="103"/>
        <v>96</v>
      </c>
      <c r="AM181">
        <f t="shared" si="96"/>
        <v>30</v>
      </c>
      <c r="AN181">
        <f t="shared" si="97"/>
        <v>3</v>
      </c>
      <c r="AO181">
        <f t="shared" si="87"/>
        <v>1.5</v>
      </c>
      <c r="AP181">
        <f t="shared" si="88"/>
        <v>2</v>
      </c>
      <c r="AQ181">
        <f t="shared" si="89"/>
        <v>5</v>
      </c>
      <c r="AR181">
        <v>601</v>
      </c>
      <c r="AS181" s="1" t="str">
        <f t="shared" si="104"/>
        <v>1</v>
      </c>
      <c r="AT181">
        <v>5</v>
      </c>
      <c r="BP181" t="s">
        <v>960</v>
      </c>
      <c r="BQ181" t="str">
        <f t="shared" si="90"/>
        <v>1</v>
      </c>
      <c r="BT181">
        <v>40</v>
      </c>
      <c r="BU181" t="str">
        <f t="shared" si="93"/>
        <v>551040,552040,553040</v>
      </c>
      <c r="BV181">
        <f t="shared" si="91"/>
        <v>551040</v>
      </c>
      <c r="BW181">
        <f t="shared" si="92"/>
        <v>552040</v>
      </c>
      <c r="BX181">
        <f t="shared" si="94"/>
        <v>553040</v>
      </c>
      <c r="CF181" t="str">
        <f t="shared" si="98"/>
        <v>DATA_Class_Base55</v>
      </c>
      <c r="CG181" s="37" t="s">
        <v>201</v>
      </c>
    </row>
    <row r="182" spans="1:85" ht="27">
      <c r="A182">
        <f t="shared" si="99"/>
        <v>5055201</v>
      </c>
      <c r="B182" s="37" t="s">
        <v>1025</v>
      </c>
      <c r="C182">
        <v>5</v>
      </c>
      <c r="D182">
        <v>2</v>
      </c>
      <c r="E182">
        <v>5</v>
      </c>
      <c r="F182" s="3" t="s">
        <v>1252</v>
      </c>
      <c r="G182" t="str">
        <f t="shared" si="105"/>
        <v>战士1_55_5</v>
      </c>
      <c r="H182" s="2">
        <v>0</v>
      </c>
      <c r="I182" s="2" t="s">
        <v>298</v>
      </c>
      <c r="J182" s="2">
        <f t="shared" si="95"/>
        <v>2.5</v>
      </c>
      <c r="K182" s="2">
        <f t="shared" si="85"/>
        <v>1.32</v>
      </c>
      <c r="L182" s="2">
        <f t="shared" si="84"/>
        <v>1.32</v>
      </c>
      <c r="M182" s="2">
        <v>10</v>
      </c>
      <c r="N182" s="2">
        <f t="shared" si="106"/>
        <v>46.080000000000005</v>
      </c>
      <c r="O182" s="2">
        <f t="shared" si="106"/>
        <v>4.6080000000000005</v>
      </c>
      <c r="P182" s="2">
        <f t="shared" si="106"/>
        <v>1200</v>
      </c>
      <c r="Q182" s="2">
        <f t="shared" si="106"/>
        <v>120</v>
      </c>
      <c r="R182" s="2">
        <f t="shared" si="106"/>
        <v>36</v>
      </c>
      <c r="S182" s="2">
        <f t="shared" si="106"/>
        <v>3.6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>
        <v>50552011</v>
      </c>
      <c r="Z182" s="14" t="s">
        <v>1253</v>
      </c>
      <c r="AA182" s="14" t="s">
        <v>890</v>
      </c>
      <c r="AB182">
        <v>5065201</v>
      </c>
      <c r="AC182" s="2">
        <v>19</v>
      </c>
      <c r="AD182" s="2"/>
      <c r="AE182" s="2"/>
      <c r="AF182">
        <v>1</v>
      </c>
      <c r="AG182" s="1">
        <f t="shared" si="86"/>
        <v>354.07209096040651</v>
      </c>
      <c r="AH182">
        <v>5</v>
      </c>
      <c r="AI182">
        <f t="shared" si="100"/>
        <v>46.080000000000005</v>
      </c>
      <c r="AJ182">
        <f t="shared" si="101"/>
        <v>4.6080000000000005</v>
      </c>
      <c r="AK182">
        <f t="shared" si="102"/>
        <v>1200</v>
      </c>
      <c r="AL182">
        <f t="shared" si="103"/>
        <v>120</v>
      </c>
      <c r="AM182">
        <f t="shared" si="96"/>
        <v>36</v>
      </c>
      <c r="AN182">
        <f t="shared" si="97"/>
        <v>3.6</v>
      </c>
      <c r="AO182">
        <f t="shared" si="87"/>
        <v>1.8</v>
      </c>
      <c r="AP182">
        <f t="shared" si="88"/>
        <v>1.8</v>
      </c>
      <c r="AQ182">
        <f t="shared" si="89"/>
        <v>2.5</v>
      </c>
      <c r="AR182">
        <v>201</v>
      </c>
      <c r="AS182" s="1" t="str">
        <f t="shared" si="104"/>
        <v>1</v>
      </c>
      <c r="AT182">
        <v>5</v>
      </c>
      <c r="BP182" t="s">
        <v>913</v>
      </c>
      <c r="BQ182" t="str">
        <f t="shared" si="90"/>
        <v>1</v>
      </c>
      <c r="BT182">
        <v>41</v>
      </c>
      <c r="BU182" t="str">
        <f t="shared" si="93"/>
        <v>551041,552041,553041</v>
      </c>
      <c r="BV182">
        <f t="shared" si="91"/>
        <v>551041</v>
      </c>
      <c r="BW182">
        <f t="shared" si="92"/>
        <v>552041</v>
      </c>
      <c r="BX182">
        <f t="shared" si="94"/>
        <v>553041</v>
      </c>
      <c r="CF182" t="str">
        <f t="shared" si="98"/>
        <v>DATA_Class_Base47</v>
      </c>
      <c r="CG182" s="37" t="s">
        <v>378</v>
      </c>
    </row>
    <row r="183" spans="1:85" ht="27">
      <c r="A183">
        <f t="shared" si="99"/>
        <v>5055202</v>
      </c>
      <c r="B183" s="37" t="s">
        <v>1053</v>
      </c>
      <c r="C183">
        <v>5</v>
      </c>
      <c r="D183">
        <v>2</v>
      </c>
      <c r="E183">
        <v>5</v>
      </c>
      <c r="F183" s="2" t="s">
        <v>606</v>
      </c>
      <c r="G183" t="str">
        <f t="shared" si="105"/>
        <v>战士2_55_5</v>
      </c>
      <c r="H183">
        <v>0</v>
      </c>
      <c r="I183" s="2" t="s">
        <v>280</v>
      </c>
      <c r="J183" s="2">
        <f t="shared" si="95"/>
        <v>2.5</v>
      </c>
      <c r="K183" s="2">
        <f t="shared" si="85"/>
        <v>1.32</v>
      </c>
      <c r="L183" s="2">
        <f t="shared" si="84"/>
        <v>1.47</v>
      </c>
      <c r="M183" s="2">
        <v>10</v>
      </c>
      <c r="N183" s="2">
        <f t="shared" si="106"/>
        <v>46.080000000000005</v>
      </c>
      <c r="O183" s="2">
        <f t="shared" si="106"/>
        <v>4.6080000000000005</v>
      </c>
      <c r="P183" s="2">
        <f t="shared" si="106"/>
        <v>1200</v>
      </c>
      <c r="Q183" s="2">
        <f t="shared" si="106"/>
        <v>120</v>
      </c>
      <c r="R183" s="2">
        <f t="shared" si="106"/>
        <v>36</v>
      </c>
      <c r="S183" s="2">
        <f t="shared" si="106"/>
        <v>3.6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>
        <v>50552021</v>
      </c>
      <c r="Z183" s="14" t="s">
        <v>1254</v>
      </c>
      <c r="AA183" s="14" t="s">
        <v>890</v>
      </c>
      <c r="AB183">
        <v>5065202</v>
      </c>
      <c r="AC183" s="2">
        <v>19</v>
      </c>
      <c r="AD183" s="2"/>
      <c r="AE183" s="2"/>
      <c r="AF183">
        <v>1</v>
      </c>
      <c r="AG183" s="1">
        <f t="shared" si="86"/>
        <v>354.07209096040651</v>
      </c>
      <c r="AH183">
        <v>5</v>
      </c>
      <c r="AI183">
        <f t="shared" si="100"/>
        <v>46.080000000000005</v>
      </c>
      <c r="AJ183">
        <f t="shared" si="101"/>
        <v>4.6080000000000005</v>
      </c>
      <c r="AK183">
        <f t="shared" si="102"/>
        <v>1200</v>
      </c>
      <c r="AL183">
        <f t="shared" si="103"/>
        <v>120</v>
      </c>
      <c r="AM183">
        <f t="shared" si="96"/>
        <v>36</v>
      </c>
      <c r="AN183">
        <f t="shared" si="97"/>
        <v>3.6</v>
      </c>
      <c r="AO183">
        <f t="shared" si="87"/>
        <v>1.8</v>
      </c>
      <c r="AP183">
        <f t="shared" si="88"/>
        <v>2</v>
      </c>
      <c r="AQ183">
        <f t="shared" si="89"/>
        <v>2.5</v>
      </c>
      <c r="AR183">
        <v>202</v>
      </c>
      <c r="AS183" s="1" t="str">
        <f t="shared" si="104"/>
        <v>2</v>
      </c>
      <c r="AT183">
        <v>5</v>
      </c>
      <c r="BP183" t="s">
        <v>981</v>
      </c>
      <c r="BQ183" t="str">
        <f t="shared" si="90"/>
        <v>2</v>
      </c>
      <c r="BT183">
        <v>42</v>
      </c>
      <c r="BU183" t="str">
        <f t="shared" si="93"/>
        <v>551042,552042,553042</v>
      </c>
      <c r="BV183">
        <f t="shared" si="91"/>
        <v>551042</v>
      </c>
      <c r="BW183">
        <f t="shared" si="92"/>
        <v>552042</v>
      </c>
      <c r="BX183">
        <f t="shared" si="94"/>
        <v>553042</v>
      </c>
      <c r="CF183" t="str">
        <f t="shared" si="98"/>
        <v>DATA_Class_Base56</v>
      </c>
      <c r="CG183" s="37" t="s">
        <v>381</v>
      </c>
    </row>
    <row r="184" spans="1:85" ht="27">
      <c r="A184">
        <f t="shared" si="99"/>
        <v>5055302</v>
      </c>
      <c r="B184" s="37" t="s">
        <v>1056</v>
      </c>
      <c r="C184">
        <v>5</v>
      </c>
      <c r="D184">
        <v>3</v>
      </c>
      <c r="E184">
        <v>5</v>
      </c>
      <c r="F184" t="s">
        <v>616</v>
      </c>
      <c r="G184" t="str">
        <f t="shared" si="105"/>
        <v>刺客2_55_5</v>
      </c>
      <c r="H184" s="2">
        <v>0</v>
      </c>
      <c r="I184" s="2" t="s">
        <v>358</v>
      </c>
      <c r="J184" s="2">
        <f t="shared" si="95"/>
        <v>2.5</v>
      </c>
      <c r="K184" s="2">
        <f t="shared" si="85"/>
        <v>1.02</v>
      </c>
      <c r="L184" s="2">
        <f t="shared" si="84"/>
        <v>1.25</v>
      </c>
      <c r="M184" s="2">
        <v>10</v>
      </c>
      <c r="N184" s="2">
        <f t="shared" si="106"/>
        <v>40.32</v>
      </c>
      <c r="O184" s="2">
        <f t="shared" si="106"/>
        <v>4.032</v>
      </c>
      <c r="P184" s="2">
        <f t="shared" si="106"/>
        <v>1065.6000000000001</v>
      </c>
      <c r="Q184" s="2">
        <f t="shared" si="106"/>
        <v>106.56000000000002</v>
      </c>
      <c r="R184" s="2">
        <f t="shared" si="106"/>
        <v>33</v>
      </c>
      <c r="S184" s="2">
        <f t="shared" si="106"/>
        <v>3.3000000000000003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>
        <v>50553021</v>
      </c>
      <c r="Z184" s="14" t="s">
        <v>1255</v>
      </c>
      <c r="AA184" s="14" t="s">
        <v>890</v>
      </c>
      <c r="AB184">
        <v>5065302</v>
      </c>
      <c r="AC184" s="2">
        <v>19</v>
      </c>
      <c r="AD184" s="2"/>
      <c r="AE184" s="2"/>
      <c r="AF184">
        <v>1</v>
      </c>
      <c r="AG184" s="1">
        <f t="shared" si="86"/>
        <v>353.48285770695259</v>
      </c>
      <c r="AH184">
        <v>5</v>
      </c>
      <c r="AI184">
        <f t="shared" si="100"/>
        <v>40.32</v>
      </c>
      <c r="AJ184">
        <f t="shared" si="101"/>
        <v>4.032</v>
      </c>
      <c r="AK184">
        <f t="shared" si="102"/>
        <v>1065.6000000000001</v>
      </c>
      <c r="AL184">
        <f t="shared" si="103"/>
        <v>106.56000000000002</v>
      </c>
      <c r="AM184">
        <f t="shared" si="96"/>
        <v>33</v>
      </c>
      <c r="AN184">
        <f t="shared" si="97"/>
        <v>3.3000000000000003</v>
      </c>
      <c r="AO184">
        <f t="shared" si="87"/>
        <v>1.4</v>
      </c>
      <c r="AP184">
        <f t="shared" si="88"/>
        <v>1.7</v>
      </c>
      <c r="AQ184">
        <f t="shared" si="89"/>
        <v>2.5</v>
      </c>
      <c r="AR184">
        <v>302</v>
      </c>
      <c r="AS184" s="1" t="str">
        <f t="shared" si="104"/>
        <v>2</v>
      </c>
      <c r="AT184">
        <v>5</v>
      </c>
      <c r="BP184" t="s">
        <v>983</v>
      </c>
      <c r="BQ184" t="str">
        <f t="shared" si="90"/>
        <v>2</v>
      </c>
      <c r="BT184">
        <v>43</v>
      </c>
      <c r="BU184" t="str">
        <f t="shared" si="93"/>
        <v>551043,552043,553043</v>
      </c>
      <c r="BV184">
        <f t="shared" si="91"/>
        <v>551043</v>
      </c>
      <c r="BW184">
        <f t="shared" si="92"/>
        <v>552043</v>
      </c>
      <c r="BX184">
        <f t="shared" si="94"/>
        <v>553043</v>
      </c>
      <c r="CF184" t="str">
        <f t="shared" si="98"/>
        <v>DATA_Class_Base57</v>
      </c>
      <c r="CG184" s="37" t="s">
        <v>1057</v>
      </c>
    </row>
    <row r="185" spans="1:85" ht="27">
      <c r="A185">
        <f t="shared" si="99"/>
        <v>5055301</v>
      </c>
      <c r="B185" s="37" t="s">
        <v>1031</v>
      </c>
      <c r="C185">
        <v>5</v>
      </c>
      <c r="D185">
        <v>3</v>
      </c>
      <c r="E185">
        <v>5</v>
      </c>
      <c r="F185" t="s">
        <v>1256</v>
      </c>
      <c r="G185" t="str">
        <f t="shared" si="105"/>
        <v>刺客1_55_5</v>
      </c>
      <c r="H185" s="2">
        <v>0</v>
      </c>
      <c r="I185" s="2" t="s">
        <v>285</v>
      </c>
      <c r="J185" s="2">
        <f t="shared" si="95"/>
        <v>2.5</v>
      </c>
      <c r="K185" s="2">
        <f t="shared" si="85"/>
        <v>0.88</v>
      </c>
      <c r="L185" s="2">
        <f t="shared" si="84"/>
        <v>1.47</v>
      </c>
      <c r="M185" s="2">
        <v>10</v>
      </c>
      <c r="N185" s="2">
        <f t="shared" si="106"/>
        <v>34.56</v>
      </c>
      <c r="O185" s="2">
        <f t="shared" si="106"/>
        <v>3.4560000000000004</v>
      </c>
      <c r="P185" s="2">
        <f t="shared" si="106"/>
        <v>1065.6000000000001</v>
      </c>
      <c r="Q185" s="2">
        <f t="shared" si="106"/>
        <v>106.56000000000002</v>
      </c>
      <c r="R185" s="2">
        <f t="shared" si="106"/>
        <v>33</v>
      </c>
      <c r="S185" s="2">
        <f t="shared" si="106"/>
        <v>3.3000000000000003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>
        <v>50553011</v>
      </c>
      <c r="Z185" s="14" t="s">
        <v>1257</v>
      </c>
      <c r="AA185" s="14" t="s">
        <v>890</v>
      </c>
      <c r="AB185">
        <v>5065301</v>
      </c>
      <c r="AC185" s="2">
        <v>19</v>
      </c>
      <c r="AD185" s="2"/>
      <c r="AE185" s="2"/>
      <c r="AF185">
        <v>1</v>
      </c>
      <c r="AG185" s="1">
        <f t="shared" si="86"/>
        <v>353.48285770695259</v>
      </c>
      <c r="AH185">
        <v>5</v>
      </c>
      <c r="AI185">
        <f t="shared" si="100"/>
        <v>34.56</v>
      </c>
      <c r="AJ185">
        <f t="shared" si="101"/>
        <v>3.4560000000000004</v>
      </c>
      <c r="AK185">
        <f t="shared" si="102"/>
        <v>1065.6000000000001</v>
      </c>
      <c r="AL185">
        <f t="shared" si="103"/>
        <v>106.56000000000002</v>
      </c>
      <c r="AM185">
        <f t="shared" si="96"/>
        <v>33</v>
      </c>
      <c r="AN185">
        <f t="shared" si="97"/>
        <v>3.3000000000000003</v>
      </c>
      <c r="AO185">
        <f t="shared" si="87"/>
        <v>1.2</v>
      </c>
      <c r="AP185">
        <f t="shared" si="88"/>
        <v>2</v>
      </c>
      <c r="AQ185">
        <f t="shared" si="89"/>
        <v>2.5</v>
      </c>
      <c r="AR185">
        <v>301</v>
      </c>
      <c r="AS185" s="1" t="str">
        <f t="shared" si="104"/>
        <v>1</v>
      </c>
      <c r="AT185">
        <v>5</v>
      </c>
      <c r="BP185" t="s">
        <v>923</v>
      </c>
      <c r="BQ185" t="str">
        <f t="shared" si="90"/>
        <v>1</v>
      </c>
      <c r="BT185">
        <v>44</v>
      </c>
      <c r="BU185" t="str">
        <f t="shared" si="93"/>
        <v>551044,552044,553044</v>
      </c>
      <c r="BV185">
        <f t="shared" si="91"/>
        <v>551044</v>
      </c>
      <c r="BW185">
        <f t="shared" si="92"/>
        <v>552044</v>
      </c>
      <c r="BX185">
        <f t="shared" si="94"/>
        <v>553044</v>
      </c>
      <c r="CF185" t="str">
        <f t="shared" si="98"/>
        <v>DATA_Class_Base49</v>
      </c>
      <c r="CG185" s="37" t="s">
        <v>384</v>
      </c>
    </row>
    <row r="186" spans="1:85" ht="27">
      <c r="A186">
        <f t="shared" si="99"/>
        <v>5055400</v>
      </c>
      <c r="B186" s="37" t="s">
        <v>1060</v>
      </c>
      <c r="C186">
        <v>5</v>
      </c>
      <c r="D186">
        <v>4</v>
      </c>
      <c r="E186">
        <v>5</v>
      </c>
      <c r="F186" t="s">
        <v>620</v>
      </c>
      <c r="G186" t="str">
        <f t="shared" si="105"/>
        <v>法师0_55_5</v>
      </c>
      <c r="H186">
        <v>0</v>
      </c>
      <c r="I186" s="2" t="s">
        <v>364</v>
      </c>
      <c r="J186" s="2">
        <f t="shared" si="95"/>
        <v>5</v>
      </c>
      <c r="K186" s="2">
        <f t="shared" si="85"/>
        <v>1.02</v>
      </c>
      <c r="L186" s="2">
        <f t="shared" si="84"/>
        <v>1.02</v>
      </c>
      <c r="M186" s="2">
        <v>10</v>
      </c>
      <c r="N186" s="2">
        <f t="shared" si="106"/>
        <v>49.28</v>
      </c>
      <c r="O186" s="2">
        <f t="shared" si="106"/>
        <v>4.9280000000000008</v>
      </c>
      <c r="P186" s="2">
        <f t="shared" si="106"/>
        <v>873.6</v>
      </c>
      <c r="Q186" s="2">
        <f t="shared" si="106"/>
        <v>87.360000000000014</v>
      </c>
      <c r="R186" s="2">
        <f t="shared" si="106"/>
        <v>27</v>
      </c>
      <c r="S186" s="2">
        <f t="shared" si="106"/>
        <v>2.7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>
        <v>50554001</v>
      </c>
      <c r="Z186" s="14" t="s">
        <v>1258</v>
      </c>
      <c r="AA186" s="14" t="s">
        <v>890</v>
      </c>
      <c r="AB186">
        <v>5065400</v>
      </c>
      <c r="AC186" s="2">
        <v>19</v>
      </c>
      <c r="AD186" s="2"/>
      <c r="AE186" s="2"/>
      <c r="AF186">
        <v>1</v>
      </c>
      <c r="AG186" s="1">
        <f t="shared" si="86"/>
        <v>353.72020586282525</v>
      </c>
      <c r="AH186">
        <v>5</v>
      </c>
      <c r="AI186">
        <f t="shared" si="100"/>
        <v>49.28</v>
      </c>
      <c r="AJ186">
        <f t="shared" si="101"/>
        <v>4.9280000000000008</v>
      </c>
      <c r="AK186">
        <f t="shared" si="102"/>
        <v>873.6</v>
      </c>
      <c r="AL186">
        <f t="shared" si="103"/>
        <v>87.360000000000014</v>
      </c>
      <c r="AM186">
        <f t="shared" si="96"/>
        <v>27</v>
      </c>
      <c r="AN186">
        <f t="shared" si="97"/>
        <v>2.7</v>
      </c>
      <c r="AO186">
        <f t="shared" si="87"/>
        <v>1.4</v>
      </c>
      <c r="AP186">
        <f t="shared" si="88"/>
        <v>1.4</v>
      </c>
      <c r="AQ186">
        <f t="shared" si="89"/>
        <v>5</v>
      </c>
      <c r="AR186">
        <v>400</v>
      </c>
      <c r="AS186" s="1" t="str">
        <f t="shared" si="104"/>
        <v>0</v>
      </c>
      <c r="AT186">
        <v>5</v>
      </c>
      <c r="BP186" t="s">
        <v>986</v>
      </c>
      <c r="BQ186" t="str">
        <f t="shared" si="90"/>
        <v>0</v>
      </c>
      <c r="BT186">
        <v>45</v>
      </c>
      <c r="BU186" t="str">
        <f t="shared" si="93"/>
        <v>551045,552045,553045</v>
      </c>
      <c r="BV186">
        <f t="shared" si="91"/>
        <v>551045</v>
      </c>
      <c r="BW186">
        <f t="shared" si="92"/>
        <v>552045</v>
      </c>
      <c r="BX186">
        <f t="shared" si="94"/>
        <v>553045</v>
      </c>
      <c r="CF186" t="str">
        <f t="shared" si="98"/>
        <v>DATA_Class_Base58</v>
      </c>
      <c r="CG186" s="37" t="s">
        <v>174</v>
      </c>
    </row>
    <row r="187" spans="1:85" ht="27">
      <c r="A187">
        <f t="shared" si="99"/>
        <v>5055402</v>
      </c>
      <c r="B187" s="37" t="s">
        <v>1037</v>
      </c>
      <c r="C187">
        <v>5</v>
      </c>
      <c r="D187">
        <v>4</v>
      </c>
      <c r="E187">
        <v>5</v>
      </c>
      <c r="F187" t="s">
        <v>1259</v>
      </c>
      <c r="G187" t="str">
        <f t="shared" si="105"/>
        <v>法师2_55_5</v>
      </c>
      <c r="H187" s="2">
        <v>0</v>
      </c>
      <c r="I187" s="2" t="s">
        <v>250</v>
      </c>
      <c r="J187" s="2">
        <f t="shared" si="95"/>
        <v>5</v>
      </c>
      <c r="K187" s="2">
        <f t="shared" si="85"/>
        <v>1.1000000000000001</v>
      </c>
      <c r="L187" s="2">
        <f t="shared" si="84"/>
        <v>1.1000000000000001</v>
      </c>
      <c r="M187" s="2">
        <v>10</v>
      </c>
      <c r="N187" s="2">
        <f t="shared" si="106"/>
        <v>52.800000000000004</v>
      </c>
      <c r="O187" s="2">
        <f t="shared" si="106"/>
        <v>5.2800000000000011</v>
      </c>
      <c r="P187" s="2">
        <f t="shared" si="106"/>
        <v>873.6</v>
      </c>
      <c r="Q187" s="2">
        <f t="shared" si="106"/>
        <v>87.360000000000014</v>
      </c>
      <c r="R187" s="2">
        <f t="shared" si="106"/>
        <v>27</v>
      </c>
      <c r="S187" s="2">
        <f t="shared" si="106"/>
        <v>2.7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>
        <v>50554021</v>
      </c>
      <c r="Z187" s="14" t="s">
        <v>1260</v>
      </c>
      <c r="AA187" s="14" t="s">
        <v>890</v>
      </c>
      <c r="AB187">
        <v>5065402</v>
      </c>
      <c r="AC187" s="2">
        <v>19</v>
      </c>
      <c r="AD187" s="2"/>
      <c r="AE187" s="2"/>
      <c r="AF187">
        <v>1</v>
      </c>
      <c r="AG187" s="1">
        <f t="shared" si="86"/>
        <v>353.72020586282525</v>
      </c>
      <c r="AH187">
        <v>5</v>
      </c>
      <c r="AI187">
        <f t="shared" si="100"/>
        <v>52.800000000000004</v>
      </c>
      <c r="AJ187">
        <f t="shared" si="101"/>
        <v>5.2800000000000011</v>
      </c>
      <c r="AK187">
        <f t="shared" si="102"/>
        <v>873.6</v>
      </c>
      <c r="AL187">
        <f t="shared" si="103"/>
        <v>87.360000000000014</v>
      </c>
      <c r="AM187">
        <f t="shared" si="96"/>
        <v>27</v>
      </c>
      <c r="AN187">
        <f t="shared" si="97"/>
        <v>2.7</v>
      </c>
      <c r="AO187">
        <f t="shared" si="87"/>
        <v>1.5</v>
      </c>
      <c r="AP187">
        <f t="shared" si="88"/>
        <v>1.5</v>
      </c>
      <c r="AQ187">
        <f t="shared" si="89"/>
        <v>5</v>
      </c>
      <c r="AR187">
        <v>402</v>
      </c>
      <c r="AS187" s="1" t="str">
        <f t="shared" si="104"/>
        <v>2</v>
      </c>
      <c r="AT187">
        <v>5</v>
      </c>
      <c r="BP187" t="s">
        <v>971</v>
      </c>
      <c r="BQ187" t="str">
        <f t="shared" si="90"/>
        <v>2</v>
      </c>
      <c r="BT187">
        <v>46</v>
      </c>
      <c r="BU187" t="str">
        <f t="shared" si="93"/>
        <v>551046,552046,553046</v>
      </c>
      <c r="BV187">
        <f t="shared" si="91"/>
        <v>551046</v>
      </c>
      <c r="BW187">
        <f t="shared" si="92"/>
        <v>552046</v>
      </c>
      <c r="BX187">
        <f t="shared" si="94"/>
        <v>553046</v>
      </c>
      <c r="CF187" t="str">
        <f t="shared" si="98"/>
        <v>DATA_Class_Base51</v>
      </c>
      <c r="CG187" s="37" t="s">
        <v>1038</v>
      </c>
    </row>
    <row r="188" spans="1:85" ht="27">
      <c r="A188">
        <f t="shared" si="99"/>
        <v>5055500</v>
      </c>
      <c r="B188" s="37" t="s">
        <v>1041</v>
      </c>
      <c r="C188">
        <v>5</v>
      </c>
      <c r="D188">
        <v>5</v>
      </c>
      <c r="E188">
        <v>5</v>
      </c>
      <c r="F188" t="s">
        <v>1261</v>
      </c>
      <c r="G188" t="str">
        <f t="shared" si="105"/>
        <v>游侠0_55_5</v>
      </c>
      <c r="H188" s="2">
        <v>0</v>
      </c>
      <c r="I188" s="2" t="s">
        <v>303</v>
      </c>
      <c r="J188" s="2">
        <f t="shared" si="95"/>
        <v>5</v>
      </c>
      <c r="K188" s="2">
        <f t="shared" si="85"/>
        <v>1.1000000000000001</v>
      </c>
      <c r="L188" s="2">
        <f t="shared" si="84"/>
        <v>1.1000000000000001</v>
      </c>
      <c r="M188" s="2">
        <v>10</v>
      </c>
      <c r="N188" s="2">
        <f t="shared" si="106"/>
        <v>57.6</v>
      </c>
      <c r="O188" s="2">
        <f t="shared" si="106"/>
        <v>5.7600000000000007</v>
      </c>
      <c r="P188" s="2">
        <f t="shared" si="106"/>
        <v>796.80000000000007</v>
      </c>
      <c r="Q188" s="2">
        <f t="shared" si="106"/>
        <v>79.680000000000007</v>
      </c>
      <c r="R188" s="2">
        <f t="shared" si="106"/>
        <v>24</v>
      </c>
      <c r="S188" s="2">
        <f t="shared" si="106"/>
        <v>2.4000000000000004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>
        <v>50555001</v>
      </c>
      <c r="Z188" s="14" t="s">
        <v>1262</v>
      </c>
      <c r="AA188" s="14" t="s">
        <v>890</v>
      </c>
      <c r="AB188">
        <v>5065500</v>
      </c>
      <c r="AC188" s="2">
        <v>19</v>
      </c>
      <c r="AD188" s="2"/>
      <c r="AE188" s="2"/>
      <c r="AF188">
        <v>1</v>
      </c>
      <c r="AG188" s="1">
        <f t="shared" si="86"/>
        <v>351.71984944507</v>
      </c>
      <c r="AH188">
        <v>5</v>
      </c>
      <c r="AI188">
        <f t="shared" si="100"/>
        <v>57.6</v>
      </c>
      <c r="AJ188">
        <f t="shared" si="101"/>
        <v>5.7600000000000007</v>
      </c>
      <c r="AK188">
        <f t="shared" si="102"/>
        <v>796.80000000000007</v>
      </c>
      <c r="AL188">
        <f t="shared" si="103"/>
        <v>79.680000000000007</v>
      </c>
      <c r="AM188">
        <f t="shared" si="96"/>
        <v>24</v>
      </c>
      <c r="AN188">
        <f t="shared" si="97"/>
        <v>2.4000000000000004</v>
      </c>
      <c r="AO188">
        <f t="shared" si="87"/>
        <v>1.5</v>
      </c>
      <c r="AP188">
        <f t="shared" si="88"/>
        <v>1.5</v>
      </c>
      <c r="AQ188">
        <f t="shared" si="89"/>
        <v>5</v>
      </c>
      <c r="AR188">
        <v>500</v>
      </c>
      <c r="AS188" s="1" t="str">
        <f t="shared" si="104"/>
        <v>0</v>
      </c>
      <c r="AT188">
        <v>5</v>
      </c>
      <c r="BP188" t="s">
        <v>956</v>
      </c>
      <c r="BQ188" t="str">
        <f t="shared" si="90"/>
        <v>0</v>
      </c>
      <c r="BT188">
        <v>47</v>
      </c>
      <c r="BU188" t="str">
        <f t="shared" si="93"/>
        <v>551047,552047,553047</v>
      </c>
      <c r="BV188">
        <f t="shared" si="91"/>
        <v>551047</v>
      </c>
      <c r="BW188">
        <f t="shared" si="92"/>
        <v>552047</v>
      </c>
      <c r="BX188">
        <f t="shared" si="94"/>
        <v>553047</v>
      </c>
      <c r="CF188" t="str">
        <f t="shared" si="98"/>
        <v>DATA_Class_Base52</v>
      </c>
      <c r="CG188" s="37" t="s">
        <v>184</v>
      </c>
    </row>
    <row r="189" spans="1:85" ht="27">
      <c r="A189">
        <f t="shared" si="99"/>
        <v>5055502</v>
      </c>
      <c r="B189" s="37" t="s">
        <v>1063</v>
      </c>
      <c r="C189">
        <v>5</v>
      </c>
      <c r="D189">
        <v>5</v>
      </c>
      <c r="E189">
        <v>5</v>
      </c>
      <c r="F189" t="s">
        <v>1263</v>
      </c>
      <c r="G189" t="str">
        <f t="shared" si="105"/>
        <v>游侠2_55_5</v>
      </c>
      <c r="H189">
        <v>0</v>
      </c>
      <c r="I189" s="2" t="s">
        <v>291</v>
      </c>
      <c r="J189" s="2">
        <f t="shared" si="95"/>
        <v>6</v>
      </c>
      <c r="K189" s="2">
        <f t="shared" si="85"/>
        <v>1.02</v>
      </c>
      <c r="L189" s="2">
        <f t="shared" si="84"/>
        <v>1.47</v>
      </c>
      <c r="M189" s="2">
        <v>10</v>
      </c>
      <c r="N189" s="2">
        <f t="shared" si="106"/>
        <v>53.759999999999991</v>
      </c>
      <c r="O189" s="2">
        <f t="shared" si="106"/>
        <v>5.3759999999999994</v>
      </c>
      <c r="P189" s="2">
        <f t="shared" si="106"/>
        <v>796.80000000000007</v>
      </c>
      <c r="Q189" s="2">
        <f t="shared" si="106"/>
        <v>79.680000000000007</v>
      </c>
      <c r="R189" s="2">
        <f t="shared" si="106"/>
        <v>24</v>
      </c>
      <c r="S189" s="2">
        <f t="shared" si="106"/>
        <v>2.4000000000000004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>
        <v>50555021</v>
      </c>
      <c r="Z189" s="14" t="s">
        <v>1264</v>
      </c>
      <c r="AA189" s="14" t="s">
        <v>890</v>
      </c>
      <c r="AB189">
        <v>5065502</v>
      </c>
      <c r="AC189" s="2">
        <v>19</v>
      </c>
      <c r="AD189" s="2"/>
      <c r="AE189" s="2"/>
      <c r="AF189">
        <v>1</v>
      </c>
      <c r="AG189" s="1">
        <f t="shared" si="86"/>
        <v>351.71984944506994</v>
      </c>
      <c r="AH189">
        <v>5</v>
      </c>
      <c r="AI189">
        <f t="shared" si="100"/>
        <v>53.759999999999991</v>
      </c>
      <c r="AJ189">
        <f t="shared" si="101"/>
        <v>5.3759999999999994</v>
      </c>
      <c r="AK189">
        <f t="shared" si="102"/>
        <v>796.80000000000007</v>
      </c>
      <c r="AL189">
        <f t="shared" si="103"/>
        <v>79.680000000000007</v>
      </c>
      <c r="AM189">
        <f t="shared" si="96"/>
        <v>24</v>
      </c>
      <c r="AN189">
        <f t="shared" si="97"/>
        <v>2.4000000000000004</v>
      </c>
      <c r="AO189">
        <f t="shared" si="87"/>
        <v>1.4</v>
      </c>
      <c r="AP189">
        <f t="shared" si="88"/>
        <v>2</v>
      </c>
      <c r="AQ189">
        <f t="shared" si="89"/>
        <v>6</v>
      </c>
      <c r="AR189">
        <v>502</v>
      </c>
      <c r="AS189" s="1" t="str">
        <f t="shared" si="104"/>
        <v>2</v>
      </c>
      <c r="AT189">
        <v>5</v>
      </c>
      <c r="BP189" t="s">
        <v>974</v>
      </c>
      <c r="BQ189" t="str">
        <f t="shared" si="90"/>
        <v>2</v>
      </c>
      <c r="BT189">
        <v>48</v>
      </c>
      <c r="BU189" t="str">
        <f t="shared" si="93"/>
        <v>551048,552048,553048</v>
      </c>
      <c r="BV189">
        <f t="shared" si="91"/>
        <v>551048</v>
      </c>
      <c r="BW189">
        <f t="shared" si="92"/>
        <v>552048</v>
      </c>
      <c r="BX189">
        <f t="shared" si="94"/>
        <v>553048</v>
      </c>
      <c r="CF189" t="str">
        <f t="shared" si="98"/>
        <v>DATA_Class_Base59</v>
      </c>
      <c r="CG189" s="37" t="s">
        <v>195</v>
      </c>
    </row>
    <row r="190" spans="1:85" ht="27">
      <c r="A190">
        <f t="shared" si="99"/>
        <v>5055600</v>
      </c>
      <c r="B190" s="37" t="s">
        <v>1047</v>
      </c>
      <c r="C190">
        <v>5</v>
      </c>
      <c r="D190">
        <v>6</v>
      </c>
      <c r="E190">
        <v>5</v>
      </c>
      <c r="F190" t="s">
        <v>1265</v>
      </c>
      <c r="G190" t="str">
        <f t="shared" si="105"/>
        <v>牧师0_55_5</v>
      </c>
      <c r="H190">
        <v>0</v>
      </c>
      <c r="I190" s="2" t="s">
        <v>339</v>
      </c>
      <c r="J190" s="2">
        <f t="shared" si="95"/>
        <v>4</v>
      </c>
      <c r="K190" s="2">
        <f t="shared" si="85"/>
        <v>1.02</v>
      </c>
      <c r="L190" s="2">
        <f t="shared" si="84"/>
        <v>1.3900000000000001</v>
      </c>
      <c r="M190" s="2">
        <v>10</v>
      </c>
      <c r="N190" s="2">
        <f t="shared" si="106"/>
        <v>44.8</v>
      </c>
      <c r="O190" s="2">
        <f t="shared" si="106"/>
        <v>4.4799999999999995</v>
      </c>
      <c r="P190" s="2">
        <f t="shared" si="106"/>
        <v>960</v>
      </c>
      <c r="Q190" s="2">
        <f t="shared" si="106"/>
        <v>96</v>
      </c>
      <c r="R190" s="2">
        <f t="shared" si="106"/>
        <v>30</v>
      </c>
      <c r="S190" s="2">
        <f t="shared" si="106"/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>
        <v>50556001</v>
      </c>
      <c r="Z190" s="14" t="s">
        <v>1266</v>
      </c>
      <c r="AA190" s="14" t="s">
        <v>890</v>
      </c>
      <c r="AB190">
        <v>5065600</v>
      </c>
      <c r="AC190" s="2">
        <v>19</v>
      </c>
      <c r="AD190" s="2"/>
      <c r="AE190" s="2"/>
      <c r="AF190">
        <v>1</v>
      </c>
      <c r="AG190" s="1">
        <f t="shared" si="86"/>
        <v>353.60161063015914</v>
      </c>
      <c r="AH190">
        <v>5</v>
      </c>
      <c r="AI190">
        <f t="shared" si="100"/>
        <v>44.8</v>
      </c>
      <c r="AJ190">
        <f t="shared" si="101"/>
        <v>4.4799999999999995</v>
      </c>
      <c r="AK190">
        <f t="shared" si="102"/>
        <v>960</v>
      </c>
      <c r="AL190">
        <f t="shared" si="103"/>
        <v>96</v>
      </c>
      <c r="AM190">
        <f t="shared" si="96"/>
        <v>30</v>
      </c>
      <c r="AN190">
        <f t="shared" si="97"/>
        <v>3</v>
      </c>
      <c r="AO190">
        <f t="shared" si="87"/>
        <v>1.4</v>
      </c>
      <c r="AP190">
        <f t="shared" si="88"/>
        <v>1.9</v>
      </c>
      <c r="AQ190">
        <f t="shared" si="89"/>
        <v>4</v>
      </c>
      <c r="AR190">
        <v>600</v>
      </c>
      <c r="AS190" s="1" t="str">
        <f t="shared" si="104"/>
        <v>0</v>
      </c>
      <c r="AT190">
        <v>5</v>
      </c>
      <c r="BP190" t="s">
        <v>990</v>
      </c>
      <c r="BQ190" t="str">
        <f t="shared" si="90"/>
        <v>0</v>
      </c>
      <c r="BT190">
        <v>49</v>
      </c>
      <c r="BU190" t="str">
        <f t="shared" si="93"/>
        <v>551049,552049,553049</v>
      </c>
      <c r="BV190">
        <f t="shared" si="91"/>
        <v>551049</v>
      </c>
      <c r="BW190">
        <f t="shared" si="92"/>
        <v>552049</v>
      </c>
      <c r="BX190">
        <f t="shared" si="94"/>
        <v>553049</v>
      </c>
      <c r="CF190" t="str">
        <f t="shared" si="98"/>
        <v>DATA_Class_Base54</v>
      </c>
      <c r="CG190" s="37" t="s">
        <v>198</v>
      </c>
    </row>
    <row r="191" spans="1:85" ht="27">
      <c r="A191">
        <f t="shared" si="99"/>
        <v>5055602</v>
      </c>
      <c r="B191" s="37" t="s">
        <v>1066</v>
      </c>
      <c r="C191">
        <v>5</v>
      </c>
      <c r="D191">
        <v>6</v>
      </c>
      <c r="E191">
        <v>5</v>
      </c>
      <c r="F191" t="s">
        <v>1267</v>
      </c>
      <c r="G191" t="str">
        <f t="shared" si="105"/>
        <v>牧师2_55_5</v>
      </c>
      <c r="H191" t="s">
        <v>345</v>
      </c>
      <c r="I191" s="2" t="s">
        <v>346</v>
      </c>
      <c r="J191" s="2">
        <f t="shared" si="95"/>
        <v>6</v>
      </c>
      <c r="K191" s="2">
        <f t="shared" si="85"/>
        <v>1.32</v>
      </c>
      <c r="L191" s="2">
        <f t="shared" si="84"/>
        <v>1.47</v>
      </c>
      <c r="M191" s="2">
        <v>10</v>
      </c>
      <c r="N191" s="2">
        <f t="shared" si="106"/>
        <v>57.6</v>
      </c>
      <c r="O191" s="2">
        <f t="shared" si="106"/>
        <v>5.7600000000000007</v>
      </c>
      <c r="P191" s="2">
        <f t="shared" si="106"/>
        <v>960</v>
      </c>
      <c r="Q191" s="2">
        <f t="shared" si="106"/>
        <v>96</v>
      </c>
      <c r="R191" s="2">
        <f t="shared" si="106"/>
        <v>30</v>
      </c>
      <c r="S191" s="2">
        <f t="shared" si="106"/>
        <v>3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>
        <v>50556021</v>
      </c>
      <c r="Z191" s="14" t="s">
        <v>1268</v>
      </c>
      <c r="AA191" s="14" t="s">
        <v>890</v>
      </c>
      <c r="AB191">
        <v>5065602</v>
      </c>
      <c r="AC191" s="2">
        <v>19</v>
      </c>
      <c r="AD191" s="2"/>
      <c r="AE191" s="2"/>
      <c r="AF191">
        <v>1</v>
      </c>
      <c r="AG191" s="1">
        <f t="shared" si="86"/>
        <v>353.60161063015914</v>
      </c>
      <c r="AH191">
        <v>5</v>
      </c>
      <c r="AI191">
        <f t="shared" si="100"/>
        <v>57.6</v>
      </c>
      <c r="AJ191">
        <f t="shared" si="101"/>
        <v>5.7600000000000007</v>
      </c>
      <c r="AK191">
        <f t="shared" si="102"/>
        <v>960</v>
      </c>
      <c r="AL191">
        <f t="shared" si="103"/>
        <v>96</v>
      </c>
      <c r="AM191">
        <f t="shared" si="96"/>
        <v>30</v>
      </c>
      <c r="AN191">
        <f t="shared" si="97"/>
        <v>3</v>
      </c>
      <c r="AO191">
        <f t="shared" si="87"/>
        <v>1.8</v>
      </c>
      <c r="AP191">
        <f t="shared" si="88"/>
        <v>2</v>
      </c>
      <c r="AQ191">
        <f t="shared" si="89"/>
        <v>6</v>
      </c>
      <c r="AR191">
        <v>602</v>
      </c>
      <c r="AS191" s="1" t="str">
        <f t="shared" si="104"/>
        <v>2</v>
      </c>
      <c r="AT191">
        <v>5</v>
      </c>
      <c r="BP191" t="s">
        <v>978</v>
      </c>
      <c r="BQ191" t="str">
        <f t="shared" si="90"/>
        <v>2</v>
      </c>
      <c r="BT191">
        <v>50</v>
      </c>
      <c r="BU191" t="str">
        <f t="shared" si="93"/>
        <v>551050,552050,553050</v>
      </c>
      <c r="BV191">
        <f t="shared" si="91"/>
        <v>551050</v>
      </c>
      <c r="BW191">
        <f t="shared" si="92"/>
        <v>552050</v>
      </c>
      <c r="BX191">
        <f t="shared" si="94"/>
        <v>553050</v>
      </c>
      <c r="CF191" t="str">
        <f t="shared" si="98"/>
        <v>DATA_Class_Base60</v>
      </c>
      <c r="CG191" s="37" t="s">
        <v>407</v>
      </c>
    </row>
    <row r="192" spans="1:85">
      <c r="A192">
        <f t="shared" si="99"/>
        <v>5061200</v>
      </c>
      <c r="B192" s="38" t="s">
        <v>1021</v>
      </c>
      <c r="C192">
        <v>6</v>
      </c>
      <c r="D192">
        <v>2</v>
      </c>
      <c r="E192">
        <v>1</v>
      </c>
      <c r="F192" t="s">
        <v>1269</v>
      </c>
      <c r="G192" t="str">
        <f t="shared" si="105"/>
        <v>战士0_56_1</v>
      </c>
      <c r="H192">
        <v>0</v>
      </c>
      <c r="I192" s="2" t="s">
        <v>314</v>
      </c>
      <c r="J192" s="2">
        <f t="shared" si="95"/>
        <v>2.5</v>
      </c>
      <c r="K192" s="2">
        <f t="shared" si="85"/>
        <v>1.1000000000000001</v>
      </c>
      <c r="L192" s="2">
        <f t="shared" si="84"/>
        <v>0.88</v>
      </c>
      <c r="M192" s="2">
        <v>10</v>
      </c>
      <c r="N192" s="2">
        <f t="shared" si="106"/>
        <v>43.20000000000001</v>
      </c>
      <c r="O192" s="2">
        <f t="shared" si="106"/>
        <v>4.3200000000000012</v>
      </c>
      <c r="P192" s="2">
        <f t="shared" si="106"/>
        <v>1350</v>
      </c>
      <c r="Q192" s="2">
        <f t="shared" si="106"/>
        <v>135</v>
      </c>
      <c r="R192" s="2">
        <f t="shared" si="106"/>
        <v>36</v>
      </c>
      <c r="S192" s="2">
        <f t="shared" si="106"/>
        <v>3.6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>
        <v>50512001</v>
      </c>
      <c r="Z192" s="14" t="s">
        <v>1270</v>
      </c>
      <c r="AA192" s="14" t="s">
        <v>890</v>
      </c>
      <c r="AB192">
        <v>5071200</v>
      </c>
      <c r="AC192" s="2">
        <v>31</v>
      </c>
      <c r="AD192" s="2"/>
      <c r="AE192" s="2"/>
      <c r="AF192">
        <v>1</v>
      </c>
      <c r="AG192" s="1">
        <f t="shared" si="86"/>
        <v>448.12249012176449</v>
      </c>
      <c r="AH192">
        <v>6</v>
      </c>
      <c r="AI192">
        <f t="shared" si="100"/>
        <v>43.20000000000001</v>
      </c>
      <c r="AJ192">
        <f t="shared" si="101"/>
        <v>4.3200000000000012</v>
      </c>
      <c r="AK192">
        <f t="shared" si="102"/>
        <v>1350</v>
      </c>
      <c r="AL192">
        <f t="shared" si="103"/>
        <v>135</v>
      </c>
      <c r="AM192">
        <f t="shared" si="96"/>
        <v>36</v>
      </c>
      <c r="AN192">
        <f t="shared" si="97"/>
        <v>3.6</v>
      </c>
      <c r="AO192">
        <f t="shared" si="87"/>
        <v>1.5</v>
      </c>
      <c r="AP192">
        <f t="shared" si="88"/>
        <v>1.2</v>
      </c>
      <c r="AQ192">
        <f t="shared" si="89"/>
        <v>2.5</v>
      </c>
      <c r="AR192">
        <v>200</v>
      </c>
      <c r="AS192" s="1" t="str">
        <f t="shared" si="104"/>
        <v>0</v>
      </c>
      <c r="AT192">
        <v>5</v>
      </c>
      <c r="BP192" t="s">
        <v>964</v>
      </c>
      <c r="BQ192" t="str">
        <f t="shared" si="90"/>
        <v>0</v>
      </c>
      <c r="BT192">
        <v>1</v>
      </c>
      <c r="BU192" t="str">
        <f t="shared" si="93"/>
        <v>561001,562001,563001</v>
      </c>
      <c r="BV192">
        <f t="shared" si="91"/>
        <v>561001</v>
      </c>
      <c r="BW192">
        <f t="shared" si="92"/>
        <v>562001</v>
      </c>
      <c r="BX192">
        <f t="shared" si="94"/>
        <v>563001</v>
      </c>
      <c r="CF192" t="str">
        <f t="shared" si="98"/>
        <v>DATA_Class_Base46</v>
      </c>
      <c r="CG192" s="38" t="s">
        <v>1022</v>
      </c>
    </row>
    <row r="193" spans="1:85" ht="27">
      <c r="A193">
        <f t="shared" si="99"/>
        <v>5061201</v>
      </c>
      <c r="B193" s="39" t="s">
        <v>1025</v>
      </c>
      <c r="C193">
        <v>6</v>
      </c>
      <c r="D193">
        <v>2</v>
      </c>
      <c r="E193">
        <v>1</v>
      </c>
      <c r="F193" t="s">
        <v>1271</v>
      </c>
      <c r="G193" t="str">
        <f t="shared" si="105"/>
        <v>战士1_56_1</v>
      </c>
      <c r="H193" s="2">
        <v>0</v>
      </c>
      <c r="I193" s="2" t="s">
        <v>298</v>
      </c>
      <c r="J193" s="2">
        <f t="shared" si="95"/>
        <v>2.5</v>
      </c>
      <c r="K193" s="2">
        <f t="shared" si="85"/>
        <v>1.32</v>
      </c>
      <c r="L193" s="2">
        <f t="shared" si="84"/>
        <v>1.32</v>
      </c>
      <c r="M193" s="2">
        <v>10</v>
      </c>
      <c r="N193" s="2">
        <f t="shared" si="106"/>
        <v>51.84</v>
      </c>
      <c r="O193" s="2">
        <f t="shared" si="106"/>
        <v>5.1840000000000011</v>
      </c>
      <c r="P193" s="2">
        <f t="shared" si="106"/>
        <v>1350</v>
      </c>
      <c r="Q193" s="2">
        <f t="shared" si="106"/>
        <v>135</v>
      </c>
      <c r="R193" s="2">
        <f t="shared" si="106"/>
        <v>36</v>
      </c>
      <c r="S193" s="2">
        <f t="shared" si="106"/>
        <v>3.6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>
        <v>50512011</v>
      </c>
      <c r="Z193" s="14" t="s">
        <v>1272</v>
      </c>
      <c r="AA193" s="14" t="s">
        <v>890</v>
      </c>
      <c r="AB193">
        <v>5071201</v>
      </c>
      <c r="AC193" s="2">
        <v>31</v>
      </c>
      <c r="AD193" s="2"/>
      <c r="AE193" s="2"/>
      <c r="AF193">
        <v>1</v>
      </c>
      <c r="AG193" s="1">
        <f t="shared" si="86"/>
        <v>448.12249012176443</v>
      </c>
      <c r="AH193">
        <v>6</v>
      </c>
      <c r="AI193">
        <f t="shared" si="100"/>
        <v>51.84</v>
      </c>
      <c r="AJ193">
        <f t="shared" si="101"/>
        <v>5.1840000000000011</v>
      </c>
      <c r="AK193">
        <f t="shared" si="102"/>
        <v>1350</v>
      </c>
      <c r="AL193">
        <f t="shared" si="103"/>
        <v>135</v>
      </c>
      <c r="AM193">
        <f t="shared" si="96"/>
        <v>36</v>
      </c>
      <c r="AN193">
        <f t="shared" si="97"/>
        <v>3.6</v>
      </c>
      <c r="AO193">
        <f t="shared" si="87"/>
        <v>1.8</v>
      </c>
      <c r="AP193">
        <f t="shared" si="88"/>
        <v>1.8</v>
      </c>
      <c r="AQ193">
        <f t="shared" si="89"/>
        <v>2.5</v>
      </c>
      <c r="AR193">
        <v>201</v>
      </c>
      <c r="AS193" s="1" t="str">
        <f t="shared" si="104"/>
        <v>1</v>
      </c>
      <c r="AT193">
        <v>5</v>
      </c>
      <c r="BP193" t="s">
        <v>913</v>
      </c>
      <c r="BQ193" t="str">
        <f t="shared" si="90"/>
        <v>1</v>
      </c>
      <c r="BT193">
        <v>2</v>
      </c>
      <c r="BU193" t="str">
        <f t="shared" si="93"/>
        <v>561002,562002,563002</v>
      </c>
      <c r="BV193">
        <f t="shared" si="91"/>
        <v>561002</v>
      </c>
      <c r="BW193">
        <f t="shared" si="92"/>
        <v>562002</v>
      </c>
      <c r="BX193">
        <f t="shared" si="94"/>
        <v>563002</v>
      </c>
      <c r="CF193" t="str">
        <f t="shared" si="98"/>
        <v>DATA_Class_Base47</v>
      </c>
      <c r="CG193" s="39" t="s">
        <v>378</v>
      </c>
    </row>
    <row r="194" spans="1:85" ht="27">
      <c r="A194">
        <f t="shared" si="99"/>
        <v>5061300</v>
      </c>
      <c r="B194" s="39" t="s">
        <v>1028</v>
      </c>
      <c r="C194">
        <v>6</v>
      </c>
      <c r="D194">
        <v>3</v>
      </c>
      <c r="E194">
        <v>1</v>
      </c>
      <c r="F194" t="s">
        <v>1273</v>
      </c>
      <c r="G194" t="str">
        <f t="shared" si="105"/>
        <v>刺客0_56_1</v>
      </c>
      <c r="H194">
        <v>0</v>
      </c>
      <c r="I194" s="2" t="s">
        <v>352</v>
      </c>
      <c r="J194" s="2">
        <f t="shared" si="95"/>
        <v>4</v>
      </c>
      <c r="K194" s="2">
        <f t="shared" si="85"/>
        <v>0.95000000000000007</v>
      </c>
      <c r="L194" s="2">
        <f t="shared" si="84"/>
        <v>1.3900000000000001</v>
      </c>
      <c r="M194" s="2">
        <v>10</v>
      </c>
      <c r="N194" s="2">
        <f t="shared" si="106"/>
        <v>42.120000000000012</v>
      </c>
      <c r="O194" s="2">
        <f t="shared" si="106"/>
        <v>4.2120000000000015</v>
      </c>
      <c r="P194" s="2">
        <f t="shared" si="106"/>
        <v>1198.8000000000002</v>
      </c>
      <c r="Q194" s="2">
        <f t="shared" si="106"/>
        <v>119.88000000000002</v>
      </c>
      <c r="R194" s="2">
        <f t="shared" si="106"/>
        <v>33</v>
      </c>
      <c r="S194" s="2">
        <f t="shared" si="106"/>
        <v>3.3000000000000003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>
        <v>50513001</v>
      </c>
      <c r="Z194" s="14" t="s">
        <v>1274</v>
      </c>
      <c r="AA194" s="14" t="s">
        <v>890</v>
      </c>
      <c r="AB194">
        <v>5071300</v>
      </c>
      <c r="AC194" s="2">
        <v>31</v>
      </c>
      <c r="AD194" s="2"/>
      <c r="AE194" s="2"/>
      <c r="AF194">
        <v>1</v>
      </c>
      <c r="AG194" s="1">
        <f t="shared" si="86"/>
        <v>447.37674178536196</v>
      </c>
      <c r="AH194">
        <v>6</v>
      </c>
      <c r="AI194">
        <f t="shared" si="100"/>
        <v>42.120000000000012</v>
      </c>
      <c r="AJ194">
        <f t="shared" si="101"/>
        <v>4.2120000000000015</v>
      </c>
      <c r="AK194">
        <f t="shared" si="102"/>
        <v>1198.8000000000002</v>
      </c>
      <c r="AL194">
        <f t="shared" si="103"/>
        <v>119.88000000000002</v>
      </c>
      <c r="AM194">
        <f t="shared" si="96"/>
        <v>33</v>
      </c>
      <c r="AN194">
        <f t="shared" si="97"/>
        <v>3.3000000000000003</v>
      </c>
      <c r="AO194">
        <f t="shared" si="87"/>
        <v>1.3</v>
      </c>
      <c r="AP194">
        <f t="shared" si="88"/>
        <v>1.9</v>
      </c>
      <c r="AQ194">
        <f t="shared" si="89"/>
        <v>4</v>
      </c>
      <c r="AR194">
        <v>300</v>
      </c>
      <c r="AS194" s="1" t="str">
        <f t="shared" si="104"/>
        <v>0</v>
      </c>
      <c r="AT194">
        <v>5</v>
      </c>
      <c r="BP194" t="s">
        <v>967</v>
      </c>
      <c r="BQ194" t="str">
        <f t="shared" si="90"/>
        <v>0</v>
      </c>
      <c r="BT194">
        <v>3</v>
      </c>
      <c r="BU194" t="str">
        <f t="shared" si="93"/>
        <v>561003,562003,563003</v>
      </c>
      <c r="BV194">
        <f t="shared" si="91"/>
        <v>561003</v>
      </c>
      <c r="BW194">
        <f t="shared" si="92"/>
        <v>562003</v>
      </c>
      <c r="BX194">
        <f t="shared" si="94"/>
        <v>563003</v>
      </c>
      <c r="CF194" t="str">
        <f t="shared" si="98"/>
        <v>DATA_Class_Base48</v>
      </c>
      <c r="CG194" s="39" t="s">
        <v>411</v>
      </c>
    </row>
    <row r="195" spans="1:85" ht="27">
      <c r="A195">
        <f t="shared" si="99"/>
        <v>5061301</v>
      </c>
      <c r="B195" s="39" t="s">
        <v>1031</v>
      </c>
      <c r="C195">
        <v>6</v>
      </c>
      <c r="D195">
        <v>3</v>
      </c>
      <c r="E195">
        <v>1</v>
      </c>
      <c r="F195" t="s">
        <v>1275</v>
      </c>
      <c r="G195" t="str">
        <f t="shared" si="105"/>
        <v>刺客1_56_1</v>
      </c>
      <c r="H195" s="2">
        <v>0</v>
      </c>
      <c r="I195" s="2" t="s">
        <v>285</v>
      </c>
      <c r="J195" s="2">
        <f t="shared" si="95"/>
        <v>2.5</v>
      </c>
      <c r="K195" s="2">
        <f t="shared" si="85"/>
        <v>0.88</v>
      </c>
      <c r="L195" s="2">
        <f t="shared" si="84"/>
        <v>1.47</v>
      </c>
      <c r="M195" s="2">
        <v>10</v>
      </c>
      <c r="N195" s="2">
        <f t="shared" si="106"/>
        <v>38.880000000000003</v>
      </c>
      <c r="O195" s="2">
        <f t="shared" si="106"/>
        <v>3.8880000000000003</v>
      </c>
      <c r="P195" s="2">
        <f t="shared" si="106"/>
        <v>1198.8000000000002</v>
      </c>
      <c r="Q195" s="2">
        <f t="shared" si="106"/>
        <v>119.88000000000002</v>
      </c>
      <c r="R195" s="2">
        <f t="shared" si="106"/>
        <v>33</v>
      </c>
      <c r="S195" s="2">
        <f t="shared" si="106"/>
        <v>3.3000000000000003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>
        <v>50513011</v>
      </c>
      <c r="Z195" s="14" t="s">
        <v>1276</v>
      </c>
      <c r="AA195" s="14" t="s">
        <v>890</v>
      </c>
      <c r="AB195">
        <v>5071301</v>
      </c>
      <c r="AC195" s="2">
        <v>31</v>
      </c>
      <c r="AD195" s="2"/>
      <c r="AE195" s="2"/>
      <c r="AF195">
        <v>1</v>
      </c>
      <c r="AG195" s="1">
        <f t="shared" si="86"/>
        <v>447.3767417853619</v>
      </c>
      <c r="AH195">
        <v>6</v>
      </c>
      <c r="AI195">
        <f t="shared" si="100"/>
        <v>38.880000000000003</v>
      </c>
      <c r="AJ195">
        <f t="shared" si="101"/>
        <v>3.8880000000000003</v>
      </c>
      <c r="AK195">
        <f t="shared" si="102"/>
        <v>1198.8000000000002</v>
      </c>
      <c r="AL195">
        <f t="shared" si="103"/>
        <v>119.88000000000002</v>
      </c>
      <c r="AM195">
        <f t="shared" si="96"/>
        <v>33</v>
      </c>
      <c r="AN195">
        <f t="shared" si="97"/>
        <v>3.3000000000000003</v>
      </c>
      <c r="AO195">
        <f t="shared" si="87"/>
        <v>1.2</v>
      </c>
      <c r="AP195">
        <f t="shared" si="88"/>
        <v>2</v>
      </c>
      <c r="AQ195">
        <f t="shared" si="89"/>
        <v>2.5</v>
      </c>
      <c r="AR195">
        <v>301</v>
      </c>
      <c r="AS195" s="1" t="str">
        <f t="shared" si="104"/>
        <v>1</v>
      </c>
      <c r="AT195">
        <v>5</v>
      </c>
      <c r="BP195" t="s">
        <v>923</v>
      </c>
      <c r="BQ195" t="str">
        <f t="shared" si="90"/>
        <v>1</v>
      </c>
      <c r="BT195">
        <v>4</v>
      </c>
      <c r="BU195" t="str">
        <f t="shared" si="93"/>
        <v>561004,562004,563004</v>
      </c>
      <c r="BV195">
        <f t="shared" si="91"/>
        <v>561004</v>
      </c>
      <c r="BW195">
        <f t="shared" si="92"/>
        <v>562004</v>
      </c>
      <c r="BX195">
        <f t="shared" si="94"/>
        <v>563004</v>
      </c>
      <c r="CF195" t="str">
        <f t="shared" si="98"/>
        <v>DATA_Class_Base49</v>
      </c>
      <c r="CG195" s="39" t="s">
        <v>384</v>
      </c>
    </row>
    <row r="196" spans="1:85" ht="27">
      <c r="A196">
        <f t="shared" si="99"/>
        <v>5061401</v>
      </c>
      <c r="B196" s="39" t="s">
        <v>1034</v>
      </c>
      <c r="C196">
        <v>6</v>
      </c>
      <c r="D196">
        <v>4</v>
      </c>
      <c r="E196">
        <v>1</v>
      </c>
      <c r="F196" t="s">
        <v>1277</v>
      </c>
      <c r="G196" t="str">
        <f t="shared" si="105"/>
        <v>法师1_56_1</v>
      </c>
      <c r="H196">
        <v>0</v>
      </c>
      <c r="I196" s="2" t="s">
        <v>161</v>
      </c>
      <c r="J196" s="2">
        <f t="shared" si="95"/>
        <v>6</v>
      </c>
      <c r="K196" s="2">
        <f t="shared" si="85"/>
        <v>1.17</v>
      </c>
      <c r="L196" s="2">
        <f t="shared" ref="L196:L259" si="107">FLOOR(AP196/1.36,0.01)</f>
        <v>1.47</v>
      </c>
      <c r="M196" s="2">
        <v>10</v>
      </c>
      <c r="N196" s="2">
        <f t="shared" si="106"/>
        <v>63.360000000000021</v>
      </c>
      <c r="O196" s="2">
        <f t="shared" si="106"/>
        <v>6.3360000000000021</v>
      </c>
      <c r="P196" s="2">
        <f t="shared" si="106"/>
        <v>982.80000000000007</v>
      </c>
      <c r="Q196" s="2">
        <f t="shared" si="106"/>
        <v>98.280000000000015</v>
      </c>
      <c r="R196" s="2">
        <f t="shared" si="106"/>
        <v>27</v>
      </c>
      <c r="S196" s="2">
        <f t="shared" si="106"/>
        <v>2.7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>
        <v>50514011</v>
      </c>
      <c r="Z196" s="14" t="s">
        <v>1278</v>
      </c>
      <c r="AA196" s="14" t="s">
        <v>890</v>
      </c>
      <c r="AB196">
        <v>5071401</v>
      </c>
      <c r="AC196" s="2">
        <v>31</v>
      </c>
      <c r="AD196" s="2"/>
      <c r="AE196" s="2"/>
      <c r="AF196">
        <v>1</v>
      </c>
      <c r="AG196" s="1">
        <f t="shared" si="86"/>
        <v>447.6771355451383</v>
      </c>
      <c r="AH196">
        <v>6</v>
      </c>
      <c r="AI196">
        <f t="shared" si="100"/>
        <v>63.360000000000021</v>
      </c>
      <c r="AJ196">
        <f t="shared" si="101"/>
        <v>6.3360000000000021</v>
      </c>
      <c r="AK196">
        <f t="shared" si="102"/>
        <v>982.80000000000007</v>
      </c>
      <c r="AL196">
        <f t="shared" si="103"/>
        <v>98.280000000000015</v>
      </c>
      <c r="AM196">
        <f t="shared" si="96"/>
        <v>27</v>
      </c>
      <c r="AN196">
        <f t="shared" si="97"/>
        <v>2.7</v>
      </c>
      <c r="AO196">
        <f t="shared" si="87"/>
        <v>1.6</v>
      </c>
      <c r="AP196">
        <f t="shared" si="88"/>
        <v>2</v>
      </c>
      <c r="AQ196">
        <f t="shared" si="89"/>
        <v>6</v>
      </c>
      <c r="AR196">
        <v>401</v>
      </c>
      <c r="AS196" s="1" t="str">
        <f t="shared" si="104"/>
        <v>1</v>
      </c>
      <c r="AT196">
        <v>5</v>
      </c>
      <c r="BP196" t="s">
        <v>953</v>
      </c>
      <c r="BQ196" t="str">
        <f t="shared" si="90"/>
        <v>1</v>
      </c>
      <c r="BT196">
        <v>5</v>
      </c>
      <c r="BU196" t="str">
        <f t="shared" si="93"/>
        <v>561005,562005,563005</v>
      </c>
      <c r="BV196">
        <f t="shared" si="91"/>
        <v>561005</v>
      </c>
      <c r="BW196">
        <f t="shared" si="92"/>
        <v>562005</v>
      </c>
      <c r="BX196">
        <f t="shared" si="94"/>
        <v>563005</v>
      </c>
      <c r="CF196" t="str">
        <f t="shared" si="98"/>
        <v>DATA_Class_Base50</v>
      </c>
      <c r="CG196" s="39" t="s">
        <v>176</v>
      </c>
    </row>
    <row r="197" spans="1:85" ht="27">
      <c r="A197">
        <f t="shared" si="99"/>
        <v>5061402</v>
      </c>
      <c r="B197" s="39" t="s">
        <v>1037</v>
      </c>
      <c r="C197">
        <v>6</v>
      </c>
      <c r="D197">
        <v>4</v>
      </c>
      <c r="E197">
        <v>1</v>
      </c>
      <c r="F197" t="s">
        <v>1279</v>
      </c>
      <c r="G197" t="str">
        <f t="shared" si="105"/>
        <v>法师2_56_1</v>
      </c>
      <c r="H197" s="2">
        <v>0</v>
      </c>
      <c r="I197" s="2" t="s">
        <v>250</v>
      </c>
      <c r="J197" s="2">
        <f t="shared" si="95"/>
        <v>5</v>
      </c>
      <c r="K197" s="2">
        <f t="shared" ref="K197:K260" si="108">FLOOR(AO197/1.363,0.01)</f>
        <v>1.1000000000000001</v>
      </c>
      <c r="L197" s="2">
        <f t="shared" si="107"/>
        <v>1.1000000000000001</v>
      </c>
      <c r="M197" s="2">
        <v>10</v>
      </c>
      <c r="N197" s="2">
        <f t="shared" si="106"/>
        <v>59.4</v>
      </c>
      <c r="O197" s="2">
        <f t="shared" si="106"/>
        <v>5.94</v>
      </c>
      <c r="P197" s="2">
        <f t="shared" si="106"/>
        <v>982.80000000000007</v>
      </c>
      <c r="Q197" s="2">
        <f t="shared" si="106"/>
        <v>98.280000000000015</v>
      </c>
      <c r="R197" s="2">
        <f t="shared" si="106"/>
        <v>27</v>
      </c>
      <c r="S197" s="2">
        <f t="shared" si="106"/>
        <v>2.7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>
        <v>50514021</v>
      </c>
      <c r="Z197" s="14" t="s">
        <v>1280</v>
      </c>
      <c r="AA197" s="14" t="s">
        <v>890</v>
      </c>
      <c r="AB197">
        <v>5071402</v>
      </c>
      <c r="AC197" s="2">
        <v>31</v>
      </c>
      <c r="AD197" s="2"/>
      <c r="AE197" s="2"/>
      <c r="AF197">
        <v>1</v>
      </c>
      <c r="AG197" s="1">
        <f t="shared" ref="AG197:AG260" si="109">(AK197+AL197*AF197)*(AI197+AJ197*AF197)/AO197*(0.9)*(1+0.5*0.1)*1/1/(1-(AM197+AN197*AF197)*0.0002)/100</f>
        <v>447.67713554513824</v>
      </c>
      <c r="AH197">
        <v>6</v>
      </c>
      <c r="AI197">
        <f t="shared" si="100"/>
        <v>59.4</v>
      </c>
      <c r="AJ197">
        <f t="shared" si="101"/>
        <v>5.94</v>
      </c>
      <c r="AK197">
        <f t="shared" si="102"/>
        <v>982.80000000000007</v>
      </c>
      <c r="AL197">
        <f t="shared" si="103"/>
        <v>98.280000000000015</v>
      </c>
      <c r="AM197">
        <f t="shared" si="96"/>
        <v>27</v>
      </c>
      <c r="AN197">
        <f t="shared" si="97"/>
        <v>2.7</v>
      </c>
      <c r="AO197">
        <f t="shared" ref="AO197:AO260" si="110">INDEX($AZ$5:$AZ$34,MATCH($AR197,$AU$5:$AU$34,0))</f>
        <v>1.5</v>
      </c>
      <c r="AP197">
        <f t="shared" ref="AP197:AP260" si="111">ROUND(IF(INDEX($BH$5:$BH$34,MATCH($AR197,$AU$5:$AU$34,0))&lt;2,INDEX($BH$5:$BH$34,MATCH($AR197,$AU$5:$AU$34,0))+0.2,2),1)</f>
        <v>1.5</v>
      </c>
      <c r="AQ197">
        <f t="shared" ref="AQ197:AQ260" si="112">INDEX($BD$5:$BD$34,MATCH($AR197,$AU$5:$AU$34,0))</f>
        <v>5</v>
      </c>
      <c r="AR197">
        <v>402</v>
      </c>
      <c r="AS197" s="1" t="str">
        <f t="shared" si="104"/>
        <v>2</v>
      </c>
      <c r="AT197">
        <v>5</v>
      </c>
      <c r="BP197" t="s">
        <v>971</v>
      </c>
      <c r="BQ197" t="str">
        <f t="shared" ref="BQ197:BQ260" si="113">RIGHT(BP197,1)</f>
        <v>2</v>
      </c>
      <c r="BT197">
        <v>6</v>
      </c>
      <c r="BU197" t="str">
        <f t="shared" si="93"/>
        <v>561006,562006,563006</v>
      </c>
      <c r="BV197">
        <f t="shared" si="91"/>
        <v>561006</v>
      </c>
      <c r="BW197">
        <f t="shared" si="92"/>
        <v>562006</v>
      </c>
      <c r="BX197">
        <f t="shared" si="94"/>
        <v>563006</v>
      </c>
      <c r="CF197" t="str">
        <f t="shared" si="98"/>
        <v>DATA_Class_Base51</v>
      </c>
      <c r="CG197" s="39" t="s">
        <v>1038</v>
      </c>
    </row>
    <row r="198" spans="1:85" ht="27">
      <c r="A198">
        <f t="shared" si="99"/>
        <v>5061500</v>
      </c>
      <c r="B198" s="39" t="s">
        <v>1041</v>
      </c>
      <c r="C198">
        <v>6</v>
      </c>
      <c r="D198">
        <v>5</v>
      </c>
      <c r="E198">
        <v>1</v>
      </c>
      <c r="F198" t="s">
        <v>1281</v>
      </c>
      <c r="G198" t="str">
        <f t="shared" si="105"/>
        <v>游侠0_56_1</v>
      </c>
      <c r="H198" s="2">
        <v>0</v>
      </c>
      <c r="I198" s="2" t="s">
        <v>303</v>
      </c>
      <c r="J198" s="2">
        <f t="shared" si="95"/>
        <v>5</v>
      </c>
      <c r="K198" s="2">
        <f t="shared" si="108"/>
        <v>1.1000000000000001</v>
      </c>
      <c r="L198" s="2">
        <f t="shared" si="107"/>
        <v>1.1000000000000001</v>
      </c>
      <c r="M198" s="2">
        <v>10</v>
      </c>
      <c r="N198" s="2">
        <f t="shared" si="106"/>
        <v>64.8</v>
      </c>
      <c r="O198" s="2">
        <f t="shared" si="106"/>
        <v>6.48</v>
      </c>
      <c r="P198" s="2">
        <f t="shared" si="106"/>
        <v>896.4</v>
      </c>
      <c r="Q198" s="2">
        <f t="shared" si="106"/>
        <v>89.64</v>
      </c>
      <c r="R198" s="2">
        <f t="shared" si="106"/>
        <v>24</v>
      </c>
      <c r="S198" s="2">
        <f t="shared" si="106"/>
        <v>2.4000000000000004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>
        <v>50515001</v>
      </c>
      <c r="Z198" s="14" t="s">
        <v>1282</v>
      </c>
      <c r="AA198" s="14" t="s">
        <v>890</v>
      </c>
      <c r="AB198">
        <v>5071500</v>
      </c>
      <c r="AC198" s="2">
        <v>31</v>
      </c>
      <c r="AD198" s="2"/>
      <c r="AE198" s="2"/>
      <c r="AF198">
        <v>1</v>
      </c>
      <c r="AG198" s="1">
        <f t="shared" si="109"/>
        <v>445.14543445391661</v>
      </c>
      <c r="AH198">
        <v>6</v>
      </c>
      <c r="AI198">
        <f t="shared" si="100"/>
        <v>64.8</v>
      </c>
      <c r="AJ198">
        <f t="shared" si="101"/>
        <v>6.48</v>
      </c>
      <c r="AK198">
        <f t="shared" si="102"/>
        <v>896.4</v>
      </c>
      <c r="AL198">
        <f t="shared" si="103"/>
        <v>89.64</v>
      </c>
      <c r="AM198">
        <f t="shared" si="96"/>
        <v>24</v>
      </c>
      <c r="AN198">
        <f t="shared" si="97"/>
        <v>2.4000000000000004</v>
      </c>
      <c r="AO198">
        <f t="shared" si="110"/>
        <v>1.5</v>
      </c>
      <c r="AP198">
        <f t="shared" si="111"/>
        <v>1.5</v>
      </c>
      <c r="AQ198">
        <f t="shared" si="112"/>
        <v>5</v>
      </c>
      <c r="AR198">
        <v>500</v>
      </c>
      <c r="AS198" s="1" t="str">
        <f t="shared" si="104"/>
        <v>0</v>
      </c>
      <c r="AT198">
        <v>5</v>
      </c>
      <c r="BP198" t="s">
        <v>956</v>
      </c>
      <c r="BQ198" t="str">
        <f t="shared" si="113"/>
        <v>0</v>
      </c>
      <c r="BT198">
        <v>7</v>
      </c>
      <c r="BU198" t="str">
        <f t="shared" si="93"/>
        <v>561007,562007,563007</v>
      </c>
      <c r="BV198">
        <f t="shared" si="91"/>
        <v>561007</v>
      </c>
      <c r="BW198">
        <f t="shared" si="92"/>
        <v>562007</v>
      </c>
      <c r="BX198">
        <f t="shared" si="94"/>
        <v>563007</v>
      </c>
      <c r="CF198" t="str">
        <f t="shared" si="98"/>
        <v>DATA_Class_Base52</v>
      </c>
      <c r="CG198" s="39" t="s">
        <v>184</v>
      </c>
    </row>
    <row r="199" spans="1:85" ht="27">
      <c r="A199">
        <f t="shared" si="99"/>
        <v>5061501</v>
      </c>
      <c r="B199" s="39" t="s">
        <v>1044</v>
      </c>
      <c r="C199">
        <v>6</v>
      </c>
      <c r="D199">
        <v>5</v>
      </c>
      <c r="E199">
        <v>1</v>
      </c>
      <c r="F199" t="s">
        <v>1283</v>
      </c>
      <c r="G199" t="str">
        <f t="shared" si="105"/>
        <v>游侠1_56_1</v>
      </c>
      <c r="H199" s="2">
        <v>0</v>
      </c>
      <c r="I199" s="2" t="s">
        <v>334</v>
      </c>
      <c r="J199" s="2">
        <f t="shared" si="95"/>
        <v>6</v>
      </c>
      <c r="K199" s="2">
        <f t="shared" si="108"/>
        <v>1.17</v>
      </c>
      <c r="L199" s="2">
        <f t="shared" si="107"/>
        <v>1.47</v>
      </c>
      <c r="M199" s="2">
        <v>10</v>
      </c>
      <c r="N199" s="2">
        <f t="shared" si="106"/>
        <v>69.12</v>
      </c>
      <c r="O199" s="2">
        <f t="shared" si="106"/>
        <v>6.9120000000000008</v>
      </c>
      <c r="P199" s="2">
        <f t="shared" si="106"/>
        <v>896.4</v>
      </c>
      <c r="Q199" s="2">
        <f t="shared" si="106"/>
        <v>89.64</v>
      </c>
      <c r="R199" s="2">
        <f t="shared" si="106"/>
        <v>24</v>
      </c>
      <c r="S199" s="2">
        <f t="shared" si="106"/>
        <v>2.4000000000000004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>
        <v>50515011</v>
      </c>
      <c r="Z199" s="14" t="s">
        <v>1284</v>
      </c>
      <c r="AA199" s="14" t="s">
        <v>890</v>
      </c>
      <c r="AB199">
        <v>5071501</v>
      </c>
      <c r="AC199" s="2">
        <v>31</v>
      </c>
      <c r="AD199" s="2"/>
      <c r="AE199" s="2"/>
      <c r="AF199">
        <v>1</v>
      </c>
      <c r="AG199" s="1">
        <f t="shared" si="109"/>
        <v>445.14543445391661</v>
      </c>
      <c r="AH199">
        <v>6</v>
      </c>
      <c r="AI199">
        <f t="shared" si="100"/>
        <v>69.12</v>
      </c>
      <c r="AJ199">
        <f t="shared" si="101"/>
        <v>6.9120000000000008</v>
      </c>
      <c r="AK199">
        <f t="shared" si="102"/>
        <v>896.4</v>
      </c>
      <c r="AL199">
        <f t="shared" si="103"/>
        <v>89.64</v>
      </c>
      <c r="AM199">
        <f t="shared" si="96"/>
        <v>24</v>
      </c>
      <c r="AN199">
        <f t="shared" si="97"/>
        <v>2.4000000000000004</v>
      </c>
      <c r="AO199">
        <f t="shared" si="110"/>
        <v>1.6</v>
      </c>
      <c r="AP199">
        <f t="shared" si="111"/>
        <v>2</v>
      </c>
      <c r="AQ199">
        <f t="shared" si="112"/>
        <v>6</v>
      </c>
      <c r="AR199">
        <v>501</v>
      </c>
      <c r="AS199" s="1" t="str">
        <f t="shared" si="104"/>
        <v>1</v>
      </c>
      <c r="AT199">
        <v>5</v>
      </c>
      <c r="BP199" t="s">
        <v>945</v>
      </c>
      <c r="BQ199" t="str">
        <f t="shared" si="113"/>
        <v>1</v>
      </c>
      <c r="BT199">
        <v>8</v>
      </c>
      <c r="BU199" t="str">
        <f t="shared" si="93"/>
        <v>561008,562008,563008</v>
      </c>
      <c r="BV199">
        <f t="shared" si="91"/>
        <v>561008</v>
      </c>
      <c r="BW199">
        <f t="shared" si="92"/>
        <v>562008</v>
      </c>
      <c r="BX199">
        <f t="shared" si="94"/>
        <v>563008</v>
      </c>
      <c r="CF199" t="str">
        <f t="shared" si="98"/>
        <v>DATA_Class_Base53</v>
      </c>
      <c r="CG199" s="39" t="s">
        <v>349</v>
      </c>
    </row>
    <row r="200" spans="1:85" ht="27">
      <c r="A200">
        <f t="shared" si="99"/>
        <v>5061600</v>
      </c>
      <c r="B200" s="39" t="s">
        <v>1047</v>
      </c>
      <c r="C200">
        <v>6</v>
      </c>
      <c r="D200">
        <v>6</v>
      </c>
      <c r="E200">
        <v>1</v>
      </c>
      <c r="F200" t="s">
        <v>1285</v>
      </c>
      <c r="G200" t="str">
        <f t="shared" si="105"/>
        <v>牧师0_56_1</v>
      </c>
      <c r="H200">
        <v>0</v>
      </c>
      <c r="I200" s="2" t="s">
        <v>339</v>
      </c>
      <c r="J200" s="2">
        <f t="shared" si="95"/>
        <v>4</v>
      </c>
      <c r="K200" s="2">
        <f t="shared" si="108"/>
        <v>1.02</v>
      </c>
      <c r="L200" s="2">
        <f t="shared" si="107"/>
        <v>1.3900000000000001</v>
      </c>
      <c r="M200" s="2">
        <v>10</v>
      </c>
      <c r="N200" s="2">
        <f t="shared" si="106"/>
        <v>50.399999999999991</v>
      </c>
      <c r="O200" s="2">
        <f t="shared" si="106"/>
        <v>5.0399999999999991</v>
      </c>
      <c r="P200" s="2">
        <f t="shared" si="106"/>
        <v>1080</v>
      </c>
      <c r="Q200" s="2">
        <f t="shared" si="106"/>
        <v>108</v>
      </c>
      <c r="R200" s="2">
        <f t="shared" si="106"/>
        <v>30</v>
      </c>
      <c r="S200" s="2">
        <f t="shared" si="106"/>
        <v>3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>
        <v>50516001</v>
      </c>
      <c r="Z200" s="14" t="s">
        <v>1286</v>
      </c>
      <c r="AA200" s="14" t="s">
        <v>890</v>
      </c>
      <c r="AB200">
        <v>5071600</v>
      </c>
      <c r="AC200" s="2">
        <v>31</v>
      </c>
      <c r="AD200" s="2"/>
      <c r="AE200" s="2"/>
      <c r="AF200">
        <v>1</v>
      </c>
      <c r="AG200" s="1">
        <f t="shared" si="109"/>
        <v>447.52703845379511</v>
      </c>
      <c r="AH200">
        <v>6</v>
      </c>
      <c r="AI200">
        <f t="shared" si="100"/>
        <v>50.399999999999991</v>
      </c>
      <c r="AJ200">
        <f t="shared" si="101"/>
        <v>5.0399999999999991</v>
      </c>
      <c r="AK200">
        <f t="shared" si="102"/>
        <v>1080</v>
      </c>
      <c r="AL200">
        <f t="shared" si="103"/>
        <v>108</v>
      </c>
      <c r="AM200">
        <f t="shared" si="96"/>
        <v>30</v>
      </c>
      <c r="AN200">
        <f t="shared" si="97"/>
        <v>3</v>
      </c>
      <c r="AO200">
        <f t="shared" si="110"/>
        <v>1.4</v>
      </c>
      <c r="AP200">
        <f t="shared" si="111"/>
        <v>1.9</v>
      </c>
      <c r="AQ200">
        <f t="shared" si="112"/>
        <v>4</v>
      </c>
      <c r="AR200">
        <v>600</v>
      </c>
      <c r="AS200" s="1" t="str">
        <f t="shared" si="104"/>
        <v>0</v>
      </c>
      <c r="AT200">
        <v>5</v>
      </c>
      <c r="BP200" t="s">
        <v>990</v>
      </c>
      <c r="BQ200" t="str">
        <f t="shared" si="113"/>
        <v>0</v>
      </c>
      <c r="BT200">
        <v>9</v>
      </c>
      <c r="BU200" t="str">
        <f t="shared" si="93"/>
        <v>561009,562009,563009</v>
      </c>
      <c r="BV200">
        <f t="shared" si="91"/>
        <v>561009</v>
      </c>
      <c r="BW200">
        <f t="shared" si="92"/>
        <v>562009</v>
      </c>
      <c r="BX200">
        <f t="shared" si="94"/>
        <v>563009</v>
      </c>
      <c r="CF200" t="str">
        <f t="shared" si="98"/>
        <v>DATA_Class_Base54</v>
      </c>
      <c r="CG200" s="39" t="s">
        <v>198</v>
      </c>
    </row>
    <row r="201" spans="1:85" ht="27">
      <c r="A201">
        <f t="shared" si="99"/>
        <v>5061601</v>
      </c>
      <c r="B201" s="39" t="s">
        <v>1050</v>
      </c>
      <c r="C201">
        <v>6</v>
      </c>
      <c r="D201">
        <v>6</v>
      </c>
      <c r="E201">
        <v>1</v>
      </c>
      <c r="F201" t="s">
        <v>1287</v>
      </c>
      <c r="G201" t="str">
        <f t="shared" si="105"/>
        <v>牧师1_56_1</v>
      </c>
      <c r="H201" s="2">
        <v>0</v>
      </c>
      <c r="I201" s="2" t="s">
        <v>309</v>
      </c>
      <c r="J201" s="2">
        <f t="shared" si="95"/>
        <v>5</v>
      </c>
      <c r="K201" s="2">
        <f t="shared" si="108"/>
        <v>1.1000000000000001</v>
      </c>
      <c r="L201" s="2">
        <f t="shared" si="107"/>
        <v>1.47</v>
      </c>
      <c r="M201" s="2">
        <v>10</v>
      </c>
      <c r="N201" s="2">
        <f t="shared" si="106"/>
        <v>54</v>
      </c>
      <c r="O201" s="2">
        <f t="shared" si="106"/>
        <v>5.4</v>
      </c>
      <c r="P201" s="2">
        <f t="shared" si="106"/>
        <v>1080</v>
      </c>
      <c r="Q201" s="2">
        <f t="shared" si="106"/>
        <v>108</v>
      </c>
      <c r="R201" s="2">
        <f t="shared" si="106"/>
        <v>30</v>
      </c>
      <c r="S201" s="2">
        <f t="shared" si="106"/>
        <v>3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>
        <v>50516011</v>
      </c>
      <c r="Z201" s="14" t="s">
        <v>1288</v>
      </c>
      <c r="AA201" s="14" t="s">
        <v>890</v>
      </c>
      <c r="AB201">
        <v>5071601</v>
      </c>
      <c r="AC201" s="2">
        <v>31</v>
      </c>
      <c r="AD201" s="2"/>
      <c r="AE201" s="2"/>
      <c r="AF201">
        <v>1</v>
      </c>
      <c r="AG201" s="1">
        <f t="shared" si="109"/>
        <v>447.52703845379511</v>
      </c>
      <c r="AH201">
        <v>6</v>
      </c>
      <c r="AI201">
        <f t="shared" si="100"/>
        <v>54</v>
      </c>
      <c r="AJ201">
        <f t="shared" si="101"/>
        <v>5.4</v>
      </c>
      <c r="AK201">
        <f t="shared" si="102"/>
        <v>1080</v>
      </c>
      <c r="AL201">
        <f t="shared" si="103"/>
        <v>108</v>
      </c>
      <c r="AM201">
        <f t="shared" si="96"/>
        <v>30</v>
      </c>
      <c r="AN201">
        <f t="shared" si="97"/>
        <v>3</v>
      </c>
      <c r="AO201">
        <f t="shared" si="110"/>
        <v>1.5</v>
      </c>
      <c r="AP201">
        <f t="shared" si="111"/>
        <v>2</v>
      </c>
      <c r="AQ201">
        <f t="shared" si="112"/>
        <v>5</v>
      </c>
      <c r="AR201">
        <v>601</v>
      </c>
      <c r="AS201" s="1" t="str">
        <f t="shared" si="104"/>
        <v>1</v>
      </c>
      <c r="AT201">
        <v>5</v>
      </c>
      <c r="BP201" t="s">
        <v>960</v>
      </c>
      <c r="BQ201" t="str">
        <f t="shared" si="113"/>
        <v>1</v>
      </c>
      <c r="BT201">
        <v>10</v>
      </c>
      <c r="BU201" t="str">
        <f t="shared" si="93"/>
        <v>561010,562010,563010</v>
      </c>
      <c r="BV201">
        <f t="shared" si="91"/>
        <v>561010</v>
      </c>
      <c r="BW201">
        <f t="shared" si="92"/>
        <v>562010</v>
      </c>
      <c r="BX201">
        <f t="shared" si="94"/>
        <v>563010</v>
      </c>
      <c r="CF201" t="str">
        <f t="shared" si="98"/>
        <v>DATA_Class_Base55</v>
      </c>
      <c r="CG201" s="39" t="s">
        <v>201</v>
      </c>
    </row>
    <row r="202" spans="1:85">
      <c r="A202">
        <f t="shared" si="99"/>
        <v>5062200</v>
      </c>
      <c r="B202" s="38" t="s">
        <v>1021</v>
      </c>
      <c r="C202">
        <v>6</v>
      </c>
      <c r="D202">
        <v>2</v>
      </c>
      <c r="E202">
        <v>2</v>
      </c>
      <c r="F202" t="s">
        <v>1289</v>
      </c>
      <c r="G202" t="str">
        <f t="shared" si="105"/>
        <v>战士0_56_2</v>
      </c>
      <c r="H202">
        <v>0</v>
      </c>
      <c r="I202" s="2" t="s">
        <v>314</v>
      </c>
      <c r="J202" s="2">
        <f t="shared" si="95"/>
        <v>2.5</v>
      </c>
      <c r="K202" s="2">
        <f t="shared" si="108"/>
        <v>1.1000000000000001</v>
      </c>
      <c r="L202" s="2">
        <f t="shared" si="107"/>
        <v>0.88</v>
      </c>
      <c r="M202" s="2">
        <v>10</v>
      </c>
      <c r="N202" s="2">
        <f t="shared" si="106"/>
        <v>43.20000000000001</v>
      </c>
      <c r="O202" s="2">
        <f t="shared" si="106"/>
        <v>4.3200000000000012</v>
      </c>
      <c r="P202" s="2">
        <f t="shared" si="106"/>
        <v>1350</v>
      </c>
      <c r="Q202" s="2">
        <f t="shared" si="106"/>
        <v>135</v>
      </c>
      <c r="R202" s="2">
        <f t="shared" si="106"/>
        <v>36</v>
      </c>
      <c r="S202" s="2">
        <f t="shared" si="106"/>
        <v>3.6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>
        <v>50522001</v>
      </c>
      <c r="Z202" s="14" t="s">
        <v>1290</v>
      </c>
      <c r="AA202" s="14" t="s">
        <v>890</v>
      </c>
      <c r="AB202">
        <v>5072200</v>
      </c>
      <c r="AC202" s="2">
        <v>31</v>
      </c>
      <c r="AD202" s="2"/>
      <c r="AE202" s="2"/>
      <c r="AF202">
        <v>1</v>
      </c>
      <c r="AG202" s="1">
        <f t="shared" si="109"/>
        <v>448.12249012176449</v>
      </c>
      <c r="AH202">
        <v>6</v>
      </c>
      <c r="AI202">
        <f t="shared" si="100"/>
        <v>43.20000000000001</v>
      </c>
      <c r="AJ202">
        <f t="shared" si="101"/>
        <v>4.3200000000000012</v>
      </c>
      <c r="AK202">
        <f t="shared" si="102"/>
        <v>1350</v>
      </c>
      <c r="AL202">
        <f t="shared" si="103"/>
        <v>135</v>
      </c>
      <c r="AM202">
        <f t="shared" si="96"/>
        <v>36</v>
      </c>
      <c r="AN202">
        <f t="shared" si="97"/>
        <v>3.6</v>
      </c>
      <c r="AO202">
        <f t="shared" si="110"/>
        <v>1.5</v>
      </c>
      <c r="AP202">
        <f t="shared" si="111"/>
        <v>1.2</v>
      </c>
      <c r="AQ202">
        <f t="shared" si="112"/>
        <v>2.5</v>
      </c>
      <c r="AR202">
        <v>200</v>
      </c>
      <c r="AS202" s="1" t="str">
        <f t="shared" si="104"/>
        <v>0</v>
      </c>
      <c r="AT202">
        <v>5</v>
      </c>
      <c r="BP202" t="s">
        <v>964</v>
      </c>
      <c r="BQ202" t="str">
        <f t="shared" si="113"/>
        <v>0</v>
      </c>
      <c r="BT202">
        <v>11</v>
      </c>
      <c r="BU202" t="str">
        <f t="shared" si="93"/>
        <v>561011,562011,563011</v>
      </c>
      <c r="BV202">
        <f t="shared" si="91"/>
        <v>561011</v>
      </c>
      <c r="BW202">
        <f t="shared" si="92"/>
        <v>562011</v>
      </c>
      <c r="BX202">
        <f t="shared" si="94"/>
        <v>563011</v>
      </c>
      <c r="CF202" t="str">
        <f t="shared" si="98"/>
        <v>DATA_Class_Base46</v>
      </c>
      <c r="CG202" s="38" t="s">
        <v>1022</v>
      </c>
    </row>
    <row r="203" spans="1:85" ht="27">
      <c r="A203">
        <f t="shared" si="99"/>
        <v>5062202</v>
      </c>
      <c r="B203" s="39" t="s">
        <v>1053</v>
      </c>
      <c r="C203">
        <v>6</v>
      </c>
      <c r="D203">
        <v>2</v>
      </c>
      <c r="E203">
        <v>2</v>
      </c>
      <c r="F203" s="2" t="s">
        <v>1291</v>
      </c>
      <c r="G203" t="str">
        <f t="shared" si="105"/>
        <v>战士2_56_2</v>
      </c>
      <c r="H203">
        <v>0</v>
      </c>
      <c r="I203" s="2" t="s">
        <v>280</v>
      </c>
      <c r="J203" s="2">
        <f t="shared" si="95"/>
        <v>2.5</v>
      </c>
      <c r="K203" s="2">
        <f t="shared" si="108"/>
        <v>1.32</v>
      </c>
      <c r="L203" s="2">
        <f t="shared" si="107"/>
        <v>1.47</v>
      </c>
      <c r="M203" s="2">
        <v>10</v>
      </c>
      <c r="N203" s="2">
        <f t="shared" si="106"/>
        <v>51.84</v>
      </c>
      <c r="O203" s="2">
        <f t="shared" si="106"/>
        <v>5.1840000000000011</v>
      </c>
      <c r="P203" s="2">
        <f t="shared" si="106"/>
        <v>1350</v>
      </c>
      <c r="Q203" s="2">
        <f t="shared" si="106"/>
        <v>135</v>
      </c>
      <c r="R203" s="2">
        <f t="shared" si="106"/>
        <v>36</v>
      </c>
      <c r="S203" s="2">
        <f t="shared" si="106"/>
        <v>3.6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>
        <v>50522021</v>
      </c>
      <c r="Z203" s="14" t="s">
        <v>1292</v>
      </c>
      <c r="AA203" s="14" t="s">
        <v>890</v>
      </c>
      <c r="AB203">
        <v>5072202</v>
      </c>
      <c r="AC203" s="2">
        <v>31</v>
      </c>
      <c r="AD203" s="2"/>
      <c r="AE203" s="2"/>
      <c r="AF203">
        <v>1</v>
      </c>
      <c r="AG203" s="1">
        <f t="shared" si="109"/>
        <v>448.12249012176443</v>
      </c>
      <c r="AH203">
        <v>6</v>
      </c>
      <c r="AI203">
        <f t="shared" si="100"/>
        <v>51.84</v>
      </c>
      <c r="AJ203">
        <f t="shared" si="101"/>
        <v>5.1840000000000011</v>
      </c>
      <c r="AK203">
        <f t="shared" si="102"/>
        <v>1350</v>
      </c>
      <c r="AL203">
        <f t="shared" si="103"/>
        <v>135</v>
      </c>
      <c r="AM203">
        <f t="shared" si="96"/>
        <v>36</v>
      </c>
      <c r="AN203">
        <f t="shared" si="97"/>
        <v>3.6</v>
      </c>
      <c r="AO203">
        <f t="shared" si="110"/>
        <v>1.8</v>
      </c>
      <c r="AP203">
        <f t="shared" si="111"/>
        <v>2</v>
      </c>
      <c r="AQ203">
        <f t="shared" si="112"/>
        <v>2.5</v>
      </c>
      <c r="AR203">
        <v>202</v>
      </c>
      <c r="AS203" s="1" t="str">
        <f t="shared" si="104"/>
        <v>2</v>
      </c>
      <c r="AT203">
        <v>5</v>
      </c>
      <c r="BP203" t="s">
        <v>981</v>
      </c>
      <c r="BQ203" t="str">
        <f t="shared" si="113"/>
        <v>2</v>
      </c>
      <c r="BT203">
        <v>12</v>
      </c>
      <c r="BU203" t="str">
        <f t="shared" si="93"/>
        <v>561012,562012,563012</v>
      </c>
      <c r="BV203">
        <f t="shared" si="91"/>
        <v>561012</v>
      </c>
      <c r="BW203">
        <f t="shared" si="92"/>
        <v>562012</v>
      </c>
      <c r="BX203">
        <f t="shared" si="94"/>
        <v>563012</v>
      </c>
      <c r="CF203" t="str">
        <f t="shared" si="98"/>
        <v>DATA_Class_Base56</v>
      </c>
      <c r="CG203" s="39" t="s">
        <v>381</v>
      </c>
    </row>
    <row r="204" spans="1:85" ht="27">
      <c r="A204">
        <f t="shared" si="99"/>
        <v>5062302</v>
      </c>
      <c r="B204" s="39" t="s">
        <v>1056</v>
      </c>
      <c r="C204">
        <v>6</v>
      </c>
      <c r="D204">
        <v>3</v>
      </c>
      <c r="E204">
        <v>2</v>
      </c>
      <c r="F204" t="s">
        <v>1293</v>
      </c>
      <c r="G204" t="str">
        <f t="shared" si="105"/>
        <v>刺客2_56_2</v>
      </c>
      <c r="H204" s="2">
        <v>0</v>
      </c>
      <c r="I204" s="2" t="s">
        <v>358</v>
      </c>
      <c r="J204" s="2">
        <f t="shared" si="95"/>
        <v>2.5</v>
      </c>
      <c r="K204" s="2">
        <f t="shared" si="108"/>
        <v>1.02</v>
      </c>
      <c r="L204" s="2">
        <f t="shared" si="107"/>
        <v>1.25</v>
      </c>
      <c r="M204" s="2">
        <v>10</v>
      </c>
      <c r="N204" s="2">
        <f t="shared" si="106"/>
        <v>45.36</v>
      </c>
      <c r="O204" s="2">
        <f t="shared" si="106"/>
        <v>4.5360000000000005</v>
      </c>
      <c r="P204" s="2">
        <f t="shared" si="106"/>
        <v>1198.8000000000002</v>
      </c>
      <c r="Q204" s="2">
        <f t="shared" si="106"/>
        <v>119.88000000000002</v>
      </c>
      <c r="R204" s="2">
        <f t="shared" si="106"/>
        <v>33</v>
      </c>
      <c r="S204" s="2">
        <f t="shared" si="106"/>
        <v>3.3000000000000003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>
        <v>50523021</v>
      </c>
      <c r="Z204" s="14" t="s">
        <v>1294</v>
      </c>
      <c r="AA204" s="14" t="s">
        <v>890</v>
      </c>
      <c r="AB204">
        <v>5072302</v>
      </c>
      <c r="AC204" s="2">
        <v>31</v>
      </c>
      <c r="AD204" s="2"/>
      <c r="AE204" s="2"/>
      <c r="AF204">
        <v>1</v>
      </c>
      <c r="AG204" s="1">
        <f t="shared" si="109"/>
        <v>447.3767417853619</v>
      </c>
      <c r="AH204">
        <v>6</v>
      </c>
      <c r="AI204">
        <f t="shared" si="100"/>
        <v>45.36</v>
      </c>
      <c r="AJ204">
        <f t="shared" si="101"/>
        <v>4.5360000000000005</v>
      </c>
      <c r="AK204">
        <f t="shared" si="102"/>
        <v>1198.8000000000002</v>
      </c>
      <c r="AL204">
        <f t="shared" si="103"/>
        <v>119.88000000000002</v>
      </c>
      <c r="AM204">
        <f t="shared" si="96"/>
        <v>33</v>
      </c>
      <c r="AN204">
        <f t="shared" si="97"/>
        <v>3.3000000000000003</v>
      </c>
      <c r="AO204">
        <f t="shared" si="110"/>
        <v>1.4</v>
      </c>
      <c r="AP204">
        <f t="shared" si="111"/>
        <v>1.7</v>
      </c>
      <c r="AQ204">
        <f t="shared" si="112"/>
        <v>2.5</v>
      </c>
      <c r="AR204">
        <v>302</v>
      </c>
      <c r="AS204" s="1" t="str">
        <f t="shared" si="104"/>
        <v>2</v>
      </c>
      <c r="AT204">
        <v>5</v>
      </c>
      <c r="BP204" t="s">
        <v>983</v>
      </c>
      <c r="BQ204" t="str">
        <f t="shared" si="113"/>
        <v>2</v>
      </c>
      <c r="BT204">
        <v>13</v>
      </c>
      <c r="BU204" t="str">
        <f t="shared" si="93"/>
        <v>561013,562013,563013</v>
      </c>
      <c r="BV204">
        <f t="shared" si="91"/>
        <v>561013</v>
      </c>
      <c r="BW204">
        <f t="shared" si="92"/>
        <v>562013</v>
      </c>
      <c r="BX204">
        <f t="shared" si="94"/>
        <v>563013</v>
      </c>
      <c r="CF204" t="str">
        <f t="shared" si="98"/>
        <v>DATA_Class_Base57</v>
      </c>
      <c r="CG204" s="39" t="s">
        <v>1057</v>
      </c>
    </row>
    <row r="205" spans="1:85" ht="27">
      <c r="A205">
        <f t="shared" si="99"/>
        <v>5062300</v>
      </c>
      <c r="B205" s="39" t="s">
        <v>1028</v>
      </c>
      <c r="C205">
        <v>6</v>
      </c>
      <c r="D205">
        <v>3</v>
      </c>
      <c r="E205">
        <v>2</v>
      </c>
      <c r="F205" t="s">
        <v>1295</v>
      </c>
      <c r="G205" t="str">
        <f t="shared" si="105"/>
        <v>刺客0_56_2</v>
      </c>
      <c r="H205">
        <v>0</v>
      </c>
      <c r="I205" s="2" t="s">
        <v>352</v>
      </c>
      <c r="J205" s="2">
        <f t="shared" si="95"/>
        <v>4</v>
      </c>
      <c r="K205" s="2">
        <f t="shared" si="108"/>
        <v>0.95000000000000007</v>
      </c>
      <c r="L205" s="2">
        <f t="shared" si="107"/>
        <v>1.3900000000000001</v>
      </c>
      <c r="M205" s="2">
        <v>10</v>
      </c>
      <c r="N205" s="2">
        <f t="shared" si="106"/>
        <v>42.120000000000012</v>
      </c>
      <c r="O205" s="2">
        <f t="shared" si="106"/>
        <v>4.2120000000000015</v>
      </c>
      <c r="P205" s="2">
        <f t="shared" si="106"/>
        <v>1198.8000000000002</v>
      </c>
      <c r="Q205" s="2">
        <f t="shared" si="106"/>
        <v>119.88000000000002</v>
      </c>
      <c r="R205" s="2">
        <f t="shared" si="106"/>
        <v>33</v>
      </c>
      <c r="S205" s="2">
        <f t="shared" si="106"/>
        <v>3.3000000000000003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>
        <v>50523001</v>
      </c>
      <c r="Z205" s="14" t="s">
        <v>1296</v>
      </c>
      <c r="AA205" s="14" t="s">
        <v>890</v>
      </c>
      <c r="AB205">
        <v>5072300</v>
      </c>
      <c r="AC205" s="2">
        <v>31</v>
      </c>
      <c r="AD205" s="2"/>
      <c r="AE205" s="2"/>
      <c r="AF205">
        <v>1</v>
      </c>
      <c r="AG205" s="1">
        <f t="shared" si="109"/>
        <v>447.37674178536196</v>
      </c>
      <c r="AH205">
        <v>6</v>
      </c>
      <c r="AI205">
        <f t="shared" si="100"/>
        <v>42.120000000000012</v>
      </c>
      <c r="AJ205">
        <f t="shared" si="101"/>
        <v>4.2120000000000015</v>
      </c>
      <c r="AK205">
        <f t="shared" si="102"/>
        <v>1198.8000000000002</v>
      </c>
      <c r="AL205">
        <f t="shared" si="103"/>
        <v>119.88000000000002</v>
      </c>
      <c r="AM205">
        <f t="shared" si="96"/>
        <v>33</v>
      </c>
      <c r="AN205">
        <f t="shared" si="97"/>
        <v>3.3000000000000003</v>
      </c>
      <c r="AO205">
        <f t="shared" si="110"/>
        <v>1.3</v>
      </c>
      <c r="AP205">
        <f t="shared" si="111"/>
        <v>1.9</v>
      </c>
      <c r="AQ205">
        <f t="shared" si="112"/>
        <v>4</v>
      </c>
      <c r="AR205">
        <v>300</v>
      </c>
      <c r="AS205" s="1" t="str">
        <f t="shared" si="104"/>
        <v>0</v>
      </c>
      <c r="AT205">
        <v>5</v>
      </c>
      <c r="BP205" t="s">
        <v>967</v>
      </c>
      <c r="BQ205" t="str">
        <f t="shared" si="113"/>
        <v>0</v>
      </c>
      <c r="BT205">
        <v>14</v>
      </c>
      <c r="BU205" t="str">
        <f t="shared" si="93"/>
        <v>561014,562014,563014</v>
      </c>
      <c r="BV205">
        <f t="shared" si="91"/>
        <v>561014</v>
      </c>
      <c r="BW205">
        <f t="shared" si="92"/>
        <v>562014</v>
      </c>
      <c r="BX205">
        <f t="shared" si="94"/>
        <v>563014</v>
      </c>
      <c r="CF205" t="str">
        <f t="shared" si="98"/>
        <v>DATA_Class_Base48</v>
      </c>
      <c r="CG205" s="39" t="s">
        <v>411</v>
      </c>
    </row>
    <row r="206" spans="1:85" ht="27">
      <c r="A206">
        <f t="shared" si="99"/>
        <v>5062400</v>
      </c>
      <c r="B206" s="39" t="s">
        <v>1060</v>
      </c>
      <c r="C206">
        <v>6</v>
      </c>
      <c r="D206">
        <v>4</v>
      </c>
      <c r="E206">
        <v>2</v>
      </c>
      <c r="F206" t="s">
        <v>1297</v>
      </c>
      <c r="G206" t="str">
        <f t="shared" si="105"/>
        <v>法师0_56_2</v>
      </c>
      <c r="H206">
        <v>0</v>
      </c>
      <c r="I206" s="2" t="s">
        <v>364</v>
      </c>
      <c r="J206" s="2">
        <f t="shared" si="95"/>
        <v>5</v>
      </c>
      <c r="K206" s="2">
        <f t="shared" si="108"/>
        <v>1.02</v>
      </c>
      <c r="L206" s="2">
        <f t="shared" si="107"/>
        <v>1.02</v>
      </c>
      <c r="M206" s="2">
        <v>10</v>
      </c>
      <c r="N206" s="2">
        <f t="shared" si="106"/>
        <v>55.44</v>
      </c>
      <c r="O206" s="2">
        <f t="shared" si="106"/>
        <v>5.5440000000000005</v>
      </c>
      <c r="P206" s="2">
        <f t="shared" si="106"/>
        <v>982.80000000000007</v>
      </c>
      <c r="Q206" s="2">
        <f t="shared" si="106"/>
        <v>98.280000000000015</v>
      </c>
      <c r="R206" s="2">
        <f t="shared" si="106"/>
        <v>27</v>
      </c>
      <c r="S206" s="2">
        <f t="shared" si="106"/>
        <v>2.7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>
        <v>50524001</v>
      </c>
      <c r="Z206" s="14" t="s">
        <v>1298</v>
      </c>
      <c r="AA206" s="14" t="s">
        <v>890</v>
      </c>
      <c r="AB206">
        <v>5072400</v>
      </c>
      <c r="AC206" s="2">
        <v>31</v>
      </c>
      <c r="AD206" s="2"/>
      <c r="AE206" s="2"/>
      <c r="AF206">
        <v>1</v>
      </c>
      <c r="AG206" s="1">
        <f t="shared" si="109"/>
        <v>447.67713554513824</v>
      </c>
      <c r="AH206">
        <v>6</v>
      </c>
      <c r="AI206">
        <f t="shared" si="100"/>
        <v>55.44</v>
      </c>
      <c r="AJ206">
        <f t="shared" si="101"/>
        <v>5.5440000000000005</v>
      </c>
      <c r="AK206">
        <f t="shared" si="102"/>
        <v>982.80000000000007</v>
      </c>
      <c r="AL206">
        <f t="shared" si="103"/>
        <v>98.280000000000015</v>
      </c>
      <c r="AM206">
        <f t="shared" si="96"/>
        <v>27</v>
      </c>
      <c r="AN206">
        <f t="shared" si="97"/>
        <v>2.7</v>
      </c>
      <c r="AO206">
        <f t="shared" si="110"/>
        <v>1.4</v>
      </c>
      <c r="AP206">
        <f t="shared" si="111"/>
        <v>1.4</v>
      </c>
      <c r="AQ206">
        <f t="shared" si="112"/>
        <v>5</v>
      </c>
      <c r="AR206">
        <v>400</v>
      </c>
      <c r="AS206" s="1" t="str">
        <f t="shared" si="104"/>
        <v>0</v>
      </c>
      <c r="AT206">
        <v>5</v>
      </c>
      <c r="BP206" t="s">
        <v>986</v>
      </c>
      <c r="BQ206" t="str">
        <f t="shared" si="113"/>
        <v>0</v>
      </c>
      <c r="BT206">
        <v>15</v>
      </c>
      <c r="BU206" t="str">
        <f t="shared" si="93"/>
        <v>561015,562015,563015</v>
      </c>
      <c r="BV206">
        <f t="shared" ref="BV206:BV269" si="114">$AT206*100000+$AH206*10000+1*1000+$BT206</f>
        <v>561015</v>
      </c>
      <c r="BW206">
        <f t="shared" ref="BW206:BW241" si="115">$AT206*100000+$AH206*10000+2*1000+$BT206</f>
        <v>562015</v>
      </c>
      <c r="BX206">
        <f t="shared" si="94"/>
        <v>563015</v>
      </c>
      <c r="CF206" t="str">
        <f t="shared" si="98"/>
        <v>DATA_Class_Base58</v>
      </c>
      <c r="CG206" s="39" t="s">
        <v>174</v>
      </c>
    </row>
    <row r="207" spans="1:85" ht="27">
      <c r="A207">
        <f t="shared" si="99"/>
        <v>5062402</v>
      </c>
      <c r="B207" s="39" t="s">
        <v>1037</v>
      </c>
      <c r="C207">
        <v>6</v>
      </c>
      <c r="D207">
        <v>4</v>
      </c>
      <c r="E207">
        <v>2</v>
      </c>
      <c r="F207" t="s">
        <v>1299</v>
      </c>
      <c r="G207" t="str">
        <f t="shared" si="105"/>
        <v>法师2_56_2</v>
      </c>
      <c r="H207" s="2">
        <v>0</v>
      </c>
      <c r="I207" s="2" t="s">
        <v>250</v>
      </c>
      <c r="J207" s="2">
        <f t="shared" si="95"/>
        <v>5</v>
      </c>
      <c r="K207" s="2">
        <f t="shared" si="108"/>
        <v>1.1000000000000001</v>
      </c>
      <c r="L207" s="2">
        <f t="shared" si="107"/>
        <v>1.1000000000000001</v>
      </c>
      <c r="M207" s="2">
        <v>10</v>
      </c>
      <c r="N207" s="2">
        <f t="shared" si="106"/>
        <v>59.4</v>
      </c>
      <c r="O207" s="2">
        <f t="shared" si="106"/>
        <v>5.94</v>
      </c>
      <c r="P207" s="2">
        <f t="shared" si="106"/>
        <v>982.80000000000007</v>
      </c>
      <c r="Q207" s="2">
        <f t="shared" si="106"/>
        <v>98.280000000000015</v>
      </c>
      <c r="R207" s="2">
        <f t="shared" si="106"/>
        <v>27</v>
      </c>
      <c r="S207" s="2">
        <f t="shared" si="106"/>
        <v>2.7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>
        <v>50524021</v>
      </c>
      <c r="Z207" s="14" t="s">
        <v>1300</v>
      </c>
      <c r="AA207" s="14" t="s">
        <v>890</v>
      </c>
      <c r="AB207">
        <v>5072402</v>
      </c>
      <c r="AC207" s="2">
        <v>31</v>
      </c>
      <c r="AD207" s="2"/>
      <c r="AE207" s="2"/>
      <c r="AF207">
        <v>1</v>
      </c>
      <c r="AG207" s="1">
        <f t="shared" si="109"/>
        <v>447.67713554513824</v>
      </c>
      <c r="AH207">
        <v>6</v>
      </c>
      <c r="AI207">
        <f t="shared" si="100"/>
        <v>59.4</v>
      </c>
      <c r="AJ207">
        <f t="shared" si="101"/>
        <v>5.94</v>
      </c>
      <c r="AK207">
        <f t="shared" si="102"/>
        <v>982.80000000000007</v>
      </c>
      <c r="AL207">
        <f t="shared" si="103"/>
        <v>98.280000000000015</v>
      </c>
      <c r="AM207">
        <f t="shared" si="96"/>
        <v>27</v>
      </c>
      <c r="AN207">
        <f t="shared" si="97"/>
        <v>2.7</v>
      </c>
      <c r="AO207">
        <f t="shared" si="110"/>
        <v>1.5</v>
      </c>
      <c r="AP207">
        <f t="shared" si="111"/>
        <v>1.5</v>
      </c>
      <c r="AQ207">
        <f t="shared" si="112"/>
        <v>5</v>
      </c>
      <c r="AR207">
        <v>402</v>
      </c>
      <c r="AS207" s="1" t="str">
        <f t="shared" si="104"/>
        <v>2</v>
      </c>
      <c r="AT207">
        <v>5</v>
      </c>
      <c r="BP207" t="s">
        <v>971</v>
      </c>
      <c r="BQ207" t="str">
        <f t="shared" si="113"/>
        <v>2</v>
      </c>
      <c r="BT207">
        <v>16</v>
      </c>
      <c r="BU207" t="str">
        <f t="shared" ref="BU207:BU270" si="116">BV207&amp;","&amp;BW207&amp;","&amp;BX207</f>
        <v>561016,562016,563016</v>
      </c>
      <c r="BV207">
        <f t="shared" si="114"/>
        <v>561016</v>
      </c>
      <c r="BW207">
        <f t="shared" si="115"/>
        <v>562016</v>
      </c>
      <c r="BX207">
        <f t="shared" ref="BX207:BX241" si="117">$AT207*100000+$AH207*10000+3*1000+$BT207</f>
        <v>563016</v>
      </c>
      <c r="CF207" t="str">
        <f t="shared" si="98"/>
        <v>DATA_Class_Base51</v>
      </c>
      <c r="CG207" s="39" t="s">
        <v>1038</v>
      </c>
    </row>
    <row r="208" spans="1:85" ht="27">
      <c r="A208">
        <f t="shared" si="99"/>
        <v>5062500</v>
      </c>
      <c r="B208" s="39" t="s">
        <v>1041</v>
      </c>
      <c r="C208">
        <v>6</v>
      </c>
      <c r="D208">
        <v>5</v>
      </c>
      <c r="E208">
        <v>2</v>
      </c>
      <c r="F208" t="s">
        <v>1301</v>
      </c>
      <c r="G208" t="str">
        <f t="shared" si="105"/>
        <v>游侠0_56_2</v>
      </c>
      <c r="H208" s="2">
        <v>0</v>
      </c>
      <c r="I208" s="2" t="s">
        <v>303</v>
      </c>
      <c r="J208" s="2">
        <f t="shared" ref="J208:J271" si="118">AQ208</f>
        <v>5</v>
      </c>
      <c r="K208" s="2">
        <f t="shared" si="108"/>
        <v>1.1000000000000001</v>
      </c>
      <c r="L208" s="2">
        <f t="shared" si="107"/>
        <v>1.1000000000000001</v>
      </c>
      <c r="M208" s="2">
        <v>10</v>
      </c>
      <c r="N208" s="2">
        <f t="shared" si="106"/>
        <v>64.8</v>
      </c>
      <c r="O208" s="2">
        <f t="shared" si="106"/>
        <v>6.48</v>
      </c>
      <c r="P208" s="2">
        <f t="shared" si="106"/>
        <v>896.4</v>
      </c>
      <c r="Q208" s="2">
        <f t="shared" si="106"/>
        <v>89.64</v>
      </c>
      <c r="R208" s="2">
        <f t="shared" si="106"/>
        <v>24</v>
      </c>
      <c r="S208" s="2">
        <f t="shared" si="106"/>
        <v>2.4000000000000004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>
        <v>50525001</v>
      </c>
      <c r="Z208" s="14" t="s">
        <v>1302</v>
      </c>
      <c r="AA208" s="14" t="s">
        <v>890</v>
      </c>
      <c r="AB208">
        <v>5072500</v>
      </c>
      <c r="AC208" s="2">
        <v>31</v>
      </c>
      <c r="AD208" s="2"/>
      <c r="AE208" s="2"/>
      <c r="AF208">
        <v>1</v>
      </c>
      <c r="AG208" s="1">
        <f t="shared" si="109"/>
        <v>445.14543445391661</v>
      </c>
      <c r="AH208">
        <v>6</v>
      </c>
      <c r="AI208">
        <f t="shared" si="100"/>
        <v>64.8</v>
      </c>
      <c r="AJ208">
        <f t="shared" si="101"/>
        <v>6.48</v>
      </c>
      <c r="AK208">
        <f t="shared" si="102"/>
        <v>896.4</v>
      </c>
      <c r="AL208">
        <f t="shared" si="103"/>
        <v>89.64</v>
      </c>
      <c r="AM208">
        <f t="shared" ref="AM208:AM271" si="119">INDEX($AY$5:$AY$34,MATCH($AR208,$AU$5:$AU$34,0))*$BC$4</f>
        <v>24</v>
      </c>
      <c r="AN208">
        <f t="shared" ref="AN208:AN271" si="120">(INDEX($AY$5:$AY$34,MATCH($AR208,$AU$5:$AU$34,0))*$BC$4)*0.1</f>
        <v>2.4000000000000004</v>
      </c>
      <c r="AO208">
        <f t="shared" si="110"/>
        <v>1.5</v>
      </c>
      <c r="AP208">
        <f t="shared" si="111"/>
        <v>1.5</v>
      </c>
      <c r="AQ208">
        <f t="shared" si="112"/>
        <v>5</v>
      </c>
      <c r="AR208">
        <v>500</v>
      </c>
      <c r="AS208" s="1" t="str">
        <f t="shared" si="104"/>
        <v>0</v>
      </c>
      <c r="AT208">
        <v>5</v>
      </c>
      <c r="BP208" t="s">
        <v>956</v>
      </c>
      <c r="BQ208" t="str">
        <f t="shared" si="113"/>
        <v>0</v>
      </c>
      <c r="BT208">
        <v>17</v>
      </c>
      <c r="BU208" t="str">
        <f t="shared" si="116"/>
        <v>561017,562017,563017</v>
      </c>
      <c r="BV208">
        <f t="shared" si="114"/>
        <v>561017</v>
      </c>
      <c r="BW208">
        <f t="shared" si="115"/>
        <v>562017</v>
      </c>
      <c r="BX208">
        <f t="shared" si="117"/>
        <v>563017</v>
      </c>
      <c r="CF208" t="str">
        <f t="shared" ref="CF208:CF271" si="121">INDEX($CC$16:$CC$75,MATCH($CG208,$CD$16:$CD$75,0))</f>
        <v>DATA_Class_Base52</v>
      </c>
      <c r="CG208" s="39" t="s">
        <v>184</v>
      </c>
    </row>
    <row r="209" spans="1:85" ht="27">
      <c r="A209">
        <f t="shared" ref="A209:A272" si="122">AT209*1000000+C209*10000+E209*1000+AR209</f>
        <v>5062502</v>
      </c>
      <c r="B209" s="39" t="s">
        <v>1063</v>
      </c>
      <c r="C209">
        <v>6</v>
      </c>
      <c r="D209">
        <v>5</v>
      </c>
      <c r="E209">
        <v>2</v>
      </c>
      <c r="F209" t="s">
        <v>1303</v>
      </c>
      <c r="G209" t="str">
        <f t="shared" si="105"/>
        <v>游侠2_56_2</v>
      </c>
      <c r="H209">
        <v>0</v>
      </c>
      <c r="I209" s="2" t="s">
        <v>291</v>
      </c>
      <c r="J209" s="2">
        <f t="shared" si="118"/>
        <v>6</v>
      </c>
      <c r="K209" s="2">
        <f t="shared" si="108"/>
        <v>1.02</v>
      </c>
      <c r="L209" s="2">
        <f t="shared" si="107"/>
        <v>1.47</v>
      </c>
      <c r="M209" s="2">
        <v>10</v>
      </c>
      <c r="N209" s="2">
        <f t="shared" si="106"/>
        <v>60.47999999999999</v>
      </c>
      <c r="O209" s="2">
        <f t="shared" si="106"/>
        <v>6.0479999999999992</v>
      </c>
      <c r="P209" s="2">
        <f t="shared" si="106"/>
        <v>896.4</v>
      </c>
      <c r="Q209" s="2">
        <f t="shared" ref="Q209:S272" si="123">AL209</f>
        <v>89.64</v>
      </c>
      <c r="R209" s="2">
        <f t="shared" si="123"/>
        <v>24</v>
      </c>
      <c r="S209" s="2">
        <f t="shared" si="123"/>
        <v>2.4000000000000004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>
        <v>50525021</v>
      </c>
      <c r="Z209" s="14" t="s">
        <v>1304</v>
      </c>
      <c r="AA209" s="14" t="s">
        <v>890</v>
      </c>
      <c r="AB209">
        <v>5072502</v>
      </c>
      <c r="AC209" s="2">
        <v>31</v>
      </c>
      <c r="AD209" s="2"/>
      <c r="AE209" s="2"/>
      <c r="AF209">
        <v>1</v>
      </c>
      <c r="AG209" s="1">
        <f t="shared" si="109"/>
        <v>445.14543445391661</v>
      </c>
      <c r="AH209">
        <v>6</v>
      </c>
      <c r="AI209">
        <f t="shared" ref="AI209:AI272" si="124">INDEX($AW$5:$AW$34,MATCH($AR209,$AU$5:$AU$34,0))*$AO209/1.5*$BA$4*INDEX($AW$77:$BJ$77,MATCH($AH209,$AW$76:$BJ$76,0))</f>
        <v>60.47999999999999</v>
      </c>
      <c r="AJ209">
        <f t="shared" ref="AJ209:AJ272" si="125">(INDEX($AW$5:$AW$34,MATCH($AR209,$AU$5:$AU$34,0))*$AO209/1.5*$BA$4*INDEX($AW$77:$BJ$77,MATCH($AH209,$AW$76:$BJ$76,0)))*0.1</f>
        <v>6.0479999999999992</v>
      </c>
      <c r="AK209">
        <f t="shared" ref="AK209:AK272" si="126">INDEX($AX$5:$AX$34,MATCH($AR209,$AU$5:$AU$34,0))*$BB$4*INDEX($AW$77:$BJ$77,MATCH($AH209,$AW$76:$BJ$76,0))</f>
        <v>896.4</v>
      </c>
      <c r="AL209">
        <f t="shared" ref="AL209:AL272" si="127">(INDEX($AX$5:$AX$34,MATCH($AR209,$AU$5:$AU$34,0))*$BB$4*INDEX($AW$77:$BJ$77,MATCH($AH209,$AW$76:$BJ$76,0)))*0.1</f>
        <v>89.64</v>
      </c>
      <c r="AM209">
        <f t="shared" si="119"/>
        <v>24</v>
      </c>
      <c r="AN209">
        <f t="shared" si="120"/>
        <v>2.4000000000000004</v>
      </c>
      <c r="AO209">
        <f t="shared" si="110"/>
        <v>1.4</v>
      </c>
      <c r="AP209">
        <f t="shared" si="111"/>
        <v>2</v>
      </c>
      <c r="AQ209">
        <f t="shared" si="112"/>
        <v>6</v>
      </c>
      <c r="AR209">
        <v>502</v>
      </c>
      <c r="AS209" s="1" t="str">
        <f t="shared" si="104"/>
        <v>2</v>
      </c>
      <c r="AT209">
        <v>5</v>
      </c>
      <c r="BP209" t="s">
        <v>974</v>
      </c>
      <c r="BQ209" t="str">
        <f t="shared" si="113"/>
        <v>2</v>
      </c>
      <c r="BT209">
        <v>18</v>
      </c>
      <c r="BU209" t="str">
        <f t="shared" si="116"/>
        <v>561018,562018,563018</v>
      </c>
      <c r="BV209">
        <f t="shared" si="114"/>
        <v>561018</v>
      </c>
      <c r="BW209">
        <f t="shared" si="115"/>
        <v>562018</v>
      </c>
      <c r="BX209">
        <f t="shared" si="117"/>
        <v>563018</v>
      </c>
      <c r="CF209" t="str">
        <f t="shared" si="121"/>
        <v>DATA_Class_Base59</v>
      </c>
      <c r="CG209" s="39" t="s">
        <v>195</v>
      </c>
    </row>
    <row r="210" spans="1:85" ht="27">
      <c r="A210">
        <f t="shared" si="122"/>
        <v>5062600</v>
      </c>
      <c r="B210" s="39" t="s">
        <v>1047</v>
      </c>
      <c r="C210">
        <v>6</v>
      </c>
      <c r="D210">
        <v>6</v>
      </c>
      <c r="E210">
        <v>2</v>
      </c>
      <c r="F210" t="s">
        <v>1305</v>
      </c>
      <c r="G210" t="str">
        <f t="shared" si="105"/>
        <v>牧师0_56_2</v>
      </c>
      <c r="H210">
        <v>0</v>
      </c>
      <c r="I210" s="2" t="s">
        <v>339</v>
      </c>
      <c r="J210" s="2">
        <f t="shared" si="118"/>
        <v>4</v>
      </c>
      <c r="K210" s="2">
        <f t="shared" si="108"/>
        <v>1.02</v>
      </c>
      <c r="L210" s="2">
        <f t="shared" si="107"/>
        <v>1.3900000000000001</v>
      </c>
      <c r="M210" s="2">
        <v>10</v>
      </c>
      <c r="N210" s="2">
        <f t="shared" ref="N210:S273" si="128">AI210</f>
        <v>50.399999999999991</v>
      </c>
      <c r="O210" s="2">
        <f t="shared" si="128"/>
        <v>5.0399999999999991</v>
      </c>
      <c r="P210" s="2">
        <f t="shared" si="128"/>
        <v>1080</v>
      </c>
      <c r="Q210" s="2">
        <f t="shared" si="123"/>
        <v>108</v>
      </c>
      <c r="R210" s="2">
        <f t="shared" si="123"/>
        <v>30</v>
      </c>
      <c r="S210" s="2">
        <f t="shared" si="123"/>
        <v>3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>
        <v>50526001</v>
      </c>
      <c r="Z210" s="14" t="s">
        <v>1306</v>
      </c>
      <c r="AA210" s="14" t="s">
        <v>890</v>
      </c>
      <c r="AB210">
        <v>5072600</v>
      </c>
      <c r="AC210" s="2">
        <v>31</v>
      </c>
      <c r="AD210" s="2"/>
      <c r="AE210" s="2"/>
      <c r="AF210">
        <v>1</v>
      </c>
      <c r="AG210" s="1">
        <f t="shared" si="109"/>
        <v>447.52703845379511</v>
      </c>
      <c r="AH210">
        <v>6</v>
      </c>
      <c r="AI210">
        <f t="shared" si="124"/>
        <v>50.399999999999991</v>
      </c>
      <c r="AJ210">
        <f t="shared" si="125"/>
        <v>5.0399999999999991</v>
      </c>
      <c r="AK210">
        <f t="shared" si="126"/>
        <v>1080</v>
      </c>
      <c r="AL210">
        <f t="shared" si="127"/>
        <v>108</v>
      </c>
      <c r="AM210">
        <f t="shared" si="119"/>
        <v>30</v>
      </c>
      <c r="AN210">
        <f t="shared" si="120"/>
        <v>3</v>
      </c>
      <c r="AO210">
        <f t="shared" si="110"/>
        <v>1.4</v>
      </c>
      <c r="AP210">
        <f t="shared" si="111"/>
        <v>1.9</v>
      </c>
      <c r="AQ210">
        <f t="shared" si="112"/>
        <v>4</v>
      </c>
      <c r="AR210">
        <v>600</v>
      </c>
      <c r="AS210" s="1" t="str">
        <f t="shared" si="104"/>
        <v>0</v>
      </c>
      <c r="AT210">
        <v>5</v>
      </c>
      <c r="BP210" t="s">
        <v>990</v>
      </c>
      <c r="BQ210" t="str">
        <f t="shared" si="113"/>
        <v>0</v>
      </c>
      <c r="BT210">
        <v>19</v>
      </c>
      <c r="BU210" t="str">
        <f t="shared" si="116"/>
        <v>561019,562019,563019</v>
      </c>
      <c r="BV210">
        <f t="shared" si="114"/>
        <v>561019</v>
      </c>
      <c r="BW210">
        <f t="shared" si="115"/>
        <v>562019</v>
      </c>
      <c r="BX210">
        <f t="shared" si="117"/>
        <v>563019</v>
      </c>
      <c r="CF210" t="str">
        <f t="shared" si="121"/>
        <v>DATA_Class_Base54</v>
      </c>
      <c r="CG210" s="39" t="s">
        <v>198</v>
      </c>
    </row>
    <row r="211" spans="1:85" ht="27">
      <c r="A211">
        <f t="shared" si="122"/>
        <v>5062602</v>
      </c>
      <c r="B211" s="39" t="s">
        <v>1066</v>
      </c>
      <c r="C211">
        <v>6</v>
      </c>
      <c r="D211">
        <v>6</v>
      </c>
      <c r="E211">
        <v>2</v>
      </c>
      <c r="F211" t="s">
        <v>1307</v>
      </c>
      <c r="G211" t="str">
        <f t="shared" si="105"/>
        <v>牧师2_56_2</v>
      </c>
      <c r="H211" t="s">
        <v>345</v>
      </c>
      <c r="I211" s="2" t="s">
        <v>346</v>
      </c>
      <c r="J211" s="2">
        <f t="shared" si="118"/>
        <v>6</v>
      </c>
      <c r="K211" s="2">
        <f t="shared" si="108"/>
        <v>1.32</v>
      </c>
      <c r="L211" s="2">
        <f t="shared" si="107"/>
        <v>1.47</v>
      </c>
      <c r="M211" s="2">
        <v>10</v>
      </c>
      <c r="N211" s="2">
        <f t="shared" si="128"/>
        <v>64.8</v>
      </c>
      <c r="O211" s="2">
        <f t="shared" si="128"/>
        <v>6.48</v>
      </c>
      <c r="P211" s="2">
        <f t="shared" si="128"/>
        <v>1080</v>
      </c>
      <c r="Q211" s="2">
        <f t="shared" si="123"/>
        <v>108</v>
      </c>
      <c r="R211" s="2">
        <f t="shared" si="123"/>
        <v>30</v>
      </c>
      <c r="S211" s="2">
        <f t="shared" si="123"/>
        <v>3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>
        <v>50526021</v>
      </c>
      <c r="Z211" s="14" t="s">
        <v>1308</v>
      </c>
      <c r="AA211" s="14" t="s">
        <v>890</v>
      </c>
      <c r="AB211">
        <v>5072602</v>
      </c>
      <c r="AC211" s="2">
        <v>31</v>
      </c>
      <c r="AD211" s="2"/>
      <c r="AE211" s="2"/>
      <c r="AF211">
        <v>1</v>
      </c>
      <c r="AG211" s="1">
        <f t="shared" si="109"/>
        <v>447.52703845379511</v>
      </c>
      <c r="AH211">
        <v>6</v>
      </c>
      <c r="AI211">
        <f t="shared" si="124"/>
        <v>64.8</v>
      </c>
      <c r="AJ211">
        <f t="shared" si="125"/>
        <v>6.48</v>
      </c>
      <c r="AK211">
        <f t="shared" si="126"/>
        <v>1080</v>
      </c>
      <c r="AL211">
        <f t="shared" si="127"/>
        <v>108</v>
      </c>
      <c r="AM211">
        <f t="shared" si="119"/>
        <v>30</v>
      </c>
      <c r="AN211">
        <f t="shared" si="120"/>
        <v>3</v>
      </c>
      <c r="AO211">
        <f t="shared" si="110"/>
        <v>1.8</v>
      </c>
      <c r="AP211">
        <f t="shared" si="111"/>
        <v>2</v>
      </c>
      <c r="AQ211">
        <f t="shared" si="112"/>
        <v>6</v>
      </c>
      <c r="AR211">
        <v>602</v>
      </c>
      <c r="AS211" s="1" t="str">
        <f t="shared" si="104"/>
        <v>2</v>
      </c>
      <c r="AT211">
        <v>5</v>
      </c>
      <c r="BP211" t="s">
        <v>978</v>
      </c>
      <c r="BQ211" t="str">
        <f t="shared" si="113"/>
        <v>2</v>
      </c>
      <c r="BT211">
        <v>20</v>
      </c>
      <c r="BU211" t="str">
        <f t="shared" si="116"/>
        <v>561020,562020,563020</v>
      </c>
      <c r="BV211">
        <f t="shared" si="114"/>
        <v>561020</v>
      </c>
      <c r="BW211">
        <f t="shared" si="115"/>
        <v>562020</v>
      </c>
      <c r="BX211">
        <f t="shared" si="117"/>
        <v>563020</v>
      </c>
      <c r="CF211" t="str">
        <f t="shared" si="121"/>
        <v>DATA_Class_Base60</v>
      </c>
      <c r="CG211" s="39" t="s">
        <v>407</v>
      </c>
    </row>
    <row r="212" spans="1:85">
      <c r="A212">
        <f t="shared" si="122"/>
        <v>5063200</v>
      </c>
      <c r="B212" s="38" t="s">
        <v>1021</v>
      </c>
      <c r="C212">
        <v>6</v>
      </c>
      <c r="D212">
        <v>2</v>
      </c>
      <c r="E212">
        <v>3</v>
      </c>
      <c r="F212" t="s">
        <v>1309</v>
      </c>
      <c r="G212" t="str">
        <f t="shared" si="105"/>
        <v>战士0_56_3</v>
      </c>
      <c r="H212">
        <v>0</v>
      </c>
      <c r="I212" s="2" t="s">
        <v>314</v>
      </c>
      <c r="J212" s="2">
        <f t="shared" si="118"/>
        <v>2.5</v>
      </c>
      <c r="K212" s="2">
        <f t="shared" si="108"/>
        <v>1.1000000000000001</v>
      </c>
      <c r="L212" s="2">
        <f t="shared" si="107"/>
        <v>0.88</v>
      </c>
      <c r="M212" s="2">
        <v>10</v>
      </c>
      <c r="N212" s="2">
        <f t="shared" si="128"/>
        <v>43.20000000000001</v>
      </c>
      <c r="O212" s="2">
        <f t="shared" si="128"/>
        <v>4.3200000000000012</v>
      </c>
      <c r="P212" s="2">
        <f t="shared" si="128"/>
        <v>1350</v>
      </c>
      <c r="Q212" s="2">
        <f t="shared" si="123"/>
        <v>135</v>
      </c>
      <c r="R212" s="2">
        <f t="shared" si="123"/>
        <v>36</v>
      </c>
      <c r="S212" s="2">
        <f t="shared" si="123"/>
        <v>3.6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>
        <v>50532001</v>
      </c>
      <c r="Z212" s="14" t="s">
        <v>1310</v>
      </c>
      <c r="AA212" s="14" t="s">
        <v>890</v>
      </c>
      <c r="AB212">
        <v>5073200</v>
      </c>
      <c r="AC212" s="2">
        <v>31</v>
      </c>
      <c r="AD212" s="2"/>
      <c r="AE212" s="2"/>
      <c r="AF212">
        <v>1</v>
      </c>
      <c r="AG212" s="1">
        <f t="shared" si="109"/>
        <v>448.12249012176449</v>
      </c>
      <c r="AH212">
        <v>6</v>
      </c>
      <c r="AI212">
        <f t="shared" si="124"/>
        <v>43.20000000000001</v>
      </c>
      <c r="AJ212">
        <f t="shared" si="125"/>
        <v>4.3200000000000012</v>
      </c>
      <c r="AK212">
        <f t="shared" si="126"/>
        <v>1350</v>
      </c>
      <c r="AL212">
        <f t="shared" si="127"/>
        <v>135</v>
      </c>
      <c r="AM212">
        <f t="shared" si="119"/>
        <v>36</v>
      </c>
      <c r="AN212">
        <f t="shared" si="120"/>
        <v>3.6</v>
      </c>
      <c r="AO212">
        <f t="shared" si="110"/>
        <v>1.5</v>
      </c>
      <c r="AP212">
        <f t="shared" si="111"/>
        <v>1.2</v>
      </c>
      <c r="AQ212">
        <f t="shared" si="112"/>
        <v>2.5</v>
      </c>
      <c r="AR212">
        <v>200</v>
      </c>
      <c r="AS212" s="1" t="str">
        <f t="shared" si="104"/>
        <v>0</v>
      </c>
      <c r="AT212">
        <v>5</v>
      </c>
      <c r="BP212" t="s">
        <v>964</v>
      </c>
      <c r="BQ212" t="str">
        <f t="shared" si="113"/>
        <v>0</v>
      </c>
      <c r="BT212">
        <v>21</v>
      </c>
      <c r="BU212" t="str">
        <f t="shared" si="116"/>
        <v>561021,562021,563021</v>
      </c>
      <c r="BV212">
        <f t="shared" si="114"/>
        <v>561021</v>
      </c>
      <c r="BW212">
        <f t="shared" si="115"/>
        <v>562021</v>
      </c>
      <c r="BX212">
        <f t="shared" si="117"/>
        <v>563021</v>
      </c>
      <c r="CF212" t="str">
        <f t="shared" si="121"/>
        <v>DATA_Class_Base46</v>
      </c>
      <c r="CG212" s="38" t="s">
        <v>1022</v>
      </c>
    </row>
    <row r="213" spans="1:85" ht="27">
      <c r="A213">
        <f t="shared" si="122"/>
        <v>5063202</v>
      </c>
      <c r="B213" s="39" t="s">
        <v>1053</v>
      </c>
      <c r="C213">
        <v>6</v>
      </c>
      <c r="D213">
        <v>2</v>
      </c>
      <c r="E213">
        <v>3</v>
      </c>
      <c r="F213" s="2" t="s">
        <v>1311</v>
      </c>
      <c r="G213" t="str">
        <f t="shared" si="105"/>
        <v>战士2_56_3</v>
      </c>
      <c r="H213">
        <v>0</v>
      </c>
      <c r="I213" s="2" t="s">
        <v>280</v>
      </c>
      <c r="J213" s="2">
        <f t="shared" si="118"/>
        <v>2.5</v>
      </c>
      <c r="K213" s="2">
        <f t="shared" si="108"/>
        <v>1.32</v>
      </c>
      <c r="L213" s="2">
        <f t="shared" si="107"/>
        <v>1.47</v>
      </c>
      <c r="M213" s="2">
        <v>10</v>
      </c>
      <c r="N213" s="2">
        <f t="shared" si="128"/>
        <v>51.84</v>
      </c>
      <c r="O213" s="2">
        <f t="shared" si="128"/>
        <v>5.1840000000000011</v>
      </c>
      <c r="P213" s="2">
        <f t="shared" si="128"/>
        <v>1350</v>
      </c>
      <c r="Q213" s="2">
        <f t="shared" si="123"/>
        <v>135</v>
      </c>
      <c r="R213" s="2">
        <f t="shared" si="123"/>
        <v>36</v>
      </c>
      <c r="S213" s="2">
        <f t="shared" si="123"/>
        <v>3.6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>
        <v>50532021</v>
      </c>
      <c r="Z213" s="14" t="s">
        <v>1312</v>
      </c>
      <c r="AA213" s="14" t="s">
        <v>890</v>
      </c>
      <c r="AB213">
        <v>5073202</v>
      </c>
      <c r="AC213" s="2">
        <v>31</v>
      </c>
      <c r="AD213" s="2"/>
      <c r="AE213" s="2"/>
      <c r="AF213">
        <v>1</v>
      </c>
      <c r="AG213" s="1">
        <f t="shared" si="109"/>
        <v>448.12249012176443</v>
      </c>
      <c r="AH213">
        <v>6</v>
      </c>
      <c r="AI213">
        <f t="shared" si="124"/>
        <v>51.84</v>
      </c>
      <c r="AJ213">
        <f t="shared" si="125"/>
        <v>5.1840000000000011</v>
      </c>
      <c r="AK213">
        <f t="shared" si="126"/>
        <v>1350</v>
      </c>
      <c r="AL213">
        <f t="shared" si="127"/>
        <v>135</v>
      </c>
      <c r="AM213">
        <f t="shared" si="119"/>
        <v>36</v>
      </c>
      <c r="AN213">
        <f t="shared" si="120"/>
        <v>3.6</v>
      </c>
      <c r="AO213">
        <f t="shared" si="110"/>
        <v>1.8</v>
      </c>
      <c r="AP213">
        <f t="shared" si="111"/>
        <v>2</v>
      </c>
      <c r="AQ213">
        <f t="shared" si="112"/>
        <v>2.5</v>
      </c>
      <c r="AR213">
        <v>202</v>
      </c>
      <c r="AS213" s="1" t="str">
        <f t="shared" si="104"/>
        <v>2</v>
      </c>
      <c r="AT213">
        <v>5</v>
      </c>
      <c r="BP213" t="s">
        <v>981</v>
      </c>
      <c r="BQ213" t="str">
        <f t="shared" si="113"/>
        <v>2</v>
      </c>
      <c r="BT213">
        <v>22</v>
      </c>
      <c r="BU213" t="str">
        <f t="shared" si="116"/>
        <v>561022,562022,563022</v>
      </c>
      <c r="BV213">
        <f t="shared" si="114"/>
        <v>561022</v>
      </c>
      <c r="BW213">
        <f t="shared" si="115"/>
        <v>562022</v>
      </c>
      <c r="BX213">
        <f t="shared" si="117"/>
        <v>563022</v>
      </c>
      <c r="CF213" t="str">
        <f t="shared" si="121"/>
        <v>DATA_Class_Base56</v>
      </c>
      <c r="CG213" s="39" t="s">
        <v>381</v>
      </c>
    </row>
    <row r="214" spans="1:85" ht="27">
      <c r="A214">
        <f t="shared" si="122"/>
        <v>5063302</v>
      </c>
      <c r="B214" s="39" t="s">
        <v>1056</v>
      </c>
      <c r="C214">
        <v>6</v>
      </c>
      <c r="D214">
        <v>3</v>
      </c>
      <c r="E214">
        <v>3</v>
      </c>
      <c r="F214" t="s">
        <v>1313</v>
      </c>
      <c r="G214" t="str">
        <f t="shared" si="105"/>
        <v>刺客2_56_3</v>
      </c>
      <c r="H214" s="2">
        <v>0</v>
      </c>
      <c r="I214" s="2" t="s">
        <v>358</v>
      </c>
      <c r="J214" s="2">
        <f t="shared" si="118"/>
        <v>2.5</v>
      </c>
      <c r="K214" s="2">
        <f t="shared" si="108"/>
        <v>1.02</v>
      </c>
      <c r="L214" s="2">
        <f t="shared" si="107"/>
        <v>1.25</v>
      </c>
      <c r="M214" s="2">
        <v>10</v>
      </c>
      <c r="N214" s="2">
        <f t="shared" si="128"/>
        <v>45.36</v>
      </c>
      <c r="O214" s="2">
        <f t="shared" si="128"/>
        <v>4.5360000000000005</v>
      </c>
      <c r="P214" s="2">
        <f t="shared" si="128"/>
        <v>1198.8000000000002</v>
      </c>
      <c r="Q214" s="2">
        <f t="shared" si="123"/>
        <v>119.88000000000002</v>
      </c>
      <c r="R214" s="2">
        <f t="shared" si="123"/>
        <v>33</v>
      </c>
      <c r="S214" s="2">
        <f t="shared" si="123"/>
        <v>3.3000000000000003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>
        <v>50533021</v>
      </c>
      <c r="Z214" s="14" t="s">
        <v>1314</v>
      </c>
      <c r="AA214" s="14" t="s">
        <v>890</v>
      </c>
      <c r="AB214">
        <v>5073302</v>
      </c>
      <c r="AC214" s="2">
        <v>31</v>
      </c>
      <c r="AD214" s="2"/>
      <c r="AE214" s="2"/>
      <c r="AF214">
        <v>1</v>
      </c>
      <c r="AG214" s="1">
        <f t="shared" si="109"/>
        <v>447.3767417853619</v>
      </c>
      <c r="AH214">
        <v>6</v>
      </c>
      <c r="AI214">
        <f t="shared" si="124"/>
        <v>45.36</v>
      </c>
      <c r="AJ214">
        <f t="shared" si="125"/>
        <v>4.5360000000000005</v>
      </c>
      <c r="AK214">
        <f t="shared" si="126"/>
        <v>1198.8000000000002</v>
      </c>
      <c r="AL214">
        <f t="shared" si="127"/>
        <v>119.88000000000002</v>
      </c>
      <c r="AM214">
        <f t="shared" si="119"/>
        <v>33</v>
      </c>
      <c r="AN214">
        <f t="shared" si="120"/>
        <v>3.3000000000000003</v>
      </c>
      <c r="AO214">
        <f t="shared" si="110"/>
        <v>1.4</v>
      </c>
      <c r="AP214">
        <f t="shared" si="111"/>
        <v>1.7</v>
      </c>
      <c r="AQ214">
        <f t="shared" si="112"/>
        <v>2.5</v>
      </c>
      <c r="AR214">
        <v>302</v>
      </c>
      <c r="AS214" s="1" t="str">
        <f t="shared" si="104"/>
        <v>2</v>
      </c>
      <c r="AT214">
        <v>5</v>
      </c>
      <c r="BP214" t="s">
        <v>983</v>
      </c>
      <c r="BQ214" t="str">
        <f t="shared" si="113"/>
        <v>2</v>
      </c>
      <c r="BT214">
        <v>23</v>
      </c>
      <c r="BU214" t="str">
        <f t="shared" si="116"/>
        <v>561023,562023,563023</v>
      </c>
      <c r="BV214">
        <f t="shared" si="114"/>
        <v>561023</v>
      </c>
      <c r="BW214">
        <f t="shared" si="115"/>
        <v>562023</v>
      </c>
      <c r="BX214">
        <f t="shared" si="117"/>
        <v>563023</v>
      </c>
      <c r="CF214" t="str">
        <f t="shared" si="121"/>
        <v>DATA_Class_Base57</v>
      </c>
      <c r="CG214" s="39" t="s">
        <v>1057</v>
      </c>
    </row>
    <row r="215" spans="1:85" ht="27">
      <c r="A215">
        <f t="shared" si="122"/>
        <v>5063301</v>
      </c>
      <c r="B215" s="39" t="s">
        <v>1031</v>
      </c>
      <c r="C215">
        <v>6</v>
      </c>
      <c r="D215">
        <v>3</v>
      </c>
      <c r="E215">
        <v>3</v>
      </c>
      <c r="F215" t="s">
        <v>1315</v>
      </c>
      <c r="G215" t="str">
        <f t="shared" si="105"/>
        <v>刺客1_56_3</v>
      </c>
      <c r="H215" s="2">
        <v>0</v>
      </c>
      <c r="I215" s="2" t="s">
        <v>285</v>
      </c>
      <c r="J215" s="2">
        <f t="shared" si="118"/>
        <v>2.5</v>
      </c>
      <c r="K215" s="2">
        <f t="shared" si="108"/>
        <v>0.88</v>
      </c>
      <c r="L215" s="2">
        <f t="shared" si="107"/>
        <v>1.47</v>
      </c>
      <c r="M215" s="2">
        <v>10</v>
      </c>
      <c r="N215" s="2">
        <f t="shared" si="128"/>
        <v>38.880000000000003</v>
      </c>
      <c r="O215" s="2">
        <f t="shared" si="128"/>
        <v>3.8880000000000003</v>
      </c>
      <c r="P215" s="2">
        <f t="shared" si="128"/>
        <v>1198.8000000000002</v>
      </c>
      <c r="Q215" s="2">
        <f t="shared" si="123"/>
        <v>119.88000000000002</v>
      </c>
      <c r="R215" s="2">
        <f t="shared" si="123"/>
        <v>33</v>
      </c>
      <c r="S215" s="2">
        <f t="shared" si="123"/>
        <v>3.3000000000000003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>
        <v>50533011</v>
      </c>
      <c r="Z215" s="14" t="s">
        <v>1316</v>
      </c>
      <c r="AA215" s="14" t="s">
        <v>890</v>
      </c>
      <c r="AB215">
        <v>5073301</v>
      </c>
      <c r="AC215" s="2">
        <v>31</v>
      </c>
      <c r="AD215" s="2"/>
      <c r="AE215" s="2"/>
      <c r="AF215">
        <v>1</v>
      </c>
      <c r="AG215" s="1">
        <f t="shared" si="109"/>
        <v>447.3767417853619</v>
      </c>
      <c r="AH215">
        <v>6</v>
      </c>
      <c r="AI215">
        <f t="shared" si="124"/>
        <v>38.880000000000003</v>
      </c>
      <c r="AJ215">
        <f t="shared" si="125"/>
        <v>3.8880000000000003</v>
      </c>
      <c r="AK215">
        <f t="shared" si="126"/>
        <v>1198.8000000000002</v>
      </c>
      <c r="AL215">
        <f t="shared" si="127"/>
        <v>119.88000000000002</v>
      </c>
      <c r="AM215">
        <f t="shared" si="119"/>
        <v>33</v>
      </c>
      <c r="AN215">
        <f t="shared" si="120"/>
        <v>3.3000000000000003</v>
      </c>
      <c r="AO215">
        <f t="shared" si="110"/>
        <v>1.2</v>
      </c>
      <c r="AP215">
        <f t="shared" si="111"/>
        <v>2</v>
      </c>
      <c r="AQ215">
        <f t="shared" si="112"/>
        <v>2.5</v>
      </c>
      <c r="AR215">
        <v>301</v>
      </c>
      <c r="AS215" s="1" t="str">
        <f t="shared" si="104"/>
        <v>1</v>
      </c>
      <c r="AT215">
        <v>5</v>
      </c>
      <c r="BP215" t="s">
        <v>923</v>
      </c>
      <c r="BQ215" t="str">
        <f t="shared" si="113"/>
        <v>1</v>
      </c>
      <c r="BT215">
        <v>24</v>
      </c>
      <c r="BU215" t="str">
        <f t="shared" si="116"/>
        <v>561024,562024,563024</v>
      </c>
      <c r="BV215">
        <f t="shared" si="114"/>
        <v>561024</v>
      </c>
      <c r="BW215">
        <f t="shared" si="115"/>
        <v>562024</v>
      </c>
      <c r="BX215">
        <f t="shared" si="117"/>
        <v>563024</v>
      </c>
      <c r="CF215" t="str">
        <f t="shared" si="121"/>
        <v>DATA_Class_Base49</v>
      </c>
      <c r="CG215" s="39" t="s">
        <v>384</v>
      </c>
    </row>
    <row r="216" spans="1:85" ht="27">
      <c r="A216">
        <f t="shared" si="122"/>
        <v>5063400</v>
      </c>
      <c r="B216" s="39" t="s">
        <v>1060</v>
      </c>
      <c r="C216">
        <v>6</v>
      </c>
      <c r="D216">
        <v>4</v>
      </c>
      <c r="E216">
        <v>3</v>
      </c>
      <c r="F216" t="s">
        <v>1317</v>
      </c>
      <c r="G216" t="str">
        <f t="shared" si="105"/>
        <v>法师0_56_3</v>
      </c>
      <c r="H216">
        <v>0</v>
      </c>
      <c r="I216" s="2" t="s">
        <v>364</v>
      </c>
      <c r="J216" s="2">
        <f t="shared" si="118"/>
        <v>5</v>
      </c>
      <c r="K216" s="2">
        <f t="shared" si="108"/>
        <v>1.02</v>
      </c>
      <c r="L216" s="2">
        <f t="shared" si="107"/>
        <v>1.02</v>
      </c>
      <c r="M216" s="2">
        <v>10</v>
      </c>
      <c r="N216" s="2">
        <f t="shared" si="128"/>
        <v>55.44</v>
      </c>
      <c r="O216" s="2">
        <f t="shared" si="128"/>
        <v>5.5440000000000005</v>
      </c>
      <c r="P216" s="2">
        <f t="shared" si="128"/>
        <v>982.80000000000007</v>
      </c>
      <c r="Q216" s="2">
        <f t="shared" si="123"/>
        <v>98.280000000000015</v>
      </c>
      <c r="R216" s="2">
        <f t="shared" si="123"/>
        <v>27</v>
      </c>
      <c r="S216" s="2">
        <f t="shared" si="123"/>
        <v>2.7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>
        <v>50534001</v>
      </c>
      <c r="Z216" s="14" t="s">
        <v>1318</v>
      </c>
      <c r="AA216" s="14" t="s">
        <v>890</v>
      </c>
      <c r="AB216">
        <v>5073400</v>
      </c>
      <c r="AC216" s="2">
        <v>31</v>
      </c>
      <c r="AD216" s="2"/>
      <c r="AE216" s="2"/>
      <c r="AF216">
        <v>1</v>
      </c>
      <c r="AG216" s="1">
        <f t="shared" si="109"/>
        <v>447.67713554513824</v>
      </c>
      <c r="AH216">
        <v>6</v>
      </c>
      <c r="AI216">
        <f t="shared" si="124"/>
        <v>55.44</v>
      </c>
      <c r="AJ216">
        <f t="shared" si="125"/>
        <v>5.5440000000000005</v>
      </c>
      <c r="AK216">
        <f t="shared" si="126"/>
        <v>982.80000000000007</v>
      </c>
      <c r="AL216">
        <f t="shared" si="127"/>
        <v>98.280000000000015</v>
      </c>
      <c r="AM216">
        <f t="shared" si="119"/>
        <v>27</v>
      </c>
      <c r="AN216">
        <f t="shared" si="120"/>
        <v>2.7</v>
      </c>
      <c r="AO216">
        <f t="shared" si="110"/>
        <v>1.4</v>
      </c>
      <c r="AP216">
        <f t="shared" si="111"/>
        <v>1.4</v>
      </c>
      <c r="AQ216">
        <f t="shared" si="112"/>
        <v>5</v>
      </c>
      <c r="AR216">
        <v>400</v>
      </c>
      <c r="AS216" s="1" t="str">
        <f t="shared" si="104"/>
        <v>0</v>
      </c>
      <c r="AT216">
        <v>5</v>
      </c>
      <c r="BP216" t="s">
        <v>986</v>
      </c>
      <c r="BQ216" t="str">
        <f t="shared" si="113"/>
        <v>0</v>
      </c>
      <c r="BT216">
        <v>25</v>
      </c>
      <c r="BU216" t="str">
        <f t="shared" si="116"/>
        <v>561025,562025,563025</v>
      </c>
      <c r="BV216">
        <f t="shared" si="114"/>
        <v>561025</v>
      </c>
      <c r="BW216">
        <f t="shared" si="115"/>
        <v>562025</v>
      </c>
      <c r="BX216">
        <f t="shared" si="117"/>
        <v>563025</v>
      </c>
      <c r="CF216" t="str">
        <f t="shared" si="121"/>
        <v>DATA_Class_Base58</v>
      </c>
      <c r="CG216" s="39" t="s">
        <v>174</v>
      </c>
    </row>
    <row r="217" spans="1:85" ht="14.25" customHeight="1">
      <c r="A217">
        <f t="shared" si="122"/>
        <v>5063401</v>
      </c>
      <c r="B217" s="39" t="s">
        <v>1034</v>
      </c>
      <c r="C217">
        <v>6</v>
      </c>
      <c r="D217">
        <v>4</v>
      </c>
      <c r="E217">
        <v>3</v>
      </c>
      <c r="F217" t="s">
        <v>1319</v>
      </c>
      <c r="G217" t="str">
        <f t="shared" si="105"/>
        <v>法师1_56_3</v>
      </c>
      <c r="H217">
        <v>0</v>
      </c>
      <c r="I217" s="2" t="s">
        <v>161</v>
      </c>
      <c r="J217" s="2">
        <f t="shared" si="118"/>
        <v>6</v>
      </c>
      <c r="K217" s="2">
        <f t="shared" si="108"/>
        <v>1.17</v>
      </c>
      <c r="L217" s="2">
        <f t="shared" si="107"/>
        <v>1.47</v>
      </c>
      <c r="M217" s="2">
        <v>10</v>
      </c>
      <c r="N217" s="2">
        <f t="shared" si="128"/>
        <v>63.360000000000021</v>
      </c>
      <c r="O217" s="2">
        <f t="shared" si="128"/>
        <v>6.3360000000000021</v>
      </c>
      <c r="P217" s="2">
        <f t="shared" si="128"/>
        <v>982.80000000000007</v>
      </c>
      <c r="Q217" s="2">
        <f t="shared" si="123"/>
        <v>98.280000000000015</v>
      </c>
      <c r="R217" s="2">
        <f t="shared" si="123"/>
        <v>27</v>
      </c>
      <c r="S217" s="2">
        <f t="shared" si="123"/>
        <v>2.7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>
        <v>50534011</v>
      </c>
      <c r="Z217" s="14" t="s">
        <v>1320</v>
      </c>
      <c r="AA217" s="14" t="s">
        <v>890</v>
      </c>
      <c r="AB217">
        <v>5073401</v>
      </c>
      <c r="AC217" s="2">
        <v>31</v>
      </c>
      <c r="AD217" s="2"/>
      <c r="AE217" s="2"/>
      <c r="AF217">
        <v>1</v>
      </c>
      <c r="AG217" s="1">
        <f t="shared" si="109"/>
        <v>447.6771355451383</v>
      </c>
      <c r="AH217">
        <v>6</v>
      </c>
      <c r="AI217">
        <f t="shared" si="124"/>
        <v>63.360000000000021</v>
      </c>
      <c r="AJ217">
        <f t="shared" si="125"/>
        <v>6.3360000000000021</v>
      </c>
      <c r="AK217">
        <f t="shared" si="126"/>
        <v>982.80000000000007</v>
      </c>
      <c r="AL217">
        <f t="shared" si="127"/>
        <v>98.280000000000015</v>
      </c>
      <c r="AM217">
        <f t="shared" si="119"/>
        <v>27</v>
      </c>
      <c r="AN217">
        <f t="shared" si="120"/>
        <v>2.7</v>
      </c>
      <c r="AO217">
        <f t="shared" si="110"/>
        <v>1.6</v>
      </c>
      <c r="AP217">
        <f t="shared" si="111"/>
        <v>2</v>
      </c>
      <c r="AQ217">
        <f t="shared" si="112"/>
        <v>6</v>
      </c>
      <c r="AR217">
        <v>401</v>
      </c>
      <c r="AS217" s="1" t="str">
        <f t="shared" si="104"/>
        <v>1</v>
      </c>
      <c r="AT217">
        <v>5</v>
      </c>
      <c r="BP217" t="s">
        <v>953</v>
      </c>
      <c r="BQ217" t="str">
        <f t="shared" si="113"/>
        <v>1</v>
      </c>
      <c r="BT217">
        <v>26</v>
      </c>
      <c r="BU217" t="str">
        <f t="shared" si="116"/>
        <v>561026,562026,563026</v>
      </c>
      <c r="BV217">
        <f t="shared" si="114"/>
        <v>561026</v>
      </c>
      <c r="BW217">
        <f t="shared" si="115"/>
        <v>562026</v>
      </c>
      <c r="BX217">
        <f t="shared" si="117"/>
        <v>563026</v>
      </c>
      <c r="CF217" t="str">
        <f t="shared" si="121"/>
        <v>DATA_Class_Base50</v>
      </c>
      <c r="CG217" s="39" t="s">
        <v>176</v>
      </c>
    </row>
    <row r="218" spans="1:85" ht="27">
      <c r="A218">
        <f t="shared" si="122"/>
        <v>5063501</v>
      </c>
      <c r="B218" s="39" t="s">
        <v>1044</v>
      </c>
      <c r="C218">
        <v>6</v>
      </c>
      <c r="D218">
        <v>5</v>
      </c>
      <c r="E218">
        <v>3</v>
      </c>
      <c r="F218" t="s">
        <v>1321</v>
      </c>
      <c r="G218" t="str">
        <f t="shared" si="105"/>
        <v>游侠1_56_3</v>
      </c>
      <c r="H218" s="2">
        <v>0</v>
      </c>
      <c r="I218" s="2" t="s">
        <v>334</v>
      </c>
      <c r="J218" s="2">
        <f t="shared" si="118"/>
        <v>6</v>
      </c>
      <c r="K218" s="2">
        <f t="shared" si="108"/>
        <v>1.17</v>
      </c>
      <c r="L218" s="2">
        <f t="shared" si="107"/>
        <v>1.47</v>
      </c>
      <c r="M218" s="2">
        <v>10</v>
      </c>
      <c r="N218" s="2">
        <f t="shared" si="128"/>
        <v>69.12</v>
      </c>
      <c r="O218" s="2">
        <f t="shared" si="128"/>
        <v>6.9120000000000008</v>
      </c>
      <c r="P218" s="2">
        <f t="shared" si="128"/>
        <v>896.4</v>
      </c>
      <c r="Q218" s="2">
        <f t="shared" si="123"/>
        <v>89.64</v>
      </c>
      <c r="R218" s="2">
        <f t="shared" si="123"/>
        <v>24</v>
      </c>
      <c r="S218" s="2">
        <f t="shared" si="123"/>
        <v>2.4000000000000004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>
        <v>50535011</v>
      </c>
      <c r="Z218" s="14" t="s">
        <v>1322</v>
      </c>
      <c r="AA218" s="14" t="s">
        <v>890</v>
      </c>
      <c r="AB218">
        <v>5073501</v>
      </c>
      <c r="AC218" s="2">
        <v>31</v>
      </c>
      <c r="AD218" s="2"/>
      <c r="AE218" s="2"/>
      <c r="AF218">
        <v>1</v>
      </c>
      <c r="AG218" s="1">
        <f t="shared" si="109"/>
        <v>445.14543445391661</v>
      </c>
      <c r="AH218">
        <v>6</v>
      </c>
      <c r="AI218">
        <f t="shared" si="124"/>
        <v>69.12</v>
      </c>
      <c r="AJ218">
        <f t="shared" si="125"/>
        <v>6.9120000000000008</v>
      </c>
      <c r="AK218">
        <f t="shared" si="126"/>
        <v>896.4</v>
      </c>
      <c r="AL218">
        <f t="shared" si="127"/>
        <v>89.64</v>
      </c>
      <c r="AM218">
        <f t="shared" si="119"/>
        <v>24</v>
      </c>
      <c r="AN218">
        <f t="shared" si="120"/>
        <v>2.4000000000000004</v>
      </c>
      <c r="AO218">
        <f t="shared" si="110"/>
        <v>1.6</v>
      </c>
      <c r="AP218">
        <f t="shared" si="111"/>
        <v>2</v>
      </c>
      <c r="AQ218">
        <f t="shared" si="112"/>
        <v>6</v>
      </c>
      <c r="AR218">
        <v>501</v>
      </c>
      <c r="AS218" s="1" t="str">
        <f t="shared" si="104"/>
        <v>1</v>
      </c>
      <c r="AT218">
        <v>5</v>
      </c>
      <c r="BP218" t="s">
        <v>945</v>
      </c>
      <c r="BQ218" t="str">
        <f t="shared" si="113"/>
        <v>1</v>
      </c>
      <c r="BT218">
        <v>27</v>
      </c>
      <c r="BU218" t="str">
        <f t="shared" si="116"/>
        <v>561027,562027,563027</v>
      </c>
      <c r="BV218">
        <f t="shared" si="114"/>
        <v>561027</v>
      </c>
      <c r="BW218">
        <f t="shared" si="115"/>
        <v>562027</v>
      </c>
      <c r="BX218">
        <f t="shared" si="117"/>
        <v>563027</v>
      </c>
      <c r="CF218" t="str">
        <f t="shared" si="121"/>
        <v>DATA_Class_Base53</v>
      </c>
      <c r="CG218" s="39" t="s">
        <v>349</v>
      </c>
    </row>
    <row r="219" spans="1:85" ht="27">
      <c r="A219">
        <f t="shared" si="122"/>
        <v>5063502</v>
      </c>
      <c r="B219" s="39" t="s">
        <v>1063</v>
      </c>
      <c r="C219">
        <v>6</v>
      </c>
      <c r="D219">
        <v>5</v>
      </c>
      <c r="E219">
        <v>3</v>
      </c>
      <c r="F219" t="s">
        <v>1323</v>
      </c>
      <c r="G219" t="str">
        <f t="shared" si="105"/>
        <v>游侠2_56_3</v>
      </c>
      <c r="H219">
        <v>0</v>
      </c>
      <c r="I219" s="2" t="s">
        <v>291</v>
      </c>
      <c r="J219" s="2">
        <f t="shared" si="118"/>
        <v>6</v>
      </c>
      <c r="K219" s="2">
        <f t="shared" si="108"/>
        <v>1.02</v>
      </c>
      <c r="L219" s="2">
        <f t="shared" si="107"/>
        <v>1.47</v>
      </c>
      <c r="M219" s="2">
        <v>10</v>
      </c>
      <c r="N219" s="2">
        <f t="shared" si="128"/>
        <v>60.47999999999999</v>
      </c>
      <c r="O219" s="2">
        <f t="shared" si="128"/>
        <v>6.0479999999999992</v>
      </c>
      <c r="P219" s="2">
        <f t="shared" si="128"/>
        <v>896.4</v>
      </c>
      <c r="Q219" s="2">
        <f t="shared" si="123"/>
        <v>89.64</v>
      </c>
      <c r="R219" s="2">
        <f t="shared" si="123"/>
        <v>24</v>
      </c>
      <c r="S219" s="2">
        <f t="shared" si="123"/>
        <v>2.4000000000000004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>
        <v>50535021</v>
      </c>
      <c r="Z219" s="14" t="s">
        <v>1324</v>
      </c>
      <c r="AA219" s="14" t="s">
        <v>890</v>
      </c>
      <c r="AB219">
        <v>5073502</v>
      </c>
      <c r="AC219" s="2">
        <v>31</v>
      </c>
      <c r="AD219" s="2"/>
      <c r="AE219" s="2"/>
      <c r="AF219">
        <v>1</v>
      </c>
      <c r="AG219" s="1">
        <f t="shared" si="109"/>
        <v>445.14543445391661</v>
      </c>
      <c r="AH219">
        <v>6</v>
      </c>
      <c r="AI219">
        <f t="shared" si="124"/>
        <v>60.47999999999999</v>
      </c>
      <c r="AJ219">
        <f t="shared" si="125"/>
        <v>6.0479999999999992</v>
      </c>
      <c r="AK219">
        <f t="shared" si="126"/>
        <v>896.4</v>
      </c>
      <c r="AL219">
        <f t="shared" si="127"/>
        <v>89.64</v>
      </c>
      <c r="AM219">
        <f t="shared" si="119"/>
        <v>24</v>
      </c>
      <c r="AN219">
        <f t="shared" si="120"/>
        <v>2.4000000000000004</v>
      </c>
      <c r="AO219">
        <f t="shared" si="110"/>
        <v>1.4</v>
      </c>
      <c r="AP219">
        <f t="shared" si="111"/>
        <v>2</v>
      </c>
      <c r="AQ219">
        <f t="shared" si="112"/>
        <v>6</v>
      </c>
      <c r="AR219">
        <v>502</v>
      </c>
      <c r="AS219" s="1" t="str">
        <f t="shared" si="104"/>
        <v>2</v>
      </c>
      <c r="AT219">
        <v>5</v>
      </c>
      <c r="BP219" t="s">
        <v>974</v>
      </c>
      <c r="BQ219" t="str">
        <f t="shared" si="113"/>
        <v>2</v>
      </c>
      <c r="BT219">
        <v>28</v>
      </c>
      <c r="BU219" t="str">
        <f t="shared" si="116"/>
        <v>561028,562028,563028</v>
      </c>
      <c r="BV219">
        <f t="shared" si="114"/>
        <v>561028</v>
      </c>
      <c r="BW219">
        <f t="shared" si="115"/>
        <v>562028</v>
      </c>
      <c r="BX219">
        <f t="shared" si="117"/>
        <v>563028</v>
      </c>
      <c r="CF219" t="str">
        <f t="shared" si="121"/>
        <v>DATA_Class_Base59</v>
      </c>
      <c r="CG219" s="39" t="s">
        <v>195</v>
      </c>
    </row>
    <row r="220" spans="1:85" ht="27">
      <c r="A220">
        <f t="shared" si="122"/>
        <v>5063600</v>
      </c>
      <c r="B220" s="39" t="s">
        <v>1047</v>
      </c>
      <c r="C220">
        <v>6</v>
      </c>
      <c r="D220">
        <v>6</v>
      </c>
      <c r="E220">
        <v>3</v>
      </c>
      <c r="F220" t="s">
        <v>1325</v>
      </c>
      <c r="G220" t="str">
        <f t="shared" si="105"/>
        <v>牧师0_56_3</v>
      </c>
      <c r="H220">
        <v>0</v>
      </c>
      <c r="I220" s="2" t="s">
        <v>339</v>
      </c>
      <c r="J220" s="2">
        <f t="shared" si="118"/>
        <v>4</v>
      </c>
      <c r="K220" s="2">
        <f t="shared" si="108"/>
        <v>1.02</v>
      </c>
      <c r="L220" s="2">
        <f t="shared" si="107"/>
        <v>1.3900000000000001</v>
      </c>
      <c r="M220" s="2">
        <v>10</v>
      </c>
      <c r="N220" s="2">
        <f t="shared" si="128"/>
        <v>50.399999999999991</v>
      </c>
      <c r="O220" s="2">
        <f t="shared" si="128"/>
        <v>5.0399999999999991</v>
      </c>
      <c r="P220" s="2">
        <f t="shared" si="128"/>
        <v>1080</v>
      </c>
      <c r="Q220" s="2">
        <f t="shared" si="123"/>
        <v>108</v>
      </c>
      <c r="R220" s="2">
        <f t="shared" si="123"/>
        <v>30</v>
      </c>
      <c r="S220" s="2">
        <f t="shared" si="123"/>
        <v>3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>
        <v>50536001</v>
      </c>
      <c r="Z220" s="14" t="s">
        <v>1326</v>
      </c>
      <c r="AA220" s="14" t="s">
        <v>890</v>
      </c>
      <c r="AB220">
        <v>5073600</v>
      </c>
      <c r="AC220" s="2">
        <v>31</v>
      </c>
      <c r="AD220" s="2"/>
      <c r="AE220" s="2"/>
      <c r="AF220">
        <v>1</v>
      </c>
      <c r="AG220" s="1">
        <f t="shared" si="109"/>
        <v>447.52703845379511</v>
      </c>
      <c r="AH220">
        <v>6</v>
      </c>
      <c r="AI220">
        <f t="shared" si="124"/>
        <v>50.399999999999991</v>
      </c>
      <c r="AJ220">
        <f t="shared" si="125"/>
        <v>5.0399999999999991</v>
      </c>
      <c r="AK220">
        <f t="shared" si="126"/>
        <v>1080</v>
      </c>
      <c r="AL220">
        <f t="shared" si="127"/>
        <v>108</v>
      </c>
      <c r="AM220">
        <f t="shared" si="119"/>
        <v>30</v>
      </c>
      <c r="AN220">
        <f t="shared" si="120"/>
        <v>3</v>
      </c>
      <c r="AO220">
        <f t="shared" si="110"/>
        <v>1.4</v>
      </c>
      <c r="AP220">
        <f t="shared" si="111"/>
        <v>1.9</v>
      </c>
      <c r="AQ220">
        <f t="shared" si="112"/>
        <v>4</v>
      </c>
      <c r="AR220">
        <v>600</v>
      </c>
      <c r="AS220" s="1" t="str">
        <f t="shared" si="104"/>
        <v>0</v>
      </c>
      <c r="AT220">
        <v>5</v>
      </c>
      <c r="BP220" t="s">
        <v>990</v>
      </c>
      <c r="BQ220" t="str">
        <f t="shared" si="113"/>
        <v>0</v>
      </c>
      <c r="BT220">
        <v>29</v>
      </c>
      <c r="BU220" t="str">
        <f t="shared" si="116"/>
        <v>561029,562029,563029</v>
      </c>
      <c r="BV220">
        <f t="shared" si="114"/>
        <v>561029</v>
      </c>
      <c r="BW220">
        <f t="shared" si="115"/>
        <v>562029</v>
      </c>
      <c r="BX220">
        <f t="shared" si="117"/>
        <v>563029</v>
      </c>
      <c r="CF220" t="str">
        <f t="shared" si="121"/>
        <v>DATA_Class_Base54</v>
      </c>
      <c r="CG220" s="39" t="s">
        <v>198</v>
      </c>
    </row>
    <row r="221" spans="1:85" ht="27">
      <c r="A221">
        <f t="shared" si="122"/>
        <v>5063601</v>
      </c>
      <c r="B221" s="39" t="s">
        <v>1050</v>
      </c>
      <c r="C221">
        <v>6</v>
      </c>
      <c r="D221">
        <v>6</v>
      </c>
      <c r="E221">
        <v>3</v>
      </c>
      <c r="F221" t="s">
        <v>1327</v>
      </c>
      <c r="G221" t="str">
        <f t="shared" si="105"/>
        <v>牧师1_56_3</v>
      </c>
      <c r="H221" s="2">
        <v>0</v>
      </c>
      <c r="I221" s="2" t="s">
        <v>309</v>
      </c>
      <c r="J221" s="2">
        <f t="shared" si="118"/>
        <v>5</v>
      </c>
      <c r="K221" s="2">
        <f t="shared" si="108"/>
        <v>1.1000000000000001</v>
      </c>
      <c r="L221" s="2">
        <f t="shared" si="107"/>
        <v>1.47</v>
      </c>
      <c r="M221" s="2">
        <v>10</v>
      </c>
      <c r="N221" s="2">
        <f t="shared" si="128"/>
        <v>54</v>
      </c>
      <c r="O221" s="2">
        <f t="shared" si="128"/>
        <v>5.4</v>
      </c>
      <c r="P221" s="2">
        <f t="shared" si="128"/>
        <v>1080</v>
      </c>
      <c r="Q221" s="2">
        <f t="shared" si="123"/>
        <v>108</v>
      </c>
      <c r="R221" s="2">
        <f t="shared" si="123"/>
        <v>30</v>
      </c>
      <c r="S221" s="2">
        <f t="shared" si="123"/>
        <v>3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>
        <v>50536011</v>
      </c>
      <c r="Z221" s="14" t="s">
        <v>1328</v>
      </c>
      <c r="AA221" s="14" t="s">
        <v>890</v>
      </c>
      <c r="AB221">
        <v>5073601</v>
      </c>
      <c r="AC221" s="2">
        <v>31</v>
      </c>
      <c r="AD221" s="2"/>
      <c r="AE221" s="2"/>
      <c r="AF221">
        <v>1</v>
      </c>
      <c r="AG221" s="1">
        <f t="shared" si="109"/>
        <v>447.52703845379511</v>
      </c>
      <c r="AH221">
        <v>6</v>
      </c>
      <c r="AI221">
        <f t="shared" si="124"/>
        <v>54</v>
      </c>
      <c r="AJ221">
        <f t="shared" si="125"/>
        <v>5.4</v>
      </c>
      <c r="AK221">
        <f t="shared" si="126"/>
        <v>1080</v>
      </c>
      <c r="AL221">
        <f t="shared" si="127"/>
        <v>108</v>
      </c>
      <c r="AM221">
        <f t="shared" si="119"/>
        <v>30</v>
      </c>
      <c r="AN221">
        <f t="shared" si="120"/>
        <v>3</v>
      </c>
      <c r="AO221">
        <f t="shared" si="110"/>
        <v>1.5</v>
      </c>
      <c r="AP221">
        <f t="shared" si="111"/>
        <v>2</v>
      </c>
      <c r="AQ221">
        <f t="shared" si="112"/>
        <v>5</v>
      </c>
      <c r="AR221">
        <v>601</v>
      </c>
      <c r="AS221" s="1" t="str">
        <f t="shared" si="104"/>
        <v>1</v>
      </c>
      <c r="AT221">
        <v>5</v>
      </c>
      <c r="BP221" t="s">
        <v>960</v>
      </c>
      <c r="BQ221" t="str">
        <f t="shared" si="113"/>
        <v>1</v>
      </c>
      <c r="BT221">
        <v>30</v>
      </c>
      <c r="BU221" t="str">
        <f t="shared" si="116"/>
        <v>561030,562030,563030</v>
      </c>
      <c r="BV221">
        <f t="shared" si="114"/>
        <v>561030</v>
      </c>
      <c r="BW221">
        <f t="shared" si="115"/>
        <v>562030</v>
      </c>
      <c r="BX221">
        <f t="shared" si="117"/>
        <v>563030</v>
      </c>
      <c r="CF221" t="str">
        <f t="shared" si="121"/>
        <v>DATA_Class_Base55</v>
      </c>
      <c r="CG221" s="39" t="s">
        <v>201</v>
      </c>
    </row>
    <row r="222" spans="1:85">
      <c r="A222">
        <f t="shared" si="122"/>
        <v>5064200</v>
      </c>
      <c r="B222" s="38" t="s">
        <v>1021</v>
      </c>
      <c r="C222">
        <v>6</v>
      </c>
      <c r="D222">
        <v>2</v>
      </c>
      <c r="E222">
        <v>4</v>
      </c>
      <c r="F222" t="s">
        <v>1329</v>
      </c>
      <c r="G222" t="str">
        <f t="shared" si="105"/>
        <v>战士0_56_4</v>
      </c>
      <c r="H222">
        <v>0</v>
      </c>
      <c r="I222" s="2" t="s">
        <v>314</v>
      </c>
      <c r="J222" s="2">
        <f t="shared" si="118"/>
        <v>2.5</v>
      </c>
      <c r="K222" s="2">
        <f t="shared" si="108"/>
        <v>1.1000000000000001</v>
      </c>
      <c r="L222" s="2">
        <f t="shared" si="107"/>
        <v>0.88</v>
      </c>
      <c r="M222" s="2">
        <v>10</v>
      </c>
      <c r="N222" s="2">
        <f t="shared" si="128"/>
        <v>43.20000000000001</v>
      </c>
      <c r="O222" s="2">
        <f t="shared" si="128"/>
        <v>4.3200000000000012</v>
      </c>
      <c r="P222" s="2">
        <f t="shared" si="128"/>
        <v>1350</v>
      </c>
      <c r="Q222" s="2">
        <f t="shared" si="123"/>
        <v>135</v>
      </c>
      <c r="R222" s="2">
        <f t="shared" si="123"/>
        <v>36</v>
      </c>
      <c r="S222" s="2">
        <f t="shared" si="123"/>
        <v>3.6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>
        <v>50542001</v>
      </c>
      <c r="Z222" s="14" t="s">
        <v>1330</v>
      </c>
      <c r="AA222" s="14" t="s">
        <v>890</v>
      </c>
      <c r="AB222">
        <v>5074200</v>
      </c>
      <c r="AC222" s="2">
        <v>19</v>
      </c>
      <c r="AD222" s="2"/>
      <c r="AE222" s="2"/>
      <c r="AF222">
        <v>1</v>
      </c>
      <c r="AG222" s="1">
        <f t="shared" si="109"/>
        <v>448.12249012176449</v>
      </c>
      <c r="AH222">
        <v>6</v>
      </c>
      <c r="AI222">
        <f t="shared" si="124"/>
        <v>43.20000000000001</v>
      </c>
      <c r="AJ222">
        <f t="shared" si="125"/>
        <v>4.3200000000000012</v>
      </c>
      <c r="AK222">
        <f t="shared" si="126"/>
        <v>1350</v>
      </c>
      <c r="AL222">
        <f t="shared" si="127"/>
        <v>135</v>
      </c>
      <c r="AM222">
        <f t="shared" si="119"/>
        <v>36</v>
      </c>
      <c r="AN222">
        <f t="shared" si="120"/>
        <v>3.6</v>
      </c>
      <c r="AO222">
        <f t="shared" si="110"/>
        <v>1.5</v>
      </c>
      <c r="AP222">
        <f t="shared" si="111"/>
        <v>1.2</v>
      </c>
      <c r="AQ222">
        <f t="shared" si="112"/>
        <v>2.5</v>
      </c>
      <c r="AR222">
        <v>200</v>
      </c>
      <c r="AS222" s="1" t="str">
        <f t="shared" si="104"/>
        <v>0</v>
      </c>
      <c r="AT222">
        <v>5</v>
      </c>
      <c r="BP222" t="s">
        <v>964</v>
      </c>
      <c r="BQ222" t="str">
        <f t="shared" si="113"/>
        <v>0</v>
      </c>
      <c r="BT222">
        <v>31</v>
      </c>
      <c r="BU222" t="str">
        <f t="shared" si="116"/>
        <v>561031,562031,563031</v>
      </c>
      <c r="BV222">
        <f t="shared" si="114"/>
        <v>561031</v>
      </c>
      <c r="BW222">
        <f t="shared" si="115"/>
        <v>562031</v>
      </c>
      <c r="BX222">
        <f t="shared" si="117"/>
        <v>563031</v>
      </c>
      <c r="CF222" t="str">
        <f t="shared" si="121"/>
        <v>DATA_Class_Base46</v>
      </c>
      <c r="CG222" s="38" t="s">
        <v>1022</v>
      </c>
    </row>
    <row r="223" spans="1:85" ht="27">
      <c r="A223">
        <f t="shared" si="122"/>
        <v>5064201</v>
      </c>
      <c r="B223" s="39" t="s">
        <v>1025</v>
      </c>
      <c r="C223">
        <v>6</v>
      </c>
      <c r="D223">
        <v>2</v>
      </c>
      <c r="E223">
        <v>4</v>
      </c>
      <c r="F223" t="s">
        <v>1331</v>
      </c>
      <c r="G223" t="str">
        <f t="shared" si="105"/>
        <v>战士1_56_4</v>
      </c>
      <c r="H223" s="2">
        <v>0</v>
      </c>
      <c r="I223" s="2" t="s">
        <v>298</v>
      </c>
      <c r="J223" s="2">
        <f t="shared" si="118"/>
        <v>2.5</v>
      </c>
      <c r="K223" s="2">
        <f t="shared" si="108"/>
        <v>1.32</v>
      </c>
      <c r="L223" s="2">
        <f t="shared" si="107"/>
        <v>1.32</v>
      </c>
      <c r="M223" s="2">
        <v>10</v>
      </c>
      <c r="N223" s="2">
        <f t="shared" si="128"/>
        <v>51.84</v>
      </c>
      <c r="O223" s="2">
        <f t="shared" si="128"/>
        <v>5.1840000000000011</v>
      </c>
      <c r="P223" s="2">
        <f t="shared" si="128"/>
        <v>1350</v>
      </c>
      <c r="Q223" s="2">
        <f t="shared" si="123"/>
        <v>135</v>
      </c>
      <c r="R223" s="2">
        <f t="shared" si="123"/>
        <v>36</v>
      </c>
      <c r="S223" s="2">
        <f t="shared" si="123"/>
        <v>3.6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>
        <v>50542011</v>
      </c>
      <c r="Z223" s="14" t="s">
        <v>1332</v>
      </c>
      <c r="AA223" s="14" t="s">
        <v>890</v>
      </c>
      <c r="AB223">
        <v>5074201</v>
      </c>
      <c r="AC223" s="2">
        <v>19</v>
      </c>
      <c r="AD223" s="2"/>
      <c r="AE223" s="2"/>
      <c r="AF223">
        <v>1</v>
      </c>
      <c r="AG223" s="1">
        <f t="shared" si="109"/>
        <v>448.12249012176443</v>
      </c>
      <c r="AH223">
        <v>6</v>
      </c>
      <c r="AI223">
        <f t="shared" si="124"/>
        <v>51.84</v>
      </c>
      <c r="AJ223">
        <f t="shared" si="125"/>
        <v>5.1840000000000011</v>
      </c>
      <c r="AK223">
        <f t="shared" si="126"/>
        <v>1350</v>
      </c>
      <c r="AL223">
        <f t="shared" si="127"/>
        <v>135</v>
      </c>
      <c r="AM223">
        <f t="shared" si="119"/>
        <v>36</v>
      </c>
      <c r="AN223">
        <f t="shared" si="120"/>
        <v>3.6</v>
      </c>
      <c r="AO223">
        <f t="shared" si="110"/>
        <v>1.8</v>
      </c>
      <c r="AP223">
        <f t="shared" si="111"/>
        <v>1.8</v>
      </c>
      <c r="AQ223">
        <f t="shared" si="112"/>
        <v>2.5</v>
      </c>
      <c r="AR223">
        <v>201</v>
      </c>
      <c r="AS223" s="1" t="str">
        <f t="shared" si="104"/>
        <v>1</v>
      </c>
      <c r="AT223">
        <v>5</v>
      </c>
      <c r="BP223" t="s">
        <v>913</v>
      </c>
      <c r="BQ223" t="str">
        <f t="shared" si="113"/>
        <v>1</v>
      </c>
      <c r="BT223">
        <v>32</v>
      </c>
      <c r="BU223" t="str">
        <f t="shared" si="116"/>
        <v>561032,562032,563032</v>
      </c>
      <c r="BV223">
        <f t="shared" si="114"/>
        <v>561032</v>
      </c>
      <c r="BW223">
        <f t="shared" si="115"/>
        <v>562032</v>
      </c>
      <c r="BX223">
        <f t="shared" si="117"/>
        <v>563032</v>
      </c>
      <c r="CF223" t="str">
        <f t="shared" si="121"/>
        <v>DATA_Class_Base47</v>
      </c>
      <c r="CG223" s="39" t="s">
        <v>378</v>
      </c>
    </row>
    <row r="224" spans="1:85" ht="27">
      <c r="A224">
        <f t="shared" si="122"/>
        <v>5064300</v>
      </c>
      <c r="B224" s="39" t="s">
        <v>1028</v>
      </c>
      <c r="C224">
        <v>6</v>
      </c>
      <c r="D224">
        <v>3</v>
      </c>
      <c r="E224">
        <v>4</v>
      </c>
      <c r="F224" t="s">
        <v>1333</v>
      </c>
      <c r="G224" t="str">
        <f t="shared" si="105"/>
        <v>刺客0_56_4</v>
      </c>
      <c r="H224">
        <v>0</v>
      </c>
      <c r="I224" s="2" t="s">
        <v>352</v>
      </c>
      <c r="J224" s="2">
        <f t="shared" si="118"/>
        <v>4</v>
      </c>
      <c r="K224" s="2">
        <f t="shared" si="108"/>
        <v>0.95000000000000007</v>
      </c>
      <c r="L224" s="2">
        <f t="shared" si="107"/>
        <v>1.3900000000000001</v>
      </c>
      <c r="M224" s="2">
        <v>10</v>
      </c>
      <c r="N224" s="2">
        <f t="shared" si="128"/>
        <v>42.120000000000012</v>
      </c>
      <c r="O224" s="2">
        <f t="shared" si="128"/>
        <v>4.2120000000000015</v>
      </c>
      <c r="P224" s="2">
        <f t="shared" si="128"/>
        <v>1198.8000000000002</v>
      </c>
      <c r="Q224" s="2">
        <f t="shared" si="123"/>
        <v>119.88000000000002</v>
      </c>
      <c r="R224" s="2">
        <f t="shared" si="123"/>
        <v>33</v>
      </c>
      <c r="S224" s="2">
        <f t="shared" si="123"/>
        <v>3.3000000000000003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>
        <v>50543001</v>
      </c>
      <c r="Z224" s="14" t="s">
        <v>1334</v>
      </c>
      <c r="AA224" s="14" t="s">
        <v>890</v>
      </c>
      <c r="AB224">
        <v>5074300</v>
      </c>
      <c r="AC224" s="2">
        <v>19</v>
      </c>
      <c r="AD224" s="2"/>
      <c r="AE224" s="2"/>
      <c r="AF224">
        <v>1</v>
      </c>
      <c r="AG224" s="1">
        <f t="shared" si="109"/>
        <v>447.37674178536196</v>
      </c>
      <c r="AH224">
        <v>6</v>
      </c>
      <c r="AI224">
        <f t="shared" si="124"/>
        <v>42.120000000000012</v>
      </c>
      <c r="AJ224">
        <f t="shared" si="125"/>
        <v>4.2120000000000015</v>
      </c>
      <c r="AK224">
        <f t="shared" si="126"/>
        <v>1198.8000000000002</v>
      </c>
      <c r="AL224">
        <f t="shared" si="127"/>
        <v>119.88000000000002</v>
      </c>
      <c r="AM224">
        <f t="shared" si="119"/>
        <v>33</v>
      </c>
      <c r="AN224">
        <f t="shared" si="120"/>
        <v>3.3000000000000003</v>
      </c>
      <c r="AO224">
        <f t="shared" si="110"/>
        <v>1.3</v>
      </c>
      <c r="AP224">
        <f t="shared" si="111"/>
        <v>1.9</v>
      </c>
      <c r="AQ224">
        <f t="shared" si="112"/>
        <v>4</v>
      </c>
      <c r="AR224">
        <v>300</v>
      </c>
      <c r="AS224" s="1" t="str">
        <f t="shared" si="104"/>
        <v>0</v>
      </c>
      <c r="AT224">
        <v>5</v>
      </c>
      <c r="BP224" t="s">
        <v>967</v>
      </c>
      <c r="BQ224" t="str">
        <f t="shared" si="113"/>
        <v>0</v>
      </c>
      <c r="BT224">
        <v>33</v>
      </c>
      <c r="BU224" t="str">
        <f t="shared" si="116"/>
        <v>561033,562033,563033</v>
      </c>
      <c r="BV224">
        <f t="shared" si="114"/>
        <v>561033</v>
      </c>
      <c r="BW224">
        <f t="shared" si="115"/>
        <v>562033</v>
      </c>
      <c r="BX224">
        <f t="shared" si="117"/>
        <v>563033</v>
      </c>
      <c r="CF224" t="str">
        <f t="shared" si="121"/>
        <v>DATA_Class_Base48</v>
      </c>
      <c r="CG224" s="39" t="s">
        <v>411</v>
      </c>
    </row>
    <row r="225" spans="1:85" ht="27">
      <c r="A225">
        <f t="shared" si="122"/>
        <v>5064301</v>
      </c>
      <c r="B225" s="39" t="s">
        <v>1031</v>
      </c>
      <c r="C225">
        <v>6</v>
      </c>
      <c r="D225">
        <v>3</v>
      </c>
      <c r="E225">
        <v>4</v>
      </c>
      <c r="F225" t="s">
        <v>1335</v>
      </c>
      <c r="G225" t="str">
        <f t="shared" si="105"/>
        <v>刺客1_56_4</v>
      </c>
      <c r="H225" s="2">
        <v>0</v>
      </c>
      <c r="I225" s="2" t="s">
        <v>285</v>
      </c>
      <c r="J225" s="2">
        <f t="shared" si="118"/>
        <v>2.5</v>
      </c>
      <c r="K225" s="2">
        <f t="shared" si="108"/>
        <v>0.88</v>
      </c>
      <c r="L225" s="2">
        <f t="shared" si="107"/>
        <v>1.47</v>
      </c>
      <c r="M225" s="2">
        <v>10</v>
      </c>
      <c r="N225" s="2">
        <f t="shared" si="128"/>
        <v>38.880000000000003</v>
      </c>
      <c r="O225" s="2">
        <f t="shared" si="128"/>
        <v>3.8880000000000003</v>
      </c>
      <c r="P225" s="2">
        <f t="shared" si="128"/>
        <v>1198.8000000000002</v>
      </c>
      <c r="Q225" s="2">
        <f t="shared" si="123"/>
        <v>119.88000000000002</v>
      </c>
      <c r="R225" s="2">
        <f t="shared" si="123"/>
        <v>33</v>
      </c>
      <c r="S225" s="2">
        <f t="shared" si="123"/>
        <v>3.3000000000000003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>
        <v>50543011</v>
      </c>
      <c r="Z225" s="14" t="s">
        <v>1336</v>
      </c>
      <c r="AA225" s="14" t="s">
        <v>890</v>
      </c>
      <c r="AB225">
        <v>5074301</v>
      </c>
      <c r="AC225" s="2">
        <v>19</v>
      </c>
      <c r="AD225" s="2"/>
      <c r="AE225" s="2"/>
      <c r="AF225">
        <v>1</v>
      </c>
      <c r="AG225" s="1">
        <f t="shared" si="109"/>
        <v>447.3767417853619</v>
      </c>
      <c r="AH225">
        <v>6</v>
      </c>
      <c r="AI225">
        <f t="shared" si="124"/>
        <v>38.880000000000003</v>
      </c>
      <c r="AJ225">
        <f t="shared" si="125"/>
        <v>3.8880000000000003</v>
      </c>
      <c r="AK225">
        <f t="shared" si="126"/>
        <v>1198.8000000000002</v>
      </c>
      <c r="AL225">
        <f t="shared" si="127"/>
        <v>119.88000000000002</v>
      </c>
      <c r="AM225">
        <f t="shared" si="119"/>
        <v>33</v>
      </c>
      <c r="AN225">
        <f t="shared" si="120"/>
        <v>3.3000000000000003</v>
      </c>
      <c r="AO225">
        <f t="shared" si="110"/>
        <v>1.2</v>
      </c>
      <c r="AP225">
        <f t="shared" si="111"/>
        <v>2</v>
      </c>
      <c r="AQ225">
        <f t="shared" si="112"/>
        <v>2.5</v>
      </c>
      <c r="AR225">
        <v>301</v>
      </c>
      <c r="AS225" s="1" t="str">
        <f t="shared" si="104"/>
        <v>1</v>
      </c>
      <c r="AT225">
        <v>5</v>
      </c>
      <c r="BP225" t="s">
        <v>923</v>
      </c>
      <c r="BQ225" t="str">
        <f t="shared" si="113"/>
        <v>1</v>
      </c>
      <c r="BT225">
        <v>34</v>
      </c>
      <c r="BU225" t="str">
        <f t="shared" si="116"/>
        <v>561034,562034,563034</v>
      </c>
      <c r="BV225">
        <f t="shared" si="114"/>
        <v>561034</v>
      </c>
      <c r="BW225">
        <f t="shared" si="115"/>
        <v>562034</v>
      </c>
      <c r="BX225">
        <f t="shared" si="117"/>
        <v>563034</v>
      </c>
      <c r="CF225" t="str">
        <f t="shared" si="121"/>
        <v>DATA_Class_Base49</v>
      </c>
      <c r="CG225" s="39" t="s">
        <v>384</v>
      </c>
    </row>
    <row r="226" spans="1:85" ht="27">
      <c r="A226">
        <f t="shared" si="122"/>
        <v>5064401</v>
      </c>
      <c r="B226" s="39" t="s">
        <v>1034</v>
      </c>
      <c r="C226">
        <v>6</v>
      </c>
      <c r="D226">
        <v>4</v>
      </c>
      <c r="E226">
        <v>4</v>
      </c>
      <c r="F226" t="s">
        <v>1337</v>
      </c>
      <c r="G226" t="str">
        <f t="shared" si="105"/>
        <v>法师1_56_4</v>
      </c>
      <c r="H226">
        <v>0</v>
      </c>
      <c r="I226" s="2" t="s">
        <v>161</v>
      </c>
      <c r="J226" s="2">
        <f t="shared" si="118"/>
        <v>6</v>
      </c>
      <c r="K226" s="2">
        <f t="shared" si="108"/>
        <v>1.17</v>
      </c>
      <c r="L226" s="2">
        <f t="shared" si="107"/>
        <v>1.47</v>
      </c>
      <c r="M226" s="2">
        <v>10</v>
      </c>
      <c r="N226" s="2">
        <f t="shared" si="128"/>
        <v>63.360000000000021</v>
      </c>
      <c r="O226" s="2">
        <f t="shared" si="128"/>
        <v>6.3360000000000021</v>
      </c>
      <c r="P226" s="2">
        <f t="shared" si="128"/>
        <v>982.80000000000007</v>
      </c>
      <c r="Q226" s="2">
        <f t="shared" si="123"/>
        <v>98.280000000000015</v>
      </c>
      <c r="R226" s="2">
        <f t="shared" si="123"/>
        <v>27</v>
      </c>
      <c r="S226" s="2">
        <f t="shared" si="123"/>
        <v>2.7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>
        <v>50544011</v>
      </c>
      <c r="Z226" s="14" t="s">
        <v>1338</v>
      </c>
      <c r="AA226" s="14" t="s">
        <v>890</v>
      </c>
      <c r="AB226">
        <v>5074401</v>
      </c>
      <c r="AC226" s="2">
        <v>19</v>
      </c>
      <c r="AD226" s="2"/>
      <c r="AE226" s="2"/>
      <c r="AF226">
        <v>1</v>
      </c>
      <c r="AG226" s="1">
        <f t="shared" si="109"/>
        <v>447.6771355451383</v>
      </c>
      <c r="AH226">
        <v>6</v>
      </c>
      <c r="AI226">
        <f t="shared" si="124"/>
        <v>63.360000000000021</v>
      </c>
      <c r="AJ226">
        <f t="shared" si="125"/>
        <v>6.3360000000000021</v>
      </c>
      <c r="AK226">
        <f t="shared" si="126"/>
        <v>982.80000000000007</v>
      </c>
      <c r="AL226">
        <f t="shared" si="127"/>
        <v>98.280000000000015</v>
      </c>
      <c r="AM226">
        <f t="shared" si="119"/>
        <v>27</v>
      </c>
      <c r="AN226">
        <f t="shared" si="120"/>
        <v>2.7</v>
      </c>
      <c r="AO226">
        <f t="shared" si="110"/>
        <v>1.6</v>
      </c>
      <c r="AP226">
        <f t="shared" si="111"/>
        <v>2</v>
      </c>
      <c r="AQ226">
        <f t="shared" si="112"/>
        <v>6</v>
      </c>
      <c r="AR226">
        <v>401</v>
      </c>
      <c r="AS226" s="1" t="str">
        <f t="shared" si="104"/>
        <v>1</v>
      </c>
      <c r="AT226">
        <v>5</v>
      </c>
      <c r="BP226" t="s">
        <v>953</v>
      </c>
      <c r="BQ226" t="str">
        <f t="shared" si="113"/>
        <v>1</v>
      </c>
      <c r="BT226">
        <v>35</v>
      </c>
      <c r="BU226" t="str">
        <f t="shared" si="116"/>
        <v>561035,562035,563035</v>
      </c>
      <c r="BV226">
        <f t="shared" si="114"/>
        <v>561035</v>
      </c>
      <c r="BW226">
        <f t="shared" si="115"/>
        <v>562035</v>
      </c>
      <c r="BX226">
        <f t="shared" si="117"/>
        <v>563035</v>
      </c>
      <c r="CF226" t="str">
        <f t="shared" si="121"/>
        <v>DATA_Class_Base50</v>
      </c>
      <c r="CG226" s="39" t="s">
        <v>176</v>
      </c>
    </row>
    <row r="227" spans="1:85" ht="27">
      <c r="A227">
        <f t="shared" si="122"/>
        <v>5064402</v>
      </c>
      <c r="B227" s="39" t="s">
        <v>1037</v>
      </c>
      <c r="C227">
        <v>6</v>
      </c>
      <c r="D227">
        <v>4</v>
      </c>
      <c r="E227">
        <v>4</v>
      </c>
      <c r="F227" t="s">
        <v>1339</v>
      </c>
      <c r="G227" t="str">
        <f t="shared" si="105"/>
        <v>法师2_56_4</v>
      </c>
      <c r="H227" s="2">
        <v>0</v>
      </c>
      <c r="I227" s="2" t="s">
        <v>250</v>
      </c>
      <c r="J227" s="2">
        <f t="shared" si="118"/>
        <v>5</v>
      </c>
      <c r="K227" s="2">
        <f t="shared" si="108"/>
        <v>1.1000000000000001</v>
      </c>
      <c r="L227" s="2">
        <f t="shared" si="107"/>
        <v>1.1000000000000001</v>
      </c>
      <c r="M227" s="2">
        <v>10</v>
      </c>
      <c r="N227" s="2">
        <f t="shared" si="128"/>
        <v>59.4</v>
      </c>
      <c r="O227" s="2">
        <f t="shared" si="128"/>
        <v>5.94</v>
      </c>
      <c r="P227" s="2">
        <f t="shared" si="128"/>
        <v>982.80000000000007</v>
      </c>
      <c r="Q227" s="2">
        <f t="shared" si="123"/>
        <v>98.280000000000015</v>
      </c>
      <c r="R227" s="2">
        <f t="shared" si="123"/>
        <v>27</v>
      </c>
      <c r="S227" s="2">
        <f t="shared" si="123"/>
        <v>2.7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>
        <v>50544021</v>
      </c>
      <c r="Z227" s="14" t="s">
        <v>1340</v>
      </c>
      <c r="AA227" s="14" t="s">
        <v>890</v>
      </c>
      <c r="AB227">
        <v>5074402</v>
      </c>
      <c r="AC227" s="2">
        <v>19</v>
      </c>
      <c r="AD227" s="2"/>
      <c r="AE227" s="2"/>
      <c r="AF227">
        <v>1</v>
      </c>
      <c r="AG227" s="1">
        <f t="shared" si="109"/>
        <v>447.67713554513824</v>
      </c>
      <c r="AH227">
        <v>6</v>
      </c>
      <c r="AI227">
        <f t="shared" si="124"/>
        <v>59.4</v>
      </c>
      <c r="AJ227">
        <f t="shared" si="125"/>
        <v>5.94</v>
      </c>
      <c r="AK227">
        <f t="shared" si="126"/>
        <v>982.80000000000007</v>
      </c>
      <c r="AL227">
        <f t="shared" si="127"/>
        <v>98.280000000000015</v>
      </c>
      <c r="AM227">
        <f t="shared" si="119"/>
        <v>27</v>
      </c>
      <c r="AN227">
        <f t="shared" si="120"/>
        <v>2.7</v>
      </c>
      <c r="AO227">
        <f t="shared" si="110"/>
        <v>1.5</v>
      </c>
      <c r="AP227">
        <f t="shared" si="111"/>
        <v>1.5</v>
      </c>
      <c r="AQ227">
        <f t="shared" si="112"/>
        <v>5</v>
      </c>
      <c r="AR227">
        <v>402</v>
      </c>
      <c r="AS227" s="1" t="str">
        <f t="shared" si="104"/>
        <v>2</v>
      </c>
      <c r="AT227">
        <v>5</v>
      </c>
      <c r="BP227" t="s">
        <v>971</v>
      </c>
      <c r="BQ227" t="str">
        <f t="shared" si="113"/>
        <v>2</v>
      </c>
      <c r="BT227">
        <v>36</v>
      </c>
      <c r="BU227" t="str">
        <f t="shared" si="116"/>
        <v>561036,562036,563036</v>
      </c>
      <c r="BV227">
        <f t="shared" si="114"/>
        <v>561036</v>
      </c>
      <c r="BW227">
        <f t="shared" si="115"/>
        <v>562036</v>
      </c>
      <c r="BX227">
        <f t="shared" si="117"/>
        <v>563036</v>
      </c>
      <c r="CF227" t="str">
        <f t="shared" si="121"/>
        <v>DATA_Class_Base51</v>
      </c>
      <c r="CG227" s="39" t="s">
        <v>1038</v>
      </c>
    </row>
    <row r="228" spans="1:85" ht="27">
      <c r="A228">
        <f t="shared" si="122"/>
        <v>5064501</v>
      </c>
      <c r="B228" s="39" t="s">
        <v>1044</v>
      </c>
      <c r="C228">
        <v>6</v>
      </c>
      <c r="D228">
        <v>5</v>
      </c>
      <c r="E228">
        <v>4</v>
      </c>
      <c r="F228" t="s">
        <v>1341</v>
      </c>
      <c r="G228" t="str">
        <f t="shared" si="105"/>
        <v>游侠1_56_4</v>
      </c>
      <c r="H228" s="2">
        <v>0</v>
      </c>
      <c r="I228" s="2" t="s">
        <v>334</v>
      </c>
      <c r="J228" s="2">
        <f t="shared" si="118"/>
        <v>6</v>
      </c>
      <c r="K228" s="2">
        <f t="shared" si="108"/>
        <v>1.17</v>
      </c>
      <c r="L228" s="2">
        <f t="shared" si="107"/>
        <v>1.47</v>
      </c>
      <c r="M228" s="2">
        <v>10</v>
      </c>
      <c r="N228" s="2">
        <f t="shared" si="128"/>
        <v>69.12</v>
      </c>
      <c r="O228" s="2">
        <f t="shared" si="128"/>
        <v>6.9120000000000008</v>
      </c>
      <c r="P228" s="2">
        <f t="shared" si="128"/>
        <v>896.4</v>
      </c>
      <c r="Q228" s="2">
        <f t="shared" si="123"/>
        <v>89.64</v>
      </c>
      <c r="R228" s="2">
        <f t="shared" si="123"/>
        <v>24</v>
      </c>
      <c r="S228" s="2">
        <f t="shared" si="123"/>
        <v>2.4000000000000004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>
        <v>50545011</v>
      </c>
      <c r="Z228" s="14" t="s">
        <v>1342</v>
      </c>
      <c r="AA228" s="14" t="s">
        <v>890</v>
      </c>
      <c r="AB228">
        <v>5074501</v>
      </c>
      <c r="AC228" s="2">
        <v>19</v>
      </c>
      <c r="AD228" s="2"/>
      <c r="AE228" s="2"/>
      <c r="AF228">
        <v>1</v>
      </c>
      <c r="AG228" s="1">
        <f t="shared" si="109"/>
        <v>445.14543445391661</v>
      </c>
      <c r="AH228">
        <v>6</v>
      </c>
      <c r="AI228">
        <f t="shared" si="124"/>
        <v>69.12</v>
      </c>
      <c r="AJ228">
        <f t="shared" si="125"/>
        <v>6.9120000000000008</v>
      </c>
      <c r="AK228">
        <f t="shared" si="126"/>
        <v>896.4</v>
      </c>
      <c r="AL228">
        <f t="shared" si="127"/>
        <v>89.64</v>
      </c>
      <c r="AM228">
        <f t="shared" si="119"/>
        <v>24</v>
      </c>
      <c r="AN228">
        <f t="shared" si="120"/>
        <v>2.4000000000000004</v>
      </c>
      <c r="AO228">
        <f t="shared" si="110"/>
        <v>1.6</v>
      </c>
      <c r="AP228">
        <f t="shared" si="111"/>
        <v>2</v>
      </c>
      <c r="AQ228">
        <f t="shared" si="112"/>
        <v>6</v>
      </c>
      <c r="AR228">
        <v>501</v>
      </c>
      <c r="AS228" s="1" t="str">
        <f t="shared" si="104"/>
        <v>1</v>
      </c>
      <c r="AT228">
        <v>5</v>
      </c>
      <c r="BP228" t="s">
        <v>945</v>
      </c>
      <c r="BQ228" t="str">
        <f t="shared" si="113"/>
        <v>1</v>
      </c>
      <c r="BT228">
        <v>37</v>
      </c>
      <c r="BU228" t="str">
        <f t="shared" si="116"/>
        <v>561037,562037,563037</v>
      </c>
      <c r="BV228">
        <f t="shared" si="114"/>
        <v>561037</v>
      </c>
      <c r="BW228">
        <f t="shared" si="115"/>
        <v>562037</v>
      </c>
      <c r="BX228">
        <f t="shared" si="117"/>
        <v>563037</v>
      </c>
      <c r="CF228" t="str">
        <f t="shared" si="121"/>
        <v>DATA_Class_Base53</v>
      </c>
      <c r="CG228" s="39" t="s">
        <v>349</v>
      </c>
    </row>
    <row r="229" spans="1:85" ht="27">
      <c r="A229">
        <f t="shared" si="122"/>
        <v>5064502</v>
      </c>
      <c r="B229" s="39" t="s">
        <v>1063</v>
      </c>
      <c r="C229">
        <v>6</v>
      </c>
      <c r="D229">
        <v>5</v>
      </c>
      <c r="E229">
        <v>4</v>
      </c>
      <c r="F229" t="s">
        <v>1343</v>
      </c>
      <c r="G229" t="str">
        <f t="shared" si="105"/>
        <v>游侠2_56_4</v>
      </c>
      <c r="H229">
        <v>0</v>
      </c>
      <c r="I229" s="2" t="s">
        <v>291</v>
      </c>
      <c r="J229" s="2">
        <f t="shared" si="118"/>
        <v>6</v>
      </c>
      <c r="K229" s="2">
        <f t="shared" si="108"/>
        <v>1.02</v>
      </c>
      <c r="L229" s="2">
        <f t="shared" si="107"/>
        <v>1.47</v>
      </c>
      <c r="M229" s="2">
        <v>10</v>
      </c>
      <c r="N229" s="2">
        <f t="shared" si="128"/>
        <v>60.47999999999999</v>
      </c>
      <c r="O229" s="2">
        <f t="shared" si="128"/>
        <v>6.0479999999999992</v>
      </c>
      <c r="P229" s="2">
        <f t="shared" si="128"/>
        <v>896.4</v>
      </c>
      <c r="Q229" s="2">
        <f t="shared" si="123"/>
        <v>89.64</v>
      </c>
      <c r="R229" s="2">
        <f t="shared" si="123"/>
        <v>24</v>
      </c>
      <c r="S229" s="2">
        <f t="shared" si="123"/>
        <v>2.4000000000000004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>
        <v>50545021</v>
      </c>
      <c r="Z229" s="14" t="s">
        <v>1344</v>
      </c>
      <c r="AA229" s="14" t="s">
        <v>890</v>
      </c>
      <c r="AB229">
        <v>5074502</v>
      </c>
      <c r="AC229" s="2">
        <v>19</v>
      </c>
      <c r="AD229" s="2"/>
      <c r="AE229" s="2"/>
      <c r="AF229">
        <v>1</v>
      </c>
      <c r="AG229" s="1">
        <f t="shared" si="109"/>
        <v>445.14543445391661</v>
      </c>
      <c r="AH229">
        <v>6</v>
      </c>
      <c r="AI229">
        <f t="shared" si="124"/>
        <v>60.47999999999999</v>
      </c>
      <c r="AJ229">
        <f t="shared" si="125"/>
        <v>6.0479999999999992</v>
      </c>
      <c r="AK229">
        <f t="shared" si="126"/>
        <v>896.4</v>
      </c>
      <c r="AL229">
        <f t="shared" si="127"/>
        <v>89.64</v>
      </c>
      <c r="AM229">
        <f t="shared" si="119"/>
        <v>24</v>
      </c>
      <c r="AN229">
        <f t="shared" si="120"/>
        <v>2.4000000000000004</v>
      </c>
      <c r="AO229">
        <f t="shared" si="110"/>
        <v>1.4</v>
      </c>
      <c r="AP229">
        <f t="shared" si="111"/>
        <v>2</v>
      </c>
      <c r="AQ229">
        <f t="shared" si="112"/>
        <v>6</v>
      </c>
      <c r="AR229">
        <v>502</v>
      </c>
      <c r="AS229" s="1" t="str">
        <f t="shared" ref="AS229:AS292" si="129">RIGHT(AR229,1)</f>
        <v>2</v>
      </c>
      <c r="AT229">
        <v>5</v>
      </c>
      <c r="BP229" t="s">
        <v>974</v>
      </c>
      <c r="BQ229" t="str">
        <f t="shared" si="113"/>
        <v>2</v>
      </c>
      <c r="BT229">
        <v>38</v>
      </c>
      <c r="BU229" t="str">
        <f t="shared" si="116"/>
        <v>561038,562038,563038</v>
      </c>
      <c r="BV229">
        <f t="shared" si="114"/>
        <v>561038</v>
      </c>
      <c r="BW229">
        <f t="shared" si="115"/>
        <v>562038</v>
      </c>
      <c r="BX229">
        <f t="shared" si="117"/>
        <v>563038</v>
      </c>
      <c r="CF229" t="str">
        <f t="shared" si="121"/>
        <v>DATA_Class_Base59</v>
      </c>
      <c r="CG229" s="39" t="s">
        <v>195</v>
      </c>
    </row>
    <row r="230" spans="1:85" ht="27">
      <c r="A230">
        <f t="shared" si="122"/>
        <v>5064600</v>
      </c>
      <c r="B230" s="39" t="s">
        <v>1047</v>
      </c>
      <c r="C230">
        <v>6</v>
      </c>
      <c r="D230">
        <v>6</v>
      </c>
      <c r="E230">
        <v>4</v>
      </c>
      <c r="F230" t="s">
        <v>1345</v>
      </c>
      <c r="G230" t="str">
        <f t="shared" ref="G230:G293" si="130">F230</f>
        <v>牧师0_56_4</v>
      </c>
      <c r="H230">
        <v>0</v>
      </c>
      <c r="I230" s="2" t="s">
        <v>339</v>
      </c>
      <c r="J230" s="2">
        <f t="shared" si="118"/>
        <v>4</v>
      </c>
      <c r="K230" s="2">
        <f t="shared" si="108"/>
        <v>1.02</v>
      </c>
      <c r="L230" s="2">
        <f t="shared" si="107"/>
        <v>1.3900000000000001</v>
      </c>
      <c r="M230" s="2">
        <v>10</v>
      </c>
      <c r="N230" s="2">
        <f t="shared" si="128"/>
        <v>50.399999999999991</v>
      </c>
      <c r="O230" s="2">
        <f t="shared" si="128"/>
        <v>5.0399999999999991</v>
      </c>
      <c r="P230" s="2">
        <f t="shared" si="128"/>
        <v>1080</v>
      </c>
      <c r="Q230" s="2">
        <f t="shared" si="123"/>
        <v>108</v>
      </c>
      <c r="R230" s="2">
        <f t="shared" si="123"/>
        <v>30</v>
      </c>
      <c r="S230" s="2">
        <f t="shared" si="123"/>
        <v>3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>
        <v>50546001</v>
      </c>
      <c r="Z230" s="14" t="s">
        <v>1346</v>
      </c>
      <c r="AA230" s="14" t="s">
        <v>890</v>
      </c>
      <c r="AB230">
        <v>5074600</v>
      </c>
      <c r="AC230" s="2">
        <v>19</v>
      </c>
      <c r="AD230" s="2"/>
      <c r="AE230" s="2"/>
      <c r="AF230">
        <v>1</v>
      </c>
      <c r="AG230" s="1">
        <f t="shared" si="109"/>
        <v>447.52703845379511</v>
      </c>
      <c r="AH230">
        <v>6</v>
      </c>
      <c r="AI230">
        <f t="shared" si="124"/>
        <v>50.399999999999991</v>
      </c>
      <c r="AJ230">
        <f t="shared" si="125"/>
        <v>5.0399999999999991</v>
      </c>
      <c r="AK230">
        <f t="shared" si="126"/>
        <v>1080</v>
      </c>
      <c r="AL230">
        <f t="shared" si="127"/>
        <v>108</v>
      </c>
      <c r="AM230">
        <f t="shared" si="119"/>
        <v>30</v>
      </c>
      <c r="AN230">
        <f t="shared" si="120"/>
        <v>3</v>
      </c>
      <c r="AO230">
        <f t="shared" si="110"/>
        <v>1.4</v>
      </c>
      <c r="AP230">
        <f t="shared" si="111"/>
        <v>1.9</v>
      </c>
      <c r="AQ230">
        <f t="shared" si="112"/>
        <v>4</v>
      </c>
      <c r="AR230">
        <v>600</v>
      </c>
      <c r="AS230" s="1" t="str">
        <f t="shared" si="129"/>
        <v>0</v>
      </c>
      <c r="AT230">
        <v>5</v>
      </c>
      <c r="BP230" t="s">
        <v>990</v>
      </c>
      <c r="BQ230" t="str">
        <f t="shared" si="113"/>
        <v>0</v>
      </c>
      <c r="BT230">
        <v>39</v>
      </c>
      <c r="BU230" t="str">
        <f t="shared" si="116"/>
        <v>561039,562039,563039</v>
      </c>
      <c r="BV230">
        <f t="shared" si="114"/>
        <v>561039</v>
      </c>
      <c r="BW230">
        <f t="shared" si="115"/>
        <v>562039</v>
      </c>
      <c r="BX230">
        <f t="shared" si="117"/>
        <v>563039</v>
      </c>
      <c r="CF230" t="str">
        <f t="shared" si="121"/>
        <v>DATA_Class_Base54</v>
      </c>
      <c r="CG230" s="39" t="s">
        <v>198</v>
      </c>
    </row>
    <row r="231" spans="1:85" ht="27">
      <c r="A231">
        <f t="shared" si="122"/>
        <v>5064601</v>
      </c>
      <c r="B231" s="39" t="s">
        <v>1050</v>
      </c>
      <c r="C231">
        <v>6</v>
      </c>
      <c r="D231">
        <v>6</v>
      </c>
      <c r="E231">
        <v>4</v>
      </c>
      <c r="F231" t="s">
        <v>1347</v>
      </c>
      <c r="G231" t="str">
        <f t="shared" si="130"/>
        <v>牧师1_56_4</v>
      </c>
      <c r="H231" s="2">
        <v>0</v>
      </c>
      <c r="I231" s="2" t="s">
        <v>309</v>
      </c>
      <c r="J231" s="2">
        <f t="shared" si="118"/>
        <v>5</v>
      </c>
      <c r="K231" s="2">
        <f t="shared" si="108"/>
        <v>1.1000000000000001</v>
      </c>
      <c r="L231" s="2">
        <f t="shared" si="107"/>
        <v>1.47</v>
      </c>
      <c r="M231" s="2">
        <v>10</v>
      </c>
      <c r="N231" s="2">
        <f t="shared" si="128"/>
        <v>54</v>
      </c>
      <c r="O231" s="2">
        <f t="shared" si="128"/>
        <v>5.4</v>
      </c>
      <c r="P231" s="2">
        <f t="shared" si="128"/>
        <v>1080</v>
      </c>
      <c r="Q231" s="2">
        <f t="shared" si="123"/>
        <v>108</v>
      </c>
      <c r="R231" s="2">
        <f t="shared" si="123"/>
        <v>30</v>
      </c>
      <c r="S231" s="2">
        <f t="shared" si="123"/>
        <v>3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>
        <v>50546011</v>
      </c>
      <c r="Z231" s="14" t="s">
        <v>1348</v>
      </c>
      <c r="AA231" s="14" t="s">
        <v>890</v>
      </c>
      <c r="AB231">
        <v>5074601</v>
      </c>
      <c r="AC231" s="2">
        <v>19</v>
      </c>
      <c r="AD231" s="2"/>
      <c r="AE231" s="2"/>
      <c r="AF231">
        <v>1</v>
      </c>
      <c r="AG231" s="1">
        <f t="shared" si="109"/>
        <v>447.52703845379511</v>
      </c>
      <c r="AH231">
        <v>6</v>
      </c>
      <c r="AI231">
        <f t="shared" si="124"/>
        <v>54</v>
      </c>
      <c r="AJ231">
        <f t="shared" si="125"/>
        <v>5.4</v>
      </c>
      <c r="AK231">
        <f t="shared" si="126"/>
        <v>1080</v>
      </c>
      <c r="AL231">
        <f t="shared" si="127"/>
        <v>108</v>
      </c>
      <c r="AM231">
        <f t="shared" si="119"/>
        <v>30</v>
      </c>
      <c r="AN231">
        <f t="shared" si="120"/>
        <v>3</v>
      </c>
      <c r="AO231">
        <f t="shared" si="110"/>
        <v>1.5</v>
      </c>
      <c r="AP231">
        <f t="shared" si="111"/>
        <v>2</v>
      </c>
      <c r="AQ231">
        <f t="shared" si="112"/>
        <v>5</v>
      </c>
      <c r="AR231">
        <v>601</v>
      </c>
      <c r="AS231" s="1" t="str">
        <f t="shared" si="129"/>
        <v>1</v>
      </c>
      <c r="AT231">
        <v>5</v>
      </c>
      <c r="BP231" t="s">
        <v>960</v>
      </c>
      <c r="BQ231" t="str">
        <f t="shared" si="113"/>
        <v>1</v>
      </c>
      <c r="BT231">
        <v>40</v>
      </c>
      <c r="BU231" t="str">
        <f t="shared" si="116"/>
        <v>561040,562040,563040</v>
      </c>
      <c r="BV231">
        <f t="shared" si="114"/>
        <v>561040</v>
      </c>
      <c r="BW231">
        <f t="shared" si="115"/>
        <v>562040</v>
      </c>
      <c r="BX231">
        <f t="shared" si="117"/>
        <v>563040</v>
      </c>
      <c r="CF231" t="str">
        <f t="shared" si="121"/>
        <v>DATA_Class_Base55</v>
      </c>
      <c r="CG231" s="39" t="s">
        <v>201</v>
      </c>
    </row>
    <row r="232" spans="1:85" ht="27">
      <c r="A232">
        <f t="shared" si="122"/>
        <v>5065201</v>
      </c>
      <c r="B232" s="39" t="s">
        <v>1025</v>
      </c>
      <c r="C232">
        <v>6</v>
      </c>
      <c r="D232">
        <v>2</v>
      </c>
      <c r="E232">
        <v>5</v>
      </c>
      <c r="F232" s="3" t="s">
        <v>1349</v>
      </c>
      <c r="G232" t="str">
        <f t="shared" si="130"/>
        <v>战士1_56_5</v>
      </c>
      <c r="H232" s="2">
        <v>0</v>
      </c>
      <c r="I232" s="2" t="s">
        <v>298</v>
      </c>
      <c r="J232" s="2">
        <f t="shared" si="118"/>
        <v>2.5</v>
      </c>
      <c r="K232" s="2">
        <f t="shared" si="108"/>
        <v>1.32</v>
      </c>
      <c r="L232" s="2">
        <f t="shared" si="107"/>
        <v>1.32</v>
      </c>
      <c r="M232" s="2">
        <v>10</v>
      </c>
      <c r="N232" s="2">
        <f t="shared" si="128"/>
        <v>51.84</v>
      </c>
      <c r="O232" s="2">
        <f t="shared" si="128"/>
        <v>5.1840000000000011</v>
      </c>
      <c r="P232" s="2">
        <f t="shared" si="128"/>
        <v>1350</v>
      </c>
      <c r="Q232" s="2">
        <f t="shared" si="123"/>
        <v>135</v>
      </c>
      <c r="R232" s="2">
        <f t="shared" si="123"/>
        <v>36</v>
      </c>
      <c r="S232" s="2">
        <f t="shared" si="123"/>
        <v>3.6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>
        <v>50552011</v>
      </c>
      <c r="Z232" s="14" t="s">
        <v>1350</v>
      </c>
      <c r="AA232" s="14" t="s">
        <v>890</v>
      </c>
      <c r="AB232">
        <v>5075201</v>
      </c>
      <c r="AC232" s="2">
        <v>19</v>
      </c>
      <c r="AD232" s="2"/>
      <c r="AE232" s="2"/>
      <c r="AF232">
        <v>1</v>
      </c>
      <c r="AG232" s="1">
        <f t="shared" si="109"/>
        <v>448.12249012176443</v>
      </c>
      <c r="AH232">
        <v>6</v>
      </c>
      <c r="AI232">
        <f t="shared" si="124"/>
        <v>51.84</v>
      </c>
      <c r="AJ232">
        <f t="shared" si="125"/>
        <v>5.1840000000000011</v>
      </c>
      <c r="AK232">
        <f t="shared" si="126"/>
        <v>1350</v>
      </c>
      <c r="AL232">
        <f t="shared" si="127"/>
        <v>135</v>
      </c>
      <c r="AM232">
        <f t="shared" si="119"/>
        <v>36</v>
      </c>
      <c r="AN232">
        <f t="shared" si="120"/>
        <v>3.6</v>
      </c>
      <c r="AO232">
        <f t="shared" si="110"/>
        <v>1.8</v>
      </c>
      <c r="AP232">
        <f t="shared" si="111"/>
        <v>1.8</v>
      </c>
      <c r="AQ232">
        <f t="shared" si="112"/>
        <v>2.5</v>
      </c>
      <c r="AR232">
        <v>201</v>
      </c>
      <c r="AS232" s="1" t="str">
        <f t="shared" si="129"/>
        <v>1</v>
      </c>
      <c r="AT232">
        <v>5</v>
      </c>
      <c r="BP232" t="s">
        <v>913</v>
      </c>
      <c r="BQ232" t="str">
        <f t="shared" si="113"/>
        <v>1</v>
      </c>
      <c r="BT232">
        <v>41</v>
      </c>
      <c r="BU232" t="str">
        <f t="shared" si="116"/>
        <v>561041,562041,563041</v>
      </c>
      <c r="BV232">
        <f t="shared" si="114"/>
        <v>561041</v>
      </c>
      <c r="BW232">
        <f t="shared" si="115"/>
        <v>562041</v>
      </c>
      <c r="BX232">
        <f t="shared" si="117"/>
        <v>563041</v>
      </c>
      <c r="CF232" t="str">
        <f t="shared" si="121"/>
        <v>DATA_Class_Base47</v>
      </c>
      <c r="CG232" s="39" t="s">
        <v>378</v>
      </c>
    </row>
    <row r="233" spans="1:85" ht="27">
      <c r="A233">
        <f t="shared" si="122"/>
        <v>5065202</v>
      </c>
      <c r="B233" s="39" t="s">
        <v>1053</v>
      </c>
      <c r="C233">
        <v>6</v>
      </c>
      <c r="D233">
        <v>2</v>
      </c>
      <c r="E233">
        <v>5</v>
      </c>
      <c r="F233" s="2" t="s">
        <v>1351</v>
      </c>
      <c r="G233" t="str">
        <f t="shared" si="130"/>
        <v>战士2_56_5</v>
      </c>
      <c r="H233">
        <v>0</v>
      </c>
      <c r="I233" s="2" t="s">
        <v>280</v>
      </c>
      <c r="J233" s="2">
        <f t="shared" si="118"/>
        <v>2.5</v>
      </c>
      <c r="K233" s="2">
        <f t="shared" si="108"/>
        <v>1.32</v>
      </c>
      <c r="L233" s="2">
        <f t="shared" si="107"/>
        <v>1.47</v>
      </c>
      <c r="M233" s="2">
        <v>10</v>
      </c>
      <c r="N233" s="2">
        <f t="shared" si="128"/>
        <v>51.84</v>
      </c>
      <c r="O233" s="2">
        <f t="shared" si="128"/>
        <v>5.1840000000000011</v>
      </c>
      <c r="P233" s="2">
        <f t="shared" si="128"/>
        <v>1350</v>
      </c>
      <c r="Q233" s="2">
        <f t="shared" si="123"/>
        <v>135</v>
      </c>
      <c r="R233" s="2">
        <f t="shared" si="123"/>
        <v>36</v>
      </c>
      <c r="S233" s="2">
        <f t="shared" si="123"/>
        <v>3.6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>
        <v>50552021</v>
      </c>
      <c r="Z233" s="14" t="s">
        <v>1352</v>
      </c>
      <c r="AA233" s="14" t="s">
        <v>890</v>
      </c>
      <c r="AB233">
        <v>5075202</v>
      </c>
      <c r="AC233" s="2">
        <v>19</v>
      </c>
      <c r="AD233" s="2"/>
      <c r="AE233" s="2"/>
      <c r="AF233">
        <v>1</v>
      </c>
      <c r="AG233" s="1">
        <f t="shared" si="109"/>
        <v>448.12249012176443</v>
      </c>
      <c r="AH233">
        <v>6</v>
      </c>
      <c r="AI233">
        <f t="shared" si="124"/>
        <v>51.84</v>
      </c>
      <c r="AJ233">
        <f t="shared" si="125"/>
        <v>5.1840000000000011</v>
      </c>
      <c r="AK233">
        <f t="shared" si="126"/>
        <v>1350</v>
      </c>
      <c r="AL233">
        <f t="shared" si="127"/>
        <v>135</v>
      </c>
      <c r="AM233">
        <f t="shared" si="119"/>
        <v>36</v>
      </c>
      <c r="AN233">
        <f t="shared" si="120"/>
        <v>3.6</v>
      </c>
      <c r="AO233">
        <f t="shared" si="110"/>
        <v>1.8</v>
      </c>
      <c r="AP233">
        <f t="shared" si="111"/>
        <v>2</v>
      </c>
      <c r="AQ233">
        <f t="shared" si="112"/>
        <v>2.5</v>
      </c>
      <c r="AR233">
        <v>202</v>
      </c>
      <c r="AS233" s="1" t="str">
        <f t="shared" si="129"/>
        <v>2</v>
      </c>
      <c r="AT233">
        <v>5</v>
      </c>
      <c r="BP233" t="s">
        <v>981</v>
      </c>
      <c r="BQ233" t="str">
        <f t="shared" si="113"/>
        <v>2</v>
      </c>
      <c r="BT233">
        <v>42</v>
      </c>
      <c r="BU233" t="str">
        <f t="shared" si="116"/>
        <v>561042,562042,563042</v>
      </c>
      <c r="BV233">
        <f t="shared" si="114"/>
        <v>561042</v>
      </c>
      <c r="BW233">
        <f t="shared" si="115"/>
        <v>562042</v>
      </c>
      <c r="BX233">
        <f t="shared" si="117"/>
        <v>563042</v>
      </c>
      <c r="CF233" t="str">
        <f t="shared" si="121"/>
        <v>DATA_Class_Base56</v>
      </c>
      <c r="CG233" s="39" t="s">
        <v>381</v>
      </c>
    </row>
    <row r="234" spans="1:85" ht="27">
      <c r="A234">
        <f t="shared" si="122"/>
        <v>5065302</v>
      </c>
      <c r="B234" s="39" t="s">
        <v>1056</v>
      </c>
      <c r="C234">
        <v>6</v>
      </c>
      <c r="D234">
        <v>3</v>
      </c>
      <c r="E234">
        <v>5</v>
      </c>
      <c r="F234" t="s">
        <v>1353</v>
      </c>
      <c r="G234" t="str">
        <f t="shared" si="130"/>
        <v>刺客2_56_5</v>
      </c>
      <c r="H234" s="2">
        <v>0</v>
      </c>
      <c r="I234" s="2" t="s">
        <v>358</v>
      </c>
      <c r="J234" s="2">
        <f t="shared" si="118"/>
        <v>2.5</v>
      </c>
      <c r="K234" s="2">
        <f t="shared" si="108"/>
        <v>1.02</v>
      </c>
      <c r="L234" s="2">
        <f t="shared" si="107"/>
        <v>1.25</v>
      </c>
      <c r="M234" s="2">
        <v>10</v>
      </c>
      <c r="N234" s="2">
        <f t="shared" si="128"/>
        <v>45.36</v>
      </c>
      <c r="O234" s="2">
        <f t="shared" si="128"/>
        <v>4.5360000000000005</v>
      </c>
      <c r="P234" s="2">
        <f t="shared" si="128"/>
        <v>1198.8000000000002</v>
      </c>
      <c r="Q234" s="2">
        <f t="shared" si="123"/>
        <v>119.88000000000002</v>
      </c>
      <c r="R234" s="2">
        <f t="shared" si="123"/>
        <v>33</v>
      </c>
      <c r="S234" s="2">
        <f t="shared" si="123"/>
        <v>3.3000000000000003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>
        <v>50553021</v>
      </c>
      <c r="Z234" s="14" t="s">
        <v>1354</v>
      </c>
      <c r="AA234" s="14" t="s">
        <v>890</v>
      </c>
      <c r="AB234">
        <v>5075302</v>
      </c>
      <c r="AC234" s="2">
        <v>19</v>
      </c>
      <c r="AD234" s="2"/>
      <c r="AE234" s="2"/>
      <c r="AF234">
        <v>1</v>
      </c>
      <c r="AG234" s="1">
        <f t="shared" si="109"/>
        <v>447.3767417853619</v>
      </c>
      <c r="AH234">
        <v>6</v>
      </c>
      <c r="AI234">
        <f t="shared" si="124"/>
        <v>45.36</v>
      </c>
      <c r="AJ234">
        <f t="shared" si="125"/>
        <v>4.5360000000000005</v>
      </c>
      <c r="AK234">
        <f t="shared" si="126"/>
        <v>1198.8000000000002</v>
      </c>
      <c r="AL234">
        <f t="shared" si="127"/>
        <v>119.88000000000002</v>
      </c>
      <c r="AM234">
        <f t="shared" si="119"/>
        <v>33</v>
      </c>
      <c r="AN234">
        <f t="shared" si="120"/>
        <v>3.3000000000000003</v>
      </c>
      <c r="AO234">
        <f t="shared" si="110"/>
        <v>1.4</v>
      </c>
      <c r="AP234">
        <f t="shared" si="111"/>
        <v>1.7</v>
      </c>
      <c r="AQ234">
        <f t="shared" si="112"/>
        <v>2.5</v>
      </c>
      <c r="AR234">
        <v>302</v>
      </c>
      <c r="AS234" s="1" t="str">
        <f t="shared" si="129"/>
        <v>2</v>
      </c>
      <c r="AT234">
        <v>5</v>
      </c>
      <c r="BP234" t="s">
        <v>983</v>
      </c>
      <c r="BQ234" t="str">
        <f t="shared" si="113"/>
        <v>2</v>
      </c>
      <c r="BT234">
        <v>43</v>
      </c>
      <c r="BU234" t="str">
        <f t="shared" si="116"/>
        <v>561043,562043,563043</v>
      </c>
      <c r="BV234">
        <f t="shared" si="114"/>
        <v>561043</v>
      </c>
      <c r="BW234">
        <f t="shared" si="115"/>
        <v>562043</v>
      </c>
      <c r="BX234">
        <f t="shared" si="117"/>
        <v>563043</v>
      </c>
      <c r="CF234" t="str">
        <f t="shared" si="121"/>
        <v>DATA_Class_Base57</v>
      </c>
      <c r="CG234" s="39" t="s">
        <v>1057</v>
      </c>
    </row>
    <row r="235" spans="1:85" ht="27">
      <c r="A235">
        <f t="shared" si="122"/>
        <v>5065301</v>
      </c>
      <c r="B235" s="39" t="s">
        <v>1031</v>
      </c>
      <c r="C235">
        <v>6</v>
      </c>
      <c r="D235">
        <v>3</v>
      </c>
      <c r="E235">
        <v>5</v>
      </c>
      <c r="F235" t="s">
        <v>1355</v>
      </c>
      <c r="G235" t="str">
        <f t="shared" si="130"/>
        <v>刺客1_56_5</v>
      </c>
      <c r="H235" s="2">
        <v>0</v>
      </c>
      <c r="I235" s="2" t="s">
        <v>285</v>
      </c>
      <c r="J235" s="2">
        <f t="shared" si="118"/>
        <v>2.5</v>
      </c>
      <c r="K235" s="2">
        <f t="shared" si="108"/>
        <v>0.88</v>
      </c>
      <c r="L235" s="2">
        <f t="shared" si="107"/>
        <v>1.47</v>
      </c>
      <c r="M235" s="2">
        <v>10</v>
      </c>
      <c r="N235" s="2">
        <f t="shared" si="128"/>
        <v>38.880000000000003</v>
      </c>
      <c r="O235" s="2">
        <f t="shared" si="128"/>
        <v>3.8880000000000003</v>
      </c>
      <c r="P235" s="2">
        <f t="shared" si="128"/>
        <v>1198.8000000000002</v>
      </c>
      <c r="Q235" s="2">
        <f t="shared" si="123"/>
        <v>119.88000000000002</v>
      </c>
      <c r="R235" s="2">
        <f t="shared" si="123"/>
        <v>33</v>
      </c>
      <c r="S235" s="2">
        <f t="shared" si="123"/>
        <v>3.3000000000000003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>
        <v>50553011</v>
      </c>
      <c r="Z235" s="14" t="s">
        <v>1356</v>
      </c>
      <c r="AA235" s="14" t="s">
        <v>890</v>
      </c>
      <c r="AB235">
        <v>5075301</v>
      </c>
      <c r="AC235" s="2">
        <v>19</v>
      </c>
      <c r="AD235" s="2"/>
      <c r="AE235" s="2"/>
      <c r="AF235">
        <v>1</v>
      </c>
      <c r="AG235" s="1">
        <f t="shared" si="109"/>
        <v>447.3767417853619</v>
      </c>
      <c r="AH235">
        <v>6</v>
      </c>
      <c r="AI235">
        <f t="shared" si="124"/>
        <v>38.880000000000003</v>
      </c>
      <c r="AJ235">
        <f t="shared" si="125"/>
        <v>3.8880000000000003</v>
      </c>
      <c r="AK235">
        <f t="shared" si="126"/>
        <v>1198.8000000000002</v>
      </c>
      <c r="AL235">
        <f t="shared" si="127"/>
        <v>119.88000000000002</v>
      </c>
      <c r="AM235">
        <f t="shared" si="119"/>
        <v>33</v>
      </c>
      <c r="AN235">
        <f t="shared" si="120"/>
        <v>3.3000000000000003</v>
      </c>
      <c r="AO235">
        <f t="shared" si="110"/>
        <v>1.2</v>
      </c>
      <c r="AP235">
        <f t="shared" si="111"/>
        <v>2</v>
      </c>
      <c r="AQ235">
        <f t="shared" si="112"/>
        <v>2.5</v>
      </c>
      <c r="AR235">
        <v>301</v>
      </c>
      <c r="AS235" s="1" t="str">
        <f t="shared" si="129"/>
        <v>1</v>
      </c>
      <c r="AT235">
        <v>5</v>
      </c>
      <c r="BP235" t="s">
        <v>923</v>
      </c>
      <c r="BQ235" t="str">
        <f t="shared" si="113"/>
        <v>1</v>
      </c>
      <c r="BT235">
        <v>44</v>
      </c>
      <c r="BU235" t="str">
        <f t="shared" si="116"/>
        <v>561044,562044,563044</v>
      </c>
      <c r="BV235">
        <f t="shared" si="114"/>
        <v>561044</v>
      </c>
      <c r="BW235">
        <f t="shared" si="115"/>
        <v>562044</v>
      </c>
      <c r="BX235">
        <f t="shared" si="117"/>
        <v>563044</v>
      </c>
      <c r="CF235" t="str">
        <f t="shared" si="121"/>
        <v>DATA_Class_Base49</v>
      </c>
      <c r="CG235" s="39" t="s">
        <v>384</v>
      </c>
    </row>
    <row r="236" spans="1:85" ht="27">
      <c r="A236">
        <f t="shared" si="122"/>
        <v>5065400</v>
      </c>
      <c r="B236" s="39" t="s">
        <v>1060</v>
      </c>
      <c r="C236">
        <v>6</v>
      </c>
      <c r="D236">
        <v>4</v>
      </c>
      <c r="E236">
        <v>5</v>
      </c>
      <c r="F236" t="s">
        <v>1357</v>
      </c>
      <c r="G236" t="str">
        <f t="shared" si="130"/>
        <v>法师0_56_5</v>
      </c>
      <c r="H236">
        <v>0</v>
      </c>
      <c r="I236" s="2" t="s">
        <v>364</v>
      </c>
      <c r="J236" s="2">
        <f t="shared" si="118"/>
        <v>5</v>
      </c>
      <c r="K236" s="2">
        <f t="shared" si="108"/>
        <v>1.02</v>
      </c>
      <c r="L236" s="2">
        <f t="shared" si="107"/>
        <v>1.02</v>
      </c>
      <c r="M236" s="2">
        <v>10</v>
      </c>
      <c r="N236" s="2">
        <f t="shared" si="128"/>
        <v>55.44</v>
      </c>
      <c r="O236" s="2">
        <f t="shared" si="128"/>
        <v>5.5440000000000005</v>
      </c>
      <c r="P236" s="2">
        <f t="shared" si="128"/>
        <v>982.80000000000007</v>
      </c>
      <c r="Q236" s="2">
        <f t="shared" si="123"/>
        <v>98.280000000000015</v>
      </c>
      <c r="R236" s="2">
        <f t="shared" si="123"/>
        <v>27</v>
      </c>
      <c r="S236" s="2">
        <f t="shared" si="123"/>
        <v>2.7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>
        <v>50554001</v>
      </c>
      <c r="Z236" s="14" t="s">
        <v>1358</v>
      </c>
      <c r="AA236" s="14" t="s">
        <v>890</v>
      </c>
      <c r="AB236">
        <v>5075400</v>
      </c>
      <c r="AC236" s="2">
        <v>19</v>
      </c>
      <c r="AD236" s="2"/>
      <c r="AE236" s="2"/>
      <c r="AF236">
        <v>1</v>
      </c>
      <c r="AG236" s="1">
        <f t="shared" si="109"/>
        <v>447.67713554513824</v>
      </c>
      <c r="AH236">
        <v>6</v>
      </c>
      <c r="AI236">
        <f t="shared" si="124"/>
        <v>55.44</v>
      </c>
      <c r="AJ236">
        <f t="shared" si="125"/>
        <v>5.5440000000000005</v>
      </c>
      <c r="AK236">
        <f t="shared" si="126"/>
        <v>982.80000000000007</v>
      </c>
      <c r="AL236">
        <f t="shared" si="127"/>
        <v>98.280000000000015</v>
      </c>
      <c r="AM236">
        <f t="shared" si="119"/>
        <v>27</v>
      </c>
      <c r="AN236">
        <f t="shared" si="120"/>
        <v>2.7</v>
      </c>
      <c r="AO236">
        <f t="shared" si="110"/>
        <v>1.4</v>
      </c>
      <c r="AP236">
        <f t="shared" si="111"/>
        <v>1.4</v>
      </c>
      <c r="AQ236">
        <f t="shared" si="112"/>
        <v>5</v>
      </c>
      <c r="AR236">
        <v>400</v>
      </c>
      <c r="AS236" s="1" t="str">
        <f t="shared" si="129"/>
        <v>0</v>
      </c>
      <c r="AT236">
        <v>5</v>
      </c>
      <c r="BP236" t="s">
        <v>986</v>
      </c>
      <c r="BQ236" t="str">
        <f t="shared" si="113"/>
        <v>0</v>
      </c>
      <c r="BT236">
        <v>45</v>
      </c>
      <c r="BU236" t="str">
        <f t="shared" si="116"/>
        <v>561045,562045,563045</v>
      </c>
      <c r="BV236">
        <f t="shared" si="114"/>
        <v>561045</v>
      </c>
      <c r="BW236">
        <f t="shared" si="115"/>
        <v>562045</v>
      </c>
      <c r="BX236">
        <f t="shared" si="117"/>
        <v>563045</v>
      </c>
      <c r="CF236" t="str">
        <f t="shared" si="121"/>
        <v>DATA_Class_Base58</v>
      </c>
      <c r="CG236" s="39" t="s">
        <v>174</v>
      </c>
    </row>
    <row r="237" spans="1:85" ht="27">
      <c r="A237">
        <f t="shared" si="122"/>
        <v>5065402</v>
      </c>
      <c r="B237" s="39" t="s">
        <v>1037</v>
      </c>
      <c r="C237">
        <v>6</v>
      </c>
      <c r="D237">
        <v>4</v>
      </c>
      <c r="E237">
        <v>5</v>
      </c>
      <c r="F237" t="s">
        <v>1359</v>
      </c>
      <c r="G237" t="str">
        <f t="shared" si="130"/>
        <v>法师2_56_5</v>
      </c>
      <c r="H237" s="2">
        <v>0</v>
      </c>
      <c r="I237" s="2" t="s">
        <v>250</v>
      </c>
      <c r="J237" s="2">
        <f t="shared" si="118"/>
        <v>5</v>
      </c>
      <c r="K237" s="2">
        <f t="shared" si="108"/>
        <v>1.1000000000000001</v>
      </c>
      <c r="L237" s="2">
        <f t="shared" si="107"/>
        <v>1.1000000000000001</v>
      </c>
      <c r="M237" s="2">
        <v>10</v>
      </c>
      <c r="N237" s="2">
        <f t="shared" si="128"/>
        <v>59.4</v>
      </c>
      <c r="O237" s="2">
        <f t="shared" si="128"/>
        <v>5.94</v>
      </c>
      <c r="P237" s="2">
        <f t="shared" si="128"/>
        <v>982.80000000000007</v>
      </c>
      <c r="Q237" s="2">
        <f t="shared" si="123"/>
        <v>98.280000000000015</v>
      </c>
      <c r="R237" s="2">
        <f t="shared" si="123"/>
        <v>27</v>
      </c>
      <c r="S237" s="2">
        <f t="shared" si="123"/>
        <v>2.7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>
        <v>50554021</v>
      </c>
      <c r="Z237" s="14" t="s">
        <v>1360</v>
      </c>
      <c r="AA237" s="14" t="s">
        <v>890</v>
      </c>
      <c r="AB237">
        <v>5075402</v>
      </c>
      <c r="AC237" s="2">
        <v>19</v>
      </c>
      <c r="AD237" s="2"/>
      <c r="AE237" s="2"/>
      <c r="AF237">
        <v>1</v>
      </c>
      <c r="AG237" s="1">
        <f t="shared" si="109"/>
        <v>447.67713554513824</v>
      </c>
      <c r="AH237">
        <v>6</v>
      </c>
      <c r="AI237">
        <f t="shared" si="124"/>
        <v>59.4</v>
      </c>
      <c r="AJ237">
        <f t="shared" si="125"/>
        <v>5.94</v>
      </c>
      <c r="AK237">
        <f t="shared" si="126"/>
        <v>982.80000000000007</v>
      </c>
      <c r="AL237">
        <f t="shared" si="127"/>
        <v>98.280000000000015</v>
      </c>
      <c r="AM237">
        <f t="shared" si="119"/>
        <v>27</v>
      </c>
      <c r="AN237">
        <f t="shared" si="120"/>
        <v>2.7</v>
      </c>
      <c r="AO237">
        <f t="shared" si="110"/>
        <v>1.5</v>
      </c>
      <c r="AP237">
        <f t="shared" si="111"/>
        <v>1.5</v>
      </c>
      <c r="AQ237">
        <f t="shared" si="112"/>
        <v>5</v>
      </c>
      <c r="AR237">
        <v>402</v>
      </c>
      <c r="AS237" s="1" t="str">
        <f t="shared" si="129"/>
        <v>2</v>
      </c>
      <c r="AT237">
        <v>5</v>
      </c>
      <c r="BP237" t="s">
        <v>971</v>
      </c>
      <c r="BQ237" t="str">
        <f t="shared" si="113"/>
        <v>2</v>
      </c>
      <c r="BT237">
        <v>46</v>
      </c>
      <c r="BU237" t="str">
        <f t="shared" si="116"/>
        <v>561046,562046,563046</v>
      </c>
      <c r="BV237">
        <f t="shared" si="114"/>
        <v>561046</v>
      </c>
      <c r="BW237">
        <f t="shared" si="115"/>
        <v>562046</v>
      </c>
      <c r="BX237">
        <f t="shared" si="117"/>
        <v>563046</v>
      </c>
      <c r="CF237" t="str">
        <f t="shared" si="121"/>
        <v>DATA_Class_Base51</v>
      </c>
      <c r="CG237" s="39" t="s">
        <v>1038</v>
      </c>
    </row>
    <row r="238" spans="1:85" ht="27">
      <c r="A238">
        <f t="shared" si="122"/>
        <v>5065500</v>
      </c>
      <c r="B238" s="39" t="s">
        <v>1041</v>
      </c>
      <c r="C238">
        <v>6</v>
      </c>
      <c r="D238">
        <v>5</v>
      </c>
      <c r="E238">
        <v>5</v>
      </c>
      <c r="F238" t="s">
        <v>1361</v>
      </c>
      <c r="G238" t="str">
        <f t="shared" si="130"/>
        <v>游侠0_56_5</v>
      </c>
      <c r="H238" s="2">
        <v>0</v>
      </c>
      <c r="I238" s="2" t="s">
        <v>303</v>
      </c>
      <c r="J238" s="2">
        <f t="shared" si="118"/>
        <v>5</v>
      </c>
      <c r="K238" s="2">
        <f t="shared" si="108"/>
        <v>1.1000000000000001</v>
      </c>
      <c r="L238" s="2">
        <f t="shared" si="107"/>
        <v>1.1000000000000001</v>
      </c>
      <c r="M238" s="2">
        <v>10</v>
      </c>
      <c r="N238" s="2">
        <f t="shared" si="128"/>
        <v>64.8</v>
      </c>
      <c r="O238" s="2">
        <f t="shared" si="128"/>
        <v>6.48</v>
      </c>
      <c r="P238" s="2">
        <f t="shared" si="128"/>
        <v>896.4</v>
      </c>
      <c r="Q238" s="2">
        <f t="shared" si="123"/>
        <v>89.64</v>
      </c>
      <c r="R238" s="2">
        <f t="shared" si="123"/>
        <v>24</v>
      </c>
      <c r="S238" s="2">
        <f t="shared" si="123"/>
        <v>2.4000000000000004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>
        <v>50555001</v>
      </c>
      <c r="Z238" s="14" t="s">
        <v>1362</v>
      </c>
      <c r="AA238" s="14" t="s">
        <v>890</v>
      </c>
      <c r="AB238">
        <v>5075500</v>
      </c>
      <c r="AC238" s="2">
        <v>19</v>
      </c>
      <c r="AD238" s="2"/>
      <c r="AE238" s="2"/>
      <c r="AF238">
        <v>1</v>
      </c>
      <c r="AG238" s="1">
        <f t="shared" si="109"/>
        <v>445.14543445391661</v>
      </c>
      <c r="AH238">
        <v>6</v>
      </c>
      <c r="AI238">
        <f t="shared" si="124"/>
        <v>64.8</v>
      </c>
      <c r="AJ238">
        <f t="shared" si="125"/>
        <v>6.48</v>
      </c>
      <c r="AK238">
        <f t="shared" si="126"/>
        <v>896.4</v>
      </c>
      <c r="AL238">
        <f t="shared" si="127"/>
        <v>89.64</v>
      </c>
      <c r="AM238">
        <f t="shared" si="119"/>
        <v>24</v>
      </c>
      <c r="AN238">
        <f t="shared" si="120"/>
        <v>2.4000000000000004</v>
      </c>
      <c r="AO238">
        <f t="shared" si="110"/>
        <v>1.5</v>
      </c>
      <c r="AP238">
        <f t="shared" si="111"/>
        <v>1.5</v>
      </c>
      <c r="AQ238">
        <f t="shared" si="112"/>
        <v>5</v>
      </c>
      <c r="AR238">
        <v>500</v>
      </c>
      <c r="AS238" s="1" t="str">
        <f t="shared" si="129"/>
        <v>0</v>
      </c>
      <c r="AT238">
        <v>5</v>
      </c>
      <c r="BP238" t="s">
        <v>956</v>
      </c>
      <c r="BQ238" t="str">
        <f t="shared" si="113"/>
        <v>0</v>
      </c>
      <c r="BT238">
        <v>47</v>
      </c>
      <c r="BU238" t="str">
        <f t="shared" si="116"/>
        <v>561047,562047,563047</v>
      </c>
      <c r="BV238">
        <f t="shared" si="114"/>
        <v>561047</v>
      </c>
      <c r="BW238">
        <f t="shared" si="115"/>
        <v>562047</v>
      </c>
      <c r="BX238">
        <f t="shared" si="117"/>
        <v>563047</v>
      </c>
      <c r="CF238" t="str">
        <f t="shared" si="121"/>
        <v>DATA_Class_Base52</v>
      </c>
      <c r="CG238" s="39" t="s">
        <v>184</v>
      </c>
    </row>
    <row r="239" spans="1:85" ht="27">
      <c r="A239">
        <f t="shared" si="122"/>
        <v>5065502</v>
      </c>
      <c r="B239" s="39" t="s">
        <v>1063</v>
      </c>
      <c r="C239">
        <v>6</v>
      </c>
      <c r="D239">
        <v>5</v>
      </c>
      <c r="E239">
        <v>5</v>
      </c>
      <c r="F239" t="s">
        <v>1363</v>
      </c>
      <c r="G239" t="str">
        <f t="shared" si="130"/>
        <v>游侠2_56_5</v>
      </c>
      <c r="H239">
        <v>0</v>
      </c>
      <c r="I239" s="2" t="s">
        <v>291</v>
      </c>
      <c r="J239" s="2">
        <f t="shared" si="118"/>
        <v>6</v>
      </c>
      <c r="K239" s="2">
        <f t="shared" si="108"/>
        <v>1.02</v>
      </c>
      <c r="L239" s="2">
        <f t="shared" si="107"/>
        <v>1.47</v>
      </c>
      <c r="M239" s="2">
        <v>10</v>
      </c>
      <c r="N239" s="2">
        <f t="shared" si="128"/>
        <v>60.47999999999999</v>
      </c>
      <c r="O239" s="2">
        <f t="shared" si="128"/>
        <v>6.0479999999999992</v>
      </c>
      <c r="P239" s="2">
        <f t="shared" si="128"/>
        <v>896.4</v>
      </c>
      <c r="Q239" s="2">
        <f t="shared" si="123"/>
        <v>89.64</v>
      </c>
      <c r="R239" s="2">
        <f t="shared" si="123"/>
        <v>24</v>
      </c>
      <c r="S239" s="2">
        <f t="shared" si="123"/>
        <v>2.4000000000000004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>
        <v>50555021</v>
      </c>
      <c r="Z239" s="14" t="s">
        <v>1364</v>
      </c>
      <c r="AA239" s="14" t="s">
        <v>890</v>
      </c>
      <c r="AB239">
        <v>5075502</v>
      </c>
      <c r="AC239" s="2">
        <v>19</v>
      </c>
      <c r="AD239" s="2"/>
      <c r="AE239" s="2"/>
      <c r="AF239">
        <v>1</v>
      </c>
      <c r="AG239" s="1">
        <f t="shared" si="109"/>
        <v>445.14543445391661</v>
      </c>
      <c r="AH239">
        <v>6</v>
      </c>
      <c r="AI239">
        <f t="shared" si="124"/>
        <v>60.47999999999999</v>
      </c>
      <c r="AJ239">
        <f t="shared" si="125"/>
        <v>6.0479999999999992</v>
      </c>
      <c r="AK239">
        <f t="shared" si="126"/>
        <v>896.4</v>
      </c>
      <c r="AL239">
        <f t="shared" si="127"/>
        <v>89.64</v>
      </c>
      <c r="AM239">
        <f t="shared" si="119"/>
        <v>24</v>
      </c>
      <c r="AN239">
        <f t="shared" si="120"/>
        <v>2.4000000000000004</v>
      </c>
      <c r="AO239">
        <f t="shared" si="110"/>
        <v>1.4</v>
      </c>
      <c r="AP239">
        <f t="shared" si="111"/>
        <v>2</v>
      </c>
      <c r="AQ239">
        <f t="shared" si="112"/>
        <v>6</v>
      </c>
      <c r="AR239">
        <v>502</v>
      </c>
      <c r="AS239" s="1" t="str">
        <f t="shared" si="129"/>
        <v>2</v>
      </c>
      <c r="AT239">
        <v>5</v>
      </c>
      <c r="BP239" t="s">
        <v>974</v>
      </c>
      <c r="BQ239" t="str">
        <f t="shared" si="113"/>
        <v>2</v>
      </c>
      <c r="BT239">
        <v>48</v>
      </c>
      <c r="BU239" t="str">
        <f t="shared" si="116"/>
        <v>561048,562048,563048</v>
      </c>
      <c r="BV239">
        <f t="shared" si="114"/>
        <v>561048</v>
      </c>
      <c r="BW239">
        <f t="shared" si="115"/>
        <v>562048</v>
      </c>
      <c r="BX239">
        <f t="shared" si="117"/>
        <v>563048</v>
      </c>
      <c r="CF239" t="str">
        <f t="shared" si="121"/>
        <v>DATA_Class_Base59</v>
      </c>
      <c r="CG239" s="39" t="s">
        <v>195</v>
      </c>
    </row>
    <row r="240" spans="1:85" ht="27">
      <c r="A240">
        <f t="shared" si="122"/>
        <v>5065600</v>
      </c>
      <c r="B240" s="39" t="s">
        <v>1047</v>
      </c>
      <c r="C240">
        <v>6</v>
      </c>
      <c r="D240">
        <v>6</v>
      </c>
      <c r="E240">
        <v>5</v>
      </c>
      <c r="F240" t="s">
        <v>1365</v>
      </c>
      <c r="G240" t="str">
        <f t="shared" si="130"/>
        <v>牧师0_56_5</v>
      </c>
      <c r="H240">
        <v>0</v>
      </c>
      <c r="I240" s="2" t="s">
        <v>339</v>
      </c>
      <c r="J240" s="2">
        <f t="shared" si="118"/>
        <v>4</v>
      </c>
      <c r="K240" s="2">
        <f t="shared" si="108"/>
        <v>1.02</v>
      </c>
      <c r="L240" s="2">
        <f t="shared" si="107"/>
        <v>1.3900000000000001</v>
      </c>
      <c r="M240" s="2">
        <v>10</v>
      </c>
      <c r="N240" s="2">
        <f t="shared" si="128"/>
        <v>50.399999999999991</v>
      </c>
      <c r="O240" s="2">
        <f t="shared" si="128"/>
        <v>5.0399999999999991</v>
      </c>
      <c r="P240" s="2">
        <f t="shared" si="128"/>
        <v>1080</v>
      </c>
      <c r="Q240" s="2">
        <f t="shared" si="123"/>
        <v>108</v>
      </c>
      <c r="R240" s="2">
        <f t="shared" si="123"/>
        <v>30</v>
      </c>
      <c r="S240" s="2">
        <f t="shared" si="123"/>
        <v>3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>
        <v>50556001</v>
      </c>
      <c r="Z240" s="14" t="s">
        <v>1366</v>
      </c>
      <c r="AA240" s="14" t="s">
        <v>890</v>
      </c>
      <c r="AB240">
        <v>5075600</v>
      </c>
      <c r="AC240" s="2">
        <v>19</v>
      </c>
      <c r="AD240" s="2"/>
      <c r="AE240" s="2"/>
      <c r="AF240">
        <v>1</v>
      </c>
      <c r="AG240" s="1">
        <f t="shared" si="109"/>
        <v>447.52703845379511</v>
      </c>
      <c r="AH240">
        <v>6</v>
      </c>
      <c r="AI240">
        <f t="shared" si="124"/>
        <v>50.399999999999991</v>
      </c>
      <c r="AJ240">
        <f t="shared" si="125"/>
        <v>5.0399999999999991</v>
      </c>
      <c r="AK240">
        <f t="shared" si="126"/>
        <v>1080</v>
      </c>
      <c r="AL240">
        <f t="shared" si="127"/>
        <v>108</v>
      </c>
      <c r="AM240">
        <f t="shared" si="119"/>
        <v>30</v>
      </c>
      <c r="AN240">
        <f t="shared" si="120"/>
        <v>3</v>
      </c>
      <c r="AO240">
        <f t="shared" si="110"/>
        <v>1.4</v>
      </c>
      <c r="AP240">
        <f t="shared" si="111"/>
        <v>1.9</v>
      </c>
      <c r="AQ240">
        <f t="shared" si="112"/>
        <v>4</v>
      </c>
      <c r="AR240">
        <v>600</v>
      </c>
      <c r="AS240" s="1" t="str">
        <f t="shared" si="129"/>
        <v>0</v>
      </c>
      <c r="AT240">
        <v>5</v>
      </c>
      <c r="BP240" t="s">
        <v>990</v>
      </c>
      <c r="BQ240" t="str">
        <f t="shared" si="113"/>
        <v>0</v>
      </c>
      <c r="BT240">
        <v>49</v>
      </c>
      <c r="BU240" t="str">
        <f t="shared" si="116"/>
        <v>561049,562049,563049</v>
      </c>
      <c r="BV240">
        <f t="shared" si="114"/>
        <v>561049</v>
      </c>
      <c r="BW240">
        <f t="shared" si="115"/>
        <v>562049</v>
      </c>
      <c r="BX240">
        <f t="shared" si="117"/>
        <v>563049</v>
      </c>
      <c r="CF240" t="str">
        <f t="shared" si="121"/>
        <v>DATA_Class_Base54</v>
      </c>
      <c r="CG240" s="39" t="s">
        <v>198</v>
      </c>
    </row>
    <row r="241" spans="1:85" ht="27">
      <c r="A241">
        <f t="shared" si="122"/>
        <v>5065602</v>
      </c>
      <c r="B241" s="39" t="s">
        <v>1066</v>
      </c>
      <c r="C241">
        <v>6</v>
      </c>
      <c r="D241">
        <v>6</v>
      </c>
      <c r="E241">
        <v>5</v>
      </c>
      <c r="F241" t="s">
        <v>1367</v>
      </c>
      <c r="G241" t="str">
        <f t="shared" si="130"/>
        <v>牧师2_56_5</v>
      </c>
      <c r="H241" t="s">
        <v>345</v>
      </c>
      <c r="I241" s="2" t="s">
        <v>346</v>
      </c>
      <c r="J241" s="2">
        <f t="shared" si="118"/>
        <v>6</v>
      </c>
      <c r="K241" s="2">
        <f t="shared" si="108"/>
        <v>1.32</v>
      </c>
      <c r="L241" s="2">
        <f t="shared" si="107"/>
        <v>1.47</v>
      </c>
      <c r="M241" s="2">
        <v>10</v>
      </c>
      <c r="N241" s="2">
        <f t="shared" si="128"/>
        <v>64.8</v>
      </c>
      <c r="O241" s="2">
        <f t="shared" si="128"/>
        <v>6.48</v>
      </c>
      <c r="P241" s="2">
        <f t="shared" si="128"/>
        <v>1080</v>
      </c>
      <c r="Q241" s="2">
        <f t="shared" si="123"/>
        <v>108</v>
      </c>
      <c r="R241" s="2">
        <f t="shared" si="123"/>
        <v>30</v>
      </c>
      <c r="S241" s="2">
        <f t="shared" si="123"/>
        <v>3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>
        <v>50556021</v>
      </c>
      <c r="Z241" s="14" t="s">
        <v>1368</v>
      </c>
      <c r="AA241" s="14" t="s">
        <v>890</v>
      </c>
      <c r="AB241">
        <v>5075602</v>
      </c>
      <c r="AC241" s="2">
        <v>19</v>
      </c>
      <c r="AD241" s="2"/>
      <c r="AE241" s="2"/>
      <c r="AF241">
        <v>1</v>
      </c>
      <c r="AG241" s="1">
        <f t="shared" si="109"/>
        <v>447.52703845379511</v>
      </c>
      <c r="AH241">
        <v>6</v>
      </c>
      <c r="AI241">
        <f t="shared" si="124"/>
        <v>64.8</v>
      </c>
      <c r="AJ241">
        <f t="shared" si="125"/>
        <v>6.48</v>
      </c>
      <c r="AK241">
        <f t="shared" si="126"/>
        <v>1080</v>
      </c>
      <c r="AL241">
        <f t="shared" si="127"/>
        <v>108</v>
      </c>
      <c r="AM241">
        <f t="shared" si="119"/>
        <v>30</v>
      </c>
      <c r="AN241">
        <f t="shared" si="120"/>
        <v>3</v>
      </c>
      <c r="AO241">
        <f t="shared" si="110"/>
        <v>1.8</v>
      </c>
      <c r="AP241">
        <f t="shared" si="111"/>
        <v>2</v>
      </c>
      <c r="AQ241">
        <f t="shared" si="112"/>
        <v>6</v>
      </c>
      <c r="AR241">
        <v>602</v>
      </c>
      <c r="AS241" s="1" t="str">
        <f t="shared" si="129"/>
        <v>2</v>
      </c>
      <c r="AT241">
        <v>5</v>
      </c>
      <c r="BP241" t="s">
        <v>978</v>
      </c>
      <c r="BQ241" t="str">
        <f t="shared" si="113"/>
        <v>2</v>
      </c>
      <c r="BT241">
        <v>50</v>
      </c>
      <c r="BU241" t="str">
        <f t="shared" si="116"/>
        <v>561050,562050,563050</v>
      </c>
      <c r="BV241">
        <f t="shared" si="114"/>
        <v>561050</v>
      </c>
      <c r="BW241">
        <f t="shared" si="115"/>
        <v>562050</v>
      </c>
      <c r="BX241">
        <f t="shared" si="117"/>
        <v>563050</v>
      </c>
      <c r="CF241" t="str">
        <f t="shared" si="121"/>
        <v>DATA_Class_Base60</v>
      </c>
      <c r="CG241" s="39" t="s">
        <v>407</v>
      </c>
    </row>
    <row r="242" spans="1:85">
      <c r="A242">
        <f t="shared" si="122"/>
        <v>5071200</v>
      </c>
      <c r="B242" s="40" t="s">
        <v>1021</v>
      </c>
      <c r="C242">
        <v>7</v>
      </c>
      <c r="D242">
        <v>2</v>
      </c>
      <c r="E242">
        <v>1</v>
      </c>
      <c r="F242" t="s">
        <v>1269</v>
      </c>
      <c r="G242" t="str">
        <f t="shared" si="130"/>
        <v>战士0_56_1</v>
      </c>
      <c r="H242">
        <v>0</v>
      </c>
      <c r="I242" s="2" t="s">
        <v>314</v>
      </c>
      <c r="J242" s="2">
        <f t="shared" si="118"/>
        <v>2.5</v>
      </c>
      <c r="K242" s="2">
        <f t="shared" si="108"/>
        <v>1.1000000000000001</v>
      </c>
      <c r="L242" s="2">
        <f t="shared" si="107"/>
        <v>0.88</v>
      </c>
      <c r="M242" s="2">
        <v>10</v>
      </c>
      <c r="N242" s="2">
        <f t="shared" si="128"/>
        <v>48.000000000000007</v>
      </c>
      <c r="O242" s="2">
        <f t="shared" si="128"/>
        <v>4.8000000000000007</v>
      </c>
      <c r="P242" s="2">
        <f t="shared" si="128"/>
        <v>1500</v>
      </c>
      <c r="Q242" s="2">
        <f t="shared" si="123"/>
        <v>150</v>
      </c>
      <c r="R242" s="2">
        <f t="shared" si="123"/>
        <v>36</v>
      </c>
      <c r="S242" s="2">
        <f t="shared" si="123"/>
        <v>3.6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>
        <v>50512001</v>
      </c>
      <c r="Z242" s="14" t="s">
        <v>1369</v>
      </c>
      <c r="AA242" s="14" t="s">
        <v>890</v>
      </c>
      <c r="AB242">
        <v>5081200</v>
      </c>
      <c r="AC242" s="2">
        <v>31</v>
      </c>
      <c r="AD242" s="2"/>
      <c r="AE242" s="2"/>
      <c r="AF242">
        <v>1</v>
      </c>
      <c r="AG242" s="1">
        <f t="shared" si="109"/>
        <v>553.23764212563515</v>
      </c>
      <c r="AH242">
        <v>7</v>
      </c>
      <c r="AI242">
        <f t="shared" si="124"/>
        <v>48.000000000000007</v>
      </c>
      <c r="AJ242">
        <f t="shared" si="125"/>
        <v>4.8000000000000007</v>
      </c>
      <c r="AK242">
        <f t="shared" si="126"/>
        <v>1500</v>
      </c>
      <c r="AL242">
        <f t="shared" si="127"/>
        <v>150</v>
      </c>
      <c r="AM242">
        <f t="shared" si="119"/>
        <v>36</v>
      </c>
      <c r="AN242">
        <f t="shared" si="120"/>
        <v>3.6</v>
      </c>
      <c r="AO242">
        <f t="shared" si="110"/>
        <v>1.5</v>
      </c>
      <c r="AP242">
        <f t="shared" si="111"/>
        <v>1.2</v>
      </c>
      <c r="AQ242">
        <f t="shared" si="112"/>
        <v>2.5</v>
      </c>
      <c r="AR242">
        <v>200</v>
      </c>
      <c r="AS242" s="1" t="str">
        <f t="shared" si="129"/>
        <v>0</v>
      </c>
      <c r="AT242">
        <v>5</v>
      </c>
      <c r="BP242" t="s">
        <v>964</v>
      </c>
      <c r="BQ242" t="str">
        <f t="shared" si="113"/>
        <v>0</v>
      </c>
      <c r="BT242">
        <v>1</v>
      </c>
      <c r="BU242" t="str">
        <f t="shared" si="116"/>
        <v>571001,562001,563001</v>
      </c>
      <c r="BV242">
        <f t="shared" si="114"/>
        <v>571001</v>
      </c>
      <c r="BW242">
        <f>$AT242*100000+6*10000+2*1000+$BT242</f>
        <v>562001</v>
      </c>
      <c r="BX242">
        <f>$AT242*100000+6*10000+3*1000+$BT242</f>
        <v>563001</v>
      </c>
      <c r="CF242" t="str">
        <f t="shared" si="121"/>
        <v>DATA_Class_Base46</v>
      </c>
      <c r="CG242" s="40" t="s">
        <v>1022</v>
      </c>
    </row>
    <row r="243" spans="1:85" ht="27">
      <c r="A243">
        <f t="shared" si="122"/>
        <v>5071201</v>
      </c>
      <c r="B243" s="41" t="s">
        <v>1025</v>
      </c>
      <c r="C243">
        <v>7</v>
      </c>
      <c r="D243">
        <v>2</v>
      </c>
      <c r="E243">
        <v>1</v>
      </c>
      <c r="F243" t="s">
        <v>1271</v>
      </c>
      <c r="G243" t="str">
        <f t="shared" si="130"/>
        <v>战士1_56_1</v>
      </c>
      <c r="H243" s="2">
        <v>0</v>
      </c>
      <c r="I243" s="2" t="s">
        <v>298</v>
      </c>
      <c r="J243" s="2">
        <f t="shared" si="118"/>
        <v>2.5</v>
      </c>
      <c r="K243" s="2">
        <f t="shared" si="108"/>
        <v>1.32</v>
      </c>
      <c r="L243" s="2">
        <f t="shared" si="107"/>
        <v>1.32</v>
      </c>
      <c r="M243" s="2">
        <v>10</v>
      </c>
      <c r="N243" s="2">
        <f t="shared" si="128"/>
        <v>57.6</v>
      </c>
      <c r="O243" s="2">
        <f t="shared" si="128"/>
        <v>5.7600000000000007</v>
      </c>
      <c r="P243" s="2">
        <f t="shared" si="128"/>
        <v>1500</v>
      </c>
      <c r="Q243" s="2">
        <f t="shared" si="123"/>
        <v>150</v>
      </c>
      <c r="R243" s="2">
        <f t="shared" si="123"/>
        <v>36</v>
      </c>
      <c r="S243" s="2">
        <f t="shared" si="123"/>
        <v>3.6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>
        <v>50512011</v>
      </c>
      <c r="Z243" s="14" t="s">
        <v>1370</v>
      </c>
      <c r="AA243" s="14" t="s">
        <v>890</v>
      </c>
      <c r="AB243">
        <v>5081201</v>
      </c>
      <c r="AC243" s="2">
        <v>31</v>
      </c>
      <c r="AD243" s="2"/>
      <c r="AE243" s="2"/>
      <c r="AF243">
        <v>1</v>
      </c>
      <c r="AG243" s="1">
        <f t="shared" si="109"/>
        <v>553.23764212563515</v>
      </c>
      <c r="AH243">
        <v>7</v>
      </c>
      <c r="AI243">
        <f t="shared" si="124"/>
        <v>57.6</v>
      </c>
      <c r="AJ243">
        <f t="shared" si="125"/>
        <v>5.7600000000000007</v>
      </c>
      <c r="AK243">
        <f t="shared" si="126"/>
        <v>1500</v>
      </c>
      <c r="AL243">
        <f t="shared" si="127"/>
        <v>150</v>
      </c>
      <c r="AM243">
        <f t="shared" si="119"/>
        <v>36</v>
      </c>
      <c r="AN243">
        <f t="shared" si="120"/>
        <v>3.6</v>
      </c>
      <c r="AO243">
        <f t="shared" si="110"/>
        <v>1.8</v>
      </c>
      <c r="AP243">
        <f t="shared" si="111"/>
        <v>1.8</v>
      </c>
      <c r="AQ243">
        <f t="shared" si="112"/>
        <v>2.5</v>
      </c>
      <c r="AR243">
        <v>201</v>
      </c>
      <c r="AS243" s="1" t="str">
        <f t="shared" si="129"/>
        <v>1</v>
      </c>
      <c r="AT243">
        <v>5</v>
      </c>
      <c r="BP243" t="s">
        <v>913</v>
      </c>
      <c r="BQ243" t="str">
        <f t="shared" si="113"/>
        <v>1</v>
      </c>
      <c r="BT243">
        <v>2</v>
      </c>
      <c r="BU243" t="str">
        <f t="shared" si="116"/>
        <v>571002,562002,563002</v>
      </c>
      <c r="BV243">
        <f t="shared" si="114"/>
        <v>571002</v>
      </c>
      <c r="BW243">
        <f t="shared" ref="BW243:BW291" si="131">$AT243*100000+6*10000+2*1000+$BT243</f>
        <v>562002</v>
      </c>
      <c r="BX243">
        <f t="shared" ref="BX243:BX306" si="132">$AT243*100000+6*10000+3*1000+$BT243</f>
        <v>563002</v>
      </c>
      <c r="CF243" t="str">
        <f t="shared" si="121"/>
        <v>DATA_Class_Base47</v>
      </c>
      <c r="CG243" s="41" t="s">
        <v>378</v>
      </c>
    </row>
    <row r="244" spans="1:85" ht="27">
      <c r="A244">
        <f t="shared" si="122"/>
        <v>5071300</v>
      </c>
      <c r="B244" s="41" t="s">
        <v>1028</v>
      </c>
      <c r="C244">
        <v>7</v>
      </c>
      <c r="D244">
        <v>3</v>
      </c>
      <c r="E244">
        <v>1</v>
      </c>
      <c r="F244" t="s">
        <v>1273</v>
      </c>
      <c r="G244" t="str">
        <f t="shared" si="130"/>
        <v>刺客0_56_1</v>
      </c>
      <c r="H244">
        <v>0</v>
      </c>
      <c r="I244" s="2" t="s">
        <v>352</v>
      </c>
      <c r="J244" s="2">
        <f t="shared" si="118"/>
        <v>4</v>
      </c>
      <c r="K244" s="2">
        <f t="shared" si="108"/>
        <v>0.95000000000000007</v>
      </c>
      <c r="L244" s="2">
        <f t="shared" si="107"/>
        <v>1.3900000000000001</v>
      </c>
      <c r="M244" s="2">
        <v>10</v>
      </c>
      <c r="N244" s="2">
        <f t="shared" si="128"/>
        <v>46.800000000000011</v>
      </c>
      <c r="O244" s="2">
        <f t="shared" si="128"/>
        <v>4.6800000000000015</v>
      </c>
      <c r="P244" s="2">
        <f t="shared" si="128"/>
        <v>1332.0000000000002</v>
      </c>
      <c r="Q244" s="2">
        <f t="shared" si="123"/>
        <v>133.20000000000002</v>
      </c>
      <c r="R244" s="2">
        <f t="shared" si="123"/>
        <v>33</v>
      </c>
      <c r="S244" s="2">
        <f t="shared" si="123"/>
        <v>3.3000000000000003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>
        <v>50513001</v>
      </c>
      <c r="Z244" s="14" t="s">
        <v>1371</v>
      </c>
      <c r="AA244" s="14" t="s">
        <v>890</v>
      </c>
      <c r="AB244">
        <v>5081300</v>
      </c>
      <c r="AC244" s="2">
        <v>31</v>
      </c>
      <c r="AD244" s="2"/>
      <c r="AE244" s="2"/>
      <c r="AF244">
        <v>1</v>
      </c>
      <c r="AG244" s="1">
        <f t="shared" si="109"/>
        <v>552.31696516711349</v>
      </c>
      <c r="AH244">
        <v>7</v>
      </c>
      <c r="AI244">
        <f t="shared" si="124"/>
        <v>46.800000000000011</v>
      </c>
      <c r="AJ244">
        <f t="shared" si="125"/>
        <v>4.6800000000000015</v>
      </c>
      <c r="AK244">
        <f t="shared" si="126"/>
        <v>1332.0000000000002</v>
      </c>
      <c r="AL244">
        <f t="shared" si="127"/>
        <v>133.20000000000002</v>
      </c>
      <c r="AM244">
        <f t="shared" si="119"/>
        <v>33</v>
      </c>
      <c r="AN244">
        <f t="shared" si="120"/>
        <v>3.3000000000000003</v>
      </c>
      <c r="AO244">
        <f t="shared" si="110"/>
        <v>1.3</v>
      </c>
      <c r="AP244">
        <f t="shared" si="111"/>
        <v>1.9</v>
      </c>
      <c r="AQ244">
        <f t="shared" si="112"/>
        <v>4</v>
      </c>
      <c r="AR244">
        <v>300</v>
      </c>
      <c r="AS244" s="1" t="str">
        <f t="shared" si="129"/>
        <v>0</v>
      </c>
      <c r="AT244">
        <v>5</v>
      </c>
      <c r="BP244" t="s">
        <v>967</v>
      </c>
      <c r="BQ244" t="str">
        <f t="shared" si="113"/>
        <v>0</v>
      </c>
      <c r="BT244">
        <v>3</v>
      </c>
      <c r="BU244" t="str">
        <f t="shared" si="116"/>
        <v>571003,562003,563003</v>
      </c>
      <c r="BV244">
        <f t="shared" si="114"/>
        <v>571003</v>
      </c>
      <c r="BW244">
        <f t="shared" si="131"/>
        <v>562003</v>
      </c>
      <c r="BX244">
        <f t="shared" si="132"/>
        <v>563003</v>
      </c>
      <c r="CF244" t="str">
        <f t="shared" si="121"/>
        <v>DATA_Class_Base48</v>
      </c>
      <c r="CG244" s="41" t="s">
        <v>411</v>
      </c>
    </row>
    <row r="245" spans="1:85" ht="27">
      <c r="A245">
        <f t="shared" si="122"/>
        <v>5071301</v>
      </c>
      <c r="B245" s="41" t="s">
        <v>1031</v>
      </c>
      <c r="C245">
        <v>7</v>
      </c>
      <c r="D245">
        <v>3</v>
      </c>
      <c r="E245">
        <v>1</v>
      </c>
      <c r="F245" t="s">
        <v>1275</v>
      </c>
      <c r="G245" t="str">
        <f t="shared" si="130"/>
        <v>刺客1_56_1</v>
      </c>
      <c r="H245" s="2">
        <v>0</v>
      </c>
      <c r="I245" s="2" t="s">
        <v>285</v>
      </c>
      <c r="J245" s="2">
        <f t="shared" si="118"/>
        <v>2.5</v>
      </c>
      <c r="K245" s="2">
        <f t="shared" si="108"/>
        <v>0.88</v>
      </c>
      <c r="L245" s="2">
        <f t="shared" si="107"/>
        <v>1.47</v>
      </c>
      <c r="M245" s="2">
        <v>10</v>
      </c>
      <c r="N245" s="2">
        <f t="shared" si="128"/>
        <v>43.2</v>
      </c>
      <c r="O245" s="2">
        <f t="shared" si="128"/>
        <v>4.32</v>
      </c>
      <c r="P245" s="2">
        <f t="shared" si="128"/>
        <v>1332.0000000000002</v>
      </c>
      <c r="Q245" s="2">
        <f t="shared" si="123"/>
        <v>133.20000000000002</v>
      </c>
      <c r="R245" s="2">
        <f t="shared" si="123"/>
        <v>33</v>
      </c>
      <c r="S245" s="2">
        <f t="shared" si="123"/>
        <v>3.3000000000000003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>
        <v>50513011</v>
      </c>
      <c r="Z245" s="14" t="s">
        <v>1372</v>
      </c>
      <c r="AA245" s="14" t="s">
        <v>890</v>
      </c>
      <c r="AB245">
        <v>5081301</v>
      </c>
      <c r="AC245" s="2">
        <v>31</v>
      </c>
      <c r="AD245" s="2"/>
      <c r="AE245" s="2"/>
      <c r="AF245">
        <v>1</v>
      </c>
      <c r="AG245" s="1">
        <f t="shared" si="109"/>
        <v>552.31696516711349</v>
      </c>
      <c r="AH245">
        <v>7</v>
      </c>
      <c r="AI245">
        <f t="shared" si="124"/>
        <v>43.2</v>
      </c>
      <c r="AJ245">
        <f t="shared" si="125"/>
        <v>4.32</v>
      </c>
      <c r="AK245">
        <f t="shared" si="126"/>
        <v>1332.0000000000002</v>
      </c>
      <c r="AL245">
        <f t="shared" si="127"/>
        <v>133.20000000000002</v>
      </c>
      <c r="AM245">
        <f t="shared" si="119"/>
        <v>33</v>
      </c>
      <c r="AN245">
        <f t="shared" si="120"/>
        <v>3.3000000000000003</v>
      </c>
      <c r="AO245">
        <f t="shared" si="110"/>
        <v>1.2</v>
      </c>
      <c r="AP245">
        <f t="shared" si="111"/>
        <v>2</v>
      </c>
      <c r="AQ245">
        <f t="shared" si="112"/>
        <v>2.5</v>
      </c>
      <c r="AR245">
        <v>301</v>
      </c>
      <c r="AS245" s="1" t="str">
        <f t="shared" si="129"/>
        <v>1</v>
      </c>
      <c r="AT245">
        <v>5</v>
      </c>
      <c r="BP245" t="s">
        <v>923</v>
      </c>
      <c r="BQ245" t="str">
        <f t="shared" si="113"/>
        <v>1</v>
      </c>
      <c r="BT245">
        <v>4</v>
      </c>
      <c r="BU245" t="str">
        <f t="shared" si="116"/>
        <v>571004,562004,563004</v>
      </c>
      <c r="BV245">
        <f t="shared" si="114"/>
        <v>571004</v>
      </c>
      <c r="BW245">
        <f t="shared" si="131"/>
        <v>562004</v>
      </c>
      <c r="BX245">
        <f t="shared" si="132"/>
        <v>563004</v>
      </c>
      <c r="CF245" t="str">
        <f t="shared" si="121"/>
        <v>DATA_Class_Base49</v>
      </c>
      <c r="CG245" s="41" t="s">
        <v>384</v>
      </c>
    </row>
    <row r="246" spans="1:85" ht="27">
      <c r="A246">
        <f t="shared" si="122"/>
        <v>5071401</v>
      </c>
      <c r="B246" s="41" t="s">
        <v>1034</v>
      </c>
      <c r="C246">
        <v>7</v>
      </c>
      <c r="D246">
        <v>4</v>
      </c>
      <c r="E246">
        <v>1</v>
      </c>
      <c r="F246" t="s">
        <v>1277</v>
      </c>
      <c r="G246" t="str">
        <f t="shared" si="130"/>
        <v>法师1_56_1</v>
      </c>
      <c r="H246">
        <v>0</v>
      </c>
      <c r="I246" s="2" t="s">
        <v>161</v>
      </c>
      <c r="J246" s="2">
        <f t="shared" si="118"/>
        <v>6</v>
      </c>
      <c r="K246" s="2">
        <f t="shared" si="108"/>
        <v>1.17</v>
      </c>
      <c r="L246" s="2">
        <f t="shared" si="107"/>
        <v>1.47</v>
      </c>
      <c r="M246" s="2">
        <v>10</v>
      </c>
      <c r="N246" s="2">
        <f t="shared" si="128"/>
        <v>70.40000000000002</v>
      </c>
      <c r="O246" s="2">
        <f t="shared" si="128"/>
        <v>7.0400000000000027</v>
      </c>
      <c r="P246" s="2">
        <f t="shared" si="128"/>
        <v>1092</v>
      </c>
      <c r="Q246" s="2">
        <f t="shared" si="123"/>
        <v>109.2</v>
      </c>
      <c r="R246" s="2">
        <f t="shared" si="123"/>
        <v>27</v>
      </c>
      <c r="S246" s="2">
        <f t="shared" si="123"/>
        <v>2.7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>
        <v>50514011</v>
      </c>
      <c r="Z246" s="14" t="s">
        <v>1373</v>
      </c>
      <c r="AA246" s="14" t="s">
        <v>890</v>
      </c>
      <c r="AB246">
        <v>5081401</v>
      </c>
      <c r="AC246" s="2">
        <v>31</v>
      </c>
      <c r="AD246" s="2"/>
      <c r="AE246" s="2"/>
      <c r="AF246">
        <v>1</v>
      </c>
      <c r="AG246" s="1">
        <f t="shared" si="109"/>
        <v>552.68782166066455</v>
      </c>
      <c r="AH246">
        <v>7</v>
      </c>
      <c r="AI246">
        <f t="shared" si="124"/>
        <v>70.40000000000002</v>
      </c>
      <c r="AJ246">
        <f t="shared" si="125"/>
        <v>7.0400000000000027</v>
      </c>
      <c r="AK246">
        <f t="shared" si="126"/>
        <v>1092</v>
      </c>
      <c r="AL246">
        <f t="shared" si="127"/>
        <v>109.2</v>
      </c>
      <c r="AM246">
        <f t="shared" si="119"/>
        <v>27</v>
      </c>
      <c r="AN246">
        <f t="shared" si="120"/>
        <v>2.7</v>
      </c>
      <c r="AO246">
        <f t="shared" si="110"/>
        <v>1.6</v>
      </c>
      <c r="AP246">
        <f t="shared" si="111"/>
        <v>2</v>
      </c>
      <c r="AQ246">
        <f t="shared" si="112"/>
        <v>6</v>
      </c>
      <c r="AR246">
        <v>401</v>
      </c>
      <c r="AS246" s="1" t="str">
        <f t="shared" si="129"/>
        <v>1</v>
      </c>
      <c r="AT246">
        <v>5</v>
      </c>
      <c r="BP246" t="s">
        <v>953</v>
      </c>
      <c r="BQ246" t="str">
        <f t="shared" si="113"/>
        <v>1</v>
      </c>
      <c r="BT246">
        <v>5</v>
      </c>
      <c r="BU246" t="str">
        <f t="shared" si="116"/>
        <v>571005,562005,563005</v>
      </c>
      <c r="BV246">
        <f t="shared" si="114"/>
        <v>571005</v>
      </c>
      <c r="BW246">
        <f t="shared" si="131"/>
        <v>562005</v>
      </c>
      <c r="BX246">
        <f t="shared" si="132"/>
        <v>563005</v>
      </c>
      <c r="CF246" t="str">
        <f t="shared" si="121"/>
        <v>DATA_Class_Base50</v>
      </c>
      <c r="CG246" s="41" t="s">
        <v>176</v>
      </c>
    </row>
    <row r="247" spans="1:85" ht="27">
      <c r="A247">
        <f t="shared" si="122"/>
        <v>5071402</v>
      </c>
      <c r="B247" s="41" t="s">
        <v>1037</v>
      </c>
      <c r="C247">
        <v>7</v>
      </c>
      <c r="D247">
        <v>4</v>
      </c>
      <c r="E247">
        <v>1</v>
      </c>
      <c r="F247" t="s">
        <v>1279</v>
      </c>
      <c r="G247" t="str">
        <f t="shared" si="130"/>
        <v>法师2_56_1</v>
      </c>
      <c r="H247" s="2">
        <v>0</v>
      </c>
      <c r="I247" s="2" t="s">
        <v>250</v>
      </c>
      <c r="J247" s="2">
        <f t="shared" si="118"/>
        <v>5</v>
      </c>
      <c r="K247" s="2">
        <f t="shared" si="108"/>
        <v>1.1000000000000001</v>
      </c>
      <c r="L247" s="2">
        <f t="shared" si="107"/>
        <v>1.1000000000000001</v>
      </c>
      <c r="M247" s="2">
        <v>10</v>
      </c>
      <c r="N247" s="2">
        <f t="shared" si="128"/>
        <v>66</v>
      </c>
      <c r="O247" s="2">
        <f t="shared" si="128"/>
        <v>6.6000000000000005</v>
      </c>
      <c r="P247" s="2">
        <f t="shared" si="128"/>
        <v>1092</v>
      </c>
      <c r="Q247" s="2">
        <f t="shared" si="123"/>
        <v>109.2</v>
      </c>
      <c r="R247" s="2">
        <f t="shared" si="123"/>
        <v>27</v>
      </c>
      <c r="S247" s="2">
        <f t="shared" si="123"/>
        <v>2.7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>
        <v>50514021</v>
      </c>
      <c r="Z247" s="14" t="s">
        <v>1374</v>
      </c>
      <c r="AA247" s="14" t="s">
        <v>890</v>
      </c>
      <c r="AB247">
        <v>5081402</v>
      </c>
      <c r="AC247" s="2">
        <v>31</v>
      </c>
      <c r="AD247" s="2"/>
      <c r="AE247" s="2"/>
      <c r="AF247">
        <v>1</v>
      </c>
      <c r="AG247" s="1">
        <f t="shared" si="109"/>
        <v>552.68782166066433</v>
      </c>
      <c r="AH247">
        <v>7</v>
      </c>
      <c r="AI247">
        <f t="shared" si="124"/>
        <v>66</v>
      </c>
      <c r="AJ247">
        <f t="shared" si="125"/>
        <v>6.6000000000000005</v>
      </c>
      <c r="AK247">
        <f t="shared" si="126"/>
        <v>1092</v>
      </c>
      <c r="AL247">
        <f t="shared" si="127"/>
        <v>109.2</v>
      </c>
      <c r="AM247">
        <f t="shared" si="119"/>
        <v>27</v>
      </c>
      <c r="AN247">
        <f t="shared" si="120"/>
        <v>2.7</v>
      </c>
      <c r="AO247">
        <f t="shared" si="110"/>
        <v>1.5</v>
      </c>
      <c r="AP247">
        <f t="shared" si="111"/>
        <v>1.5</v>
      </c>
      <c r="AQ247">
        <f t="shared" si="112"/>
        <v>5</v>
      </c>
      <c r="AR247">
        <v>402</v>
      </c>
      <c r="AS247" s="1" t="str">
        <f t="shared" si="129"/>
        <v>2</v>
      </c>
      <c r="AT247">
        <v>5</v>
      </c>
      <c r="BP247" t="s">
        <v>971</v>
      </c>
      <c r="BQ247" t="str">
        <f t="shared" si="113"/>
        <v>2</v>
      </c>
      <c r="BT247">
        <v>6</v>
      </c>
      <c r="BU247" t="str">
        <f t="shared" si="116"/>
        <v>571006,562006,563006</v>
      </c>
      <c r="BV247">
        <f t="shared" si="114"/>
        <v>571006</v>
      </c>
      <c r="BW247">
        <f t="shared" si="131"/>
        <v>562006</v>
      </c>
      <c r="BX247">
        <f t="shared" si="132"/>
        <v>563006</v>
      </c>
      <c r="CF247" t="str">
        <f t="shared" si="121"/>
        <v>DATA_Class_Base51</v>
      </c>
      <c r="CG247" s="41" t="s">
        <v>1038</v>
      </c>
    </row>
    <row r="248" spans="1:85" ht="27">
      <c r="A248">
        <f t="shared" si="122"/>
        <v>5071500</v>
      </c>
      <c r="B248" s="41" t="s">
        <v>1041</v>
      </c>
      <c r="C248">
        <v>7</v>
      </c>
      <c r="D248">
        <v>5</v>
      </c>
      <c r="E248">
        <v>1</v>
      </c>
      <c r="F248" t="s">
        <v>1281</v>
      </c>
      <c r="G248" t="str">
        <f t="shared" si="130"/>
        <v>游侠0_56_1</v>
      </c>
      <c r="H248" s="2">
        <v>0</v>
      </c>
      <c r="I248" s="2" t="s">
        <v>303</v>
      </c>
      <c r="J248" s="2">
        <f t="shared" si="118"/>
        <v>5</v>
      </c>
      <c r="K248" s="2">
        <f t="shared" si="108"/>
        <v>1.1000000000000001</v>
      </c>
      <c r="L248" s="2">
        <f t="shared" si="107"/>
        <v>1.1000000000000001</v>
      </c>
      <c r="M248" s="2">
        <v>10</v>
      </c>
      <c r="N248" s="2">
        <f t="shared" si="128"/>
        <v>72</v>
      </c>
      <c r="O248" s="2">
        <f t="shared" si="128"/>
        <v>7.2</v>
      </c>
      <c r="P248" s="2">
        <f t="shared" si="128"/>
        <v>996</v>
      </c>
      <c r="Q248" s="2">
        <f t="shared" si="123"/>
        <v>99.600000000000009</v>
      </c>
      <c r="R248" s="2">
        <f t="shared" si="123"/>
        <v>24</v>
      </c>
      <c r="S248" s="2">
        <f t="shared" si="123"/>
        <v>2.4000000000000004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>
        <v>50515001</v>
      </c>
      <c r="Z248" s="14" t="s">
        <v>1375</v>
      </c>
      <c r="AA248" s="14" t="s">
        <v>890</v>
      </c>
      <c r="AB248">
        <v>5081500</v>
      </c>
      <c r="AC248" s="2">
        <v>31</v>
      </c>
      <c r="AD248" s="2"/>
      <c r="AE248" s="2"/>
      <c r="AF248">
        <v>1</v>
      </c>
      <c r="AG248" s="1">
        <f t="shared" si="109"/>
        <v>549.56226475792175</v>
      </c>
      <c r="AH248">
        <v>7</v>
      </c>
      <c r="AI248">
        <f t="shared" si="124"/>
        <v>72</v>
      </c>
      <c r="AJ248">
        <f t="shared" si="125"/>
        <v>7.2</v>
      </c>
      <c r="AK248">
        <f t="shared" si="126"/>
        <v>996</v>
      </c>
      <c r="AL248">
        <f t="shared" si="127"/>
        <v>99.600000000000009</v>
      </c>
      <c r="AM248">
        <f t="shared" si="119"/>
        <v>24</v>
      </c>
      <c r="AN248">
        <f t="shared" si="120"/>
        <v>2.4000000000000004</v>
      </c>
      <c r="AO248">
        <f t="shared" si="110"/>
        <v>1.5</v>
      </c>
      <c r="AP248">
        <f t="shared" si="111"/>
        <v>1.5</v>
      </c>
      <c r="AQ248">
        <f t="shared" si="112"/>
        <v>5</v>
      </c>
      <c r="AR248">
        <v>500</v>
      </c>
      <c r="AS248" s="1" t="str">
        <f t="shared" si="129"/>
        <v>0</v>
      </c>
      <c r="AT248">
        <v>5</v>
      </c>
      <c r="BP248" t="s">
        <v>956</v>
      </c>
      <c r="BQ248" t="str">
        <f t="shared" si="113"/>
        <v>0</v>
      </c>
      <c r="BT248">
        <v>7</v>
      </c>
      <c r="BU248" t="str">
        <f t="shared" si="116"/>
        <v>571007,562007,563007</v>
      </c>
      <c r="BV248">
        <f t="shared" si="114"/>
        <v>571007</v>
      </c>
      <c r="BW248">
        <f t="shared" si="131"/>
        <v>562007</v>
      </c>
      <c r="BX248">
        <f t="shared" si="132"/>
        <v>563007</v>
      </c>
      <c r="CF248" t="str">
        <f t="shared" si="121"/>
        <v>DATA_Class_Base52</v>
      </c>
      <c r="CG248" s="41" t="s">
        <v>184</v>
      </c>
    </row>
    <row r="249" spans="1:85" ht="27">
      <c r="A249">
        <f t="shared" si="122"/>
        <v>5071501</v>
      </c>
      <c r="B249" s="41" t="s">
        <v>1044</v>
      </c>
      <c r="C249">
        <v>7</v>
      </c>
      <c r="D249">
        <v>5</v>
      </c>
      <c r="E249">
        <v>1</v>
      </c>
      <c r="F249" t="s">
        <v>1283</v>
      </c>
      <c r="G249" t="str">
        <f t="shared" si="130"/>
        <v>游侠1_56_1</v>
      </c>
      <c r="H249" s="2">
        <v>0</v>
      </c>
      <c r="I249" s="2" t="s">
        <v>334</v>
      </c>
      <c r="J249" s="2">
        <f t="shared" si="118"/>
        <v>6</v>
      </c>
      <c r="K249" s="2">
        <f t="shared" si="108"/>
        <v>1.17</v>
      </c>
      <c r="L249" s="2">
        <f t="shared" si="107"/>
        <v>1.47</v>
      </c>
      <c r="M249" s="2">
        <v>10</v>
      </c>
      <c r="N249" s="2">
        <f t="shared" si="128"/>
        <v>76.8</v>
      </c>
      <c r="O249" s="2">
        <f t="shared" si="128"/>
        <v>7.68</v>
      </c>
      <c r="P249" s="2">
        <f t="shared" si="128"/>
        <v>996</v>
      </c>
      <c r="Q249" s="2">
        <f t="shared" si="123"/>
        <v>99.600000000000009</v>
      </c>
      <c r="R249" s="2">
        <f t="shared" si="123"/>
        <v>24</v>
      </c>
      <c r="S249" s="2">
        <f t="shared" si="123"/>
        <v>2.4000000000000004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>
        <v>50515011</v>
      </c>
      <c r="Z249" s="14" t="s">
        <v>1376</v>
      </c>
      <c r="AA249" s="14" t="s">
        <v>890</v>
      </c>
      <c r="AB249">
        <v>5081501</v>
      </c>
      <c r="AC249" s="2">
        <v>31</v>
      </c>
      <c r="AD249" s="2"/>
      <c r="AE249" s="2"/>
      <c r="AF249">
        <v>1</v>
      </c>
      <c r="AG249" s="1">
        <f t="shared" si="109"/>
        <v>549.56226475792175</v>
      </c>
      <c r="AH249">
        <v>7</v>
      </c>
      <c r="AI249">
        <f t="shared" si="124"/>
        <v>76.8</v>
      </c>
      <c r="AJ249">
        <f t="shared" si="125"/>
        <v>7.68</v>
      </c>
      <c r="AK249">
        <f t="shared" si="126"/>
        <v>996</v>
      </c>
      <c r="AL249">
        <f t="shared" si="127"/>
        <v>99.600000000000009</v>
      </c>
      <c r="AM249">
        <f t="shared" si="119"/>
        <v>24</v>
      </c>
      <c r="AN249">
        <f t="shared" si="120"/>
        <v>2.4000000000000004</v>
      </c>
      <c r="AO249">
        <f t="shared" si="110"/>
        <v>1.6</v>
      </c>
      <c r="AP249">
        <f t="shared" si="111"/>
        <v>2</v>
      </c>
      <c r="AQ249">
        <f t="shared" si="112"/>
        <v>6</v>
      </c>
      <c r="AR249">
        <v>501</v>
      </c>
      <c r="AS249" s="1" t="str">
        <f t="shared" si="129"/>
        <v>1</v>
      </c>
      <c r="AT249">
        <v>5</v>
      </c>
      <c r="BP249" t="s">
        <v>945</v>
      </c>
      <c r="BQ249" t="str">
        <f t="shared" si="113"/>
        <v>1</v>
      </c>
      <c r="BT249">
        <v>8</v>
      </c>
      <c r="BU249" t="str">
        <f t="shared" si="116"/>
        <v>571008,562008,563008</v>
      </c>
      <c r="BV249">
        <f t="shared" si="114"/>
        <v>571008</v>
      </c>
      <c r="BW249">
        <f t="shared" si="131"/>
        <v>562008</v>
      </c>
      <c r="BX249">
        <f t="shared" si="132"/>
        <v>563008</v>
      </c>
      <c r="CF249" t="str">
        <f t="shared" si="121"/>
        <v>DATA_Class_Base53</v>
      </c>
      <c r="CG249" s="41" t="s">
        <v>349</v>
      </c>
    </row>
    <row r="250" spans="1:85" ht="27">
      <c r="A250">
        <f t="shared" si="122"/>
        <v>5071600</v>
      </c>
      <c r="B250" s="41" t="s">
        <v>1047</v>
      </c>
      <c r="C250">
        <v>7</v>
      </c>
      <c r="D250">
        <v>6</v>
      </c>
      <c r="E250">
        <v>1</v>
      </c>
      <c r="F250" t="s">
        <v>1285</v>
      </c>
      <c r="G250" t="str">
        <f t="shared" si="130"/>
        <v>牧师0_56_1</v>
      </c>
      <c r="H250">
        <v>0</v>
      </c>
      <c r="I250" s="2" t="s">
        <v>339</v>
      </c>
      <c r="J250" s="2">
        <f t="shared" si="118"/>
        <v>4</v>
      </c>
      <c r="K250" s="2">
        <f t="shared" si="108"/>
        <v>1.02</v>
      </c>
      <c r="L250" s="2">
        <f t="shared" si="107"/>
        <v>1.3900000000000001</v>
      </c>
      <c r="M250" s="2">
        <v>10</v>
      </c>
      <c r="N250" s="2">
        <f t="shared" si="128"/>
        <v>55.999999999999993</v>
      </c>
      <c r="O250" s="2">
        <f t="shared" si="128"/>
        <v>5.6</v>
      </c>
      <c r="P250" s="2">
        <f t="shared" si="128"/>
        <v>1200</v>
      </c>
      <c r="Q250" s="2">
        <f t="shared" si="123"/>
        <v>120</v>
      </c>
      <c r="R250" s="2">
        <f t="shared" si="123"/>
        <v>30</v>
      </c>
      <c r="S250" s="2">
        <f t="shared" si="123"/>
        <v>3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>
        <v>50516001</v>
      </c>
      <c r="Z250" s="14" t="s">
        <v>1377</v>
      </c>
      <c r="AA250" s="14" t="s">
        <v>890</v>
      </c>
      <c r="AB250">
        <v>5081600</v>
      </c>
      <c r="AC250" s="2">
        <v>31</v>
      </c>
      <c r="AD250" s="2"/>
      <c r="AE250" s="2"/>
      <c r="AF250">
        <v>1</v>
      </c>
      <c r="AG250" s="1">
        <f t="shared" si="109"/>
        <v>552.50251660962351</v>
      </c>
      <c r="AH250">
        <v>7</v>
      </c>
      <c r="AI250">
        <f t="shared" si="124"/>
        <v>55.999999999999993</v>
      </c>
      <c r="AJ250">
        <f t="shared" si="125"/>
        <v>5.6</v>
      </c>
      <c r="AK250">
        <f t="shared" si="126"/>
        <v>1200</v>
      </c>
      <c r="AL250">
        <f t="shared" si="127"/>
        <v>120</v>
      </c>
      <c r="AM250">
        <f t="shared" si="119"/>
        <v>30</v>
      </c>
      <c r="AN250">
        <f t="shared" si="120"/>
        <v>3</v>
      </c>
      <c r="AO250">
        <f t="shared" si="110"/>
        <v>1.4</v>
      </c>
      <c r="AP250">
        <f t="shared" si="111"/>
        <v>1.9</v>
      </c>
      <c r="AQ250">
        <f t="shared" si="112"/>
        <v>4</v>
      </c>
      <c r="AR250">
        <v>600</v>
      </c>
      <c r="AS250" s="1" t="str">
        <f t="shared" si="129"/>
        <v>0</v>
      </c>
      <c r="AT250">
        <v>5</v>
      </c>
      <c r="BP250" t="s">
        <v>990</v>
      </c>
      <c r="BQ250" t="str">
        <f t="shared" si="113"/>
        <v>0</v>
      </c>
      <c r="BT250">
        <v>9</v>
      </c>
      <c r="BU250" t="str">
        <f t="shared" si="116"/>
        <v>571009,562009,563009</v>
      </c>
      <c r="BV250">
        <f t="shared" si="114"/>
        <v>571009</v>
      </c>
      <c r="BW250">
        <f t="shared" si="131"/>
        <v>562009</v>
      </c>
      <c r="BX250">
        <f t="shared" si="132"/>
        <v>563009</v>
      </c>
      <c r="CF250" t="str">
        <f t="shared" si="121"/>
        <v>DATA_Class_Base54</v>
      </c>
      <c r="CG250" s="41" t="s">
        <v>198</v>
      </c>
    </row>
    <row r="251" spans="1:85" ht="27">
      <c r="A251">
        <f t="shared" si="122"/>
        <v>5071601</v>
      </c>
      <c r="B251" s="41" t="s">
        <v>1050</v>
      </c>
      <c r="C251">
        <v>7</v>
      </c>
      <c r="D251">
        <v>6</v>
      </c>
      <c r="E251">
        <v>1</v>
      </c>
      <c r="F251" t="s">
        <v>1287</v>
      </c>
      <c r="G251" t="str">
        <f t="shared" si="130"/>
        <v>牧师1_56_1</v>
      </c>
      <c r="H251" s="2">
        <v>0</v>
      </c>
      <c r="I251" s="2" t="s">
        <v>309</v>
      </c>
      <c r="J251" s="2">
        <f t="shared" si="118"/>
        <v>5</v>
      </c>
      <c r="K251" s="2">
        <f t="shared" si="108"/>
        <v>1.1000000000000001</v>
      </c>
      <c r="L251" s="2">
        <f t="shared" si="107"/>
        <v>1.47</v>
      </c>
      <c r="M251" s="2">
        <v>10</v>
      </c>
      <c r="N251" s="2">
        <f t="shared" si="128"/>
        <v>60</v>
      </c>
      <c r="O251" s="2">
        <f t="shared" si="128"/>
        <v>6</v>
      </c>
      <c r="P251" s="2">
        <f t="shared" si="128"/>
        <v>1200</v>
      </c>
      <c r="Q251" s="2">
        <f t="shared" si="123"/>
        <v>120</v>
      </c>
      <c r="R251" s="2">
        <f t="shared" si="123"/>
        <v>30</v>
      </c>
      <c r="S251" s="2">
        <f t="shared" si="123"/>
        <v>3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>
        <v>50516011</v>
      </c>
      <c r="Z251" s="14" t="s">
        <v>1378</v>
      </c>
      <c r="AA251" s="14" t="s">
        <v>890</v>
      </c>
      <c r="AB251">
        <v>5081601</v>
      </c>
      <c r="AC251" s="2">
        <v>31</v>
      </c>
      <c r="AD251" s="2"/>
      <c r="AE251" s="2"/>
      <c r="AF251">
        <v>1</v>
      </c>
      <c r="AG251" s="1">
        <f t="shared" si="109"/>
        <v>552.50251660962363</v>
      </c>
      <c r="AH251">
        <v>7</v>
      </c>
      <c r="AI251">
        <f t="shared" si="124"/>
        <v>60</v>
      </c>
      <c r="AJ251">
        <f t="shared" si="125"/>
        <v>6</v>
      </c>
      <c r="AK251">
        <f t="shared" si="126"/>
        <v>1200</v>
      </c>
      <c r="AL251">
        <f t="shared" si="127"/>
        <v>120</v>
      </c>
      <c r="AM251">
        <f t="shared" si="119"/>
        <v>30</v>
      </c>
      <c r="AN251">
        <f t="shared" si="120"/>
        <v>3</v>
      </c>
      <c r="AO251">
        <f t="shared" si="110"/>
        <v>1.5</v>
      </c>
      <c r="AP251">
        <f t="shared" si="111"/>
        <v>2</v>
      </c>
      <c r="AQ251">
        <f t="shared" si="112"/>
        <v>5</v>
      </c>
      <c r="AR251">
        <v>601</v>
      </c>
      <c r="AS251" s="1" t="str">
        <f t="shared" si="129"/>
        <v>1</v>
      </c>
      <c r="AT251">
        <v>5</v>
      </c>
      <c r="BP251" t="s">
        <v>960</v>
      </c>
      <c r="BQ251" t="str">
        <f t="shared" si="113"/>
        <v>1</v>
      </c>
      <c r="BT251">
        <v>10</v>
      </c>
      <c r="BU251" t="str">
        <f t="shared" si="116"/>
        <v>571010,562010,563010</v>
      </c>
      <c r="BV251">
        <f t="shared" si="114"/>
        <v>571010</v>
      </c>
      <c r="BW251">
        <f t="shared" si="131"/>
        <v>562010</v>
      </c>
      <c r="BX251">
        <f t="shared" si="132"/>
        <v>563010</v>
      </c>
      <c r="CF251" t="str">
        <f t="shared" si="121"/>
        <v>DATA_Class_Base55</v>
      </c>
      <c r="CG251" s="41" t="s">
        <v>201</v>
      </c>
    </row>
    <row r="252" spans="1:85">
      <c r="A252">
        <f t="shared" si="122"/>
        <v>5072200</v>
      </c>
      <c r="B252" s="40" t="s">
        <v>1021</v>
      </c>
      <c r="C252">
        <v>7</v>
      </c>
      <c r="D252">
        <v>2</v>
      </c>
      <c r="E252">
        <v>2</v>
      </c>
      <c r="F252" t="s">
        <v>1289</v>
      </c>
      <c r="G252" t="str">
        <f t="shared" si="130"/>
        <v>战士0_56_2</v>
      </c>
      <c r="H252">
        <v>0</v>
      </c>
      <c r="I252" s="2" t="s">
        <v>314</v>
      </c>
      <c r="J252" s="2">
        <f t="shared" si="118"/>
        <v>2.5</v>
      </c>
      <c r="K252" s="2">
        <f t="shared" si="108"/>
        <v>1.1000000000000001</v>
      </c>
      <c r="L252" s="2">
        <f t="shared" si="107"/>
        <v>0.88</v>
      </c>
      <c r="M252" s="2">
        <v>10</v>
      </c>
      <c r="N252" s="2">
        <f t="shared" si="128"/>
        <v>48.000000000000007</v>
      </c>
      <c r="O252" s="2">
        <f t="shared" si="128"/>
        <v>4.8000000000000007</v>
      </c>
      <c r="P252" s="2">
        <f t="shared" si="128"/>
        <v>1500</v>
      </c>
      <c r="Q252" s="2">
        <f t="shared" si="123"/>
        <v>150</v>
      </c>
      <c r="R252" s="2">
        <f t="shared" si="123"/>
        <v>36</v>
      </c>
      <c r="S252" s="2">
        <f t="shared" si="123"/>
        <v>3.6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>
        <v>50522001</v>
      </c>
      <c r="Z252" s="14" t="s">
        <v>1379</v>
      </c>
      <c r="AA252" s="14" t="s">
        <v>890</v>
      </c>
      <c r="AB252">
        <v>5082200</v>
      </c>
      <c r="AC252" s="2">
        <v>31</v>
      </c>
      <c r="AD252" s="2"/>
      <c r="AE252" s="2"/>
      <c r="AF252">
        <v>1</v>
      </c>
      <c r="AG252" s="1">
        <f t="shared" si="109"/>
        <v>553.23764212563515</v>
      </c>
      <c r="AH252">
        <v>7</v>
      </c>
      <c r="AI252">
        <f t="shared" si="124"/>
        <v>48.000000000000007</v>
      </c>
      <c r="AJ252">
        <f t="shared" si="125"/>
        <v>4.8000000000000007</v>
      </c>
      <c r="AK252">
        <f t="shared" si="126"/>
        <v>1500</v>
      </c>
      <c r="AL252">
        <f t="shared" si="127"/>
        <v>150</v>
      </c>
      <c r="AM252">
        <f t="shared" si="119"/>
        <v>36</v>
      </c>
      <c r="AN252">
        <f t="shared" si="120"/>
        <v>3.6</v>
      </c>
      <c r="AO252">
        <f t="shared" si="110"/>
        <v>1.5</v>
      </c>
      <c r="AP252">
        <f t="shared" si="111"/>
        <v>1.2</v>
      </c>
      <c r="AQ252">
        <f t="shared" si="112"/>
        <v>2.5</v>
      </c>
      <c r="AR252">
        <v>200</v>
      </c>
      <c r="AS252" s="1" t="str">
        <f t="shared" si="129"/>
        <v>0</v>
      </c>
      <c r="AT252">
        <v>5</v>
      </c>
      <c r="BP252" t="s">
        <v>964</v>
      </c>
      <c r="BQ252" t="str">
        <f t="shared" si="113"/>
        <v>0</v>
      </c>
      <c r="BT252">
        <v>11</v>
      </c>
      <c r="BU252" t="str">
        <f t="shared" si="116"/>
        <v>571011,562011,563011</v>
      </c>
      <c r="BV252">
        <f t="shared" si="114"/>
        <v>571011</v>
      </c>
      <c r="BW252">
        <f t="shared" si="131"/>
        <v>562011</v>
      </c>
      <c r="BX252">
        <f t="shared" si="132"/>
        <v>563011</v>
      </c>
      <c r="CF252" t="str">
        <f t="shared" si="121"/>
        <v>DATA_Class_Base46</v>
      </c>
      <c r="CG252" s="40" t="s">
        <v>1022</v>
      </c>
    </row>
    <row r="253" spans="1:85" ht="27">
      <c r="A253">
        <f t="shared" si="122"/>
        <v>5072202</v>
      </c>
      <c r="B253" s="41" t="s">
        <v>1053</v>
      </c>
      <c r="C253">
        <v>7</v>
      </c>
      <c r="D253">
        <v>2</v>
      </c>
      <c r="E253">
        <v>2</v>
      </c>
      <c r="F253" s="2" t="s">
        <v>1291</v>
      </c>
      <c r="G253" t="str">
        <f t="shared" si="130"/>
        <v>战士2_56_2</v>
      </c>
      <c r="H253">
        <v>0</v>
      </c>
      <c r="I253" s="2" t="s">
        <v>280</v>
      </c>
      <c r="J253" s="2">
        <f t="shared" si="118"/>
        <v>2.5</v>
      </c>
      <c r="K253" s="2">
        <f t="shared" si="108"/>
        <v>1.32</v>
      </c>
      <c r="L253" s="2">
        <f t="shared" si="107"/>
        <v>1.47</v>
      </c>
      <c r="M253" s="2">
        <v>10</v>
      </c>
      <c r="N253" s="2">
        <f t="shared" si="128"/>
        <v>57.6</v>
      </c>
      <c r="O253" s="2">
        <f t="shared" si="128"/>
        <v>5.7600000000000007</v>
      </c>
      <c r="P253" s="2">
        <f t="shared" si="128"/>
        <v>1500</v>
      </c>
      <c r="Q253" s="2">
        <f t="shared" si="123"/>
        <v>150</v>
      </c>
      <c r="R253" s="2">
        <f t="shared" si="123"/>
        <v>36</v>
      </c>
      <c r="S253" s="2">
        <f t="shared" si="123"/>
        <v>3.6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>
        <v>50522021</v>
      </c>
      <c r="Z253" s="14" t="s">
        <v>1380</v>
      </c>
      <c r="AA253" s="14" t="s">
        <v>890</v>
      </c>
      <c r="AB253">
        <v>5082202</v>
      </c>
      <c r="AC253" s="2">
        <v>31</v>
      </c>
      <c r="AD253" s="2"/>
      <c r="AE253" s="2"/>
      <c r="AF253">
        <v>1</v>
      </c>
      <c r="AG253" s="1">
        <f t="shared" si="109"/>
        <v>553.23764212563515</v>
      </c>
      <c r="AH253">
        <v>7</v>
      </c>
      <c r="AI253">
        <f t="shared" si="124"/>
        <v>57.6</v>
      </c>
      <c r="AJ253">
        <f t="shared" si="125"/>
        <v>5.7600000000000007</v>
      </c>
      <c r="AK253">
        <f t="shared" si="126"/>
        <v>1500</v>
      </c>
      <c r="AL253">
        <f t="shared" si="127"/>
        <v>150</v>
      </c>
      <c r="AM253">
        <f t="shared" si="119"/>
        <v>36</v>
      </c>
      <c r="AN253">
        <f t="shared" si="120"/>
        <v>3.6</v>
      </c>
      <c r="AO253">
        <f t="shared" si="110"/>
        <v>1.8</v>
      </c>
      <c r="AP253">
        <f t="shared" si="111"/>
        <v>2</v>
      </c>
      <c r="AQ253">
        <f t="shared" si="112"/>
        <v>2.5</v>
      </c>
      <c r="AR253">
        <v>202</v>
      </c>
      <c r="AS253" s="1" t="str">
        <f t="shared" si="129"/>
        <v>2</v>
      </c>
      <c r="AT253">
        <v>5</v>
      </c>
      <c r="BP253" t="s">
        <v>981</v>
      </c>
      <c r="BQ253" t="str">
        <f t="shared" si="113"/>
        <v>2</v>
      </c>
      <c r="BT253">
        <v>12</v>
      </c>
      <c r="BU253" t="str">
        <f t="shared" si="116"/>
        <v>571012,562012,563012</v>
      </c>
      <c r="BV253">
        <f t="shared" si="114"/>
        <v>571012</v>
      </c>
      <c r="BW253">
        <f t="shared" si="131"/>
        <v>562012</v>
      </c>
      <c r="BX253">
        <f t="shared" si="132"/>
        <v>563012</v>
      </c>
      <c r="CF253" t="str">
        <f t="shared" si="121"/>
        <v>DATA_Class_Base56</v>
      </c>
      <c r="CG253" s="41" t="s">
        <v>381</v>
      </c>
    </row>
    <row r="254" spans="1:85" ht="27">
      <c r="A254">
        <f t="shared" si="122"/>
        <v>5072302</v>
      </c>
      <c r="B254" s="41" t="s">
        <v>1056</v>
      </c>
      <c r="C254">
        <v>7</v>
      </c>
      <c r="D254">
        <v>3</v>
      </c>
      <c r="E254">
        <v>2</v>
      </c>
      <c r="F254" t="s">
        <v>1293</v>
      </c>
      <c r="G254" t="str">
        <f t="shared" si="130"/>
        <v>刺客2_56_2</v>
      </c>
      <c r="H254" s="2">
        <v>0</v>
      </c>
      <c r="I254" s="2" t="s">
        <v>358</v>
      </c>
      <c r="J254" s="2">
        <f t="shared" si="118"/>
        <v>2.5</v>
      </c>
      <c r="K254" s="2">
        <f t="shared" si="108"/>
        <v>1.02</v>
      </c>
      <c r="L254" s="2">
        <f t="shared" si="107"/>
        <v>1.25</v>
      </c>
      <c r="M254" s="2">
        <v>10</v>
      </c>
      <c r="N254" s="2">
        <f t="shared" si="128"/>
        <v>50.4</v>
      </c>
      <c r="O254" s="2">
        <f t="shared" si="128"/>
        <v>5.04</v>
      </c>
      <c r="P254" s="2">
        <f t="shared" si="128"/>
        <v>1332.0000000000002</v>
      </c>
      <c r="Q254" s="2">
        <f t="shared" si="123"/>
        <v>133.20000000000002</v>
      </c>
      <c r="R254" s="2">
        <f t="shared" si="123"/>
        <v>33</v>
      </c>
      <c r="S254" s="2">
        <f t="shared" si="123"/>
        <v>3.3000000000000003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>
        <v>50523021</v>
      </c>
      <c r="Z254" s="14" t="s">
        <v>1381</v>
      </c>
      <c r="AA254" s="14" t="s">
        <v>890</v>
      </c>
      <c r="AB254">
        <v>5082302</v>
      </c>
      <c r="AC254" s="2">
        <v>31</v>
      </c>
      <c r="AD254" s="2"/>
      <c r="AE254" s="2"/>
      <c r="AF254">
        <v>1</v>
      </c>
      <c r="AG254" s="1">
        <f t="shared" si="109"/>
        <v>552.31696516711338</v>
      </c>
      <c r="AH254">
        <v>7</v>
      </c>
      <c r="AI254">
        <f t="shared" si="124"/>
        <v>50.4</v>
      </c>
      <c r="AJ254">
        <f t="shared" si="125"/>
        <v>5.04</v>
      </c>
      <c r="AK254">
        <f t="shared" si="126"/>
        <v>1332.0000000000002</v>
      </c>
      <c r="AL254">
        <f t="shared" si="127"/>
        <v>133.20000000000002</v>
      </c>
      <c r="AM254">
        <f t="shared" si="119"/>
        <v>33</v>
      </c>
      <c r="AN254">
        <f t="shared" si="120"/>
        <v>3.3000000000000003</v>
      </c>
      <c r="AO254">
        <f t="shared" si="110"/>
        <v>1.4</v>
      </c>
      <c r="AP254">
        <f t="shared" si="111"/>
        <v>1.7</v>
      </c>
      <c r="AQ254">
        <f t="shared" si="112"/>
        <v>2.5</v>
      </c>
      <c r="AR254">
        <v>302</v>
      </c>
      <c r="AS254" s="1" t="str">
        <f t="shared" si="129"/>
        <v>2</v>
      </c>
      <c r="AT254">
        <v>5</v>
      </c>
      <c r="BP254" t="s">
        <v>983</v>
      </c>
      <c r="BQ254" t="str">
        <f t="shared" si="113"/>
        <v>2</v>
      </c>
      <c r="BT254">
        <v>13</v>
      </c>
      <c r="BU254" t="str">
        <f t="shared" si="116"/>
        <v>571013,562013,563013</v>
      </c>
      <c r="BV254">
        <f t="shared" si="114"/>
        <v>571013</v>
      </c>
      <c r="BW254">
        <f t="shared" si="131"/>
        <v>562013</v>
      </c>
      <c r="BX254">
        <f t="shared" si="132"/>
        <v>563013</v>
      </c>
      <c r="CF254" t="str">
        <f t="shared" si="121"/>
        <v>DATA_Class_Base57</v>
      </c>
      <c r="CG254" s="41" t="s">
        <v>1057</v>
      </c>
    </row>
    <row r="255" spans="1:85" ht="27">
      <c r="A255">
        <f t="shared" si="122"/>
        <v>5072300</v>
      </c>
      <c r="B255" s="41" t="s">
        <v>1028</v>
      </c>
      <c r="C255">
        <v>7</v>
      </c>
      <c r="D255">
        <v>3</v>
      </c>
      <c r="E255">
        <v>2</v>
      </c>
      <c r="F255" t="s">
        <v>1295</v>
      </c>
      <c r="G255" t="str">
        <f t="shared" si="130"/>
        <v>刺客0_56_2</v>
      </c>
      <c r="H255">
        <v>0</v>
      </c>
      <c r="I255" s="2" t="s">
        <v>352</v>
      </c>
      <c r="J255" s="2">
        <f t="shared" si="118"/>
        <v>4</v>
      </c>
      <c r="K255" s="2">
        <f t="shared" si="108"/>
        <v>0.95000000000000007</v>
      </c>
      <c r="L255" s="2">
        <f t="shared" si="107"/>
        <v>1.3900000000000001</v>
      </c>
      <c r="M255" s="2">
        <v>10</v>
      </c>
      <c r="N255" s="2">
        <f t="shared" si="128"/>
        <v>46.800000000000011</v>
      </c>
      <c r="O255" s="2">
        <f t="shared" si="128"/>
        <v>4.6800000000000015</v>
      </c>
      <c r="P255" s="2">
        <f t="shared" si="128"/>
        <v>1332.0000000000002</v>
      </c>
      <c r="Q255" s="2">
        <f t="shared" si="123"/>
        <v>133.20000000000002</v>
      </c>
      <c r="R255" s="2">
        <f t="shared" si="123"/>
        <v>33</v>
      </c>
      <c r="S255" s="2">
        <f t="shared" si="123"/>
        <v>3.3000000000000003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>
        <v>50523001</v>
      </c>
      <c r="Z255" s="14" t="s">
        <v>1382</v>
      </c>
      <c r="AA255" s="14" t="s">
        <v>890</v>
      </c>
      <c r="AB255">
        <v>5082300</v>
      </c>
      <c r="AC255" s="2">
        <v>31</v>
      </c>
      <c r="AD255" s="2"/>
      <c r="AE255" s="2"/>
      <c r="AF255">
        <v>1</v>
      </c>
      <c r="AG255" s="1">
        <f t="shared" si="109"/>
        <v>552.31696516711349</v>
      </c>
      <c r="AH255">
        <v>7</v>
      </c>
      <c r="AI255">
        <f t="shared" si="124"/>
        <v>46.800000000000011</v>
      </c>
      <c r="AJ255">
        <f t="shared" si="125"/>
        <v>4.6800000000000015</v>
      </c>
      <c r="AK255">
        <f t="shared" si="126"/>
        <v>1332.0000000000002</v>
      </c>
      <c r="AL255">
        <f t="shared" si="127"/>
        <v>133.20000000000002</v>
      </c>
      <c r="AM255">
        <f t="shared" si="119"/>
        <v>33</v>
      </c>
      <c r="AN255">
        <f t="shared" si="120"/>
        <v>3.3000000000000003</v>
      </c>
      <c r="AO255">
        <f t="shared" si="110"/>
        <v>1.3</v>
      </c>
      <c r="AP255">
        <f t="shared" si="111"/>
        <v>1.9</v>
      </c>
      <c r="AQ255">
        <f t="shared" si="112"/>
        <v>4</v>
      </c>
      <c r="AR255">
        <v>300</v>
      </c>
      <c r="AS255" s="1" t="str">
        <f t="shared" si="129"/>
        <v>0</v>
      </c>
      <c r="AT255">
        <v>5</v>
      </c>
      <c r="BP255" t="s">
        <v>967</v>
      </c>
      <c r="BQ255" t="str">
        <f t="shared" si="113"/>
        <v>0</v>
      </c>
      <c r="BT255">
        <v>14</v>
      </c>
      <c r="BU255" t="str">
        <f t="shared" si="116"/>
        <v>571014,562014,563014</v>
      </c>
      <c r="BV255">
        <f t="shared" si="114"/>
        <v>571014</v>
      </c>
      <c r="BW255">
        <f t="shared" si="131"/>
        <v>562014</v>
      </c>
      <c r="BX255">
        <f t="shared" si="132"/>
        <v>563014</v>
      </c>
      <c r="CF255" t="str">
        <f t="shared" si="121"/>
        <v>DATA_Class_Base48</v>
      </c>
      <c r="CG255" s="41" t="s">
        <v>411</v>
      </c>
    </row>
    <row r="256" spans="1:85" ht="27">
      <c r="A256">
        <f t="shared" si="122"/>
        <v>5072400</v>
      </c>
      <c r="B256" s="41" t="s">
        <v>1060</v>
      </c>
      <c r="C256">
        <v>7</v>
      </c>
      <c r="D256">
        <v>4</v>
      </c>
      <c r="E256">
        <v>2</v>
      </c>
      <c r="F256" t="s">
        <v>1297</v>
      </c>
      <c r="G256" t="str">
        <f t="shared" si="130"/>
        <v>法师0_56_2</v>
      </c>
      <c r="H256">
        <v>0</v>
      </c>
      <c r="I256" s="2" t="s">
        <v>364</v>
      </c>
      <c r="J256" s="2">
        <f t="shared" si="118"/>
        <v>5</v>
      </c>
      <c r="K256" s="2">
        <f t="shared" si="108"/>
        <v>1.02</v>
      </c>
      <c r="L256" s="2">
        <f t="shared" si="107"/>
        <v>1.02</v>
      </c>
      <c r="M256" s="2">
        <v>10</v>
      </c>
      <c r="N256" s="2">
        <f t="shared" si="128"/>
        <v>61.599999999999994</v>
      </c>
      <c r="O256" s="2">
        <f t="shared" si="128"/>
        <v>6.16</v>
      </c>
      <c r="P256" s="2">
        <f t="shared" si="128"/>
        <v>1092</v>
      </c>
      <c r="Q256" s="2">
        <f t="shared" si="123"/>
        <v>109.2</v>
      </c>
      <c r="R256" s="2">
        <f t="shared" si="123"/>
        <v>27</v>
      </c>
      <c r="S256" s="2">
        <f t="shared" si="123"/>
        <v>2.7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>
        <v>50524001</v>
      </c>
      <c r="Z256" s="14" t="s">
        <v>1383</v>
      </c>
      <c r="AA256" s="14" t="s">
        <v>890</v>
      </c>
      <c r="AB256">
        <v>5082400</v>
      </c>
      <c r="AC256" s="2">
        <v>31</v>
      </c>
      <c r="AD256" s="2"/>
      <c r="AE256" s="2"/>
      <c r="AF256">
        <v>1</v>
      </c>
      <c r="AG256" s="1">
        <f t="shared" si="109"/>
        <v>552.68782166066433</v>
      </c>
      <c r="AH256">
        <v>7</v>
      </c>
      <c r="AI256">
        <f t="shared" si="124"/>
        <v>61.599999999999994</v>
      </c>
      <c r="AJ256">
        <f t="shared" si="125"/>
        <v>6.16</v>
      </c>
      <c r="AK256">
        <f t="shared" si="126"/>
        <v>1092</v>
      </c>
      <c r="AL256">
        <f t="shared" si="127"/>
        <v>109.2</v>
      </c>
      <c r="AM256">
        <f t="shared" si="119"/>
        <v>27</v>
      </c>
      <c r="AN256">
        <f t="shared" si="120"/>
        <v>2.7</v>
      </c>
      <c r="AO256">
        <f t="shared" si="110"/>
        <v>1.4</v>
      </c>
      <c r="AP256">
        <f t="shared" si="111"/>
        <v>1.4</v>
      </c>
      <c r="AQ256">
        <f t="shared" si="112"/>
        <v>5</v>
      </c>
      <c r="AR256">
        <v>400</v>
      </c>
      <c r="AS256" s="1" t="str">
        <f t="shared" si="129"/>
        <v>0</v>
      </c>
      <c r="AT256">
        <v>5</v>
      </c>
      <c r="BP256" t="s">
        <v>986</v>
      </c>
      <c r="BQ256" t="str">
        <f t="shared" si="113"/>
        <v>0</v>
      </c>
      <c r="BT256">
        <v>15</v>
      </c>
      <c r="BU256" t="str">
        <f t="shared" si="116"/>
        <v>571015,562015,563015</v>
      </c>
      <c r="BV256">
        <f t="shared" si="114"/>
        <v>571015</v>
      </c>
      <c r="BW256">
        <f t="shared" si="131"/>
        <v>562015</v>
      </c>
      <c r="BX256">
        <f t="shared" si="132"/>
        <v>563015</v>
      </c>
      <c r="CF256" t="str">
        <f t="shared" si="121"/>
        <v>DATA_Class_Base58</v>
      </c>
      <c r="CG256" s="41" t="s">
        <v>174</v>
      </c>
    </row>
    <row r="257" spans="1:85" ht="27">
      <c r="A257">
        <f t="shared" si="122"/>
        <v>5072402</v>
      </c>
      <c r="B257" s="41" t="s">
        <v>1037</v>
      </c>
      <c r="C257">
        <v>7</v>
      </c>
      <c r="D257">
        <v>4</v>
      </c>
      <c r="E257">
        <v>2</v>
      </c>
      <c r="F257" t="s">
        <v>1299</v>
      </c>
      <c r="G257" t="str">
        <f t="shared" si="130"/>
        <v>法师2_56_2</v>
      </c>
      <c r="H257" s="2">
        <v>0</v>
      </c>
      <c r="I257" s="2" t="s">
        <v>250</v>
      </c>
      <c r="J257" s="2">
        <f t="shared" si="118"/>
        <v>5</v>
      </c>
      <c r="K257" s="2">
        <f t="shared" si="108"/>
        <v>1.1000000000000001</v>
      </c>
      <c r="L257" s="2">
        <f t="shared" si="107"/>
        <v>1.1000000000000001</v>
      </c>
      <c r="M257" s="2">
        <v>10</v>
      </c>
      <c r="N257" s="2">
        <f t="shared" si="128"/>
        <v>66</v>
      </c>
      <c r="O257" s="2">
        <f t="shared" si="128"/>
        <v>6.6000000000000005</v>
      </c>
      <c r="P257" s="2">
        <f t="shared" si="128"/>
        <v>1092</v>
      </c>
      <c r="Q257" s="2">
        <f t="shared" si="123"/>
        <v>109.2</v>
      </c>
      <c r="R257" s="2">
        <f t="shared" si="123"/>
        <v>27</v>
      </c>
      <c r="S257" s="2">
        <f t="shared" si="123"/>
        <v>2.7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>
        <v>50524021</v>
      </c>
      <c r="Z257" s="14" t="s">
        <v>1384</v>
      </c>
      <c r="AA257" s="14" t="s">
        <v>890</v>
      </c>
      <c r="AB257">
        <v>5082402</v>
      </c>
      <c r="AC257" s="2">
        <v>31</v>
      </c>
      <c r="AD257" s="2"/>
      <c r="AE257" s="2"/>
      <c r="AF257">
        <v>1</v>
      </c>
      <c r="AG257" s="1">
        <f t="shared" si="109"/>
        <v>552.68782166066433</v>
      </c>
      <c r="AH257">
        <v>7</v>
      </c>
      <c r="AI257">
        <f t="shared" si="124"/>
        <v>66</v>
      </c>
      <c r="AJ257">
        <f t="shared" si="125"/>
        <v>6.6000000000000005</v>
      </c>
      <c r="AK257">
        <f t="shared" si="126"/>
        <v>1092</v>
      </c>
      <c r="AL257">
        <f t="shared" si="127"/>
        <v>109.2</v>
      </c>
      <c r="AM257">
        <f t="shared" si="119"/>
        <v>27</v>
      </c>
      <c r="AN257">
        <f t="shared" si="120"/>
        <v>2.7</v>
      </c>
      <c r="AO257">
        <f t="shared" si="110"/>
        <v>1.5</v>
      </c>
      <c r="AP257">
        <f t="shared" si="111"/>
        <v>1.5</v>
      </c>
      <c r="AQ257">
        <f t="shared" si="112"/>
        <v>5</v>
      </c>
      <c r="AR257">
        <v>402</v>
      </c>
      <c r="AS257" s="1" t="str">
        <f t="shared" si="129"/>
        <v>2</v>
      </c>
      <c r="AT257">
        <v>5</v>
      </c>
      <c r="BP257" t="s">
        <v>971</v>
      </c>
      <c r="BQ257" t="str">
        <f t="shared" si="113"/>
        <v>2</v>
      </c>
      <c r="BT257">
        <v>16</v>
      </c>
      <c r="BU257" t="str">
        <f t="shared" si="116"/>
        <v>571016,562016,563016</v>
      </c>
      <c r="BV257">
        <f t="shared" si="114"/>
        <v>571016</v>
      </c>
      <c r="BW257">
        <f t="shared" si="131"/>
        <v>562016</v>
      </c>
      <c r="BX257">
        <f t="shared" si="132"/>
        <v>563016</v>
      </c>
      <c r="CF257" t="str">
        <f t="shared" si="121"/>
        <v>DATA_Class_Base51</v>
      </c>
      <c r="CG257" s="41" t="s">
        <v>1038</v>
      </c>
    </row>
    <row r="258" spans="1:85" ht="27">
      <c r="A258">
        <f t="shared" si="122"/>
        <v>5072500</v>
      </c>
      <c r="B258" s="41" t="s">
        <v>1041</v>
      </c>
      <c r="C258">
        <v>7</v>
      </c>
      <c r="D258">
        <v>5</v>
      </c>
      <c r="E258">
        <v>2</v>
      </c>
      <c r="F258" t="s">
        <v>1301</v>
      </c>
      <c r="G258" t="str">
        <f t="shared" si="130"/>
        <v>游侠0_56_2</v>
      </c>
      <c r="H258" s="2">
        <v>0</v>
      </c>
      <c r="I258" s="2" t="s">
        <v>303</v>
      </c>
      <c r="J258" s="2">
        <f t="shared" si="118"/>
        <v>5</v>
      </c>
      <c r="K258" s="2">
        <f t="shared" si="108"/>
        <v>1.1000000000000001</v>
      </c>
      <c r="L258" s="2">
        <f t="shared" si="107"/>
        <v>1.1000000000000001</v>
      </c>
      <c r="M258" s="2">
        <v>10</v>
      </c>
      <c r="N258" s="2">
        <f t="shared" si="128"/>
        <v>72</v>
      </c>
      <c r="O258" s="2">
        <f t="shared" si="128"/>
        <v>7.2</v>
      </c>
      <c r="P258" s="2">
        <f t="shared" si="128"/>
        <v>996</v>
      </c>
      <c r="Q258" s="2">
        <f t="shared" si="123"/>
        <v>99.600000000000009</v>
      </c>
      <c r="R258" s="2">
        <f t="shared" si="123"/>
        <v>24</v>
      </c>
      <c r="S258" s="2">
        <f t="shared" si="123"/>
        <v>2.4000000000000004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>
        <v>50525001</v>
      </c>
      <c r="Z258" s="14" t="s">
        <v>1385</v>
      </c>
      <c r="AA258" s="14" t="s">
        <v>890</v>
      </c>
      <c r="AB258">
        <v>5082500</v>
      </c>
      <c r="AC258" s="2">
        <v>31</v>
      </c>
      <c r="AD258" s="2"/>
      <c r="AE258" s="2"/>
      <c r="AF258">
        <v>1</v>
      </c>
      <c r="AG258" s="1">
        <f t="shared" si="109"/>
        <v>549.56226475792175</v>
      </c>
      <c r="AH258">
        <v>7</v>
      </c>
      <c r="AI258">
        <f t="shared" si="124"/>
        <v>72</v>
      </c>
      <c r="AJ258">
        <f t="shared" si="125"/>
        <v>7.2</v>
      </c>
      <c r="AK258">
        <f t="shared" si="126"/>
        <v>996</v>
      </c>
      <c r="AL258">
        <f t="shared" si="127"/>
        <v>99.600000000000009</v>
      </c>
      <c r="AM258">
        <f t="shared" si="119"/>
        <v>24</v>
      </c>
      <c r="AN258">
        <f t="shared" si="120"/>
        <v>2.4000000000000004</v>
      </c>
      <c r="AO258">
        <f t="shared" si="110"/>
        <v>1.5</v>
      </c>
      <c r="AP258">
        <f t="shared" si="111"/>
        <v>1.5</v>
      </c>
      <c r="AQ258">
        <f t="shared" si="112"/>
        <v>5</v>
      </c>
      <c r="AR258">
        <v>500</v>
      </c>
      <c r="AS258" s="1" t="str">
        <f t="shared" si="129"/>
        <v>0</v>
      </c>
      <c r="AT258">
        <v>5</v>
      </c>
      <c r="BP258" t="s">
        <v>956</v>
      </c>
      <c r="BQ258" t="str">
        <f t="shared" si="113"/>
        <v>0</v>
      </c>
      <c r="BT258">
        <v>17</v>
      </c>
      <c r="BU258" t="str">
        <f t="shared" si="116"/>
        <v>571017,562017,563017</v>
      </c>
      <c r="BV258">
        <f t="shared" si="114"/>
        <v>571017</v>
      </c>
      <c r="BW258">
        <f t="shared" si="131"/>
        <v>562017</v>
      </c>
      <c r="BX258">
        <f t="shared" si="132"/>
        <v>563017</v>
      </c>
      <c r="CF258" t="str">
        <f t="shared" si="121"/>
        <v>DATA_Class_Base52</v>
      </c>
      <c r="CG258" s="41" t="s">
        <v>184</v>
      </c>
    </row>
    <row r="259" spans="1:85" ht="27">
      <c r="A259">
        <f t="shared" si="122"/>
        <v>5072502</v>
      </c>
      <c r="B259" s="41" t="s">
        <v>1063</v>
      </c>
      <c r="C259">
        <v>7</v>
      </c>
      <c r="D259">
        <v>5</v>
      </c>
      <c r="E259">
        <v>2</v>
      </c>
      <c r="F259" t="s">
        <v>1303</v>
      </c>
      <c r="G259" t="str">
        <f t="shared" si="130"/>
        <v>游侠2_56_2</v>
      </c>
      <c r="H259">
        <v>0</v>
      </c>
      <c r="I259" s="2" t="s">
        <v>291</v>
      </c>
      <c r="J259" s="2">
        <f t="shared" si="118"/>
        <v>6</v>
      </c>
      <c r="K259" s="2">
        <f t="shared" si="108"/>
        <v>1.02</v>
      </c>
      <c r="L259" s="2">
        <f t="shared" si="107"/>
        <v>1.47</v>
      </c>
      <c r="M259" s="2">
        <v>10</v>
      </c>
      <c r="N259" s="2">
        <f t="shared" si="128"/>
        <v>67.199999999999989</v>
      </c>
      <c r="O259" s="2">
        <f t="shared" si="128"/>
        <v>6.7199999999999989</v>
      </c>
      <c r="P259" s="2">
        <f t="shared" si="128"/>
        <v>996</v>
      </c>
      <c r="Q259" s="2">
        <f t="shared" si="123"/>
        <v>99.600000000000009</v>
      </c>
      <c r="R259" s="2">
        <f t="shared" si="123"/>
        <v>24</v>
      </c>
      <c r="S259" s="2">
        <f t="shared" si="123"/>
        <v>2.4000000000000004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>
        <v>50525021</v>
      </c>
      <c r="Z259" s="14" t="s">
        <v>1386</v>
      </c>
      <c r="AA259" s="14" t="s">
        <v>890</v>
      </c>
      <c r="AB259">
        <v>5082502</v>
      </c>
      <c r="AC259" s="2">
        <v>31</v>
      </c>
      <c r="AD259" s="2"/>
      <c r="AE259" s="2"/>
      <c r="AF259">
        <v>1</v>
      </c>
      <c r="AG259" s="1">
        <f t="shared" si="109"/>
        <v>549.56226475792175</v>
      </c>
      <c r="AH259">
        <v>7</v>
      </c>
      <c r="AI259">
        <f t="shared" si="124"/>
        <v>67.199999999999989</v>
      </c>
      <c r="AJ259">
        <f t="shared" si="125"/>
        <v>6.7199999999999989</v>
      </c>
      <c r="AK259">
        <f t="shared" si="126"/>
        <v>996</v>
      </c>
      <c r="AL259">
        <f t="shared" si="127"/>
        <v>99.600000000000009</v>
      </c>
      <c r="AM259">
        <f t="shared" si="119"/>
        <v>24</v>
      </c>
      <c r="AN259">
        <f t="shared" si="120"/>
        <v>2.4000000000000004</v>
      </c>
      <c r="AO259">
        <f t="shared" si="110"/>
        <v>1.4</v>
      </c>
      <c r="AP259">
        <f t="shared" si="111"/>
        <v>2</v>
      </c>
      <c r="AQ259">
        <f t="shared" si="112"/>
        <v>6</v>
      </c>
      <c r="AR259">
        <v>502</v>
      </c>
      <c r="AS259" s="1" t="str">
        <f t="shared" si="129"/>
        <v>2</v>
      </c>
      <c r="AT259">
        <v>5</v>
      </c>
      <c r="BP259" t="s">
        <v>974</v>
      </c>
      <c r="BQ259" t="str">
        <f t="shared" si="113"/>
        <v>2</v>
      </c>
      <c r="BT259">
        <v>18</v>
      </c>
      <c r="BU259" t="str">
        <f t="shared" si="116"/>
        <v>571018,562018,563018</v>
      </c>
      <c r="BV259">
        <f t="shared" si="114"/>
        <v>571018</v>
      </c>
      <c r="BW259">
        <f t="shared" si="131"/>
        <v>562018</v>
      </c>
      <c r="BX259">
        <f t="shared" si="132"/>
        <v>563018</v>
      </c>
      <c r="CF259" t="str">
        <f t="shared" si="121"/>
        <v>DATA_Class_Base59</v>
      </c>
      <c r="CG259" s="41" t="s">
        <v>195</v>
      </c>
    </row>
    <row r="260" spans="1:85" ht="27">
      <c r="A260">
        <f t="shared" si="122"/>
        <v>5072600</v>
      </c>
      <c r="B260" s="41" t="s">
        <v>1047</v>
      </c>
      <c r="C260">
        <v>7</v>
      </c>
      <c r="D260">
        <v>6</v>
      </c>
      <c r="E260">
        <v>2</v>
      </c>
      <c r="F260" t="s">
        <v>1305</v>
      </c>
      <c r="G260" t="str">
        <f t="shared" si="130"/>
        <v>牧师0_56_2</v>
      </c>
      <c r="H260">
        <v>0</v>
      </c>
      <c r="I260" s="2" t="s">
        <v>339</v>
      </c>
      <c r="J260" s="2">
        <f t="shared" si="118"/>
        <v>4</v>
      </c>
      <c r="K260" s="2">
        <f t="shared" si="108"/>
        <v>1.02</v>
      </c>
      <c r="L260" s="2">
        <f t="shared" ref="L260:L323" si="133">FLOOR(AP260/1.36,0.01)</f>
        <v>1.3900000000000001</v>
      </c>
      <c r="M260" s="2">
        <v>10</v>
      </c>
      <c r="N260" s="2">
        <f t="shared" si="128"/>
        <v>55.999999999999993</v>
      </c>
      <c r="O260" s="2">
        <f t="shared" si="128"/>
        <v>5.6</v>
      </c>
      <c r="P260" s="2">
        <f t="shared" si="128"/>
        <v>1200</v>
      </c>
      <c r="Q260" s="2">
        <f t="shared" si="123"/>
        <v>120</v>
      </c>
      <c r="R260" s="2">
        <f t="shared" si="123"/>
        <v>30</v>
      </c>
      <c r="S260" s="2">
        <f t="shared" si="123"/>
        <v>3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>
        <v>50526001</v>
      </c>
      <c r="Z260" s="14" t="s">
        <v>1387</v>
      </c>
      <c r="AA260" s="14" t="s">
        <v>890</v>
      </c>
      <c r="AB260">
        <v>5082600</v>
      </c>
      <c r="AC260" s="2">
        <v>31</v>
      </c>
      <c r="AD260" s="2"/>
      <c r="AE260" s="2"/>
      <c r="AF260">
        <v>1</v>
      </c>
      <c r="AG260" s="1">
        <f t="shared" si="109"/>
        <v>552.50251660962351</v>
      </c>
      <c r="AH260">
        <v>7</v>
      </c>
      <c r="AI260">
        <f t="shared" si="124"/>
        <v>55.999999999999993</v>
      </c>
      <c r="AJ260">
        <f t="shared" si="125"/>
        <v>5.6</v>
      </c>
      <c r="AK260">
        <f t="shared" si="126"/>
        <v>1200</v>
      </c>
      <c r="AL260">
        <f t="shared" si="127"/>
        <v>120</v>
      </c>
      <c r="AM260">
        <f t="shared" si="119"/>
        <v>30</v>
      </c>
      <c r="AN260">
        <f t="shared" si="120"/>
        <v>3</v>
      </c>
      <c r="AO260">
        <f t="shared" si="110"/>
        <v>1.4</v>
      </c>
      <c r="AP260">
        <f t="shared" si="111"/>
        <v>1.9</v>
      </c>
      <c r="AQ260">
        <f t="shared" si="112"/>
        <v>4</v>
      </c>
      <c r="AR260">
        <v>600</v>
      </c>
      <c r="AS260" s="1" t="str">
        <f t="shared" si="129"/>
        <v>0</v>
      </c>
      <c r="AT260">
        <v>5</v>
      </c>
      <c r="BP260" t="s">
        <v>990</v>
      </c>
      <c r="BQ260" t="str">
        <f t="shared" si="113"/>
        <v>0</v>
      </c>
      <c r="BT260">
        <v>19</v>
      </c>
      <c r="BU260" t="str">
        <f t="shared" si="116"/>
        <v>571019,562019,563019</v>
      </c>
      <c r="BV260">
        <f t="shared" si="114"/>
        <v>571019</v>
      </c>
      <c r="BW260">
        <f t="shared" si="131"/>
        <v>562019</v>
      </c>
      <c r="BX260">
        <f t="shared" si="132"/>
        <v>563019</v>
      </c>
      <c r="CF260" t="str">
        <f t="shared" si="121"/>
        <v>DATA_Class_Base54</v>
      </c>
      <c r="CG260" s="41" t="s">
        <v>198</v>
      </c>
    </row>
    <row r="261" spans="1:85" ht="27">
      <c r="A261">
        <f t="shared" si="122"/>
        <v>5072602</v>
      </c>
      <c r="B261" s="41" t="s">
        <v>1066</v>
      </c>
      <c r="C261">
        <v>7</v>
      </c>
      <c r="D261">
        <v>6</v>
      </c>
      <c r="E261">
        <v>2</v>
      </c>
      <c r="F261" t="s">
        <v>1307</v>
      </c>
      <c r="G261" t="str">
        <f t="shared" si="130"/>
        <v>牧师2_56_2</v>
      </c>
      <c r="H261" t="s">
        <v>345</v>
      </c>
      <c r="I261" s="2" t="s">
        <v>346</v>
      </c>
      <c r="J261" s="2">
        <f t="shared" si="118"/>
        <v>6</v>
      </c>
      <c r="K261" s="2">
        <f t="shared" ref="K261:K324" si="134">FLOOR(AO261/1.363,0.01)</f>
        <v>1.32</v>
      </c>
      <c r="L261" s="2">
        <f t="shared" si="133"/>
        <v>1.47</v>
      </c>
      <c r="M261" s="2">
        <v>10</v>
      </c>
      <c r="N261" s="2">
        <f t="shared" si="128"/>
        <v>72</v>
      </c>
      <c r="O261" s="2">
        <f t="shared" si="128"/>
        <v>7.2</v>
      </c>
      <c r="P261" s="2">
        <f t="shared" si="128"/>
        <v>1200</v>
      </c>
      <c r="Q261" s="2">
        <f t="shared" si="123"/>
        <v>120</v>
      </c>
      <c r="R261" s="2">
        <f t="shared" si="123"/>
        <v>30</v>
      </c>
      <c r="S261" s="2">
        <f t="shared" si="123"/>
        <v>3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>
        <v>50526021</v>
      </c>
      <c r="Z261" s="14" t="s">
        <v>1388</v>
      </c>
      <c r="AA261" s="14" t="s">
        <v>890</v>
      </c>
      <c r="AB261">
        <v>5082602</v>
      </c>
      <c r="AC261" s="2">
        <v>31</v>
      </c>
      <c r="AD261" s="2"/>
      <c r="AE261" s="2"/>
      <c r="AF261">
        <v>1</v>
      </c>
      <c r="AG261" s="1">
        <f t="shared" ref="AG261:AG324" si="135">(AK261+AL261*AF261)*(AI261+AJ261*AF261)/AO261*(0.9)*(1+0.5*0.1)*1/1/(1-(AM261+AN261*AF261)*0.0002)/100</f>
        <v>552.50251660962363</v>
      </c>
      <c r="AH261">
        <v>7</v>
      </c>
      <c r="AI261">
        <f t="shared" si="124"/>
        <v>72</v>
      </c>
      <c r="AJ261">
        <f t="shared" si="125"/>
        <v>7.2</v>
      </c>
      <c r="AK261">
        <f t="shared" si="126"/>
        <v>1200</v>
      </c>
      <c r="AL261">
        <f t="shared" si="127"/>
        <v>120</v>
      </c>
      <c r="AM261">
        <f t="shared" si="119"/>
        <v>30</v>
      </c>
      <c r="AN261">
        <f t="shared" si="120"/>
        <v>3</v>
      </c>
      <c r="AO261">
        <f t="shared" ref="AO261:AO324" si="136">INDEX($AZ$5:$AZ$34,MATCH($AR261,$AU$5:$AU$34,0))</f>
        <v>1.8</v>
      </c>
      <c r="AP261">
        <f t="shared" ref="AP261:AP324" si="137">ROUND(IF(INDEX($BH$5:$BH$34,MATCH($AR261,$AU$5:$AU$34,0))&lt;2,INDEX($BH$5:$BH$34,MATCH($AR261,$AU$5:$AU$34,0))+0.2,2),1)</f>
        <v>2</v>
      </c>
      <c r="AQ261">
        <f t="shared" ref="AQ261:AQ324" si="138">INDEX($BD$5:$BD$34,MATCH($AR261,$AU$5:$AU$34,0))</f>
        <v>6</v>
      </c>
      <c r="AR261">
        <v>602</v>
      </c>
      <c r="AS261" s="1" t="str">
        <f t="shared" si="129"/>
        <v>2</v>
      </c>
      <c r="AT261">
        <v>5</v>
      </c>
      <c r="BP261" t="s">
        <v>978</v>
      </c>
      <c r="BQ261" t="str">
        <f t="shared" ref="BQ261:BQ324" si="139">RIGHT(BP261,1)</f>
        <v>2</v>
      </c>
      <c r="BT261">
        <v>20</v>
      </c>
      <c r="BU261" t="str">
        <f t="shared" si="116"/>
        <v>571020,562020,563020</v>
      </c>
      <c r="BV261">
        <f t="shared" si="114"/>
        <v>571020</v>
      </c>
      <c r="BW261">
        <f t="shared" si="131"/>
        <v>562020</v>
      </c>
      <c r="BX261">
        <f t="shared" si="132"/>
        <v>563020</v>
      </c>
      <c r="CF261" t="str">
        <f t="shared" si="121"/>
        <v>DATA_Class_Base60</v>
      </c>
      <c r="CG261" s="41" t="s">
        <v>407</v>
      </c>
    </row>
    <row r="262" spans="1:85">
      <c r="A262">
        <f t="shared" si="122"/>
        <v>5073200</v>
      </c>
      <c r="B262" s="40" t="s">
        <v>1021</v>
      </c>
      <c r="C262">
        <v>7</v>
      </c>
      <c r="D262">
        <v>2</v>
      </c>
      <c r="E262">
        <v>3</v>
      </c>
      <c r="F262" t="s">
        <v>1309</v>
      </c>
      <c r="G262" t="str">
        <f t="shared" si="130"/>
        <v>战士0_56_3</v>
      </c>
      <c r="H262">
        <v>0</v>
      </c>
      <c r="I262" s="2" t="s">
        <v>314</v>
      </c>
      <c r="J262" s="2">
        <f t="shared" si="118"/>
        <v>2.5</v>
      </c>
      <c r="K262" s="2">
        <f t="shared" si="134"/>
        <v>1.1000000000000001</v>
      </c>
      <c r="L262" s="2">
        <f t="shared" si="133"/>
        <v>0.88</v>
      </c>
      <c r="M262" s="2">
        <v>10</v>
      </c>
      <c r="N262" s="2">
        <f t="shared" si="128"/>
        <v>48.000000000000007</v>
      </c>
      <c r="O262" s="2">
        <f t="shared" si="128"/>
        <v>4.8000000000000007</v>
      </c>
      <c r="P262" s="2">
        <f t="shared" si="128"/>
        <v>1500</v>
      </c>
      <c r="Q262" s="2">
        <f t="shared" si="123"/>
        <v>150</v>
      </c>
      <c r="R262" s="2">
        <f t="shared" si="123"/>
        <v>36</v>
      </c>
      <c r="S262" s="2">
        <f t="shared" si="123"/>
        <v>3.6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>
        <v>50532001</v>
      </c>
      <c r="Z262" s="14" t="s">
        <v>1389</v>
      </c>
      <c r="AA262" s="14" t="s">
        <v>890</v>
      </c>
      <c r="AB262">
        <v>5083200</v>
      </c>
      <c r="AC262" s="2">
        <v>31</v>
      </c>
      <c r="AD262" s="2"/>
      <c r="AE262" s="2"/>
      <c r="AF262">
        <v>1</v>
      </c>
      <c r="AG262" s="1">
        <f t="shared" si="135"/>
        <v>553.23764212563515</v>
      </c>
      <c r="AH262">
        <v>7</v>
      </c>
      <c r="AI262">
        <f t="shared" si="124"/>
        <v>48.000000000000007</v>
      </c>
      <c r="AJ262">
        <f t="shared" si="125"/>
        <v>4.8000000000000007</v>
      </c>
      <c r="AK262">
        <f t="shared" si="126"/>
        <v>1500</v>
      </c>
      <c r="AL262">
        <f t="shared" si="127"/>
        <v>150</v>
      </c>
      <c r="AM262">
        <f t="shared" si="119"/>
        <v>36</v>
      </c>
      <c r="AN262">
        <f t="shared" si="120"/>
        <v>3.6</v>
      </c>
      <c r="AO262">
        <f t="shared" si="136"/>
        <v>1.5</v>
      </c>
      <c r="AP262">
        <f t="shared" si="137"/>
        <v>1.2</v>
      </c>
      <c r="AQ262">
        <f t="shared" si="138"/>
        <v>2.5</v>
      </c>
      <c r="AR262">
        <v>200</v>
      </c>
      <c r="AS262" s="1" t="str">
        <f t="shared" si="129"/>
        <v>0</v>
      </c>
      <c r="AT262">
        <v>5</v>
      </c>
      <c r="BP262" t="s">
        <v>964</v>
      </c>
      <c r="BQ262" t="str">
        <f t="shared" si="139"/>
        <v>0</v>
      </c>
      <c r="BT262">
        <v>21</v>
      </c>
      <c r="BU262" t="str">
        <f t="shared" si="116"/>
        <v>571021,562021,563021</v>
      </c>
      <c r="BV262">
        <f t="shared" si="114"/>
        <v>571021</v>
      </c>
      <c r="BW262">
        <f t="shared" si="131"/>
        <v>562021</v>
      </c>
      <c r="BX262">
        <f t="shared" si="132"/>
        <v>563021</v>
      </c>
      <c r="CF262" t="str">
        <f t="shared" si="121"/>
        <v>DATA_Class_Base46</v>
      </c>
      <c r="CG262" s="40" t="s">
        <v>1022</v>
      </c>
    </row>
    <row r="263" spans="1:85" ht="27">
      <c r="A263">
        <f t="shared" si="122"/>
        <v>5073202</v>
      </c>
      <c r="B263" s="41" t="s">
        <v>1053</v>
      </c>
      <c r="C263">
        <v>7</v>
      </c>
      <c r="D263">
        <v>2</v>
      </c>
      <c r="E263">
        <v>3</v>
      </c>
      <c r="F263" s="2" t="s">
        <v>1311</v>
      </c>
      <c r="G263" t="str">
        <f t="shared" si="130"/>
        <v>战士2_56_3</v>
      </c>
      <c r="H263">
        <v>0</v>
      </c>
      <c r="I263" s="2" t="s">
        <v>280</v>
      </c>
      <c r="J263" s="2">
        <f t="shared" si="118"/>
        <v>2.5</v>
      </c>
      <c r="K263" s="2">
        <f t="shared" si="134"/>
        <v>1.32</v>
      </c>
      <c r="L263" s="2">
        <f t="shared" si="133"/>
        <v>1.47</v>
      </c>
      <c r="M263" s="2">
        <v>10</v>
      </c>
      <c r="N263" s="2">
        <f t="shared" si="128"/>
        <v>57.6</v>
      </c>
      <c r="O263" s="2">
        <f t="shared" si="128"/>
        <v>5.7600000000000007</v>
      </c>
      <c r="P263" s="2">
        <f t="shared" si="128"/>
        <v>1500</v>
      </c>
      <c r="Q263" s="2">
        <f t="shared" si="123"/>
        <v>150</v>
      </c>
      <c r="R263" s="2">
        <f t="shared" si="123"/>
        <v>36</v>
      </c>
      <c r="S263" s="2">
        <f t="shared" si="123"/>
        <v>3.6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>
        <v>50532021</v>
      </c>
      <c r="Z263" s="14" t="s">
        <v>1390</v>
      </c>
      <c r="AA263" s="14" t="s">
        <v>890</v>
      </c>
      <c r="AB263">
        <v>5083202</v>
      </c>
      <c r="AC263" s="2">
        <v>31</v>
      </c>
      <c r="AD263" s="2"/>
      <c r="AE263" s="2"/>
      <c r="AF263">
        <v>1</v>
      </c>
      <c r="AG263" s="1">
        <f t="shared" si="135"/>
        <v>553.23764212563515</v>
      </c>
      <c r="AH263">
        <v>7</v>
      </c>
      <c r="AI263">
        <f t="shared" si="124"/>
        <v>57.6</v>
      </c>
      <c r="AJ263">
        <f t="shared" si="125"/>
        <v>5.7600000000000007</v>
      </c>
      <c r="AK263">
        <f t="shared" si="126"/>
        <v>1500</v>
      </c>
      <c r="AL263">
        <f t="shared" si="127"/>
        <v>150</v>
      </c>
      <c r="AM263">
        <f t="shared" si="119"/>
        <v>36</v>
      </c>
      <c r="AN263">
        <f t="shared" si="120"/>
        <v>3.6</v>
      </c>
      <c r="AO263">
        <f t="shared" si="136"/>
        <v>1.8</v>
      </c>
      <c r="AP263">
        <f t="shared" si="137"/>
        <v>2</v>
      </c>
      <c r="AQ263">
        <f t="shared" si="138"/>
        <v>2.5</v>
      </c>
      <c r="AR263">
        <v>202</v>
      </c>
      <c r="AS263" s="1" t="str">
        <f t="shared" si="129"/>
        <v>2</v>
      </c>
      <c r="AT263">
        <v>5</v>
      </c>
      <c r="BP263" t="s">
        <v>981</v>
      </c>
      <c r="BQ263" t="str">
        <f t="shared" si="139"/>
        <v>2</v>
      </c>
      <c r="BT263">
        <v>22</v>
      </c>
      <c r="BU263" t="str">
        <f t="shared" si="116"/>
        <v>571022,562022,563022</v>
      </c>
      <c r="BV263">
        <f t="shared" si="114"/>
        <v>571022</v>
      </c>
      <c r="BW263">
        <f t="shared" si="131"/>
        <v>562022</v>
      </c>
      <c r="BX263">
        <f t="shared" si="132"/>
        <v>563022</v>
      </c>
      <c r="CF263" t="str">
        <f t="shared" si="121"/>
        <v>DATA_Class_Base56</v>
      </c>
      <c r="CG263" s="41" t="s">
        <v>381</v>
      </c>
    </row>
    <row r="264" spans="1:85" ht="27">
      <c r="A264">
        <f t="shared" si="122"/>
        <v>5073302</v>
      </c>
      <c r="B264" s="41" t="s">
        <v>1056</v>
      </c>
      <c r="C264">
        <v>7</v>
      </c>
      <c r="D264">
        <v>3</v>
      </c>
      <c r="E264">
        <v>3</v>
      </c>
      <c r="F264" t="s">
        <v>1313</v>
      </c>
      <c r="G264" t="str">
        <f t="shared" si="130"/>
        <v>刺客2_56_3</v>
      </c>
      <c r="H264" s="2">
        <v>0</v>
      </c>
      <c r="I264" s="2" t="s">
        <v>358</v>
      </c>
      <c r="J264" s="2">
        <f t="shared" si="118"/>
        <v>2.5</v>
      </c>
      <c r="K264" s="2">
        <f t="shared" si="134"/>
        <v>1.02</v>
      </c>
      <c r="L264" s="2">
        <f t="shared" si="133"/>
        <v>1.25</v>
      </c>
      <c r="M264" s="2">
        <v>10</v>
      </c>
      <c r="N264" s="2">
        <f t="shared" si="128"/>
        <v>50.4</v>
      </c>
      <c r="O264" s="2">
        <f t="shared" si="128"/>
        <v>5.04</v>
      </c>
      <c r="P264" s="2">
        <f t="shared" si="128"/>
        <v>1332.0000000000002</v>
      </c>
      <c r="Q264" s="2">
        <f t="shared" si="123"/>
        <v>133.20000000000002</v>
      </c>
      <c r="R264" s="2">
        <f t="shared" si="123"/>
        <v>33</v>
      </c>
      <c r="S264" s="2">
        <f t="shared" si="123"/>
        <v>3.3000000000000003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>
        <v>50533021</v>
      </c>
      <c r="Z264" s="14" t="s">
        <v>1391</v>
      </c>
      <c r="AA264" s="14" t="s">
        <v>890</v>
      </c>
      <c r="AB264">
        <v>5083302</v>
      </c>
      <c r="AC264" s="2">
        <v>31</v>
      </c>
      <c r="AD264" s="2"/>
      <c r="AE264" s="2"/>
      <c r="AF264">
        <v>1</v>
      </c>
      <c r="AG264" s="1">
        <f t="shared" si="135"/>
        <v>552.31696516711338</v>
      </c>
      <c r="AH264">
        <v>7</v>
      </c>
      <c r="AI264">
        <f t="shared" si="124"/>
        <v>50.4</v>
      </c>
      <c r="AJ264">
        <f t="shared" si="125"/>
        <v>5.04</v>
      </c>
      <c r="AK264">
        <f t="shared" si="126"/>
        <v>1332.0000000000002</v>
      </c>
      <c r="AL264">
        <f t="shared" si="127"/>
        <v>133.20000000000002</v>
      </c>
      <c r="AM264">
        <f t="shared" si="119"/>
        <v>33</v>
      </c>
      <c r="AN264">
        <f t="shared" si="120"/>
        <v>3.3000000000000003</v>
      </c>
      <c r="AO264">
        <f t="shared" si="136"/>
        <v>1.4</v>
      </c>
      <c r="AP264">
        <f t="shared" si="137"/>
        <v>1.7</v>
      </c>
      <c r="AQ264">
        <f t="shared" si="138"/>
        <v>2.5</v>
      </c>
      <c r="AR264">
        <v>302</v>
      </c>
      <c r="AS264" s="1" t="str">
        <f t="shared" si="129"/>
        <v>2</v>
      </c>
      <c r="AT264">
        <v>5</v>
      </c>
      <c r="BP264" t="s">
        <v>983</v>
      </c>
      <c r="BQ264" t="str">
        <f t="shared" si="139"/>
        <v>2</v>
      </c>
      <c r="BT264">
        <v>23</v>
      </c>
      <c r="BU264" t="str">
        <f t="shared" si="116"/>
        <v>571023,562023,563023</v>
      </c>
      <c r="BV264">
        <f t="shared" si="114"/>
        <v>571023</v>
      </c>
      <c r="BW264">
        <f t="shared" si="131"/>
        <v>562023</v>
      </c>
      <c r="BX264">
        <f t="shared" si="132"/>
        <v>563023</v>
      </c>
      <c r="CF264" t="str">
        <f t="shared" si="121"/>
        <v>DATA_Class_Base57</v>
      </c>
      <c r="CG264" s="41" t="s">
        <v>1057</v>
      </c>
    </row>
    <row r="265" spans="1:85" ht="27">
      <c r="A265">
        <f t="shared" si="122"/>
        <v>5073301</v>
      </c>
      <c r="B265" s="41" t="s">
        <v>1031</v>
      </c>
      <c r="C265">
        <v>7</v>
      </c>
      <c r="D265">
        <v>3</v>
      </c>
      <c r="E265">
        <v>3</v>
      </c>
      <c r="F265" t="s">
        <v>1315</v>
      </c>
      <c r="G265" t="str">
        <f t="shared" si="130"/>
        <v>刺客1_56_3</v>
      </c>
      <c r="H265" s="2">
        <v>0</v>
      </c>
      <c r="I265" s="2" t="s">
        <v>285</v>
      </c>
      <c r="J265" s="2">
        <f t="shared" si="118"/>
        <v>2.5</v>
      </c>
      <c r="K265" s="2">
        <f t="shared" si="134"/>
        <v>0.88</v>
      </c>
      <c r="L265" s="2">
        <f t="shared" si="133"/>
        <v>1.47</v>
      </c>
      <c r="M265" s="2">
        <v>10</v>
      </c>
      <c r="N265" s="2">
        <f t="shared" si="128"/>
        <v>43.2</v>
      </c>
      <c r="O265" s="2">
        <f t="shared" si="128"/>
        <v>4.32</v>
      </c>
      <c r="P265" s="2">
        <f t="shared" si="128"/>
        <v>1332.0000000000002</v>
      </c>
      <c r="Q265" s="2">
        <f t="shared" si="123"/>
        <v>133.20000000000002</v>
      </c>
      <c r="R265" s="2">
        <f t="shared" si="123"/>
        <v>33</v>
      </c>
      <c r="S265" s="2">
        <f t="shared" si="123"/>
        <v>3.3000000000000003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>
        <v>50533011</v>
      </c>
      <c r="Z265" s="14" t="s">
        <v>1392</v>
      </c>
      <c r="AA265" s="14" t="s">
        <v>890</v>
      </c>
      <c r="AB265">
        <v>5083301</v>
      </c>
      <c r="AC265" s="2">
        <v>31</v>
      </c>
      <c r="AD265" s="2"/>
      <c r="AE265" s="2"/>
      <c r="AF265">
        <v>1</v>
      </c>
      <c r="AG265" s="1">
        <f t="shared" si="135"/>
        <v>552.31696516711349</v>
      </c>
      <c r="AH265">
        <v>7</v>
      </c>
      <c r="AI265">
        <f t="shared" si="124"/>
        <v>43.2</v>
      </c>
      <c r="AJ265">
        <f t="shared" si="125"/>
        <v>4.32</v>
      </c>
      <c r="AK265">
        <f t="shared" si="126"/>
        <v>1332.0000000000002</v>
      </c>
      <c r="AL265">
        <f t="shared" si="127"/>
        <v>133.20000000000002</v>
      </c>
      <c r="AM265">
        <f t="shared" si="119"/>
        <v>33</v>
      </c>
      <c r="AN265">
        <f t="shared" si="120"/>
        <v>3.3000000000000003</v>
      </c>
      <c r="AO265">
        <f t="shared" si="136"/>
        <v>1.2</v>
      </c>
      <c r="AP265">
        <f t="shared" si="137"/>
        <v>2</v>
      </c>
      <c r="AQ265">
        <f t="shared" si="138"/>
        <v>2.5</v>
      </c>
      <c r="AR265">
        <v>301</v>
      </c>
      <c r="AS265" s="1" t="str">
        <f t="shared" si="129"/>
        <v>1</v>
      </c>
      <c r="AT265">
        <v>5</v>
      </c>
      <c r="BP265" t="s">
        <v>923</v>
      </c>
      <c r="BQ265" t="str">
        <f t="shared" si="139"/>
        <v>1</v>
      </c>
      <c r="BT265">
        <v>24</v>
      </c>
      <c r="BU265" t="str">
        <f t="shared" si="116"/>
        <v>571024,562024,563024</v>
      </c>
      <c r="BV265">
        <f t="shared" si="114"/>
        <v>571024</v>
      </c>
      <c r="BW265">
        <f t="shared" si="131"/>
        <v>562024</v>
      </c>
      <c r="BX265">
        <f t="shared" si="132"/>
        <v>563024</v>
      </c>
      <c r="CF265" t="str">
        <f t="shared" si="121"/>
        <v>DATA_Class_Base49</v>
      </c>
      <c r="CG265" s="41" t="s">
        <v>384</v>
      </c>
    </row>
    <row r="266" spans="1:85" ht="27">
      <c r="A266">
        <f t="shared" si="122"/>
        <v>5073400</v>
      </c>
      <c r="B266" s="41" t="s">
        <v>1060</v>
      </c>
      <c r="C266">
        <v>7</v>
      </c>
      <c r="D266">
        <v>4</v>
      </c>
      <c r="E266">
        <v>3</v>
      </c>
      <c r="F266" t="s">
        <v>1317</v>
      </c>
      <c r="G266" t="str">
        <f t="shared" si="130"/>
        <v>法师0_56_3</v>
      </c>
      <c r="H266">
        <v>0</v>
      </c>
      <c r="I266" s="2" t="s">
        <v>364</v>
      </c>
      <c r="J266" s="2">
        <f t="shared" si="118"/>
        <v>5</v>
      </c>
      <c r="K266" s="2">
        <f t="shared" si="134"/>
        <v>1.02</v>
      </c>
      <c r="L266" s="2">
        <f t="shared" si="133"/>
        <v>1.02</v>
      </c>
      <c r="M266" s="2">
        <v>10</v>
      </c>
      <c r="N266" s="2">
        <f t="shared" si="128"/>
        <v>61.599999999999994</v>
      </c>
      <c r="O266" s="2">
        <f t="shared" si="128"/>
        <v>6.16</v>
      </c>
      <c r="P266" s="2">
        <f t="shared" si="128"/>
        <v>1092</v>
      </c>
      <c r="Q266" s="2">
        <f t="shared" si="123"/>
        <v>109.2</v>
      </c>
      <c r="R266" s="2">
        <f t="shared" si="123"/>
        <v>27</v>
      </c>
      <c r="S266" s="2">
        <f t="shared" si="123"/>
        <v>2.7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>
        <v>50534001</v>
      </c>
      <c r="Z266" s="14" t="s">
        <v>1393</v>
      </c>
      <c r="AA266" s="14" t="s">
        <v>890</v>
      </c>
      <c r="AB266">
        <v>5083400</v>
      </c>
      <c r="AC266" s="2">
        <v>31</v>
      </c>
      <c r="AD266" s="2"/>
      <c r="AE266" s="2"/>
      <c r="AF266">
        <v>1</v>
      </c>
      <c r="AG266" s="1">
        <f t="shared" si="135"/>
        <v>552.68782166066433</v>
      </c>
      <c r="AH266">
        <v>7</v>
      </c>
      <c r="AI266">
        <f t="shared" si="124"/>
        <v>61.599999999999994</v>
      </c>
      <c r="AJ266">
        <f t="shared" si="125"/>
        <v>6.16</v>
      </c>
      <c r="AK266">
        <f t="shared" si="126"/>
        <v>1092</v>
      </c>
      <c r="AL266">
        <f t="shared" si="127"/>
        <v>109.2</v>
      </c>
      <c r="AM266">
        <f t="shared" si="119"/>
        <v>27</v>
      </c>
      <c r="AN266">
        <f t="shared" si="120"/>
        <v>2.7</v>
      </c>
      <c r="AO266">
        <f t="shared" si="136"/>
        <v>1.4</v>
      </c>
      <c r="AP266">
        <f t="shared" si="137"/>
        <v>1.4</v>
      </c>
      <c r="AQ266">
        <f t="shared" si="138"/>
        <v>5</v>
      </c>
      <c r="AR266">
        <v>400</v>
      </c>
      <c r="AS266" s="1" t="str">
        <f t="shared" si="129"/>
        <v>0</v>
      </c>
      <c r="AT266">
        <v>5</v>
      </c>
      <c r="BP266" t="s">
        <v>986</v>
      </c>
      <c r="BQ266" t="str">
        <f t="shared" si="139"/>
        <v>0</v>
      </c>
      <c r="BT266">
        <v>25</v>
      </c>
      <c r="BU266" t="str">
        <f t="shared" si="116"/>
        <v>571025,562025,563025</v>
      </c>
      <c r="BV266">
        <f t="shared" si="114"/>
        <v>571025</v>
      </c>
      <c r="BW266">
        <f t="shared" si="131"/>
        <v>562025</v>
      </c>
      <c r="BX266">
        <f t="shared" si="132"/>
        <v>563025</v>
      </c>
      <c r="CF266" t="str">
        <f t="shared" si="121"/>
        <v>DATA_Class_Base58</v>
      </c>
      <c r="CG266" s="41" t="s">
        <v>174</v>
      </c>
    </row>
    <row r="267" spans="1:85" ht="14.25" customHeight="1">
      <c r="A267">
        <f t="shared" si="122"/>
        <v>5073401</v>
      </c>
      <c r="B267" s="41" t="s">
        <v>1034</v>
      </c>
      <c r="C267">
        <v>7</v>
      </c>
      <c r="D267">
        <v>4</v>
      </c>
      <c r="E267">
        <v>3</v>
      </c>
      <c r="F267" t="s">
        <v>1319</v>
      </c>
      <c r="G267" t="str">
        <f t="shared" si="130"/>
        <v>法师1_56_3</v>
      </c>
      <c r="H267">
        <v>0</v>
      </c>
      <c r="I267" s="2" t="s">
        <v>161</v>
      </c>
      <c r="J267" s="2">
        <f t="shared" si="118"/>
        <v>6</v>
      </c>
      <c r="K267" s="2">
        <f t="shared" si="134"/>
        <v>1.17</v>
      </c>
      <c r="L267" s="2">
        <f t="shared" si="133"/>
        <v>1.47</v>
      </c>
      <c r="M267" s="2">
        <v>10</v>
      </c>
      <c r="N267" s="2">
        <f t="shared" si="128"/>
        <v>70.40000000000002</v>
      </c>
      <c r="O267" s="2">
        <f t="shared" si="128"/>
        <v>7.0400000000000027</v>
      </c>
      <c r="P267" s="2">
        <f t="shared" si="128"/>
        <v>1092</v>
      </c>
      <c r="Q267" s="2">
        <f t="shared" si="123"/>
        <v>109.2</v>
      </c>
      <c r="R267" s="2">
        <f t="shared" si="123"/>
        <v>27</v>
      </c>
      <c r="S267" s="2">
        <f t="shared" si="123"/>
        <v>2.7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>
        <v>50534011</v>
      </c>
      <c r="Z267" s="14" t="s">
        <v>1394</v>
      </c>
      <c r="AA267" s="14" t="s">
        <v>890</v>
      </c>
      <c r="AB267">
        <v>5083401</v>
      </c>
      <c r="AC267" s="2">
        <v>31</v>
      </c>
      <c r="AD267" s="2"/>
      <c r="AE267" s="2"/>
      <c r="AF267">
        <v>1</v>
      </c>
      <c r="AG267" s="1">
        <f t="shared" si="135"/>
        <v>552.68782166066455</v>
      </c>
      <c r="AH267">
        <v>7</v>
      </c>
      <c r="AI267">
        <f t="shared" si="124"/>
        <v>70.40000000000002</v>
      </c>
      <c r="AJ267">
        <f t="shared" si="125"/>
        <v>7.0400000000000027</v>
      </c>
      <c r="AK267">
        <f t="shared" si="126"/>
        <v>1092</v>
      </c>
      <c r="AL267">
        <f t="shared" si="127"/>
        <v>109.2</v>
      </c>
      <c r="AM267">
        <f t="shared" si="119"/>
        <v>27</v>
      </c>
      <c r="AN267">
        <f t="shared" si="120"/>
        <v>2.7</v>
      </c>
      <c r="AO267">
        <f t="shared" si="136"/>
        <v>1.6</v>
      </c>
      <c r="AP267">
        <f t="shared" si="137"/>
        <v>2</v>
      </c>
      <c r="AQ267">
        <f t="shared" si="138"/>
        <v>6</v>
      </c>
      <c r="AR267">
        <v>401</v>
      </c>
      <c r="AS267" s="1" t="str">
        <f t="shared" si="129"/>
        <v>1</v>
      </c>
      <c r="AT267">
        <v>5</v>
      </c>
      <c r="BP267" t="s">
        <v>953</v>
      </c>
      <c r="BQ267" t="str">
        <f t="shared" si="139"/>
        <v>1</v>
      </c>
      <c r="BT267">
        <v>26</v>
      </c>
      <c r="BU267" t="str">
        <f t="shared" si="116"/>
        <v>571026,562026,563026</v>
      </c>
      <c r="BV267">
        <f t="shared" si="114"/>
        <v>571026</v>
      </c>
      <c r="BW267">
        <f t="shared" si="131"/>
        <v>562026</v>
      </c>
      <c r="BX267">
        <f t="shared" si="132"/>
        <v>563026</v>
      </c>
      <c r="CF267" t="str">
        <f t="shared" si="121"/>
        <v>DATA_Class_Base50</v>
      </c>
      <c r="CG267" s="41" t="s">
        <v>176</v>
      </c>
    </row>
    <row r="268" spans="1:85" ht="27">
      <c r="A268">
        <f t="shared" si="122"/>
        <v>5073501</v>
      </c>
      <c r="B268" s="41" t="s">
        <v>1044</v>
      </c>
      <c r="C268">
        <v>7</v>
      </c>
      <c r="D268">
        <v>5</v>
      </c>
      <c r="E268">
        <v>3</v>
      </c>
      <c r="F268" t="s">
        <v>1321</v>
      </c>
      <c r="G268" t="str">
        <f t="shared" si="130"/>
        <v>游侠1_56_3</v>
      </c>
      <c r="H268" s="2">
        <v>0</v>
      </c>
      <c r="I268" s="2" t="s">
        <v>334</v>
      </c>
      <c r="J268" s="2">
        <f t="shared" si="118"/>
        <v>6</v>
      </c>
      <c r="K268" s="2">
        <f t="shared" si="134"/>
        <v>1.17</v>
      </c>
      <c r="L268" s="2">
        <f t="shared" si="133"/>
        <v>1.47</v>
      </c>
      <c r="M268" s="2">
        <v>10</v>
      </c>
      <c r="N268" s="2">
        <f t="shared" si="128"/>
        <v>76.8</v>
      </c>
      <c r="O268" s="2">
        <f t="shared" si="128"/>
        <v>7.68</v>
      </c>
      <c r="P268" s="2">
        <f t="shared" si="128"/>
        <v>996</v>
      </c>
      <c r="Q268" s="2">
        <f t="shared" si="123"/>
        <v>99.600000000000009</v>
      </c>
      <c r="R268" s="2">
        <f t="shared" si="123"/>
        <v>24</v>
      </c>
      <c r="S268" s="2">
        <f t="shared" si="123"/>
        <v>2.4000000000000004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>
        <v>50535011</v>
      </c>
      <c r="Z268" s="14" t="s">
        <v>1395</v>
      </c>
      <c r="AA268" s="14" t="s">
        <v>890</v>
      </c>
      <c r="AB268">
        <v>5083501</v>
      </c>
      <c r="AC268" s="2">
        <v>31</v>
      </c>
      <c r="AD268" s="2"/>
      <c r="AE268" s="2"/>
      <c r="AF268">
        <v>1</v>
      </c>
      <c r="AG268" s="1">
        <f t="shared" si="135"/>
        <v>549.56226475792175</v>
      </c>
      <c r="AH268">
        <v>7</v>
      </c>
      <c r="AI268">
        <f t="shared" si="124"/>
        <v>76.8</v>
      </c>
      <c r="AJ268">
        <f t="shared" si="125"/>
        <v>7.68</v>
      </c>
      <c r="AK268">
        <f t="shared" si="126"/>
        <v>996</v>
      </c>
      <c r="AL268">
        <f t="shared" si="127"/>
        <v>99.600000000000009</v>
      </c>
      <c r="AM268">
        <f t="shared" si="119"/>
        <v>24</v>
      </c>
      <c r="AN268">
        <f t="shared" si="120"/>
        <v>2.4000000000000004</v>
      </c>
      <c r="AO268">
        <f t="shared" si="136"/>
        <v>1.6</v>
      </c>
      <c r="AP268">
        <f t="shared" si="137"/>
        <v>2</v>
      </c>
      <c r="AQ268">
        <f t="shared" si="138"/>
        <v>6</v>
      </c>
      <c r="AR268">
        <v>501</v>
      </c>
      <c r="AS268" s="1" t="str">
        <f t="shared" si="129"/>
        <v>1</v>
      </c>
      <c r="AT268">
        <v>5</v>
      </c>
      <c r="BP268" t="s">
        <v>945</v>
      </c>
      <c r="BQ268" t="str">
        <f t="shared" si="139"/>
        <v>1</v>
      </c>
      <c r="BT268">
        <v>27</v>
      </c>
      <c r="BU268" t="str">
        <f t="shared" si="116"/>
        <v>571027,562027,563027</v>
      </c>
      <c r="BV268">
        <f t="shared" si="114"/>
        <v>571027</v>
      </c>
      <c r="BW268">
        <f t="shared" si="131"/>
        <v>562027</v>
      </c>
      <c r="BX268">
        <f t="shared" si="132"/>
        <v>563027</v>
      </c>
      <c r="CF268" t="str">
        <f t="shared" si="121"/>
        <v>DATA_Class_Base53</v>
      </c>
      <c r="CG268" s="41" t="s">
        <v>349</v>
      </c>
    </row>
    <row r="269" spans="1:85" ht="27">
      <c r="A269">
        <f t="shared" si="122"/>
        <v>5073502</v>
      </c>
      <c r="B269" s="41" t="s">
        <v>1063</v>
      </c>
      <c r="C269">
        <v>7</v>
      </c>
      <c r="D269">
        <v>5</v>
      </c>
      <c r="E269">
        <v>3</v>
      </c>
      <c r="F269" t="s">
        <v>1323</v>
      </c>
      <c r="G269" t="str">
        <f t="shared" si="130"/>
        <v>游侠2_56_3</v>
      </c>
      <c r="H269">
        <v>0</v>
      </c>
      <c r="I269" s="2" t="s">
        <v>291</v>
      </c>
      <c r="J269" s="2">
        <f t="shared" si="118"/>
        <v>6</v>
      </c>
      <c r="K269" s="2">
        <f t="shared" si="134"/>
        <v>1.02</v>
      </c>
      <c r="L269" s="2">
        <f t="shared" si="133"/>
        <v>1.47</v>
      </c>
      <c r="M269" s="2">
        <v>10</v>
      </c>
      <c r="N269" s="2">
        <f t="shared" si="128"/>
        <v>67.199999999999989</v>
      </c>
      <c r="O269" s="2">
        <f t="shared" si="128"/>
        <v>6.7199999999999989</v>
      </c>
      <c r="P269" s="2">
        <f t="shared" si="128"/>
        <v>996</v>
      </c>
      <c r="Q269" s="2">
        <f t="shared" si="123"/>
        <v>99.600000000000009</v>
      </c>
      <c r="R269" s="2">
        <f t="shared" si="123"/>
        <v>24</v>
      </c>
      <c r="S269" s="2">
        <f t="shared" si="123"/>
        <v>2.4000000000000004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>
        <v>50535021</v>
      </c>
      <c r="Z269" s="14" t="s">
        <v>1396</v>
      </c>
      <c r="AA269" s="14" t="s">
        <v>890</v>
      </c>
      <c r="AB269">
        <v>5083502</v>
      </c>
      <c r="AC269" s="2">
        <v>31</v>
      </c>
      <c r="AD269" s="2"/>
      <c r="AE269" s="2"/>
      <c r="AF269">
        <v>1</v>
      </c>
      <c r="AG269" s="1">
        <f t="shared" si="135"/>
        <v>549.56226475792175</v>
      </c>
      <c r="AH269">
        <v>7</v>
      </c>
      <c r="AI269">
        <f t="shared" si="124"/>
        <v>67.199999999999989</v>
      </c>
      <c r="AJ269">
        <f t="shared" si="125"/>
        <v>6.7199999999999989</v>
      </c>
      <c r="AK269">
        <f t="shared" si="126"/>
        <v>996</v>
      </c>
      <c r="AL269">
        <f t="shared" si="127"/>
        <v>99.600000000000009</v>
      </c>
      <c r="AM269">
        <f t="shared" si="119"/>
        <v>24</v>
      </c>
      <c r="AN269">
        <f t="shared" si="120"/>
        <v>2.4000000000000004</v>
      </c>
      <c r="AO269">
        <f t="shared" si="136"/>
        <v>1.4</v>
      </c>
      <c r="AP269">
        <f t="shared" si="137"/>
        <v>2</v>
      </c>
      <c r="AQ269">
        <f t="shared" si="138"/>
        <v>6</v>
      </c>
      <c r="AR269">
        <v>502</v>
      </c>
      <c r="AS269" s="1" t="str">
        <f t="shared" si="129"/>
        <v>2</v>
      </c>
      <c r="AT269">
        <v>5</v>
      </c>
      <c r="BP269" t="s">
        <v>974</v>
      </c>
      <c r="BQ269" t="str">
        <f t="shared" si="139"/>
        <v>2</v>
      </c>
      <c r="BT269">
        <v>28</v>
      </c>
      <c r="BU269" t="str">
        <f t="shared" si="116"/>
        <v>571028,562028,563028</v>
      </c>
      <c r="BV269">
        <f t="shared" si="114"/>
        <v>571028</v>
      </c>
      <c r="BW269">
        <f t="shared" si="131"/>
        <v>562028</v>
      </c>
      <c r="BX269">
        <f t="shared" si="132"/>
        <v>563028</v>
      </c>
      <c r="CF269" t="str">
        <f t="shared" si="121"/>
        <v>DATA_Class_Base59</v>
      </c>
      <c r="CG269" s="41" t="s">
        <v>195</v>
      </c>
    </row>
    <row r="270" spans="1:85" ht="27">
      <c r="A270">
        <f t="shared" si="122"/>
        <v>5073600</v>
      </c>
      <c r="B270" s="41" t="s">
        <v>1047</v>
      </c>
      <c r="C270">
        <v>7</v>
      </c>
      <c r="D270">
        <v>6</v>
      </c>
      <c r="E270">
        <v>3</v>
      </c>
      <c r="F270" t="s">
        <v>1325</v>
      </c>
      <c r="G270" t="str">
        <f t="shared" si="130"/>
        <v>牧师0_56_3</v>
      </c>
      <c r="H270">
        <v>0</v>
      </c>
      <c r="I270" s="2" t="s">
        <v>339</v>
      </c>
      <c r="J270" s="2">
        <f t="shared" si="118"/>
        <v>4</v>
      </c>
      <c r="K270" s="2">
        <f t="shared" si="134"/>
        <v>1.02</v>
      </c>
      <c r="L270" s="2">
        <f t="shared" si="133"/>
        <v>1.3900000000000001</v>
      </c>
      <c r="M270" s="2">
        <v>10</v>
      </c>
      <c r="N270" s="2">
        <f t="shared" si="128"/>
        <v>55.999999999999993</v>
      </c>
      <c r="O270" s="2">
        <f t="shared" si="128"/>
        <v>5.6</v>
      </c>
      <c r="P270" s="2">
        <f t="shared" si="128"/>
        <v>1200</v>
      </c>
      <c r="Q270" s="2">
        <f t="shared" si="123"/>
        <v>120</v>
      </c>
      <c r="R270" s="2">
        <f t="shared" si="123"/>
        <v>30</v>
      </c>
      <c r="S270" s="2">
        <f t="shared" si="123"/>
        <v>3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>
        <v>50536001</v>
      </c>
      <c r="Z270" s="14" t="s">
        <v>1397</v>
      </c>
      <c r="AA270" s="14" t="s">
        <v>890</v>
      </c>
      <c r="AB270">
        <v>5083600</v>
      </c>
      <c r="AC270" s="2">
        <v>31</v>
      </c>
      <c r="AD270" s="2"/>
      <c r="AE270" s="2"/>
      <c r="AF270">
        <v>1</v>
      </c>
      <c r="AG270" s="1">
        <f t="shared" si="135"/>
        <v>552.50251660962351</v>
      </c>
      <c r="AH270">
        <v>7</v>
      </c>
      <c r="AI270">
        <f t="shared" si="124"/>
        <v>55.999999999999993</v>
      </c>
      <c r="AJ270">
        <f t="shared" si="125"/>
        <v>5.6</v>
      </c>
      <c r="AK270">
        <f t="shared" si="126"/>
        <v>1200</v>
      </c>
      <c r="AL270">
        <f t="shared" si="127"/>
        <v>120</v>
      </c>
      <c r="AM270">
        <f t="shared" si="119"/>
        <v>30</v>
      </c>
      <c r="AN270">
        <f t="shared" si="120"/>
        <v>3</v>
      </c>
      <c r="AO270">
        <f t="shared" si="136"/>
        <v>1.4</v>
      </c>
      <c r="AP270">
        <f t="shared" si="137"/>
        <v>1.9</v>
      </c>
      <c r="AQ270">
        <f t="shared" si="138"/>
        <v>4</v>
      </c>
      <c r="AR270">
        <v>600</v>
      </c>
      <c r="AS270" s="1" t="str">
        <f t="shared" si="129"/>
        <v>0</v>
      </c>
      <c r="AT270">
        <v>5</v>
      </c>
      <c r="BP270" t="s">
        <v>990</v>
      </c>
      <c r="BQ270" t="str">
        <f t="shared" si="139"/>
        <v>0</v>
      </c>
      <c r="BT270">
        <v>29</v>
      </c>
      <c r="BU270" t="str">
        <f t="shared" si="116"/>
        <v>571029,562029,563029</v>
      </c>
      <c r="BV270">
        <f t="shared" ref="BV270:BV291" si="140">$AT270*100000+$AH270*10000+1*1000+$BT270</f>
        <v>571029</v>
      </c>
      <c r="BW270">
        <f t="shared" si="131"/>
        <v>562029</v>
      </c>
      <c r="BX270">
        <f t="shared" si="132"/>
        <v>563029</v>
      </c>
      <c r="CF270" t="str">
        <f t="shared" si="121"/>
        <v>DATA_Class_Base54</v>
      </c>
      <c r="CG270" s="41" t="s">
        <v>198</v>
      </c>
    </row>
    <row r="271" spans="1:85" ht="27">
      <c r="A271">
        <f t="shared" si="122"/>
        <v>5073601</v>
      </c>
      <c r="B271" s="41" t="s">
        <v>1050</v>
      </c>
      <c r="C271">
        <v>7</v>
      </c>
      <c r="D271">
        <v>6</v>
      </c>
      <c r="E271">
        <v>3</v>
      </c>
      <c r="F271" t="s">
        <v>1327</v>
      </c>
      <c r="G271" t="str">
        <f t="shared" si="130"/>
        <v>牧师1_56_3</v>
      </c>
      <c r="H271" s="2">
        <v>0</v>
      </c>
      <c r="I271" s="2" t="s">
        <v>309</v>
      </c>
      <c r="J271" s="2">
        <f t="shared" si="118"/>
        <v>5</v>
      </c>
      <c r="K271" s="2">
        <f t="shared" si="134"/>
        <v>1.1000000000000001</v>
      </c>
      <c r="L271" s="2">
        <f t="shared" si="133"/>
        <v>1.47</v>
      </c>
      <c r="M271" s="2">
        <v>10</v>
      </c>
      <c r="N271" s="2">
        <f t="shared" si="128"/>
        <v>60</v>
      </c>
      <c r="O271" s="2">
        <f t="shared" si="128"/>
        <v>6</v>
      </c>
      <c r="P271" s="2">
        <f t="shared" si="128"/>
        <v>1200</v>
      </c>
      <c r="Q271" s="2">
        <f t="shared" si="123"/>
        <v>120</v>
      </c>
      <c r="R271" s="2">
        <f t="shared" si="123"/>
        <v>30</v>
      </c>
      <c r="S271" s="2">
        <f t="shared" si="123"/>
        <v>3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>
        <v>50536011</v>
      </c>
      <c r="Z271" s="14" t="s">
        <v>1398</v>
      </c>
      <c r="AA271" s="14" t="s">
        <v>890</v>
      </c>
      <c r="AB271">
        <v>5083601</v>
      </c>
      <c r="AC271" s="2">
        <v>31</v>
      </c>
      <c r="AD271" s="2"/>
      <c r="AE271" s="2"/>
      <c r="AF271">
        <v>1</v>
      </c>
      <c r="AG271" s="1">
        <f t="shared" si="135"/>
        <v>552.50251660962363</v>
      </c>
      <c r="AH271">
        <v>7</v>
      </c>
      <c r="AI271">
        <f t="shared" si="124"/>
        <v>60</v>
      </c>
      <c r="AJ271">
        <f t="shared" si="125"/>
        <v>6</v>
      </c>
      <c r="AK271">
        <f t="shared" si="126"/>
        <v>1200</v>
      </c>
      <c r="AL271">
        <f t="shared" si="127"/>
        <v>120</v>
      </c>
      <c r="AM271">
        <f t="shared" si="119"/>
        <v>30</v>
      </c>
      <c r="AN271">
        <f t="shared" si="120"/>
        <v>3</v>
      </c>
      <c r="AO271">
        <f t="shared" si="136"/>
        <v>1.5</v>
      </c>
      <c r="AP271">
        <f t="shared" si="137"/>
        <v>2</v>
      </c>
      <c r="AQ271">
        <f t="shared" si="138"/>
        <v>5</v>
      </c>
      <c r="AR271">
        <v>601</v>
      </c>
      <c r="AS271" s="1" t="str">
        <f t="shared" si="129"/>
        <v>1</v>
      </c>
      <c r="AT271">
        <v>5</v>
      </c>
      <c r="BP271" t="s">
        <v>960</v>
      </c>
      <c r="BQ271" t="str">
        <f t="shared" si="139"/>
        <v>1</v>
      </c>
      <c r="BT271">
        <v>30</v>
      </c>
      <c r="BU271" t="str">
        <f t="shared" ref="BU271:BU334" si="141">BV271&amp;","&amp;BW271&amp;","&amp;BX271</f>
        <v>571030,562030,563030</v>
      </c>
      <c r="BV271">
        <f t="shared" si="140"/>
        <v>571030</v>
      </c>
      <c r="BW271">
        <f t="shared" si="131"/>
        <v>562030</v>
      </c>
      <c r="BX271">
        <f t="shared" si="132"/>
        <v>563030</v>
      </c>
      <c r="CF271" t="str">
        <f t="shared" si="121"/>
        <v>DATA_Class_Base55</v>
      </c>
      <c r="CG271" s="41" t="s">
        <v>201</v>
      </c>
    </row>
    <row r="272" spans="1:85">
      <c r="A272">
        <f t="shared" si="122"/>
        <v>5074200</v>
      </c>
      <c r="B272" s="40" t="s">
        <v>1021</v>
      </c>
      <c r="C272">
        <v>7</v>
      </c>
      <c r="D272">
        <v>2</v>
      </c>
      <c r="E272">
        <v>4</v>
      </c>
      <c r="F272" t="s">
        <v>1329</v>
      </c>
      <c r="G272" t="str">
        <f t="shared" si="130"/>
        <v>战士0_56_4</v>
      </c>
      <c r="H272">
        <v>0</v>
      </c>
      <c r="I272" s="2" t="s">
        <v>314</v>
      </c>
      <c r="J272" s="2">
        <f t="shared" ref="J272:J335" si="142">AQ272</f>
        <v>2.5</v>
      </c>
      <c r="K272" s="2">
        <f t="shared" si="134"/>
        <v>1.1000000000000001</v>
      </c>
      <c r="L272" s="2">
        <f t="shared" si="133"/>
        <v>0.88</v>
      </c>
      <c r="M272" s="2">
        <v>10</v>
      </c>
      <c r="N272" s="2">
        <f t="shared" si="128"/>
        <v>48.000000000000007</v>
      </c>
      <c r="O272" s="2">
        <f t="shared" si="128"/>
        <v>4.8000000000000007</v>
      </c>
      <c r="P272" s="2">
        <f t="shared" si="128"/>
        <v>1500</v>
      </c>
      <c r="Q272" s="2">
        <f t="shared" si="123"/>
        <v>150</v>
      </c>
      <c r="R272" s="2">
        <f t="shared" si="123"/>
        <v>36</v>
      </c>
      <c r="S272" s="2">
        <f t="shared" si="123"/>
        <v>3.6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>
        <v>50542001</v>
      </c>
      <c r="Z272" s="14" t="s">
        <v>1399</v>
      </c>
      <c r="AA272" s="14" t="s">
        <v>890</v>
      </c>
      <c r="AB272">
        <v>5084200</v>
      </c>
      <c r="AC272" s="2">
        <v>19</v>
      </c>
      <c r="AD272" s="2"/>
      <c r="AE272" s="2"/>
      <c r="AF272">
        <v>1</v>
      </c>
      <c r="AG272" s="1">
        <f t="shared" si="135"/>
        <v>553.23764212563515</v>
      </c>
      <c r="AH272">
        <v>7</v>
      </c>
      <c r="AI272">
        <f t="shared" si="124"/>
        <v>48.000000000000007</v>
      </c>
      <c r="AJ272">
        <f t="shared" si="125"/>
        <v>4.8000000000000007</v>
      </c>
      <c r="AK272">
        <f t="shared" si="126"/>
        <v>1500</v>
      </c>
      <c r="AL272">
        <f t="shared" si="127"/>
        <v>150</v>
      </c>
      <c r="AM272">
        <f t="shared" ref="AM272:AM335" si="143">INDEX($AY$5:$AY$34,MATCH($AR272,$AU$5:$AU$34,0))*$BC$4</f>
        <v>36</v>
      </c>
      <c r="AN272">
        <f t="shared" ref="AN272:AN335" si="144">(INDEX($AY$5:$AY$34,MATCH($AR272,$AU$5:$AU$34,0))*$BC$4)*0.1</f>
        <v>3.6</v>
      </c>
      <c r="AO272">
        <f t="shared" si="136"/>
        <v>1.5</v>
      </c>
      <c r="AP272">
        <f t="shared" si="137"/>
        <v>1.2</v>
      </c>
      <c r="AQ272">
        <f t="shared" si="138"/>
        <v>2.5</v>
      </c>
      <c r="AR272">
        <v>200</v>
      </c>
      <c r="AS272" s="1" t="str">
        <f t="shared" si="129"/>
        <v>0</v>
      </c>
      <c r="AT272">
        <v>5</v>
      </c>
      <c r="BP272" t="s">
        <v>964</v>
      </c>
      <c r="BQ272" t="str">
        <f t="shared" si="139"/>
        <v>0</v>
      </c>
      <c r="BT272">
        <v>31</v>
      </c>
      <c r="BU272" t="str">
        <f t="shared" si="141"/>
        <v>571031,562031,563031</v>
      </c>
      <c r="BV272">
        <f t="shared" si="140"/>
        <v>571031</v>
      </c>
      <c r="BW272">
        <f t="shared" si="131"/>
        <v>562031</v>
      </c>
      <c r="BX272">
        <f t="shared" si="132"/>
        <v>563031</v>
      </c>
      <c r="CF272" t="str">
        <f t="shared" ref="CF272:CF335" si="145">INDEX($CC$16:$CC$75,MATCH($CG272,$CD$16:$CD$75,0))</f>
        <v>DATA_Class_Base46</v>
      </c>
      <c r="CG272" s="40" t="s">
        <v>1022</v>
      </c>
    </row>
    <row r="273" spans="1:85" ht="27">
      <c r="A273">
        <f t="shared" ref="A273:A336" si="146">AT273*1000000+C273*10000+E273*1000+AR273</f>
        <v>5074201</v>
      </c>
      <c r="B273" s="41" t="s">
        <v>1025</v>
      </c>
      <c r="C273">
        <v>7</v>
      </c>
      <c r="D273">
        <v>2</v>
      </c>
      <c r="E273">
        <v>4</v>
      </c>
      <c r="F273" t="s">
        <v>1331</v>
      </c>
      <c r="G273" t="str">
        <f t="shared" si="130"/>
        <v>战士1_56_4</v>
      </c>
      <c r="H273" s="2">
        <v>0</v>
      </c>
      <c r="I273" s="2" t="s">
        <v>298</v>
      </c>
      <c r="J273" s="2">
        <f t="shared" si="142"/>
        <v>2.5</v>
      </c>
      <c r="K273" s="2">
        <f t="shared" si="134"/>
        <v>1.32</v>
      </c>
      <c r="L273" s="2">
        <f t="shared" si="133"/>
        <v>1.32</v>
      </c>
      <c r="M273" s="2">
        <v>10</v>
      </c>
      <c r="N273" s="2">
        <f t="shared" si="128"/>
        <v>57.6</v>
      </c>
      <c r="O273" s="2">
        <f t="shared" si="128"/>
        <v>5.7600000000000007</v>
      </c>
      <c r="P273" s="2">
        <f t="shared" si="128"/>
        <v>1500</v>
      </c>
      <c r="Q273" s="2">
        <f t="shared" si="128"/>
        <v>150</v>
      </c>
      <c r="R273" s="2">
        <f t="shared" si="128"/>
        <v>36</v>
      </c>
      <c r="S273" s="2">
        <f t="shared" si="128"/>
        <v>3.6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>
        <v>50542011</v>
      </c>
      <c r="Z273" s="14" t="s">
        <v>1400</v>
      </c>
      <c r="AA273" s="14" t="s">
        <v>890</v>
      </c>
      <c r="AB273">
        <v>5084201</v>
      </c>
      <c r="AC273" s="2">
        <v>19</v>
      </c>
      <c r="AD273" s="2"/>
      <c r="AE273" s="2"/>
      <c r="AF273">
        <v>1</v>
      </c>
      <c r="AG273" s="1">
        <f t="shared" si="135"/>
        <v>553.23764212563515</v>
      </c>
      <c r="AH273">
        <v>7</v>
      </c>
      <c r="AI273">
        <f t="shared" ref="AI273:AI336" si="147">INDEX($AW$5:$AW$34,MATCH($AR273,$AU$5:$AU$34,0))*$AO273/1.5*$BA$4*INDEX($AW$77:$BJ$77,MATCH($AH273,$AW$76:$BJ$76,0))</f>
        <v>57.6</v>
      </c>
      <c r="AJ273">
        <f t="shared" ref="AJ273:AJ336" si="148">(INDEX($AW$5:$AW$34,MATCH($AR273,$AU$5:$AU$34,0))*$AO273/1.5*$BA$4*INDEX($AW$77:$BJ$77,MATCH($AH273,$AW$76:$BJ$76,0)))*0.1</f>
        <v>5.7600000000000007</v>
      </c>
      <c r="AK273">
        <f t="shared" ref="AK273:AK336" si="149">INDEX($AX$5:$AX$34,MATCH($AR273,$AU$5:$AU$34,0))*$BB$4*INDEX($AW$77:$BJ$77,MATCH($AH273,$AW$76:$BJ$76,0))</f>
        <v>1500</v>
      </c>
      <c r="AL273">
        <f t="shared" ref="AL273:AL336" si="150">(INDEX($AX$5:$AX$34,MATCH($AR273,$AU$5:$AU$34,0))*$BB$4*INDEX($AW$77:$BJ$77,MATCH($AH273,$AW$76:$BJ$76,0)))*0.1</f>
        <v>150</v>
      </c>
      <c r="AM273">
        <f t="shared" si="143"/>
        <v>36</v>
      </c>
      <c r="AN273">
        <f t="shared" si="144"/>
        <v>3.6</v>
      </c>
      <c r="AO273">
        <f t="shared" si="136"/>
        <v>1.8</v>
      </c>
      <c r="AP273">
        <f t="shared" si="137"/>
        <v>1.8</v>
      </c>
      <c r="AQ273">
        <f t="shared" si="138"/>
        <v>2.5</v>
      </c>
      <c r="AR273">
        <v>201</v>
      </c>
      <c r="AS273" s="1" t="str">
        <f t="shared" si="129"/>
        <v>1</v>
      </c>
      <c r="AT273">
        <v>5</v>
      </c>
      <c r="BP273" t="s">
        <v>913</v>
      </c>
      <c r="BQ273" t="str">
        <f t="shared" si="139"/>
        <v>1</v>
      </c>
      <c r="BT273">
        <v>32</v>
      </c>
      <c r="BU273" t="str">
        <f t="shared" si="141"/>
        <v>571032,562032,563032</v>
      </c>
      <c r="BV273">
        <f t="shared" si="140"/>
        <v>571032</v>
      </c>
      <c r="BW273">
        <f t="shared" si="131"/>
        <v>562032</v>
      </c>
      <c r="BX273">
        <f t="shared" si="132"/>
        <v>563032</v>
      </c>
      <c r="CF273" t="str">
        <f t="shared" si="145"/>
        <v>DATA_Class_Base47</v>
      </c>
      <c r="CG273" s="41" t="s">
        <v>378</v>
      </c>
    </row>
    <row r="274" spans="1:85" ht="27">
      <c r="A274">
        <f t="shared" si="146"/>
        <v>5074300</v>
      </c>
      <c r="B274" s="41" t="s">
        <v>1028</v>
      </c>
      <c r="C274">
        <v>7</v>
      </c>
      <c r="D274">
        <v>3</v>
      </c>
      <c r="E274">
        <v>4</v>
      </c>
      <c r="F274" t="s">
        <v>1333</v>
      </c>
      <c r="G274" t="str">
        <f t="shared" si="130"/>
        <v>刺客0_56_4</v>
      </c>
      <c r="H274">
        <v>0</v>
      </c>
      <c r="I274" s="2" t="s">
        <v>352</v>
      </c>
      <c r="J274" s="2">
        <f t="shared" si="142"/>
        <v>4</v>
      </c>
      <c r="K274" s="2">
        <f t="shared" si="134"/>
        <v>0.95000000000000007</v>
      </c>
      <c r="L274" s="2">
        <f t="shared" si="133"/>
        <v>1.3900000000000001</v>
      </c>
      <c r="M274" s="2">
        <v>10</v>
      </c>
      <c r="N274" s="2">
        <f t="shared" ref="N274:S316" si="151">AI274</f>
        <v>46.800000000000011</v>
      </c>
      <c r="O274" s="2">
        <f t="shared" si="151"/>
        <v>4.6800000000000015</v>
      </c>
      <c r="P274" s="2">
        <f t="shared" si="151"/>
        <v>1332.0000000000002</v>
      </c>
      <c r="Q274" s="2">
        <f t="shared" si="151"/>
        <v>133.20000000000002</v>
      </c>
      <c r="R274" s="2">
        <f t="shared" si="151"/>
        <v>33</v>
      </c>
      <c r="S274" s="2">
        <f t="shared" si="151"/>
        <v>3.3000000000000003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>
        <v>50543001</v>
      </c>
      <c r="Z274" s="14" t="s">
        <v>1401</v>
      </c>
      <c r="AA274" s="14" t="s">
        <v>890</v>
      </c>
      <c r="AB274">
        <v>5084300</v>
      </c>
      <c r="AC274" s="2">
        <v>19</v>
      </c>
      <c r="AD274" s="2"/>
      <c r="AE274" s="2"/>
      <c r="AF274">
        <v>1</v>
      </c>
      <c r="AG274" s="1">
        <f t="shared" si="135"/>
        <v>552.31696516711349</v>
      </c>
      <c r="AH274">
        <v>7</v>
      </c>
      <c r="AI274">
        <f t="shared" si="147"/>
        <v>46.800000000000011</v>
      </c>
      <c r="AJ274">
        <f t="shared" si="148"/>
        <v>4.6800000000000015</v>
      </c>
      <c r="AK274">
        <f t="shared" si="149"/>
        <v>1332.0000000000002</v>
      </c>
      <c r="AL274">
        <f t="shared" si="150"/>
        <v>133.20000000000002</v>
      </c>
      <c r="AM274">
        <f t="shared" si="143"/>
        <v>33</v>
      </c>
      <c r="AN274">
        <f t="shared" si="144"/>
        <v>3.3000000000000003</v>
      </c>
      <c r="AO274">
        <f t="shared" si="136"/>
        <v>1.3</v>
      </c>
      <c r="AP274">
        <f t="shared" si="137"/>
        <v>1.9</v>
      </c>
      <c r="AQ274">
        <f t="shared" si="138"/>
        <v>4</v>
      </c>
      <c r="AR274">
        <v>300</v>
      </c>
      <c r="AS274" s="1" t="str">
        <f t="shared" si="129"/>
        <v>0</v>
      </c>
      <c r="AT274">
        <v>5</v>
      </c>
      <c r="BP274" t="s">
        <v>967</v>
      </c>
      <c r="BQ274" t="str">
        <f t="shared" si="139"/>
        <v>0</v>
      </c>
      <c r="BT274">
        <v>33</v>
      </c>
      <c r="BU274" t="str">
        <f t="shared" si="141"/>
        <v>571033,562033,563033</v>
      </c>
      <c r="BV274">
        <f t="shared" si="140"/>
        <v>571033</v>
      </c>
      <c r="BW274">
        <f t="shared" si="131"/>
        <v>562033</v>
      </c>
      <c r="BX274">
        <f t="shared" si="132"/>
        <v>563033</v>
      </c>
      <c r="CF274" t="str">
        <f t="shared" si="145"/>
        <v>DATA_Class_Base48</v>
      </c>
      <c r="CG274" s="41" t="s">
        <v>411</v>
      </c>
    </row>
    <row r="275" spans="1:85" ht="27">
      <c r="A275">
        <f t="shared" si="146"/>
        <v>5074301</v>
      </c>
      <c r="B275" s="41" t="s">
        <v>1031</v>
      </c>
      <c r="C275">
        <v>7</v>
      </c>
      <c r="D275">
        <v>3</v>
      </c>
      <c r="E275">
        <v>4</v>
      </c>
      <c r="F275" t="s">
        <v>1335</v>
      </c>
      <c r="G275" t="str">
        <f t="shared" si="130"/>
        <v>刺客1_56_4</v>
      </c>
      <c r="H275" s="2">
        <v>0</v>
      </c>
      <c r="I275" s="2" t="s">
        <v>285</v>
      </c>
      <c r="J275" s="2">
        <f t="shared" si="142"/>
        <v>2.5</v>
      </c>
      <c r="K275" s="2">
        <f t="shared" si="134"/>
        <v>0.88</v>
      </c>
      <c r="L275" s="2">
        <f t="shared" si="133"/>
        <v>1.47</v>
      </c>
      <c r="M275" s="2">
        <v>10</v>
      </c>
      <c r="N275" s="2">
        <f t="shared" si="151"/>
        <v>43.2</v>
      </c>
      <c r="O275" s="2">
        <f t="shared" si="151"/>
        <v>4.32</v>
      </c>
      <c r="P275" s="2">
        <f t="shared" si="151"/>
        <v>1332.0000000000002</v>
      </c>
      <c r="Q275" s="2">
        <f t="shared" si="151"/>
        <v>133.20000000000002</v>
      </c>
      <c r="R275" s="2">
        <f t="shared" si="151"/>
        <v>33</v>
      </c>
      <c r="S275" s="2">
        <f t="shared" si="151"/>
        <v>3.3000000000000003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>
        <v>50543011</v>
      </c>
      <c r="Z275" s="14" t="s">
        <v>1402</v>
      </c>
      <c r="AA275" s="14" t="s">
        <v>890</v>
      </c>
      <c r="AB275">
        <v>5084301</v>
      </c>
      <c r="AC275" s="2">
        <v>19</v>
      </c>
      <c r="AD275" s="2"/>
      <c r="AE275" s="2"/>
      <c r="AF275">
        <v>1</v>
      </c>
      <c r="AG275" s="1">
        <f t="shared" si="135"/>
        <v>552.31696516711349</v>
      </c>
      <c r="AH275">
        <v>7</v>
      </c>
      <c r="AI275">
        <f t="shared" si="147"/>
        <v>43.2</v>
      </c>
      <c r="AJ275">
        <f t="shared" si="148"/>
        <v>4.32</v>
      </c>
      <c r="AK275">
        <f t="shared" si="149"/>
        <v>1332.0000000000002</v>
      </c>
      <c r="AL275">
        <f t="shared" si="150"/>
        <v>133.20000000000002</v>
      </c>
      <c r="AM275">
        <f t="shared" si="143"/>
        <v>33</v>
      </c>
      <c r="AN275">
        <f t="shared" si="144"/>
        <v>3.3000000000000003</v>
      </c>
      <c r="AO275">
        <f t="shared" si="136"/>
        <v>1.2</v>
      </c>
      <c r="AP275">
        <f t="shared" si="137"/>
        <v>2</v>
      </c>
      <c r="AQ275">
        <f t="shared" si="138"/>
        <v>2.5</v>
      </c>
      <c r="AR275">
        <v>301</v>
      </c>
      <c r="AS275" s="1" t="str">
        <f t="shared" si="129"/>
        <v>1</v>
      </c>
      <c r="AT275">
        <v>5</v>
      </c>
      <c r="BP275" t="s">
        <v>923</v>
      </c>
      <c r="BQ275" t="str">
        <f t="shared" si="139"/>
        <v>1</v>
      </c>
      <c r="BT275">
        <v>34</v>
      </c>
      <c r="BU275" t="str">
        <f t="shared" si="141"/>
        <v>571034,562034,563034</v>
      </c>
      <c r="BV275">
        <f t="shared" si="140"/>
        <v>571034</v>
      </c>
      <c r="BW275">
        <f t="shared" si="131"/>
        <v>562034</v>
      </c>
      <c r="BX275">
        <f t="shared" si="132"/>
        <v>563034</v>
      </c>
      <c r="CF275" t="str">
        <f t="shared" si="145"/>
        <v>DATA_Class_Base49</v>
      </c>
      <c r="CG275" s="41" t="s">
        <v>384</v>
      </c>
    </row>
    <row r="276" spans="1:85" ht="27">
      <c r="A276">
        <f t="shared" si="146"/>
        <v>5074401</v>
      </c>
      <c r="B276" s="41" t="s">
        <v>1034</v>
      </c>
      <c r="C276">
        <v>7</v>
      </c>
      <c r="D276">
        <v>4</v>
      </c>
      <c r="E276">
        <v>4</v>
      </c>
      <c r="F276" t="s">
        <v>1337</v>
      </c>
      <c r="G276" t="str">
        <f t="shared" si="130"/>
        <v>法师1_56_4</v>
      </c>
      <c r="H276">
        <v>0</v>
      </c>
      <c r="I276" s="2" t="s">
        <v>161</v>
      </c>
      <c r="J276" s="2">
        <f t="shared" si="142"/>
        <v>6</v>
      </c>
      <c r="K276" s="2">
        <f t="shared" si="134"/>
        <v>1.17</v>
      </c>
      <c r="L276" s="2">
        <f t="shared" si="133"/>
        <v>1.47</v>
      </c>
      <c r="M276" s="2">
        <v>10</v>
      </c>
      <c r="N276" s="2">
        <f t="shared" si="151"/>
        <v>70.40000000000002</v>
      </c>
      <c r="O276" s="2">
        <f t="shared" si="151"/>
        <v>7.0400000000000027</v>
      </c>
      <c r="P276" s="2">
        <f t="shared" si="151"/>
        <v>1092</v>
      </c>
      <c r="Q276" s="2">
        <f t="shared" si="151"/>
        <v>109.2</v>
      </c>
      <c r="R276" s="2">
        <f t="shared" si="151"/>
        <v>27</v>
      </c>
      <c r="S276" s="2">
        <f t="shared" si="151"/>
        <v>2.7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>
        <v>50544011</v>
      </c>
      <c r="Z276" s="14" t="s">
        <v>1403</v>
      </c>
      <c r="AA276" s="14" t="s">
        <v>890</v>
      </c>
      <c r="AB276">
        <v>5084401</v>
      </c>
      <c r="AC276" s="2">
        <v>19</v>
      </c>
      <c r="AD276" s="2"/>
      <c r="AE276" s="2"/>
      <c r="AF276">
        <v>1</v>
      </c>
      <c r="AG276" s="1">
        <f t="shared" si="135"/>
        <v>552.68782166066455</v>
      </c>
      <c r="AH276">
        <v>7</v>
      </c>
      <c r="AI276">
        <f t="shared" si="147"/>
        <v>70.40000000000002</v>
      </c>
      <c r="AJ276">
        <f t="shared" si="148"/>
        <v>7.0400000000000027</v>
      </c>
      <c r="AK276">
        <f t="shared" si="149"/>
        <v>1092</v>
      </c>
      <c r="AL276">
        <f t="shared" si="150"/>
        <v>109.2</v>
      </c>
      <c r="AM276">
        <f t="shared" si="143"/>
        <v>27</v>
      </c>
      <c r="AN276">
        <f t="shared" si="144"/>
        <v>2.7</v>
      </c>
      <c r="AO276">
        <f t="shared" si="136"/>
        <v>1.6</v>
      </c>
      <c r="AP276">
        <f t="shared" si="137"/>
        <v>2</v>
      </c>
      <c r="AQ276">
        <f t="shared" si="138"/>
        <v>6</v>
      </c>
      <c r="AR276">
        <v>401</v>
      </c>
      <c r="AS276" s="1" t="str">
        <f t="shared" si="129"/>
        <v>1</v>
      </c>
      <c r="AT276">
        <v>5</v>
      </c>
      <c r="BP276" t="s">
        <v>953</v>
      </c>
      <c r="BQ276" t="str">
        <f t="shared" si="139"/>
        <v>1</v>
      </c>
      <c r="BT276">
        <v>35</v>
      </c>
      <c r="BU276" t="str">
        <f t="shared" si="141"/>
        <v>571035,562035,563035</v>
      </c>
      <c r="BV276">
        <f t="shared" si="140"/>
        <v>571035</v>
      </c>
      <c r="BW276">
        <f t="shared" si="131"/>
        <v>562035</v>
      </c>
      <c r="BX276">
        <f t="shared" si="132"/>
        <v>563035</v>
      </c>
      <c r="CF276" t="str">
        <f t="shared" si="145"/>
        <v>DATA_Class_Base50</v>
      </c>
      <c r="CG276" s="41" t="s">
        <v>176</v>
      </c>
    </row>
    <row r="277" spans="1:85" ht="27">
      <c r="A277">
        <f t="shared" si="146"/>
        <v>5074402</v>
      </c>
      <c r="B277" s="41" t="s">
        <v>1037</v>
      </c>
      <c r="C277">
        <v>7</v>
      </c>
      <c r="D277">
        <v>4</v>
      </c>
      <c r="E277">
        <v>4</v>
      </c>
      <c r="F277" t="s">
        <v>1339</v>
      </c>
      <c r="G277" t="str">
        <f t="shared" si="130"/>
        <v>法师2_56_4</v>
      </c>
      <c r="H277" s="2">
        <v>0</v>
      </c>
      <c r="I277" s="2" t="s">
        <v>250</v>
      </c>
      <c r="J277" s="2">
        <f t="shared" si="142"/>
        <v>5</v>
      </c>
      <c r="K277" s="2">
        <f t="shared" si="134"/>
        <v>1.1000000000000001</v>
      </c>
      <c r="L277" s="2">
        <f t="shared" si="133"/>
        <v>1.1000000000000001</v>
      </c>
      <c r="M277" s="2">
        <v>10</v>
      </c>
      <c r="N277" s="2">
        <f t="shared" si="151"/>
        <v>66</v>
      </c>
      <c r="O277" s="2">
        <f t="shared" si="151"/>
        <v>6.6000000000000005</v>
      </c>
      <c r="P277" s="2">
        <f t="shared" si="151"/>
        <v>1092</v>
      </c>
      <c r="Q277" s="2">
        <f t="shared" si="151"/>
        <v>109.2</v>
      </c>
      <c r="R277" s="2">
        <f t="shared" si="151"/>
        <v>27</v>
      </c>
      <c r="S277" s="2">
        <f t="shared" si="151"/>
        <v>2.7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>
        <v>50544021</v>
      </c>
      <c r="Z277" s="14" t="s">
        <v>1404</v>
      </c>
      <c r="AA277" s="14" t="s">
        <v>890</v>
      </c>
      <c r="AB277">
        <v>5084402</v>
      </c>
      <c r="AC277" s="2">
        <v>19</v>
      </c>
      <c r="AD277" s="2"/>
      <c r="AE277" s="2"/>
      <c r="AF277">
        <v>1</v>
      </c>
      <c r="AG277" s="1">
        <f t="shared" si="135"/>
        <v>552.68782166066433</v>
      </c>
      <c r="AH277">
        <v>7</v>
      </c>
      <c r="AI277">
        <f t="shared" si="147"/>
        <v>66</v>
      </c>
      <c r="AJ277">
        <f t="shared" si="148"/>
        <v>6.6000000000000005</v>
      </c>
      <c r="AK277">
        <f t="shared" si="149"/>
        <v>1092</v>
      </c>
      <c r="AL277">
        <f t="shared" si="150"/>
        <v>109.2</v>
      </c>
      <c r="AM277">
        <f t="shared" si="143"/>
        <v>27</v>
      </c>
      <c r="AN277">
        <f t="shared" si="144"/>
        <v>2.7</v>
      </c>
      <c r="AO277">
        <f t="shared" si="136"/>
        <v>1.5</v>
      </c>
      <c r="AP277">
        <f t="shared" si="137"/>
        <v>1.5</v>
      </c>
      <c r="AQ277">
        <f t="shared" si="138"/>
        <v>5</v>
      </c>
      <c r="AR277">
        <v>402</v>
      </c>
      <c r="AS277" s="1" t="str">
        <f t="shared" si="129"/>
        <v>2</v>
      </c>
      <c r="AT277">
        <v>5</v>
      </c>
      <c r="BP277" t="s">
        <v>971</v>
      </c>
      <c r="BQ277" t="str">
        <f t="shared" si="139"/>
        <v>2</v>
      </c>
      <c r="BT277">
        <v>36</v>
      </c>
      <c r="BU277" t="str">
        <f t="shared" si="141"/>
        <v>571036,562036,563036</v>
      </c>
      <c r="BV277">
        <f t="shared" si="140"/>
        <v>571036</v>
      </c>
      <c r="BW277">
        <f t="shared" si="131"/>
        <v>562036</v>
      </c>
      <c r="BX277">
        <f t="shared" si="132"/>
        <v>563036</v>
      </c>
      <c r="CF277" t="str">
        <f t="shared" si="145"/>
        <v>DATA_Class_Base51</v>
      </c>
      <c r="CG277" s="41" t="s">
        <v>1038</v>
      </c>
    </row>
    <row r="278" spans="1:85" ht="27">
      <c r="A278">
        <f t="shared" si="146"/>
        <v>5074501</v>
      </c>
      <c r="B278" s="41" t="s">
        <v>1044</v>
      </c>
      <c r="C278">
        <v>7</v>
      </c>
      <c r="D278">
        <v>5</v>
      </c>
      <c r="E278">
        <v>4</v>
      </c>
      <c r="F278" t="s">
        <v>1341</v>
      </c>
      <c r="G278" t="str">
        <f t="shared" si="130"/>
        <v>游侠1_56_4</v>
      </c>
      <c r="H278" s="2">
        <v>0</v>
      </c>
      <c r="I278" s="2" t="s">
        <v>334</v>
      </c>
      <c r="J278" s="2">
        <f t="shared" si="142"/>
        <v>6</v>
      </c>
      <c r="K278" s="2">
        <f t="shared" si="134"/>
        <v>1.17</v>
      </c>
      <c r="L278" s="2">
        <f t="shared" si="133"/>
        <v>1.47</v>
      </c>
      <c r="M278" s="2">
        <v>10</v>
      </c>
      <c r="N278" s="2">
        <f t="shared" si="151"/>
        <v>76.8</v>
      </c>
      <c r="O278" s="2">
        <f t="shared" si="151"/>
        <v>7.68</v>
      </c>
      <c r="P278" s="2">
        <f t="shared" si="151"/>
        <v>996</v>
      </c>
      <c r="Q278" s="2">
        <f t="shared" si="151"/>
        <v>99.600000000000009</v>
      </c>
      <c r="R278" s="2">
        <f t="shared" si="151"/>
        <v>24</v>
      </c>
      <c r="S278" s="2">
        <f t="shared" si="151"/>
        <v>2.4000000000000004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>
        <v>50545011</v>
      </c>
      <c r="Z278" s="14" t="s">
        <v>1405</v>
      </c>
      <c r="AA278" s="14" t="s">
        <v>890</v>
      </c>
      <c r="AB278">
        <v>5084501</v>
      </c>
      <c r="AC278" s="2">
        <v>19</v>
      </c>
      <c r="AD278" s="2"/>
      <c r="AE278" s="2"/>
      <c r="AF278">
        <v>1</v>
      </c>
      <c r="AG278" s="1">
        <f t="shared" si="135"/>
        <v>549.56226475792175</v>
      </c>
      <c r="AH278">
        <v>7</v>
      </c>
      <c r="AI278">
        <f t="shared" si="147"/>
        <v>76.8</v>
      </c>
      <c r="AJ278">
        <f t="shared" si="148"/>
        <v>7.68</v>
      </c>
      <c r="AK278">
        <f t="shared" si="149"/>
        <v>996</v>
      </c>
      <c r="AL278">
        <f t="shared" si="150"/>
        <v>99.600000000000009</v>
      </c>
      <c r="AM278">
        <f t="shared" si="143"/>
        <v>24</v>
      </c>
      <c r="AN278">
        <f t="shared" si="144"/>
        <v>2.4000000000000004</v>
      </c>
      <c r="AO278">
        <f t="shared" si="136"/>
        <v>1.6</v>
      </c>
      <c r="AP278">
        <f t="shared" si="137"/>
        <v>2</v>
      </c>
      <c r="AQ278">
        <f t="shared" si="138"/>
        <v>6</v>
      </c>
      <c r="AR278">
        <v>501</v>
      </c>
      <c r="AS278" s="1" t="str">
        <f t="shared" si="129"/>
        <v>1</v>
      </c>
      <c r="AT278">
        <v>5</v>
      </c>
      <c r="BP278" t="s">
        <v>945</v>
      </c>
      <c r="BQ278" t="str">
        <f t="shared" si="139"/>
        <v>1</v>
      </c>
      <c r="BT278">
        <v>37</v>
      </c>
      <c r="BU278" t="str">
        <f t="shared" si="141"/>
        <v>571037,562037,563037</v>
      </c>
      <c r="BV278">
        <f t="shared" si="140"/>
        <v>571037</v>
      </c>
      <c r="BW278">
        <f t="shared" si="131"/>
        <v>562037</v>
      </c>
      <c r="BX278">
        <f t="shared" si="132"/>
        <v>563037</v>
      </c>
      <c r="CF278" t="str">
        <f t="shared" si="145"/>
        <v>DATA_Class_Base53</v>
      </c>
      <c r="CG278" s="41" t="s">
        <v>349</v>
      </c>
    </row>
    <row r="279" spans="1:85" ht="27">
      <c r="A279">
        <f t="shared" si="146"/>
        <v>5074502</v>
      </c>
      <c r="B279" s="41" t="s">
        <v>1063</v>
      </c>
      <c r="C279">
        <v>7</v>
      </c>
      <c r="D279">
        <v>5</v>
      </c>
      <c r="E279">
        <v>4</v>
      </c>
      <c r="F279" t="s">
        <v>1343</v>
      </c>
      <c r="G279" t="str">
        <f t="shared" si="130"/>
        <v>游侠2_56_4</v>
      </c>
      <c r="H279">
        <v>0</v>
      </c>
      <c r="I279" s="2" t="s">
        <v>291</v>
      </c>
      <c r="J279" s="2">
        <f t="shared" si="142"/>
        <v>6</v>
      </c>
      <c r="K279" s="2">
        <f t="shared" si="134"/>
        <v>1.02</v>
      </c>
      <c r="L279" s="2">
        <f t="shared" si="133"/>
        <v>1.47</v>
      </c>
      <c r="M279" s="2">
        <v>10</v>
      </c>
      <c r="N279" s="2">
        <f t="shared" si="151"/>
        <v>67.199999999999989</v>
      </c>
      <c r="O279" s="2">
        <f t="shared" si="151"/>
        <v>6.7199999999999989</v>
      </c>
      <c r="P279" s="2">
        <f t="shared" si="151"/>
        <v>996</v>
      </c>
      <c r="Q279" s="2">
        <f t="shared" si="151"/>
        <v>99.600000000000009</v>
      </c>
      <c r="R279" s="2">
        <f t="shared" si="151"/>
        <v>24</v>
      </c>
      <c r="S279" s="2">
        <f t="shared" si="151"/>
        <v>2.4000000000000004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>
        <v>50545021</v>
      </c>
      <c r="Z279" s="14" t="s">
        <v>1406</v>
      </c>
      <c r="AA279" s="14" t="s">
        <v>890</v>
      </c>
      <c r="AB279">
        <v>5084502</v>
      </c>
      <c r="AC279" s="2">
        <v>19</v>
      </c>
      <c r="AD279" s="2"/>
      <c r="AE279" s="2"/>
      <c r="AF279">
        <v>1</v>
      </c>
      <c r="AG279" s="1">
        <f t="shared" si="135"/>
        <v>549.56226475792175</v>
      </c>
      <c r="AH279">
        <v>7</v>
      </c>
      <c r="AI279">
        <f t="shared" si="147"/>
        <v>67.199999999999989</v>
      </c>
      <c r="AJ279">
        <f t="shared" si="148"/>
        <v>6.7199999999999989</v>
      </c>
      <c r="AK279">
        <f t="shared" si="149"/>
        <v>996</v>
      </c>
      <c r="AL279">
        <f t="shared" si="150"/>
        <v>99.600000000000009</v>
      </c>
      <c r="AM279">
        <f t="shared" si="143"/>
        <v>24</v>
      </c>
      <c r="AN279">
        <f t="shared" si="144"/>
        <v>2.4000000000000004</v>
      </c>
      <c r="AO279">
        <f t="shared" si="136"/>
        <v>1.4</v>
      </c>
      <c r="AP279">
        <f t="shared" si="137"/>
        <v>2</v>
      </c>
      <c r="AQ279">
        <f t="shared" si="138"/>
        <v>6</v>
      </c>
      <c r="AR279">
        <v>502</v>
      </c>
      <c r="AS279" s="1" t="str">
        <f t="shared" si="129"/>
        <v>2</v>
      </c>
      <c r="AT279">
        <v>5</v>
      </c>
      <c r="BP279" t="s">
        <v>974</v>
      </c>
      <c r="BQ279" t="str">
        <f t="shared" si="139"/>
        <v>2</v>
      </c>
      <c r="BT279">
        <v>38</v>
      </c>
      <c r="BU279" t="str">
        <f t="shared" si="141"/>
        <v>571038,562038,563038</v>
      </c>
      <c r="BV279">
        <f t="shared" si="140"/>
        <v>571038</v>
      </c>
      <c r="BW279">
        <f t="shared" si="131"/>
        <v>562038</v>
      </c>
      <c r="BX279">
        <f t="shared" si="132"/>
        <v>563038</v>
      </c>
      <c r="CF279" t="str">
        <f t="shared" si="145"/>
        <v>DATA_Class_Base59</v>
      </c>
      <c r="CG279" s="41" t="s">
        <v>195</v>
      </c>
    </row>
    <row r="280" spans="1:85" ht="27">
      <c r="A280">
        <f t="shared" si="146"/>
        <v>5074600</v>
      </c>
      <c r="B280" s="41" t="s">
        <v>1047</v>
      </c>
      <c r="C280">
        <v>7</v>
      </c>
      <c r="D280">
        <v>6</v>
      </c>
      <c r="E280">
        <v>4</v>
      </c>
      <c r="F280" t="s">
        <v>1345</v>
      </c>
      <c r="G280" t="str">
        <f t="shared" si="130"/>
        <v>牧师0_56_4</v>
      </c>
      <c r="H280">
        <v>0</v>
      </c>
      <c r="I280" s="2" t="s">
        <v>339</v>
      </c>
      <c r="J280" s="2">
        <f t="shared" si="142"/>
        <v>4</v>
      </c>
      <c r="K280" s="2">
        <f t="shared" si="134"/>
        <v>1.02</v>
      </c>
      <c r="L280" s="2">
        <f t="shared" si="133"/>
        <v>1.3900000000000001</v>
      </c>
      <c r="M280" s="2">
        <v>10</v>
      </c>
      <c r="N280" s="2">
        <f t="shared" si="151"/>
        <v>55.999999999999993</v>
      </c>
      <c r="O280" s="2">
        <f t="shared" si="151"/>
        <v>5.6</v>
      </c>
      <c r="P280" s="2">
        <f t="shared" si="151"/>
        <v>1200</v>
      </c>
      <c r="Q280" s="2">
        <f t="shared" si="151"/>
        <v>120</v>
      </c>
      <c r="R280" s="2">
        <f t="shared" si="151"/>
        <v>30</v>
      </c>
      <c r="S280" s="2">
        <f t="shared" si="151"/>
        <v>3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>
        <v>50546001</v>
      </c>
      <c r="Z280" s="14" t="s">
        <v>1407</v>
      </c>
      <c r="AA280" s="14" t="s">
        <v>890</v>
      </c>
      <c r="AB280">
        <v>5084600</v>
      </c>
      <c r="AC280" s="2">
        <v>19</v>
      </c>
      <c r="AD280" s="2"/>
      <c r="AE280" s="2"/>
      <c r="AF280">
        <v>1</v>
      </c>
      <c r="AG280" s="1">
        <f t="shared" si="135"/>
        <v>552.50251660962351</v>
      </c>
      <c r="AH280">
        <v>7</v>
      </c>
      <c r="AI280">
        <f t="shared" si="147"/>
        <v>55.999999999999993</v>
      </c>
      <c r="AJ280">
        <f t="shared" si="148"/>
        <v>5.6</v>
      </c>
      <c r="AK280">
        <f t="shared" si="149"/>
        <v>1200</v>
      </c>
      <c r="AL280">
        <f t="shared" si="150"/>
        <v>120</v>
      </c>
      <c r="AM280">
        <f t="shared" si="143"/>
        <v>30</v>
      </c>
      <c r="AN280">
        <f t="shared" si="144"/>
        <v>3</v>
      </c>
      <c r="AO280">
        <f t="shared" si="136"/>
        <v>1.4</v>
      </c>
      <c r="AP280">
        <f t="shared" si="137"/>
        <v>1.9</v>
      </c>
      <c r="AQ280">
        <f t="shared" si="138"/>
        <v>4</v>
      </c>
      <c r="AR280">
        <v>600</v>
      </c>
      <c r="AS280" s="1" t="str">
        <f t="shared" si="129"/>
        <v>0</v>
      </c>
      <c r="AT280">
        <v>5</v>
      </c>
      <c r="BP280" t="s">
        <v>990</v>
      </c>
      <c r="BQ280" t="str">
        <f t="shared" si="139"/>
        <v>0</v>
      </c>
      <c r="BT280">
        <v>39</v>
      </c>
      <c r="BU280" t="str">
        <f t="shared" si="141"/>
        <v>571039,562039,563039</v>
      </c>
      <c r="BV280">
        <f t="shared" si="140"/>
        <v>571039</v>
      </c>
      <c r="BW280">
        <f t="shared" si="131"/>
        <v>562039</v>
      </c>
      <c r="BX280">
        <f t="shared" si="132"/>
        <v>563039</v>
      </c>
      <c r="CF280" t="str">
        <f t="shared" si="145"/>
        <v>DATA_Class_Base54</v>
      </c>
      <c r="CG280" s="41" t="s">
        <v>198</v>
      </c>
    </row>
    <row r="281" spans="1:85" ht="27">
      <c r="A281">
        <f t="shared" si="146"/>
        <v>5074601</v>
      </c>
      <c r="B281" s="41" t="s">
        <v>1050</v>
      </c>
      <c r="C281">
        <v>7</v>
      </c>
      <c r="D281">
        <v>6</v>
      </c>
      <c r="E281">
        <v>4</v>
      </c>
      <c r="F281" t="s">
        <v>1347</v>
      </c>
      <c r="G281" t="str">
        <f t="shared" si="130"/>
        <v>牧师1_56_4</v>
      </c>
      <c r="H281" s="2">
        <v>0</v>
      </c>
      <c r="I281" s="2" t="s">
        <v>309</v>
      </c>
      <c r="J281" s="2">
        <f t="shared" si="142"/>
        <v>5</v>
      </c>
      <c r="K281" s="2">
        <f t="shared" si="134"/>
        <v>1.1000000000000001</v>
      </c>
      <c r="L281" s="2">
        <f t="shared" si="133"/>
        <v>1.47</v>
      </c>
      <c r="M281" s="2">
        <v>10</v>
      </c>
      <c r="N281" s="2">
        <f t="shared" si="151"/>
        <v>60</v>
      </c>
      <c r="O281" s="2">
        <f t="shared" si="151"/>
        <v>6</v>
      </c>
      <c r="P281" s="2">
        <f t="shared" si="151"/>
        <v>1200</v>
      </c>
      <c r="Q281" s="2">
        <f t="shared" si="151"/>
        <v>120</v>
      </c>
      <c r="R281" s="2">
        <f t="shared" si="151"/>
        <v>30</v>
      </c>
      <c r="S281" s="2">
        <f t="shared" si="151"/>
        <v>3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>
        <v>50546011</v>
      </c>
      <c r="Z281" s="14" t="s">
        <v>1408</v>
      </c>
      <c r="AA281" s="14" t="s">
        <v>890</v>
      </c>
      <c r="AB281">
        <v>5084601</v>
      </c>
      <c r="AC281" s="2">
        <v>19</v>
      </c>
      <c r="AD281" s="2"/>
      <c r="AE281" s="2"/>
      <c r="AF281">
        <v>1</v>
      </c>
      <c r="AG281" s="1">
        <f t="shared" si="135"/>
        <v>552.50251660962363</v>
      </c>
      <c r="AH281">
        <v>7</v>
      </c>
      <c r="AI281">
        <f t="shared" si="147"/>
        <v>60</v>
      </c>
      <c r="AJ281">
        <f t="shared" si="148"/>
        <v>6</v>
      </c>
      <c r="AK281">
        <f t="shared" si="149"/>
        <v>1200</v>
      </c>
      <c r="AL281">
        <f t="shared" si="150"/>
        <v>120</v>
      </c>
      <c r="AM281">
        <f t="shared" si="143"/>
        <v>30</v>
      </c>
      <c r="AN281">
        <f t="shared" si="144"/>
        <v>3</v>
      </c>
      <c r="AO281">
        <f t="shared" si="136"/>
        <v>1.5</v>
      </c>
      <c r="AP281">
        <f t="shared" si="137"/>
        <v>2</v>
      </c>
      <c r="AQ281">
        <f t="shared" si="138"/>
        <v>5</v>
      </c>
      <c r="AR281">
        <v>601</v>
      </c>
      <c r="AS281" s="1" t="str">
        <f t="shared" si="129"/>
        <v>1</v>
      </c>
      <c r="AT281">
        <v>5</v>
      </c>
      <c r="BP281" t="s">
        <v>960</v>
      </c>
      <c r="BQ281" t="str">
        <f t="shared" si="139"/>
        <v>1</v>
      </c>
      <c r="BT281">
        <v>40</v>
      </c>
      <c r="BU281" t="str">
        <f t="shared" si="141"/>
        <v>571040,562040,563040</v>
      </c>
      <c r="BV281">
        <f t="shared" si="140"/>
        <v>571040</v>
      </c>
      <c r="BW281">
        <f t="shared" si="131"/>
        <v>562040</v>
      </c>
      <c r="BX281">
        <f t="shared" si="132"/>
        <v>563040</v>
      </c>
      <c r="CF281" t="str">
        <f t="shared" si="145"/>
        <v>DATA_Class_Base55</v>
      </c>
      <c r="CG281" s="41" t="s">
        <v>201</v>
      </c>
    </row>
    <row r="282" spans="1:85" ht="27">
      <c r="A282">
        <f t="shared" si="146"/>
        <v>5075201</v>
      </c>
      <c r="B282" s="41" t="s">
        <v>1025</v>
      </c>
      <c r="C282">
        <v>7</v>
      </c>
      <c r="D282">
        <v>2</v>
      </c>
      <c r="E282">
        <v>5</v>
      </c>
      <c r="F282" t="s">
        <v>1409</v>
      </c>
      <c r="G282" t="str">
        <f t="shared" si="130"/>
        <v>战士1_56_5</v>
      </c>
      <c r="H282" s="2">
        <v>0</v>
      </c>
      <c r="I282" s="2" t="s">
        <v>298</v>
      </c>
      <c r="J282" s="2">
        <f t="shared" si="142"/>
        <v>2.5</v>
      </c>
      <c r="K282" s="2">
        <f t="shared" si="134"/>
        <v>1.32</v>
      </c>
      <c r="L282" s="2">
        <f t="shared" si="133"/>
        <v>1.32</v>
      </c>
      <c r="M282" s="2">
        <v>10</v>
      </c>
      <c r="N282" s="2">
        <f t="shared" si="151"/>
        <v>57.6</v>
      </c>
      <c r="O282" s="2">
        <f t="shared" si="151"/>
        <v>5.7600000000000007</v>
      </c>
      <c r="P282" s="2">
        <f t="shared" si="151"/>
        <v>1500</v>
      </c>
      <c r="Q282" s="2">
        <f t="shared" si="151"/>
        <v>150</v>
      </c>
      <c r="R282" s="2">
        <f t="shared" si="151"/>
        <v>36</v>
      </c>
      <c r="S282" s="2">
        <f t="shared" si="151"/>
        <v>3.6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>
        <v>50552011</v>
      </c>
      <c r="Z282" s="14" t="s">
        <v>1410</v>
      </c>
      <c r="AA282" s="14" t="s">
        <v>890</v>
      </c>
      <c r="AB282">
        <v>5085201</v>
      </c>
      <c r="AC282" s="2">
        <v>19</v>
      </c>
      <c r="AD282" s="2"/>
      <c r="AE282" s="2"/>
      <c r="AF282">
        <v>1</v>
      </c>
      <c r="AG282" s="1">
        <f t="shared" si="135"/>
        <v>553.23764212563515</v>
      </c>
      <c r="AH282">
        <v>7</v>
      </c>
      <c r="AI282">
        <f t="shared" si="147"/>
        <v>57.6</v>
      </c>
      <c r="AJ282">
        <f t="shared" si="148"/>
        <v>5.7600000000000007</v>
      </c>
      <c r="AK282">
        <f t="shared" si="149"/>
        <v>1500</v>
      </c>
      <c r="AL282">
        <f t="shared" si="150"/>
        <v>150</v>
      </c>
      <c r="AM282">
        <f t="shared" si="143"/>
        <v>36</v>
      </c>
      <c r="AN282">
        <f t="shared" si="144"/>
        <v>3.6</v>
      </c>
      <c r="AO282">
        <f t="shared" si="136"/>
        <v>1.8</v>
      </c>
      <c r="AP282">
        <f t="shared" si="137"/>
        <v>1.8</v>
      </c>
      <c r="AQ282">
        <f t="shared" si="138"/>
        <v>2.5</v>
      </c>
      <c r="AR282">
        <v>201</v>
      </c>
      <c r="AS282" s="1" t="str">
        <f t="shared" si="129"/>
        <v>1</v>
      </c>
      <c r="AT282">
        <v>5</v>
      </c>
      <c r="BP282" t="s">
        <v>913</v>
      </c>
      <c r="BQ282" t="str">
        <f t="shared" si="139"/>
        <v>1</v>
      </c>
      <c r="BT282">
        <v>41</v>
      </c>
      <c r="BU282" t="str">
        <f t="shared" si="141"/>
        <v>571041,562041,563041</v>
      </c>
      <c r="BV282">
        <f t="shared" si="140"/>
        <v>571041</v>
      </c>
      <c r="BW282">
        <f t="shared" si="131"/>
        <v>562041</v>
      </c>
      <c r="BX282">
        <f t="shared" si="132"/>
        <v>563041</v>
      </c>
      <c r="CF282" t="str">
        <f t="shared" si="145"/>
        <v>DATA_Class_Base47</v>
      </c>
      <c r="CG282" s="41" t="s">
        <v>378</v>
      </c>
    </row>
    <row r="283" spans="1:85" ht="27">
      <c r="A283">
        <f t="shared" si="146"/>
        <v>5075202</v>
      </c>
      <c r="B283" s="41" t="s">
        <v>1053</v>
      </c>
      <c r="C283">
        <v>7</v>
      </c>
      <c r="D283">
        <v>2</v>
      </c>
      <c r="E283">
        <v>5</v>
      </c>
      <c r="F283" s="2" t="s">
        <v>1351</v>
      </c>
      <c r="G283" t="str">
        <f t="shared" si="130"/>
        <v>战士2_56_5</v>
      </c>
      <c r="H283">
        <v>0</v>
      </c>
      <c r="I283" s="2" t="s">
        <v>280</v>
      </c>
      <c r="J283" s="2">
        <f t="shared" si="142"/>
        <v>2.5</v>
      </c>
      <c r="K283" s="2">
        <f t="shared" si="134"/>
        <v>1.32</v>
      </c>
      <c r="L283" s="2">
        <f t="shared" si="133"/>
        <v>1.47</v>
      </c>
      <c r="M283" s="2">
        <v>10</v>
      </c>
      <c r="N283" s="2">
        <f t="shared" si="151"/>
        <v>57.6</v>
      </c>
      <c r="O283" s="2">
        <f t="shared" si="151"/>
        <v>5.7600000000000007</v>
      </c>
      <c r="P283" s="2">
        <f t="shared" si="151"/>
        <v>1500</v>
      </c>
      <c r="Q283" s="2">
        <f t="shared" si="151"/>
        <v>150</v>
      </c>
      <c r="R283" s="2">
        <f t="shared" si="151"/>
        <v>36</v>
      </c>
      <c r="S283" s="2">
        <f t="shared" si="151"/>
        <v>3.6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>
        <v>50552021</v>
      </c>
      <c r="Z283" s="14" t="s">
        <v>1411</v>
      </c>
      <c r="AA283" s="14" t="s">
        <v>890</v>
      </c>
      <c r="AB283">
        <v>5085202</v>
      </c>
      <c r="AC283" s="2">
        <v>19</v>
      </c>
      <c r="AD283" s="2"/>
      <c r="AE283" s="2"/>
      <c r="AF283">
        <v>1</v>
      </c>
      <c r="AG283" s="1">
        <f t="shared" si="135"/>
        <v>553.23764212563515</v>
      </c>
      <c r="AH283">
        <v>7</v>
      </c>
      <c r="AI283">
        <f t="shared" si="147"/>
        <v>57.6</v>
      </c>
      <c r="AJ283">
        <f t="shared" si="148"/>
        <v>5.7600000000000007</v>
      </c>
      <c r="AK283">
        <f t="shared" si="149"/>
        <v>1500</v>
      </c>
      <c r="AL283">
        <f t="shared" si="150"/>
        <v>150</v>
      </c>
      <c r="AM283">
        <f t="shared" si="143"/>
        <v>36</v>
      </c>
      <c r="AN283">
        <f t="shared" si="144"/>
        <v>3.6</v>
      </c>
      <c r="AO283">
        <f t="shared" si="136"/>
        <v>1.8</v>
      </c>
      <c r="AP283">
        <f t="shared" si="137"/>
        <v>2</v>
      </c>
      <c r="AQ283">
        <f t="shared" si="138"/>
        <v>2.5</v>
      </c>
      <c r="AR283">
        <v>202</v>
      </c>
      <c r="AS283" s="1" t="str">
        <f t="shared" si="129"/>
        <v>2</v>
      </c>
      <c r="AT283">
        <v>5</v>
      </c>
      <c r="BP283" t="s">
        <v>981</v>
      </c>
      <c r="BQ283" t="str">
        <f t="shared" si="139"/>
        <v>2</v>
      </c>
      <c r="BT283">
        <v>42</v>
      </c>
      <c r="BU283" t="str">
        <f t="shared" si="141"/>
        <v>571042,562042,563042</v>
      </c>
      <c r="BV283">
        <f t="shared" si="140"/>
        <v>571042</v>
      </c>
      <c r="BW283">
        <f t="shared" si="131"/>
        <v>562042</v>
      </c>
      <c r="BX283">
        <f t="shared" si="132"/>
        <v>563042</v>
      </c>
      <c r="CF283" t="str">
        <f t="shared" si="145"/>
        <v>DATA_Class_Base56</v>
      </c>
      <c r="CG283" s="41" t="s">
        <v>381</v>
      </c>
    </row>
    <row r="284" spans="1:85" ht="27">
      <c r="A284">
        <f t="shared" si="146"/>
        <v>5075302</v>
      </c>
      <c r="B284" s="41" t="s">
        <v>1056</v>
      </c>
      <c r="C284">
        <v>7</v>
      </c>
      <c r="D284">
        <v>3</v>
      </c>
      <c r="E284">
        <v>5</v>
      </c>
      <c r="F284" t="s">
        <v>1353</v>
      </c>
      <c r="G284" t="str">
        <f t="shared" si="130"/>
        <v>刺客2_56_5</v>
      </c>
      <c r="H284" s="2">
        <v>0</v>
      </c>
      <c r="I284" s="2" t="s">
        <v>358</v>
      </c>
      <c r="J284" s="2">
        <f t="shared" si="142"/>
        <v>2.5</v>
      </c>
      <c r="K284" s="2">
        <f t="shared" si="134"/>
        <v>1.02</v>
      </c>
      <c r="L284" s="2">
        <f t="shared" si="133"/>
        <v>1.25</v>
      </c>
      <c r="M284" s="2">
        <v>10</v>
      </c>
      <c r="N284" s="2">
        <f t="shared" si="151"/>
        <v>50.4</v>
      </c>
      <c r="O284" s="2">
        <f t="shared" si="151"/>
        <v>5.04</v>
      </c>
      <c r="P284" s="2">
        <f t="shared" si="151"/>
        <v>1332.0000000000002</v>
      </c>
      <c r="Q284" s="2">
        <f t="shared" si="151"/>
        <v>133.20000000000002</v>
      </c>
      <c r="R284" s="2">
        <f t="shared" si="151"/>
        <v>33</v>
      </c>
      <c r="S284" s="2">
        <f t="shared" si="151"/>
        <v>3.3000000000000003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>
        <v>50553021</v>
      </c>
      <c r="Z284" s="14" t="s">
        <v>1412</v>
      </c>
      <c r="AA284" s="14" t="s">
        <v>890</v>
      </c>
      <c r="AB284">
        <v>5085302</v>
      </c>
      <c r="AC284" s="2">
        <v>19</v>
      </c>
      <c r="AD284" s="2"/>
      <c r="AE284" s="2"/>
      <c r="AF284">
        <v>1</v>
      </c>
      <c r="AG284" s="1">
        <f t="shared" si="135"/>
        <v>552.31696516711338</v>
      </c>
      <c r="AH284">
        <v>7</v>
      </c>
      <c r="AI284">
        <f t="shared" si="147"/>
        <v>50.4</v>
      </c>
      <c r="AJ284">
        <f t="shared" si="148"/>
        <v>5.04</v>
      </c>
      <c r="AK284">
        <f t="shared" si="149"/>
        <v>1332.0000000000002</v>
      </c>
      <c r="AL284">
        <f t="shared" si="150"/>
        <v>133.20000000000002</v>
      </c>
      <c r="AM284">
        <f t="shared" si="143"/>
        <v>33</v>
      </c>
      <c r="AN284">
        <f t="shared" si="144"/>
        <v>3.3000000000000003</v>
      </c>
      <c r="AO284">
        <f t="shared" si="136"/>
        <v>1.4</v>
      </c>
      <c r="AP284">
        <f t="shared" si="137"/>
        <v>1.7</v>
      </c>
      <c r="AQ284">
        <f t="shared" si="138"/>
        <v>2.5</v>
      </c>
      <c r="AR284">
        <v>302</v>
      </c>
      <c r="AS284" s="1" t="str">
        <f t="shared" si="129"/>
        <v>2</v>
      </c>
      <c r="AT284">
        <v>5</v>
      </c>
      <c r="BP284" t="s">
        <v>983</v>
      </c>
      <c r="BQ284" t="str">
        <f t="shared" si="139"/>
        <v>2</v>
      </c>
      <c r="BT284">
        <v>43</v>
      </c>
      <c r="BU284" t="str">
        <f t="shared" si="141"/>
        <v>571043,562043,563043</v>
      </c>
      <c r="BV284">
        <f t="shared" si="140"/>
        <v>571043</v>
      </c>
      <c r="BW284">
        <f t="shared" si="131"/>
        <v>562043</v>
      </c>
      <c r="BX284">
        <f t="shared" si="132"/>
        <v>563043</v>
      </c>
      <c r="CF284" t="str">
        <f t="shared" si="145"/>
        <v>DATA_Class_Base57</v>
      </c>
      <c r="CG284" s="41" t="s">
        <v>1057</v>
      </c>
    </row>
    <row r="285" spans="1:85" ht="27">
      <c r="A285">
        <f t="shared" si="146"/>
        <v>5075301</v>
      </c>
      <c r="B285" s="41" t="s">
        <v>1031</v>
      </c>
      <c r="C285">
        <v>7</v>
      </c>
      <c r="D285">
        <v>3</v>
      </c>
      <c r="E285">
        <v>5</v>
      </c>
      <c r="F285" t="s">
        <v>1355</v>
      </c>
      <c r="G285" t="str">
        <f t="shared" si="130"/>
        <v>刺客1_56_5</v>
      </c>
      <c r="H285" s="2">
        <v>0</v>
      </c>
      <c r="I285" s="2" t="s">
        <v>285</v>
      </c>
      <c r="J285" s="2">
        <f t="shared" si="142"/>
        <v>2.5</v>
      </c>
      <c r="K285" s="2">
        <f t="shared" si="134"/>
        <v>0.88</v>
      </c>
      <c r="L285" s="2">
        <f t="shared" si="133"/>
        <v>1.47</v>
      </c>
      <c r="M285" s="2">
        <v>10</v>
      </c>
      <c r="N285" s="2">
        <f t="shared" si="151"/>
        <v>43.2</v>
      </c>
      <c r="O285" s="2">
        <f t="shared" si="151"/>
        <v>4.32</v>
      </c>
      <c r="P285" s="2">
        <f t="shared" si="151"/>
        <v>1332.0000000000002</v>
      </c>
      <c r="Q285" s="2">
        <f t="shared" si="151"/>
        <v>133.20000000000002</v>
      </c>
      <c r="R285" s="2">
        <f t="shared" si="151"/>
        <v>33</v>
      </c>
      <c r="S285" s="2">
        <f t="shared" si="151"/>
        <v>3.3000000000000003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>
        <v>50553011</v>
      </c>
      <c r="Z285" s="14" t="s">
        <v>1413</v>
      </c>
      <c r="AA285" s="14" t="s">
        <v>890</v>
      </c>
      <c r="AB285">
        <v>5085301</v>
      </c>
      <c r="AC285" s="2">
        <v>19</v>
      </c>
      <c r="AD285" s="2"/>
      <c r="AE285" s="2"/>
      <c r="AF285">
        <v>1</v>
      </c>
      <c r="AG285" s="1">
        <f t="shared" si="135"/>
        <v>552.31696516711349</v>
      </c>
      <c r="AH285">
        <v>7</v>
      </c>
      <c r="AI285">
        <f t="shared" si="147"/>
        <v>43.2</v>
      </c>
      <c r="AJ285">
        <f t="shared" si="148"/>
        <v>4.32</v>
      </c>
      <c r="AK285">
        <f t="shared" si="149"/>
        <v>1332.0000000000002</v>
      </c>
      <c r="AL285">
        <f t="shared" si="150"/>
        <v>133.20000000000002</v>
      </c>
      <c r="AM285">
        <f t="shared" si="143"/>
        <v>33</v>
      </c>
      <c r="AN285">
        <f t="shared" si="144"/>
        <v>3.3000000000000003</v>
      </c>
      <c r="AO285">
        <f t="shared" si="136"/>
        <v>1.2</v>
      </c>
      <c r="AP285">
        <f t="shared" si="137"/>
        <v>2</v>
      </c>
      <c r="AQ285">
        <f t="shared" si="138"/>
        <v>2.5</v>
      </c>
      <c r="AR285">
        <v>301</v>
      </c>
      <c r="AS285" s="1" t="str">
        <f t="shared" si="129"/>
        <v>1</v>
      </c>
      <c r="AT285">
        <v>5</v>
      </c>
      <c r="BP285" t="s">
        <v>923</v>
      </c>
      <c r="BQ285" t="str">
        <f t="shared" si="139"/>
        <v>1</v>
      </c>
      <c r="BT285">
        <v>44</v>
      </c>
      <c r="BU285" t="str">
        <f t="shared" si="141"/>
        <v>571044,562044,563044</v>
      </c>
      <c r="BV285">
        <f t="shared" si="140"/>
        <v>571044</v>
      </c>
      <c r="BW285">
        <f t="shared" si="131"/>
        <v>562044</v>
      </c>
      <c r="BX285">
        <f t="shared" si="132"/>
        <v>563044</v>
      </c>
      <c r="CF285" t="str">
        <f t="shared" si="145"/>
        <v>DATA_Class_Base49</v>
      </c>
      <c r="CG285" s="41" t="s">
        <v>384</v>
      </c>
    </row>
    <row r="286" spans="1:85" ht="27">
      <c r="A286">
        <f t="shared" si="146"/>
        <v>5075400</v>
      </c>
      <c r="B286" s="41" t="s">
        <v>1060</v>
      </c>
      <c r="C286">
        <v>7</v>
      </c>
      <c r="D286">
        <v>4</v>
      </c>
      <c r="E286">
        <v>5</v>
      </c>
      <c r="F286" t="s">
        <v>1357</v>
      </c>
      <c r="G286" t="str">
        <f t="shared" si="130"/>
        <v>法师0_56_5</v>
      </c>
      <c r="H286">
        <v>0</v>
      </c>
      <c r="I286" s="2" t="s">
        <v>364</v>
      </c>
      <c r="J286" s="2">
        <f t="shared" si="142"/>
        <v>5</v>
      </c>
      <c r="K286" s="2">
        <f t="shared" si="134"/>
        <v>1.02</v>
      </c>
      <c r="L286" s="2">
        <f t="shared" si="133"/>
        <v>1.02</v>
      </c>
      <c r="M286" s="2">
        <v>10</v>
      </c>
      <c r="N286" s="2">
        <f t="shared" si="151"/>
        <v>61.599999999999994</v>
      </c>
      <c r="O286" s="2">
        <f t="shared" si="151"/>
        <v>6.16</v>
      </c>
      <c r="P286" s="2">
        <f t="shared" si="151"/>
        <v>1092</v>
      </c>
      <c r="Q286" s="2">
        <f t="shared" si="151"/>
        <v>109.2</v>
      </c>
      <c r="R286" s="2">
        <f t="shared" si="151"/>
        <v>27</v>
      </c>
      <c r="S286" s="2">
        <f t="shared" si="151"/>
        <v>2.7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>
        <v>50554001</v>
      </c>
      <c r="Z286" s="14" t="s">
        <v>1414</v>
      </c>
      <c r="AA286" s="14" t="s">
        <v>890</v>
      </c>
      <c r="AB286">
        <v>5085400</v>
      </c>
      <c r="AC286" s="2">
        <v>19</v>
      </c>
      <c r="AD286" s="2"/>
      <c r="AE286" s="2"/>
      <c r="AF286">
        <v>1</v>
      </c>
      <c r="AG286" s="1">
        <f t="shared" si="135"/>
        <v>552.68782166066433</v>
      </c>
      <c r="AH286">
        <v>7</v>
      </c>
      <c r="AI286">
        <f t="shared" si="147"/>
        <v>61.599999999999994</v>
      </c>
      <c r="AJ286">
        <f t="shared" si="148"/>
        <v>6.16</v>
      </c>
      <c r="AK286">
        <f t="shared" si="149"/>
        <v>1092</v>
      </c>
      <c r="AL286">
        <f t="shared" si="150"/>
        <v>109.2</v>
      </c>
      <c r="AM286">
        <f t="shared" si="143"/>
        <v>27</v>
      </c>
      <c r="AN286">
        <f t="shared" si="144"/>
        <v>2.7</v>
      </c>
      <c r="AO286">
        <f t="shared" si="136"/>
        <v>1.4</v>
      </c>
      <c r="AP286">
        <f t="shared" si="137"/>
        <v>1.4</v>
      </c>
      <c r="AQ286">
        <f t="shared" si="138"/>
        <v>5</v>
      </c>
      <c r="AR286">
        <v>400</v>
      </c>
      <c r="AS286" s="1" t="str">
        <f t="shared" si="129"/>
        <v>0</v>
      </c>
      <c r="AT286">
        <v>5</v>
      </c>
      <c r="BP286" t="s">
        <v>986</v>
      </c>
      <c r="BQ286" t="str">
        <f t="shared" si="139"/>
        <v>0</v>
      </c>
      <c r="BT286">
        <v>45</v>
      </c>
      <c r="BU286" t="str">
        <f t="shared" si="141"/>
        <v>571045,562045,563045</v>
      </c>
      <c r="BV286">
        <f t="shared" si="140"/>
        <v>571045</v>
      </c>
      <c r="BW286">
        <f t="shared" si="131"/>
        <v>562045</v>
      </c>
      <c r="BX286">
        <f t="shared" si="132"/>
        <v>563045</v>
      </c>
      <c r="CF286" t="str">
        <f t="shared" si="145"/>
        <v>DATA_Class_Base58</v>
      </c>
      <c r="CG286" s="41" t="s">
        <v>174</v>
      </c>
    </row>
    <row r="287" spans="1:85" ht="27">
      <c r="A287">
        <f t="shared" si="146"/>
        <v>5075402</v>
      </c>
      <c r="B287" s="41" t="s">
        <v>1037</v>
      </c>
      <c r="C287">
        <v>7</v>
      </c>
      <c r="D287">
        <v>4</v>
      </c>
      <c r="E287">
        <v>5</v>
      </c>
      <c r="F287" t="s">
        <v>1359</v>
      </c>
      <c r="G287" t="str">
        <f t="shared" si="130"/>
        <v>法师2_56_5</v>
      </c>
      <c r="H287" s="2">
        <v>0</v>
      </c>
      <c r="I287" s="2" t="s">
        <v>250</v>
      </c>
      <c r="J287" s="2">
        <f t="shared" si="142"/>
        <v>5</v>
      </c>
      <c r="K287" s="2">
        <f t="shared" si="134"/>
        <v>1.1000000000000001</v>
      </c>
      <c r="L287" s="2">
        <f t="shared" si="133"/>
        <v>1.1000000000000001</v>
      </c>
      <c r="M287" s="2">
        <v>10</v>
      </c>
      <c r="N287" s="2">
        <f t="shared" si="151"/>
        <v>66</v>
      </c>
      <c r="O287" s="2">
        <f t="shared" si="151"/>
        <v>6.6000000000000005</v>
      </c>
      <c r="P287" s="2">
        <f t="shared" si="151"/>
        <v>1092</v>
      </c>
      <c r="Q287" s="2">
        <f t="shared" si="151"/>
        <v>109.2</v>
      </c>
      <c r="R287" s="2">
        <f t="shared" si="151"/>
        <v>27</v>
      </c>
      <c r="S287" s="2">
        <f t="shared" si="151"/>
        <v>2.7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>
        <v>50554021</v>
      </c>
      <c r="Z287" s="14" t="s">
        <v>1415</v>
      </c>
      <c r="AA287" s="14" t="s">
        <v>890</v>
      </c>
      <c r="AB287">
        <v>5085402</v>
      </c>
      <c r="AC287" s="2">
        <v>19</v>
      </c>
      <c r="AD287" s="2"/>
      <c r="AE287" s="2"/>
      <c r="AF287">
        <v>1</v>
      </c>
      <c r="AG287" s="1">
        <f t="shared" si="135"/>
        <v>552.68782166066433</v>
      </c>
      <c r="AH287">
        <v>7</v>
      </c>
      <c r="AI287">
        <f t="shared" si="147"/>
        <v>66</v>
      </c>
      <c r="AJ287">
        <f t="shared" si="148"/>
        <v>6.6000000000000005</v>
      </c>
      <c r="AK287">
        <f t="shared" si="149"/>
        <v>1092</v>
      </c>
      <c r="AL287">
        <f t="shared" si="150"/>
        <v>109.2</v>
      </c>
      <c r="AM287">
        <f t="shared" si="143"/>
        <v>27</v>
      </c>
      <c r="AN287">
        <f t="shared" si="144"/>
        <v>2.7</v>
      </c>
      <c r="AO287">
        <f t="shared" si="136"/>
        <v>1.5</v>
      </c>
      <c r="AP287">
        <f t="shared" si="137"/>
        <v>1.5</v>
      </c>
      <c r="AQ287">
        <f t="shared" si="138"/>
        <v>5</v>
      </c>
      <c r="AR287">
        <v>402</v>
      </c>
      <c r="AS287" s="1" t="str">
        <f t="shared" si="129"/>
        <v>2</v>
      </c>
      <c r="AT287">
        <v>5</v>
      </c>
      <c r="BP287" t="s">
        <v>971</v>
      </c>
      <c r="BQ287" t="str">
        <f t="shared" si="139"/>
        <v>2</v>
      </c>
      <c r="BT287">
        <v>46</v>
      </c>
      <c r="BU287" t="str">
        <f t="shared" si="141"/>
        <v>571046,562046,563046</v>
      </c>
      <c r="BV287">
        <f t="shared" si="140"/>
        <v>571046</v>
      </c>
      <c r="BW287">
        <f t="shared" si="131"/>
        <v>562046</v>
      </c>
      <c r="BX287">
        <f t="shared" si="132"/>
        <v>563046</v>
      </c>
      <c r="CF287" t="str">
        <f t="shared" si="145"/>
        <v>DATA_Class_Base51</v>
      </c>
      <c r="CG287" s="41" t="s">
        <v>1038</v>
      </c>
    </row>
    <row r="288" spans="1:85" ht="27">
      <c r="A288">
        <f t="shared" si="146"/>
        <v>5075500</v>
      </c>
      <c r="B288" s="41" t="s">
        <v>1041</v>
      </c>
      <c r="C288">
        <v>7</v>
      </c>
      <c r="D288">
        <v>5</v>
      </c>
      <c r="E288">
        <v>5</v>
      </c>
      <c r="F288" t="s">
        <v>1361</v>
      </c>
      <c r="G288" t="str">
        <f t="shared" si="130"/>
        <v>游侠0_56_5</v>
      </c>
      <c r="H288" s="2">
        <v>0</v>
      </c>
      <c r="I288" s="2" t="s">
        <v>303</v>
      </c>
      <c r="J288" s="2">
        <f t="shared" si="142"/>
        <v>5</v>
      </c>
      <c r="K288" s="2">
        <f t="shared" si="134"/>
        <v>1.1000000000000001</v>
      </c>
      <c r="L288" s="2">
        <f t="shared" si="133"/>
        <v>1.1000000000000001</v>
      </c>
      <c r="M288" s="2">
        <v>10</v>
      </c>
      <c r="N288" s="2">
        <f t="shared" si="151"/>
        <v>72</v>
      </c>
      <c r="O288" s="2">
        <f t="shared" si="151"/>
        <v>7.2</v>
      </c>
      <c r="P288" s="2">
        <f t="shared" si="151"/>
        <v>996</v>
      </c>
      <c r="Q288" s="2">
        <f t="shared" si="151"/>
        <v>99.600000000000009</v>
      </c>
      <c r="R288" s="2">
        <f t="shared" si="151"/>
        <v>24</v>
      </c>
      <c r="S288" s="2">
        <f t="shared" si="151"/>
        <v>2.4000000000000004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>
        <v>50555001</v>
      </c>
      <c r="Z288" s="14" t="s">
        <v>1416</v>
      </c>
      <c r="AA288" s="14" t="s">
        <v>890</v>
      </c>
      <c r="AB288">
        <v>5085500</v>
      </c>
      <c r="AC288" s="2">
        <v>19</v>
      </c>
      <c r="AD288" s="2"/>
      <c r="AE288" s="2"/>
      <c r="AF288">
        <v>1</v>
      </c>
      <c r="AG288" s="1">
        <f t="shared" si="135"/>
        <v>549.56226475792175</v>
      </c>
      <c r="AH288">
        <v>7</v>
      </c>
      <c r="AI288">
        <f t="shared" si="147"/>
        <v>72</v>
      </c>
      <c r="AJ288">
        <f t="shared" si="148"/>
        <v>7.2</v>
      </c>
      <c r="AK288">
        <f t="shared" si="149"/>
        <v>996</v>
      </c>
      <c r="AL288">
        <f t="shared" si="150"/>
        <v>99.600000000000009</v>
      </c>
      <c r="AM288">
        <f t="shared" si="143"/>
        <v>24</v>
      </c>
      <c r="AN288">
        <f t="shared" si="144"/>
        <v>2.4000000000000004</v>
      </c>
      <c r="AO288">
        <f t="shared" si="136"/>
        <v>1.5</v>
      </c>
      <c r="AP288">
        <f t="shared" si="137"/>
        <v>1.5</v>
      </c>
      <c r="AQ288">
        <f t="shared" si="138"/>
        <v>5</v>
      </c>
      <c r="AR288">
        <v>500</v>
      </c>
      <c r="AS288" s="1" t="str">
        <f t="shared" si="129"/>
        <v>0</v>
      </c>
      <c r="AT288">
        <v>5</v>
      </c>
      <c r="BP288" t="s">
        <v>956</v>
      </c>
      <c r="BQ288" t="str">
        <f t="shared" si="139"/>
        <v>0</v>
      </c>
      <c r="BT288">
        <v>47</v>
      </c>
      <c r="BU288" t="str">
        <f t="shared" si="141"/>
        <v>571047,562047,563047</v>
      </c>
      <c r="BV288">
        <f t="shared" si="140"/>
        <v>571047</v>
      </c>
      <c r="BW288">
        <f t="shared" si="131"/>
        <v>562047</v>
      </c>
      <c r="BX288">
        <f t="shared" si="132"/>
        <v>563047</v>
      </c>
      <c r="CF288" t="str">
        <f t="shared" si="145"/>
        <v>DATA_Class_Base52</v>
      </c>
      <c r="CG288" s="41" t="s">
        <v>184</v>
      </c>
    </row>
    <row r="289" spans="1:85" ht="27">
      <c r="A289">
        <f t="shared" si="146"/>
        <v>5075502</v>
      </c>
      <c r="B289" s="41" t="s">
        <v>1063</v>
      </c>
      <c r="C289">
        <v>7</v>
      </c>
      <c r="D289">
        <v>5</v>
      </c>
      <c r="E289">
        <v>5</v>
      </c>
      <c r="F289" t="s">
        <v>1363</v>
      </c>
      <c r="G289" t="str">
        <f t="shared" si="130"/>
        <v>游侠2_56_5</v>
      </c>
      <c r="H289">
        <v>0</v>
      </c>
      <c r="I289" s="2" t="s">
        <v>291</v>
      </c>
      <c r="J289" s="2">
        <f t="shared" si="142"/>
        <v>6</v>
      </c>
      <c r="K289" s="2">
        <f t="shared" si="134"/>
        <v>1.02</v>
      </c>
      <c r="L289" s="2">
        <f t="shared" si="133"/>
        <v>1.47</v>
      </c>
      <c r="M289" s="2">
        <v>10</v>
      </c>
      <c r="N289" s="2">
        <f t="shared" si="151"/>
        <v>67.199999999999989</v>
      </c>
      <c r="O289" s="2">
        <f t="shared" si="151"/>
        <v>6.7199999999999989</v>
      </c>
      <c r="P289" s="2">
        <f t="shared" si="151"/>
        <v>996</v>
      </c>
      <c r="Q289" s="2">
        <f t="shared" si="151"/>
        <v>99.600000000000009</v>
      </c>
      <c r="R289" s="2">
        <f t="shared" si="151"/>
        <v>24</v>
      </c>
      <c r="S289" s="2">
        <f t="shared" si="151"/>
        <v>2.4000000000000004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>
        <v>50555021</v>
      </c>
      <c r="Z289" s="14" t="s">
        <v>1417</v>
      </c>
      <c r="AA289" s="14" t="s">
        <v>890</v>
      </c>
      <c r="AB289">
        <v>5085502</v>
      </c>
      <c r="AC289" s="2">
        <v>19</v>
      </c>
      <c r="AD289" s="2"/>
      <c r="AE289" s="2"/>
      <c r="AF289">
        <v>1</v>
      </c>
      <c r="AG289" s="1">
        <f t="shared" si="135"/>
        <v>549.56226475792175</v>
      </c>
      <c r="AH289">
        <v>7</v>
      </c>
      <c r="AI289">
        <f t="shared" si="147"/>
        <v>67.199999999999989</v>
      </c>
      <c r="AJ289">
        <f t="shared" si="148"/>
        <v>6.7199999999999989</v>
      </c>
      <c r="AK289">
        <f t="shared" si="149"/>
        <v>996</v>
      </c>
      <c r="AL289">
        <f t="shared" si="150"/>
        <v>99.600000000000009</v>
      </c>
      <c r="AM289">
        <f t="shared" si="143"/>
        <v>24</v>
      </c>
      <c r="AN289">
        <f t="shared" si="144"/>
        <v>2.4000000000000004</v>
      </c>
      <c r="AO289">
        <f t="shared" si="136"/>
        <v>1.4</v>
      </c>
      <c r="AP289">
        <f t="shared" si="137"/>
        <v>2</v>
      </c>
      <c r="AQ289">
        <f t="shared" si="138"/>
        <v>6</v>
      </c>
      <c r="AR289">
        <v>502</v>
      </c>
      <c r="AS289" s="1" t="str">
        <f t="shared" si="129"/>
        <v>2</v>
      </c>
      <c r="AT289">
        <v>5</v>
      </c>
      <c r="BP289" t="s">
        <v>974</v>
      </c>
      <c r="BQ289" t="str">
        <f t="shared" si="139"/>
        <v>2</v>
      </c>
      <c r="BT289">
        <v>48</v>
      </c>
      <c r="BU289" t="str">
        <f t="shared" si="141"/>
        <v>571048,562048,563048</v>
      </c>
      <c r="BV289">
        <f t="shared" si="140"/>
        <v>571048</v>
      </c>
      <c r="BW289">
        <f t="shared" si="131"/>
        <v>562048</v>
      </c>
      <c r="BX289">
        <f t="shared" si="132"/>
        <v>563048</v>
      </c>
      <c r="CF289" t="str">
        <f t="shared" si="145"/>
        <v>DATA_Class_Base59</v>
      </c>
      <c r="CG289" s="41" t="s">
        <v>195</v>
      </c>
    </row>
    <row r="290" spans="1:85" ht="27">
      <c r="A290">
        <f t="shared" si="146"/>
        <v>5075600</v>
      </c>
      <c r="B290" s="41" t="s">
        <v>1047</v>
      </c>
      <c r="C290">
        <v>7</v>
      </c>
      <c r="D290">
        <v>6</v>
      </c>
      <c r="E290">
        <v>5</v>
      </c>
      <c r="F290" t="s">
        <v>1365</v>
      </c>
      <c r="G290" t="str">
        <f t="shared" si="130"/>
        <v>牧师0_56_5</v>
      </c>
      <c r="H290">
        <v>0</v>
      </c>
      <c r="I290" s="2" t="s">
        <v>339</v>
      </c>
      <c r="J290" s="2">
        <f t="shared" si="142"/>
        <v>4</v>
      </c>
      <c r="K290" s="2">
        <f t="shared" si="134"/>
        <v>1.02</v>
      </c>
      <c r="L290" s="2">
        <f t="shared" si="133"/>
        <v>1.3900000000000001</v>
      </c>
      <c r="M290" s="2">
        <v>10</v>
      </c>
      <c r="N290" s="2">
        <f t="shared" si="151"/>
        <v>55.999999999999993</v>
      </c>
      <c r="O290" s="2">
        <f t="shared" si="151"/>
        <v>5.6</v>
      </c>
      <c r="P290" s="2">
        <f t="shared" si="151"/>
        <v>1200</v>
      </c>
      <c r="Q290" s="2">
        <f t="shared" si="151"/>
        <v>120</v>
      </c>
      <c r="R290" s="2">
        <f t="shared" si="151"/>
        <v>30</v>
      </c>
      <c r="S290" s="2">
        <f t="shared" si="151"/>
        <v>3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>
        <v>50556001</v>
      </c>
      <c r="Z290" s="14" t="s">
        <v>1418</v>
      </c>
      <c r="AA290" s="14" t="s">
        <v>890</v>
      </c>
      <c r="AB290">
        <v>5085600</v>
      </c>
      <c r="AC290" s="2">
        <v>19</v>
      </c>
      <c r="AD290" s="2"/>
      <c r="AE290" s="2"/>
      <c r="AF290">
        <v>1</v>
      </c>
      <c r="AG290" s="1">
        <f t="shared" si="135"/>
        <v>552.50251660962351</v>
      </c>
      <c r="AH290">
        <v>7</v>
      </c>
      <c r="AI290">
        <f t="shared" si="147"/>
        <v>55.999999999999993</v>
      </c>
      <c r="AJ290">
        <f t="shared" si="148"/>
        <v>5.6</v>
      </c>
      <c r="AK290">
        <f t="shared" si="149"/>
        <v>1200</v>
      </c>
      <c r="AL290">
        <f t="shared" si="150"/>
        <v>120</v>
      </c>
      <c r="AM290">
        <f t="shared" si="143"/>
        <v>30</v>
      </c>
      <c r="AN290">
        <f t="shared" si="144"/>
        <v>3</v>
      </c>
      <c r="AO290">
        <f t="shared" si="136"/>
        <v>1.4</v>
      </c>
      <c r="AP290">
        <f t="shared" si="137"/>
        <v>1.9</v>
      </c>
      <c r="AQ290">
        <f t="shared" si="138"/>
        <v>4</v>
      </c>
      <c r="AR290">
        <v>600</v>
      </c>
      <c r="AS290" s="1" t="str">
        <f t="shared" si="129"/>
        <v>0</v>
      </c>
      <c r="AT290">
        <v>5</v>
      </c>
      <c r="BP290" t="s">
        <v>990</v>
      </c>
      <c r="BQ290" t="str">
        <f t="shared" si="139"/>
        <v>0</v>
      </c>
      <c r="BT290">
        <v>49</v>
      </c>
      <c r="BU290" t="str">
        <f t="shared" si="141"/>
        <v>571049,562049,563049</v>
      </c>
      <c r="BV290">
        <f t="shared" si="140"/>
        <v>571049</v>
      </c>
      <c r="BW290">
        <f t="shared" si="131"/>
        <v>562049</v>
      </c>
      <c r="BX290">
        <f t="shared" si="132"/>
        <v>563049</v>
      </c>
      <c r="CF290" t="str">
        <f t="shared" si="145"/>
        <v>DATA_Class_Base54</v>
      </c>
      <c r="CG290" s="41" t="s">
        <v>198</v>
      </c>
    </row>
    <row r="291" spans="1:85" ht="27">
      <c r="A291">
        <f t="shared" si="146"/>
        <v>5075602</v>
      </c>
      <c r="B291" s="41" t="s">
        <v>1066</v>
      </c>
      <c r="C291">
        <v>7</v>
      </c>
      <c r="D291">
        <v>6</v>
      </c>
      <c r="E291">
        <v>5</v>
      </c>
      <c r="F291" t="s">
        <v>1367</v>
      </c>
      <c r="G291" t="str">
        <f t="shared" si="130"/>
        <v>牧师2_56_5</v>
      </c>
      <c r="H291" t="s">
        <v>345</v>
      </c>
      <c r="I291" s="2" t="s">
        <v>346</v>
      </c>
      <c r="J291" s="2">
        <f t="shared" si="142"/>
        <v>6</v>
      </c>
      <c r="K291" s="2">
        <f t="shared" si="134"/>
        <v>1.32</v>
      </c>
      <c r="L291" s="2">
        <f t="shared" si="133"/>
        <v>1.47</v>
      </c>
      <c r="M291" s="2">
        <v>10</v>
      </c>
      <c r="N291" s="2">
        <f t="shared" si="151"/>
        <v>72</v>
      </c>
      <c r="O291" s="2">
        <f t="shared" si="151"/>
        <v>7.2</v>
      </c>
      <c r="P291" s="2">
        <f t="shared" si="151"/>
        <v>1200</v>
      </c>
      <c r="Q291" s="2">
        <f t="shared" si="151"/>
        <v>120</v>
      </c>
      <c r="R291" s="2">
        <f t="shared" si="151"/>
        <v>30</v>
      </c>
      <c r="S291" s="2">
        <f t="shared" si="151"/>
        <v>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>
        <v>50556021</v>
      </c>
      <c r="Z291" s="14" t="s">
        <v>1419</v>
      </c>
      <c r="AA291" s="14" t="s">
        <v>890</v>
      </c>
      <c r="AB291">
        <v>5085602</v>
      </c>
      <c r="AC291" s="2">
        <v>19</v>
      </c>
      <c r="AD291" s="2"/>
      <c r="AE291" s="2"/>
      <c r="AF291">
        <v>1</v>
      </c>
      <c r="AG291" s="1">
        <f t="shared" si="135"/>
        <v>552.50251660962363</v>
      </c>
      <c r="AH291">
        <v>7</v>
      </c>
      <c r="AI291">
        <f t="shared" si="147"/>
        <v>72</v>
      </c>
      <c r="AJ291">
        <f t="shared" si="148"/>
        <v>7.2</v>
      </c>
      <c r="AK291">
        <f t="shared" si="149"/>
        <v>1200</v>
      </c>
      <c r="AL291">
        <f t="shared" si="150"/>
        <v>120</v>
      </c>
      <c r="AM291">
        <f t="shared" si="143"/>
        <v>30</v>
      </c>
      <c r="AN291">
        <f t="shared" si="144"/>
        <v>3</v>
      </c>
      <c r="AO291">
        <f t="shared" si="136"/>
        <v>1.8</v>
      </c>
      <c r="AP291">
        <f t="shared" si="137"/>
        <v>2</v>
      </c>
      <c r="AQ291">
        <f t="shared" si="138"/>
        <v>6</v>
      </c>
      <c r="AR291">
        <v>602</v>
      </c>
      <c r="AS291" s="1" t="str">
        <f t="shared" si="129"/>
        <v>2</v>
      </c>
      <c r="AT291">
        <v>5</v>
      </c>
      <c r="BP291" t="s">
        <v>978</v>
      </c>
      <c r="BQ291" t="str">
        <f t="shared" si="139"/>
        <v>2</v>
      </c>
      <c r="BT291">
        <v>50</v>
      </c>
      <c r="BU291" t="str">
        <f t="shared" si="141"/>
        <v>571050,562050,563050</v>
      </c>
      <c r="BV291">
        <f t="shared" si="140"/>
        <v>571050</v>
      </c>
      <c r="BW291">
        <f t="shared" si="131"/>
        <v>562050</v>
      </c>
      <c r="BX291">
        <f t="shared" si="132"/>
        <v>563050</v>
      </c>
      <c r="CF291" t="str">
        <f t="shared" si="145"/>
        <v>DATA_Class_Base60</v>
      </c>
      <c r="CG291" s="41" t="s">
        <v>407</v>
      </c>
    </row>
    <row r="292" spans="1:85">
      <c r="A292">
        <f t="shared" si="146"/>
        <v>5081200</v>
      </c>
      <c r="B292" s="42" t="s">
        <v>1021</v>
      </c>
      <c r="C292">
        <v>8</v>
      </c>
      <c r="D292">
        <v>2</v>
      </c>
      <c r="E292">
        <v>1</v>
      </c>
      <c r="F292" t="s">
        <v>1269</v>
      </c>
      <c r="G292" t="str">
        <f t="shared" si="130"/>
        <v>战士0_56_1</v>
      </c>
      <c r="H292">
        <v>0</v>
      </c>
      <c r="I292" s="2" t="s">
        <v>314</v>
      </c>
      <c r="J292" s="2">
        <f t="shared" si="142"/>
        <v>2.5</v>
      </c>
      <c r="K292" s="2">
        <f t="shared" si="134"/>
        <v>1.1000000000000001</v>
      </c>
      <c r="L292" s="2">
        <f t="shared" si="133"/>
        <v>0.88</v>
      </c>
      <c r="M292" s="2">
        <v>10</v>
      </c>
      <c r="N292" s="2">
        <f t="shared" si="151"/>
        <v>52.800000000000011</v>
      </c>
      <c r="O292" s="2">
        <f t="shared" si="151"/>
        <v>5.2800000000000011</v>
      </c>
      <c r="P292" s="2">
        <f t="shared" si="151"/>
        <v>1650.0000000000002</v>
      </c>
      <c r="Q292" s="2">
        <f t="shared" si="151"/>
        <v>165.00000000000003</v>
      </c>
      <c r="R292" s="2">
        <f t="shared" si="151"/>
        <v>36</v>
      </c>
      <c r="S292" s="2">
        <f t="shared" si="151"/>
        <v>3.6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>
        <v>50512001</v>
      </c>
      <c r="Z292" s="14" t="s">
        <v>1420</v>
      </c>
      <c r="AA292" s="14" t="s">
        <v>890</v>
      </c>
      <c r="AB292">
        <v>5091200</v>
      </c>
      <c r="AC292" s="2">
        <v>31</v>
      </c>
      <c r="AD292" s="2"/>
      <c r="AE292" s="2"/>
      <c r="AF292">
        <v>1</v>
      </c>
      <c r="AG292" s="1">
        <f t="shared" si="135"/>
        <v>669.41754697201873</v>
      </c>
      <c r="AH292">
        <v>8</v>
      </c>
      <c r="AI292">
        <f t="shared" si="147"/>
        <v>52.800000000000011</v>
      </c>
      <c r="AJ292">
        <f t="shared" si="148"/>
        <v>5.2800000000000011</v>
      </c>
      <c r="AK292">
        <f t="shared" si="149"/>
        <v>1650.0000000000002</v>
      </c>
      <c r="AL292">
        <f t="shared" si="150"/>
        <v>165.00000000000003</v>
      </c>
      <c r="AM292">
        <f t="shared" si="143"/>
        <v>36</v>
      </c>
      <c r="AN292">
        <f t="shared" si="144"/>
        <v>3.6</v>
      </c>
      <c r="AO292">
        <f t="shared" si="136"/>
        <v>1.5</v>
      </c>
      <c r="AP292">
        <f t="shared" si="137"/>
        <v>1.2</v>
      </c>
      <c r="AQ292">
        <f t="shared" si="138"/>
        <v>2.5</v>
      </c>
      <c r="AR292">
        <v>200</v>
      </c>
      <c r="AS292" s="1" t="str">
        <f t="shared" si="129"/>
        <v>0</v>
      </c>
      <c r="AT292">
        <v>5</v>
      </c>
      <c r="BP292" t="s">
        <v>964</v>
      </c>
      <c r="BQ292" t="str">
        <f t="shared" si="139"/>
        <v>0</v>
      </c>
      <c r="BT292">
        <v>1</v>
      </c>
      <c r="BU292" t="str">
        <f t="shared" si="141"/>
        <v>571001,582001,563001</v>
      </c>
      <c r="BV292">
        <f>$AT292*100000+7*10000+1*1000+$BT292</f>
        <v>571001</v>
      </c>
      <c r="BW292">
        <f t="shared" ref="BW292:BW341" si="152">$AT292*100000+$AH292*10000+2*1000+$BT292</f>
        <v>582001</v>
      </c>
      <c r="BX292">
        <f t="shared" si="132"/>
        <v>563001</v>
      </c>
      <c r="CF292" t="str">
        <f t="shared" si="145"/>
        <v>DATA_Class_Base46</v>
      </c>
      <c r="CG292" s="42" t="s">
        <v>1022</v>
      </c>
    </row>
    <row r="293" spans="1:85" ht="27">
      <c r="A293">
        <f t="shared" si="146"/>
        <v>5081201</v>
      </c>
      <c r="B293" s="43" t="s">
        <v>1025</v>
      </c>
      <c r="C293">
        <v>8</v>
      </c>
      <c r="D293">
        <v>2</v>
      </c>
      <c r="E293">
        <v>1</v>
      </c>
      <c r="F293" t="s">
        <v>1271</v>
      </c>
      <c r="G293" t="str">
        <f t="shared" si="130"/>
        <v>战士1_56_1</v>
      </c>
      <c r="H293" s="2">
        <v>0</v>
      </c>
      <c r="I293" s="2" t="s">
        <v>298</v>
      </c>
      <c r="J293" s="2">
        <f t="shared" si="142"/>
        <v>2.5</v>
      </c>
      <c r="K293" s="2">
        <f t="shared" si="134"/>
        <v>1.32</v>
      </c>
      <c r="L293" s="2">
        <f t="shared" si="133"/>
        <v>1.32</v>
      </c>
      <c r="M293" s="2">
        <v>10</v>
      </c>
      <c r="N293" s="2">
        <f t="shared" si="151"/>
        <v>63.360000000000007</v>
      </c>
      <c r="O293" s="2">
        <f t="shared" si="151"/>
        <v>6.3360000000000012</v>
      </c>
      <c r="P293" s="2">
        <f t="shared" si="151"/>
        <v>1650.0000000000002</v>
      </c>
      <c r="Q293" s="2">
        <f t="shared" si="151"/>
        <v>165.00000000000003</v>
      </c>
      <c r="R293" s="2">
        <f t="shared" si="151"/>
        <v>36</v>
      </c>
      <c r="S293" s="2">
        <f t="shared" si="151"/>
        <v>3.6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>
        <v>50512011</v>
      </c>
      <c r="Z293" s="14" t="s">
        <v>1421</v>
      </c>
      <c r="AA293" s="14" t="s">
        <v>890</v>
      </c>
      <c r="AB293">
        <v>5091201</v>
      </c>
      <c r="AC293" s="2">
        <v>31</v>
      </c>
      <c r="AD293" s="2"/>
      <c r="AE293" s="2"/>
      <c r="AF293">
        <v>1</v>
      </c>
      <c r="AG293" s="1">
        <f t="shared" si="135"/>
        <v>669.41754697201861</v>
      </c>
      <c r="AH293">
        <v>8</v>
      </c>
      <c r="AI293">
        <f t="shared" si="147"/>
        <v>63.360000000000007</v>
      </c>
      <c r="AJ293">
        <f t="shared" si="148"/>
        <v>6.3360000000000012</v>
      </c>
      <c r="AK293">
        <f t="shared" si="149"/>
        <v>1650.0000000000002</v>
      </c>
      <c r="AL293">
        <f t="shared" si="150"/>
        <v>165.00000000000003</v>
      </c>
      <c r="AM293">
        <f t="shared" si="143"/>
        <v>36</v>
      </c>
      <c r="AN293">
        <f t="shared" si="144"/>
        <v>3.6</v>
      </c>
      <c r="AO293">
        <f t="shared" si="136"/>
        <v>1.8</v>
      </c>
      <c r="AP293">
        <f t="shared" si="137"/>
        <v>1.8</v>
      </c>
      <c r="AQ293">
        <f t="shared" si="138"/>
        <v>2.5</v>
      </c>
      <c r="AR293">
        <v>201</v>
      </c>
      <c r="AS293" s="1" t="str">
        <f t="shared" ref="AS293:AS356" si="153">RIGHT(AR293,1)</f>
        <v>1</v>
      </c>
      <c r="AT293">
        <v>5</v>
      </c>
      <c r="BP293" t="s">
        <v>913</v>
      </c>
      <c r="BQ293" t="str">
        <f t="shared" si="139"/>
        <v>1</v>
      </c>
      <c r="BT293">
        <v>2</v>
      </c>
      <c r="BU293" t="str">
        <f t="shared" si="141"/>
        <v>571002,582002,563002</v>
      </c>
      <c r="BV293">
        <f t="shared" ref="BV293:BV356" si="154">$AT293*100000+7*10000+1*1000+$BT293</f>
        <v>571002</v>
      </c>
      <c r="BW293">
        <f t="shared" si="152"/>
        <v>582002</v>
      </c>
      <c r="BX293">
        <f t="shared" si="132"/>
        <v>563002</v>
      </c>
      <c r="CF293" t="str">
        <f t="shared" si="145"/>
        <v>DATA_Class_Base47</v>
      </c>
      <c r="CG293" s="43" t="s">
        <v>378</v>
      </c>
    </row>
    <row r="294" spans="1:85" ht="27">
      <c r="A294">
        <f t="shared" si="146"/>
        <v>5081300</v>
      </c>
      <c r="B294" s="43" t="s">
        <v>1028</v>
      </c>
      <c r="C294">
        <v>8</v>
      </c>
      <c r="D294">
        <v>3</v>
      </c>
      <c r="E294">
        <v>1</v>
      </c>
      <c r="F294" t="s">
        <v>1273</v>
      </c>
      <c r="G294" t="str">
        <f t="shared" ref="G294:G357" si="155">F294</f>
        <v>刺客0_56_1</v>
      </c>
      <c r="H294">
        <v>0</v>
      </c>
      <c r="I294" s="2" t="s">
        <v>352</v>
      </c>
      <c r="J294" s="2">
        <f t="shared" si="142"/>
        <v>4</v>
      </c>
      <c r="K294" s="2">
        <f t="shared" si="134"/>
        <v>0.95000000000000007</v>
      </c>
      <c r="L294" s="2">
        <f t="shared" si="133"/>
        <v>1.3900000000000001</v>
      </c>
      <c r="M294" s="2">
        <v>10</v>
      </c>
      <c r="N294" s="2">
        <f t="shared" si="151"/>
        <v>51.480000000000018</v>
      </c>
      <c r="O294" s="2">
        <f t="shared" si="151"/>
        <v>5.1480000000000024</v>
      </c>
      <c r="P294" s="2">
        <f t="shared" si="151"/>
        <v>1465.2000000000003</v>
      </c>
      <c r="Q294" s="2">
        <f t="shared" si="151"/>
        <v>146.52000000000004</v>
      </c>
      <c r="R294" s="2">
        <f t="shared" si="151"/>
        <v>33</v>
      </c>
      <c r="S294" s="2">
        <f t="shared" si="151"/>
        <v>3.3000000000000003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>
        <v>50513001</v>
      </c>
      <c r="Z294" s="14" t="s">
        <v>1422</v>
      </c>
      <c r="AA294" s="14" t="s">
        <v>890</v>
      </c>
      <c r="AB294">
        <v>5091301</v>
      </c>
      <c r="AC294" s="2">
        <v>31</v>
      </c>
      <c r="AD294" s="2"/>
      <c r="AE294" s="2"/>
      <c r="AF294">
        <v>1</v>
      </c>
      <c r="AG294" s="1">
        <f t="shared" si="135"/>
        <v>668.30352785220748</v>
      </c>
      <c r="AH294">
        <v>8</v>
      </c>
      <c r="AI294">
        <f t="shared" si="147"/>
        <v>51.480000000000018</v>
      </c>
      <c r="AJ294">
        <f t="shared" si="148"/>
        <v>5.1480000000000024</v>
      </c>
      <c r="AK294">
        <f t="shared" si="149"/>
        <v>1465.2000000000003</v>
      </c>
      <c r="AL294">
        <f t="shared" si="150"/>
        <v>146.52000000000004</v>
      </c>
      <c r="AM294">
        <f t="shared" si="143"/>
        <v>33</v>
      </c>
      <c r="AN294">
        <f t="shared" si="144"/>
        <v>3.3000000000000003</v>
      </c>
      <c r="AO294">
        <f t="shared" si="136"/>
        <v>1.3</v>
      </c>
      <c r="AP294">
        <f t="shared" si="137"/>
        <v>1.9</v>
      </c>
      <c r="AQ294">
        <f t="shared" si="138"/>
        <v>4</v>
      </c>
      <c r="AR294">
        <v>300</v>
      </c>
      <c r="AS294" s="1" t="str">
        <f t="shared" si="153"/>
        <v>0</v>
      </c>
      <c r="AT294">
        <v>5</v>
      </c>
      <c r="BP294" t="s">
        <v>967</v>
      </c>
      <c r="BQ294" t="str">
        <f t="shared" si="139"/>
        <v>0</v>
      </c>
      <c r="BT294">
        <v>3</v>
      </c>
      <c r="BU294" t="str">
        <f t="shared" si="141"/>
        <v>571003,582003,563003</v>
      </c>
      <c r="BV294">
        <f t="shared" si="154"/>
        <v>571003</v>
      </c>
      <c r="BW294">
        <f t="shared" si="152"/>
        <v>582003</v>
      </c>
      <c r="BX294">
        <f t="shared" si="132"/>
        <v>563003</v>
      </c>
      <c r="CF294" t="str">
        <f t="shared" si="145"/>
        <v>DATA_Class_Base48</v>
      </c>
      <c r="CG294" s="43" t="s">
        <v>411</v>
      </c>
    </row>
    <row r="295" spans="1:85" ht="27">
      <c r="A295">
        <f t="shared" si="146"/>
        <v>5081301</v>
      </c>
      <c r="B295" s="43" t="s">
        <v>1031</v>
      </c>
      <c r="C295">
        <v>8</v>
      </c>
      <c r="D295">
        <v>3</v>
      </c>
      <c r="E295">
        <v>1</v>
      </c>
      <c r="F295" t="s">
        <v>1275</v>
      </c>
      <c r="G295" t="str">
        <f t="shared" si="155"/>
        <v>刺客1_56_1</v>
      </c>
      <c r="H295" s="2">
        <v>0</v>
      </c>
      <c r="I295" s="2" t="s">
        <v>285</v>
      </c>
      <c r="J295" s="2">
        <f t="shared" si="142"/>
        <v>2.5</v>
      </c>
      <c r="K295" s="2">
        <f t="shared" si="134"/>
        <v>0.88</v>
      </c>
      <c r="L295" s="2">
        <f t="shared" si="133"/>
        <v>1.47</v>
      </c>
      <c r="M295" s="2">
        <v>10</v>
      </c>
      <c r="N295" s="2">
        <f t="shared" si="151"/>
        <v>47.52000000000001</v>
      </c>
      <c r="O295" s="2">
        <f t="shared" si="151"/>
        <v>4.7520000000000016</v>
      </c>
      <c r="P295" s="2">
        <f t="shared" si="151"/>
        <v>1465.2000000000003</v>
      </c>
      <c r="Q295" s="2">
        <f t="shared" si="151"/>
        <v>146.52000000000004</v>
      </c>
      <c r="R295" s="2">
        <f t="shared" si="151"/>
        <v>33</v>
      </c>
      <c r="S295" s="2">
        <f t="shared" si="151"/>
        <v>3.3000000000000003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>
        <v>50513011</v>
      </c>
      <c r="Z295" s="14" t="s">
        <v>1423</v>
      </c>
      <c r="AA295" s="14" t="s">
        <v>890</v>
      </c>
      <c r="AB295">
        <v>5091302</v>
      </c>
      <c r="AC295" s="2">
        <v>31</v>
      </c>
      <c r="AD295" s="2"/>
      <c r="AE295" s="2"/>
      <c r="AF295">
        <v>1</v>
      </c>
      <c r="AG295" s="1">
        <f t="shared" si="135"/>
        <v>668.30352785220737</v>
      </c>
      <c r="AH295">
        <v>8</v>
      </c>
      <c r="AI295">
        <f t="shared" si="147"/>
        <v>47.52000000000001</v>
      </c>
      <c r="AJ295">
        <f t="shared" si="148"/>
        <v>4.7520000000000016</v>
      </c>
      <c r="AK295">
        <f t="shared" si="149"/>
        <v>1465.2000000000003</v>
      </c>
      <c r="AL295">
        <f t="shared" si="150"/>
        <v>146.52000000000004</v>
      </c>
      <c r="AM295">
        <f t="shared" si="143"/>
        <v>33</v>
      </c>
      <c r="AN295">
        <f t="shared" si="144"/>
        <v>3.3000000000000003</v>
      </c>
      <c r="AO295">
        <f t="shared" si="136"/>
        <v>1.2</v>
      </c>
      <c r="AP295">
        <f t="shared" si="137"/>
        <v>2</v>
      </c>
      <c r="AQ295">
        <f t="shared" si="138"/>
        <v>2.5</v>
      </c>
      <c r="AR295">
        <v>301</v>
      </c>
      <c r="AS295" s="1" t="str">
        <f t="shared" si="153"/>
        <v>1</v>
      </c>
      <c r="AT295">
        <v>5</v>
      </c>
      <c r="BP295" t="s">
        <v>923</v>
      </c>
      <c r="BQ295" t="str">
        <f t="shared" si="139"/>
        <v>1</v>
      </c>
      <c r="BT295">
        <v>4</v>
      </c>
      <c r="BU295" t="str">
        <f t="shared" si="141"/>
        <v>571004,582004,563004</v>
      </c>
      <c r="BV295">
        <f t="shared" si="154"/>
        <v>571004</v>
      </c>
      <c r="BW295">
        <f t="shared" si="152"/>
        <v>582004</v>
      </c>
      <c r="BX295">
        <f t="shared" si="132"/>
        <v>563004</v>
      </c>
      <c r="CF295" t="str">
        <f t="shared" si="145"/>
        <v>DATA_Class_Base49</v>
      </c>
      <c r="CG295" s="43" t="s">
        <v>384</v>
      </c>
    </row>
    <row r="296" spans="1:85" ht="27">
      <c r="A296">
        <f t="shared" si="146"/>
        <v>5081401</v>
      </c>
      <c r="B296" s="43" t="s">
        <v>1034</v>
      </c>
      <c r="C296">
        <v>8</v>
      </c>
      <c r="D296">
        <v>4</v>
      </c>
      <c r="E296">
        <v>1</v>
      </c>
      <c r="F296" t="s">
        <v>1277</v>
      </c>
      <c r="G296" t="str">
        <f t="shared" si="155"/>
        <v>法师1_56_1</v>
      </c>
      <c r="H296">
        <v>0</v>
      </c>
      <c r="I296" s="2" t="s">
        <v>161</v>
      </c>
      <c r="J296" s="2">
        <f t="shared" si="142"/>
        <v>6</v>
      </c>
      <c r="K296" s="2">
        <f t="shared" si="134"/>
        <v>1.17</v>
      </c>
      <c r="L296" s="2">
        <f t="shared" si="133"/>
        <v>1.47</v>
      </c>
      <c r="M296" s="2">
        <v>10</v>
      </c>
      <c r="N296" s="2">
        <f t="shared" si="151"/>
        <v>77.440000000000026</v>
      </c>
      <c r="O296" s="2">
        <f t="shared" si="151"/>
        <v>7.7440000000000033</v>
      </c>
      <c r="P296" s="2">
        <f t="shared" si="151"/>
        <v>1201.2</v>
      </c>
      <c r="Q296" s="2">
        <f t="shared" si="151"/>
        <v>120.12</v>
      </c>
      <c r="R296" s="2">
        <f t="shared" si="151"/>
        <v>27</v>
      </c>
      <c r="S296" s="2">
        <f t="shared" si="151"/>
        <v>2.7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>
        <v>50514011</v>
      </c>
      <c r="Z296" s="14" t="s">
        <v>1424</v>
      </c>
      <c r="AA296" s="14" t="s">
        <v>890</v>
      </c>
      <c r="AB296">
        <v>5091401</v>
      </c>
      <c r="AC296" s="2">
        <v>31</v>
      </c>
      <c r="AD296" s="2"/>
      <c r="AE296" s="2"/>
      <c r="AF296">
        <v>1</v>
      </c>
      <c r="AG296" s="1">
        <f t="shared" si="135"/>
        <v>668.75226420940407</v>
      </c>
      <c r="AH296">
        <v>8</v>
      </c>
      <c r="AI296">
        <f t="shared" si="147"/>
        <v>77.440000000000026</v>
      </c>
      <c r="AJ296">
        <f t="shared" si="148"/>
        <v>7.7440000000000033</v>
      </c>
      <c r="AK296">
        <f t="shared" si="149"/>
        <v>1201.2</v>
      </c>
      <c r="AL296">
        <f t="shared" si="150"/>
        <v>120.12</v>
      </c>
      <c r="AM296">
        <f t="shared" si="143"/>
        <v>27</v>
      </c>
      <c r="AN296">
        <f t="shared" si="144"/>
        <v>2.7</v>
      </c>
      <c r="AO296">
        <f t="shared" si="136"/>
        <v>1.6</v>
      </c>
      <c r="AP296">
        <f t="shared" si="137"/>
        <v>2</v>
      </c>
      <c r="AQ296">
        <f t="shared" si="138"/>
        <v>6</v>
      </c>
      <c r="AR296">
        <v>401</v>
      </c>
      <c r="AS296" s="1" t="str">
        <f t="shared" si="153"/>
        <v>1</v>
      </c>
      <c r="AT296">
        <v>5</v>
      </c>
      <c r="BP296" t="s">
        <v>953</v>
      </c>
      <c r="BQ296" t="str">
        <f t="shared" si="139"/>
        <v>1</v>
      </c>
      <c r="BT296">
        <v>5</v>
      </c>
      <c r="BU296" t="str">
        <f t="shared" si="141"/>
        <v>571005,582005,563005</v>
      </c>
      <c r="BV296">
        <f t="shared" si="154"/>
        <v>571005</v>
      </c>
      <c r="BW296">
        <f t="shared" si="152"/>
        <v>582005</v>
      </c>
      <c r="BX296">
        <f t="shared" si="132"/>
        <v>563005</v>
      </c>
      <c r="CF296" t="str">
        <f t="shared" si="145"/>
        <v>DATA_Class_Base50</v>
      </c>
      <c r="CG296" s="43" t="s">
        <v>176</v>
      </c>
    </row>
    <row r="297" spans="1:85" ht="27">
      <c r="A297">
        <f t="shared" si="146"/>
        <v>5081402</v>
      </c>
      <c r="B297" s="43" t="s">
        <v>1037</v>
      </c>
      <c r="C297">
        <v>8</v>
      </c>
      <c r="D297">
        <v>4</v>
      </c>
      <c r="E297">
        <v>1</v>
      </c>
      <c r="F297" t="s">
        <v>1279</v>
      </c>
      <c r="G297" t="str">
        <f t="shared" si="155"/>
        <v>法师2_56_1</v>
      </c>
      <c r="H297" s="2">
        <v>0</v>
      </c>
      <c r="I297" s="2" t="s">
        <v>250</v>
      </c>
      <c r="J297" s="2">
        <f t="shared" si="142"/>
        <v>5</v>
      </c>
      <c r="K297" s="2">
        <f t="shared" si="134"/>
        <v>1.1000000000000001</v>
      </c>
      <c r="L297" s="2">
        <f t="shared" si="133"/>
        <v>1.1000000000000001</v>
      </c>
      <c r="M297" s="2">
        <v>10</v>
      </c>
      <c r="N297" s="2">
        <f t="shared" si="151"/>
        <v>72.600000000000009</v>
      </c>
      <c r="O297" s="2">
        <f t="shared" si="151"/>
        <v>7.2600000000000016</v>
      </c>
      <c r="P297" s="2">
        <f t="shared" si="151"/>
        <v>1201.2</v>
      </c>
      <c r="Q297" s="2">
        <f t="shared" si="151"/>
        <v>120.12</v>
      </c>
      <c r="R297" s="2">
        <f t="shared" si="151"/>
        <v>27</v>
      </c>
      <c r="S297" s="2">
        <f t="shared" si="151"/>
        <v>2.7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>
        <v>50514021</v>
      </c>
      <c r="Z297" s="14" t="s">
        <v>1425</v>
      </c>
      <c r="AA297" s="14" t="s">
        <v>890</v>
      </c>
      <c r="AB297">
        <v>5091402</v>
      </c>
      <c r="AC297" s="2">
        <v>31</v>
      </c>
      <c r="AD297" s="2"/>
      <c r="AE297" s="2"/>
      <c r="AF297">
        <v>1</v>
      </c>
      <c r="AG297" s="1">
        <f t="shared" si="135"/>
        <v>668.75226420940407</v>
      </c>
      <c r="AH297">
        <v>8</v>
      </c>
      <c r="AI297">
        <f t="shared" si="147"/>
        <v>72.600000000000009</v>
      </c>
      <c r="AJ297">
        <f t="shared" si="148"/>
        <v>7.2600000000000016</v>
      </c>
      <c r="AK297">
        <f t="shared" si="149"/>
        <v>1201.2</v>
      </c>
      <c r="AL297">
        <f t="shared" si="150"/>
        <v>120.12</v>
      </c>
      <c r="AM297">
        <f t="shared" si="143"/>
        <v>27</v>
      </c>
      <c r="AN297">
        <f t="shared" si="144"/>
        <v>2.7</v>
      </c>
      <c r="AO297">
        <f t="shared" si="136"/>
        <v>1.5</v>
      </c>
      <c r="AP297">
        <f t="shared" si="137"/>
        <v>1.5</v>
      </c>
      <c r="AQ297">
        <f t="shared" si="138"/>
        <v>5</v>
      </c>
      <c r="AR297">
        <v>402</v>
      </c>
      <c r="AS297" s="1" t="str">
        <f t="shared" si="153"/>
        <v>2</v>
      </c>
      <c r="AT297">
        <v>5</v>
      </c>
      <c r="BP297" t="s">
        <v>971</v>
      </c>
      <c r="BQ297" t="str">
        <f t="shared" si="139"/>
        <v>2</v>
      </c>
      <c r="BT297">
        <v>6</v>
      </c>
      <c r="BU297" t="str">
        <f t="shared" si="141"/>
        <v>571006,582006,563006</v>
      </c>
      <c r="BV297">
        <f t="shared" si="154"/>
        <v>571006</v>
      </c>
      <c r="BW297">
        <f t="shared" si="152"/>
        <v>582006</v>
      </c>
      <c r="BX297">
        <f t="shared" si="132"/>
        <v>563006</v>
      </c>
      <c r="CF297" t="str">
        <f t="shared" si="145"/>
        <v>DATA_Class_Base51</v>
      </c>
      <c r="CG297" s="43" t="s">
        <v>1038</v>
      </c>
    </row>
    <row r="298" spans="1:85" ht="27">
      <c r="A298">
        <f t="shared" si="146"/>
        <v>5081500</v>
      </c>
      <c r="B298" s="43" t="s">
        <v>1041</v>
      </c>
      <c r="C298">
        <v>8</v>
      </c>
      <c r="D298">
        <v>5</v>
      </c>
      <c r="E298">
        <v>1</v>
      </c>
      <c r="F298" t="s">
        <v>1281</v>
      </c>
      <c r="G298" t="str">
        <f t="shared" si="155"/>
        <v>游侠0_56_1</v>
      </c>
      <c r="H298" s="2">
        <v>0</v>
      </c>
      <c r="I298" s="2" t="s">
        <v>303</v>
      </c>
      <c r="J298" s="2">
        <f t="shared" si="142"/>
        <v>5</v>
      </c>
      <c r="K298" s="2">
        <f t="shared" si="134"/>
        <v>1.1000000000000001</v>
      </c>
      <c r="L298" s="2">
        <f t="shared" si="133"/>
        <v>1.1000000000000001</v>
      </c>
      <c r="M298" s="2">
        <v>10</v>
      </c>
      <c r="N298" s="2">
        <f t="shared" si="151"/>
        <v>79.2</v>
      </c>
      <c r="O298" s="2">
        <f t="shared" si="151"/>
        <v>7.9200000000000008</v>
      </c>
      <c r="P298" s="2">
        <f t="shared" si="151"/>
        <v>1095.6000000000001</v>
      </c>
      <c r="Q298" s="2">
        <f t="shared" si="151"/>
        <v>109.56000000000002</v>
      </c>
      <c r="R298" s="2">
        <f t="shared" si="151"/>
        <v>24</v>
      </c>
      <c r="S298" s="2">
        <f t="shared" si="151"/>
        <v>2.4000000000000004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>
        <v>50515001</v>
      </c>
      <c r="Z298" s="14" t="s">
        <v>1426</v>
      </c>
      <c r="AA298" s="14" t="s">
        <v>890</v>
      </c>
      <c r="AB298">
        <v>5091500</v>
      </c>
      <c r="AC298" s="2">
        <v>31</v>
      </c>
      <c r="AD298" s="2"/>
      <c r="AE298" s="2"/>
      <c r="AF298">
        <v>1</v>
      </c>
      <c r="AG298" s="1">
        <f t="shared" si="135"/>
        <v>664.97034035708555</v>
      </c>
      <c r="AH298">
        <v>8</v>
      </c>
      <c r="AI298">
        <f t="shared" si="147"/>
        <v>79.2</v>
      </c>
      <c r="AJ298">
        <f t="shared" si="148"/>
        <v>7.9200000000000008</v>
      </c>
      <c r="AK298">
        <f t="shared" si="149"/>
        <v>1095.6000000000001</v>
      </c>
      <c r="AL298">
        <f t="shared" si="150"/>
        <v>109.56000000000002</v>
      </c>
      <c r="AM298">
        <f t="shared" si="143"/>
        <v>24</v>
      </c>
      <c r="AN298">
        <f t="shared" si="144"/>
        <v>2.4000000000000004</v>
      </c>
      <c r="AO298">
        <f t="shared" si="136"/>
        <v>1.5</v>
      </c>
      <c r="AP298">
        <f t="shared" si="137"/>
        <v>1.5</v>
      </c>
      <c r="AQ298">
        <f t="shared" si="138"/>
        <v>5</v>
      </c>
      <c r="AR298">
        <v>500</v>
      </c>
      <c r="AS298" s="1" t="str">
        <f t="shared" si="153"/>
        <v>0</v>
      </c>
      <c r="AT298">
        <v>5</v>
      </c>
      <c r="BP298" t="s">
        <v>956</v>
      </c>
      <c r="BQ298" t="str">
        <f t="shared" si="139"/>
        <v>0</v>
      </c>
      <c r="BT298">
        <v>7</v>
      </c>
      <c r="BU298" t="str">
        <f t="shared" si="141"/>
        <v>571007,582007,563007</v>
      </c>
      <c r="BV298">
        <f t="shared" si="154"/>
        <v>571007</v>
      </c>
      <c r="BW298">
        <f t="shared" si="152"/>
        <v>582007</v>
      </c>
      <c r="BX298">
        <f t="shared" si="132"/>
        <v>563007</v>
      </c>
      <c r="CF298" t="str">
        <f t="shared" si="145"/>
        <v>DATA_Class_Base52</v>
      </c>
      <c r="CG298" s="43" t="s">
        <v>184</v>
      </c>
    </row>
    <row r="299" spans="1:85" ht="27">
      <c r="A299">
        <f t="shared" si="146"/>
        <v>5081501</v>
      </c>
      <c r="B299" s="43" t="s">
        <v>1044</v>
      </c>
      <c r="C299">
        <v>8</v>
      </c>
      <c r="D299">
        <v>5</v>
      </c>
      <c r="E299">
        <v>1</v>
      </c>
      <c r="F299" t="s">
        <v>1283</v>
      </c>
      <c r="G299" t="str">
        <f t="shared" si="155"/>
        <v>游侠1_56_1</v>
      </c>
      <c r="H299" s="2">
        <v>0</v>
      </c>
      <c r="I299" s="2" t="s">
        <v>334</v>
      </c>
      <c r="J299" s="2">
        <f t="shared" si="142"/>
        <v>6</v>
      </c>
      <c r="K299" s="2">
        <f t="shared" si="134"/>
        <v>1.17</v>
      </c>
      <c r="L299" s="2">
        <f t="shared" si="133"/>
        <v>1.47</v>
      </c>
      <c r="M299" s="2">
        <v>10</v>
      </c>
      <c r="N299" s="2">
        <f t="shared" si="151"/>
        <v>84.48</v>
      </c>
      <c r="O299" s="2">
        <f t="shared" si="151"/>
        <v>8.4480000000000004</v>
      </c>
      <c r="P299" s="2">
        <f t="shared" si="151"/>
        <v>1095.6000000000001</v>
      </c>
      <c r="Q299" s="2">
        <f t="shared" si="151"/>
        <v>109.56000000000002</v>
      </c>
      <c r="R299" s="2">
        <f t="shared" si="151"/>
        <v>24</v>
      </c>
      <c r="S299" s="2">
        <f t="shared" si="151"/>
        <v>2.4000000000000004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>
        <v>50515011</v>
      </c>
      <c r="Z299" s="14" t="s">
        <v>1427</v>
      </c>
      <c r="AA299" s="14" t="s">
        <v>890</v>
      </c>
      <c r="AB299">
        <v>5091501</v>
      </c>
      <c r="AC299" s="2">
        <v>31</v>
      </c>
      <c r="AD299" s="2"/>
      <c r="AE299" s="2"/>
      <c r="AF299">
        <v>1</v>
      </c>
      <c r="AG299" s="1">
        <f t="shared" si="135"/>
        <v>664.97034035708555</v>
      </c>
      <c r="AH299">
        <v>8</v>
      </c>
      <c r="AI299">
        <f t="shared" si="147"/>
        <v>84.48</v>
      </c>
      <c r="AJ299">
        <f t="shared" si="148"/>
        <v>8.4480000000000004</v>
      </c>
      <c r="AK299">
        <f t="shared" si="149"/>
        <v>1095.6000000000001</v>
      </c>
      <c r="AL299">
        <f t="shared" si="150"/>
        <v>109.56000000000002</v>
      </c>
      <c r="AM299">
        <f t="shared" si="143"/>
        <v>24</v>
      </c>
      <c r="AN299">
        <f t="shared" si="144"/>
        <v>2.4000000000000004</v>
      </c>
      <c r="AO299">
        <f t="shared" si="136"/>
        <v>1.6</v>
      </c>
      <c r="AP299">
        <f t="shared" si="137"/>
        <v>2</v>
      </c>
      <c r="AQ299">
        <f t="shared" si="138"/>
        <v>6</v>
      </c>
      <c r="AR299">
        <v>501</v>
      </c>
      <c r="AS299" s="1" t="str">
        <f t="shared" si="153"/>
        <v>1</v>
      </c>
      <c r="AT299">
        <v>5</v>
      </c>
      <c r="BP299" t="s">
        <v>945</v>
      </c>
      <c r="BQ299" t="str">
        <f t="shared" si="139"/>
        <v>1</v>
      </c>
      <c r="BT299">
        <v>8</v>
      </c>
      <c r="BU299" t="str">
        <f t="shared" si="141"/>
        <v>571008,582008,563008</v>
      </c>
      <c r="BV299">
        <f t="shared" si="154"/>
        <v>571008</v>
      </c>
      <c r="BW299">
        <f t="shared" si="152"/>
        <v>582008</v>
      </c>
      <c r="BX299">
        <f t="shared" si="132"/>
        <v>563008</v>
      </c>
      <c r="CF299" t="str">
        <f t="shared" si="145"/>
        <v>DATA_Class_Base53</v>
      </c>
      <c r="CG299" s="43" t="s">
        <v>349</v>
      </c>
    </row>
    <row r="300" spans="1:85" ht="27">
      <c r="A300">
        <f t="shared" si="146"/>
        <v>5081600</v>
      </c>
      <c r="B300" s="43" t="s">
        <v>1047</v>
      </c>
      <c r="C300">
        <v>8</v>
      </c>
      <c r="D300">
        <v>6</v>
      </c>
      <c r="E300">
        <v>1</v>
      </c>
      <c r="F300" t="s">
        <v>1285</v>
      </c>
      <c r="G300" t="str">
        <f t="shared" si="155"/>
        <v>牧师0_56_1</v>
      </c>
      <c r="H300">
        <v>0</v>
      </c>
      <c r="I300" s="2" t="s">
        <v>339</v>
      </c>
      <c r="J300" s="2">
        <f t="shared" si="142"/>
        <v>4</v>
      </c>
      <c r="K300" s="2">
        <f t="shared" si="134"/>
        <v>1.02</v>
      </c>
      <c r="L300" s="2">
        <f t="shared" si="133"/>
        <v>1.3900000000000001</v>
      </c>
      <c r="M300" s="2">
        <v>10</v>
      </c>
      <c r="N300" s="2">
        <f t="shared" si="151"/>
        <v>61.599999999999994</v>
      </c>
      <c r="O300" s="2">
        <f t="shared" si="151"/>
        <v>6.16</v>
      </c>
      <c r="P300" s="2">
        <f t="shared" si="151"/>
        <v>1320</v>
      </c>
      <c r="Q300" s="2">
        <f t="shared" si="151"/>
        <v>132</v>
      </c>
      <c r="R300" s="2">
        <f t="shared" si="151"/>
        <v>30</v>
      </c>
      <c r="S300" s="2">
        <f t="shared" si="151"/>
        <v>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>
        <v>50516001</v>
      </c>
      <c r="Z300" s="14" t="s">
        <v>1428</v>
      </c>
      <c r="AA300" s="14" t="s">
        <v>890</v>
      </c>
      <c r="AB300">
        <v>5091600</v>
      </c>
      <c r="AC300" s="2">
        <v>31</v>
      </c>
      <c r="AD300" s="2"/>
      <c r="AE300" s="2"/>
      <c r="AF300">
        <v>1</v>
      </c>
      <c r="AG300" s="1">
        <f t="shared" si="135"/>
        <v>668.52804509764451</v>
      </c>
      <c r="AH300">
        <v>8</v>
      </c>
      <c r="AI300">
        <f t="shared" si="147"/>
        <v>61.599999999999994</v>
      </c>
      <c r="AJ300">
        <f t="shared" si="148"/>
        <v>6.16</v>
      </c>
      <c r="AK300">
        <f t="shared" si="149"/>
        <v>1320</v>
      </c>
      <c r="AL300">
        <f t="shared" si="150"/>
        <v>132</v>
      </c>
      <c r="AM300">
        <f t="shared" si="143"/>
        <v>30</v>
      </c>
      <c r="AN300">
        <f t="shared" si="144"/>
        <v>3</v>
      </c>
      <c r="AO300">
        <f t="shared" si="136"/>
        <v>1.4</v>
      </c>
      <c r="AP300">
        <f t="shared" si="137"/>
        <v>1.9</v>
      </c>
      <c r="AQ300">
        <f t="shared" si="138"/>
        <v>4</v>
      </c>
      <c r="AR300">
        <v>600</v>
      </c>
      <c r="AS300" s="1" t="str">
        <f t="shared" si="153"/>
        <v>0</v>
      </c>
      <c r="AT300">
        <v>5</v>
      </c>
      <c r="BP300" t="s">
        <v>990</v>
      </c>
      <c r="BQ300" t="str">
        <f t="shared" si="139"/>
        <v>0</v>
      </c>
      <c r="BT300">
        <v>9</v>
      </c>
      <c r="BU300" t="str">
        <f t="shared" si="141"/>
        <v>571009,582009,563009</v>
      </c>
      <c r="BV300">
        <f t="shared" si="154"/>
        <v>571009</v>
      </c>
      <c r="BW300">
        <f t="shared" si="152"/>
        <v>582009</v>
      </c>
      <c r="BX300">
        <f t="shared" si="132"/>
        <v>563009</v>
      </c>
      <c r="CF300" t="str">
        <f t="shared" si="145"/>
        <v>DATA_Class_Base54</v>
      </c>
      <c r="CG300" s="43" t="s">
        <v>198</v>
      </c>
    </row>
    <row r="301" spans="1:85" ht="27">
      <c r="A301">
        <f t="shared" si="146"/>
        <v>5081601</v>
      </c>
      <c r="B301" s="43" t="s">
        <v>1050</v>
      </c>
      <c r="C301">
        <v>8</v>
      </c>
      <c r="D301">
        <v>6</v>
      </c>
      <c r="E301">
        <v>1</v>
      </c>
      <c r="F301" t="s">
        <v>1287</v>
      </c>
      <c r="G301" t="str">
        <f t="shared" si="155"/>
        <v>牧师1_56_1</v>
      </c>
      <c r="H301" s="2">
        <v>0</v>
      </c>
      <c r="I301" s="2" t="s">
        <v>309</v>
      </c>
      <c r="J301" s="2">
        <f t="shared" si="142"/>
        <v>5</v>
      </c>
      <c r="K301" s="2">
        <f t="shared" si="134"/>
        <v>1.1000000000000001</v>
      </c>
      <c r="L301" s="2">
        <f t="shared" si="133"/>
        <v>1.47</v>
      </c>
      <c r="M301" s="2">
        <v>10</v>
      </c>
      <c r="N301" s="2">
        <f t="shared" si="151"/>
        <v>66</v>
      </c>
      <c r="O301" s="2">
        <f t="shared" si="151"/>
        <v>6.6000000000000005</v>
      </c>
      <c r="P301" s="2">
        <f t="shared" si="151"/>
        <v>1320</v>
      </c>
      <c r="Q301" s="2">
        <f t="shared" si="151"/>
        <v>132</v>
      </c>
      <c r="R301" s="2">
        <f t="shared" si="151"/>
        <v>30</v>
      </c>
      <c r="S301" s="2">
        <f t="shared" si="151"/>
        <v>3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>
        <v>50516011</v>
      </c>
      <c r="Z301" s="14" t="s">
        <v>1429</v>
      </c>
      <c r="AA301" s="14" t="s">
        <v>890</v>
      </c>
      <c r="AB301">
        <v>5091601</v>
      </c>
      <c r="AC301" s="2">
        <v>31</v>
      </c>
      <c r="AD301" s="2"/>
      <c r="AE301" s="2"/>
      <c r="AF301">
        <v>1</v>
      </c>
      <c r="AG301" s="1">
        <f t="shared" si="135"/>
        <v>668.52804509764451</v>
      </c>
      <c r="AH301">
        <v>8</v>
      </c>
      <c r="AI301">
        <f t="shared" si="147"/>
        <v>66</v>
      </c>
      <c r="AJ301">
        <f t="shared" si="148"/>
        <v>6.6000000000000005</v>
      </c>
      <c r="AK301">
        <f t="shared" si="149"/>
        <v>1320</v>
      </c>
      <c r="AL301">
        <f t="shared" si="150"/>
        <v>132</v>
      </c>
      <c r="AM301">
        <f t="shared" si="143"/>
        <v>30</v>
      </c>
      <c r="AN301">
        <f t="shared" si="144"/>
        <v>3</v>
      </c>
      <c r="AO301">
        <f t="shared" si="136"/>
        <v>1.5</v>
      </c>
      <c r="AP301">
        <f t="shared" si="137"/>
        <v>2</v>
      </c>
      <c r="AQ301">
        <f t="shared" si="138"/>
        <v>5</v>
      </c>
      <c r="AR301">
        <v>601</v>
      </c>
      <c r="AS301" s="1" t="str">
        <f t="shared" si="153"/>
        <v>1</v>
      </c>
      <c r="AT301">
        <v>5</v>
      </c>
      <c r="BP301" t="s">
        <v>960</v>
      </c>
      <c r="BQ301" t="str">
        <f t="shared" si="139"/>
        <v>1</v>
      </c>
      <c r="BT301">
        <v>10</v>
      </c>
      <c r="BU301" t="str">
        <f t="shared" si="141"/>
        <v>571010,582010,563010</v>
      </c>
      <c r="BV301">
        <f t="shared" si="154"/>
        <v>571010</v>
      </c>
      <c r="BW301">
        <f t="shared" si="152"/>
        <v>582010</v>
      </c>
      <c r="BX301">
        <f t="shared" si="132"/>
        <v>563010</v>
      </c>
      <c r="CF301" t="str">
        <f t="shared" si="145"/>
        <v>DATA_Class_Base55</v>
      </c>
      <c r="CG301" s="43" t="s">
        <v>201</v>
      </c>
    </row>
    <row r="302" spans="1:85">
      <c r="A302">
        <f t="shared" si="146"/>
        <v>5082200</v>
      </c>
      <c r="B302" s="42" t="s">
        <v>1021</v>
      </c>
      <c r="C302">
        <v>8</v>
      </c>
      <c r="D302">
        <v>2</v>
      </c>
      <c r="E302">
        <v>2</v>
      </c>
      <c r="F302" t="s">
        <v>1289</v>
      </c>
      <c r="G302" t="str">
        <f t="shared" si="155"/>
        <v>战士0_56_2</v>
      </c>
      <c r="H302">
        <v>0</v>
      </c>
      <c r="I302" s="2" t="s">
        <v>314</v>
      </c>
      <c r="J302" s="2">
        <f t="shared" si="142"/>
        <v>2.5</v>
      </c>
      <c r="K302" s="2">
        <f t="shared" si="134"/>
        <v>1.1000000000000001</v>
      </c>
      <c r="L302" s="2">
        <f t="shared" si="133"/>
        <v>0.88</v>
      </c>
      <c r="M302" s="2">
        <v>10</v>
      </c>
      <c r="N302" s="2">
        <f t="shared" si="151"/>
        <v>52.800000000000011</v>
      </c>
      <c r="O302" s="2">
        <f t="shared" si="151"/>
        <v>5.2800000000000011</v>
      </c>
      <c r="P302" s="2">
        <f t="shared" si="151"/>
        <v>1650.0000000000002</v>
      </c>
      <c r="Q302" s="2">
        <f t="shared" si="151"/>
        <v>165.00000000000003</v>
      </c>
      <c r="R302" s="2">
        <f t="shared" si="151"/>
        <v>36</v>
      </c>
      <c r="S302" s="2">
        <f t="shared" si="151"/>
        <v>3.6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>
        <v>50522001</v>
      </c>
      <c r="Z302" s="14" t="s">
        <v>1430</v>
      </c>
      <c r="AA302" s="14" t="s">
        <v>890</v>
      </c>
      <c r="AB302">
        <v>5092200</v>
      </c>
      <c r="AC302" s="2">
        <v>31</v>
      </c>
      <c r="AD302" s="2"/>
      <c r="AE302" s="2"/>
      <c r="AF302">
        <v>1</v>
      </c>
      <c r="AG302" s="1">
        <f t="shared" si="135"/>
        <v>669.41754697201873</v>
      </c>
      <c r="AH302">
        <v>8</v>
      </c>
      <c r="AI302">
        <f t="shared" si="147"/>
        <v>52.800000000000011</v>
      </c>
      <c r="AJ302">
        <f t="shared" si="148"/>
        <v>5.2800000000000011</v>
      </c>
      <c r="AK302">
        <f t="shared" si="149"/>
        <v>1650.0000000000002</v>
      </c>
      <c r="AL302">
        <f t="shared" si="150"/>
        <v>165.00000000000003</v>
      </c>
      <c r="AM302">
        <f t="shared" si="143"/>
        <v>36</v>
      </c>
      <c r="AN302">
        <f t="shared" si="144"/>
        <v>3.6</v>
      </c>
      <c r="AO302">
        <f t="shared" si="136"/>
        <v>1.5</v>
      </c>
      <c r="AP302">
        <f t="shared" si="137"/>
        <v>1.2</v>
      </c>
      <c r="AQ302">
        <f t="shared" si="138"/>
        <v>2.5</v>
      </c>
      <c r="AR302">
        <v>200</v>
      </c>
      <c r="AS302" s="1" t="str">
        <f t="shared" si="153"/>
        <v>0</v>
      </c>
      <c r="AT302">
        <v>5</v>
      </c>
      <c r="BP302" t="s">
        <v>964</v>
      </c>
      <c r="BQ302" t="str">
        <f t="shared" si="139"/>
        <v>0</v>
      </c>
      <c r="BT302">
        <v>11</v>
      </c>
      <c r="BU302" t="str">
        <f t="shared" si="141"/>
        <v>571011,582011,563011</v>
      </c>
      <c r="BV302">
        <f t="shared" si="154"/>
        <v>571011</v>
      </c>
      <c r="BW302">
        <f t="shared" si="152"/>
        <v>582011</v>
      </c>
      <c r="BX302">
        <f t="shared" si="132"/>
        <v>563011</v>
      </c>
      <c r="CF302" t="str">
        <f t="shared" si="145"/>
        <v>DATA_Class_Base46</v>
      </c>
      <c r="CG302" s="42" t="s">
        <v>1022</v>
      </c>
    </row>
    <row r="303" spans="1:85" ht="27">
      <c r="A303">
        <f t="shared" si="146"/>
        <v>5082202</v>
      </c>
      <c r="B303" s="43" t="s">
        <v>1053</v>
      </c>
      <c r="C303">
        <v>8</v>
      </c>
      <c r="D303">
        <v>2</v>
      </c>
      <c r="E303">
        <v>2</v>
      </c>
      <c r="F303" s="2" t="s">
        <v>1291</v>
      </c>
      <c r="G303" t="str">
        <f t="shared" si="155"/>
        <v>战士2_56_2</v>
      </c>
      <c r="H303">
        <v>0</v>
      </c>
      <c r="I303" s="2" t="s">
        <v>280</v>
      </c>
      <c r="J303" s="2">
        <f t="shared" si="142"/>
        <v>2.5</v>
      </c>
      <c r="K303" s="2">
        <f t="shared" si="134"/>
        <v>1.32</v>
      </c>
      <c r="L303" s="2">
        <f t="shared" si="133"/>
        <v>1.47</v>
      </c>
      <c r="M303" s="2">
        <v>10</v>
      </c>
      <c r="N303" s="2">
        <f t="shared" si="151"/>
        <v>63.360000000000007</v>
      </c>
      <c r="O303" s="2">
        <f t="shared" si="151"/>
        <v>6.3360000000000012</v>
      </c>
      <c r="P303" s="2">
        <f t="shared" si="151"/>
        <v>1650.0000000000002</v>
      </c>
      <c r="Q303" s="2">
        <f t="shared" si="151"/>
        <v>165.00000000000003</v>
      </c>
      <c r="R303" s="2">
        <f t="shared" si="151"/>
        <v>36</v>
      </c>
      <c r="S303" s="2">
        <f t="shared" si="151"/>
        <v>3.6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>
        <v>50522021</v>
      </c>
      <c r="Z303" s="14" t="s">
        <v>1431</v>
      </c>
      <c r="AA303" s="14" t="s">
        <v>890</v>
      </c>
      <c r="AB303">
        <v>5092202</v>
      </c>
      <c r="AC303" s="2">
        <v>31</v>
      </c>
      <c r="AD303" s="2"/>
      <c r="AE303" s="2"/>
      <c r="AF303">
        <v>1</v>
      </c>
      <c r="AG303" s="1">
        <f t="shared" si="135"/>
        <v>669.41754697201861</v>
      </c>
      <c r="AH303">
        <v>8</v>
      </c>
      <c r="AI303">
        <f t="shared" si="147"/>
        <v>63.360000000000007</v>
      </c>
      <c r="AJ303">
        <f t="shared" si="148"/>
        <v>6.3360000000000012</v>
      </c>
      <c r="AK303">
        <f t="shared" si="149"/>
        <v>1650.0000000000002</v>
      </c>
      <c r="AL303">
        <f t="shared" si="150"/>
        <v>165.00000000000003</v>
      </c>
      <c r="AM303">
        <f t="shared" si="143"/>
        <v>36</v>
      </c>
      <c r="AN303">
        <f t="shared" si="144"/>
        <v>3.6</v>
      </c>
      <c r="AO303">
        <f t="shared" si="136"/>
        <v>1.8</v>
      </c>
      <c r="AP303">
        <f t="shared" si="137"/>
        <v>2</v>
      </c>
      <c r="AQ303">
        <f t="shared" si="138"/>
        <v>2.5</v>
      </c>
      <c r="AR303">
        <v>202</v>
      </c>
      <c r="AS303" s="1" t="str">
        <f t="shared" si="153"/>
        <v>2</v>
      </c>
      <c r="AT303">
        <v>5</v>
      </c>
      <c r="BP303" t="s">
        <v>981</v>
      </c>
      <c r="BQ303" t="str">
        <f t="shared" si="139"/>
        <v>2</v>
      </c>
      <c r="BT303">
        <v>12</v>
      </c>
      <c r="BU303" t="str">
        <f t="shared" si="141"/>
        <v>571012,582012,563012</v>
      </c>
      <c r="BV303">
        <f t="shared" si="154"/>
        <v>571012</v>
      </c>
      <c r="BW303">
        <f t="shared" si="152"/>
        <v>582012</v>
      </c>
      <c r="BX303">
        <f t="shared" si="132"/>
        <v>563012</v>
      </c>
      <c r="CF303" t="str">
        <f t="shared" si="145"/>
        <v>DATA_Class_Base56</v>
      </c>
      <c r="CG303" s="43" t="s">
        <v>381</v>
      </c>
    </row>
    <row r="304" spans="1:85" ht="27">
      <c r="A304">
        <f t="shared" si="146"/>
        <v>5082302</v>
      </c>
      <c r="B304" s="43" t="s">
        <v>1056</v>
      </c>
      <c r="C304">
        <v>8</v>
      </c>
      <c r="D304">
        <v>3</v>
      </c>
      <c r="E304">
        <v>2</v>
      </c>
      <c r="F304" t="s">
        <v>1293</v>
      </c>
      <c r="G304" t="str">
        <f t="shared" si="155"/>
        <v>刺客2_56_2</v>
      </c>
      <c r="H304" s="2">
        <v>0</v>
      </c>
      <c r="I304" s="2" t="s">
        <v>358</v>
      </c>
      <c r="J304" s="2">
        <f t="shared" si="142"/>
        <v>2.5</v>
      </c>
      <c r="K304" s="2">
        <f t="shared" si="134"/>
        <v>1.02</v>
      </c>
      <c r="L304" s="2">
        <f t="shared" si="133"/>
        <v>1.25</v>
      </c>
      <c r="M304" s="2">
        <v>10</v>
      </c>
      <c r="N304" s="2">
        <f t="shared" si="151"/>
        <v>55.440000000000005</v>
      </c>
      <c r="O304" s="2">
        <f t="shared" si="151"/>
        <v>5.5440000000000005</v>
      </c>
      <c r="P304" s="2">
        <f t="shared" si="151"/>
        <v>1465.2000000000003</v>
      </c>
      <c r="Q304" s="2">
        <f t="shared" si="151"/>
        <v>146.52000000000004</v>
      </c>
      <c r="R304" s="2">
        <f t="shared" si="151"/>
        <v>33</v>
      </c>
      <c r="S304" s="2">
        <f t="shared" si="151"/>
        <v>3.3000000000000003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>
        <v>50523021</v>
      </c>
      <c r="Z304" s="14" t="s">
        <v>1432</v>
      </c>
      <c r="AA304" s="14" t="s">
        <v>890</v>
      </c>
      <c r="AB304">
        <v>5092300</v>
      </c>
      <c r="AC304" s="2">
        <v>31</v>
      </c>
      <c r="AD304" s="2"/>
      <c r="AE304" s="2"/>
      <c r="AF304">
        <v>1</v>
      </c>
      <c r="AG304" s="1">
        <f t="shared" si="135"/>
        <v>668.30352785220737</v>
      </c>
      <c r="AH304">
        <v>8</v>
      </c>
      <c r="AI304">
        <f t="shared" si="147"/>
        <v>55.440000000000005</v>
      </c>
      <c r="AJ304">
        <f t="shared" si="148"/>
        <v>5.5440000000000005</v>
      </c>
      <c r="AK304">
        <f t="shared" si="149"/>
        <v>1465.2000000000003</v>
      </c>
      <c r="AL304">
        <f t="shared" si="150"/>
        <v>146.52000000000004</v>
      </c>
      <c r="AM304">
        <f t="shared" si="143"/>
        <v>33</v>
      </c>
      <c r="AN304">
        <f t="shared" si="144"/>
        <v>3.3000000000000003</v>
      </c>
      <c r="AO304">
        <f t="shared" si="136"/>
        <v>1.4</v>
      </c>
      <c r="AP304">
        <f t="shared" si="137"/>
        <v>1.7</v>
      </c>
      <c r="AQ304">
        <f t="shared" si="138"/>
        <v>2.5</v>
      </c>
      <c r="AR304">
        <v>302</v>
      </c>
      <c r="AS304" s="1" t="str">
        <f t="shared" si="153"/>
        <v>2</v>
      </c>
      <c r="AT304">
        <v>5</v>
      </c>
      <c r="BP304" t="s">
        <v>983</v>
      </c>
      <c r="BQ304" t="str">
        <f t="shared" si="139"/>
        <v>2</v>
      </c>
      <c r="BT304">
        <v>13</v>
      </c>
      <c r="BU304" t="str">
        <f t="shared" si="141"/>
        <v>571013,582013,563013</v>
      </c>
      <c r="BV304">
        <f t="shared" si="154"/>
        <v>571013</v>
      </c>
      <c r="BW304">
        <f t="shared" si="152"/>
        <v>582013</v>
      </c>
      <c r="BX304">
        <f t="shared" si="132"/>
        <v>563013</v>
      </c>
      <c r="CF304" t="str">
        <f t="shared" si="145"/>
        <v>DATA_Class_Base57</v>
      </c>
      <c r="CG304" s="43" t="s">
        <v>1057</v>
      </c>
    </row>
    <row r="305" spans="1:85" ht="27">
      <c r="A305">
        <f t="shared" si="146"/>
        <v>5082300</v>
      </c>
      <c r="B305" s="43" t="s">
        <v>1028</v>
      </c>
      <c r="C305">
        <v>8</v>
      </c>
      <c r="D305">
        <v>3</v>
      </c>
      <c r="E305">
        <v>2</v>
      </c>
      <c r="F305" t="s">
        <v>1295</v>
      </c>
      <c r="G305" t="str">
        <f t="shared" si="155"/>
        <v>刺客0_56_2</v>
      </c>
      <c r="H305">
        <v>0</v>
      </c>
      <c r="I305" s="2" t="s">
        <v>352</v>
      </c>
      <c r="J305" s="2">
        <f t="shared" si="142"/>
        <v>4</v>
      </c>
      <c r="K305" s="2">
        <f t="shared" si="134"/>
        <v>0.95000000000000007</v>
      </c>
      <c r="L305" s="2">
        <f t="shared" si="133"/>
        <v>1.3900000000000001</v>
      </c>
      <c r="M305" s="2">
        <v>10</v>
      </c>
      <c r="N305" s="2">
        <f t="shared" si="151"/>
        <v>51.480000000000018</v>
      </c>
      <c r="O305" s="2">
        <f t="shared" si="151"/>
        <v>5.1480000000000024</v>
      </c>
      <c r="P305" s="2">
        <f t="shared" si="151"/>
        <v>1465.2000000000003</v>
      </c>
      <c r="Q305" s="2">
        <f t="shared" si="151"/>
        <v>146.52000000000004</v>
      </c>
      <c r="R305" s="2">
        <f t="shared" si="151"/>
        <v>33</v>
      </c>
      <c r="S305" s="2">
        <f t="shared" si="151"/>
        <v>3.3000000000000003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>
        <v>50523001</v>
      </c>
      <c r="Z305" s="14" t="s">
        <v>1433</v>
      </c>
      <c r="AA305" s="14" t="s">
        <v>890</v>
      </c>
      <c r="AB305">
        <v>5092301</v>
      </c>
      <c r="AC305" s="2">
        <v>31</v>
      </c>
      <c r="AD305" s="2"/>
      <c r="AE305" s="2"/>
      <c r="AF305">
        <v>1</v>
      </c>
      <c r="AG305" s="1">
        <f t="shared" si="135"/>
        <v>668.30352785220748</v>
      </c>
      <c r="AH305">
        <v>8</v>
      </c>
      <c r="AI305">
        <f t="shared" si="147"/>
        <v>51.480000000000018</v>
      </c>
      <c r="AJ305">
        <f t="shared" si="148"/>
        <v>5.1480000000000024</v>
      </c>
      <c r="AK305">
        <f t="shared" si="149"/>
        <v>1465.2000000000003</v>
      </c>
      <c r="AL305">
        <f t="shared" si="150"/>
        <v>146.52000000000004</v>
      </c>
      <c r="AM305">
        <f t="shared" si="143"/>
        <v>33</v>
      </c>
      <c r="AN305">
        <f t="shared" si="144"/>
        <v>3.3000000000000003</v>
      </c>
      <c r="AO305">
        <f t="shared" si="136"/>
        <v>1.3</v>
      </c>
      <c r="AP305">
        <f t="shared" si="137"/>
        <v>1.9</v>
      </c>
      <c r="AQ305">
        <f t="shared" si="138"/>
        <v>4</v>
      </c>
      <c r="AR305">
        <v>300</v>
      </c>
      <c r="AS305" s="1" t="str">
        <f t="shared" si="153"/>
        <v>0</v>
      </c>
      <c r="AT305">
        <v>5</v>
      </c>
      <c r="BP305" t="s">
        <v>967</v>
      </c>
      <c r="BQ305" t="str">
        <f t="shared" si="139"/>
        <v>0</v>
      </c>
      <c r="BT305">
        <v>14</v>
      </c>
      <c r="BU305" t="str">
        <f t="shared" si="141"/>
        <v>571014,582014,563014</v>
      </c>
      <c r="BV305">
        <f t="shared" si="154"/>
        <v>571014</v>
      </c>
      <c r="BW305">
        <f t="shared" si="152"/>
        <v>582014</v>
      </c>
      <c r="BX305">
        <f t="shared" si="132"/>
        <v>563014</v>
      </c>
      <c r="CF305" t="str">
        <f t="shared" si="145"/>
        <v>DATA_Class_Base48</v>
      </c>
      <c r="CG305" s="43" t="s">
        <v>411</v>
      </c>
    </row>
    <row r="306" spans="1:85" ht="27">
      <c r="A306">
        <f t="shared" si="146"/>
        <v>5082400</v>
      </c>
      <c r="B306" s="43" t="s">
        <v>1060</v>
      </c>
      <c r="C306">
        <v>8</v>
      </c>
      <c r="D306">
        <v>4</v>
      </c>
      <c r="E306">
        <v>2</v>
      </c>
      <c r="F306" t="s">
        <v>1297</v>
      </c>
      <c r="G306" t="str">
        <f t="shared" si="155"/>
        <v>法师0_56_2</v>
      </c>
      <c r="H306">
        <v>0</v>
      </c>
      <c r="I306" s="2" t="s">
        <v>364</v>
      </c>
      <c r="J306" s="2">
        <f t="shared" si="142"/>
        <v>5</v>
      </c>
      <c r="K306" s="2">
        <f t="shared" si="134"/>
        <v>1.02</v>
      </c>
      <c r="L306" s="2">
        <f t="shared" si="133"/>
        <v>1.02</v>
      </c>
      <c r="M306" s="2">
        <v>10</v>
      </c>
      <c r="N306" s="2">
        <f t="shared" si="151"/>
        <v>67.760000000000005</v>
      </c>
      <c r="O306" s="2">
        <f t="shared" si="151"/>
        <v>6.7760000000000007</v>
      </c>
      <c r="P306" s="2">
        <f t="shared" si="151"/>
        <v>1201.2</v>
      </c>
      <c r="Q306" s="2">
        <f t="shared" si="151"/>
        <v>120.12</v>
      </c>
      <c r="R306" s="2">
        <f t="shared" si="151"/>
        <v>27</v>
      </c>
      <c r="S306" s="2">
        <f t="shared" si="151"/>
        <v>2.7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>
        <v>50524001</v>
      </c>
      <c r="Z306" s="14" t="s">
        <v>1434</v>
      </c>
      <c r="AA306" s="14" t="s">
        <v>890</v>
      </c>
      <c r="AB306">
        <v>5092400</v>
      </c>
      <c r="AC306" s="2">
        <v>31</v>
      </c>
      <c r="AD306" s="2"/>
      <c r="AE306" s="2"/>
      <c r="AF306">
        <v>1</v>
      </c>
      <c r="AG306" s="1">
        <f t="shared" si="135"/>
        <v>668.75226420940396</v>
      </c>
      <c r="AH306">
        <v>8</v>
      </c>
      <c r="AI306">
        <f t="shared" si="147"/>
        <v>67.760000000000005</v>
      </c>
      <c r="AJ306">
        <f t="shared" si="148"/>
        <v>6.7760000000000007</v>
      </c>
      <c r="AK306">
        <f t="shared" si="149"/>
        <v>1201.2</v>
      </c>
      <c r="AL306">
        <f t="shared" si="150"/>
        <v>120.12</v>
      </c>
      <c r="AM306">
        <f t="shared" si="143"/>
        <v>27</v>
      </c>
      <c r="AN306">
        <f t="shared" si="144"/>
        <v>2.7</v>
      </c>
      <c r="AO306">
        <f t="shared" si="136"/>
        <v>1.4</v>
      </c>
      <c r="AP306">
        <f t="shared" si="137"/>
        <v>1.4</v>
      </c>
      <c r="AQ306">
        <f t="shared" si="138"/>
        <v>5</v>
      </c>
      <c r="AR306">
        <v>400</v>
      </c>
      <c r="AS306" s="1" t="str">
        <f t="shared" si="153"/>
        <v>0</v>
      </c>
      <c r="AT306">
        <v>5</v>
      </c>
      <c r="BP306" t="s">
        <v>986</v>
      </c>
      <c r="BQ306" t="str">
        <f t="shared" si="139"/>
        <v>0</v>
      </c>
      <c r="BT306">
        <v>15</v>
      </c>
      <c r="BU306" t="str">
        <f t="shared" si="141"/>
        <v>571015,582015,563015</v>
      </c>
      <c r="BV306">
        <f t="shared" si="154"/>
        <v>571015</v>
      </c>
      <c r="BW306">
        <f t="shared" si="152"/>
        <v>582015</v>
      </c>
      <c r="BX306">
        <f t="shared" si="132"/>
        <v>563015</v>
      </c>
      <c r="CF306" t="str">
        <f t="shared" si="145"/>
        <v>DATA_Class_Base58</v>
      </c>
      <c r="CG306" s="43" t="s">
        <v>174</v>
      </c>
    </row>
    <row r="307" spans="1:85" ht="27">
      <c r="A307">
        <f t="shared" si="146"/>
        <v>5082402</v>
      </c>
      <c r="B307" s="43" t="s">
        <v>1037</v>
      </c>
      <c r="C307">
        <v>8</v>
      </c>
      <c r="D307">
        <v>4</v>
      </c>
      <c r="E307">
        <v>2</v>
      </c>
      <c r="F307" t="s">
        <v>1299</v>
      </c>
      <c r="G307" t="str">
        <f t="shared" si="155"/>
        <v>法师2_56_2</v>
      </c>
      <c r="H307" s="2">
        <v>0</v>
      </c>
      <c r="I307" s="2" t="s">
        <v>250</v>
      </c>
      <c r="J307" s="2">
        <f t="shared" si="142"/>
        <v>5</v>
      </c>
      <c r="K307" s="2">
        <f t="shared" si="134"/>
        <v>1.1000000000000001</v>
      </c>
      <c r="L307" s="2">
        <f t="shared" si="133"/>
        <v>1.1000000000000001</v>
      </c>
      <c r="M307" s="2">
        <v>10</v>
      </c>
      <c r="N307" s="2">
        <f t="shared" si="151"/>
        <v>72.600000000000009</v>
      </c>
      <c r="O307" s="2">
        <f t="shared" si="151"/>
        <v>7.2600000000000016</v>
      </c>
      <c r="P307" s="2">
        <f t="shared" si="151"/>
        <v>1201.2</v>
      </c>
      <c r="Q307" s="2">
        <f t="shared" si="151"/>
        <v>120.12</v>
      </c>
      <c r="R307" s="2">
        <f t="shared" si="151"/>
        <v>27</v>
      </c>
      <c r="S307" s="2">
        <f t="shared" si="151"/>
        <v>2.7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>
        <v>50524021</v>
      </c>
      <c r="Z307" s="14" t="s">
        <v>1435</v>
      </c>
      <c r="AA307" s="14" t="s">
        <v>890</v>
      </c>
      <c r="AB307">
        <v>5092402</v>
      </c>
      <c r="AC307" s="2">
        <v>31</v>
      </c>
      <c r="AD307" s="2"/>
      <c r="AE307" s="2"/>
      <c r="AF307">
        <v>1</v>
      </c>
      <c r="AG307" s="1">
        <f t="shared" si="135"/>
        <v>668.75226420940407</v>
      </c>
      <c r="AH307">
        <v>8</v>
      </c>
      <c r="AI307">
        <f t="shared" si="147"/>
        <v>72.600000000000009</v>
      </c>
      <c r="AJ307">
        <f t="shared" si="148"/>
        <v>7.2600000000000016</v>
      </c>
      <c r="AK307">
        <f t="shared" si="149"/>
        <v>1201.2</v>
      </c>
      <c r="AL307">
        <f t="shared" si="150"/>
        <v>120.12</v>
      </c>
      <c r="AM307">
        <f t="shared" si="143"/>
        <v>27</v>
      </c>
      <c r="AN307">
        <f t="shared" si="144"/>
        <v>2.7</v>
      </c>
      <c r="AO307">
        <f t="shared" si="136"/>
        <v>1.5</v>
      </c>
      <c r="AP307">
        <f t="shared" si="137"/>
        <v>1.5</v>
      </c>
      <c r="AQ307">
        <f t="shared" si="138"/>
        <v>5</v>
      </c>
      <c r="AR307">
        <v>402</v>
      </c>
      <c r="AS307" s="1" t="str">
        <f t="shared" si="153"/>
        <v>2</v>
      </c>
      <c r="AT307">
        <v>5</v>
      </c>
      <c r="BP307" t="s">
        <v>971</v>
      </c>
      <c r="BQ307" t="str">
        <f t="shared" si="139"/>
        <v>2</v>
      </c>
      <c r="BT307">
        <v>16</v>
      </c>
      <c r="BU307" t="str">
        <f t="shared" si="141"/>
        <v>571016,582016,563016</v>
      </c>
      <c r="BV307">
        <f t="shared" si="154"/>
        <v>571016</v>
      </c>
      <c r="BW307">
        <f t="shared" si="152"/>
        <v>582016</v>
      </c>
      <c r="BX307">
        <f t="shared" ref="BX307:BX341" si="156">$AT307*100000+6*10000+3*1000+$BT307</f>
        <v>563016</v>
      </c>
      <c r="CF307" t="str">
        <f t="shared" si="145"/>
        <v>DATA_Class_Base51</v>
      </c>
      <c r="CG307" s="43" t="s">
        <v>1038</v>
      </c>
    </row>
    <row r="308" spans="1:85" ht="27">
      <c r="A308">
        <f t="shared" si="146"/>
        <v>5082500</v>
      </c>
      <c r="B308" s="43" t="s">
        <v>1041</v>
      </c>
      <c r="C308">
        <v>8</v>
      </c>
      <c r="D308">
        <v>5</v>
      </c>
      <c r="E308">
        <v>2</v>
      </c>
      <c r="F308" t="s">
        <v>1301</v>
      </c>
      <c r="G308" t="str">
        <f t="shared" si="155"/>
        <v>游侠0_56_2</v>
      </c>
      <c r="H308" s="2">
        <v>0</v>
      </c>
      <c r="I308" s="2" t="s">
        <v>303</v>
      </c>
      <c r="J308" s="2">
        <f t="shared" si="142"/>
        <v>5</v>
      </c>
      <c r="K308" s="2">
        <f t="shared" si="134"/>
        <v>1.1000000000000001</v>
      </c>
      <c r="L308" s="2">
        <f t="shared" si="133"/>
        <v>1.1000000000000001</v>
      </c>
      <c r="M308" s="2">
        <v>10</v>
      </c>
      <c r="N308" s="2">
        <f t="shared" si="151"/>
        <v>79.2</v>
      </c>
      <c r="O308" s="2">
        <f t="shared" si="151"/>
        <v>7.9200000000000008</v>
      </c>
      <c r="P308" s="2">
        <f t="shared" si="151"/>
        <v>1095.6000000000001</v>
      </c>
      <c r="Q308" s="2">
        <f t="shared" si="151"/>
        <v>109.56000000000002</v>
      </c>
      <c r="R308" s="2">
        <f t="shared" si="151"/>
        <v>24</v>
      </c>
      <c r="S308" s="2">
        <f t="shared" si="151"/>
        <v>2.4000000000000004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>
        <v>50525001</v>
      </c>
      <c r="Z308" s="14" t="s">
        <v>1436</v>
      </c>
      <c r="AA308" s="14" t="s">
        <v>890</v>
      </c>
      <c r="AB308">
        <v>5092500</v>
      </c>
      <c r="AC308" s="2">
        <v>31</v>
      </c>
      <c r="AD308" s="2"/>
      <c r="AE308" s="2"/>
      <c r="AF308">
        <v>1</v>
      </c>
      <c r="AG308" s="1">
        <f t="shared" si="135"/>
        <v>664.97034035708555</v>
      </c>
      <c r="AH308">
        <v>8</v>
      </c>
      <c r="AI308">
        <f t="shared" si="147"/>
        <v>79.2</v>
      </c>
      <c r="AJ308">
        <f t="shared" si="148"/>
        <v>7.9200000000000008</v>
      </c>
      <c r="AK308">
        <f t="shared" si="149"/>
        <v>1095.6000000000001</v>
      </c>
      <c r="AL308">
        <f t="shared" si="150"/>
        <v>109.56000000000002</v>
      </c>
      <c r="AM308">
        <f t="shared" si="143"/>
        <v>24</v>
      </c>
      <c r="AN308">
        <f t="shared" si="144"/>
        <v>2.4000000000000004</v>
      </c>
      <c r="AO308">
        <f t="shared" si="136"/>
        <v>1.5</v>
      </c>
      <c r="AP308">
        <f t="shared" si="137"/>
        <v>1.5</v>
      </c>
      <c r="AQ308">
        <f t="shared" si="138"/>
        <v>5</v>
      </c>
      <c r="AR308">
        <v>500</v>
      </c>
      <c r="AS308" s="1" t="str">
        <f t="shared" si="153"/>
        <v>0</v>
      </c>
      <c r="AT308">
        <v>5</v>
      </c>
      <c r="BP308" t="s">
        <v>956</v>
      </c>
      <c r="BQ308" t="str">
        <f t="shared" si="139"/>
        <v>0</v>
      </c>
      <c r="BT308">
        <v>17</v>
      </c>
      <c r="BU308" t="str">
        <f t="shared" si="141"/>
        <v>571017,582017,563017</v>
      </c>
      <c r="BV308">
        <f t="shared" si="154"/>
        <v>571017</v>
      </c>
      <c r="BW308">
        <f t="shared" si="152"/>
        <v>582017</v>
      </c>
      <c r="BX308">
        <f t="shared" si="156"/>
        <v>563017</v>
      </c>
      <c r="CF308" t="str">
        <f t="shared" si="145"/>
        <v>DATA_Class_Base52</v>
      </c>
      <c r="CG308" s="43" t="s">
        <v>184</v>
      </c>
    </row>
    <row r="309" spans="1:85" ht="27">
      <c r="A309">
        <f t="shared" si="146"/>
        <v>5082502</v>
      </c>
      <c r="B309" s="43" t="s">
        <v>1063</v>
      </c>
      <c r="C309">
        <v>8</v>
      </c>
      <c r="D309">
        <v>5</v>
      </c>
      <c r="E309">
        <v>2</v>
      </c>
      <c r="F309" t="s">
        <v>1303</v>
      </c>
      <c r="G309" t="str">
        <f t="shared" si="155"/>
        <v>游侠2_56_2</v>
      </c>
      <c r="H309">
        <v>0</v>
      </c>
      <c r="I309" s="2" t="s">
        <v>291</v>
      </c>
      <c r="J309" s="2">
        <f t="shared" si="142"/>
        <v>6</v>
      </c>
      <c r="K309" s="2">
        <f t="shared" si="134"/>
        <v>1.02</v>
      </c>
      <c r="L309" s="2">
        <f t="shared" si="133"/>
        <v>1.47</v>
      </c>
      <c r="M309" s="2">
        <v>10</v>
      </c>
      <c r="N309" s="2">
        <f t="shared" si="151"/>
        <v>73.919999999999987</v>
      </c>
      <c r="O309" s="2">
        <f t="shared" si="151"/>
        <v>7.3919999999999995</v>
      </c>
      <c r="P309" s="2">
        <f t="shared" si="151"/>
        <v>1095.6000000000001</v>
      </c>
      <c r="Q309" s="2">
        <f t="shared" si="151"/>
        <v>109.56000000000002</v>
      </c>
      <c r="R309" s="2">
        <f t="shared" si="151"/>
        <v>24</v>
      </c>
      <c r="S309" s="2">
        <f t="shared" si="151"/>
        <v>2.4000000000000004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>
        <v>50525021</v>
      </c>
      <c r="Z309" s="14" t="s">
        <v>1437</v>
      </c>
      <c r="AA309" s="14" t="s">
        <v>890</v>
      </c>
      <c r="AB309">
        <v>5092502</v>
      </c>
      <c r="AC309" s="2">
        <v>31</v>
      </c>
      <c r="AD309" s="2"/>
      <c r="AE309" s="2"/>
      <c r="AF309">
        <v>1</v>
      </c>
      <c r="AG309" s="1">
        <f t="shared" si="135"/>
        <v>664.97034035708532</v>
      </c>
      <c r="AH309">
        <v>8</v>
      </c>
      <c r="AI309">
        <f t="shared" si="147"/>
        <v>73.919999999999987</v>
      </c>
      <c r="AJ309">
        <f t="shared" si="148"/>
        <v>7.3919999999999995</v>
      </c>
      <c r="AK309">
        <f t="shared" si="149"/>
        <v>1095.6000000000001</v>
      </c>
      <c r="AL309">
        <f t="shared" si="150"/>
        <v>109.56000000000002</v>
      </c>
      <c r="AM309">
        <f t="shared" si="143"/>
        <v>24</v>
      </c>
      <c r="AN309">
        <f t="shared" si="144"/>
        <v>2.4000000000000004</v>
      </c>
      <c r="AO309">
        <f t="shared" si="136"/>
        <v>1.4</v>
      </c>
      <c r="AP309">
        <f t="shared" si="137"/>
        <v>2</v>
      </c>
      <c r="AQ309">
        <f t="shared" si="138"/>
        <v>6</v>
      </c>
      <c r="AR309">
        <v>502</v>
      </c>
      <c r="AS309" s="1" t="str">
        <f t="shared" si="153"/>
        <v>2</v>
      </c>
      <c r="AT309">
        <v>5</v>
      </c>
      <c r="BP309" t="s">
        <v>974</v>
      </c>
      <c r="BQ309" t="str">
        <f t="shared" si="139"/>
        <v>2</v>
      </c>
      <c r="BT309">
        <v>18</v>
      </c>
      <c r="BU309" t="str">
        <f t="shared" si="141"/>
        <v>571018,582018,563018</v>
      </c>
      <c r="BV309">
        <f t="shared" si="154"/>
        <v>571018</v>
      </c>
      <c r="BW309">
        <f t="shared" si="152"/>
        <v>582018</v>
      </c>
      <c r="BX309">
        <f t="shared" si="156"/>
        <v>563018</v>
      </c>
      <c r="CF309" t="str">
        <f t="shared" si="145"/>
        <v>DATA_Class_Base59</v>
      </c>
      <c r="CG309" s="43" t="s">
        <v>195</v>
      </c>
    </row>
    <row r="310" spans="1:85" ht="27">
      <c r="A310">
        <f t="shared" si="146"/>
        <v>5082600</v>
      </c>
      <c r="B310" s="43" t="s">
        <v>1047</v>
      </c>
      <c r="C310">
        <v>8</v>
      </c>
      <c r="D310">
        <v>6</v>
      </c>
      <c r="E310">
        <v>2</v>
      </c>
      <c r="F310" t="s">
        <v>1305</v>
      </c>
      <c r="G310" t="str">
        <f t="shared" si="155"/>
        <v>牧师0_56_2</v>
      </c>
      <c r="H310">
        <v>0</v>
      </c>
      <c r="I310" s="2" t="s">
        <v>339</v>
      </c>
      <c r="J310" s="2">
        <f t="shared" si="142"/>
        <v>4</v>
      </c>
      <c r="K310" s="2">
        <f t="shared" si="134"/>
        <v>1.02</v>
      </c>
      <c r="L310" s="2">
        <f t="shared" si="133"/>
        <v>1.3900000000000001</v>
      </c>
      <c r="M310" s="2">
        <v>10</v>
      </c>
      <c r="N310" s="2">
        <f t="shared" si="151"/>
        <v>61.599999999999994</v>
      </c>
      <c r="O310" s="2">
        <f t="shared" si="151"/>
        <v>6.16</v>
      </c>
      <c r="P310" s="2">
        <f t="shared" si="151"/>
        <v>1320</v>
      </c>
      <c r="Q310" s="2">
        <f t="shared" si="151"/>
        <v>132</v>
      </c>
      <c r="R310" s="2">
        <f t="shared" si="151"/>
        <v>30</v>
      </c>
      <c r="S310" s="2">
        <f t="shared" si="151"/>
        <v>3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>
        <v>50526001</v>
      </c>
      <c r="Z310" s="14" t="s">
        <v>1438</v>
      </c>
      <c r="AA310" s="14" t="s">
        <v>890</v>
      </c>
      <c r="AB310">
        <v>5092600</v>
      </c>
      <c r="AC310" s="2">
        <v>31</v>
      </c>
      <c r="AD310" s="2"/>
      <c r="AE310" s="2"/>
      <c r="AF310">
        <v>1</v>
      </c>
      <c r="AG310" s="1">
        <f t="shared" si="135"/>
        <v>668.52804509764451</v>
      </c>
      <c r="AH310">
        <v>8</v>
      </c>
      <c r="AI310">
        <f t="shared" si="147"/>
        <v>61.599999999999994</v>
      </c>
      <c r="AJ310">
        <f t="shared" si="148"/>
        <v>6.16</v>
      </c>
      <c r="AK310">
        <f t="shared" si="149"/>
        <v>1320</v>
      </c>
      <c r="AL310">
        <f t="shared" si="150"/>
        <v>132</v>
      </c>
      <c r="AM310">
        <f t="shared" si="143"/>
        <v>30</v>
      </c>
      <c r="AN310">
        <f t="shared" si="144"/>
        <v>3</v>
      </c>
      <c r="AO310">
        <f t="shared" si="136"/>
        <v>1.4</v>
      </c>
      <c r="AP310">
        <f t="shared" si="137"/>
        <v>1.9</v>
      </c>
      <c r="AQ310">
        <f t="shared" si="138"/>
        <v>4</v>
      </c>
      <c r="AR310">
        <v>600</v>
      </c>
      <c r="AS310" s="1" t="str">
        <f t="shared" si="153"/>
        <v>0</v>
      </c>
      <c r="AT310">
        <v>5</v>
      </c>
      <c r="BP310" t="s">
        <v>990</v>
      </c>
      <c r="BQ310" t="str">
        <f t="shared" si="139"/>
        <v>0</v>
      </c>
      <c r="BT310">
        <v>19</v>
      </c>
      <c r="BU310" t="str">
        <f t="shared" si="141"/>
        <v>571019,582019,563019</v>
      </c>
      <c r="BV310">
        <f t="shared" si="154"/>
        <v>571019</v>
      </c>
      <c r="BW310">
        <f t="shared" si="152"/>
        <v>582019</v>
      </c>
      <c r="BX310">
        <f t="shared" si="156"/>
        <v>563019</v>
      </c>
      <c r="CF310" t="str">
        <f t="shared" si="145"/>
        <v>DATA_Class_Base54</v>
      </c>
      <c r="CG310" s="43" t="s">
        <v>198</v>
      </c>
    </row>
    <row r="311" spans="1:85" ht="27">
      <c r="A311">
        <f t="shared" si="146"/>
        <v>5082602</v>
      </c>
      <c r="B311" s="43" t="s">
        <v>1066</v>
      </c>
      <c r="C311">
        <v>8</v>
      </c>
      <c r="D311">
        <v>6</v>
      </c>
      <c r="E311">
        <v>2</v>
      </c>
      <c r="F311" t="s">
        <v>1307</v>
      </c>
      <c r="G311" t="str">
        <f t="shared" si="155"/>
        <v>牧师2_56_2</v>
      </c>
      <c r="H311" t="s">
        <v>345</v>
      </c>
      <c r="I311" s="2" t="s">
        <v>346</v>
      </c>
      <c r="J311" s="2">
        <f t="shared" si="142"/>
        <v>6</v>
      </c>
      <c r="K311" s="2">
        <f t="shared" si="134"/>
        <v>1.32</v>
      </c>
      <c r="L311" s="2">
        <f t="shared" si="133"/>
        <v>1.47</v>
      </c>
      <c r="M311" s="2">
        <v>10</v>
      </c>
      <c r="N311" s="2">
        <f t="shared" si="151"/>
        <v>79.2</v>
      </c>
      <c r="O311" s="2">
        <f t="shared" si="151"/>
        <v>7.9200000000000008</v>
      </c>
      <c r="P311" s="2">
        <f t="shared" si="151"/>
        <v>1320</v>
      </c>
      <c r="Q311" s="2">
        <f t="shared" si="151"/>
        <v>132</v>
      </c>
      <c r="R311" s="2">
        <f t="shared" si="151"/>
        <v>30</v>
      </c>
      <c r="S311" s="2">
        <f t="shared" si="151"/>
        <v>3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>
        <v>50526021</v>
      </c>
      <c r="Z311" s="14" t="s">
        <v>1439</v>
      </c>
      <c r="AA311" s="14" t="s">
        <v>890</v>
      </c>
      <c r="AB311">
        <v>5092602</v>
      </c>
      <c r="AC311" s="2">
        <v>31</v>
      </c>
      <c r="AD311" s="2"/>
      <c r="AE311" s="2"/>
      <c r="AF311">
        <v>1</v>
      </c>
      <c r="AG311" s="1">
        <f t="shared" si="135"/>
        <v>668.52804509764451</v>
      </c>
      <c r="AH311">
        <v>8</v>
      </c>
      <c r="AI311">
        <f t="shared" si="147"/>
        <v>79.2</v>
      </c>
      <c r="AJ311">
        <f t="shared" si="148"/>
        <v>7.9200000000000008</v>
      </c>
      <c r="AK311">
        <f t="shared" si="149"/>
        <v>1320</v>
      </c>
      <c r="AL311">
        <f t="shared" si="150"/>
        <v>132</v>
      </c>
      <c r="AM311">
        <f t="shared" si="143"/>
        <v>30</v>
      </c>
      <c r="AN311">
        <f t="shared" si="144"/>
        <v>3</v>
      </c>
      <c r="AO311">
        <f t="shared" si="136"/>
        <v>1.8</v>
      </c>
      <c r="AP311">
        <f t="shared" si="137"/>
        <v>2</v>
      </c>
      <c r="AQ311">
        <f t="shared" si="138"/>
        <v>6</v>
      </c>
      <c r="AR311">
        <v>602</v>
      </c>
      <c r="AS311" s="1" t="str">
        <f t="shared" si="153"/>
        <v>2</v>
      </c>
      <c r="AT311">
        <v>5</v>
      </c>
      <c r="BP311" t="s">
        <v>978</v>
      </c>
      <c r="BQ311" t="str">
        <f t="shared" si="139"/>
        <v>2</v>
      </c>
      <c r="BT311">
        <v>20</v>
      </c>
      <c r="BU311" t="str">
        <f t="shared" si="141"/>
        <v>571020,582020,563020</v>
      </c>
      <c r="BV311">
        <f t="shared" si="154"/>
        <v>571020</v>
      </c>
      <c r="BW311">
        <f t="shared" si="152"/>
        <v>582020</v>
      </c>
      <c r="BX311">
        <f t="shared" si="156"/>
        <v>563020</v>
      </c>
      <c r="CF311" t="str">
        <f t="shared" si="145"/>
        <v>DATA_Class_Base60</v>
      </c>
      <c r="CG311" s="43" t="s">
        <v>407</v>
      </c>
    </row>
    <row r="312" spans="1:85">
      <c r="A312">
        <f t="shared" si="146"/>
        <v>5083200</v>
      </c>
      <c r="B312" s="42" t="s">
        <v>1021</v>
      </c>
      <c r="C312">
        <v>8</v>
      </c>
      <c r="D312">
        <v>2</v>
      </c>
      <c r="E312">
        <v>3</v>
      </c>
      <c r="F312" t="s">
        <v>1309</v>
      </c>
      <c r="G312" t="str">
        <f t="shared" si="155"/>
        <v>战士0_56_3</v>
      </c>
      <c r="H312">
        <v>0</v>
      </c>
      <c r="I312" s="2" t="s">
        <v>314</v>
      </c>
      <c r="J312" s="2">
        <f t="shared" si="142"/>
        <v>2.5</v>
      </c>
      <c r="K312" s="2">
        <f t="shared" si="134"/>
        <v>1.1000000000000001</v>
      </c>
      <c r="L312" s="2">
        <f t="shared" si="133"/>
        <v>0.88</v>
      </c>
      <c r="M312" s="2">
        <v>10</v>
      </c>
      <c r="N312" s="2">
        <f t="shared" si="151"/>
        <v>52.800000000000011</v>
      </c>
      <c r="O312" s="2">
        <f t="shared" si="151"/>
        <v>5.2800000000000011</v>
      </c>
      <c r="P312" s="2">
        <f t="shared" si="151"/>
        <v>1650.0000000000002</v>
      </c>
      <c r="Q312" s="2">
        <f t="shared" si="151"/>
        <v>165.00000000000003</v>
      </c>
      <c r="R312" s="2">
        <f t="shared" si="151"/>
        <v>36</v>
      </c>
      <c r="S312" s="2">
        <f t="shared" si="151"/>
        <v>3.6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>
        <v>50532001</v>
      </c>
      <c r="Z312" s="14" t="s">
        <v>1440</v>
      </c>
      <c r="AA312" s="14" t="s">
        <v>890</v>
      </c>
      <c r="AB312">
        <v>5093200</v>
      </c>
      <c r="AC312" s="2">
        <v>31</v>
      </c>
      <c r="AD312" s="2"/>
      <c r="AE312" s="2"/>
      <c r="AF312">
        <v>1</v>
      </c>
      <c r="AG312" s="1">
        <f t="shared" si="135"/>
        <v>669.41754697201873</v>
      </c>
      <c r="AH312">
        <v>8</v>
      </c>
      <c r="AI312">
        <f t="shared" si="147"/>
        <v>52.800000000000011</v>
      </c>
      <c r="AJ312">
        <f t="shared" si="148"/>
        <v>5.2800000000000011</v>
      </c>
      <c r="AK312">
        <f t="shared" si="149"/>
        <v>1650.0000000000002</v>
      </c>
      <c r="AL312">
        <f t="shared" si="150"/>
        <v>165.00000000000003</v>
      </c>
      <c r="AM312">
        <f t="shared" si="143"/>
        <v>36</v>
      </c>
      <c r="AN312">
        <f t="shared" si="144"/>
        <v>3.6</v>
      </c>
      <c r="AO312">
        <f t="shared" si="136"/>
        <v>1.5</v>
      </c>
      <c r="AP312">
        <f t="shared" si="137"/>
        <v>1.2</v>
      </c>
      <c r="AQ312">
        <f t="shared" si="138"/>
        <v>2.5</v>
      </c>
      <c r="AR312">
        <v>200</v>
      </c>
      <c r="AS312" s="1" t="str">
        <f t="shared" si="153"/>
        <v>0</v>
      </c>
      <c r="AT312">
        <v>5</v>
      </c>
      <c r="BP312" t="s">
        <v>964</v>
      </c>
      <c r="BQ312" t="str">
        <f t="shared" si="139"/>
        <v>0</v>
      </c>
      <c r="BT312">
        <v>21</v>
      </c>
      <c r="BU312" t="str">
        <f t="shared" si="141"/>
        <v>571021,582021,563021</v>
      </c>
      <c r="BV312">
        <f t="shared" si="154"/>
        <v>571021</v>
      </c>
      <c r="BW312">
        <f t="shared" si="152"/>
        <v>582021</v>
      </c>
      <c r="BX312">
        <f t="shared" si="156"/>
        <v>563021</v>
      </c>
      <c r="CF312" t="str">
        <f t="shared" si="145"/>
        <v>DATA_Class_Base46</v>
      </c>
      <c r="CG312" s="42" t="s">
        <v>1022</v>
      </c>
    </row>
    <row r="313" spans="1:85" ht="27">
      <c r="A313">
        <f t="shared" si="146"/>
        <v>5083202</v>
      </c>
      <c r="B313" s="43" t="s">
        <v>1053</v>
      </c>
      <c r="C313">
        <v>8</v>
      </c>
      <c r="D313">
        <v>2</v>
      </c>
      <c r="E313">
        <v>3</v>
      </c>
      <c r="F313" s="2" t="s">
        <v>1311</v>
      </c>
      <c r="G313" t="str">
        <f t="shared" si="155"/>
        <v>战士2_56_3</v>
      </c>
      <c r="H313">
        <v>0</v>
      </c>
      <c r="I313" s="2" t="s">
        <v>280</v>
      </c>
      <c r="J313" s="2">
        <f t="shared" si="142"/>
        <v>2.5</v>
      </c>
      <c r="K313" s="2">
        <f t="shared" si="134"/>
        <v>1.32</v>
      </c>
      <c r="L313" s="2">
        <f t="shared" si="133"/>
        <v>1.47</v>
      </c>
      <c r="M313" s="2">
        <v>10</v>
      </c>
      <c r="N313" s="2">
        <f t="shared" si="151"/>
        <v>63.360000000000007</v>
      </c>
      <c r="O313" s="2">
        <f t="shared" si="151"/>
        <v>6.3360000000000012</v>
      </c>
      <c r="P313" s="2">
        <f t="shared" si="151"/>
        <v>1650.0000000000002</v>
      </c>
      <c r="Q313" s="2">
        <f t="shared" si="151"/>
        <v>165.00000000000003</v>
      </c>
      <c r="R313" s="2">
        <f t="shared" si="151"/>
        <v>36</v>
      </c>
      <c r="S313" s="2">
        <f t="shared" si="151"/>
        <v>3.6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>
        <v>50532021</v>
      </c>
      <c r="Z313" s="14" t="s">
        <v>1441</v>
      </c>
      <c r="AA313" s="14" t="s">
        <v>890</v>
      </c>
      <c r="AB313">
        <v>5093202</v>
      </c>
      <c r="AC313" s="2">
        <v>31</v>
      </c>
      <c r="AD313" s="2"/>
      <c r="AE313" s="2"/>
      <c r="AF313">
        <v>1</v>
      </c>
      <c r="AG313" s="1">
        <f t="shared" si="135"/>
        <v>669.41754697201861</v>
      </c>
      <c r="AH313">
        <v>8</v>
      </c>
      <c r="AI313">
        <f t="shared" si="147"/>
        <v>63.360000000000007</v>
      </c>
      <c r="AJ313">
        <f t="shared" si="148"/>
        <v>6.3360000000000012</v>
      </c>
      <c r="AK313">
        <f t="shared" si="149"/>
        <v>1650.0000000000002</v>
      </c>
      <c r="AL313">
        <f t="shared" si="150"/>
        <v>165.00000000000003</v>
      </c>
      <c r="AM313">
        <f t="shared" si="143"/>
        <v>36</v>
      </c>
      <c r="AN313">
        <f t="shared" si="144"/>
        <v>3.6</v>
      </c>
      <c r="AO313">
        <f t="shared" si="136"/>
        <v>1.8</v>
      </c>
      <c r="AP313">
        <f t="shared" si="137"/>
        <v>2</v>
      </c>
      <c r="AQ313">
        <f t="shared" si="138"/>
        <v>2.5</v>
      </c>
      <c r="AR313">
        <v>202</v>
      </c>
      <c r="AS313" s="1" t="str">
        <f t="shared" si="153"/>
        <v>2</v>
      </c>
      <c r="AT313">
        <v>5</v>
      </c>
      <c r="BP313" t="s">
        <v>981</v>
      </c>
      <c r="BQ313" t="str">
        <f t="shared" si="139"/>
        <v>2</v>
      </c>
      <c r="BT313">
        <v>22</v>
      </c>
      <c r="BU313" t="str">
        <f t="shared" si="141"/>
        <v>571022,582022,563022</v>
      </c>
      <c r="BV313">
        <f t="shared" si="154"/>
        <v>571022</v>
      </c>
      <c r="BW313">
        <f t="shared" si="152"/>
        <v>582022</v>
      </c>
      <c r="BX313">
        <f t="shared" si="156"/>
        <v>563022</v>
      </c>
      <c r="CF313" t="str">
        <f t="shared" si="145"/>
        <v>DATA_Class_Base56</v>
      </c>
      <c r="CG313" s="43" t="s">
        <v>381</v>
      </c>
    </row>
    <row r="314" spans="1:85" ht="27">
      <c r="A314">
        <f t="shared" si="146"/>
        <v>5083302</v>
      </c>
      <c r="B314" s="43" t="s">
        <v>1056</v>
      </c>
      <c r="C314">
        <v>8</v>
      </c>
      <c r="D314">
        <v>3</v>
      </c>
      <c r="E314">
        <v>3</v>
      </c>
      <c r="F314" t="s">
        <v>1313</v>
      </c>
      <c r="G314" t="str">
        <f t="shared" si="155"/>
        <v>刺客2_56_3</v>
      </c>
      <c r="H314" s="2">
        <v>0</v>
      </c>
      <c r="I314" s="2" t="s">
        <v>358</v>
      </c>
      <c r="J314" s="2">
        <f t="shared" si="142"/>
        <v>2.5</v>
      </c>
      <c r="K314" s="2">
        <f t="shared" si="134"/>
        <v>1.02</v>
      </c>
      <c r="L314" s="2">
        <f t="shared" si="133"/>
        <v>1.25</v>
      </c>
      <c r="M314" s="2">
        <v>10</v>
      </c>
      <c r="N314" s="2">
        <f t="shared" si="151"/>
        <v>55.440000000000005</v>
      </c>
      <c r="O314" s="2">
        <f t="shared" si="151"/>
        <v>5.5440000000000005</v>
      </c>
      <c r="P314" s="2">
        <f t="shared" si="151"/>
        <v>1465.2000000000003</v>
      </c>
      <c r="Q314" s="2">
        <f t="shared" si="151"/>
        <v>146.52000000000004</v>
      </c>
      <c r="R314" s="2">
        <f t="shared" si="151"/>
        <v>33</v>
      </c>
      <c r="S314" s="2">
        <f t="shared" si="151"/>
        <v>3.3000000000000003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>
        <v>50533021</v>
      </c>
      <c r="Z314" s="14" t="s">
        <v>1442</v>
      </c>
      <c r="AA314" s="14" t="s">
        <v>890</v>
      </c>
      <c r="AB314">
        <v>5093300</v>
      </c>
      <c r="AC314" s="2">
        <v>31</v>
      </c>
      <c r="AD314" s="2"/>
      <c r="AE314" s="2"/>
      <c r="AF314">
        <v>1</v>
      </c>
      <c r="AG314" s="1">
        <f t="shared" si="135"/>
        <v>668.30352785220737</v>
      </c>
      <c r="AH314">
        <v>8</v>
      </c>
      <c r="AI314">
        <f t="shared" si="147"/>
        <v>55.440000000000005</v>
      </c>
      <c r="AJ314">
        <f t="shared" si="148"/>
        <v>5.5440000000000005</v>
      </c>
      <c r="AK314">
        <f t="shared" si="149"/>
        <v>1465.2000000000003</v>
      </c>
      <c r="AL314">
        <f t="shared" si="150"/>
        <v>146.52000000000004</v>
      </c>
      <c r="AM314">
        <f t="shared" si="143"/>
        <v>33</v>
      </c>
      <c r="AN314">
        <f t="shared" si="144"/>
        <v>3.3000000000000003</v>
      </c>
      <c r="AO314">
        <f t="shared" si="136"/>
        <v>1.4</v>
      </c>
      <c r="AP314">
        <f t="shared" si="137"/>
        <v>1.7</v>
      </c>
      <c r="AQ314">
        <f t="shared" si="138"/>
        <v>2.5</v>
      </c>
      <c r="AR314">
        <v>302</v>
      </c>
      <c r="AS314" s="1" t="str">
        <f t="shared" si="153"/>
        <v>2</v>
      </c>
      <c r="AT314">
        <v>5</v>
      </c>
      <c r="BP314" t="s">
        <v>983</v>
      </c>
      <c r="BQ314" t="str">
        <f t="shared" si="139"/>
        <v>2</v>
      </c>
      <c r="BT314">
        <v>23</v>
      </c>
      <c r="BU314" t="str">
        <f t="shared" si="141"/>
        <v>571023,582023,563023</v>
      </c>
      <c r="BV314">
        <f t="shared" si="154"/>
        <v>571023</v>
      </c>
      <c r="BW314">
        <f t="shared" si="152"/>
        <v>582023</v>
      </c>
      <c r="BX314">
        <f t="shared" si="156"/>
        <v>563023</v>
      </c>
      <c r="CF314" t="str">
        <f t="shared" si="145"/>
        <v>DATA_Class_Base57</v>
      </c>
      <c r="CG314" s="43" t="s">
        <v>1057</v>
      </c>
    </row>
    <row r="315" spans="1:85" ht="27">
      <c r="A315">
        <f t="shared" si="146"/>
        <v>5083301</v>
      </c>
      <c r="B315" s="43" t="s">
        <v>1031</v>
      </c>
      <c r="C315">
        <v>8</v>
      </c>
      <c r="D315">
        <v>3</v>
      </c>
      <c r="E315">
        <v>3</v>
      </c>
      <c r="F315" t="s">
        <v>1315</v>
      </c>
      <c r="G315" t="str">
        <f t="shared" si="155"/>
        <v>刺客1_56_3</v>
      </c>
      <c r="H315" s="2">
        <v>0</v>
      </c>
      <c r="I315" s="2" t="s">
        <v>285</v>
      </c>
      <c r="J315" s="2">
        <f t="shared" si="142"/>
        <v>2.5</v>
      </c>
      <c r="K315" s="2">
        <f t="shared" si="134"/>
        <v>0.88</v>
      </c>
      <c r="L315" s="2">
        <f t="shared" si="133"/>
        <v>1.47</v>
      </c>
      <c r="M315" s="2">
        <v>10</v>
      </c>
      <c r="N315" s="2">
        <f t="shared" si="151"/>
        <v>47.52000000000001</v>
      </c>
      <c r="O315" s="2">
        <f t="shared" si="151"/>
        <v>4.7520000000000016</v>
      </c>
      <c r="P315" s="2">
        <f t="shared" si="151"/>
        <v>1465.2000000000003</v>
      </c>
      <c r="Q315" s="2">
        <f t="shared" si="151"/>
        <v>146.52000000000004</v>
      </c>
      <c r="R315" s="2">
        <f t="shared" si="151"/>
        <v>33</v>
      </c>
      <c r="S315" s="2">
        <f t="shared" si="151"/>
        <v>3.3000000000000003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>
        <v>50533011</v>
      </c>
      <c r="Z315" s="14" t="s">
        <v>1443</v>
      </c>
      <c r="AA315" s="14" t="s">
        <v>890</v>
      </c>
      <c r="AB315">
        <v>5093302</v>
      </c>
      <c r="AC315" s="2">
        <v>31</v>
      </c>
      <c r="AD315" s="2"/>
      <c r="AE315" s="2"/>
      <c r="AF315">
        <v>1</v>
      </c>
      <c r="AG315" s="1">
        <f t="shared" si="135"/>
        <v>668.30352785220737</v>
      </c>
      <c r="AH315">
        <v>8</v>
      </c>
      <c r="AI315">
        <f t="shared" si="147"/>
        <v>47.52000000000001</v>
      </c>
      <c r="AJ315">
        <f t="shared" si="148"/>
        <v>4.7520000000000016</v>
      </c>
      <c r="AK315">
        <f t="shared" si="149"/>
        <v>1465.2000000000003</v>
      </c>
      <c r="AL315">
        <f t="shared" si="150"/>
        <v>146.52000000000004</v>
      </c>
      <c r="AM315">
        <f t="shared" si="143"/>
        <v>33</v>
      </c>
      <c r="AN315">
        <f t="shared" si="144"/>
        <v>3.3000000000000003</v>
      </c>
      <c r="AO315">
        <f t="shared" si="136"/>
        <v>1.2</v>
      </c>
      <c r="AP315">
        <f t="shared" si="137"/>
        <v>2</v>
      </c>
      <c r="AQ315">
        <f t="shared" si="138"/>
        <v>2.5</v>
      </c>
      <c r="AR315">
        <v>301</v>
      </c>
      <c r="AS315" s="1" t="str">
        <f t="shared" si="153"/>
        <v>1</v>
      </c>
      <c r="AT315">
        <v>5</v>
      </c>
      <c r="BP315" t="s">
        <v>923</v>
      </c>
      <c r="BQ315" t="str">
        <f t="shared" si="139"/>
        <v>1</v>
      </c>
      <c r="BT315">
        <v>24</v>
      </c>
      <c r="BU315" t="str">
        <f t="shared" si="141"/>
        <v>571024,582024,563024</v>
      </c>
      <c r="BV315">
        <f t="shared" si="154"/>
        <v>571024</v>
      </c>
      <c r="BW315">
        <f t="shared" si="152"/>
        <v>582024</v>
      </c>
      <c r="BX315">
        <f t="shared" si="156"/>
        <v>563024</v>
      </c>
      <c r="CF315" t="str">
        <f t="shared" si="145"/>
        <v>DATA_Class_Base49</v>
      </c>
      <c r="CG315" s="43" t="s">
        <v>384</v>
      </c>
    </row>
    <row r="316" spans="1:85" ht="27">
      <c r="A316">
        <f t="shared" si="146"/>
        <v>5083400</v>
      </c>
      <c r="B316" s="43" t="s">
        <v>1060</v>
      </c>
      <c r="C316">
        <v>8</v>
      </c>
      <c r="D316">
        <v>4</v>
      </c>
      <c r="E316">
        <v>3</v>
      </c>
      <c r="F316" t="s">
        <v>1317</v>
      </c>
      <c r="G316" t="str">
        <f t="shared" si="155"/>
        <v>法师0_56_3</v>
      </c>
      <c r="H316">
        <v>0</v>
      </c>
      <c r="I316" s="2" t="s">
        <v>364</v>
      </c>
      <c r="J316" s="2">
        <f t="shared" si="142"/>
        <v>5</v>
      </c>
      <c r="K316" s="2">
        <f t="shared" si="134"/>
        <v>1.02</v>
      </c>
      <c r="L316" s="2">
        <f t="shared" si="133"/>
        <v>1.02</v>
      </c>
      <c r="M316" s="2">
        <v>10</v>
      </c>
      <c r="N316" s="2">
        <f t="shared" si="151"/>
        <v>67.760000000000005</v>
      </c>
      <c r="O316" s="2">
        <f t="shared" si="151"/>
        <v>6.7760000000000007</v>
      </c>
      <c r="P316" s="2">
        <f t="shared" si="151"/>
        <v>1201.2</v>
      </c>
      <c r="Q316" s="2">
        <f t="shared" ref="Q316:S379" si="157">AL316</f>
        <v>120.12</v>
      </c>
      <c r="R316" s="2">
        <f t="shared" si="157"/>
        <v>27</v>
      </c>
      <c r="S316" s="2">
        <f t="shared" si="157"/>
        <v>2.7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>
        <v>50534001</v>
      </c>
      <c r="Z316" s="14" t="s">
        <v>1444</v>
      </c>
      <c r="AA316" s="14" t="s">
        <v>890</v>
      </c>
      <c r="AB316">
        <v>5093400</v>
      </c>
      <c r="AC316" s="2">
        <v>31</v>
      </c>
      <c r="AD316" s="2"/>
      <c r="AE316" s="2"/>
      <c r="AF316">
        <v>1</v>
      </c>
      <c r="AG316" s="1">
        <f t="shared" si="135"/>
        <v>668.75226420940396</v>
      </c>
      <c r="AH316">
        <v>8</v>
      </c>
      <c r="AI316">
        <f t="shared" si="147"/>
        <v>67.760000000000005</v>
      </c>
      <c r="AJ316">
        <f t="shared" si="148"/>
        <v>6.7760000000000007</v>
      </c>
      <c r="AK316">
        <f t="shared" si="149"/>
        <v>1201.2</v>
      </c>
      <c r="AL316">
        <f t="shared" si="150"/>
        <v>120.12</v>
      </c>
      <c r="AM316">
        <f t="shared" si="143"/>
        <v>27</v>
      </c>
      <c r="AN316">
        <f t="shared" si="144"/>
        <v>2.7</v>
      </c>
      <c r="AO316">
        <f t="shared" si="136"/>
        <v>1.4</v>
      </c>
      <c r="AP316">
        <f t="shared" si="137"/>
        <v>1.4</v>
      </c>
      <c r="AQ316">
        <f t="shared" si="138"/>
        <v>5</v>
      </c>
      <c r="AR316">
        <v>400</v>
      </c>
      <c r="AS316" s="1" t="str">
        <f t="shared" si="153"/>
        <v>0</v>
      </c>
      <c r="AT316">
        <v>5</v>
      </c>
      <c r="BP316" t="s">
        <v>986</v>
      </c>
      <c r="BQ316" t="str">
        <f t="shared" si="139"/>
        <v>0</v>
      </c>
      <c r="BT316">
        <v>25</v>
      </c>
      <c r="BU316" t="str">
        <f t="shared" si="141"/>
        <v>571025,582025,563025</v>
      </c>
      <c r="BV316">
        <f t="shared" si="154"/>
        <v>571025</v>
      </c>
      <c r="BW316">
        <f t="shared" si="152"/>
        <v>582025</v>
      </c>
      <c r="BX316">
        <f t="shared" si="156"/>
        <v>563025</v>
      </c>
      <c r="CF316" t="str">
        <f t="shared" si="145"/>
        <v>DATA_Class_Base58</v>
      </c>
      <c r="CG316" s="43" t="s">
        <v>174</v>
      </c>
    </row>
    <row r="317" spans="1:85" ht="14.25" customHeight="1">
      <c r="A317">
        <f t="shared" si="146"/>
        <v>5083401</v>
      </c>
      <c r="B317" s="43" t="s">
        <v>1034</v>
      </c>
      <c r="C317">
        <v>8</v>
      </c>
      <c r="D317">
        <v>4</v>
      </c>
      <c r="E317">
        <v>3</v>
      </c>
      <c r="F317" t="s">
        <v>1319</v>
      </c>
      <c r="G317" t="str">
        <f t="shared" si="155"/>
        <v>法师1_56_3</v>
      </c>
      <c r="H317">
        <v>0</v>
      </c>
      <c r="I317" s="2" t="s">
        <v>161</v>
      </c>
      <c r="J317" s="2">
        <f t="shared" si="142"/>
        <v>6</v>
      </c>
      <c r="K317" s="2">
        <f t="shared" si="134"/>
        <v>1.17</v>
      </c>
      <c r="L317" s="2">
        <f t="shared" si="133"/>
        <v>1.47</v>
      </c>
      <c r="M317" s="2">
        <v>10</v>
      </c>
      <c r="N317" s="2">
        <f t="shared" ref="N317:S380" si="158">AI317</f>
        <v>77.440000000000026</v>
      </c>
      <c r="O317" s="2">
        <f t="shared" si="158"/>
        <v>7.7440000000000033</v>
      </c>
      <c r="P317" s="2">
        <f t="shared" si="158"/>
        <v>1201.2</v>
      </c>
      <c r="Q317" s="2">
        <f t="shared" si="157"/>
        <v>120.12</v>
      </c>
      <c r="R317" s="2">
        <f t="shared" si="157"/>
        <v>27</v>
      </c>
      <c r="S317" s="2">
        <f t="shared" si="157"/>
        <v>2.7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>
        <v>50534011</v>
      </c>
      <c r="Z317" s="14" t="s">
        <v>1445</v>
      </c>
      <c r="AA317" s="14" t="s">
        <v>890</v>
      </c>
      <c r="AB317">
        <v>5093401</v>
      </c>
      <c r="AC317" s="2">
        <v>31</v>
      </c>
      <c r="AD317" s="2"/>
      <c r="AE317" s="2"/>
      <c r="AF317">
        <v>1</v>
      </c>
      <c r="AG317" s="1">
        <f t="shared" si="135"/>
        <v>668.75226420940407</v>
      </c>
      <c r="AH317">
        <v>8</v>
      </c>
      <c r="AI317">
        <f t="shared" si="147"/>
        <v>77.440000000000026</v>
      </c>
      <c r="AJ317">
        <f t="shared" si="148"/>
        <v>7.7440000000000033</v>
      </c>
      <c r="AK317">
        <f t="shared" si="149"/>
        <v>1201.2</v>
      </c>
      <c r="AL317">
        <f t="shared" si="150"/>
        <v>120.12</v>
      </c>
      <c r="AM317">
        <f t="shared" si="143"/>
        <v>27</v>
      </c>
      <c r="AN317">
        <f t="shared" si="144"/>
        <v>2.7</v>
      </c>
      <c r="AO317">
        <f t="shared" si="136"/>
        <v>1.6</v>
      </c>
      <c r="AP317">
        <f t="shared" si="137"/>
        <v>2</v>
      </c>
      <c r="AQ317">
        <f t="shared" si="138"/>
        <v>6</v>
      </c>
      <c r="AR317">
        <v>401</v>
      </c>
      <c r="AS317" s="1" t="str">
        <f t="shared" si="153"/>
        <v>1</v>
      </c>
      <c r="AT317">
        <v>5</v>
      </c>
      <c r="BP317" t="s">
        <v>953</v>
      </c>
      <c r="BQ317" t="str">
        <f t="shared" si="139"/>
        <v>1</v>
      </c>
      <c r="BT317">
        <v>26</v>
      </c>
      <c r="BU317" t="str">
        <f t="shared" si="141"/>
        <v>571026,582026,563026</v>
      </c>
      <c r="BV317">
        <f t="shared" si="154"/>
        <v>571026</v>
      </c>
      <c r="BW317">
        <f t="shared" si="152"/>
        <v>582026</v>
      </c>
      <c r="BX317">
        <f t="shared" si="156"/>
        <v>563026</v>
      </c>
      <c r="CF317" t="str">
        <f t="shared" si="145"/>
        <v>DATA_Class_Base50</v>
      </c>
      <c r="CG317" s="43" t="s">
        <v>176</v>
      </c>
    </row>
    <row r="318" spans="1:85" ht="27">
      <c r="A318">
        <f t="shared" si="146"/>
        <v>5083501</v>
      </c>
      <c r="B318" s="43" t="s">
        <v>1044</v>
      </c>
      <c r="C318">
        <v>8</v>
      </c>
      <c r="D318">
        <v>5</v>
      </c>
      <c r="E318">
        <v>3</v>
      </c>
      <c r="F318" t="s">
        <v>1321</v>
      </c>
      <c r="G318" t="str">
        <f t="shared" si="155"/>
        <v>游侠1_56_3</v>
      </c>
      <c r="H318" s="2">
        <v>0</v>
      </c>
      <c r="I318" s="2" t="s">
        <v>334</v>
      </c>
      <c r="J318" s="2">
        <f t="shared" si="142"/>
        <v>6</v>
      </c>
      <c r="K318" s="2">
        <f t="shared" si="134"/>
        <v>1.17</v>
      </c>
      <c r="L318" s="2">
        <f t="shared" si="133"/>
        <v>1.47</v>
      </c>
      <c r="M318" s="2">
        <v>10</v>
      </c>
      <c r="N318" s="2">
        <f t="shared" si="158"/>
        <v>84.48</v>
      </c>
      <c r="O318" s="2">
        <f t="shared" si="158"/>
        <v>8.4480000000000004</v>
      </c>
      <c r="P318" s="2">
        <f t="shared" si="158"/>
        <v>1095.6000000000001</v>
      </c>
      <c r="Q318" s="2">
        <f t="shared" si="157"/>
        <v>109.56000000000002</v>
      </c>
      <c r="R318" s="2">
        <f t="shared" si="157"/>
        <v>24</v>
      </c>
      <c r="S318" s="2">
        <f t="shared" si="157"/>
        <v>2.4000000000000004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>
        <v>50535011</v>
      </c>
      <c r="Z318" s="14" t="s">
        <v>1446</v>
      </c>
      <c r="AA318" s="14" t="s">
        <v>890</v>
      </c>
      <c r="AB318">
        <v>5093501</v>
      </c>
      <c r="AC318" s="2">
        <v>31</v>
      </c>
      <c r="AD318" s="2"/>
      <c r="AE318" s="2"/>
      <c r="AF318">
        <v>1</v>
      </c>
      <c r="AG318" s="1">
        <f t="shared" si="135"/>
        <v>664.97034035708555</v>
      </c>
      <c r="AH318">
        <v>8</v>
      </c>
      <c r="AI318">
        <f t="shared" si="147"/>
        <v>84.48</v>
      </c>
      <c r="AJ318">
        <f t="shared" si="148"/>
        <v>8.4480000000000004</v>
      </c>
      <c r="AK318">
        <f t="shared" si="149"/>
        <v>1095.6000000000001</v>
      </c>
      <c r="AL318">
        <f t="shared" si="150"/>
        <v>109.56000000000002</v>
      </c>
      <c r="AM318">
        <f t="shared" si="143"/>
        <v>24</v>
      </c>
      <c r="AN318">
        <f t="shared" si="144"/>
        <v>2.4000000000000004</v>
      </c>
      <c r="AO318">
        <f t="shared" si="136"/>
        <v>1.6</v>
      </c>
      <c r="AP318">
        <f t="shared" si="137"/>
        <v>2</v>
      </c>
      <c r="AQ318">
        <f t="shared" si="138"/>
        <v>6</v>
      </c>
      <c r="AR318">
        <v>501</v>
      </c>
      <c r="AS318" s="1" t="str">
        <f t="shared" si="153"/>
        <v>1</v>
      </c>
      <c r="AT318">
        <v>5</v>
      </c>
      <c r="BP318" t="s">
        <v>945</v>
      </c>
      <c r="BQ318" t="str">
        <f t="shared" si="139"/>
        <v>1</v>
      </c>
      <c r="BT318">
        <v>27</v>
      </c>
      <c r="BU318" t="str">
        <f t="shared" si="141"/>
        <v>571027,582027,563027</v>
      </c>
      <c r="BV318">
        <f t="shared" si="154"/>
        <v>571027</v>
      </c>
      <c r="BW318">
        <f t="shared" si="152"/>
        <v>582027</v>
      </c>
      <c r="BX318">
        <f t="shared" si="156"/>
        <v>563027</v>
      </c>
      <c r="CF318" t="str">
        <f t="shared" si="145"/>
        <v>DATA_Class_Base53</v>
      </c>
      <c r="CG318" s="43" t="s">
        <v>349</v>
      </c>
    </row>
    <row r="319" spans="1:85" ht="27">
      <c r="A319">
        <f t="shared" si="146"/>
        <v>5083502</v>
      </c>
      <c r="B319" s="43" t="s">
        <v>1063</v>
      </c>
      <c r="C319">
        <v>8</v>
      </c>
      <c r="D319">
        <v>5</v>
      </c>
      <c r="E319">
        <v>3</v>
      </c>
      <c r="F319" t="s">
        <v>1323</v>
      </c>
      <c r="G319" t="str">
        <f t="shared" si="155"/>
        <v>游侠2_56_3</v>
      </c>
      <c r="H319">
        <v>0</v>
      </c>
      <c r="I319" s="2" t="s">
        <v>291</v>
      </c>
      <c r="J319" s="2">
        <f t="shared" si="142"/>
        <v>6</v>
      </c>
      <c r="K319" s="2">
        <f t="shared" si="134"/>
        <v>1.02</v>
      </c>
      <c r="L319" s="2">
        <f t="shared" si="133"/>
        <v>1.47</v>
      </c>
      <c r="M319" s="2">
        <v>10</v>
      </c>
      <c r="N319" s="2">
        <f t="shared" si="158"/>
        <v>73.919999999999987</v>
      </c>
      <c r="O319" s="2">
        <f t="shared" si="158"/>
        <v>7.3919999999999995</v>
      </c>
      <c r="P319" s="2">
        <f t="shared" si="158"/>
        <v>1095.6000000000001</v>
      </c>
      <c r="Q319" s="2">
        <f t="shared" si="157"/>
        <v>109.56000000000002</v>
      </c>
      <c r="R319" s="2">
        <f t="shared" si="157"/>
        <v>24</v>
      </c>
      <c r="S319" s="2">
        <f t="shared" si="157"/>
        <v>2.4000000000000004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>
        <v>50535021</v>
      </c>
      <c r="Z319" s="14" t="s">
        <v>1447</v>
      </c>
      <c r="AA319" s="14" t="s">
        <v>890</v>
      </c>
      <c r="AB319">
        <v>5093502</v>
      </c>
      <c r="AC319" s="2">
        <v>31</v>
      </c>
      <c r="AD319" s="2"/>
      <c r="AE319" s="2"/>
      <c r="AF319">
        <v>1</v>
      </c>
      <c r="AG319" s="1">
        <f t="shared" si="135"/>
        <v>664.97034035708532</v>
      </c>
      <c r="AH319">
        <v>8</v>
      </c>
      <c r="AI319">
        <f t="shared" si="147"/>
        <v>73.919999999999987</v>
      </c>
      <c r="AJ319">
        <f t="shared" si="148"/>
        <v>7.3919999999999995</v>
      </c>
      <c r="AK319">
        <f t="shared" si="149"/>
        <v>1095.6000000000001</v>
      </c>
      <c r="AL319">
        <f t="shared" si="150"/>
        <v>109.56000000000002</v>
      </c>
      <c r="AM319">
        <f t="shared" si="143"/>
        <v>24</v>
      </c>
      <c r="AN319">
        <f t="shared" si="144"/>
        <v>2.4000000000000004</v>
      </c>
      <c r="AO319">
        <f t="shared" si="136"/>
        <v>1.4</v>
      </c>
      <c r="AP319">
        <f t="shared" si="137"/>
        <v>2</v>
      </c>
      <c r="AQ319">
        <f t="shared" si="138"/>
        <v>6</v>
      </c>
      <c r="AR319">
        <v>502</v>
      </c>
      <c r="AS319" s="1" t="str">
        <f t="shared" si="153"/>
        <v>2</v>
      </c>
      <c r="AT319">
        <v>5</v>
      </c>
      <c r="BP319" t="s">
        <v>974</v>
      </c>
      <c r="BQ319" t="str">
        <f t="shared" si="139"/>
        <v>2</v>
      </c>
      <c r="BT319">
        <v>28</v>
      </c>
      <c r="BU319" t="str">
        <f t="shared" si="141"/>
        <v>571028,582028,563028</v>
      </c>
      <c r="BV319">
        <f t="shared" si="154"/>
        <v>571028</v>
      </c>
      <c r="BW319">
        <f t="shared" si="152"/>
        <v>582028</v>
      </c>
      <c r="BX319">
        <f t="shared" si="156"/>
        <v>563028</v>
      </c>
      <c r="CF319" t="str">
        <f t="shared" si="145"/>
        <v>DATA_Class_Base59</v>
      </c>
      <c r="CG319" s="43" t="s">
        <v>195</v>
      </c>
    </row>
    <row r="320" spans="1:85" ht="27">
      <c r="A320">
        <f t="shared" si="146"/>
        <v>5083600</v>
      </c>
      <c r="B320" s="43" t="s">
        <v>1047</v>
      </c>
      <c r="C320">
        <v>8</v>
      </c>
      <c r="D320">
        <v>6</v>
      </c>
      <c r="E320">
        <v>3</v>
      </c>
      <c r="F320" t="s">
        <v>1325</v>
      </c>
      <c r="G320" t="str">
        <f t="shared" si="155"/>
        <v>牧师0_56_3</v>
      </c>
      <c r="H320">
        <v>0</v>
      </c>
      <c r="I320" s="2" t="s">
        <v>339</v>
      </c>
      <c r="J320" s="2">
        <f t="shared" si="142"/>
        <v>4</v>
      </c>
      <c r="K320" s="2">
        <f t="shared" si="134"/>
        <v>1.02</v>
      </c>
      <c r="L320" s="2">
        <f t="shared" si="133"/>
        <v>1.3900000000000001</v>
      </c>
      <c r="M320" s="2">
        <v>10</v>
      </c>
      <c r="N320" s="2">
        <f t="shared" si="158"/>
        <v>61.599999999999994</v>
      </c>
      <c r="O320" s="2">
        <f t="shared" si="158"/>
        <v>6.16</v>
      </c>
      <c r="P320" s="2">
        <f t="shared" si="158"/>
        <v>1320</v>
      </c>
      <c r="Q320" s="2">
        <f t="shared" si="157"/>
        <v>132</v>
      </c>
      <c r="R320" s="2">
        <f t="shared" si="157"/>
        <v>30</v>
      </c>
      <c r="S320" s="2">
        <f t="shared" si="157"/>
        <v>3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>
        <v>50536001</v>
      </c>
      <c r="Z320" s="14" t="s">
        <v>1448</v>
      </c>
      <c r="AA320" s="14" t="s">
        <v>890</v>
      </c>
      <c r="AB320">
        <v>5093600</v>
      </c>
      <c r="AC320" s="2">
        <v>31</v>
      </c>
      <c r="AD320" s="2"/>
      <c r="AE320" s="2"/>
      <c r="AF320">
        <v>1</v>
      </c>
      <c r="AG320" s="1">
        <f t="shared" si="135"/>
        <v>668.52804509764451</v>
      </c>
      <c r="AH320">
        <v>8</v>
      </c>
      <c r="AI320">
        <f t="shared" si="147"/>
        <v>61.599999999999994</v>
      </c>
      <c r="AJ320">
        <f t="shared" si="148"/>
        <v>6.16</v>
      </c>
      <c r="AK320">
        <f t="shared" si="149"/>
        <v>1320</v>
      </c>
      <c r="AL320">
        <f t="shared" si="150"/>
        <v>132</v>
      </c>
      <c r="AM320">
        <f t="shared" si="143"/>
        <v>30</v>
      </c>
      <c r="AN320">
        <f t="shared" si="144"/>
        <v>3</v>
      </c>
      <c r="AO320">
        <f t="shared" si="136"/>
        <v>1.4</v>
      </c>
      <c r="AP320">
        <f t="shared" si="137"/>
        <v>1.9</v>
      </c>
      <c r="AQ320">
        <f t="shared" si="138"/>
        <v>4</v>
      </c>
      <c r="AR320">
        <v>600</v>
      </c>
      <c r="AS320" s="1" t="str">
        <f t="shared" si="153"/>
        <v>0</v>
      </c>
      <c r="AT320">
        <v>5</v>
      </c>
      <c r="BP320" t="s">
        <v>990</v>
      </c>
      <c r="BQ320" t="str">
        <f t="shared" si="139"/>
        <v>0</v>
      </c>
      <c r="BT320">
        <v>29</v>
      </c>
      <c r="BU320" t="str">
        <f t="shared" si="141"/>
        <v>571029,582029,563029</v>
      </c>
      <c r="BV320">
        <f t="shared" si="154"/>
        <v>571029</v>
      </c>
      <c r="BW320">
        <f t="shared" si="152"/>
        <v>582029</v>
      </c>
      <c r="BX320">
        <f t="shared" si="156"/>
        <v>563029</v>
      </c>
      <c r="CF320" t="str">
        <f t="shared" si="145"/>
        <v>DATA_Class_Base54</v>
      </c>
      <c r="CG320" s="43" t="s">
        <v>198</v>
      </c>
    </row>
    <row r="321" spans="1:85" ht="27">
      <c r="A321">
        <f t="shared" si="146"/>
        <v>5083601</v>
      </c>
      <c r="B321" s="43" t="s">
        <v>1050</v>
      </c>
      <c r="C321">
        <v>8</v>
      </c>
      <c r="D321">
        <v>6</v>
      </c>
      <c r="E321">
        <v>3</v>
      </c>
      <c r="F321" t="s">
        <v>1327</v>
      </c>
      <c r="G321" t="str">
        <f t="shared" si="155"/>
        <v>牧师1_56_3</v>
      </c>
      <c r="H321" s="2">
        <v>0</v>
      </c>
      <c r="I321" s="2" t="s">
        <v>309</v>
      </c>
      <c r="J321" s="2">
        <f t="shared" si="142"/>
        <v>5</v>
      </c>
      <c r="K321" s="2">
        <f t="shared" si="134"/>
        <v>1.1000000000000001</v>
      </c>
      <c r="L321" s="2">
        <f t="shared" si="133"/>
        <v>1.47</v>
      </c>
      <c r="M321" s="2">
        <v>10</v>
      </c>
      <c r="N321" s="2">
        <f t="shared" si="158"/>
        <v>66</v>
      </c>
      <c r="O321" s="2">
        <f t="shared" si="158"/>
        <v>6.6000000000000005</v>
      </c>
      <c r="P321" s="2">
        <f t="shared" si="158"/>
        <v>1320</v>
      </c>
      <c r="Q321" s="2">
        <f t="shared" si="157"/>
        <v>132</v>
      </c>
      <c r="R321" s="2">
        <f t="shared" si="157"/>
        <v>30</v>
      </c>
      <c r="S321" s="2">
        <f t="shared" si="157"/>
        <v>3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>
        <v>50536011</v>
      </c>
      <c r="Z321" s="14" t="s">
        <v>1449</v>
      </c>
      <c r="AA321" s="14" t="s">
        <v>890</v>
      </c>
      <c r="AB321">
        <v>5093601</v>
      </c>
      <c r="AC321" s="2">
        <v>31</v>
      </c>
      <c r="AD321" s="2"/>
      <c r="AE321" s="2"/>
      <c r="AF321">
        <v>1</v>
      </c>
      <c r="AG321" s="1">
        <f t="shared" si="135"/>
        <v>668.52804509764451</v>
      </c>
      <c r="AH321">
        <v>8</v>
      </c>
      <c r="AI321">
        <f t="shared" si="147"/>
        <v>66</v>
      </c>
      <c r="AJ321">
        <f t="shared" si="148"/>
        <v>6.6000000000000005</v>
      </c>
      <c r="AK321">
        <f t="shared" si="149"/>
        <v>1320</v>
      </c>
      <c r="AL321">
        <f t="shared" si="150"/>
        <v>132</v>
      </c>
      <c r="AM321">
        <f t="shared" si="143"/>
        <v>30</v>
      </c>
      <c r="AN321">
        <f t="shared" si="144"/>
        <v>3</v>
      </c>
      <c r="AO321">
        <f t="shared" si="136"/>
        <v>1.5</v>
      </c>
      <c r="AP321">
        <f t="shared" si="137"/>
        <v>2</v>
      </c>
      <c r="AQ321">
        <f t="shared" si="138"/>
        <v>5</v>
      </c>
      <c r="AR321">
        <v>601</v>
      </c>
      <c r="AS321" s="1" t="str">
        <f t="shared" si="153"/>
        <v>1</v>
      </c>
      <c r="AT321">
        <v>5</v>
      </c>
      <c r="BP321" t="s">
        <v>960</v>
      </c>
      <c r="BQ321" t="str">
        <f t="shared" si="139"/>
        <v>1</v>
      </c>
      <c r="BT321">
        <v>30</v>
      </c>
      <c r="BU321" t="str">
        <f t="shared" si="141"/>
        <v>571030,582030,563030</v>
      </c>
      <c r="BV321">
        <f t="shared" si="154"/>
        <v>571030</v>
      </c>
      <c r="BW321">
        <f t="shared" si="152"/>
        <v>582030</v>
      </c>
      <c r="BX321">
        <f t="shared" si="156"/>
        <v>563030</v>
      </c>
      <c r="CF321" t="str">
        <f t="shared" si="145"/>
        <v>DATA_Class_Base55</v>
      </c>
      <c r="CG321" s="43" t="s">
        <v>201</v>
      </c>
    </row>
    <row r="322" spans="1:85">
      <c r="A322">
        <f t="shared" si="146"/>
        <v>5084200</v>
      </c>
      <c r="B322" s="42" t="s">
        <v>1021</v>
      </c>
      <c r="C322">
        <v>8</v>
      </c>
      <c r="D322">
        <v>2</v>
      </c>
      <c r="E322">
        <v>4</v>
      </c>
      <c r="F322" t="s">
        <v>1329</v>
      </c>
      <c r="G322" t="str">
        <f t="shared" si="155"/>
        <v>战士0_56_4</v>
      </c>
      <c r="H322">
        <v>0</v>
      </c>
      <c r="I322" s="2" t="s">
        <v>314</v>
      </c>
      <c r="J322" s="2">
        <f t="shared" si="142"/>
        <v>2.5</v>
      </c>
      <c r="K322" s="2">
        <f t="shared" si="134"/>
        <v>1.1000000000000001</v>
      </c>
      <c r="L322" s="2">
        <f t="shared" si="133"/>
        <v>0.88</v>
      </c>
      <c r="M322" s="2">
        <v>10</v>
      </c>
      <c r="N322" s="2">
        <f t="shared" si="158"/>
        <v>52.800000000000011</v>
      </c>
      <c r="O322" s="2">
        <f t="shared" si="158"/>
        <v>5.2800000000000011</v>
      </c>
      <c r="P322" s="2">
        <f t="shared" si="158"/>
        <v>1650.0000000000002</v>
      </c>
      <c r="Q322" s="2">
        <f t="shared" si="157"/>
        <v>165.00000000000003</v>
      </c>
      <c r="R322" s="2">
        <f t="shared" si="157"/>
        <v>36</v>
      </c>
      <c r="S322" s="2">
        <f t="shared" si="157"/>
        <v>3.6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>
        <v>50542001</v>
      </c>
      <c r="Z322" s="14" t="s">
        <v>1450</v>
      </c>
      <c r="AA322" s="14" t="s">
        <v>890</v>
      </c>
      <c r="AB322">
        <v>5094200</v>
      </c>
      <c r="AC322" s="2">
        <v>19</v>
      </c>
      <c r="AD322" s="2"/>
      <c r="AE322" s="2"/>
      <c r="AF322">
        <v>1</v>
      </c>
      <c r="AG322" s="1">
        <f t="shared" si="135"/>
        <v>669.41754697201873</v>
      </c>
      <c r="AH322">
        <v>8</v>
      </c>
      <c r="AI322">
        <f t="shared" si="147"/>
        <v>52.800000000000011</v>
      </c>
      <c r="AJ322">
        <f t="shared" si="148"/>
        <v>5.2800000000000011</v>
      </c>
      <c r="AK322">
        <f t="shared" si="149"/>
        <v>1650.0000000000002</v>
      </c>
      <c r="AL322">
        <f t="shared" si="150"/>
        <v>165.00000000000003</v>
      </c>
      <c r="AM322">
        <f t="shared" si="143"/>
        <v>36</v>
      </c>
      <c r="AN322">
        <f t="shared" si="144"/>
        <v>3.6</v>
      </c>
      <c r="AO322">
        <f t="shared" si="136"/>
        <v>1.5</v>
      </c>
      <c r="AP322">
        <f t="shared" si="137"/>
        <v>1.2</v>
      </c>
      <c r="AQ322">
        <f t="shared" si="138"/>
        <v>2.5</v>
      </c>
      <c r="AR322">
        <v>200</v>
      </c>
      <c r="AS322" s="1" t="str">
        <f t="shared" si="153"/>
        <v>0</v>
      </c>
      <c r="AT322">
        <v>5</v>
      </c>
      <c r="BP322" t="s">
        <v>964</v>
      </c>
      <c r="BQ322" t="str">
        <f t="shared" si="139"/>
        <v>0</v>
      </c>
      <c r="BT322">
        <v>31</v>
      </c>
      <c r="BU322" t="str">
        <f t="shared" si="141"/>
        <v>571031,582031,563031</v>
      </c>
      <c r="BV322">
        <f t="shared" si="154"/>
        <v>571031</v>
      </c>
      <c r="BW322">
        <f t="shared" si="152"/>
        <v>582031</v>
      </c>
      <c r="BX322">
        <f t="shared" si="156"/>
        <v>563031</v>
      </c>
      <c r="CF322" t="str">
        <f t="shared" si="145"/>
        <v>DATA_Class_Base46</v>
      </c>
      <c r="CG322" s="42" t="s">
        <v>1022</v>
      </c>
    </row>
    <row r="323" spans="1:85" ht="27">
      <c r="A323">
        <f t="shared" si="146"/>
        <v>5084201</v>
      </c>
      <c r="B323" s="43" t="s">
        <v>1025</v>
      </c>
      <c r="C323">
        <v>8</v>
      </c>
      <c r="D323">
        <v>2</v>
      </c>
      <c r="E323">
        <v>4</v>
      </c>
      <c r="F323" t="s">
        <v>1331</v>
      </c>
      <c r="G323" t="str">
        <f t="shared" si="155"/>
        <v>战士1_56_4</v>
      </c>
      <c r="H323" s="2">
        <v>0</v>
      </c>
      <c r="I323" s="2" t="s">
        <v>298</v>
      </c>
      <c r="J323" s="2">
        <f t="shared" si="142"/>
        <v>2.5</v>
      </c>
      <c r="K323" s="2">
        <f t="shared" si="134"/>
        <v>1.32</v>
      </c>
      <c r="L323" s="2">
        <f t="shared" si="133"/>
        <v>1.32</v>
      </c>
      <c r="M323" s="2">
        <v>10</v>
      </c>
      <c r="N323" s="2">
        <f t="shared" si="158"/>
        <v>63.360000000000007</v>
      </c>
      <c r="O323" s="2">
        <f t="shared" si="158"/>
        <v>6.3360000000000012</v>
      </c>
      <c r="P323" s="2">
        <f t="shared" si="158"/>
        <v>1650.0000000000002</v>
      </c>
      <c r="Q323" s="2">
        <f t="shared" si="157"/>
        <v>165.00000000000003</v>
      </c>
      <c r="R323" s="2">
        <f t="shared" si="157"/>
        <v>36</v>
      </c>
      <c r="S323" s="2">
        <f t="shared" si="157"/>
        <v>3.6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>
        <v>50542011</v>
      </c>
      <c r="Z323" s="14" t="s">
        <v>1451</v>
      </c>
      <c r="AA323" s="14" t="s">
        <v>890</v>
      </c>
      <c r="AB323">
        <v>5094201</v>
      </c>
      <c r="AC323" s="2">
        <v>19</v>
      </c>
      <c r="AD323" s="2"/>
      <c r="AE323" s="2"/>
      <c r="AF323">
        <v>1</v>
      </c>
      <c r="AG323" s="1">
        <f t="shared" si="135"/>
        <v>669.41754697201861</v>
      </c>
      <c r="AH323">
        <v>8</v>
      </c>
      <c r="AI323">
        <f t="shared" si="147"/>
        <v>63.360000000000007</v>
      </c>
      <c r="AJ323">
        <f t="shared" si="148"/>
        <v>6.3360000000000012</v>
      </c>
      <c r="AK323">
        <f t="shared" si="149"/>
        <v>1650.0000000000002</v>
      </c>
      <c r="AL323">
        <f t="shared" si="150"/>
        <v>165.00000000000003</v>
      </c>
      <c r="AM323">
        <f t="shared" si="143"/>
        <v>36</v>
      </c>
      <c r="AN323">
        <f t="shared" si="144"/>
        <v>3.6</v>
      </c>
      <c r="AO323">
        <f t="shared" si="136"/>
        <v>1.8</v>
      </c>
      <c r="AP323">
        <f t="shared" si="137"/>
        <v>1.8</v>
      </c>
      <c r="AQ323">
        <f t="shared" si="138"/>
        <v>2.5</v>
      </c>
      <c r="AR323">
        <v>201</v>
      </c>
      <c r="AS323" s="1" t="str">
        <f t="shared" si="153"/>
        <v>1</v>
      </c>
      <c r="AT323">
        <v>5</v>
      </c>
      <c r="BP323" t="s">
        <v>913</v>
      </c>
      <c r="BQ323" t="str">
        <f t="shared" si="139"/>
        <v>1</v>
      </c>
      <c r="BT323">
        <v>32</v>
      </c>
      <c r="BU323" t="str">
        <f t="shared" si="141"/>
        <v>571032,582032,563032</v>
      </c>
      <c r="BV323">
        <f t="shared" si="154"/>
        <v>571032</v>
      </c>
      <c r="BW323">
        <f t="shared" si="152"/>
        <v>582032</v>
      </c>
      <c r="BX323">
        <f t="shared" si="156"/>
        <v>563032</v>
      </c>
      <c r="CF323" t="str">
        <f t="shared" si="145"/>
        <v>DATA_Class_Base47</v>
      </c>
      <c r="CG323" s="43" t="s">
        <v>378</v>
      </c>
    </row>
    <row r="324" spans="1:85" ht="27">
      <c r="A324">
        <f t="shared" si="146"/>
        <v>5084300</v>
      </c>
      <c r="B324" s="43" t="s">
        <v>1028</v>
      </c>
      <c r="C324">
        <v>8</v>
      </c>
      <c r="D324">
        <v>3</v>
      </c>
      <c r="E324">
        <v>4</v>
      </c>
      <c r="F324" t="s">
        <v>1333</v>
      </c>
      <c r="G324" t="str">
        <f t="shared" si="155"/>
        <v>刺客0_56_4</v>
      </c>
      <c r="H324">
        <v>0</v>
      </c>
      <c r="I324" s="2" t="s">
        <v>352</v>
      </c>
      <c r="J324" s="2">
        <f t="shared" si="142"/>
        <v>4</v>
      </c>
      <c r="K324" s="2">
        <f t="shared" si="134"/>
        <v>0.95000000000000007</v>
      </c>
      <c r="L324" s="2">
        <f t="shared" ref="L324:L387" si="159">FLOOR(AP324/1.36,0.01)</f>
        <v>1.3900000000000001</v>
      </c>
      <c r="M324" s="2">
        <v>10</v>
      </c>
      <c r="N324" s="2">
        <f t="shared" si="158"/>
        <v>51.480000000000018</v>
      </c>
      <c r="O324" s="2">
        <f t="shared" si="158"/>
        <v>5.1480000000000024</v>
      </c>
      <c r="P324" s="2">
        <f t="shared" si="158"/>
        <v>1465.2000000000003</v>
      </c>
      <c r="Q324" s="2">
        <f t="shared" si="157"/>
        <v>146.52000000000004</v>
      </c>
      <c r="R324" s="2">
        <f t="shared" si="157"/>
        <v>33</v>
      </c>
      <c r="S324" s="2">
        <f t="shared" si="157"/>
        <v>3.3000000000000003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>
        <v>50543001</v>
      </c>
      <c r="Z324" s="14" t="s">
        <v>1452</v>
      </c>
      <c r="AA324" s="14" t="s">
        <v>890</v>
      </c>
      <c r="AB324">
        <v>5094301</v>
      </c>
      <c r="AC324" s="2">
        <v>19</v>
      </c>
      <c r="AD324" s="2"/>
      <c r="AE324" s="2"/>
      <c r="AF324">
        <v>1</v>
      </c>
      <c r="AG324" s="1">
        <f t="shared" si="135"/>
        <v>668.30352785220748</v>
      </c>
      <c r="AH324">
        <v>8</v>
      </c>
      <c r="AI324">
        <f t="shared" si="147"/>
        <v>51.480000000000018</v>
      </c>
      <c r="AJ324">
        <f t="shared" si="148"/>
        <v>5.1480000000000024</v>
      </c>
      <c r="AK324">
        <f t="shared" si="149"/>
        <v>1465.2000000000003</v>
      </c>
      <c r="AL324">
        <f t="shared" si="150"/>
        <v>146.52000000000004</v>
      </c>
      <c r="AM324">
        <f t="shared" si="143"/>
        <v>33</v>
      </c>
      <c r="AN324">
        <f t="shared" si="144"/>
        <v>3.3000000000000003</v>
      </c>
      <c r="AO324">
        <f t="shared" si="136"/>
        <v>1.3</v>
      </c>
      <c r="AP324">
        <f t="shared" si="137"/>
        <v>1.9</v>
      </c>
      <c r="AQ324">
        <f t="shared" si="138"/>
        <v>4</v>
      </c>
      <c r="AR324">
        <v>300</v>
      </c>
      <c r="AS324" s="1" t="str">
        <f t="shared" si="153"/>
        <v>0</v>
      </c>
      <c r="AT324">
        <v>5</v>
      </c>
      <c r="BP324" t="s">
        <v>967</v>
      </c>
      <c r="BQ324" t="str">
        <f t="shared" si="139"/>
        <v>0</v>
      </c>
      <c r="BT324">
        <v>33</v>
      </c>
      <c r="BU324" t="str">
        <f t="shared" si="141"/>
        <v>571033,582033,563033</v>
      </c>
      <c r="BV324">
        <f t="shared" si="154"/>
        <v>571033</v>
      </c>
      <c r="BW324">
        <f t="shared" si="152"/>
        <v>582033</v>
      </c>
      <c r="BX324">
        <f t="shared" si="156"/>
        <v>563033</v>
      </c>
      <c r="CF324" t="str">
        <f t="shared" si="145"/>
        <v>DATA_Class_Base48</v>
      </c>
      <c r="CG324" s="43" t="s">
        <v>411</v>
      </c>
    </row>
    <row r="325" spans="1:85" ht="27">
      <c r="A325">
        <f t="shared" si="146"/>
        <v>5084301</v>
      </c>
      <c r="B325" s="43" t="s">
        <v>1031</v>
      </c>
      <c r="C325">
        <v>8</v>
      </c>
      <c r="D325">
        <v>3</v>
      </c>
      <c r="E325">
        <v>4</v>
      </c>
      <c r="F325" t="s">
        <v>1335</v>
      </c>
      <c r="G325" t="str">
        <f t="shared" si="155"/>
        <v>刺客1_56_4</v>
      </c>
      <c r="H325" s="2">
        <v>0</v>
      </c>
      <c r="I325" s="2" t="s">
        <v>285</v>
      </c>
      <c r="J325" s="2">
        <f t="shared" si="142"/>
        <v>2.5</v>
      </c>
      <c r="K325" s="2">
        <f t="shared" ref="K325:K388" si="160">FLOOR(AO325/1.363,0.01)</f>
        <v>0.88</v>
      </c>
      <c r="L325" s="2">
        <f t="shared" si="159"/>
        <v>1.47</v>
      </c>
      <c r="M325" s="2">
        <v>10</v>
      </c>
      <c r="N325" s="2">
        <f t="shared" si="158"/>
        <v>47.52000000000001</v>
      </c>
      <c r="O325" s="2">
        <f t="shared" si="158"/>
        <v>4.7520000000000016</v>
      </c>
      <c r="P325" s="2">
        <f t="shared" si="158"/>
        <v>1465.2000000000003</v>
      </c>
      <c r="Q325" s="2">
        <f t="shared" si="157"/>
        <v>146.52000000000004</v>
      </c>
      <c r="R325" s="2">
        <f t="shared" si="157"/>
        <v>33</v>
      </c>
      <c r="S325" s="2">
        <f t="shared" si="157"/>
        <v>3.3000000000000003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>
        <v>50543011</v>
      </c>
      <c r="Z325" s="14" t="s">
        <v>1453</v>
      </c>
      <c r="AA325" s="14" t="s">
        <v>890</v>
      </c>
      <c r="AB325">
        <v>5094302</v>
      </c>
      <c r="AC325" s="2">
        <v>19</v>
      </c>
      <c r="AD325" s="2"/>
      <c r="AE325" s="2"/>
      <c r="AF325">
        <v>1</v>
      </c>
      <c r="AG325" s="1">
        <f t="shared" ref="AG325:AG388" si="161">(AK325+AL325*AF325)*(AI325+AJ325*AF325)/AO325*(0.9)*(1+0.5*0.1)*1/1/(1-(AM325+AN325*AF325)*0.0002)/100</f>
        <v>668.30352785220737</v>
      </c>
      <c r="AH325">
        <v>8</v>
      </c>
      <c r="AI325">
        <f t="shared" si="147"/>
        <v>47.52000000000001</v>
      </c>
      <c r="AJ325">
        <f t="shared" si="148"/>
        <v>4.7520000000000016</v>
      </c>
      <c r="AK325">
        <f t="shared" si="149"/>
        <v>1465.2000000000003</v>
      </c>
      <c r="AL325">
        <f t="shared" si="150"/>
        <v>146.52000000000004</v>
      </c>
      <c r="AM325">
        <f t="shared" si="143"/>
        <v>33</v>
      </c>
      <c r="AN325">
        <f t="shared" si="144"/>
        <v>3.3000000000000003</v>
      </c>
      <c r="AO325">
        <f t="shared" ref="AO325:AO388" si="162">INDEX($AZ$5:$AZ$34,MATCH($AR325,$AU$5:$AU$34,0))</f>
        <v>1.2</v>
      </c>
      <c r="AP325">
        <f t="shared" ref="AP325:AP388" si="163">ROUND(IF(INDEX($BH$5:$BH$34,MATCH($AR325,$AU$5:$AU$34,0))&lt;2,INDEX($BH$5:$BH$34,MATCH($AR325,$AU$5:$AU$34,0))+0.2,2),1)</f>
        <v>2</v>
      </c>
      <c r="AQ325">
        <f t="shared" ref="AQ325:AQ388" si="164">INDEX($BD$5:$BD$34,MATCH($AR325,$AU$5:$AU$34,0))</f>
        <v>2.5</v>
      </c>
      <c r="AR325">
        <v>301</v>
      </c>
      <c r="AS325" s="1" t="str">
        <f t="shared" si="153"/>
        <v>1</v>
      </c>
      <c r="AT325">
        <v>5</v>
      </c>
      <c r="BP325" t="s">
        <v>923</v>
      </c>
      <c r="BQ325" t="str">
        <f t="shared" ref="BQ325:BQ388" si="165">RIGHT(BP325,1)</f>
        <v>1</v>
      </c>
      <c r="BT325">
        <v>34</v>
      </c>
      <c r="BU325" t="str">
        <f t="shared" si="141"/>
        <v>571034,582034,563034</v>
      </c>
      <c r="BV325">
        <f t="shared" si="154"/>
        <v>571034</v>
      </c>
      <c r="BW325">
        <f t="shared" si="152"/>
        <v>582034</v>
      </c>
      <c r="BX325">
        <f t="shared" si="156"/>
        <v>563034</v>
      </c>
      <c r="CF325" t="str">
        <f t="shared" si="145"/>
        <v>DATA_Class_Base49</v>
      </c>
      <c r="CG325" s="43" t="s">
        <v>384</v>
      </c>
    </row>
    <row r="326" spans="1:85" ht="27">
      <c r="A326">
        <f t="shared" si="146"/>
        <v>5084401</v>
      </c>
      <c r="B326" s="43" t="s">
        <v>1034</v>
      </c>
      <c r="C326">
        <v>8</v>
      </c>
      <c r="D326">
        <v>4</v>
      </c>
      <c r="E326">
        <v>4</v>
      </c>
      <c r="F326" t="s">
        <v>1337</v>
      </c>
      <c r="G326" t="str">
        <f t="shared" si="155"/>
        <v>法师1_56_4</v>
      </c>
      <c r="H326">
        <v>0</v>
      </c>
      <c r="I326" s="2" t="s">
        <v>161</v>
      </c>
      <c r="J326" s="2">
        <f t="shared" si="142"/>
        <v>6</v>
      </c>
      <c r="K326" s="2">
        <f t="shared" si="160"/>
        <v>1.17</v>
      </c>
      <c r="L326" s="2">
        <f t="shared" si="159"/>
        <v>1.47</v>
      </c>
      <c r="M326" s="2">
        <v>10</v>
      </c>
      <c r="N326" s="2">
        <f t="shared" si="158"/>
        <v>77.440000000000026</v>
      </c>
      <c r="O326" s="2">
        <f t="shared" si="158"/>
        <v>7.7440000000000033</v>
      </c>
      <c r="P326" s="2">
        <f t="shared" si="158"/>
        <v>1201.2</v>
      </c>
      <c r="Q326" s="2">
        <f t="shared" si="157"/>
        <v>120.12</v>
      </c>
      <c r="R326" s="2">
        <f t="shared" si="157"/>
        <v>27</v>
      </c>
      <c r="S326" s="2">
        <f t="shared" si="157"/>
        <v>2.7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>
        <v>50544011</v>
      </c>
      <c r="Z326" s="14" t="s">
        <v>1454</v>
      </c>
      <c r="AA326" s="14" t="s">
        <v>890</v>
      </c>
      <c r="AB326">
        <v>5094401</v>
      </c>
      <c r="AC326" s="2">
        <v>19</v>
      </c>
      <c r="AD326" s="2"/>
      <c r="AE326" s="2"/>
      <c r="AF326">
        <v>1</v>
      </c>
      <c r="AG326" s="1">
        <f t="shared" si="161"/>
        <v>668.75226420940407</v>
      </c>
      <c r="AH326">
        <v>8</v>
      </c>
      <c r="AI326">
        <f t="shared" si="147"/>
        <v>77.440000000000026</v>
      </c>
      <c r="AJ326">
        <f t="shared" si="148"/>
        <v>7.7440000000000033</v>
      </c>
      <c r="AK326">
        <f t="shared" si="149"/>
        <v>1201.2</v>
      </c>
      <c r="AL326">
        <f t="shared" si="150"/>
        <v>120.12</v>
      </c>
      <c r="AM326">
        <f t="shared" si="143"/>
        <v>27</v>
      </c>
      <c r="AN326">
        <f t="shared" si="144"/>
        <v>2.7</v>
      </c>
      <c r="AO326">
        <f t="shared" si="162"/>
        <v>1.6</v>
      </c>
      <c r="AP326">
        <f t="shared" si="163"/>
        <v>2</v>
      </c>
      <c r="AQ326">
        <f t="shared" si="164"/>
        <v>6</v>
      </c>
      <c r="AR326">
        <v>401</v>
      </c>
      <c r="AS326" s="1" t="str">
        <f t="shared" si="153"/>
        <v>1</v>
      </c>
      <c r="AT326">
        <v>5</v>
      </c>
      <c r="BP326" t="s">
        <v>953</v>
      </c>
      <c r="BQ326" t="str">
        <f t="shared" si="165"/>
        <v>1</v>
      </c>
      <c r="BT326">
        <v>35</v>
      </c>
      <c r="BU326" t="str">
        <f t="shared" si="141"/>
        <v>571035,582035,563035</v>
      </c>
      <c r="BV326">
        <f t="shared" si="154"/>
        <v>571035</v>
      </c>
      <c r="BW326">
        <f t="shared" si="152"/>
        <v>582035</v>
      </c>
      <c r="BX326">
        <f t="shared" si="156"/>
        <v>563035</v>
      </c>
      <c r="CF326" t="str">
        <f t="shared" si="145"/>
        <v>DATA_Class_Base50</v>
      </c>
      <c r="CG326" s="43" t="s">
        <v>176</v>
      </c>
    </row>
    <row r="327" spans="1:85" ht="27">
      <c r="A327">
        <f t="shared" si="146"/>
        <v>5084402</v>
      </c>
      <c r="B327" s="43" t="s">
        <v>1037</v>
      </c>
      <c r="C327">
        <v>8</v>
      </c>
      <c r="D327">
        <v>4</v>
      </c>
      <c r="E327">
        <v>4</v>
      </c>
      <c r="F327" t="s">
        <v>1339</v>
      </c>
      <c r="G327" t="str">
        <f t="shared" si="155"/>
        <v>法师2_56_4</v>
      </c>
      <c r="H327" s="2">
        <v>0</v>
      </c>
      <c r="I327" s="2" t="s">
        <v>250</v>
      </c>
      <c r="J327" s="2">
        <f t="shared" si="142"/>
        <v>5</v>
      </c>
      <c r="K327" s="2">
        <f t="shared" si="160"/>
        <v>1.1000000000000001</v>
      </c>
      <c r="L327" s="2">
        <f t="shared" si="159"/>
        <v>1.1000000000000001</v>
      </c>
      <c r="M327" s="2">
        <v>10</v>
      </c>
      <c r="N327" s="2">
        <f t="shared" si="158"/>
        <v>72.600000000000009</v>
      </c>
      <c r="O327" s="2">
        <f t="shared" si="158"/>
        <v>7.2600000000000016</v>
      </c>
      <c r="P327" s="2">
        <f t="shared" si="158"/>
        <v>1201.2</v>
      </c>
      <c r="Q327" s="2">
        <f t="shared" si="157"/>
        <v>120.12</v>
      </c>
      <c r="R327" s="2">
        <f t="shared" si="157"/>
        <v>27</v>
      </c>
      <c r="S327" s="2">
        <f t="shared" si="157"/>
        <v>2.7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>
        <v>50544021</v>
      </c>
      <c r="Z327" s="14" t="s">
        <v>1455</v>
      </c>
      <c r="AA327" s="14" t="s">
        <v>890</v>
      </c>
      <c r="AB327">
        <v>5094402</v>
      </c>
      <c r="AC327" s="2">
        <v>19</v>
      </c>
      <c r="AD327" s="2"/>
      <c r="AE327" s="2"/>
      <c r="AF327">
        <v>1</v>
      </c>
      <c r="AG327" s="1">
        <f t="shared" si="161"/>
        <v>668.75226420940407</v>
      </c>
      <c r="AH327">
        <v>8</v>
      </c>
      <c r="AI327">
        <f t="shared" si="147"/>
        <v>72.600000000000009</v>
      </c>
      <c r="AJ327">
        <f t="shared" si="148"/>
        <v>7.2600000000000016</v>
      </c>
      <c r="AK327">
        <f t="shared" si="149"/>
        <v>1201.2</v>
      </c>
      <c r="AL327">
        <f t="shared" si="150"/>
        <v>120.12</v>
      </c>
      <c r="AM327">
        <f t="shared" si="143"/>
        <v>27</v>
      </c>
      <c r="AN327">
        <f t="shared" si="144"/>
        <v>2.7</v>
      </c>
      <c r="AO327">
        <f t="shared" si="162"/>
        <v>1.5</v>
      </c>
      <c r="AP327">
        <f t="shared" si="163"/>
        <v>1.5</v>
      </c>
      <c r="AQ327">
        <f t="shared" si="164"/>
        <v>5</v>
      </c>
      <c r="AR327">
        <v>402</v>
      </c>
      <c r="AS327" s="1" t="str">
        <f t="shared" si="153"/>
        <v>2</v>
      </c>
      <c r="AT327">
        <v>5</v>
      </c>
      <c r="BP327" t="s">
        <v>971</v>
      </c>
      <c r="BQ327" t="str">
        <f t="shared" si="165"/>
        <v>2</v>
      </c>
      <c r="BT327">
        <v>36</v>
      </c>
      <c r="BU327" t="str">
        <f t="shared" si="141"/>
        <v>571036,582036,563036</v>
      </c>
      <c r="BV327">
        <f t="shared" si="154"/>
        <v>571036</v>
      </c>
      <c r="BW327">
        <f t="shared" si="152"/>
        <v>582036</v>
      </c>
      <c r="BX327">
        <f t="shared" si="156"/>
        <v>563036</v>
      </c>
      <c r="CF327" t="str">
        <f t="shared" si="145"/>
        <v>DATA_Class_Base51</v>
      </c>
      <c r="CG327" s="43" t="s">
        <v>1038</v>
      </c>
    </row>
    <row r="328" spans="1:85" ht="27">
      <c r="A328">
        <f t="shared" si="146"/>
        <v>5084501</v>
      </c>
      <c r="B328" s="43" t="s">
        <v>1044</v>
      </c>
      <c r="C328">
        <v>8</v>
      </c>
      <c r="D328">
        <v>5</v>
      </c>
      <c r="E328">
        <v>4</v>
      </c>
      <c r="F328" t="s">
        <v>1341</v>
      </c>
      <c r="G328" t="str">
        <f t="shared" si="155"/>
        <v>游侠1_56_4</v>
      </c>
      <c r="H328" s="2">
        <v>0</v>
      </c>
      <c r="I328" s="2" t="s">
        <v>334</v>
      </c>
      <c r="J328" s="2">
        <f t="shared" si="142"/>
        <v>6</v>
      </c>
      <c r="K328" s="2">
        <f t="shared" si="160"/>
        <v>1.17</v>
      </c>
      <c r="L328" s="2">
        <f t="shared" si="159"/>
        <v>1.47</v>
      </c>
      <c r="M328" s="2">
        <v>10</v>
      </c>
      <c r="N328" s="2">
        <f t="shared" si="158"/>
        <v>84.48</v>
      </c>
      <c r="O328" s="2">
        <f t="shared" si="158"/>
        <v>8.4480000000000004</v>
      </c>
      <c r="P328" s="2">
        <f t="shared" si="158"/>
        <v>1095.6000000000001</v>
      </c>
      <c r="Q328" s="2">
        <f t="shared" si="157"/>
        <v>109.56000000000002</v>
      </c>
      <c r="R328" s="2">
        <f t="shared" si="157"/>
        <v>24</v>
      </c>
      <c r="S328" s="2">
        <f t="shared" si="157"/>
        <v>2.4000000000000004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>
        <v>50545011</v>
      </c>
      <c r="Z328" s="14" t="s">
        <v>1456</v>
      </c>
      <c r="AA328" s="14" t="s">
        <v>890</v>
      </c>
      <c r="AB328">
        <v>5094501</v>
      </c>
      <c r="AC328" s="2">
        <v>19</v>
      </c>
      <c r="AD328" s="2"/>
      <c r="AE328" s="2"/>
      <c r="AF328">
        <v>1</v>
      </c>
      <c r="AG328" s="1">
        <f t="shared" si="161"/>
        <v>664.97034035708555</v>
      </c>
      <c r="AH328">
        <v>8</v>
      </c>
      <c r="AI328">
        <f t="shared" si="147"/>
        <v>84.48</v>
      </c>
      <c r="AJ328">
        <f t="shared" si="148"/>
        <v>8.4480000000000004</v>
      </c>
      <c r="AK328">
        <f t="shared" si="149"/>
        <v>1095.6000000000001</v>
      </c>
      <c r="AL328">
        <f t="shared" si="150"/>
        <v>109.56000000000002</v>
      </c>
      <c r="AM328">
        <f t="shared" si="143"/>
        <v>24</v>
      </c>
      <c r="AN328">
        <f t="shared" si="144"/>
        <v>2.4000000000000004</v>
      </c>
      <c r="AO328">
        <f t="shared" si="162"/>
        <v>1.6</v>
      </c>
      <c r="AP328">
        <f t="shared" si="163"/>
        <v>2</v>
      </c>
      <c r="AQ328">
        <f t="shared" si="164"/>
        <v>6</v>
      </c>
      <c r="AR328">
        <v>501</v>
      </c>
      <c r="AS328" s="1" t="str">
        <f t="shared" si="153"/>
        <v>1</v>
      </c>
      <c r="AT328">
        <v>5</v>
      </c>
      <c r="BP328" t="s">
        <v>945</v>
      </c>
      <c r="BQ328" t="str">
        <f t="shared" si="165"/>
        <v>1</v>
      </c>
      <c r="BT328">
        <v>37</v>
      </c>
      <c r="BU328" t="str">
        <f t="shared" si="141"/>
        <v>571037,582037,563037</v>
      </c>
      <c r="BV328">
        <f t="shared" si="154"/>
        <v>571037</v>
      </c>
      <c r="BW328">
        <f t="shared" si="152"/>
        <v>582037</v>
      </c>
      <c r="BX328">
        <f t="shared" si="156"/>
        <v>563037</v>
      </c>
      <c r="CF328" t="str">
        <f t="shared" si="145"/>
        <v>DATA_Class_Base53</v>
      </c>
      <c r="CG328" s="43" t="s">
        <v>349</v>
      </c>
    </row>
    <row r="329" spans="1:85" ht="27">
      <c r="A329">
        <f t="shared" si="146"/>
        <v>5084502</v>
      </c>
      <c r="B329" s="43" t="s">
        <v>1063</v>
      </c>
      <c r="C329">
        <v>8</v>
      </c>
      <c r="D329">
        <v>5</v>
      </c>
      <c r="E329">
        <v>4</v>
      </c>
      <c r="F329" t="s">
        <v>1343</v>
      </c>
      <c r="G329" t="str">
        <f t="shared" si="155"/>
        <v>游侠2_56_4</v>
      </c>
      <c r="H329">
        <v>0</v>
      </c>
      <c r="I329" s="2" t="s">
        <v>291</v>
      </c>
      <c r="J329" s="2">
        <f t="shared" si="142"/>
        <v>6</v>
      </c>
      <c r="K329" s="2">
        <f t="shared" si="160"/>
        <v>1.02</v>
      </c>
      <c r="L329" s="2">
        <f t="shared" si="159"/>
        <v>1.47</v>
      </c>
      <c r="M329" s="2">
        <v>10</v>
      </c>
      <c r="N329" s="2">
        <f t="shared" si="158"/>
        <v>73.919999999999987</v>
      </c>
      <c r="O329" s="2">
        <f t="shared" si="158"/>
        <v>7.3919999999999995</v>
      </c>
      <c r="P329" s="2">
        <f t="shared" si="158"/>
        <v>1095.6000000000001</v>
      </c>
      <c r="Q329" s="2">
        <f t="shared" si="157"/>
        <v>109.56000000000002</v>
      </c>
      <c r="R329" s="2">
        <f t="shared" si="157"/>
        <v>24</v>
      </c>
      <c r="S329" s="2">
        <f t="shared" si="157"/>
        <v>2.4000000000000004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>
        <v>50545021</v>
      </c>
      <c r="Z329" s="14" t="s">
        <v>1457</v>
      </c>
      <c r="AA329" s="14" t="s">
        <v>890</v>
      </c>
      <c r="AB329">
        <v>5094502</v>
      </c>
      <c r="AC329" s="2">
        <v>19</v>
      </c>
      <c r="AD329" s="2"/>
      <c r="AE329" s="2"/>
      <c r="AF329">
        <v>1</v>
      </c>
      <c r="AG329" s="1">
        <f t="shared" si="161"/>
        <v>664.97034035708532</v>
      </c>
      <c r="AH329">
        <v>8</v>
      </c>
      <c r="AI329">
        <f t="shared" si="147"/>
        <v>73.919999999999987</v>
      </c>
      <c r="AJ329">
        <f t="shared" si="148"/>
        <v>7.3919999999999995</v>
      </c>
      <c r="AK329">
        <f t="shared" si="149"/>
        <v>1095.6000000000001</v>
      </c>
      <c r="AL329">
        <f t="shared" si="150"/>
        <v>109.56000000000002</v>
      </c>
      <c r="AM329">
        <f t="shared" si="143"/>
        <v>24</v>
      </c>
      <c r="AN329">
        <f t="shared" si="144"/>
        <v>2.4000000000000004</v>
      </c>
      <c r="AO329">
        <f t="shared" si="162"/>
        <v>1.4</v>
      </c>
      <c r="AP329">
        <f t="shared" si="163"/>
        <v>2</v>
      </c>
      <c r="AQ329">
        <f t="shared" si="164"/>
        <v>6</v>
      </c>
      <c r="AR329">
        <v>502</v>
      </c>
      <c r="AS329" s="1" t="str">
        <f t="shared" si="153"/>
        <v>2</v>
      </c>
      <c r="AT329">
        <v>5</v>
      </c>
      <c r="BP329" t="s">
        <v>974</v>
      </c>
      <c r="BQ329" t="str">
        <f t="shared" si="165"/>
        <v>2</v>
      </c>
      <c r="BT329">
        <v>38</v>
      </c>
      <c r="BU329" t="str">
        <f t="shared" si="141"/>
        <v>571038,582038,563038</v>
      </c>
      <c r="BV329">
        <f t="shared" si="154"/>
        <v>571038</v>
      </c>
      <c r="BW329">
        <f t="shared" si="152"/>
        <v>582038</v>
      </c>
      <c r="BX329">
        <f t="shared" si="156"/>
        <v>563038</v>
      </c>
      <c r="CF329" t="str">
        <f t="shared" si="145"/>
        <v>DATA_Class_Base59</v>
      </c>
      <c r="CG329" s="43" t="s">
        <v>195</v>
      </c>
    </row>
    <row r="330" spans="1:85" ht="27">
      <c r="A330">
        <f t="shared" si="146"/>
        <v>5084600</v>
      </c>
      <c r="B330" s="43" t="s">
        <v>1047</v>
      </c>
      <c r="C330">
        <v>8</v>
      </c>
      <c r="D330">
        <v>6</v>
      </c>
      <c r="E330">
        <v>4</v>
      </c>
      <c r="F330" t="s">
        <v>1345</v>
      </c>
      <c r="G330" t="str">
        <f t="shared" si="155"/>
        <v>牧师0_56_4</v>
      </c>
      <c r="H330">
        <v>0</v>
      </c>
      <c r="I330" s="2" t="s">
        <v>339</v>
      </c>
      <c r="J330" s="2">
        <f t="shared" si="142"/>
        <v>4</v>
      </c>
      <c r="K330" s="2">
        <f t="shared" si="160"/>
        <v>1.02</v>
      </c>
      <c r="L330" s="2">
        <f t="shared" si="159"/>
        <v>1.3900000000000001</v>
      </c>
      <c r="M330" s="2">
        <v>10</v>
      </c>
      <c r="N330" s="2">
        <f t="shared" si="158"/>
        <v>61.599999999999994</v>
      </c>
      <c r="O330" s="2">
        <f t="shared" si="158"/>
        <v>6.16</v>
      </c>
      <c r="P330" s="2">
        <f t="shared" si="158"/>
        <v>1320</v>
      </c>
      <c r="Q330" s="2">
        <f t="shared" si="157"/>
        <v>132</v>
      </c>
      <c r="R330" s="2">
        <f t="shared" si="157"/>
        <v>30</v>
      </c>
      <c r="S330" s="2">
        <f t="shared" si="157"/>
        <v>3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>
        <v>50546001</v>
      </c>
      <c r="Z330" s="14" t="s">
        <v>1458</v>
      </c>
      <c r="AA330" s="14" t="s">
        <v>890</v>
      </c>
      <c r="AB330">
        <v>5094600</v>
      </c>
      <c r="AC330" s="2">
        <v>19</v>
      </c>
      <c r="AD330" s="2"/>
      <c r="AE330" s="2"/>
      <c r="AF330">
        <v>1</v>
      </c>
      <c r="AG330" s="1">
        <f t="shared" si="161"/>
        <v>668.52804509764451</v>
      </c>
      <c r="AH330">
        <v>8</v>
      </c>
      <c r="AI330">
        <f t="shared" si="147"/>
        <v>61.599999999999994</v>
      </c>
      <c r="AJ330">
        <f t="shared" si="148"/>
        <v>6.16</v>
      </c>
      <c r="AK330">
        <f t="shared" si="149"/>
        <v>1320</v>
      </c>
      <c r="AL330">
        <f t="shared" si="150"/>
        <v>132</v>
      </c>
      <c r="AM330">
        <f t="shared" si="143"/>
        <v>30</v>
      </c>
      <c r="AN330">
        <f t="shared" si="144"/>
        <v>3</v>
      </c>
      <c r="AO330">
        <f t="shared" si="162"/>
        <v>1.4</v>
      </c>
      <c r="AP330">
        <f t="shared" si="163"/>
        <v>1.9</v>
      </c>
      <c r="AQ330">
        <f t="shared" si="164"/>
        <v>4</v>
      </c>
      <c r="AR330">
        <v>600</v>
      </c>
      <c r="AS330" s="1" t="str">
        <f t="shared" si="153"/>
        <v>0</v>
      </c>
      <c r="AT330">
        <v>5</v>
      </c>
      <c r="BP330" t="s">
        <v>990</v>
      </c>
      <c r="BQ330" t="str">
        <f t="shared" si="165"/>
        <v>0</v>
      </c>
      <c r="BT330">
        <v>39</v>
      </c>
      <c r="BU330" t="str">
        <f t="shared" si="141"/>
        <v>571039,582039,563039</v>
      </c>
      <c r="BV330">
        <f t="shared" si="154"/>
        <v>571039</v>
      </c>
      <c r="BW330">
        <f t="shared" si="152"/>
        <v>582039</v>
      </c>
      <c r="BX330">
        <f t="shared" si="156"/>
        <v>563039</v>
      </c>
      <c r="CF330" t="str">
        <f t="shared" si="145"/>
        <v>DATA_Class_Base54</v>
      </c>
      <c r="CG330" s="43" t="s">
        <v>198</v>
      </c>
    </row>
    <row r="331" spans="1:85" ht="27">
      <c r="A331">
        <f t="shared" si="146"/>
        <v>5084601</v>
      </c>
      <c r="B331" s="43" t="s">
        <v>1050</v>
      </c>
      <c r="C331">
        <v>8</v>
      </c>
      <c r="D331">
        <v>6</v>
      </c>
      <c r="E331">
        <v>4</v>
      </c>
      <c r="F331" t="s">
        <v>1347</v>
      </c>
      <c r="G331" t="str">
        <f t="shared" si="155"/>
        <v>牧师1_56_4</v>
      </c>
      <c r="H331" s="2">
        <v>0</v>
      </c>
      <c r="I331" s="2" t="s">
        <v>309</v>
      </c>
      <c r="J331" s="2">
        <f t="shared" si="142"/>
        <v>5</v>
      </c>
      <c r="K331" s="2">
        <f t="shared" si="160"/>
        <v>1.1000000000000001</v>
      </c>
      <c r="L331" s="2">
        <f t="shared" si="159"/>
        <v>1.47</v>
      </c>
      <c r="M331" s="2">
        <v>10</v>
      </c>
      <c r="N331" s="2">
        <f t="shared" si="158"/>
        <v>66</v>
      </c>
      <c r="O331" s="2">
        <f t="shared" si="158"/>
        <v>6.6000000000000005</v>
      </c>
      <c r="P331" s="2">
        <f t="shared" si="158"/>
        <v>1320</v>
      </c>
      <c r="Q331" s="2">
        <f t="shared" si="157"/>
        <v>132</v>
      </c>
      <c r="R331" s="2">
        <f t="shared" si="157"/>
        <v>30</v>
      </c>
      <c r="S331" s="2">
        <f t="shared" si="157"/>
        <v>3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>
        <v>50546011</v>
      </c>
      <c r="Z331" s="14" t="s">
        <v>1459</v>
      </c>
      <c r="AA331" s="14" t="s">
        <v>890</v>
      </c>
      <c r="AB331">
        <v>5094601</v>
      </c>
      <c r="AC331" s="2">
        <v>19</v>
      </c>
      <c r="AD331" s="2"/>
      <c r="AE331" s="2"/>
      <c r="AF331">
        <v>1</v>
      </c>
      <c r="AG331" s="1">
        <f t="shared" si="161"/>
        <v>668.52804509764451</v>
      </c>
      <c r="AH331">
        <v>8</v>
      </c>
      <c r="AI331">
        <f t="shared" si="147"/>
        <v>66</v>
      </c>
      <c r="AJ331">
        <f t="shared" si="148"/>
        <v>6.6000000000000005</v>
      </c>
      <c r="AK331">
        <f t="shared" si="149"/>
        <v>1320</v>
      </c>
      <c r="AL331">
        <f t="shared" si="150"/>
        <v>132</v>
      </c>
      <c r="AM331">
        <f t="shared" si="143"/>
        <v>30</v>
      </c>
      <c r="AN331">
        <f t="shared" si="144"/>
        <v>3</v>
      </c>
      <c r="AO331">
        <f t="shared" si="162"/>
        <v>1.5</v>
      </c>
      <c r="AP331">
        <f t="shared" si="163"/>
        <v>2</v>
      </c>
      <c r="AQ331">
        <f t="shared" si="164"/>
        <v>5</v>
      </c>
      <c r="AR331">
        <v>601</v>
      </c>
      <c r="AS331" s="1" t="str">
        <f t="shared" si="153"/>
        <v>1</v>
      </c>
      <c r="AT331">
        <v>5</v>
      </c>
      <c r="BP331" t="s">
        <v>960</v>
      </c>
      <c r="BQ331" t="str">
        <f t="shared" si="165"/>
        <v>1</v>
      </c>
      <c r="BT331">
        <v>40</v>
      </c>
      <c r="BU331" t="str">
        <f t="shared" si="141"/>
        <v>571040,582040,563040</v>
      </c>
      <c r="BV331">
        <f t="shared" si="154"/>
        <v>571040</v>
      </c>
      <c r="BW331">
        <f t="shared" si="152"/>
        <v>582040</v>
      </c>
      <c r="BX331">
        <f t="shared" si="156"/>
        <v>563040</v>
      </c>
      <c r="CF331" t="str">
        <f t="shared" si="145"/>
        <v>DATA_Class_Base55</v>
      </c>
      <c r="CG331" s="43" t="s">
        <v>201</v>
      </c>
    </row>
    <row r="332" spans="1:85" ht="27">
      <c r="A332">
        <f t="shared" si="146"/>
        <v>5085201</v>
      </c>
      <c r="B332" s="43" t="s">
        <v>1025</v>
      </c>
      <c r="C332">
        <v>8</v>
      </c>
      <c r="D332">
        <v>2</v>
      </c>
      <c r="E332">
        <v>5</v>
      </c>
      <c r="F332" s="3" t="s">
        <v>1349</v>
      </c>
      <c r="G332" t="str">
        <f t="shared" si="155"/>
        <v>战士1_56_5</v>
      </c>
      <c r="H332" s="2">
        <v>0</v>
      </c>
      <c r="I332" s="2" t="s">
        <v>298</v>
      </c>
      <c r="J332" s="2">
        <f t="shared" si="142"/>
        <v>2.5</v>
      </c>
      <c r="K332" s="2">
        <f t="shared" si="160"/>
        <v>1.32</v>
      </c>
      <c r="L332" s="2">
        <f t="shared" si="159"/>
        <v>1.32</v>
      </c>
      <c r="M332" s="2">
        <v>10</v>
      </c>
      <c r="N332" s="2">
        <f t="shared" si="158"/>
        <v>63.360000000000007</v>
      </c>
      <c r="O332" s="2">
        <f t="shared" si="158"/>
        <v>6.3360000000000012</v>
      </c>
      <c r="P332" s="2">
        <f t="shared" si="158"/>
        <v>1650.0000000000002</v>
      </c>
      <c r="Q332" s="2">
        <f t="shared" si="157"/>
        <v>165.00000000000003</v>
      </c>
      <c r="R332" s="2">
        <f t="shared" si="157"/>
        <v>36</v>
      </c>
      <c r="S332" s="2">
        <f t="shared" si="157"/>
        <v>3.6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>
        <v>50552011</v>
      </c>
      <c r="Z332" s="14" t="s">
        <v>1460</v>
      </c>
      <c r="AA332" s="14" t="s">
        <v>890</v>
      </c>
      <c r="AB332">
        <v>5095201</v>
      </c>
      <c r="AC332" s="2">
        <v>19</v>
      </c>
      <c r="AD332" s="2"/>
      <c r="AE332" s="2"/>
      <c r="AF332">
        <v>1</v>
      </c>
      <c r="AG332" s="1">
        <f t="shared" si="161"/>
        <v>669.41754697201861</v>
      </c>
      <c r="AH332">
        <v>8</v>
      </c>
      <c r="AI332">
        <f t="shared" si="147"/>
        <v>63.360000000000007</v>
      </c>
      <c r="AJ332">
        <f t="shared" si="148"/>
        <v>6.3360000000000012</v>
      </c>
      <c r="AK332">
        <f t="shared" si="149"/>
        <v>1650.0000000000002</v>
      </c>
      <c r="AL332">
        <f t="shared" si="150"/>
        <v>165.00000000000003</v>
      </c>
      <c r="AM332">
        <f t="shared" si="143"/>
        <v>36</v>
      </c>
      <c r="AN332">
        <f t="shared" si="144"/>
        <v>3.6</v>
      </c>
      <c r="AO332">
        <f t="shared" si="162"/>
        <v>1.8</v>
      </c>
      <c r="AP332">
        <f t="shared" si="163"/>
        <v>1.8</v>
      </c>
      <c r="AQ332">
        <f t="shared" si="164"/>
        <v>2.5</v>
      </c>
      <c r="AR332">
        <v>201</v>
      </c>
      <c r="AS332" s="1" t="str">
        <f t="shared" si="153"/>
        <v>1</v>
      </c>
      <c r="AT332">
        <v>5</v>
      </c>
      <c r="BP332" t="s">
        <v>913</v>
      </c>
      <c r="BQ332" t="str">
        <f t="shared" si="165"/>
        <v>1</v>
      </c>
      <c r="BT332">
        <v>41</v>
      </c>
      <c r="BU332" t="str">
        <f t="shared" si="141"/>
        <v>571041,582041,563041</v>
      </c>
      <c r="BV332">
        <f t="shared" si="154"/>
        <v>571041</v>
      </c>
      <c r="BW332">
        <f t="shared" si="152"/>
        <v>582041</v>
      </c>
      <c r="BX332">
        <f t="shared" si="156"/>
        <v>563041</v>
      </c>
      <c r="CF332" t="str">
        <f t="shared" si="145"/>
        <v>DATA_Class_Base47</v>
      </c>
      <c r="CG332" s="43" t="s">
        <v>378</v>
      </c>
    </row>
    <row r="333" spans="1:85" ht="27">
      <c r="A333">
        <f t="shared" si="146"/>
        <v>5085202</v>
      </c>
      <c r="B333" s="43" t="s">
        <v>1053</v>
      </c>
      <c r="C333">
        <v>8</v>
      </c>
      <c r="D333">
        <v>2</v>
      </c>
      <c r="E333">
        <v>5</v>
      </c>
      <c r="F333" s="2" t="s">
        <v>1351</v>
      </c>
      <c r="G333" t="str">
        <f t="shared" si="155"/>
        <v>战士2_56_5</v>
      </c>
      <c r="H333">
        <v>0</v>
      </c>
      <c r="I333" s="2" t="s">
        <v>280</v>
      </c>
      <c r="J333" s="2">
        <f t="shared" si="142"/>
        <v>2.5</v>
      </c>
      <c r="K333" s="2">
        <f t="shared" si="160"/>
        <v>1.32</v>
      </c>
      <c r="L333" s="2">
        <f t="shared" si="159"/>
        <v>1.47</v>
      </c>
      <c r="M333" s="2">
        <v>10</v>
      </c>
      <c r="N333" s="2">
        <f t="shared" si="158"/>
        <v>63.360000000000007</v>
      </c>
      <c r="O333" s="2">
        <f t="shared" si="158"/>
        <v>6.3360000000000012</v>
      </c>
      <c r="P333" s="2">
        <f t="shared" si="158"/>
        <v>1650.0000000000002</v>
      </c>
      <c r="Q333" s="2">
        <f t="shared" si="157"/>
        <v>165.00000000000003</v>
      </c>
      <c r="R333" s="2">
        <f t="shared" si="157"/>
        <v>36</v>
      </c>
      <c r="S333" s="2">
        <f t="shared" si="157"/>
        <v>3.6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>
        <v>50552021</v>
      </c>
      <c r="Z333" s="14" t="s">
        <v>1461</v>
      </c>
      <c r="AA333" s="14" t="s">
        <v>890</v>
      </c>
      <c r="AB333">
        <v>5095202</v>
      </c>
      <c r="AC333" s="2">
        <v>19</v>
      </c>
      <c r="AD333" s="2"/>
      <c r="AE333" s="2"/>
      <c r="AF333">
        <v>1</v>
      </c>
      <c r="AG333" s="1">
        <f t="shared" si="161"/>
        <v>669.41754697201861</v>
      </c>
      <c r="AH333">
        <v>8</v>
      </c>
      <c r="AI333">
        <f t="shared" si="147"/>
        <v>63.360000000000007</v>
      </c>
      <c r="AJ333">
        <f t="shared" si="148"/>
        <v>6.3360000000000012</v>
      </c>
      <c r="AK333">
        <f t="shared" si="149"/>
        <v>1650.0000000000002</v>
      </c>
      <c r="AL333">
        <f t="shared" si="150"/>
        <v>165.00000000000003</v>
      </c>
      <c r="AM333">
        <f t="shared" si="143"/>
        <v>36</v>
      </c>
      <c r="AN333">
        <f t="shared" si="144"/>
        <v>3.6</v>
      </c>
      <c r="AO333">
        <f t="shared" si="162"/>
        <v>1.8</v>
      </c>
      <c r="AP333">
        <f t="shared" si="163"/>
        <v>2</v>
      </c>
      <c r="AQ333">
        <f t="shared" si="164"/>
        <v>2.5</v>
      </c>
      <c r="AR333">
        <v>202</v>
      </c>
      <c r="AS333" s="1" t="str">
        <f t="shared" si="153"/>
        <v>2</v>
      </c>
      <c r="AT333">
        <v>5</v>
      </c>
      <c r="BP333" t="s">
        <v>981</v>
      </c>
      <c r="BQ333" t="str">
        <f t="shared" si="165"/>
        <v>2</v>
      </c>
      <c r="BT333">
        <v>42</v>
      </c>
      <c r="BU333" t="str">
        <f t="shared" si="141"/>
        <v>571042,582042,563042</v>
      </c>
      <c r="BV333">
        <f t="shared" si="154"/>
        <v>571042</v>
      </c>
      <c r="BW333">
        <f t="shared" si="152"/>
        <v>582042</v>
      </c>
      <c r="BX333">
        <f t="shared" si="156"/>
        <v>563042</v>
      </c>
      <c r="CF333" t="str">
        <f t="shared" si="145"/>
        <v>DATA_Class_Base56</v>
      </c>
      <c r="CG333" s="43" t="s">
        <v>381</v>
      </c>
    </row>
    <row r="334" spans="1:85" ht="27">
      <c r="A334">
        <f t="shared" si="146"/>
        <v>5085302</v>
      </c>
      <c r="B334" s="43" t="s">
        <v>1056</v>
      </c>
      <c r="C334">
        <v>8</v>
      </c>
      <c r="D334">
        <v>3</v>
      </c>
      <c r="E334">
        <v>5</v>
      </c>
      <c r="F334" t="s">
        <v>1353</v>
      </c>
      <c r="G334" t="str">
        <f t="shared" si="155"/>
        <v>刺客2_56_5</v>
      </c>
      <c r="H334" s="2">
        <v>0</v>
      </c>
      <c r="I334" s="2" t="s">
        <v>358</v>
      </c>
      <c r="J334" s="2">
        <f t="shared" si="142"/>
        <v>2.5</v>
      </c>
      <c r="K334" s="2">
        <f t="shared" si="160"/>
        <v>1.02</v>
      </c>
      <c r="L334" s="2">
        <f t="shared" si="159"/>
        <v>1.25</v>
      </c>
      <c r="M334" s="2">
        <v>10</v>
      </c>
      <c r="N334" s="2">
        <f t="shared" si="158"/>
        <v>55.440000000000005</v>
      </c>
      <c r="O334" s="2">
        <f t="shared" si="158"/>
        <v>5.5440000000000005</v>
      </c>
      <c r="P334" s="2">
        <f t="shared" si="158"/>
        <v>1465.2000000000003</v>
      </c>
      <c r="Q334" s="2">
        <f t="shared" si="157"/>
        <v>146.52000000000004</v>
      </c>
      <c r="R334" s="2">
        <f t="shared" si="157"/>
        <v>33</v>
      </c>
      <c r="S334" s="2">
        <f t="shared" si="157"/>
        <v>3.3000000000000003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>
        <v>50553021</v>
      </c>
      <c r="Z334" s="14" t="s">
        <v>1462</v>
      </c>
      <c r="AA334" s="14" t="s">
        <v>890</v>
      </c>
      <c r="AB334">
        <v>5095300</v>
      </c>
      <c r="AC334" s="2">
        <v>19</v>
      </c>
      <c r="AD334" s="2"/>
      <c r="AE334" s="2"/>
      <c r="AF334">
        <v>1</v>
      </c>
      <c r="AG334" s="1">
        <f t="shared" si="161"/>
        <v>668.30352785220737</v>
      </c>
      <c r="AH334">
        <v>8</v>
      </c>
      <c r="AI334">
        <f t="shared" si="147"/>
        <v>55.440000000000005</v>
      </c>
      <c r="AJ334">
        <f t="shared" si="148"/>
        <v>5.5440000000000005</v>
      </c>
      <c r="AK334">
        <f t="shared" si="149"/>
        <v>1465.2000000000003</v>
      </c>
      <c r="AL334">
        <f t="shared" si="150"/>
        <v>146.52000000000004</v>
      </c>
      <c r="AM334">
        <f t="shared" si="143"/>
        <v>33</v>
      </c>
      <c r="AN334">
        <f t="shared" si="144"/>
        <v>3.3000000000000003</v>
      </c>
      <c r="AO334">
        <f t="shared" si="162"/>
        <v>1.4</v>
      </c>
      <c r="AP334">
        <f t="shared" si="163"/>
        <v>1.7</v>
      </c>
      <c r="AQ334">
        <f t="shared" si="164"/>
        <v>2.5</v>
      </c>
      <c r="AR334">
        <v>302</v>
      </c>
      <c r="AS334" s="1" t="str">
        <f t="shared" si="153"/>
        <v>2</v>
      </c>
      <c r="AT334">
        <v>5</v>
      </c>
      <c r="BP334" t="s">
        <v>983</v>
      </c>
      <c r="BQ334" t="str">
        <f t="shared" si="165"/>
        <v>2</v>
      </c>
      <c r="BT334">
        <v>43</v>
      </c>
      <c r="BU334" t="str">
        <f t="shared" si="141"/>
        <v>571043,582043,563043</v>
      </c>
      <c r="BV334">
        <f t="shared" si="154"/>
        <v>571043</v>
      </c>
      <c r="BW334">
        <f t="shared" si="152"/>
        <v>582043</v>
      </c>
      <c r="BX334">
        <f t="shared" si="156"/>
        <v>563043</v>
      </c>
      <c r="CF334" t="str">
        <f t="shared" si="145"/>
        <v>DATA_Class_Base57</v>
      </c>
      <c r="CG334" s="43" t="s">
        <v>1057</v>
      </c>
    </row>
    <row r="335" spans="1:85" ht="27">
      <c r="A335">
        <f t="shared" si="146"/>
        <v>5085301</v>
      </c>
      <c r="B335" s="43" t="s">
        <v>1031</v>
      </c>
      <c r="C335">
        <v>8</v>
      </c>
      <c r="D335">
        <v>3</v>
      </c>
      <c r="E335">
        <v>5</v>
      </c>
      <c r="F335" t="s">
        <v>1355</v>
      </c>
      <c r="G335" t="str">
        <f t="shared" si="155"/>
        <v>刺客1_56_5</v>
      </c>
      <c r="H335" s="2">
        <v>0</v>
      </c>
      <c r="I335" s="2" t="s">
        <v>285</v>
      </c>
      <c r="J335" s="2">
        <f t="shared" si="142"/>
        <v>2.5</v>
      </c>
      <c r="K335" s="2">
        <f t="shared" si="160"/>
        <v>0.88</v>
      </c>
      <c r="L335" s="2">
        <f t="shared" si="159"/>
        <v>1.47</v>
      </c>
      <c r="M335" s="2">
        <v>10</v>
      </c>
      <c r="N335" s="2">
        <f t="shared" si="158"/>
        <v>47.52000000000001</v>
      </c>
      <c r="O335" s="2">
        <f t="shared" si="158"/>
        <v>4.7520000000000016</v>
      </c>
      <c r="P335" s="2">
        <f t="shared" si="158"/>
        <v>1465.2000000000003</v>
      </c>
      <c r="Q335" s="2">
        <f t="shared" si="157"/>
        <v>146.52000000000004</v>
      </c>
      <c r="R335" s="2">
        <f t="shared" si="157"/>
        <v>33</v>
      </c>
      <c r="S335" s="2">
        <f t="shared" si="157"/>
        <v>3.3000000000000003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>
        <v>50553011</v>
      </c>
      <c r="Z335" s="14" t="s">
        <v>1463</v>
      </c>
      <c r="AA335" s="14" t="s">
        <v>890</v>
      </c>
      <c r="AB335">
        <v>5095302</v>
      </c>
      <c r="AC335" s="2">
        <v>19</v>
      </c>
      <c r="AD335" s="2"/>
      <c r="AE335" s="2"/>
      <c r="AF335">
        <v>1</v>
      </c>
      <c r="AG335" s="1">
        <f t="shared" si="161"/>
        <v>668.30352785220737</v>
      </c>
      <c r="AH335">
        <v>8</v>
      </c>
      <c r="AI335">
        <f t="shared" si="147"/>
        <v>47.52000000000001</v>
      </c>
      <c r="AJ335">
        <f t="shared" si="148"/>
        <v>4.7520000000000016</v>
      </c>
      <c r="AK335">
        <f t="shared" si="149"/>
        <v>1465.2000000000003</v>
      </c>
      <c r="AL335">
        <f t="shared" si="150"/>
        <v>146.52000000000004</v>
      </c>
      <c r="AM335">
        <f t="shared" si="143"/>
        <v>33</v>
      </c>
      <c r="AN335">
        <f t="shared" si="144"/>
        <v>3.3000000000000003</v>
      </c>
      <c r="AO335">
        <f t="shared" si="162"/>
        <v>1.2</v>
      </c>
      <c r="AP335">
        <f t="shared" si="163"/>
        <v>2</v>
      </c>
      <c r="AQ335">
        <f t="shared" si="164"/>
        <v>2.5</v>
      </c>
      <c r="AR335">
        <v>301</v>
      </c>
      <c r="AS335" s="1" t="str">
        <f t="shared" si="153"/>
        <v>1</v>
      </c>
      <c r="AT335">
        <v>5</v>
      </c>
      <c r="BP335" t="s">
        <v>923</v>
      </c>
      <c r="BQ335" t="str">
        <f t="shared" si="165"/>
        <v>1</v>
      </c>
      <c r="BT335">
        <v>44</v>
      </c>
      <c r="BU335" t="str">
        <f t="shared" ref="BU335:BU391" si="166">BV335&amp;","&amp;BW335&amp;","&amp;BX335</f>
        <v>571044,582044,563044</v>
      </c>
      <c r="BV335">
        <f t="shared" si="154"/>
        <v>571044</v>
      </c>
      <c r="BW335">
        <f t="shared" si="152"/>
        <v>582044</v>
      </c>
      <c r="BX335">
        <f t="shared" si="156"/>
        <v>563044</v>
      </c>
      <c r="CF335" t="str">
        <f t="shared" si="145"/>
        <v>DATA_Class_Base49</v>
      </c>
      <c r="CG335" s="43" t="s">
        <v>384</v>
      </c>
    </row>
    <row r="336" spans="1:85" ht="27">
      <c r="A336">
        <f t="shared" si="146"/>
        <v>5085400</v>
      </c>
      <c r="B336" s="43" t="s">
        <v>1060</v>
      </c>
      <c r="C336">
        <v>8</v>
      </c>
      <c r="D336">
        <v>4</v>
      </c>
      <c r="E336">
        <v>5</v>
      </c>
      <c r="F336" t="s">
        <v>1357</v>
      </c>
      <c r="G336" t="str">
        <f t="shared" si="155"/>
        <v>法师0_56_5</v>
      </c>
      <c r="H336">
        <v>0</v>
      </c>
      <c r="I336" s="2" t="s">
        <v>364</v>
      </c>
      <c r="J336" s="2">
        <f t="shared" ref="J336:J391" si="167">AQ336</f>
        <v>5</v>
      </c>
      <c r="K336" s="2">
        <f t="shared" si="160"/>
        <v>1.02</v>
      </c>
      <c r="L336" s="2">
        <f t="shared" si="159"/>
        <v>1.02</v>
      </c>
      <c r="M336" s="2">
        <v>10</v>
      </c>
      <c r="N336" s="2">
        <f t="shared" si="158"/>
        <v>67.760000000000005</v>
      </c>
      <c r="O336" s="2">
        <f t="shared" si="158"/>
        <v>6.7760000000000007</v>
      </c>
      <c r="P336" s="2">
        <f t="shared" si="158"/>
        <v>1201.2</v>
      </c>
      <c r="Q336" s="2">
        <f t="shared" si="157"/>
        <v>120.12</v>
      </c>
      <c r="R336" s="2">
        <f t="shared" si="157"/>
        <v>27</v>
      </c>
      <c r="S336" s="2">
        <f t="shared" si="157"/>
        <v>2.7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>
        <v>50554001</v>
      </c>
      <c r="Z336" s="14" t="s">
        <v>1464</v>
      </c>
      <c r="AA336" s="14" t="s">
        <v>890</v>
      </c>
      <c r="AB336">
        <v>5095400</v>
      </c>
      <c r="AC336" s="2">
        <v>19</v>
      </c>
      <c r="AD336" s="2"/>
      <c r="AE336" s="2"/>
      <c r="AF336">
        <v>1</v>
      </c>
      <c r="AG336" s="1">
        <f t="shared" si="161"/>
        <v>668.75226420940396</v>
      </c>
      <c r="AH336">
        <v>8</v>
      </c>
      <c r="AI336">
        <f t="shared" si="147"/>
        <v>67.760000000000005</v>
      </c>
      <c r="AJ336">
        <f t="shared" si="148"/>
        <v>6.7760000000000007</v>
      </c>
      <c r="AK336">
        <f t="shared" si="149"/>
        <v>1201.2</v>
      </c>
      <c r="AL336">
        <f t="shared" si="150"/>
        <v>120.12</v>
      </c>
      <c r="AM336">
        <f t="shared" ref="AM336:AM391" si="168">INDEX($AY$5:$AY$34,MATCH($AR336,$AU$5:$AU$34,0))*$BC$4</f>
        <v>27</v>
      </c>
      <c r="AN336">
        <f t="shared" ref="AN336:AN391" si="169">(INDEX($AY$5:$AY$34,MATCH($AR336,$AU$5:$AU$34,0))*$BC$4)*0.1</f>
        <v>2.7</v>
      </c>
      <c r="AO336">
        <f t="shared" si="162"/>
        <v>1.4</v>
      </c>
      <c r="AP336">
        <f t="shared" si="163"/>
        <v>1.4</v>
      </c>
      <c r="AQ336">
        <f t="shared" si="164"/>
        <v>5</v>
      </c>
      <c r="AR336">
        <v>400</v>
      </c>
      <c r="AS336" s="1" t="str">
        <f t="shared" si="153"/>
        <v>0</v>
      </c>
      <c r="AT336">
        <v>5</v>
      </c>
      <c r="BP336" t="s">
        <v>986</v>
      </c>
      <c r="BQ336" t="str">
        <f t="shared" si="165"/>
        <v>0</v>
      </c>
      <c r="BT336">
        <v>45</v>
      </c>
      <c r="BU336" t="str">
        <f t="shared" si="166"/>
        <v>571045,582045,563045</v>
      </c>
      <c r="BV336">
        <f t="shared" si="154"/>
        <v>571045</v>
      </c>
      <c r="BW336">
        <f t="shared" si="152"/>
        <v>582045</v>
      </c>
      <c r="BX336">
        <f t="shared" si="156"/>
        <v>563045</v>
      </c>
      <c r="CF336" t="str">
        <f t="shared" ref="CF336:CF391" si="170">INDEX($CC$16:$CC$75,MATCH($CG336,$CD$16:$CD$75,0))</f>
        <v>DATA_Class_Base58</v>
      </c>
      <c r="CG336" s="43" t="s">
        <v>174</v>
      </c>
    </row>
    <row r="337" spans="1:85" ht="27">
      <c r="A337">
        <f t="shared" ref="A337:A391" si="171">AT337*1000000+C337*10000+E337*1000+AR337</f>
        <v>5085402</v>
      </c>
      <c r="B337" s="43" t="s">
        <v>1037</v>
      </c>
      <c r="C337">
        <v>8</v>
      </c>
      <c r="D337">
        <v>4</v>
      </c>
      <c r="E337">
        <v>5</v>
      </c>
      <c r="F337" t="s">
        <v>1359</v>
      </c>
      <c r="G337" t="str">
        <f t="shared" si="155"/>
        <v>法师2_56_5</v>
      </c>
      <c r="H337" s="2">
        <v>0</v>
      </c>
      <c r="I337" s="2" t="s">
        <v>250</v>
      </c>
      <c r="J337" s="2">
        <f t="shared" si="167"/>
        <v>5</v>
      </c>
      <c r="K337" s="2">
        <f t="shared" si="160"/>
        <v>1.1000000000000001</v>
      </c>
      <c r="L337" s="2">
        <f t="shared" si="159"/>
        <v>1.1000000000000001</v>
      </c>
      <c r="M337" s="2">
        <v>10</v>
      </c>
      <c r="N337" s="2">
        <f t="shared" si="158"/>
        <v>72.600000000000009</v>
      </c>
      <c r="O337" s="2">
        <f t="shared" si="158"/>
        <v>7.2600000000000016</v>
      </c>
      <c r="P337" s="2">
        <f t="shared" si="158"/>
        <v>1201.2</v>
      </c>
      <c r="Q337" s="2">
        <f t="shared" si="157"/>
        <v>120.12</v>
      </c>
      <c r="R337" s="2">
        <f t="shared" si="157"/>
        <v>27</v>
      </c>
      <c r="S337" s="2">
        <f t="shared" si="157"/>
        <v>2.7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>
        <v>50554021</v>
      </c>
      <c r="Z337" s="14" t="s">
        <v>1465</v>
      </c>
      <c r="AA337" s="14" t="s">
        <v>890</v>
      </c>
      <c r="AB337">
        <v>5095402</v>
      </c>
      <c r="AC337" s="2">
        <v>19</v>
      </c>
      <c r="AD337" s="2"/>
      <c r="AE337" s="2"/>
      <c r="AF337">
        <v>1</v>
      </c>
      <c r="AG337" s="1">
        <f t="shared" si="161"/>
        <v>668.75226420940407</v>
      </c>
      <c r="AH337">
        <v>8</v>
      </c>
      <c r="AI337">
        <f t="shared" ref="AI337:AI391" si="172">INDEX($AW$5:$AW$34,MATCH($AR337,$AU$5:$AU$34,0))*$AO337/1.5*$BA$4*INDEX($AW$77:$BJ$77,MATCH($AH337,$AW$76:$BJ$76,0))</f>
        <v>72.600000000000009</v>
      </c>
      <c r="AJ337">
        <f t="shared" ref="AJ337:AJ391" si="173">(INDEX($AW$5:$AW$34,MATCH($AR337,$AU$5:$AU$34,0))*$AO337/1.5*$BA$4*INDEX($AW$77:$BJ$77,MATCH($AH337,$AW$76:$BJ$76,0)))*0.1</f>
        <v>7.2600000000000016</v>
      </c>
      <c r="AK337">
        <f t="shared" ref="AK337:AK391" si="174">INDEX($AX$5:$AX$34,MATCH($AR337,$AU$5:$AU$34,0))*$BB$4*INDEX($AW$77:$BJ$77,MATCH($AH337,$AW$76:$BJ$76,0))</f>
        <v>1201.2</v>
      </c>
      <c r="AL337">
        <f t="shared" ref="AL337:AL391" si="175">(INDEX($AX$5:$AX$34,MATCH($AR337,$AU$5:$AU$34,0))*$BB$4*INDEX($AW$77:$BJ$77,MATCH($AH337,$AW$76:$BJ$76,0)))*0.1</f>
        <v>120.12</v>
      </c>
      <c r="AM337">
        <f t="shared" si="168"/>
        <v>27</v>
      </c>
      <c r="AN337">
        <f t="shared" si="169"/>
        <v>2.7</v>
      </c>
      <c r="AO337">
        <f t="shared" si="162"/>
        <v>1.5</v>
      </c>
      <c r="AP337">
        <f t="shared" si="163"/>
        <v>1.5</v>
      </c>
      <c r="AQ337">
        <f t="shared" si="164"/>
        <v>5</v>
      </c>
      <c r="AR337">
        <v>402</v>
      </c>
      <c r="AS337" s="1" t="str">
        <f t="shared" si="153"/>
        <v>2</v>
      </c>
      <c r="AT337">
        <v>5</v>
      </c>
      <c r="BP337" t="s">
        <v>971</v>
      </c>
      <c r="BQ337" t="str">
        <f t="shared" si="165"/>
        <v>2</v>
      </c>
      <c r="BT337">
        <v>46</v>
      </c>
      <c r="BU337" t="str">
        <f t="shared" si="166"/>
        <v>571046,582046,563046</v>
      </c>
      <c r="BV337">
        <f t="shared" si="154"/>
        <v>571046</v>
      </c>
      <c r="BW337">
        <f t="shared" si="152"/>
        <v>582046</v>
      </c>
      <c r="BX337">
        <f t="shared" si="156"/>
        <v>563046</v>
      </c>
      <c r="CF337" t="str">
        <f t="shared" si="170"/>
        <v>DATA_Class_Base51</v>
      </c>
      <c r="CG337" s="43" t="s">
        <v>1038</v>
      </c>
    </row>
    <row r="338" spans="1:85" ht="27">
      <c r="A338">
        <f t="shared" si="171"/>
        <v>5085500</v>
      </c>
      <c r="B338" s="43" t="s">
        <v>1041</v>
      </c>
      <c r="C338">
        <v>8</v>
      </c>
      <c r="D338">
        <v>5</v>
      </c>
      <c r="E338">
        <v>5</v>
      </c>
      <c r="F338" t="s">
        <v>1361</v>
      </c>
      <c r="G338" t="str">
        <f t="shared" si="155"/>
        <v>游侠0_56_5</v>
      </c>
      <c r="H338" s="2">
        <v>0</v>
      </c>
      <c r="I338" s="2" t="s">
        <v>303</v>
      </c>
      <c r="J338" s="2">
        <f t="shared" si="167"/>
        <v>5</v>
      </c>
      <c r="K338" s="2">
        <f t="shared" si="160"/>
        <v>1.1000000000000001</v>
      </c>
      <c r="L338" s="2">
        <f t="shared" si="159"/>
        <v>1.1000000000000001</v>
      </c>
      <c r="M338" s="2">
        <v>10</v>
      </c>
      <c r="N338" s="2">
        <f t="shared" si="158"/>
        <v>79.2</v>
      </c>
      <c r="O338" s="2">
        <f t="shared" si="158"/>
        <v>7.9200000000000008</v>
      </c>
      <c r="P338" s="2">
        <f t="shared" si="158"/>
        <v>1095.6000000000001</v>
      </c>
      <c r="Q338" s="2">
        <f t="shared" si="157"/>
        <v>109.56000000000002</v>
      </c>
      <c r="R338" s="2">
        <f t="shared" si="157"/>
        <v>24</v>
      </c>
      <c r="S338" s="2">
        <f t="shared" si="157"/>
        <v>2.4000000000000004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>
        <v>50555001</v>
      </c>
      <c r="Z338" s="14" t="s">
        <v>1466</v>
      </c>
      <c r="AA338" s="14" t="s">
        <v>890</v>
      </c>
      <c r="AB338">
        <v>5095500</v>
      </c>
      <c r="AC338" s="2">
        <v>19</v>
      </c>
      <c r="AD338" s="2"/>
      <c r="AE338" s="2"/>
      <c r="AF338">
        <v>1</v>
      </c>
      <c r="AG338" s="1">
        <f t="shared" si="161"/>
        <v>664.97034035708555</v>
      </c>
      <c r="AH338">
        <v>8</v>
      </c>
      <c r="AI338">
        <f t="shared" si="172"/>
        <v>79.2</v>
      </c>
      <c r="AJ338">
        <f t="shared" si="173"/>
        <v>7.9200000000000008</v>
      </c>
      <c r="AK338">
        <f t="shared" si="174"/>
        <v>1095.6000000000001</v>
      </c>
      <c r="AL338">
        <f t="shared" si="175"/>
        <v>109.56000000000002</v>
      </c>
      <c r="AM338">
        <f t="shared" si="168"/>
        <v>24</v>
      </c>
      <c r="AN338">
        <f t="shared" si="169"/>
        <v>2.4000000000000004</v>
      </c>
      <c r="AO338">
        <f t="shared" si="162"/>
        <v>1.5</v>
      </c>
      <c r="AP338">
        <f t="shared" si="163"/>
        <v>1.5</v>
      </c>
      <c r="AQ338">
        <f t="shared" si="164"/>
        <v>5</v>
      </c>
      <c r="AR338">
        <v>500</v>
      </c>
      <c r="AS338" s="1" t="str">
        <f t="shared" si="153"/>
        <v>0</v>
      </c>
      <c r="AT338">
        <v>5</v>
      </c>
      <c r="BP338" t="s">
        <v>956</v>
      </c>
      <c r="BQ338" t="str">
        <f t="shared" si="165"/>
        <v>0</v>
      </c>
      <c r="BT338">
        <v>47</v>
      </c>
      <c r="BU338" t="str">
        <f t="shared" si="166"/>
        <v>571047,582047,563047</v>
      </c>
      <c r="BV338">
        <f t="shared" si="154"/>
        <v>571047</v>
      </c>
      <c r="BW338">
        <f t="shared" si="152"/>
        <v>582047</v>
      </c>
      <c r="BX338">
        <f t="shared" si="156"/>
        <v>563047</v>
      </c>
      <c r="CF338" t="str">
        <f t="shared" si="170"/>
        <v>DATA_Class_Base52</v>
      </c>
      <c r="CG338" s="43" t="s">
        <v>184</v>
      </c>
    </row>
    <row r="339" spans="1:85" ht="27">
      <c r="A339">
        <f t="shared" si="171"/>
        <v>5085502</v>
      </c>
      <c r="B339" s="43" t="s">
        <v>1063</v>
      </c>
      <c r="C339">
        <v>8</v>
      </c>
      <c r="D339">
        <v>5</v>
      </c>
      <c r="E339">
        <v>5</v>
      </c>
      <c r="F339" t="s">
        <v>1363</v>
      </c>
      <c r="G339" t="str">
        <f t="shared" si="155"/>
        <v>游侠2_56_5</v>
      </c>
      <c r="H339">
        <v>0</v>
      </c>
      <c r="I339" s="2" t="s">
        <v>291</v>
      </c>
      <c r="J339" s="2">
        <f t="shared" si="167"/>
        <v>6</v>
      </c>
      <c r="K339" s="2">
        <f t="shared" si="160"/>
        <v>1.02</v>
      </c>
      <c r="L339" s="2">
        <f t="shared" si="159"/>
        <v>1.47</v>
      </c>
      <c r="M339" s="2">
        <v>10</v>
      </c>
      <c r="N339" s="2">
        <f t="shared" si="158"/>
        <v>73.919999999999987</v>
      </c>
      <c r="O339" s="2">
        <f t="shared" si="158"/>
        <v>7.3919999999999995</v>
      </c>
      <c r="P339" s="2">
        <f t="shared" si="158"/>
        <v>1095.6000000000001</v>
      </c>
      <c r="Q339" s="2">
        <f t="shared" si="157"/>
        <v>109.56000000000002</v>
      </c>
      <c r="R339" s="2">
        <f t="shared" si="157"/>
        <v>24</v>
      </c>
      <c r="S339" s="2">
        <f t="shared" si="157"/>
        <v>2.4000000000000004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>
        <v>50555021</v>
      </c>
      <c r="Z339" s="14" t="s">
        <v>1467</v>
      </c>
      <c r="AA339" s="14" t="s">
        <v>890</v>
      </c>
      <c r="AB339">
        <v>5095502</v>
      </c>
      <c r="AC339" s="2">
        <v>19</v>
      </c>
      <c r="AD339" s="2"/>
      <c r="AE339" s="2"/>
      <c r="AF339">
        <v>1</v>
      </c>
      <c r="AG339" s="1">
        <f t="shared" si="161"/>
        <v>664.97034035708532</v>
      </c>
      <c r="AH339">
        <v>8</v>
      </c>
      <c r="AI339">
        <f t="shared" si="172"/>
        <v>73.919999999999987</v>
      </c>
      <c r="AJ339">
        <f t="shared" si="173"/>
        <v>7.3919999999999995</v>
      </c>
      <c r="AK339">
        <f t="shared" si="174"/>
        <v>1095.6000000000001</v>
      </c>
      <c r="AL339">
        <f t="shared" si="175"/>
        <v>109.56000000000002</v>
      </c>
      <c r="AM339">
        <f t="shared" si="168"/>
        <v>24</v>
      </c>
      <c r="AN339">
        <f t="shared" si="169"/>
        <v>2.4000000000000004</v>
      </c>
      <c r="AO339">
        <f t="shared" si="162"/>
        <v>1.4</v>
      </c>
      <c r="AP339">
        <f t="shared" si="163"/>
        <v>2</v>
      </c>
      <c r="AQ339">
        <f t="shared" si="164"/>
        <v>6</v>
      </c>
      <c r="AR339">
        <v>502</v>
      </c>
      <c r="AS339" s="1" t="str">
        <f t="shared" si="153"/>
        <v>2</v>
      </c>
      <c r="AT339">
        <v>5</v>
      </c>
      <c r="BP339" t="s">
        <v>974</v>
      </c>
      <c r="BQ339" t="str">
        <f t="shared" si="165"/>
        <v>2</v>
      </c>
      <c r="BT339">
        <v>48</v>
      </c>
      <c r="BU339" t="str">
        <f t="shared" si="166"/>
        <v>571048,582048,563048</v>
      </c>
      <c r="BV339">
        <f t="shared" si="154"/>
        <v>571048</v>
      </c>
      <c r="BW339">
        <f t="shared" si="152"/>
        <v>582048</v>
      </c>
      <c r="BX339">
        <f t="shared" si="156"/>
        <v>563048</v>
      </c>
      <c r="CF339" t="str">
        <f t="shared" si="170"/>
        <v>DATA_Class_Base59</v>
      </c>
      <c r="CG339" s="43" t="s">
        <v>195</v>
      </c>
    </row>
    <row r="340" spans="1:85" ht="27">
      <c r="A340">
        <f t="shared" si="171"/>
        <v>5085600</v>
      </c>
      <c r="B340" s="43" t="s">
        <v>1047</v>
      </c>
      <c r="C340">
        <v>8</v>
      </c>
      <c r="D340">
        <v>6</v>
      </c>
      <c r="E340">
        <v>5</v>
      </c>
      <c r="F340" t="s">
        <v>1365</v>
      </c>
      <c r="G340" t="str">
        <f t="shared" si="155"/>
        <v>牧师0_56_5</v>
      </c>
      <c r="H340">
        <v>0</v>
      </c>
      <c r="I340" s="2" t="s">
        <v>339</v>
      </c>
      <c r="J340" s="2">
        <f t="shared" si="167"/>
        <v>4</v>
      </c>
      <c r="K340" s="2">
        <f t="shared" si="160"/>
        <v>1.02</v>
      </c>
      <c r="L340" s="2">
        <f t="shared" si="159"/>
        <v>1.3900000000000001</v>
      </c>
      <c r="M340" s="2">
        <v>10</v>
      </c>
      <c r="N340" s="2">
        <f t="shared" si="158"/>
        <v>61.599999999999994</v>
      </c>
      <c r="O340" s="2">
        <f t="shared" si="158"/>
        <v>6.16</v>
      </c>
      <c r="P340" s="2">
        <f t="shared" si="158"/>
        <v>1320</v>
      </c>
      <c r="Q340" s="2">
        <f t="shared" si="157"/>
        <v>132</v>
      </c>
      <c r="R340" s="2">
        <f t="shared" si="157"/>
        <v>30</v>
      </c>
      <c r="S340" s="2">
        <f t="shared" si="157"/>
        <v>3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>
        <v>50556001</v>
      </c>
      <c r="Z340" s="14" t="s">
        <v>1468</v>
      </c>
      <c r="AA340" s="14" t="s">
        <v>890</v>
      </c>
      <c r="AB340">
        <v>5095600</v>
      </c>
      <c r="AC340" s="2">
        <v>19</v>
      </c>
      <c r="AD340" s="2"/>
      <c r="AE340" s="2"/>
      <c r="AF340">
        <v>1</v>
      </c>
      <c r="AG340" s="1">
        <f t="shared" si="161"/>
        <v>668.52804509764451</v>
      </c>
      <c r="AH340">
        <v>8</v>
      </c>
      <c r="AI340">
        <f t="shared" si="172"/>
        <v>61.599999999999994</v>
      </c>
      <c r="AJ340">
        <f t="shared" si="173"/>
        <v>6.16</v>
      </c>
      <c r="AK340">
        <f t="shared" si="174"/>
        <v>1320</v>
      </c>
      <c r="AL340">
        <f t="shared" si="175"/>
        <v>132</v>
      </c>
      <c r="AM340">
        <f t="shared" si="168"/>
        <v>30</v>
      </c>
      <c r="AN340">
        <f t="shared" si="169"/>
        <v>3</v>
      </c>
      <c r="AO340">
        <f t="shared" si="162"/>
        <v>1.4</v>
      </c>
      <c r="AP340">
        <f t="shared" si="163"/>
        <v>1.9</v>
      </c>
      <c r="AQ340">
        <f t="shared" si="164"/>
        <v>4</v>
      </c>
      <c r="AR340">
        <v>600</v>
      </c>
      <c r="AS340" s="1" t="str">
        <f t="shared" si="153"/>
        <v>0</v>
      </c>
      <c r="AT340">
        <v>5</v>
      </c>
      <c r="BP340" t="s">
        <v>990</v>
      </c>
      <c r="BQ340" t="str">
        <f t="shared" si="165"/>
        <v>0</v>
      </c>
      <c r="BT340">
        <v>49</v>
      </c>
      <c r="BU340" t="str">
        <f t="shared" si="166"/>
        <v>571049,582049,563049</v>
      </c>
      <c r="BV340">
        <f t="shared" si="154"/>
        <v>571049</v>
      </c>
      <c r="BW340">
        <f t="shared" si="152"/>
        <v>582049</v>
      </c>
      <c r="BX340">
        <f t="shared" si="156"/>
        <v>563049</v>
      </c>
      <c r="CF340" t="str">
        <f t="shared" si="170"/>
        <v>DATA_Class_Base54</v>
      </c>
      <c r="CG340" s="43" t="s">
        <v>198</v>
      </c>
    </row>
    <row r="341" spans="1:85" ht="27">
      <c r="A341">
        <f t="shared" si="171"/>
        <v>5085602</v>
      </c>
      <c r="B341" s="43" t="s">
        <v>1066</v>
      </c>
      <c r="C341">
        <v>8</v>
      </c>
      <c r="D341">
        <v>6</v>
      </c>
      <c r="E341">
        <v>5</v>
      </c>
      <c r="F341" t="s">
        <v>1367</v>
      </c>
      <c r="G341" t="str">
        <f t="shared" si="155"/>
        <v>牧师2_56_5</v>
      </c>
      <c r="H341" t="s">
        <v>345</v>
      </c>
      <c r="I341" s="2" t="s">
        <v>346</v>
      </c>
      <c r="J341" s="2">
        <f t="shared" si="167"/>
        <v>6</v>
      </c>
      <c r="K341" s="2">
        <f t="shared" si="160"/>
        <v>1.32</v>
      </c>
      <c r="L341" s="2">
        <f t="shared" si="159"/>
        <v>1.47</v>
      </c>
      <c r="M341" s="2">
        <v>10</v>
      </c>
      <c r="N341" s="2">
        <f t="shared" si="158"/>
        <v>79.2</v>
      </c>
      <c r="O341" s="2">
        <f t="shared" si="158"/>
        <v>7.9200000000000008</v>
      </c>
      <c r="P341" s="2">
        <f t="shared" si="158"/>
        <v>1320</v>
      </c>
      <c r="Q341" s="2">
        <f t="shared" si="157"/>
        <v>132</v>
      </c>
      <c r="R341" s="2">
        <f t="shared" si="157"/>
        <v>30</v>
      </c>
      <c r="S341" s="2">
        <f t="shared" si="157"/>
        <v>3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>
        <v>50556021</v>
      </c>
      <c r="Z341" s="14" t="s">
        <v>1469</v>
      </c>
      <c r="AA341" s="14" t="s">
        <v>890</v>
      </c>
      <c r="AB341">
        <v>5095602</v>
      </c>
      <c r="AC341" s="2">
        <v>19</v>
      </c>
      <c r="AD341" s="2"/>
      <c r="AE341" s="2"/>
      <c r="AF341">
        <v>1</v>
      </c>
      <c r="AG341" s="1">
        <f t="shared" si="161"/>
        <v>668.52804509764451</v>
      </c>
      <c r="AH341">
        <v>8</v>
      </c>
      <c r="AI341">
        <f t="shared" si="172"/>
        <v>79.2</v>
      </c>
      <c r="AJ341">
        <f t="shared" si="173"/>
        <v>7.9200000000000008</v>
      </c>
      <c r="AK341">
        <f t="shared" si="174"/>
        <v>1320</v>
      </c>
      <c r="AL341">
        <f t="shared" si="175"/>
        <v>132</v>
      </c>
      <c r="AM341">
        <f t="shared" si="168"/>
        <v>30</v>
      </c>
      <c r="AN341">
        <f t="shared" si="169"/>
        <v>3</v>
      </c>
      <c r="AO341">
        <f t="shared" si="162"/>
        <v>1.8</v>
      </c>
      <c r="AP341">
        <f t="shared" si="163"/>
        <v>2</v>
      </c>
      <c r="AQ341">
        <f t="shared" si="164"/>
        <v>6</v>
      </c>
      <c r="AR341">
        <v>602</v>
      </c>
      <c r="AS341" s="1" t="str">
        <f t="shared" si="153"/>
        <v>2</v>
      </c>
      <c r="AT341">
        <v>5</v>
      </c>
      <c r="BP341" t="s">
        <v>978</v>
      </c>
      <c r="BQ341" t="str">
        <f t="shared" si="165"/>
        <v>2</v>
      </c>
      <c r="BT341">
        <v>50</v>
      </c>
      <c r="BU341" t="str">
        <f t="shared" si="166"/>
        <v>571050,582050,563050</v>
      </c>
      <c r="BV341">
        <f t="shared" si="154"/>
        <v>571050</v>
      </c>
      <c r="BW341">
        <f t="shared" si="152"/>
        <v>582050</v>
      </c>
      <c r="BX341">
        <f t="shared" si="156"/>
        <v>563050</v>
      </c>
      <c r="CF341" t="str">
        <f t="shared" si="170"/>
        <v>DATA_Class_Base60</v>
      </c>
      <c r="CG341" s="43" t="s">
        <v>407</v>
      </c>
    </row>
    <row r="342" spans="1:85">
      <c r="A342">
        <f t="shared" si="171"/>
        <v>5091200</v>
      </c>
      <c r="B342" s="44" t="s">
        <v>1021</v>
      </c>
      <c r="C342">
        <v>9</v>
      </c>
      <c r="D342">
        <v>2</v>
      </c>
      <c r="E342">
        <v>1</v>
      </c>
      <c r="F342" t="s">
        <v>1269</v>
      </c>
      <c r="G342" t="str">
        <f t="shared" si="155"/>
        <v>战士0_56_1</v>
      </c>
      <c r="H342">
        <v>0</v>
      </c>
      <c r="I342" s="2" t="s">
        <v>314</v>
      </c>
      <c r="J342" s="2">
        <f t="shared" si="167"/>
        <v>2.5</v>
      </c>
      <c r="K342" s="2">
        <f t="shared" si="160"/>
        <v>1.1000000000000001</v>
      </c>
      <c r="L342" s="2">
        <f t="shared" si="159"/>
        <v>0.88</v>
      </c>
      <c r="M342" s="2">
        <v>10</v>
      </c>
      <c r="N342" s="2">
        <f t="shared" si="158"/>
        <v>57.600000000000009</v>
      </c>
      <c r="O342" s="2">
        <f t="shared" si="158"/>
        <v>5.7600000000000016</v>
      </c>
      <c r="P342" s="2">
        <f t="shared" si="158"/>
        <v>1800</v>
      </c>
      <c r="Q342" s="2">
        <f t="shared" si="157"/>
        <v>180</v>
      </c>
      <c r="R342" s="2">
        <f t="shared" si="157"/>
        <v>36</v>
      </c>
      <c r="S342" s="2">
        <f t="shared" si="157"/>
        <v>3.6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>
        <v>50512001</v>
      </c>
      <c r="Z342" s="14" t="s">
        <v>1470</v>
      </c>
      <c r="AA342" s="14" t="s">
        <v>890</v>
      </c>
      <c r="AB342">
        <v>0</v>
      </c>
      <c r="AC342" s="2">
        <v>31</v>
      </c>
      <c r="AD342" s="2"/>
      <c r="AE342" s="2"/>
      <c r="AF342">
        <v>1</v>
      </c>
      <c r="AG342" s="1">
        <f t="shared" si="161"/>
        <v>796.66220466091477</v>
      </c>
      <c r="AH342">
        <v>9</v>
      </c>
      <c r="AI342">
        <f t="shared" si="172"/>
        <v>57.600000000000009</v>
      </c>
      <c r="AJ342">
        <f t="shared" si="173"/>
        <v>5.7600000000000016</v>
      </c>
      <c r="AK342">
        <f t="shared" si="174"/>
        <v>1800</v>
      </c>
      <c r="AL342">
        <f t="shared" si="175"/>
        <v>180</v>
      </c>
      <c r="AM342">
        <f t="shared" si="168"/>
        <v>36</v>
      </c>
      <c r="AN342">
        <f t="shared" si="169"/>
        <v>3.6</v>
      </c>
      <c r="AO342">
        <f t="shared" si="162"/>
        <v>1.5</v>
      </c>
      <c r="AP342">
        <f t="shared" si="163"/>
        <v>1.2</v>
      </c>
      <c r="AQ342">
        <f t="shared" si="164"/>
        <v>2.5</v>
      </c>
      <c r="AR342">
        <v>200</v>
      </c>
      <c r="AS342" s="1" t="str">
        <f t="shared" si="153"/>
        <v>0</v>
      </c>
      <c r="AT342">
        <v>5</v>
      </c>
      <c r="BP342" t="s">
        <v>964</v>
      </c>
      <c r="BQ342" t="str">
        <f t="shared" si="165"/>
        <v>0</v>
      </c>
      <c r="BT342">
        <v>1</v>
      </c>
      <c r="BU342" t="str">
        <f t="shared" si="166"/>
        <v>571001,582001,593001</v>
      </c>
      <c r="BV342">
        <f t="shared" si="154"/>
        <v>571001</v>
      </c>
      <c r="BW342">
        <f>$AT342*100000+8*10000+2*1000+$BT342</f>
        <v>582001</v>
      </c>
      <c r="BX342">
        <f t="shared" ref="BX342:BX391" si="176">$AT342*100000+$AH342*10000+3*1000+$BT342</f>
        <v>593001</v>
      </c>
      <c r="CF342" t="str">
        <f t="shared" si="170"/>
        <v>DATA_Class_Base46</v>
      </c>
      <c r="CG342" s="44" t="s">
        <v>1022</v>
      </c>
    </row>
    <row r="343" spans="1:85" ht="27">
      <c r="A343">
        <f t="shared" si="171"/>
        <v>5091201</v>
      </c>
      <c r="B343" s="45" t="s">
        <v>1025</v>
      </c>
      <c r="C343">
        <v>9</v>
      </c>
      <c r="D343">
        <v>2</v>
      </c>
      <c r="E343">
        <v>1</v>
      </c>
      <c r="F343" t="s">
        <v>1271</v>
      </c>
      <c r="G343" t="str">
        <f t="shared" si="155"/>
        <v>战士1_56_1</v>
      </c>
      <c r="H343" s="2">
        <v>0</v>
      </c>
      <c r="I343" s="2" t="s">
        <v>298</v>
      </c>
      <c r="J343" s="2">
        <f t="shared" si="167"/>
        <v>2.5</v>
      </c>
      <c r="K343" s="2">
        <f t="shared" si="160"/>
        <v>1.32</v>
      </c>
      <c r="L343" s="2">
        <f t="shared" si="159"/>
        <v>1.32</v>
      </c>
      <c r="M343" s="2">
        <v>10</v>
      </c>
      <c r="N343" s="2">
        <f t="shared" si="158"/>
        <v>69.12</v>
      </c>
      <c r="O343" s="2">
        <f t="shared" si="158"/>
        <v>6.9120000000000008</v>
      </c>
      <c r="P343" s="2">
        <f t="shared" si="158"/>
        <v>1800</v>
      </c>
      <c r="Q343" s="2">
        <f t="shared" si="157"/>
        <v>180</v>
      </c>
      <c r="R343" s="2">
        <f t="shared" si="157"/>
        <v>36</v>
      </c>
      <c r="S343" s="2">
        <f t="shared" si="157"/>
        <v>3.6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>
        <v>50512011</v>
      </c>
      <c r="Z343" s="14" t="s">
        <v>1471</v>
      </c>
      <c r="AA343" s="14" t="s">
        <v>890</v>
      </c>
      <c r="AB343">
        <v>0</v>
      </c>
      <c r="AC343" s="2">
        <v>31</v>
      </c>
      <c r="AD343" s="2"/>
      <c r="AE343" s="2"/>
      <c r="AF343">
        <v>1</v>
      </c>
      <c r="AG343" s="1">
        <f t="shared" si="161"/>
        <v>796.66220466091454</v>
      </c>
      <c r="AH343">
        <v>9</v>
      </c>
      <c r="AI343">
        <f t="shared" si="172"/>
        <v>69.12</v>
      </c>
      <c r="AJ343">
        <f t="shared" si="173"/>
        <v>6.9120000000000008</v>
      </c>
      <c r="AK343">
        <f t="shared" si="174"/>
        <v>1800</v>
      </c>
      <c r="AL343">
        <f t="shared" si="175"/>
        <v>180</v>
      </c>
      <c r="AM343">
        <f t="shared" si="168"/>
        <v>36</v>
      </c>
      <c r="AN343">
        <f t="shared" si="169"/>
        <v>3.6</v>
      </c>
      <c r="AO343">
        <f t="shared" si="162"/>
        <v>1.8</v>
      </c>
      <c r="AP343">
        <f t="shared" si="163"/>
        <v>1.8</v>
      </c>
      <c r="AQ343">
        <f t="shared" si="164"/>
        <v>2.5</v>
      </c>
      <c r="AR343">
        <v>201</v>
      </c>
      <c r="AS343" s="1" t="str">
        <f t="shared" si="153"/>
        <v>1</v>
      </c>
      <c r="AT343">
        <v>5</v>
      </c>
      <c r="BP343" t="s">
        <v>913</v>
      </c>
      <c r="BQ343" t="str">
        <f t="shared" si="165"/>
        <v>1</v>
      </c>
      <c r="BT343">
        <v>2</v>
      </c>
      <c r="BU343" t="str">
        <f t="shared" si="166"/>
        <v>571002,582002,593002</v>
      </c>
      <c r="BV343">
        <f t="shared" si="154"/>
        <v>571002</v>
      </c>
      <c r="BW343">
        <f t="shared" ref="BW343:BW391" si="177">$AT343*100000+8*10000+2*1000+$BT343</f>
        <v>582002</v>
      </c>
      <c r="BX343">
        <f t="shared" si="176"/>
        <v>593002</v>
      </c>
      <c r="CF343" t="str">
        <f t="shared" si="170"/>
        <v>DATA_Class_Base47</v>
      </c>
      <c r="CG343" s="45" t="s">
        <v>378</v>
      </c>
    </row>
    <row r="344" spans="1:85" ht="27">
      <c r="A344">
        <f t="shared" si="171"/>
        <v>5091301</v>
      </c>
      <c r="B344" s="45" t="s">
        <v>1028</v>
      </c>
      <c r="C344">
        <v>9</v>
      </c>
      <c r="D344">
        <v>3</v>
      </c>
      <c r="E344">
        <v>1</v>
      </c>
      <c r="F344" t="s">
        <v>1273</v>
      </c>
      <c r="G344" t="str">
        <f t="shared" si="155"/>
        <v>刺客0_56_1</v>
      </c>
      <c r="H344">
        <v>0</v>
      </c>
      <c r="I344" s="2" t="s">
        <v>352</v>
      </c>
      <c r="J344" s="2">
        <f t="shared" si="167"/>
        <v>2.5</v>
      </c>
      <c r="K344" s="2">
        <f t="shared" si="160"/>
        <v>0.88</v>
      </c>
      <c r="L344" s="2">
        <f t="shared" si="159"/>
        <v>1.47</v>
      </c>
      <c r="M344" s="2">
        <v>10</v>
      </c>
      <c r="N344" s="2">
        <f t="shared" si="158"/>
        <v>51.84</v>
      </c>
      <c r="O344" s="2">
        <f t="shared" si="158"/>
        <v>5.1840000000000011</v>
      </c>
      <c r="P344" s="2">
        <f t="shared" si="158"/>
        <v>1598.4000000000003</v>
      </c>
      <c r="Q344" s="2">
        <f t="shared" si="157"/>
        <v>159.84000000000003</v>
      </c>
      <c r="R344" s="2">
        <f t="shared" si="157"/>
        <v>33</v>
      </c>
      <c r="S344" s="2">
        <f t="shared" si="157"/>
        <v>3.3000000000000003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>
        <v>50513001</v>
      </c>
      <c r="Z344" s="14" t="s">
        <v>1472</v>
      </c>
      <c r="AA344" s="14" t="s">
        <v>890</v>
      </c>
      <c r="AB344">
        <v>0</v>
      </c>
      <c r="AC344" s="2">
        <v>31</v>
      </c>
      <c r="AD344" s="2"/>
      <c r="AE344" s="2"/>
      <c r="AF344">
        <v>1</v>
      </c>
      <c r="AG344" s="1">
        <f t="shared" si="161"/>
        <v>795.33642984064329</v>
      </c>
      <c r="AH344">
        <v>9</v>
      </c>
      <c r="AI344">
        <f t="shared" si="172"/>
        <v>51.84</v>
      </c>
      <c r="AJ344">
        <f t="shared" si="173"/>
        <v>5.1840000000000011</v>
      </c>
      <c r="AK344">
        <f t="shared" si="174"/>
        <v>1598.4000000000003</v>
      </c>
      <c r="AL344">
        <f t="shared" si="175"/>
        <v>159.84000000000003</v>
      </c>
      <c r="AM344">
        <f t="shared" si="168"/>
        <v>33</v>
      </c>
      <c r="AN344">
        <f t="shared" si="169"/>
        <v>3.3000000000000003</v>
      </c>
      <c r="AO344">
        <f t="shared" si="162"/>
        <v>1.2</v>
      </c>
      <c r="AP344">
        <f t="shared" si="163"/>
        <v>2</v>
      </c>
      <c r="AQ344">
        <f t="shared" si="164"/>
        <v>2.5</v>
      </c>
      <c r="AR344">
        <v>301</v>
      </c>
      <c r="AS344" s="1" t="str">
        <f t="shared" si="153"/>
        <v>1</v>
      </c>
      <c r="AT344">
        <v>5</v>
      </c>
      <c r="BP344" t="s">
        <v>923</v>
      </c>
      <c r="BQ344" t="str">
        <f t="shared" si="165"/>
        <v>1</v>
      </c>
      <c r="BT344">
        <v>3</v>
      </c>
      <c r="BU344" t="str">
        <f t="shared" si="166"/>
        <v>571003,582003,593003</v>
      </c>
      <c r="BV344">
        <f t="shared" si="154"/>
        <v>571003</v>
      </c>
      <c r="BW344">
        <f t="shared" si="177"/>
        <v>582003</v>
      </c>
      <c r="BX344">
        <f t="shared" si="176"/>
        <v>593003</v>
      </c>
      <c r="CF344" t="str">
        <f t="shared" si="170"/>
        <v>DATA_Class_Base48</v>
      </c>
      <c r="CG344" s="45" t="s">
        <v>411</v>
      </c>
    </row>
    <row r="345" spans="1:85" ht="27">
      <c r="A345">
        <f t="shared" si="171"/>
        <v>5091302</v>
      </c>
      <c r="B345" s="45" t="s">
        <v>1031</v>
      </c>
      <c r="C345">
        <v>9</v>
      </c>
      <c r="D345">
        <v>3</v>
      </c>
      <c r="E345">
        <v>1</v>
      </c>
      <c r="F345" t="s">
        <v>1275</v>
      </c>
      <c r="G345" t="str">
        <f t="shared" si="155"/>
        <v>刺客1_56_1</v>
      </c>
      <c r="H345" s="2">
        <v>0</v>
      </c>
      <c r="I345" s="2" t="s">
        <v>285</v>
      </c>
      <c r="J345" s="2">
        <f t="shared" si="167"/>
        <v>2.5</v>
      </c>
      <c r="K345" s="2">
        <f t="shared" si="160"/>
        <v>1.02</v>
      </c>
      <c r="L345" s="2">
        <f t="shared" si="159"/>
        <v>1.25</v>
      </c>
      <c r="M345" s="2">
        <v>10</v>
      </c>
      <c r="N345" s="2">
        <f t="shared" si="158"/>
        <v>60.48</v>
      </c>
      <c r="O345" s="2">
        <f t="shared" si="158"/>
        <v>6.048</v>
      </c>
      <c r="P345" s="2">
        <f t="shared" si="158"/>
        <v>1598.4000000000003</v>
      </c>
      <c r="Q345" s="2">
        <f t="shared" si="157"/>
        <v>159.84000000000003</v>
      </c>
      <c r="R345" s="2">
        <f t="shared" si="157"/>
        <v>33</v>
      </c>
      <c r="S345" s="2">
        <f t="shared" si="157"/>
        <v>3.3000000000000003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>
        <v>50513011</v>
      </c>
      <c r="Z345" s="14" t="s">
        <v>1473</v>
      </c>
      <c r="AA345" s="14" t="s">
        <v>890</v>
      </c>
      <c r="AB345">
        <v>0</v>
      </c>
      <c r="AC345" s="2">
        <v>31</v>
      </c>
      <c r="AD345" s="2"/>
      <c r="AE345" s="2"/>
      <c r="AF345">
        <v>1</v>
      </c>
      <c r="AG345" s="1">
        <f t="shared" si="161"/>
        <v>795.33642984064306</v>
      </c>
      <c r="AH345">
        <v>9</v>
      </c>
      <c r="AI345">
        <f t="shared" si="172"/>
        <v>60.48</v>
      </c>
      <c r="AJ345">
        <f t="shared" si="173"/>
        <v>6.048</v>
      </c>
      <c r="AK345">
        <f t="shared" si="174"/>
        <v>1598.4000000000003</v>
      </c>
      <c r="AL345">
        <f t="shared" si="175"/>
        <v>159.84000000000003</v>
      </c>
      <c r="AM345">
        <f t="shared" si="168"/>
        <v>33</v>
      </c>
      <c r="AN345">
        <f t="shared" si="169"/>
        <v>3.3000000000000003</v>
      </c>
      <c r="AO345">
        <f t="shared" si="162"/>
        <v>1.4</v>
      </c>
      <c r="AP345">
        <f t="shared" si="163"/>
        <v>1.7</v>
      </c>
      <c r="AQ345">
        <f t="shared" si="164"/>
        <v>2.5</v>
      </c>
      <c r="AR345">
        <v>302</v>
      </c>
      <c r="AS345" s="1" t="str">
        <f t="shared" si="153"/>
        <v>2</v>
      </c>
      <c r="AT345">
        <v>5</v>
      </c>
      <c r="BP345" t="s">
        <v>983</v>
      </c>
      <c r="BQ345" t="str">
        <f t="shared" si="165"/>
        <v>2</v>
      </c>
      <c r="BT345">
        <v>4</v>
      </c>
      <c r="BU345" t="str">
        <f t="shared" si="166"/>
        <v>571004,582004,593004</v>
      </c>
      <c r="BV345">
        <f t="shared" si="154"/>
        <v>571004</v>
      </c>
      <c r="BW345">
        <f t="shared" si="177"/>
        <v>582004</v>
      </c>
      <c r="BX345">
        <f t="shared" si="176"/>
        <v>593004</v>
      </c>
      <c r="CF345" t="str">
        <f t="shared" si="170"/>
        <v>DATA_Class_Base49</v>
      </c>
      <c r="CG345" s="45" t="s">
        <v>384</v>
      </c>
    </row>
    <row r="346" spans="1:85" ht="27">
      <c r="A346">
        <f t="shared" si="171"/>
        <v>5091401</v>
      </c>
      <c r="B346" s="45" t="s">
        <v>1034</v>
      </c>
      <c r="C346">
        <v>9</v>
      </c>
      <c r="D346">
        <v>4</v>
      </c>
      <c r="E346">
        <v>1</v>
      </c>
      <c r="F346" t="s">
        <v>1277</v>
      </c>
      <c r="G346" t="str">
        <f t="shared" si="155"/>
        <v>法师1_56_1</v>
      </c>
      <c r="H346">
        <v>0</v>
      </c>
      <c r="I346" s="2" t="s">
        <v>161</v>
      </c>
      <c r="J346" s="2">
        <f t="shared" si="167"/>
        <v>6</v>
      </c>
      <c r="K346" s="2">
        <f t="shared" si="160"/>
        <v>1.17</v>
      </c>
      <c r="L346" s="2">
        <f t="shared" si="159"/>
        <v>1.47</v>
      </c>
      <c r="M346" s="2">
        <v>10</v>
      </c>
      <c r="N346" s="2">
        <f t="shared" si="158"/>
        <v>84.480000000000018</v>
      </c>
      <c r="O346" s="2">
        <f t="shared" si="158"/>
        <v>8.4480000000000022</v>
      </c>
      <c r="P346" s="2">
        <f t="shared" si="158"/>
        <v>1310.3999999999999</v>
      </c>
      <c r="Q346" s="2">
        <f t="shared" si="157"/>
        <v>131.04</v>
      </c>
      <c r="R346" s="2">
        <f t="shared" si="157"/>
        <v>27</v>
      </c>
      <c r="S346" s="2">
        <f t="shared" si="157"/>
        <v>2.7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>
        <v>50514011</v>
      </c>
      <c r="Z346" s="14" t="s">
        <v>1474</v>
      </c>
      <c r="AA346" s="14" t="s">
        <v>890</v>
      </c>
      <c r="AB346">
        <v>0</v>
      </c>
      <c r="AC346" s="2">
        <v>31</v>
      </c>
      <c r="AD346" s="2"/>
      <c r="AE346" s="2"/>
      <c r="AF346">
        <v>1</v>
      </c>
      <c r="AG346" s="1">
        <f t="shared" si="161"/>
        <v>795.87046319135663</v>
      </c>
      <c r="AH346">
        <v>9</v>
      </c>
      <c r="AI346">
        <f t="shared" si="172"/>
        <v>84.480000000000018</v>
      </c>
      <c r="AJ346">
        <f t="shared" si="173"/>
        <v>8.4480000000000022</v>
      </c>
      <c r="AK346">
        <f t="shared" si="174"/>
        <v>1310.3999999999999</v>
      </c>
      <c r="AL346">
        <f t="shared" si="175"/>
        <v>131.04</v>
      </c>
      <c r="AM346">
        <f t="shared" si="168"/>
        <v>27</v>
      </c>
      <c r="AN346">
        <f t="shared" si="169"/>
        <v>2.7</v>
      </c>
      <c r="AO346">
        <f t="shared" si="162"/>
        <v>1.6</v>
      </c>
      <c r="AP346">
        <f t="shared" si="163"/>
        <v>2</v>
      </c>
      <c r="AQ346">
        <f t="shared" si="164"/>
        <v>6</v>
      </c>
      <c r="AR346">
        <v>401</v>
      </c>
      <c r="AS346" s="1" t="str">
        <f t="shared" si="153"/>
        <v>1</v>
      </c>
      <c r="AT346">
        <v>5</v>
      </c>
      <c r="BP346" t="s">
        <v>953</v>
      </c>
      <c r="BQ346" t="str">
        <f t="shared" si="165"/>
        <v>1</v>
      </c>
      <c r="BT346">
        <v>5</v>
      </c>
      <c r="BU346" t="str">
        <f t="shared" si="166"/>
        <v>571005,582005,593005</v>
      </c>
      <c r="BV346">
        <f t="shared" si="154"/>
        <v>571005</v>
      </c>
      <c r="BW346">
        <f t="shared" si="177"/>
        <v>582005</v>
      </c>
      <c r="BX346">
        <f t="shared" si="176"/>
        <v>593005</v>
      </c>
      <c r="CF346" t="str">
        <f t="shared" si="170"/>
        <v>DATA_Class_Base50</v>
      </c>
      <c r="CG346" s="45" t="s">
        <v>176</v>
      </c>
    </row>
    <row r="347" spans="1:85" ht="27">
      <c r="A347">
        <f t="shared" si="171"/>
        <v>5091402</v>
      </c>
      <c r="B347" s="45" t="s">
        <v>1037</v>
      </c>
      <c r="C347">
        <v>9</v>
      </c>
      <c r="D347">
        <v>4</v>
      </c>
      <c r="E347">
        <v>1</v>
      </c>
      <c r="F347" t="s">
        <v>1279</v>
      </c>
      <c r="G347" t="str">
        <f t="shared" si="155"/>
        <v>法师2_56_1</v>
      </c>
      <c r="H347" s="2">
        <v>0</v>
      </c>
      <c r="I347" s="2" t="s">
        <v>250</v>
      </c>
      <c r="J347" s="2">
        <f t="shared" si="167"/>
        <v>5</v>
      </c>
      <c r="K347" s="2">
        <f t="shared" si="160"/>
        <v>1.1000000000000001</v>
      </c>
      <c r="L347" s="2">
        <f t="shared" si="159"/>
        <v>1.1000000000000001</v>
      </c>
      <c r="M347" s="2">
        <v>10</v>
      </c>
      <c r="N347" s="2">
        <f t="shared" si="158"/>
        <v>79.2</v>
      </c>
      <c r="O347" s="2">
        <f t="shared" si="158"/>
        <v>7.9200000000000008</v>
      </c>
      <c r="P347" s="2">
        <f t="shared" si="158"/>
        <v>1310.3999999999999</v>
      </c>
      <c r="Q347" s="2">
        <f t="shared" si="157"/>
        <v>131.04</v>
      </c>
      <c r="R347" s="2">
        <f t="shared" si="157"/>
        <v>27</v>
      </c>
      <c r="S347" s="2">
        <f t="shared" si="157"/>
        <v>2.7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>
        <v>50514021</v>
      </c>
      <c r="Z347" s="14" t="s">
        <v>1475</v>
      </c>
      <c r="AA347" s="14" t="s">
        <v>890</v>
      </c>
      <c r="AB347">
        <v>0</v>
      </c>
      <c r="AC347" s="2">
        <v>31</v>
      </c>
      <c r="AD347" s="2"/>
      <c r="AE347" s="2"/>
      <c r="AF347">
        <v>1</v>
      </c>
      <c r="AG347" s="1">
        <f t="shared" si="161"/>
        <v>795.87046319135652</v>
      </c>
      <c r="AH347">
        <v>9</v>
      </c>
      <c r="AI347">
        <f t="shared" si="172"/>
        <v>79.2</v>
      </c>
      <c r="AJ347">
        <f t="shared" si="173"/>
        <v>7.9200000000000008</v>
      </c>
      <c r="AK347">
        <f t="shared" si="174"/>
        <v>1310.3999999999999</v>
      </c>
      <c r="AL347">
        <f t="shared" si="175"/>
        <v>131.04</v>
      </c>
      <c r="AM347">
        <f t="shared" si="168"/>
        <v>27</v>
      </c>
      <c r="AN347">
        <f t="shared" si="169"/>
        <v>2.7</v>
      </c>
      <c r="AO347">
        <f t="shared" si="162"/>
        <v>1.5</v>
      </c>
      <c r="AP347">
        <f t="shared" si="163"/>
        <v>1.5</v>
      </c>
      <c r="AQ347">
        <f t="shared" si="164"/>
        <v>5</v>
      </c>
      <c r="AR347">
        <v>402</v>
      </c>
      <c r="AS347" s="1" t="str">
        <f t="shared" si="153"/>
        <v>2</v>
      </c>
      <c r="AT347">
        <v>5</v>
      </c>
      <c r="BP347" t="s">
        <v>971</v>
      </c>
      <c r="BQ347" t="str">
        <f t="shared" si="165"/>
        <v>2</v>
      </c>
      <c r="BT347">
        <v>6</v>
      </c>
      <c r="BU347" t="str">
        <f t="shared" si="166"/>
        <v>571006,582006,593006</v>
      </c>
      <c r="BV347">
        <f t="shared" si="154"/>
        <v>571006</v>
      </c>
      <c r="BW347">
        <f t="shared" si="177"/>
        <v>582006</v>
      </c>
      <c r="BX347">
        <f t="shared" si="176"/>
        <v>593006</v>
      </c>
      <c r="CF347" t="str">
        <f t="shared" si="170"/>
        <v>DATA_Class_Base51</v>
      </c>
      <c r="CG347" s="45" t="s">
        <v>1038</v>
      </c>
    </row>
    <row r="348" spans="1:85" ht="27">
      <c r="A348">
        <f t="shared" si="171"/>
        <v>5091500</v>
      </c>
      <c r="B348" s="45" t="s">
        <v>1041</v>
      </c>
      <c r="C348">
        <v>9</v>
      </c>
      <c r="D348">
        <v>5</v>
      </c>
      <c r="E348">
        <v>1</v>
      </c>
      <c r="F348" t="s">
        <v>1281</v>
      </c>
      <c r="G348" t="str">
        <f t="shared" si="155"/>
        <v>游侠0_56_1</v>
      </c>
      <c r="H348" s="2">
        <v>0</v>
      </c>
      <c r="I348" s="2" t="s">
        <v>303</v>
      </c>
      <c r="J348" s="2">
        <f t="shared" si="167"/>
        <v>5</v>
      </c>
      <c r="K348" s="2">
        <f t="shared" si="160"/>
        <v>1.1000000000000001</v>
      </c>
      <c r="L348" s="2">
        <f t="shared" si="159"/>
        <v>1.1000000000000001</v>
      </c>
      <c r="M348" s="2">
        <v>10</v>
      </c>
      <c r="N348" s="2">
        <f t="shared" si="158"/>
        <v>86.399999999999991</v>
      </c>
      <c r="O348" s="2">
        <f t="shared" si="158"/>
        <v>8.6399999999999988</v>
      </c>
      <c r="P348" s="2">
        <f t="shared" si="158"/>
        <v>1195.2</v>
      </c>
      <c r="Q348" s="2">
        <f t="shared" si="157"/>
        <v>119.52000000000001</v>
      </c>
      <c r="R348" s="2">
        <f t="shared" si="157"/>
        <v>24</v>
      </c>
      <c r="S348" s="2">
        <f t="shared" si="157"/>
        <v>2.4000000000000004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>
        <v>50515001</v>
      </c>
      <c r="Z348" s="14" t="s">
        <v>1476</v>
      </c>
      <c r="AA348" s="14" t="s">
        <v>890</v>
      </c>
      <c r="AB348">
        <v>0</v>
      </c>
      <c r="AC348" s="2">
        <v>31</v>
      </c>
      <c r="AD348" s="2"/>
      <c r="AE348" s="2"/>
      <c r="AF348">
        <v>1</v>
      </c>
      <c r="AG348" s="1">
        <f t="shared" si="161"/>
        <v>791.36966125140736</v>
      </c>
      <c r="AH348">
        <v>9</v>
      </c>
      <c r="AI348">
        <f t="shared" si="172"/>
        <v>86.399999999999991</v>
      </c>
      <c r="AJ348">
        <f t="shared" si="173"/>
        <v>8.6399999999999988</v>
      </c>
      <c r="AK348">
        <f t="shared" si="174"/>
        <v>1195.2</v>
      </c>
      <c r="AL348">
        <f t="shared" si="175"/>
        <v>119.52000000000001</v>
      </c>
      <c r="AM348">
        <f t="shared" si="168"/>
        <v>24</v>
      </c>
      <c r="AN348">
        <f t="shared" si="169"/>
        <v>2.4000000000000004</v>
      </c>
      <c r="AO348">
        <f t="shared" si="162"/>
        <v>1.5</v>
      </c>
      <c r="AP348">
        <f t="shared" si="163"/>
        <v>1.5</v>
      </c>
      <c r="AQ348">
        <f t="shared" si="164"/>
        <v>5</v>
      </c>
      <c r="AR348">
        <v>500</v>
      </c>
      <c r="AS348" s="1" t="str">
        <f t="shared" si="153"/>
        <v>0</v>
      </c>
      <c r="AT348">
        <v>5</v>
      </c>
      <c r="BP348" t="s">
        <v>956</v>
      </c>
      <c r="BQ348" t="str">
        <f t="shared" si="165"/>
        <v>0</v>
      </c>
      <c r="BT348">
        <v>7</v>
      </c>
      <c r="BU348" t="str">
        <f t="shared" si="166"/>
        <v>571007,582007,593007</v>
      </c>
      <c r="BV348">
        <f t="shared" si="154"/>
        <v>571007</v>
      </c>
      <c r="BW348">
        <f t="shared" si="177"/>
        <v>582007</v>
      </c>
      <c r="BX348">
        <f t="shared" si="176"/>
        <v>593007</v>
      </c>
      <c r="CF348" t="str">
        <f t="shared" si="170"/>
        <v>DATA_Class_Base52</v>
      </c>
      <c r="CG348" s="45" t="s">
        <v>184</v>
      </c>
    </row>
    <row r="349" spans="1:85" ht="27">
      <c r="A349">
        <f t="shared" si="171"/>
        <v>5091501</v>
      </c>
      <c r="B349" s="45" t="s">
        <v>1044</v>
      </c>
      <c r="C349">
        <v>9</v>
      </c>
      <c r="D349">
        <v>5</v>
      </c>
      <c r="E349">
        <v>1</v>
      </c>
      <c r="F349" t="s">
        <v>1283</v>
      </c>
      <c r="G349" t="str">
        <f t="shared" si="155"/>
        <v>游侠1_56_1</v>
      </c>
      <c r="H349" s="2">
        <v>0</v>
      </c>
      <c r="I349" s="2" t="s">
        <v>334</v>
      </c>
      <c r="J349" s="2">
        <f t="shared" si="167"/>
        <v>6</v>
      </c>
      <c r="K349" s="2">
        <f t="shared" si="160"/>
        <v>1.17</v>
      </c>
      <c r="L349" s="2">
        <f t="shared" si="159"/>
        <v>1.47</v>
      </c>
      <c r="M349" s="2">
        <v>10</v>
      </c>
      <c r="N349" s="2">
        <f t="shared" si="158"/>
        <v>92.16</v>
      </c>
      <c r="O349" s="2">
        <f t="shared" si="158"/>
        <v>9.2159999999999993</v>
      </c>
      <c r="P349" s="2">
        <f t="shared" si="158"/>
        <v>1195.2</v>
      </c>
      <c r="Q349" s="2">
        <f t="shared" si="157"/>
        <v>119.52000000000001</v>
      </c>
      <c r="R349" s="2">
        <f t="shared" si="157"/>
        <v>24</v>
      </c>
      <c r="S349" s="2">
        <f t="shared" si="157"/>
        <v>2.4000000000000004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>
        <v>50515011</v>
      </c>
      <c r="Z349" s="14" t="s">
        <v>1477</v>
      </c>
      <c r="AA349" s="14" t="s">
        <v>890</v>
      </c>
      <c r="AB349">
        <v>0</v>
      </c>
      <c r="AC349" s="2">
        <v>31</v>
      </c>
      <c r="AD349" s="2"/>
      <c r="AE349" s="2"/>
      <c r="AF349">
        <v>1</v>
      </c>
      <c r="AG349" s="1">
        <f t="shared" si="161"/>
        <v>791.36966125140725</v>
      </c>
      <c r="AH349">
        <v>9</v>
      </c>
      <c r="AI349">
        <f t="shared" si="172"/>
        <v>92.16</v>
      </c>
      <c r="AJ349">
        <f t="shared" si="173"/>
        <v>9.2159999999999993</v>
      </c>
      <c r="AK349">
        <f t="shared" si="174"/>
        <v>1195.2</v>
      </c>
      <c r="AL349">
        <f t="shared" si="175"/>
        <v>119.52000000000001</v>
      </c>
      <c r="AM349">
        <f t="shared" si="168"/>
        <v>24</v>
      </c>
      <c r="AN349">
        <f t="shared" si="169"/>
        <v>2.4000000000000004</v>
      </c>
      <c r="AO349">
        <f t="shared" si="162"/>
        <v>1.6</v>
      </c>
      <c r="AP349">
        <f t="shared" si="163"/>
        <v>2</v>
      </c>
      <c r="AQ349">
        <f t="shared" si="164"/>
        <v>6</v>
      </c>
      <c r="AR349">
        <v>501</v>
      </c>
      <c r="AS349" s="1" t="str">
        <f t="shared" si="153"/>
        <v>1</v>
      </c>
      <c r="AT349">
        <v>5</v>
      </c>
      <c r="BP349" t="s">
        <v>945</v>
      </c>
      <c r="BQ349" t="str">
        <f t="shared" si="165"/>
        <v>1</v>
      </c>
      <c r="BT349">
        <v>8</v>
      </c>
      <c r="BU349" t="str">
        <f t="shared" si="166"/>
        <v>571008,582008,593008</v>
      </c>
      <c r="BV349">
        <f t="shared" si="154"/>
        <v>571008</v>
      </c>
      <c r="BW349">
        <f t="shared" si="177"/>
        <v>582008</v>
      </c>
      <c r="BX349">
        <f t="shared" si="176"/>
        <v>593008</v>
      </c>
      <c r="CF349" t="str">
        <f t="shared" si="170"/>
        <v>DATA_Class_Base53</v>
      </c>
      <c r="CG349" s="45" t="s">
        <v>349</v>
      </c>
    </row>
    <row r="350" spans="1:85" ht="27">
      <c r="A350">
        <f t="shared" si="171"/>
        <v>5091600</v>
      </c>
      <c r="B350" s="45" t="s">
        <v>1047</v>
      </c>
      <c r="C350">
        <v>9</v>
      </c>
      <c r="D350">
        <v>6</v>
      </c>
      <c r="E350">
        <v>1</v>
      </c>
      <c r="F350" t="s">
        <v>1285</v>
      </c>
      <c r="G350" t="str">
        <f t="shared" si="155"/>
        <v>牧师0_56_1</v>
      </c>
      <c r="H350">
        <v>0</v>
      </c>
      <c r="I350" s="2" t="s">
        <v>339</v>
      </c>
      <c r="J350" s="2">
        <f t="shared" si="167"/>
        <v>4</v>
      </c>
      <c r="K350" s="2">
        <f t="shared" si="160"/>
        <v>1.02</v>
      </c>
      <c r="L350" s="2">
        <f t="shared" si="159"/>
        <v>1.3900000000000001</v>
      </c>
      <c r="M350" s="2">
        <v>10</v>
      </c>
      <c r="N350" s="2">
        <f t="shared" si="158"/>
        <v>67.199999999999989</v>
      </c>
      <c r="O350" s="2">
        <f t="shared" si="158"/>
        <v>6.7199999999999989</v>
      </c>
      <c r="P350" s="2">
        <f t="shared" si="158"/>
        <v>1440</v>
      </c>
      <c r="Q350" s="2">
        <f t="shared" si="157"/>
        <v>144</v>
      </c>
      <c r="R350" s="2">
        <f t="shared" si="157"/>
        <v>30</v>
      </c>
      <c r="S350" s="2">
        <f t="shared" si="157"/>
        <v>3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>
        <v>50516001</v>
      </c>
      <c r="Z350" s="14" t="s">
        <v>1478</v>
      </c>
      <c r="AA350" s="14" t="s">
        <v>890</v>
      </c>
      <c r="AB350">
        <v>0</v>
      </c>
      <c r="AC350" s="2">
        <v>31</v>
      </c>
      <c r="AD350" s="2"/>
      <c r="AE350" s="2"/>
      <c r="AF350">
        <v>1</v>
      </c>
      <c r="AG350" s="1">
        <f t="shared" si="161"/>
        <v>795.60362391785793</v>
      </c>
      <c r="AH350">
        <v>9</v>
      </c>
      <c r="AI350">
        <f t="shared" si="172"/>
        <v>67.199999999999989</v>
      </c>
      <c r="AJ350">
        <f t="shared" si="173"/>
        <v>6.7199999999999989</v>
      </c>
      <c r="AK350">
        <f t="shared" si="174"/>
        <v>1440</v>
      </c>
      <c r="AL350">
        <f t="shared" si="175"/>
        <v>144</v>
      </c>
      <c r="AM350">
        <f t="shared" si="168"/>
        <v>30</v>
      </c>
      <c r="AN350">
        <f t="shared" si="169"/>
        <v>3</v>
      </c>
      <c r="AO350">
        <f t="shared" si="162"/>
        <v>1.4</v>
      </c>
      <c r="AP350">
        <f t="shared" si="163"/>
        <v>1.9</v>
      </c>
      <c r="AQ350">
        <f t="shared" si="164"/>
        <v>4</v>
      </c>
      <c r="AR350">
        <v>600</v>
      </c>
      <c r="AS350" s="1" t="str">
        <f t="shared" si="153"/>
        <v>0</v>
      </c>
      <c r="AT350">
        <v>5</v>
      </c>
      <c r="BP350" t="s">
        <v>990</v>
      </c>
      <c r="BQ350" t="str">
        <f t="shared" si="165"/>
        <v>0</v>
      </c>
      <c r="BT350">
        <v>9</v>
      </c>
      <c r="BU350" t="str">
        <f t="shared" si="166"/>
        <v>571009,582009,593009</v>
      </c>
      <c r="BV350">
        <f t="shared" si="154"/>
        <v>571009</v>
      </c>
      <c r="BW350">
        <f t="shared" si="177"/>
        <v>582009</v>
      </c>
      <c r="BX350">
        <f t="shared" si="176"/>
        <v>593009</v>
      </c>
      <c r="CF350" t="str">
        <f t="shared" si="170"/>
        <v>DATA_Class_Base54</v>
      </c>
      <c r="CG350" s="45" t="s">
        <v>198</v>
      </c>
    </row>
    <row r="351" spans="1:85" ht="27">
      <c r="A351">
        <f t="shared" si="171"/>
        <v>5091601</v>
      </c>
      <c r="B351" s="45" t="s">
        <v>1050</v>
      </c>
      <c r="C351">
        <v>9</v>
      </c>
      <c r="D351">
        <v>6</v>
      </c>
      <c r="E351">
        <v>1</v>
      </c>
      <c r="F351" t="s">
        <v>1287</v>
      </c>
      <c r="G351" t="str">
        <f t="shared" si="155"/>
        <v>牧师1_56_1</v>
      </c>
      <c r="H351" s="2">
        <v>0</v>
      </c>
      <c r="I351" s="2" t="s">
        <v>309</v>
      </c>
      <c r="J351" s="2">
        <f t="shared" si="167"/>
        <v>5</v>
      </c>
      <c r="K351" s="2">
        <f t="shared" si="160"/>
        <v>1.1000000000000001</v>
      </c>
      <c r="L351" s="2">
        <f t="shared" si="159"/>
        <v>1.47</v>
      </c>
      <c r="M351" s="2">
        <v>10</v>
      </c>
      <c r="N351" s="2">
        <f t="shared" si="158"/>
        <v>72</v>
      </c>
      <c r="O351" s="2">
        <f t="shared" si="158"/>
        <v>7.2</v>
      </c>
      <c r="P351" s="2">
        <f t="shared" si="158"/>
        <v>1440</v>
      </c>
      <c r="Q351" s="2">
        <f t="shared" si="157"/>
        <v>144</v>
      </c>
      <c r="R351" s="2">
        <f t="shared" si="157"/>
        <v>30</v>
      </c>
      <c r="S351" s="2">
        <f t="shared" si="157"/>
        <v>3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>
        <v>50516011</v>
      </c>
      <c r="Z351" s="14" t="s">
        <v>1479</v>
      </c>
      <c r="AA351" s="14" t="s">
        <v>890</v>
      </c>
      <c r="AB351">
        <v>0</v>
      </c>
      <c r="AC351" s="2">
        <v>31</v>
      </c>
      <c r="AD351" s="2"/>
      <c r="AE351" s="2"/>
      <c r="AF351">
        <v>1</v>
      </c>
      <c r="AG351" s="1">
        <f t="shared" si="161"/>
        <v>795.60362391785793</v>
      </c>
      <c r="AH351">
        <v>9</v>
      </c>
      <c r="AI351">
        <f t="shared" si="172"/>
        <v>72</v>
      </c>
      <c r="AJ351">
        <f t="shared" si="173"/>
        <v>7.2</v>
      </c>
      <c r="AK351">
        <f t="shared" si="174"/>
        <v>1440</v>
      </c>
      <c r="AL351">
        <f t="shared" si="175"/>
        <v>144</v>
      </c>
      <c r="AM351">
        <f t="shared" si="168"/>
        <v>30</v>
      </c>
      <c r="AN351">
        <f t="shared" si="169"/>
        <v>3</v>
      </c>
      <c r="AO351">
        <f t="shared" si="162"/>
        <v>1.5</v>
      </c>
      <c r="AP351">
        <f t="shared" si="163"/>
        <v>2</v>
      </c>
      <c r="AQ351">
        <f t="shared" si="164"/>
        <v>5</v>
      </c>
      <c r="AR351">
        <v>601</v>
      </c>
      <c r="AS351" s="1" t="str">
        <f t="shared" si="153"/>
        <v>1</v>
      </c>
      <c r="AT351">
        <v>5</v>
      </c>
      <c r="BP351" t="s">
        <v>960</v>
      </c>
      <c r="BQ351" t="str">
        <f t="shared" si="165"/>
        <v>1</v>
      </c>
      <c r="BT351">
        <v>10</v>
      </c>
      <c r="BU351" t="str">
        <f t="shared" si="166"/>
        <v>571010,582010,593010</v>
      </c>
      <c r="BV351">
        <f t="shared" si="154"/>
        <v>571010</v>
      </c>
      <c r="BW351">
        <f t="shared" si="177"/>
        <v>582010</v>
      </c>
      <c r="BX351">
        <f t="shared" si="176"/>
        <v>593010</v>
      </c>
      <c r="CF351" t="str">
        <f t="shared" si="170"/>
        <v>DATA_Class_Base55</v>
      </c>
      <c r="CG351" s="45" t="s">
        <v>201</v>
      </c>
    </row>
    <row r="352" spans="1:85">
      <c r="A352">
        <f t="shared" si="171"/>
        <v>5092200</v>
      </c>
      <c r="B352" s="44" t="s">
        <v>1021</v>
      </c>
      <c r="C352">
        <v>9</v>
      </c>
      <c r="D352">
        <v>2</v>
      </c>
      <c r="E352">
        <v>2</v>
      </c>
      <c r="F352" t="s">
        <v>1289</v>
      </c>
      <c r="G352" t="str">
        <f t="shared" si="155"/>
        <v>战士0_56_2</v>
      </c>
      <c r="H352">
        <v>0</v>
      </c>
      <c r="I352" s="2" t="s">
        <v>314</v>
      </c>
      <c r="J352" s="2">
        <f t="shared" si="167"/>
        <v>2.5</v>
      </c>
      <c r="K352" s="2">
        <f t="shared" si="160"/>
        <v>1.1000000000000001</v>
      </c>
      <c r="L352" s="2">
        <f t="shared" si="159"/>
        <v>0.88</v>
      </c>
      <c r="M352" s="2">
        <v>10</v>
      </c>
      <c r="N352" s="2">
        <f t="shared" si="158"/>
        <v>57.600000000000009</v>
      </c>
      <c r="O352" s="2">
        <f t="shared" si="158"/>
        <v>5.7600000000000016</v>
      </c>
      <c r="P352" s="2">
        <f t="shared" si="158"/>
        <v>1800</v>
      </c>
      <c r="Q352" s="2">
        <f t="shared" si="157"/>
        <v>180</v>
      </c>
      <c r="R352" s="2">
        <f t="shared" si="157"/>
        <v>36</v>
      </c>
      <c r="S352" s="2">
        <f t="shared" si="157"/>
        <v>3.6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>
        <v>50522001</v>
      </c>
      <c r="Z352" s="14" t="s">
        <v>1480</v>
      </c>
      <c r="AA352" s="14" t="s">
        <v>890</v>
      </c>
      <c r="AB352">
        <v>0</v>
      </c>
      <c r="AC352" s="2">
        <v>31</v>
      </c>
      <c r="AD352" s="2"/>
      <c r="AE352" s="2"/>
      <c r="AF352">
        <v>1</v>
      </c>
      <c r="AG352" s="1">
        <f t="shared" si="161"/>
        <v>796.66220466091477</v>
      </c>
      <c r="AH352">
        <v>9</v>
      </c>
      <c r="AI352">
        <f t="shared" si="172"/>
        <v>57.600000000000009</v>
      </c>
      <c r="AJ352">
        <f t="shared" si="173"/>
        <v>5.7600000000000016</v>
      </c>
      <c r="AK352">
        <f t="shared" si="174"/>
        <v>1800</v>
      </c>
      <c r="AL352">
        <f t="shared" si="175"/>
        <v>180</v>
      </c>
      <c r="AM352">
        <f t="shared" si="168"/>
        <v>36</v>
      </c>
      <c r="AN352">
        <f t="shared" si="169"/>
        <v>3.6</v>
      </c>
      <c r="AO352">
        <f t="shared" si="162"/>
        <v>1.5</v>
      </c>
      <c r="AP352">
        <f t="shared" si="163"/>
        <v>1.2</v>
      </c>
      <c r="AQ352">
        <f t="shared" si="164"/>
        <v>2.5</v>
      </c>
      <c r="AR352">
        <v>200</v>
      </c>
      <c r="AS352" s="1" t="str">
        <f t="shared" si="153"/>
        <v>0</v>
      </c>
      <c r="AT352">
        <v>5</v>
      </c>
      <c r="BP352" t="s">
        <v>964</v>
      </c>
      <c r="BQ352" t="str">
        <f t="shared" si="165"/>
        <v>0</v>
      </c>
      <c r="BT352">
        <v>11</v>
      </c>
      <c r="BU352" t="str">
        <f t="shared" si="166"/>
        <v>571011,582011,593011</v>
      </c>
      <c r="BV352">
        <f t="shared" si="154"/>
        <v>571011</v>
      </c>
      <c r="BW352">
        <f t="shared" si="177"/>
        <v>582011</v>
      </c>
      <c r="BX352">
        <f t="shared" si="176"/>
        <v>593011</v>
      </c>
      <c r="CF352" t="str">
        <f t="shared" si="170"/>
        <v>DATA_Class_Base46</v>
      </c>
      <c r="CG352" s="44" t="s">
        <v>1022</v>
      </c>
    </row>
    <row r="353" spans="1:85" ht="27">
      <c r="A353">
        <f t="shared" si="171"/>
        <v>5092202</v>
      </c>
      <c r="B353" s="45" t="s">
        <v>1053</v>
      </c>
      <c r="C353">
        <v>9</v>
      </c>
      <c r="D353">
        <v>2</v>
      </c>
      <c r="E353">
        <v>2</v>
      </c>
      <c r="F353" s="2" t="s">
        <v>1291</v>
      </c>
      <c r="G353" t="str">
        <f t="shared" si="155"/>
        <v>战士2_56_2</v>
      </c>
      <c r="H353">
        <v>0</v>
      </c>
      <c r="I353" s="2" t="s">
        <v>280</v>
      </c>
      <c r="J353" s="2">
        <f t="shared" si="167"/>
        <v>2.5</v>
      </c>
      <c r="K353" s="2">
        <f t="shared" si="160"/>
        <v>1.32</v>
      </c>
      <c r="L353" s="2">
        <f t="shared" si="159"/>
        <v>1.47</v>
      </c>
      <c r="M353" s="2">
        <v>10</v>
      </c>
      <c r="N353" s="2">
        <f t="shared" si="158"/>
        <v>69.12</v>
      </c>
      <c r="O353" s="2">
        <f t="shared" si="158"/>
        <v>6.9120000000000008</v>
      </c>
      <c r="P353" s="2">
        <f t="shared" si="158"/>
        <v>1800</v>
      </c>
      <c r="Q353" s="2">
        <f t="shared" si="157"/>
        <v>180</v>
      </c>
      <c r="R353" s="2">
        <f t="shared" si="157"/>
        <v>36</v>
      </c>
      <c r="S353" s="2">
        <f t="shared" si="157"/>
        <v>3.6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>
        <v>50522021</v>
      </c>
      <c r="Z353" s="14" t="s">
        <v>1481</v>
      </c>
      <c r="AA353" s="14" t="s">
        <v>890</v>
      </c>
      <c r="AB353">
        <v>0</v>
      </c>
      <c r="AC353" s="2">
        <v>31</v>
      </c>
      <c r="AD353" s="2"/>
      <c r="AE353" s="2"/>
      <c r="AF353">
        <v>1</v>
      </c>
      <c r="AG353" s="1">
        <f t="shared" si="161"/>
        <v>796.66220466091454</v>
      </c>
      <c r="AH353">
        <v>9</v>
      </c>
      <c r="AI353">
        <f t="shared" si="172"/>
        <v>69.12</v>
      </c>
      <c r="AJ353">
        <f t="shared" si="173"/>
        <v>6.9120000000000008</v>
      </c>
      <c r="AK353">
        <f t="shared" si="174"/>
        <v>1800</v>
      </c>
      <c r="AL353">
        <f t="shared" si="175"/>
        <v>180</v>
      </c>
      <c r="AM353">
        <f t="shared" si="168"/>
        <v>36</v>
      </c>
      <c r="AN353">
        <f t="shared" si="169"/>
        <v>3.6</v>
      </c>
      <c r="AO353">
        <f t="shared" si="162"/>
        <v>1.8</v>
      </c>
      <c r="AP353">
        <f t="shared" si="163"/>
        <v>2</v>
      </c>
      <c r="AQ353">
        <f t="shared" si="164"/>
        <v>2.5</v>
      </c>
      <c r="AR353">
        <v>202</v>
      </c>
      <c r="AS353" s="1" t="str">
        <f t="shared" si="153"/>
        <v>2</v>
      </c>
      <c r="AT353">
        <v>5</v>
      </c>
      <c r="BP353" t="s">
        <v>981</v>
      </c>
      <c r="BQ353" t="str">
        <f t="shared" si="165"/>
        <v>2</v>
      </c>
      <c r="BT353">
        <v>12</v>
      </c>
      <c r="BU353" t="str">
        <f t="shared" si="166"/>
        <v>571012,582012,593012</v>
      </c>
      <c r="BV353">
        <f t="shared" si="154"/>
        <v>571012</v>
      </c>
      <c r="BW353">
        <f t="shared" si="177"/>
        <v>582012</v>
      </c>
      <c r="BX353">
        <f t="shared" si="176"/>
        <v>593012</v>
      </c>
      <c r="CF353" t="str">
        <f t="shared" si="170"/>
        <v>DATA_Class_Base56</v>
      </c>
      <c r="CG353" s="45" t="s">
        <v>381</v>
      </c>
    </row>
    <row r="354" spans="1:85" ht="27">
      <c r="A354">
        <f t="shared" si="171"/>
        <v>5092300</v>
      </c>
      <c r="B354" s="45" t="s">
        <v>1056</v>
      </c>
      <c r="C354">
        <v>9</v>
      </c>
      <c r="D354">
        <v>3</v>
      </c>
      <c r="E354">
        <v>2</v>
      </c>
      <c r="F354" t="s">
        <v>1293</v>
      </c>
      <c r="G354" t="str">
        <f t="shared" si="155"/>
        <v>刺客2_56_2</v>
      </c>
      <c r="H354" s="2">
        <v>0</v>
      </c>
      <c r="I354" s="2" t="s">
        <v>358</v>
      </c>
      <c r="J354" s="2">
        <f t="shared" si="167"/>
        <v>4</v>
      </c>
      <c r="K354" s="2">
        <f t="shared" si="160"/>
        <v>0.95000000000000007</v>
      </c>
      <c r="L354" s="2">
        <f t="shared" si="159"/>
        <v>1.3900000000000001</v>
      </c>
      <c r="M354" s="2">
        <v>10</v>
      </c>
      <c r="N354" s="2">
        <f t="shared" si="158"/>
        <v>56.160000000000011</v>
      </c>
      <c r="O354" s="2">
        <f t="shared" si="158"/>
        <v>5.6160000000000014</v>
      </c>
      <c r="P354" s="2">
        <f t="shared" si="158"/>
        <v>1598.4000000000003</v>
      </c>
      <c r="Q354" s="2">
        <f t="shared" si="157"/>
        <v>159.84000000000003</v>
      </c>
      <c r="R354" s="2">
        <f t="shared" si="157"/>
        <v>33</v>
      </c>
      <c r="S354" s="2">
        <f t="shared" si="157"/>
        <v>3.3000000000000003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>
        <v>50523021</v>
      </c>
      <c r="Z354" s="14" t="s">
        <v>1482</v>
      </c>
      <c r="AA354" s="14" t="s">
        <v>890</v>
      </c>
      <c r="AB354">
        <v>0</v>
      </c>
      <c r="AC354" s="2">
        <v>31</v>
      </c>
      <c r="AD354" s="2"/>
      <c r="AE354" s="2"/>
      <c r="AF354">
        <v>1</v>
      </c>
      <c r="AG354" s="1">
        <f t="shared" si="161"/>
        <v>795.33642984064329</v>
      </c>
      <c r="AH354">
        <v>9</v>
      </c>
      <c r="AI354">
        <f t="shared" si="172"/>
        <v>56.160000000000011</v>
      </c>
      <c r="AJ354">
        <f t="shared" si="173"/>
        <v>5.6160000000000014</v>
      </c>
      <c r="AK354">
        <f t="shared" si="174"/>
        <v>1598.4000000000003</v>
      </c>
      <c r="AL354">
        <f t="shared" si="175"/>
        <v>159.84000000000003</v>
      </c>
      <c r="AM354">
        <f t="shared" si="168"/>
        <v>33</v>
      </c>
      <c r="AN354">
        <f t="shared" si="169"/>
        <v>3.3000000000000003</v>
      </c>
      <c r="AO354">
        <f t="shared" si="162"/>
        <v>1.3</v>
      </c>
      <c r="AP354">
        <f t="shared" si="163"/>
        <v>1.9</v>
      </c>
      <c r="AQ354">
        <f t="shared" si="164"/>
        <v>4</v>
      </c>
      <c r="AR354">
        <v>300</v>
      </c>
      <c r="AS354" s="1" t="str">
        <f t="shared" si="153"/>
        <v>0</v>
      </c>
      <c r="AT354">
        <v>5</v>
      </c>
      <c r="BP354" t="s">
        <v>967</v>
      </c>
      <c r="BQ354" t="str">
        <f t="shared" si="165"/>
        <v>0</v>
      </c>
      <c r="BT354">
        <v>13</v>
      </c>
      <c r="BU354" t="str">
        <f t="shared" si="166"/>
        <v>571013,582013,593013</v>
      </c>
      <c r="BV354">
        <f t="shared" si="154"/>
        <v>571013</v>
      </c>
      <c r="BW354">
        <f t="shared" si="177"/>
        <v>582013</v>
      </c>
      <c r="BX354">
        <f t="shared" si="176"/>
        <v>593013</v>
      </c>
      <c r="CF354" t="str">
        <f t="shared" si="170"/>
        <v>DATA_Class_Base57</v>
      </c>
      <c r="CG354" s="45" t="s">
        <v>1057</v>
      </c>
    </row>
    <row r="355" spans="1:85" ht="27">
      <c r="A355">
        <f t="shared" si="171"/>
        <v>5092301</v>
      </c>
      <c r="B355" s="45" t="s">
        <v>1028</v>
      </c>
      <c r="C355">
        <v>9</v>
      </c>
      <c r="D355">
        <v>3</v>
      </c>
      <c r="E355">
        <v>2</v>
      </c>
      <c r="F355" t="s">
        <v>1295</v>
      </c>
      <c r="G355" t="str">
        <f t="shared" si="155"/>
        <v>刺客0_56_2</v>
      </c>
      <c r="H355">
        <v>0</v>
      </c>
      <c r="I355" s="2" t="s">
        <v>352</v>
      </c>
      <c r="J355" s="2">
        <f t="shared" si="167"/>
        <v>2.5</v>
      </c>
      <c r="K355" s="2">
        <f t="shared" si="160"/>
        <v>0.88</v>
      </c>
      <c r="L355" s="2">
        <f t="shared" si="159"/>
        <v>1.47</v>
      </c>
      <c r="M355" s="2">
        <v>10</v>
      </c>
      <c r="N355" s="2">
        <f t="shared" si="158"/>
        <v>51.84</v>
      </c>
      <c r="O355" s="2">
        <f t="shared" si="158"/>
        <v>5.1840000000000011</v>
      </c>
      <c r="P355" s="2">
        <f t="shared" si="158"/>
        <v>1598.4000000000003</v>
      </c>
      <c r="Q355" s="2">
        <f t="shared" si="157"/>
        <v>159.84000000000003</v>
      </c>
      <c r="R355" s="2">
        <f t="shared" si="157"/>
        <v>33</v>
      </c>
      <c r="S355" s="2">
        <f t="shared" si="157"/>
        <v>3.3000000000000003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>
        <v>50523001</v>
      </c>
      <c r="Z355" s="14" t="s">
        <v>1483</v>
      </c>
      <c r="AA355" s="14" t="s">
        <v>890</v>
      </c>
      <c r="AB355">
        <v>0</v>
      </c>
      <c r="AC355" s="2">
        <v>31</v>
      </c>
      <c r="AD355" s="2"/>
      <c r="AE355" s="2"/>
      <c r="AF355">
        <v>1</v>
      </c>
      <c r="AG355" s="1">
        <f t="shared" si="161"/>
        <v>795.33642984064329</v>
      </c>
      <c r="AH355">
        <v>9</v>
      </c>
      <c r="AI355">
        <f t="shared" si="172"/>
        <v>51.84</v>
      </c>
      <c r="AJ355">
        <f t="shared" si="173"/>
        <v>5.1840000000000011</v>
      </c>
      <c r="AK355">
        <f t="shared" si="174"/>
        <v>1598.4000000000003</v>
      </c>
      <c r="AL355">
        <f t="shared" si="175"/>
        <v>159.84000000000003</v>
      </c>
      <c r="AM355">
        <f t="shared" si="168"/>
        <v>33</v>
      </c>
      <c r="AN355">
        <f t="shared" si="169"/>
        <v>3.3000000000000003</v>
      </c>
      <c r="AO355">
        <f t="shared" si="162"/>
        <v>1.2</v>
      </c>
      <c r="AP355">
        <f t="shared" si="163"/>
        <v>2</v>
      </c>
      <c r="AQ355">
        <f t="shared" si="164"/>
        <v>2.5</v>
      </c>
      <c r="AR355">
        <v>301</v>
      </c>
      <c r="AS355" s="1" t="str">
        <f t="shared" si="153"/>
        <v>1</v>
      </c>
      <c r="AT355">
        <v>5</v>
      </c>
      <c r="BP355" t="s">
        <v>923</v>
      </c>
      <c r="BQ355" t="str">
        <f t="shared" si="165"/>
        <v>1</v>
      </c>
      <c r="BT355">
        <v>14</v>
      </c>
      <c r="BU355" t="str">
        <f t="shared" si="166"/>
        <v>571014,582014,593014</v>
      </c>
      <c r="BV355">
        <f t="shared" si="154"/>
        <v>571014</v>
      </c>
      <c r="BW355">
        <f t="shared" si="177"/>
        <v>582014</v>
      </c>
      <c r="BX355">
        <f t="shared" si="176"/>
        <v>593014</v>
      </c>
      <c r="CF355" t="str">
        <f t="shared" si="170"/>
        <v>DATA_Class_Base48</v>
      </c>
      <c r="CG355" s="45" t="s">
        <v>411</v>
      </c>
    </row>
    <row r="356" spans="1:85" ht="27">
      <c r="A356">
        <f t="shared" si="171"/>
        <v>5092400</v>
      </c>
      <c r="B356" s="45" t="s">
        <v>1060</v>
      </c>
      <c r="C356">
        <v>9</v>
      </c>
      <c r="D356">
        <v>4</v>
      </c>
      <c r="E356">
        <v>2</v>
      </c>
      <c r="F356" t="s">
        <v>1297</v>
      </c>
      <c r="G356" t="str">
        <f t="shared" si="155"/>
        <v>法师0_56_2</v>
      </c>
      <c r="H356">
        <v>0</v>
      </c>
      <c r="I356" s="2" t="s">
        <v>364</v>
      </c>
      <c r="J356" s="2">
        <f t="shared" si="167"/>
        <v>5</v>
      </c>
      <c r="K356" s="2">
        <f t="shared" si="160"/>
        <v>1.02</v>
      </c>
      <c r="L356" s="2">
        <f t="shared" si="159"/>
        <v>1.02</v>
      </c>
      <c r="M356" s="2">
        <v>10</v>
      </c>
      <c r="N356" s="2">
        <f t="shared" si="158"/>
        <v>73.919999999999987</v>
      </c>
      <c r="O356" s="2">
        <f t="shared" si="158"/>
        <v>7.3919999999999995</v>
      </c>
      <c r="P356" s="2">
        <f t="shared" si="158"/>
        <v>1310.3999999999999</v>
      </c>
      <c r="Q356" s="2">
        <f t="shared" si="157"/>
        <v>131.04</v>
      </c>
      <c r="R356" s="2">
        <f t="shared" si="157"/>
        <v>27</v>
      </c>
      <c r="S356" s="2">
        <f t="shared" si="157"/>
        <v>2.7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>
        <v>50524001</v>
      </c>
      <c r="Z356" s="14" t="s">
        <v>1484</v>
      </c>
      <c r="AA356" s="14" t="s">
        <v>890</v>
      </c>
      <c r="AB356">
        <v>0</v>
      </c>
      <c r="AC356" s="2">
        <v>31</v>
      </c>
      <c r="AD356" s="2"/>
      <c r="AE356" s="2"/>
      <c r="AF356">
        <v>1</v>
      </c>
      <c r="AG356" s="1">
        <f t="shared" si="161"/>
        <v>795.87046319135652</v>
      </c>
      <c r="AH356">
        <v>9</v>
      </c>
      <c r="AI356">
        <f t="shared" si="172"/>
        <v>73.919999999999987</v>
      </c>
      <c r="AJ356">
        <f t="shared" si="173"/>
        <v>7.3919999999999995</v>
      </c>
      <c r="AK356">
        <f t="shared" si="174"/>
        <v>1310.3999999999999</v>
      </c>
      <c r="AL356">
        <f t="shared" si="175"/>
        <v>131.04</v>
      </c>
      <c r="AM356">
        <f t="shared" si="168"/>
        <v>27</v>
      </c>
      <c r="AN356">
        <f t="shared" si="169"/>
        <v>2.7</v>
      </c>
      <c r="AO356">
        <f t="shared" si="162"/>
        <v>1.4</v>
      </c>
      <c r="AP356">
        <f t="shared" si="163"/>
        <v>1.4</v>
      </c>
      <c r="AQ356">
        <f t="shared" si="164"/>
        <v>5</v>
      </c>
      <c r="AR356">
        <v>400</v>
      </c>
      <c r="AS356" s="1" t="str">
        <f t="shared" si="153"/>
        <v>0</v>
      </c>
      <c r="AT356">
        <v>5</v>
      </c>
      <c r="BP356" t="s">
        <v>986</v>
      </c>
      <c r="BQ356" t="str">
        <f t="shared" si="165"/>
        <v>0</v>
      </c>
      <c r="BT356">
        <v>15</v>
      </c>
      <c r="BU356" t="str">
        <f t="shared" si="166"/>
        <v>571015,582015,593015</v>
      </c>
      <c r="BV356">
        <f t="shared" si="154"/>
        <v>571015</v>
      </c>
      <c r="BW356">
        <f t="shared" si="177"/>
        <v>582015</v>
      </c>
      <c r="BX356">
        <f t="shared" si="176"/>
        <v>593015</v>
      </c>
      <c r="CF356" t="str">
        <f t="shared" si="170"/>
        <v>DATA_Class_Base58</v>
      </c>
      <c r="CG356" s="45" t="s">
        <v>174</v>
      </c>
    </row>
    <row r="357" spans="1:85" ht="27">
      <c r="A357">
        <f t="shared" si="171"/>
        <v>5092402</v>
      </c>
      <c r="B357" s="45" t="s">
        <v>1037</v>
      </c>
      <c r="C357">
        <v>9</v>
      </c>
      <c r="D357">
        <v>4</v>
      </c>
      <c r="E357">
        <v>2</v>
      </c>
      <c r="F357" t="s">
        <v>1299</v>
      </c>
      <c r="G357" t="str">
        <f t="shared" si="155"/>
        <v>法师2_56_2</v>
      </c>
      <c r="H357" s="2">
        <v>0</v>
      </c>
      <c r="I357" s="2" t="s">
        <v>250</v>
      </c>
      <c r="J357" s="2">
        <f t="shared" si="167"/>
        <v>5</v>
      </c>
      <c r="K357" s="2">
        <f t="shared" si="160"/>
        <v>1.1000000000000001</v>
      </c>
      <c r="L357" s="2">
        <f t="shared" si="159"/>
        <v>1.1000000000000001</v>
      </c>
      <c r="M357" s="2">
        <v>10</v>
      </c>
      <c r="N357" s="2">
        <f t="shared" si="158"/>
        <v>79.2</v>
      </c>
      <c r="O357" s="2">
        <f t="shared" si="158"/>
        <v>7.9200000000000008</v>
      </c>
      <c r="P357" s="2">
        <f t="shared" si="158"/>
        <v>1310.3999999999999</v>
      </c>
      <c r="Q357" s="2">
        <f t="shared" si="157"/>
        <v>131.04</v>
      </c>
      <c r="R357" s="2">
        <f t="shared" si="157"/>
        <v>27</v>
      </c>
      <c r="S357" s="2">
        <f t="shared" si="157"/>
        <v>2.7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>
        <v>50524021</v>
      </c>
      <c r="Z357" s="14" t="s">
        <v>1485</v>
      </c>
      <c r="AA357" s="14" t="s">
        <v>890</v>
      </c>
      <c r="AB357">
        <v>0</v>
      </c>
      <c r="AC357" s="2">
        <v>31</v>
      </c>
      <c r="AD357" s="2"/>
      <c r="AE357" s="2"/>
      <c r="AF357">
        <v>1</v>
      </c>
      <c r="AG357" s="1">
        <f t="shared" si="161"/>
        <v>795.87046319135652</v>
      </c>
      <c r="AH357">
        <v>9</v>
      </c>
      <c r="AI357">
        <f t="shared" si="172"/>
        <v>79.2</v>
      </c>
      <c r="AJ357">
        <f t="shared" si="173"/>
        <v>7.9200000000000008</v>
      </c>
      <c r="AK357">
        <f t="shared" si="174"/>
        <v>1310.3999999999999</v>
      </c>
      <c r="AL357">
        <f t="shared" si="175"/>
        <v>131.04</v>
      </c>
      <c r="AM357">
        <f t="shared" si="168"/>
        <v>27</v>
      </c>
      <c r="AN357">
        <f t="shared" si="169"/>
        <v>2.7</v>
      </c>
      <c r="AO357">
        <f t="shared" si="162"/>
        <v>1.5</v>
      </c>
      <c r="AP357">
        <f t="shared" si="163"/>
        <v>1.5</v>
      </c>
      <c r="AQ357">
        <f t="shared" si="164"/>
        <v>5</v>
      </c>
      <c r="AR357">
        <v>402</v>
      </c>
      <c r="AS357" s="1" t="str">
        <f t="shared" ref="AS357:AS391" si="178">RIGHT(AR357,1)</f>
        <v>2</v>
      </c>
      <c r="AT357">
        <v>5</v>
      </c>
      <c r="BP357" t="s">
        <v>971</v>
      </c>
      <c r="BQ357" t="str">
        <f t="shared" si="165"/>
        <v>2</v>
      </c>
      <c r="BT357">
        <v>16</v>
      </c>
      <c r="BU357" t="str">
        <f t="shared" si="166"/>
        <v>571016,582016,593016</v>
      </c>
      <c r="BV357">
        <f t="shared" ref="BV357:BV391" si="179">$AT357*100000+7*10000+1*1000+$BT357</f>
        <v>571016</v>
      </c>
      <c r="BW357">
        <f t="shared" si="177"/>
        <v>582016</v>
      </c>
      <c r="BX357">
        <f t="shared" si="176"/>
        <v>593016</v>
      </c>
      <c r="CF357" t="str">
        <f t="shared" si="170"/>
        <v>DATA_Class_Base51</v>
      </c>
      <c r="CG357" s="45" t="s">
        <v>1038</v>
      </c>
    </row>
    <row r="358" spans="1:85" ht="27">
      <c r="A358">
        <f t="shared" si="171"/>
        <v>5092500</v>
      </c>
      <c r="B358" s="45" t="s">
        <v>1041</v>
      </c>
      <c r="C358">
        <v>9</v>
      </c>
      <c r="D358">
        <v>5</v>
      </c>
      <c r="E358">
        <v>2</v>
      </c>
      <c r="F358" t="s">
        <v>1301</v>
      </c>
      <c r="G358" t="str">
        <f t="shared" ref="G358:G391" si="180">F358</f>
        <v>游侠0_56_2</v>
      </c>
      <c r="H358" s="2">
        <v>0</v>
      </c>
      <c r="I358" s="2" t="s">
        <v>303</v>
      </c>
      <c r="J358" s="2">
        <f t="shared" si="167"/>
        <v>5</v>
      </c>
      <c r="K358" s="2">
        <f t="shared" si="160"/>
        <v>1.1000000000000001</v>
      </c>
      <c r="L358" s="2">
        <f t="shared" si="159"/>
        <v>1.1000000000000001</v>
      </c>
      <c r="M358" s="2">
        <v>10</v>
      </c>
      <c r="N358" s="2">
        <f t="shared" si="158"/>
        <v>86.399999999999991</v>
      </c>
      <c r="O358" s="2">
        <f t="shared" si="158"/>
        <v>8.6399999999999988</v>
      </c>
      <c r="P358" s="2">
        <f t="shared" si="158"/>
        <v>1195.2</v>
      </c>
      <c r="Q358" s="2">
        <f t="shared" si="157"/>
        <v>119.52000000000001</v>
      </c>
      <c r="R358" s="2">
        <f t="shared" si="157"/>
        <v>24</v>
      </c>
      <c r="S358" s="2">
        <f t="shared" si="157"/>
        <v>2.4000000000000004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>
        <v>50525001</v>
      </c>
      <c r="Z358" s="14" t="s">
        <v>1486</v>
      </c>
      <c r="AA358" s="14" t="s">
        <v>890</v>
      </c>
      <c r="AB358">
        <v>0</v>
      </c>
      <c r="AC358" s="2">
        <v>31</v>
      </c>
      <c r="AD358" s="2"/>
      <c r="AE358" s="2"/>
      <c r="AF358">
        <v>1</v>
      </c>
      <c r="AG358" s="1">
        <f t="shared" si="161"/>
        <v>791.36966125140736</v>
      </c>
      <c r="AH358">
        <v>9</v>
      </c>
      <c r="AI358">
        <f t="shared" si="172"/>
        <v>86.399999999999991</v>
      </c>
      <c r="AJ358">
        <f t="shared" si="173"/>
        <v>8.6399999999999988</v>
      </c>
      <c r="AK358">
        <f t="shared" si="174"/>
        <v>1195.2</v>
      </c>
      <c r="AL358">
        <f t="shared" si="175"/>
        <v>119.52000000000001</v>
      </c>
      <c r="AM358">
        <f t="shared" si="168"/>
        <v>24</v>
      </c>
      <c r="AN358">
        <f t="shared" si="169"/>
        <v>2.4000000000000004</v>
      </c>
      <c r="AO358">
        <f t="shared" si="162"/>
        <v>1.5</v>
      </c>
      <c r="AP358">
        <f t="shared" si="163"/>
        <v>1.5</v>
      </c>
      <c r="AQ358">
        <f t="shared" si="164"/>
        <v>5</v>
      </c>
      <c r="AR358">
        <v>500</v>
      </c>
      <c r="AS358" s="1" t="str">
        <f t="shared" si="178"/>
        <v>0</v>
      </c>
      <c r="AT358">
        <v>5</v>
      </c>
      <c r="BP358" t="s">
        <v>956</v>
      </c>
      <c r="BQ358" t="str">
        <f t="shared" si="165"/>
        <v>0</v>
      </c>
      <c r="BT358">
        <v>17</v>
      </c>
      <c r="BU358" t="str">
        <f t="shared" si="166"/>
        <v>571017,582017,593017</v>
      </c>
      <c r="BV358">
        <f t="shared" si="179"/>
        <v>571017</v>
      </c>
      <c r="BW358">
        <f t="shared" si="177"/>
        <v>582017</v>
      </c>
      <c r="BX358">
        <f t="shared" si="176"/>
        <v>593017</v>
      </c>
      <c r="CF358" t="str">
        <f t="shared" si="170"/>
        <v>DATA_Class_Base52</v>
      </c>
      <c r="CG358" s="45" t="s">
        <v>184</v>
      </c>
    </row>
    <row r="359" spans="1:85" ht="27">
      <c r="A359">
        <f t="shared" si="171"/>
        <v>5092502</v>
      </c>
      <c r="B359" s="45" t="s">
        <v>1063</v>
      </c>
      <c r="C359">
        <v>9</v>
      </c>
      <c r="D359">
        <v>5</v>
      </c>
      <c r="E359">
        <v>2</v>
      </c>
      <c r="F359" t="s">
        <v>1303</v>
      </c>
      <c r="G359" t="str">
        <f t="shared" si="180"/>
        <v>游侠2_56_2</v>
      </c>
      <c r="H359">
        <v>0</v>
      </c>
      <c r="I359" s="2" t="s">
        <v>291</v>
      </c>
      <c r="J359" s="2">
        <f t="shared" si="167"/>
        <v>6</v>
      </c>
      <c r="K359" s="2">
        <f t="shared" si="160"/>
        <v>1.02</v>
      </c>
      <c r="L359" s="2">
        <f t="shared" si="159"/>
        <v>1.47</v>
      </c>
      <c r="M359" s="2">
        <v>10</v>
      </c>
      <c r="N359" s="2">
        <f t="shared" si="158"/>
        <v>80.639999999999986</v>
      </c>
      <c r="O359" s="2">
        <f t="shared" si="158"/>
        <v>8.0639999999999983</v>
      </c>
      <c r="P359" s="2">
        <f t="shared" si="158"/>
        <v>1195.2</v>
      </c>
      <c r="Q359" s="2">
        <f t="shared" si="157"/>
        <v>119.52000000000001</v>
      </c>
      <c r="R359" s="2">
        <f t="shared" si="157"/>
        <v>24</v>
      </c>
      <c r="S359" s="2">
        <f t="shared" si="157"/>
        <v>2.4000000000000004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>
        <v>50525021</v>
      </c>
      <c r="Z359" s="14" t="s">
        <v>1487</v>
      </c>
      <c r="AA359" s="14" t="s">
        <v>890</v>
      </c>
      <c r="AB359">
        <v>0</v>
      </c>
      <c r="AC359" s="2">
        <v>31</v>
      </c>
      <c r="AD359" s="2"/>
      <c r="AE359" s="2"/>
      <c r="AF359">
        <v>1</v>
      </c>
      <c r="AG359" s="1">
        <f t="shared" si="161"/>
        <v>791.36966125140725</v>
      </c>
      <c r="AH359">
        <v>9</v>
      </c>
      <c r="AI359">
        <f t="shared" si="172"/>
        <v>80.639999999999986</v>
      </c>
      <c r="AJ359">
        <f t="shared" si="173"/>
        <v>8.0639999999999983</v>
      </c>
      <c r="AK359">
        <f t="shared" si="174"/>
        <v>1195.2</v>
      </c>
      <c r="AL359">
        <f t="shared" si="175"/>
        <v>119.52000000000001</v>
      </c>
      <c r="AM359">
        <f t="shared" si="168"/>
        <v>24</v>
      </c>
      <c r="AN359">
        <f t="shared" si="169"/>
        <v>2.4000000000000004</v>
      </c>
      <c r="AO359">
        <f t="shared" si="162"/>
        <v>1.4</v>
      </c>
      <c r="AP359">
        <f t="shared" si="163"/>
        <v>2</v>
      </c>
      <c r="AQ359">
        <f t="shared" si="164"/>
        <v>6</v>
      </c>
      <c r="AR359">
        <v>502</v>
      </c>
      <c r="AS359" s="1" t="str">
        <f t="shared" si="178"/>
        <v>2</v>
      </c>
      <c r="AT359">
        <v>5</v>
      </c>
      <c r="BP359" t="s">
        <v>974</v>
      </c>
      <c r="BQ359" t="str">
        <f t="shared" si="165"/>
        <v>2</v>
      </c>
      <c r="BT359">
        <v>18</v>
      </c>
      <c r="BU359" t="str">
        <f t="shared" si="166"/>
        <v>571018,582018,593018</v>
      </c>
      <c r="BV359">
        <f t="shared" si="179"/>
        <v>571018</v>
      </c>
      <c r="BW359">
        <f t="shared" si="177"/>
        <v>582018</v>
      </c>
      <c r="BX359">
        <f t="shared" si="176"/>
        <v>593018</v>
      </c>
      <c r="CF359" t="str">
        <f t="shared" si="170"/>
        <v>DATA_Class_Base59</v>
      </c>
      <c r="CG359" s="45" t="s">
        <v>195</v>
      </c>
    </row>
    <row r="360" spans="1:85" ht="27">
      <c r="A360">
        <f t="shared" si="171"/>
        <v>5092600</v>
      </c>
      <c r="B360" s="45" t="s">
        <v>1047</v>
      </c>
      <c r="C360">
        <v>9</v>
      </c>
      <c r="D360">
        <v>6</v>
      </c>
      <c r="E360">
        <v>2</v>
      </c>
      <c r="F360" t="s">
        <v>1305</v>
      </c>
      <c r="G360" t="str">
        <f t="shared" si="180"/>
        <v>牧师0_56_2</v>
      </c>
      <c r="H360">
        <v>0</v>
      </c>
      <c r="I360" s="2" t="s">
        <v>339</v>
      </c>
      <c r="J360" s="2">
        <f t="shared" si="167"/>
        <v>4</v>
      </c>
      <c r="K360" s="2">
        <f t="shared" si="160"/>
        <v>1.02</v>
      </c>
      <c r="L360" s="2">
        <f t="shared" si="159"/>
        <v>1.3900000000000001</v>
      </c>
      <c r="M360" s="2">
        <v>10</v>
      </c>
      <c r="N360" s="2">
        <f t="shared" si="158"/>
        <v>67.199999999999989</v>
      </c>
      <c r="O360" s="2">
        <f t="shared" si="158"/>
        <v>6.7199999999999989</v>
      </c>
      <c r="P360" s="2">
        <f t="shared" si="158"/>
        <v>1440</v>
      </c>
      <c r="Q360" s="2">
        <f t="shared" si="157"/>
        <v>144</v>
      </c>
      <c r="R360" s="2">
        <f t="shared" si="157"/>
        <v>30</v>
      </c>
      <c r="S360" s="2">
        <f t="shared" si="157"/>
        <v>3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>
        <v>50526001</v>
      </c>
      <c r="Z360" s="14" t="s">
        <v>1488</v>
      </c>
      <c r="AA360" s="14" t="s">
        <v>890</v>
      </c>
      <c r="AB360">
        <v>0</v>
      </c>
      <c r="AC360" s="2">
        <v>31</v>
      </c>
      <c r="AD360" s="2"/>
      <c r="AE360" s="2"/>
      <c r="AF360">
        <v>1</v>
      </c>
      <c r="AG360" s="1">
        <f t="shared" si="161"/>
        <v>795.60362391785793</v>
      </c>
      <c r="AH360">
        <v>9</v>
      </c>
      <c r="AI360">
        <f t="shared" si="172"/>
        <v>67.199999999999989</v>
      </c>
      <c r="AJ360">
        <f t="shared" si="173"/>
        <v>6.7199999999999989</v>
      </c>
      <c r="AK360">
        <f t="shared" si="174"/>
        <v>1440</v>
      </c>
      <c r="AL360">
        <f t="shared" si="175"/>
        <v>144</v>
      </c>
      <c r="AM360">
        <f t="shared" si="168"/>
        <v>30</v>
      </c>
      <c r="AN360">
        <f t="shared" si="169"/>
        <v>3</v>
      </c>
      <c r="AO360">
        <f t="shared" si="162"/>
        <v>1.4</v>
      </c>
      <c r="AP360">
        <f t="shared" si="163"/>
        <v>1.9</v>
      </c>
      <c r="AQ360">
        <f t="shared" si="164"/>
        <v>4</v>
      </c>
      <c r="AR360">
        <v>600</v>
      </c>
      <c r="AS360" s="1" t="str">
        <f t="shared" si="178"/>
        <v>0</v>
      </c>
      <c r="AT360">
        <v>5</v>
      </c>
      <c r="BP360" t="s">
        <v>990</v>
      </c>
      <c r="BQ360" t="str">
        <f t="shared" si="165"/>
        <v>0</v>
      </c>
      <c r="BT360">
        <v>19</v>
      </c>
      <c r="BU360" t="str">
        <f t="shared" si="166"/>
        <v>571019,582019,593019</v>
      </c>
      <c r="BV360">
        <f t="shared" si="179"/>
        <v>571019</v>
      </c>
      <c r="BW360">
        <f t="shared" si="177"/>
        <v>582019</v>
      </c>
      <c r="BX360">
        <f t="shared" si="176"/>
        <v>593019</v>
      </c>
      <c r="CF360" t="str">
        <f t="shared" si="170"/>
        <v>DATA_Class_Base54</v>
      </c>
      <c r="CG360" s="45" t="s">
        <v>198</v>
      </c>
    </row>
    <row r="361" spans="1:85" ht="27">
      <c r="A361">
        <f t="shared" si="171"/>
        <v>5092602</v>
      </c>
      <c r="B361" s="45" t="s">
        <v>1066</v>
      </c>
      <c r="C361">
        <v>9</v>
      </c>
      <c r="D361">
        <v>6</v>
      </c>
      <c r="E361">
        <v>2</v>
      </c>
      <c r="F361" t="s">
        <v>1307</v>
      </c>
      <c r="G361" t="str">
        <f t="shared" si="180"/>
        <v>牧师2_56_2</v>
      </c>
      <c r="H361" t="s">
        <v>345</v>
      </c>
      <c r="I361" s="2" t="s">
        <v>346</v>
      </c>
      <c r="J361" s="2">
        <f t="shared" si="167"/>
        <v>6</v>
      </c>
      <c r="K361" s="2">
        <f t="shared" si="160"/>
        <v>1.32</v>
      </c>
      <c r="L361" s="2">
        <f t="shared" si="159"/>
        <v>1.47</v>
      </c>
      <c r="M361" s="2">
        <v>10</v>
      </c>
      <c r="N361" s="2">
        <f t="shared" si="158"/>
        <v>86.399999999999991</v>
      </c>
      <c r="O361" s="2">
        <f t="shared" si="158"/>
        <v>8.6399999999999988</v>
      </c>
      <c r="P361" s="2">
        <f t="shared" si="158"/>
        <v>1440</v>
      </c>
      <c r="Q361" s="2">
        <f t="shared" si="157"/>
        <v>144</v>
      </c>
      <c r="R361" s="2">
        <f t="shared" si="157"/>
        <v>30</v>
      </c>
      <c r="S361" s="2">
        <f t="shared" si="157"/>
        <v>3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>
        <v>50526021</v>
      </c>
      <c r="Z361" s="14" t="s">
        <v>1489</v>
      </c>
      <c r="AA361" s="14" t="s">
        <v>890</v>
      </c>
      <c r="AB361">
        <v>0</v>
      </c>
      <c r="AC361" s="2">
        <v>31</v>
      </c>
      <c r="AD361" s="2"/>
      <c r="AE361" s="2"/>
      <c r="AF361">
        <v>1</v>
      </c>
      <c r="AG361" s="1">
        <f t="shared" si="161"/>
        <v>795.60362391785793</v>
      </c>
      <c r="AH361">
        <v>9</v>
      </c>
      <c r="AI361">
        <f t="shared" si="172"/>
        <v>86.399999999999991</v>
      </c>
      <c r="AJ361">
        <f t="shared" si="173"/>
        <v>8.6399999999999988</v>
      </c>
      <c r="AK361">
        <f t="shared" si="174"/>
        <v>1440</v>
      </c>
      <c r="AL361">
        <f t="shared" si="175"/>
        <v>144</v>
      </c>
      <c r="AM361">
        <f t="shared" si="168"/>
        <v>30</v>
      </c>
      <c r="AN361">
        <f t="shared" si="169"/>
        <v>3</v>
      </c>
      <c r="AO361">
        <f t="shared" si="162"/>
        <v>1.8</v>
      </c>
      <c r="AP361">
        <f t="shared" si="163"/>
        <v>2</v>
      </c>
      <c r="AQ361">
        <f t="shared" si="164"/>
        <v>6</v>
      </c>
      <c r="AR361">
        <v>602</v>
      </c>
      <c r="AS361" s="1" t="str">
        <f t="shared" si="178"/>
        <v>2</v>
      </c>
      <c r="AT361">
        <v>5</v>
      </c>
      <c r="BP361" t="s">
        <v>978</v>
      </c>
      <c r="BQ361" t="str">
        <f t="shared" si="165"/>
        <v>2</v>
      </c>
      <c r="BT361">
        <v>20</v>
      </c>
      <c r="BU361" t="str">
        <f t="shared" si="166"/>
        <v>571020,582020,593020</v>
      </c>
      <c r="BV361">
        <f t="shared" si="179"/>
        <v>571020</v>
      </c>
      <c r="BW361">
        <f t="shared" si="177"/>
        <v>582020</v>
      </c>
      <c r="BX361">
        <f t="shared" si="176"/>
        <v>593020</v>
      </c>
      <c r="CF361" t="str">
        <f t="shared" si="170"/>
        <v>DATA_Class_Base60</v>
      </c>
      <c r="CG361" s="45" t="s">
        <v>407</v>
      </c>
    </row>
    <row r="362" spans="1:85">
      <c r="A362">
        <f t="shared" si="171"/>
        <v>5093200</v>
      </c>
      <c r="B362" s="44" t="s">
        <v>1021</v>
      </c>
      <c r="C362">
        <v>9</v>
      </c>
      <c r="D362">
        <v>2</v>
      </c>
      <c r="E362">
        <v>3</v>
      </c>
      <c r="F362" t="s">
        <v>1309</v>
      </c>
      <c r="G362" t="str">
        <f t="shared" si="180"/>
        <v>战士0_56_3</v>
      </c>
      <c r="H362">
        <v>0</v>
      </c>
      <c r="I362" s="2" t="s">
        <v>314</v>
      </c>
      <c r="J362" s="2">
        <f t="shared" si="167"/>
        <v>2.5</v>
      </c>
      <c r="K362" s="2">
        <f t="shared" si="160"/>
        <v>1.1000000000000001</v>
      </c>
      <c r="L362" s="2">
        <f t="shared" si="159"/>
        <v>0.88</v>
      </c>
      <c r="M362" s="2">
        <v>10</v>
      </c>
      <c r="N362" s="2">
        <f t="shared" si="158"/>
        <v>57.600000000000009</v>
      </c>
      <c r="O362" s="2">
        <f t="shared" si="158"/>
        <v>5.7600000000000016</v>
      </c>
      <c r="P362" s="2">
        <f t="shared" si="158"/>
        <v>1800</v>
      </c>
      <c r="Q362" s="2">
        <f t="shared" si="157"/>
        <v>180</v>
      </c>
      <c r="R362" s="2">
        <f t="shared" si="157"/>
        <v>36</v>
      </c>
      <c r="S362" s="2">
        <f t="shared" si="157"/>
        <v>3.6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>
        <v>50532001</v>
      </c>
      <c r="Z362" s="14" t="s">
        <v>1490</v>
      </c>
      <c r="AA362" s="14" t="s">
        <v>890</v>
      </c>
      <c r="AB362">
        <v>0</v>
      </c>
      <c r="AC362" s="2">
        <v>31</v>
      </c>
      <c r="AD362" s="2"/>
      <c r="AE362" s="2"/>
      <c r="AF362">
        <v>1</v>
      </c>
      <c r="AG362" s="1">
        <f t="shared" si="161"/>
        <v>796.66220466091477</v>
      </c>
      <c r="AH362">
        <v>9</v>
      </c>
      <c r="AI362">
        <f t="shared" si="172"/>
        <v>57.600000000000009</v>
      </c>
      <c r="AJ362">
        <f t="shared" si="173"/>
        <v>5.7600000000000016</v>
      </c>
      <c r="AK362">
        <f t="shared" si="174"/>
        <v>1800</v>
      </c>
      <c r="AL362">
        <f t="shared" si="175"/>
        <v>180</v>
      </c>
      <c r="AM362">
        <f t="shared" si="168"/>
        <v>36</v>
      </c>
      <c r="AN362">
        <f t="shared" si="169"/>
        <v>3.6</v>
      </c>
      <c r="AO362">
        <f t="shared" si="162"/>
        <v>1.5</v>
      </c>
      <c r="AP362">
        <f t="shared" si="163"/>
        <v>1.2</v>
      </c>
      <c r="AQ362">
        <f t="shared" si="164"/>
        <v>2.5</v>
      </c>
      <c r="AR362">
        <v>200</v>
      </c>
      <c r="AS362" s="1" t="str">
        <f t="shared" si="178"/>
        <v>0</v>
      </c>
      <c r="AT362">
        <v>5</v>
      </c>
      <c r="BP362" t="s">
        <v>964</v>
      </c>
      <c r="BQ362" t="str">
        <f t="shared" si="165"/>
        <v>0</v>
      </c>
      <c r="BT362">
        <v>21</v>
      </c>
      <c r="BU362" t="str">
        <f t="shared" si="166"/>
        <v>571021,582021,593021</v>
      </c>
      <c r="BV362">
        <f t="shared" si="179"/>
        <v>571021</v>
      </c>
      <c r="BW362">
        <f t="shared" si="177"/>
        <v>582021</v>
      </c>
      <c r="BX362">
        <f t="shared" si="176"/>
        <v>593021</v>
      </c>
      <c r="CF362" t="str">
        <f t="shared" si="170"/>
        <v>DATA_Class_Base46</v>
      </c>
      <c r="CG362" s="44" t="s">
        <v>1022</v>
      </c>
    </row>
    <row r="363" spans="1:85" ht="27">
      <c r="A363">
        <f t="shared" si="171"/>
        <v>5093202</v>
      </c>
      <c r="B363" s="45" t="s">
        <v>1053</v>
      </c>
      <c r="C363">
        <v>9</v>
      </c>
      <c r="D363">
        <v>2</v>
      </c>
      <c r="E363">
        <v>3</v>
      </c>
      <c r="F363" s="2" t="s">
        <v>1311</v>
      </c>
      <c r="G363" t="str">
        <f t="shared" si="180"/>
        <v>战士2_56_3</v>
      </c>
      <c r="H363">
        <v>0</v>
      </c>
      <c r="I363" s="2" t="s">
        <v>280</v>
      </c>
      <c r="J363" s="2">
        <f t="shared" si="167"/>
        <v>2.5</v>
      </c>
      <c r="K363" s="2">
        <f t="shared" si="160"/>
        <v>1.32</v>
      </c>
      <c r="L363" s="2">
        <f t="shared" si="159"/>
        <v>1.47</v>
      </c>
      <c r="M363" s="2">
        <v>10</v>
      </c>
      <c r="N363" s="2">
        <f t="shared" si="158"/>
        <v>69.12</v>
      </c>
      <c r="O363" s="2">
        <f t="shared" si="158"/>
        <v>6.9120000000000008</v>
      </c>
      <c r="P363" s="2">
        <f t="shared" si="158"/>
        <v>1800</v>
      </c>
      <c r="Q363" s="2">
        <f t="shared" si="157"/>
        <v>180</v>
      </c>
      <c r="R363" s="2">
        <f t="shared" si="157"/>
        <v>36</v>
      </c>
      <c r="S363" s="2">
        <f t="shared" si="157"/>
        <v>3.6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>
        <v>50532021</v>
      </c>
      <c r="Z363" s="14" t="s">
        <v>1491</v>
      </c>
      <c r="AA363" s="14" t="s">
        <v>890</v>
      </c>
      <c r="AB363">
        <v>0</v>
      </c>
      <c r="AC363" s="2">
        <v>31</v>
      </c>
      <c r="AD363" s="2"/>
      <c r="AE363" s="2"/>
      <c r="AF363">
        <v>1</v>
      </c>
      <c r="AG363" s="1">
        <f t="shared" si="161"/>
        <v>796.66220466091454</v>
      </c>
      <c r="AH363">
        <v>9</v>
      </c>
      <c r="AI363">
        <f t="shared" si="172"/>
        <v>69.12</v>
      </c>
      <c r="AJ363">
        <f t="shared" si="173"/>
        <v>6.9120000000000008</v>
      </c>
      <c r="AK363">
        <f t="shared" si="174"/>
        <v>1800</v>
      </c>
      <c r="AL363">
        <f t="shared" si="175"/>
        <v>180</v>
      </c>
      <c r="AM363">
        <f t="shared" si="168"/>
        <v>36</v>
      </c>
      <c r="AN363">
        <f t="shared" si="169"/>
        <v>3.6</v>
      </c>
      <c r="AO363">
        <f t="shared" si="162"/>
        <v>1.8</v>
      </c>
      <c r="AP363">
        <f t="shared" si="163"/>
        <v>2</v>
      </c>
      <c r="AQ363">
        <f t="shared" si="164"/>
        <v>2.5</v>
      </c>
      <c r="AR363">
        <v>202</v>
      </c>
      <c r="AS363" s="1" t="str">
        <f t="shared" si="178"/>
        <v>2</v>
      </c>
      <c r="AT363">
        <v>5</v>
      </c>
      <c r="BP363" t="s">
        <v>981</v>
      </c>
      <c r="BQ363" t="str">
        <f t="shared" si="165"/>
        <v>2</v>
      </c>
      <c r="BT363">
        <v>22</v>
      </c>
      <c r="BU363" t="str">
        <f t="shared" si="166"/>
        <v>571022,582022,593022</v>
      </c>
      <c r="BV363">
        <f t="shared" si="179"/>
        <v>571022</v>
      </c>
      <c r="BW363">
        <f t="shared" si="177"/>
        <v>582022</v>
      </c>
      <c r="BX363">
        <f t="shared" si="176"/>
        <v>593022</v>
      </c>
      <c r="CF363" t="str">
        <f t="shared" si="170"/>
        <v>DATA_Class_Base56</v>
      </c>
      <c r="CG363" s="45" t="s">
        <v>381</v>
      </c>
    </row>
    <row r="364" spans="1:85" ht="27">
      <c r="A364">
        <f t="shared" si="171"/>
        <v>5093300</v>
      </c>
      <c r="B364" s="45" t="s">
        <v>1056</v>
      </c>
      <c r="C364">
        <v>9</v>
      </c>
      <c r="D364">
        <v>3</v>
      </c>
      <c r="E364">
        <v>3</v>
      </c>
      <c r="F364" t="s">
        <v>1313</v>
      </c>
      <c r="G364" t="str">
        <f t="shared" si="180"/>
        <v>刺客2_56_3</v>
      </c>
      <c r="H364" s="2">
        <v>0</v>
      </c>
      <c r="I364" s="2" t="s">
        <v>358</v>
      </c>
      <c r="J364" s="2">
        <f t="shared" si="167"/>
        <v>4</v>
      </c>
      <c r="K364" s="2">
        <f t="shared" si="160"/>
        <v>0.95000000000000007</v>
      </c>
      <c r="L364" s="2">
        <f t="shared" si="159"/>
        <v>1.3900000000000001</v>
      </c>
      <c r="M364" s="2">
        <v>10</v>
      </c>
      <c r="N364" s="2">
        <f t="shared" si="158"/>
        <v>56.160000000000011</v>
      </c>
      <c r="O364" s="2">
        <f t="shared" si="158"/>
        <v>5.6160000000000014</v>
      </c>
      <c r="P364" s="2">
        <f t="shared" si="158"/>
        <v>1598.4000000000003</v>
      </c>
      <c r="Q364" s="2">
        <f t="shared" si="157"/>
        <v>159.84000000000003</v>
      </c>
      <c r="R364" s="2">
        <f t="shared" si="157"/>
        <v>33</v>
      </c>
      <c r="S364" s="2">
        <f t="shared" si="157"/>
        <v>3.3000000000000003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>
        <v>50533021</v>
      </c>
      <c r="Z364" s="14" t="s">
        <v>1492</v>
      </c>
      <c r="AA364" s="14" t="s">
        <v>890</v>
      </c>
      <c r="AB364">
        <v>0</v>
      </c>
      <c r="AC364" s="2">
        <v>31</v>
      </c>
      <c r="AD364" s="2"/>
      <c r="AE364" s="2"/>
      <c r="AF364">
        <v>1</v>
      </c>
      <c r="AG364" s="1">
        <f t="shared" si="161"/>
        <v>795.33642984064329</v>
      </c>
      <c r="AH364">
        <v>9</v>
      </c>
      <c r="AI364">
        <f t="shared" si="172"/>
        <v>56.160000000000011</v>
      </c>
      <c r="AJ364">
        <f t="shared" si="173"/>
        <v>5.6160000000000014</v>
      </c>
      <c r="AK364">
        <f t="shared" si="174"/>
        <v>1598.4000000000003</v>
      </c>
      <c r="AL364">
        <f t="shared" si="175"/>
        <v>159.84000000000003</v>
      </c>
      <c r="AM364">
        <f t="shared" si="168"/>
        <v>33</v>
      </c>
      <c r="AN364">
        <f t="shared" si="169"/>
        <v>3.3000000000000003</v>
      </c>
      <c r="AO364">
        <f t="shared" si="162"/>
        <v>1.3</v>
      </c>
      <c r="AP364">
        <f t="shared" si="163"/>
        <v>1.9</v>
      </c>
      <c r="AQ364">
        <f t="shared" si="164"/>
        <v>4</v>
      </c>
      <c r="AR364">
        <v>300</v>
      </c>
      <c r="AS364" s="1" t="str">
        <f t="shared" si="178"/>
        <v>0</v>
      </c>
      <c r="AT364">
        <v>5</v>
      </c>
      <c r="BP364" t="s">
        <v>967</v>
      </c>
      <c r="BQ364" t="str">
        <f t="shared" si="165"/>
        <v>0</v>
      </c>
      <c r="BT364">
        <v>23</v>
      </c>
      <c r="BU364" t="str">
        <f t="shared" si="166"/>
        <v>571023,582023,593023</v>
      </c>
      <c r="BV364">
        <f t="shared" si="179"/>
        <v>571023</v>
      </c>
      <c r="BW364">
        <f t="shared" si="177"/>
        <v>582023</v>
      </c>
      <c r="BX364">
        <f t="shared" si="176"/>
        <v>593023</v>
      </c>
      <c r="CF364" t="str">
        <f t="shared" si="170"/>
        <v>DATA_Class_Base57</v>
      </c>
      <c r="CG364" s="45" t="s">
        <v>1057</v>
      </c>
    </row>
    <row r="365" spans="1:85" ht="27">
      <c r="A365">
        <f t="shared" si="171"/>
        <v>5093302</v>
      </c>
      <c r="B365" s="45" t="s">
        <v>1031</v>
      </c>
      <c r="C365">
        <v>9</v>
      </c>
      <c r="D365">
        <v>3</v>
      </c>
      <c r="E365">
        <v>3</v>
      </c>
      <c r="F365" t="s">
        <v>1315</v>
      </c>
      <c r="G365" t="str">
        <f t="shared" si="180"/>
        <v>刺客1_56_3</v>
      </c>
      <c r="H365" s="2">
        <v>0</v>
      </c>
      <c r="I365" s="2" t="s">
        <v>285</v>
      </c>
      <c r="J365" s="2">
        <f t="shared" si="167"/>
        <v>2.5</v>
      </c>
      <c r="K365" s="2">
        <f t="shared" si="160"/>
        <v>1.02</v>
      </c>
      <c r="L365" s="2">
        <f t="shared" si="159"/>
        <v>1.25</v>
      </c>
      <c r="M365" s="2">
        <v>10</v>
      </c>
      <c r="N365" s="2">
        <f t="shared" si="158"/>
        <v>60.48</v>
      </c>
      <c r="O365" s="2">
        <f t="shared" si="158"/>
        <v>6.048</v>
      </c>
      <c r="P365" s="2">
        <f t="shared" si="158"/>
        <v>1598.4000000000003</v>
      </c>
      <c r="Q365" s="2">
        <f t="shared" si="157"/>
        <v>159.84000000000003</v>
      </c>
      <c r="R365" s="2">
        <f t="shared" si="157"/>
        <v>33</v>
      </c>
      <c r="S365" s="2">
        <f t="shared" si="157"/>
        <v>3.3000000000000003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>
        <v>50533011</v>
      </c>
      <c r="Z365" s="14" t="s">
        <v>1493</v>
      </c>
      <c r="AA365" s="14" t="s">
        <v>890</v>
      </c>
      <c r="AB365">
        <v>0</v>
      </c>
      <c r="AC365" s="2">
        <v>31</v>
      </c>
      <c r="AD365" s="2"/>
      <c r="AE365" s="2"/>
      <c r="AF365">
        <v>1</v>
      </c>
      <c r="AG365" s="1">
        <f t="shared" si="161"/>
        <v>795.33642984064306</v>
      </c>
      <c r="AH365">
        <v>9</v>
      </c>
      <c r="AI365">
        <f t="shared" si="172"/>
        <v>60.48</v>
      </c>
      <c r="AJ365">
        <f t="shared" si="173"/>
        <v>6.048</v>
      </c>
      <c r="AK365">
        <f t="shared" si="174"/>
        <v>1598.4000000000003</v>
      </c>
      <c r="AL365">
        <f t="shared" si="175"/>
        <v>159.84000000000003</v>
      </c>
      <c r="AM365">
        <f t="shared" si="168"/>
        <v>33</v>
      </c>
      <c r="AN365">
        <f t="shared" si="169"/>
        <v>3.3000000000000003</v>
      </c>
      <c r="AO365">
        <f t="shared" si="162"/>
        <v>1.4</v>
      </c>
      <c r="AP365">
        <f t="shared" si="163"/>
        <v>1.7</v>
      </c>
      <c r="AQ365">
        <f t="shared" si="164"/>
        <v>2.5</v>
      </c>
      <c r="AR365">
        <v>302</v>
      </c>
      <c r="AS365" s="1" t="str">
        <f t="shared" si="178"/>
        <v>2</v>
      </c>
      <c r="AT365">
        <v>5</v>
      </c>
      <c r="BP365" t="s">
        <v>983</v>
      </c>
      <c r="BQ365" t="str">
        <f t="shared" si="165"/>
        <v>2</v>
      </c>
      <c r="BT365">
        <v>24</v>
      </c>
      <c r="BU365" t="str">
        <f t="shared" si="166"/>
        <v>571024,582024,593024</v>
      </c>
      <c r="BV365">
        <f t="shared" si="179"/>
        <v>571024</v>
      </c>
      <c r="BW365">
        <f t="shared" si="177"/>
        <v>582024</v>
      </c>
      <c r="BX365">
        <f t="shared" si="176"/>
        <v>593024</v>
      </c>
      <c r="CF365" t="str">
        <f t="shared" si="170"/>
        <v>DATA_Class_Base49</v>
      </c>
      <c r="CG365" s="45" t="s">
        <v>384</v>
      </c>
    </row>
    <row r="366" spans="1:85" ht="27">
      <c r="A366">
        <f t="shared" si="171"/>
        <v>5093400</v>
      </c>
      <c r="B366" s="45" t="s">
        <v>1060</v>
      </c>
      <c r="C366">
        <v>9</v>
      </c>
      <c r="D366">
        <v>4</v>
      </c>
      <c r="E366">
        <v>3</v>
      </c>
      <c r="F366" t="s">
        <v>1317</v>
      </c>
      <c r="G366" t="str">
        <f t="shared" si="180"/>
        <v>法师0_56_3</v>
      </c>
      <c r="H366">
        <v>0</v>
      </c>
      <c r="I366" s="2" t="s">
        <v>364</v>
      </c>
      <c r="J366" s="2">
        <f t="shared" si="167"/>
        <v>5</v>
      </c>
      <c r="K366" s="2">
        <f t="shared" si="160"/>
        <v>1.02</v>
      </c>
      <c r="L366" s="2">
        <f t="shared" si="159"/>
        <v>1.02</v>
      </c>
      <c r="M366" s="2">
        <v>10</v>
      </c>
      <c r="N366" s="2">
        <f t="shared" si="158"/>
        <v>73.919999999999987</v>
      </c>
      <c r="O366" s="2">
        <f t="shared" si="158"/>
        <v>7.3919999999999995</v>
      </c>
      <c r="P366" s="2">
        <f t="shared" si="158"/>
        <v>1310.3999999999999</v>
      </c>
      <c r="Q366" s="2">
        <f t="shared" si="157"/>
        <v>131.04</v>
      </c>
      <c r="R366" s="2">
        <f t="shared" si="157"/>
        <v>27</v>
      </c>
      <c r="S366" s="2">
        <f t="shared" si="157"/>
        <v>2.7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>
        <v>50534001</v>
      </c>
      <c r="Z366" s="14" t="s">
        <v>1494</v>
      </c>
      <c r="AA366" s="14" t="s">
        <v>890</v>
      </c>
      <c r="AB366">
        <v>0</v>
      </c>
      <c r="AC366" s="2">
        <v>31</v>
      </c>
      <c r="AD366" s="2"/>
      <c r="AE366" s="2"/>
      <c r="AF366">
        <v>1</v>
      </c>
      <c r="AG366" s="1">
        <f t="shared" si="161"/>
        <v>795.87046319135652</v>
      </c>
      <c r="AH366">
        <v>9</v>
      </c>
      <c r="AI366">
        <f t="shared" si="172"/>
        <v>73.919999999999987</v>
      </c>
      <c r="AJ366">
        <f t="shared" si="173"/>
        <v>7.3919999999999995</v>
      </c>
      <c r="AK366">
        <f t="shared" si="174"/>
        <v>1310.3999999999999</v>
      </c>
      <c r="AL366">
        <f t="shared" si="175"/>
        <v>131.04</v>
      </c>
      <c r="AM366">
        <f t="shared" si="168"/>
        <v>27</v>
      </c>
      <c r="AN366">
        <f t="shared" si="169"/>
        <v>2.7</v>
      </c>
      <c r="AO366">
        <f t="shared" si="162"/>
        <v>1.4</v>
      </c>
      <c r="AP366">
        <f t="shared" si="163"/>
        <v>1.4</v>
      </c>
      <c r="AQ366">
        <f t="shared" si="164"/>
        <v>5</v>
      </c>
      <c r="AR366">
        <v>400</v>
      </c>
      <c r="AS366" s="1" t="str">
        <f t="shared" si="178"/>
        <v>0</v>
      </c>
      <c r="AT366">
        <v>5</v>
      </c>
      <c r="BP366" t="s">
        <v>986</v>
      </c>
      <c r="BQ366" t="str">
        <f t="shared" si="165"/>
        <v>0</v>
      </c>
      <c r="BT366">
        <v>25</v>
      </c>
      <c r="BU366" t="str">
        <f t="shared" si="166"/>
        <v>571025,582025,593025</v>
      </c>
      <c r="BV366">
        <f t="shared" si="179"/>
        <v>571025</v>
      </c>
      <c r="BW366">
        <f t="shared" si="177"/>
        <v>582025</v>
      </c>
      <c r="BX366">
        <f t="shared" si="176"/>
        <v>593025</v>
      </c>
      <c r="CF366" t="str">
        <f t="shared" si="170"/>
        <v>DATA_Class_Base58</v>
      </c>
      <c r="CG366" s="45" t="s">
        <v>174</v>
      </c>
    </row>
    <row r="367" spans="1:85" ht="14.25" customHeight="1">
      <c r="A367">
        <f t="shared" si="171"/>
        <v>5093401</v>
      </c>
      <c r="B367" s="45" t="s">
        <v>1034</v>
      </c>
      <c r="C367">
        <v>9</v>
      </c>
      <c r="D367">
        <v>4</v>
      </c>
      <c r="E367">
        <v>3</v>
      </c>
      <c r="F367" t="s">
        <v>1319</v>
      </c>
      <c r="G367" t="str">
        <f t="shared" si="180"/>
        <v>法师1_56_3</v>
      </c>
      <c r="H367">
        <v>0</v>
      </c>
      <c r="I367" s="2" t="s">
        <v>161</v>
      </c>
      <c r="J367" s="2">
        <f t="shared" si="167"/>
        <v>6</v>
      </c>
      <c r="K367" s="2">
        <f t="shared" si="160"/>
        <v>1.17</v>
      </c>
      <c r="L367" s="2">
        <f t="shared" si="159"/>
        <v>1.47</v>
      </c>
      <c r="M367" s="2">
        <v>10</v>
      </c>
      <c r="N367" s="2">
        <f t="shared" si="158"/>
        <v>84.480000000000018</v>
      </c>
      <c r="O367" s="2">
        <f t="shared" si="158"/>
        <v>8.4480000000000022</v>
      </c>
      <c r="P367" s="2">
        <f t="shared" si="158"/>
        <v>1310.3999999999999</v>
      </c>
      <c r="Q367" s="2">
        <f t="shared" si="157"/>
        <v>131.04</v>
      </c>
      <c r="R367" s="2">
        <f t="shared" si="157"/>
        <v>27</v>
      </c>
      <c r="S367" s="2">
        <f t="shared" si="157"/>
        <v>2.7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>
        <v>50534011</v>
      </c>
      <c r="Z367" s="14" t="s">
        <v>1495</v>
      </c>
      <c r="AA367" s="14" t="s">
        <v>890</v>
      </c>
      <c r="AB367">
        <v>0</v>
      </c>
      <c r="AC367" s="2">
        <v>31</v>
      </c>
      <c r="AD367" s="2"/>
      <c r="AE367" s="2"/>
      <c r="AF367">
        <v>1</v>
      </c>
      <c r="AG367" s="1">
        <f t="shared" si="161"/>
        <v>795.87046319135663</v>
      </c>
      <c r="AH367">
        <v>9</v>
      </c>
      <c r="AI367">
        <f t="shared" si="172"/>
        <v>84.480000000000018</v>
      </c>
      <c r="AJ367">
        <f t="shared" si="173"/>
        <v>8.4480000000000022</v>
      </c>
      <c r="AK367">
        <f t="shared" si="174"/>
        <v>1310.3999999999999</v>
      </c>
      <c r="AL367">
        <f t="shared" si="175"/>
        <v>131.04</v>
      </c>
      <c r="AM367">
        <f t="shared" si="168"/>
        <v>27</v>
      </c>
      <c r="AN367">
        <f t="shared" si="169"/>
        <v>2.7</v>
      </c>
      <c r="AO367">
        <f t="shared" si="162"/>
        <v>1.6</v>
      </c>
      <c r="AP367">
        <f t="shared" si="163"/>
        <v>2</v>
      </c>
      <c r="AQ367">
        <f t="shared" si="164"/>
        <v>6</v>
      </c>
      <c r="AR367">
        <v>401</v>
      </c>
      <c r="AS367" s="1" t="str">
        <f t="shared" si="178"/>
        <v>1</v>
      </c>
      <c r="AT367">
        <v>5</v>
      </c>
      <c r="BP367" t="s">
        <v>953</v>
      </c>
      <c r="BQ367" t="str">
        <f t="shared" si="165"/>
        <v>1</v>
      </c>
      <c r="BT367">
        <v>26</v>
      </c>
      <c r="BU367" t="str">
        <f t="shared" si="166"/>
        <v>571026,582026,593026</v>
      </c>
      <c r="BV367">
        <f t="shared" si="179"/>
        <v>571026</v>
      </c>
      <c r="BW367">
        <f t="shared" si="177"/>
        <v>582026</v>
      </c>
      <c r="BX367">
        <f t="shared" si="176"/>
        <v>593026</v>
      </c>
      <c r="CF367" t="str">
        <f t="shared" si="170"/>
        <v>DATA_Class_Base50</v>
      </c>
      <c r="CG367" s="45" t="s">
        <v>176</v>
      </c>
    </row>
    <row r="368" spans="1:85" ht="27">
      <c r="A368">
        <f t="shared" si="171"/>
        <v>5093501</v>
      </c>
      <c r="B368" s="45" t="s">
        <v>1044</v>
      </c>
      <c r="C368">
        <v>9</v>
      </c>
      <c r="D368">
        <v>5</v>
      </c>
      <c r="E368">
        <v>3</v>
      </c>
      <c r="F368" t="s">
        <v>1321</v>
      </c>
      <c r="G368" t="str">
        <f t="shared" si="180"/>
        <v>游侠1_56_3</v>
      </c>
      <c r="H368" s="2">
        <v>0</v>
      </c>
      <c r="I368" s="2" t="s">
        <v>334</v>
      </c>
      <c r="J368" s="2">
        <f t="shared" si="167"/>
        <v>6</v>
      </c>
      <c r="K368" s="2">
        <f t="shared" si="160"/>
        <v>1.17</v>
      </c>
      <c r="L368" s="2">
        <f t="shared" si="159"/>
        <v>1.47</v>
      </c>
      <c r="M368" s="2">
        <v>10</v>
      </c>
      <c r="N368" s="2">
        <f t="shared" si="158"/>
        <v>92.16</v>
      </c>
      <c r="O368" s="2">
        <f t="shared" si="158"/>
        <v>9.2159999999999993</v>
      </c>
      <c r="P368" s="2">
        <f t="shared" si="158"/>
        <v>1195.2</v>
      </c>
      <c r="Q368" s="2">
        <f t="shared" si="157"/>
        <v>119.52000000000001</v>
      </c>
      <c r="R368" s="2">
        <f t="shared" si="157"/>
        <v>24</v>
      </c>
      <c r="S368" s="2">
        <f t="shared" si="157"/>
        <v>2.4000000000000004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>
        <v>50535011</v>
      </c>
      <c r="Z368" s="14" t="s">
        <v>1496</v>
      </c>
      <c r="AA368" s="14" t="s">
        <v>890</v>
      </c>
      <c r="AB368">
        <v>0</v>
      </c>
      <c r="AC368" s="2">
        <v>31</v>
      </c>
      <c r="AD368" s="2"/>
      <c r="AE368" s="2"/>
      <c r="AF368">
        <v>1</v>
      </c>
      <c r="AG368" s="1">
        <f t="shared" si="161"/>
        <v>791.36966125140725</v>
      </c>
      <c r="AH368">
        <v>9</v>
      </c>
      <c r="AI368">
        <f t="shared" si="172"/>
        <v>92.16</v>
      </c>
      <c r="AJ368">
        <f t="shared" si="173"/>
        <v>9.2159999999999993</v>
      </c>
      <c r="AK368">
        <f t="shared" si="174"/>
        <v>1195.2</v>
      </c>
      <c r="AL368">
        <f t="shared" si="175"/>
        <v>119.52000000000001</v>
      </c>
      <c r="AM368">
        <f t="shared" si="168"/>
        <v>24</v>
      </c>
      <c r="AN368">
        <f t="shared" si="169"/>
        <v>2.4000000000000004</v>
      </c>
      <c r="AO368">
        <f t="shared" si="162"/>
        <v>1.6</v>
      </c>
      <c r="AP368">
        <f t="shared" si="163"/>
        <v>2</v>
      </c>
      <c r="AQ368">
        <f t="shared" si="164"/>
        <v>6</v>
      </c>
      <c r="AR368">
        <v>501</v>
      </c>
      <c r="AS368" s="1" t="str">
        <f t="shared" si="178"/>
        <v>1</v>
      </c>
      <c r="AT368">
        <v>5</v>
      </c>
      <c r="BP368" t="s">
        <v>945</v>
      </c>
      <c r="BQ368" t="str">
        <f t="shared" si="165"/>
        <v>1</v>
      </c>
      <c r="BT368">
        <v>27</v>
      </c>
      <c r="BU368" t="str">
        <f t="shared" si="166"/>
        <v>571027,582027,593027</v>
      </c>
      <c r="BV368">
        <f t="shared" si="179"/>
        <v>571027</v>
      </c>
      <c r="BW368">
        <f t="shared" si="177"/>
        <v>582027</v>
      </c>
      <c r="BX368">
        <f t="shared" si="176"/>
        <v>593027</v>
      </c>
      <c r="CF368" t="str">
        <f t="shared" si="170"/>
        <v>DATA_Class_Base53</v>
      </c>
      <c r="CG368" s="45" t="s">
        <v>349</v>
      </c>
    </row>
    <row r="369" spans="1:85" ht="27">
      <c r="A369">
        <f t="shared" si="171"/>
        <v>5093502</v>
      </c>
      <c r="B369" s="45" t="s">
        <v>1063</v>
      </c>
      <c r="C369">
        <v>9</v>
      </c>
      <c r="D369">
        <v>5</v>
      </c>
      <c r="E369">
        <v>3</v>
      </c>
      <c r="F369" t="s">
        <v>1323</v>
      </c>
      <c r="G369" t="str">
        <f t="shared" si="180"/>
        <v>游侠2_56_3</v>
      </c>
      <c r="H369">
        <v>0</v>
      </c>
      <c r="I369" s="2" t="s">
        <v>291</v>
      </c>
      <c r="J369" s="2">
        <f t="shared" si="167"/>
        <v>6</v>
      </c>
      <c r="K369" s="2">
        <f t="shared" si="160"/>
        <v>1.02</v>
      </c>
      <c r="L369" s="2">
        <f t="shared" si="159"/>
        <v>1.47</v>
      </c>
      <c r="M369" s="2">
        <v>10</v>
      </c>
      <c r="N369" s="2">
        <f t="shared" si="158"/>
        <v>80.639999999999986</v>
      </c>
      <c r="O369" s="2">
        <f t="shared" si="158"/>
        <v>8.0639999999999983</v>
      </c>
      <c r="P369" s="2">
        <f t="shared" si="158"/>
        <v>1195.2</v>
      </c>
      <c r="Q369" s="2">
        <f t="shared" si="157"/>
        <v>119.52000000000001</v>
      </c>
      <c r="R369" s="2">
        <f t="shared" si="157"/>
        <v>24</v>
      </c>
      <c r="S369" s="2">
        <f t="shared" si="157"/>
        <v>2.4000000000000004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>
        <v>50535021</v>
      </c>
      <c r="Z369" s="14" t="s">
        <v>1497</v>
      </c>
      <c r="AA369" s="14" t="s">
        <v>890</v>
      </c>
      <c r="AB369">
        <v>0</v>
      </c>
      <c r="AC369" s="2">
        <v>31</v>
      </c>
      <c r="AD369" s="2"/>
      <c r="AE369" s="2"/>
      <c r="AF369">
        <v>1</v>
      </c>
      <c r="AG369" s="1">
        <f t="shared" si="161"/>
        <v>791.36966125140725</v>
      </c>
      <c r="AH369">
        <v>9</v>
      </c>
      <c r="AI369">
        <f t="shared" si="172"/>
        <v>80.639999999999986</v>
      </c>
      <c r="AJ369">
        <f t="shared" si="173"/>
        <v>8.0639999999999983</v>
      </c>
      <c r="AK369">
        <f t="shared" si="174"/>
        <v>1195.2</v>
      </c>
      <c r="AL369">
        <f t="shared" si="175"/>
        <v>119.52000000000001</v>
      </c>
      <c r="AM369">
        <f t="shared" si="168"/>
        <v>24</v>
      </c>
      <c r="AN369">
        <f t="shared" si="169"/>
        <v>2.4000000000000004</v>
      </c>
      <c r="AO369">
        <f t="shared" si="162"/>
        <v>1.4</v>
      </c>
      <c r="AP369">
        <f t="shared" si="163"/>
        <v>2</v>
      </c>
      <c r="AQ369">
        <f t="shared" si="164"/>
        <v>6</v>
      </c>
      <c r="AR369">
        <v>502</v>
      </c>
      <c r="AS369" s="1" t="str">
        <f t="shared" si="178"/>
        <v>2</v>
      </c>
      <c r="AT369">
        <v>5</v>
      </c>
      <c r="BP369" t="s">
        <v>974</v>
      </c>
      <c r="BQ369" t="str">
        <f t="shared" si="165"/>
        <v>2</v>
      </c>
      <c r="BT369">
        <v>28</v>
      </c>
      <c r="BU369" t="str">
        <f t="shared" si="166"/>
        <v>571028,582028,593028</v>
      </c>
      <c r="BV369">
        <f t="shared" si="179"/>
        <v>571028</v>
      </c>
      <c r="BW369">
        <f t="shared" si="177"/>
        <v>582028</v>
      </c>
      <c r="BX369">
        <f t="shared" si="176"/>
        <v>593028</v>
      </c>
      <c r="CF369" t="str">
        <f t="shared" si="170"/>
        <v>DATA_Class_Base59</v>
      </c>
      <c r="CG369" s="45" t="s">
        <v>195</v>
      </c>
    </row>
    <row r="370" spans="1:85" ht="27">
      <c r="A370">
        <f t="shared" si="171"/>
        <v>5093600</v>
      </c>
      <c r="B370" s="45" t="s">
        <v>1047</v>
      </c>
      <c r="C370">
        <v>9</v>
      </c>
      <c r="D370">
        <v>6</v>
      </c>
      <c r="E370">
        <v>3</v>
      </c>
      <c r="F370" t="s">
        <v>1325</v>
      </c>
      <c r="G370" t="str">
        <f t="shared" si="180"/>
        <v>牧师0_56_3</v>
      </c>
      <c r="H370">
        <v>0</v>
      </c>
      <c r="I370" s="2" t="s">
        <v>339</v>
      </c>
      <c r="J370" s="2">
        <f t="shared" si="167"/>
        <v>4</v>
      </c>
      <c r="K370" s="2">
        <f t="shared" si="160"/>
        <v>1.02</v>
      </c>
      <c r="L370" s="2">
        <f t="shared" si="159"/>
        <v>1.3900000000000001</v>
      </c>
      <c r="M370" s="2">
        <v>10</v>
      </c>
      <c r="N370" s="2">
        <f t="shared" si="158"/>
        <v>67.199999999999989</v>
      </c>
      <c r="O370" s="2">
        <f t="shared" si="158"/>
        <v>6.7199999999999989</v>
      </c>
      <c r="P370" s="2">
        <f t="shared" si="158"/>
        <v>1440</v>
      </c>
      <c r="Q370" s="2">
        <f t="shared" si="157"/>
        <v>144</v>
      </c>
      <c r="R370" s="2">
        <f t="shared" si="157"/>
        <v>30</v>
      </c>
      <c r="S370" s="2">
        <f t="shared" si="157"/>
        <v>3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>
        <v>50536001</v>
      </c>
      <c r="Z370" s="14" t="s">
        <v>1498</v>
      </c>
      <c r="AA370" s="14" t="s">
        <v>890</v>
      </c>
      <c r="AB370">
        <v>0</v>
      </c>
      <c r="AC370" s="2">
        <v>31</v>
      </c>
      <c r="AD370" s="2"/>
      <c r="AE370" s="2"/>
      <c r="AF370">
        <v>1</v>
      </c>
      <c r="AG370" s="1">
        <f t="shared" si="161"/>
        <v>795.60362391785793</v>
      </c>
      <c r="AH370">
        <v>9</v>
      </c>
      <c r="AI370">
        <f t="shared" si="172"/>
        <v>67.199999999999989</v>
      </c>
      <c r="AJ370">
        <f t="shared" si="173"/>
        <v>6.7199999999999989</v>
      </c>
      <c r="AK370">
        <f t="shared" si="174"/>
        <v>1440</v>
      </c>
      <c r="AL370">
        <f t="shared" si="175"/>
        <v>144</v>
      </c>
      <c r="AM370">
        <f t="shared" si="168"/>
        <v>30</v>
      </c>
      <c r="AN370">
        <f t="shared" si="169"/>
        <v>3</v>
      </c>
      <c r="AO370">
        <f t="shared" si="162"/>
        <v>1.4</v>
      </c>
      <c r="AP370">
        <f t="shared" si="163"/>
        <v>1.9</v>
      </c>
      <c r="AQ370">
        <f t="shared" si="164"/>
        <v>4</v>
      </c>
      <c r="AR370">
        <v>600</v>
      </c>
      <c r="AS370" s="1" t="str">
        <f t="shared" si="178"/>
        <v>0</v>
      </c>
      <c r="AT370">
        <v>5</v>
      </c>
      <c r="BP370" t="s">
        <v>990</v>
      </c>
      <c r="BQ370" t="str">
        <f t="shared" si="165"/>
        <v>0</v>
      </c>
      <c r="BT370">
        <v>29</v>
      </c>
      <c r="BU370" t="str">
        <f t="shared" si="166"/>
        <v>571029,582029,593029</v>
      </c>
      <c r="BV370">
        <f t="shared" si="179"/>
        <v>571029</v>
      </c>
      <c r="BW370">
        <f t="shared" si="177"/>
        <v>582029</v>
      </c>
      <c r="BX370">
        <f t="shared" si="176"/>
        <v>593029</v>
      </c>
      <c r="CF370" t="str">
        <f t="shared" si="170"/>
        <v>DATA_Class_Base54</v>
      </c>
      <c r="CG370" s="45" t="s">
        <v>198</v>
      </c>
    </row>
    <row r="371" spans="1:85" ht="27">
      <c r="A371">
        <f t="shared" si="171"/>
        <v>5093601</v>
      </c>
      <c r="B371" s="45" t="s">
        <v>1050</v>
      </c>
      <c r="C371">
        <v>9</v>
      </c>
      <c r="D371">
        <v>6</v>
      </c>
      <c r="E371">
        <v>3</v>
      </c>
      <c r="F371" t="s">
        <v>1327</v>
      </c>
      <c r="G371" t="str">
        <f t="shared" si="180"/>
        <v>牧师1_56_3</v>
      </c>
      <c r="H371" s="2">
        <v>0</v>
      </c>
      <c r="I371" s="2" t="s">
        <v>309</v>
      </c>
      <c r="J371" s="2">
        <f t="shared" si="167"/>
        <v>5</v>
      </c>
      <c r="K371" s="2">
        <f t="shared" si="160"/>
        <v>1.1000000000000001</v>
      </c>
      <c r="L371" s="2">
        <f t="shared" si="159"/>
        <v>1.47</v>
      </c>
      <c r="M371" s="2">
        <v>10</v>
      </c>
      <c r="N371" s="2">
        <f t="shared" si="158"/>
        <v>72</v>
      </c>
      <c r="O371" s="2">
        <f t="shared" si="158"/>
        <v>7.2</v>
      </c>
      <c r="P371" s="2">
        <f t="shared" si="158"/>
        <v>1440</v>
      </c>
      <c r="Q371" s="2">
        <f t="shared" si="157"/>
        <v>144</v>
      </c>
      <c r="R371" s="2">
        <f t="shared" si="157"/>
        <v>30</v>
      </c>
      <c r="S371" s="2">
        <f t="shared" si="157"/>
        <v>3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>
        <v>50536011</v>
      </c>
      <c r="Z371" s="14" t="s">
        <v>1499</v>
      </c>
      <c r="AA371" s="14" t="s">
        <v>890</v>
      </c>
      <c r="AB371">
        <v>0</v>
      </c>
      <c r="AC371" s="2">
        <v>31</v>
      </c>
      <c r="AD371" s="2"/>
      <c r="AE371" s="2"/>
      <c r="AF371">
        <v>1</v>
      </c>
      <c r="AG371" s="1">
        <f t="shared" si="161"/>
        <v>795.60362391785793</v>
      </c>
      <c r="AH371">
        <v>9</v>
      </c>
      <c r="AI371">
        <f t="shared" si="172"/>
        <v>72</v>
      </c>
      <c r="AJ371">
        <f t="shared" si="173"/>
        <v>7.2</v>
      </c>
      <c r="AK371">
        <f t="shared" si="174"/>
        <v>1440</v>
      </c>
      <c r="AL371">
        <f t="shared" si="175"/>
        <v>144</v>
      </c>
      <c r="AM371">
        <f t="shared" si="168"/>
        <v>30</v>
      </c>
      <c r="AN371">
        <f t="shared" si="169"/>
        <v>3</v>
      </c>
      <c r="AO371">
        <f t="shared" si="162"/>
        <v>1.5</v>
      </c>
      <c r="AP371">
        <f t="shared" si="163"/>
        <v>2</v>
      </c>
      <c r="AQ371">
        <f t="shared" si="164"/>
        <v>5</v>
      </c>
      <c r="AR371">
        <v>601</v>
      </c>
      <c r="AS371" s="1" t="str">
        <f t="shared" si="178"/>
        <v>1</v>
      </c>
      <c r="AT371">
        <v>5</v>
      </c>
      <c r="BP371" t="s">
        <v>960</v>
      </c>
      <c r="BQ371" t="str">
        <f t="shared" si="165"/>
        <v>1</v>
      </c>
      <c r="BT371">
        <v>30</v>
      </c>
      <c r="BU371" t="str">
        <f t="shared" si="166"/>
        <v>571030,582030,593030</v>
      </c>
      <c r="BV371">
        <f t="shared" si="179"/>
        <v>571030</v>
      </c>
      <c r="BW371">
        <f t="shared" si="177"/>
        <v>582030</v>
      </c>
      <c r="BX371">
        <f t="shared" si="176"/>
        <v>593030</v>
      </c>
      <c r="CF371" t="str">
        <f t="shared" si="170"/>
        <v>DATA_Class_Base55</v>
      </c>
      <c r="CG371" s="45" t="s">
        <v>201</v>
      </c>
    </row>
    <row r="372" spans="1:85">
      <c r="A372">
        <f t="shared" si="171"/>
        <v>5094200</v>
      </c>
      <c r="B372" s="44" t="s">
        <v>1021</v>
      </c>
      <c r="C372">
        <v>9</v>
      </c>
      <c r="D372">
        <v>2</v>
      </c>
      <c r="E372">
        <v>4</v>
      </c>
      <c r="F372" t="s">
        <v>1329</v>
      </c>
      <c r="G372" t="str">
        <f t="shared" si="180"/>
        <v>战士0_56_4</v>
      </c>
      <c r="H372">
        <v>0</v>
      </c>
      <c r="I372" s="2" t="s">
        <v>314</v>
      </c>
      <c r="J372" s="2">
        <f t="shared" si="167"/>
        <v>2.5</v>
      </c>
      <c r="K372" s="2">
        <f t="shared" si="160"/>
        <v>1.1000000000000001</v>
      </c>
      <c r="L372" s="2">
        <f t="shared" si="159"/>
        <v>0.88</v>
      </c>
      <c r="M372" s="2">
        <v>10</v>
      </c>
      <c r="N372" s="2">
        <f t="shared" si="158"/>
        <v>57.600000000000009</v>
      </c>
      <c r="O372" s="2">
        <f t="shared" si="158"/>
        <v>5.7600000000000016</v>
      </c>
      <c r="P372" s="2">
        <f t="shared" si="158"/>
        <v>1800</v>
      </c>
      <c r="Q372" s="2">
        <f t="shared" si="157"/>
        <v>180</v>
      </c>
      <c r="R372" s="2">
        <f t="shared" si="157"/>
        <v>36</v>
      </c>
      <c r="S372" s="2">
        <f t="shared" si="157"/>
        <v>3.6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>
        <v>50542001</v>
      </c>
      <c r="Z372" s="14" t="s">
        <v>1500</v>
      </c>
      <c r="AA372" s="14" t="s">
        <v>890</v>
      </c>
      <c r="AB372">
        <v>0</v>
      </c>
      <c r="AC372" s="2">
        <v>19</v>
      </c>
      <c r="AD372" s="2"/>
      <c r="AE372" s="2"/>
      <c r="AF372">
        <v>1</v>
      </c>
      <c r="AG372" s="1">
        <f t="shared" si="161"/>
        <v>796.66220466091477</v>
      </c>
      <c r="AH372">
        <v>9</v>
      </c>
      <c r="AI372">
        <f t="shared" si="172"/>
        <v>57.600000000000009</v>
      </c>
      <c r="AJ372">
        <f t="shared" si="173"/>
        <v>5.7600000000000016</v>
      </c>
      <c r="AK372">
        <f t="shared" si="174"/>
        <v>1800</v>
      </c>
      <c r="AL372">
        <f t="shared" si="175"/>
        <v>180</v>
      </c>
      <c r="AM372">
        <f t="shared" si="168"/>
        <v>36</v>
      </c>
      <c r="AN372">
        <f t="shared" si="169"/>
        <v>3.6</v>
      </c>
      <c r="AO372">
        <f t="shared" si="162"/>
        <v>1.5</v>
      </c>
      <c r="AP372">
        <f t="shared" si="163"/>
        <v>1.2</v>
      </c>
      <c r="AQ372">
        <f t="shared" si="164"/>
        <v>2.5</v>
      </c>
      <c r="AR372">
        <v>200</v>
      </c>
      <c r="AS372" s="1" t="str">
        <f t="shared" si="178"/>
        <v>0</v>
      </c>
      <c r="AT372">
        <v>5</v>
      </c>
      <c r="BP372" t="s">
        <v>964</v>
      </c>
      <c r="BQ372" t="str">
        <f t="shared" si="165"/>
        <v>0</v>
      </c>
      <c r="BT372">
        <v>31</v>
      </c>
      <c r="BU372" t="str">
        <f t="shared" si="166"/>
        <v>571031,582031,593031</v>
      </c>
      <c r="BV372">
        <f t="shared" si="179"/>
        <v>571031</v>
      </c>
      <c r="BW372">
        <f t="shared" si="177"/>
        <v>582031</v>
      </c>
      <c r="BX372">
        <f t="shared" si="176"/>
        <v>593031</v>
      </c>
      <c r="CF372" t="str">
        <f t="shared" si="170"/>
        <v>DATA_Class_Base46</v>
      </c>
      <c r="CG372" s="44" t="s">
        <v>1022</v>
      </c>
    </row>
    <row r="373" spans="1:85" ht="27">
      <c r="A373">
        <f t="shared" si="171"/>
        <v>5094201</v>
      </c>
      <c r="B373" s="45" t="s">
        <v>1025</v>
      </c>
      <c r="C373">
        <v>9</v>
      </c>
      <c r="D373">
        <v>2</v>
      </c>
      <c r="E373">
        <v>4</v>
      </c>
      <c r="F373" t="s">
        <v>1331</v>
      </c>
      <c r="G373" t="str">
        <f t="shared" si="180"/>
        <v>战士1_56_4</v>
      </c>
      <c r="H373" s="2">
        <v>0</v>
      </c>
      <c r="I373" s="2" t="s">
        <v>298</v>
      </c>
      <c r="J373" s="2">
        <f t="shared" si="167"/>
        <v>2.5</v>
      </c>
      <c r="K373" s="2">
        <f t="shared" si="160"/>
        <v>1.32</v>
      </c>
      <c r="L373" s="2">
        <f t="shared" si="159"/>
        <v>1.32</v>
      </c>
      <c r="M373" s="2">
        <v>10</v>
      </c>
      <c r="N373" s="2">
        <f t="shared" si="158"/>
        <v>69.12</v>
      </c>
      <c r="O373" s="2">
        <f t="shared" si="158"/>
        <v>6.9120000000000008</v>
      </c>
      <c r="P373" s="2">
        <f t="shared" si="158"/>
        <v>1800</v>
      </c>
      <c r="Q373" s="2">
        <f t="shared" si="157"/>
        <v>180</v>
      </c>
      <c r="R373" s="2">
        <f t="shared" si="157"/>
        <v>36</v>
      </c>
      <c r="S373" s="2">
        <f t="shared" si="157"/>
        <v>3.6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>
        <v>50542011</v>
      </c>
      <c r="Z373" s="14" t="s">
        <v>1501</v>
      </c>
      <c r="AA373" s="14" t="s">
        <v>890</v>
      </c>
      <c r="AB373">
        <v>0</v>
      </c>
      <c r="AC373" s="2">
        <v>19</v>
      </c>
      <c r="AD373" s="2"/>
      <c r="AE373" s="2"/>
      <c r="AF373">
        <v>1</v>
      </c>
      <c r="AG373" s="1">
        <f t="shared" si="161"/>
        <v>796.66220466091454</v>
      </c>
      <c r="AH373">
        <v>9</v>
      </c>
      <c r="AI373">
        <f t="shared" si="172"/>
        <v>69.12</v>
      </c>
      <c r="AJ373">
        <f t="shared" si="173"/>
        <v>6.9120000000000008</v>
      </c>
      <c r="AK373">
        <f t="shared" si="174"/>
        <v>1800</v>
      </c>
      <c r="AL373">
        <f t="shared" si="175"/>
        <v>180</v>
      </c>
      <c r="AM373">
        <f t="shared" si="168"/>
        <v>36</v>
      </c>
      <c r="AN373">
        <f t="shared" si="169"/>
        <v>3.6</v>
      </c>
      <c r="AO373">
        <f t="shared" si="162"/>
        <v>1.8</v>
      </c>
      <c r="AP373">
        <f t="shared" si="163"/>
        <v>1.8</v>
      </c>
      <c r="AQ373">
        <f t="shared" si="164"/>
        <v>2.5</v>
      </c>
      <c r="AR373">
        <v>201</v>
      </c>
      <c r="AS373" s="1" t="str">
        <f t="shared" si="178"/>
        <v>1</v>
      </c>
      <c r="AT373">
        <v>5</v>
      </c>
      <c r="BP373" t="s">
        <v>913</v>
      </c>
      <c r="BQ373" t="str">
        <f t="shared" si="165"/>
        <v>1</v>
      </c>
      <c r="BT373">
        <v>32</v>
      </c>
      <c r="BU373" t="str">
        <f t="shared" si="166"/>
        <v>571032,582032,593032</v>
      </c>
      <c r="BV373">
        <f t="shared" si="179"/>
        <v>571032</v>
      </c>
      <c r="BW373">
        <f t="shared" si="177"/>
        <v>582032</v>
      </c>
      <c r="BX373">
        <f t="shared" si="176"/>
        <v>593032</v>
      </c>
      <c r="CF373" t="str">
        <f t="shared" si="170"/>
        <v>DATA_Class_Base47</v>
      </c>
      <c r="CG373" s="45" t="s">
        <v>378</v>
      </c>
    </row>
    <row r="374" spans="1:85" ht="27">
      <c r="A374">
        <f t="shared" si="171"/>
        <v>5094301</v>
      </c>
      <c r="B374" s="45" t="s">
        <v>1028</v>
      </c>
      <c r="C374">
        <v>9</v>
      </c>
      <c r="D374">
        <v>3</v>
      </c>
      <c r="E374">
        <v>4</v>
      </c>
      <c r="F374" t="s">
        <v>1333</v>
      </c>
      <c r="G374" t="str">
        <f t="shared" si="180"/>
        <v>刺客0_56_4</v>
      </c>
      <c r="H374">
        <v>0</v>
      </c>
      <c r="I374" s="2" t="s">
        <v>352</v>
      </c>
      <c r="J374" s="2">
        <f t="shared" si="167"/>
        <v>2.5</v>
      </c>
      <c r="K374" s="2">
        <f t="shared" si="160"/>
        <v>0.88</v>
      </c>
      <c r="L374" s="2">
        <f t="shared" si="159"/>
        <v>1.47</v>
      </c>
      <c r="M374" s="2">
        <v>10</v>
      </c>
      <c r="N374" s="2">
        <f t="shared" si="158"/>
        <v>51.84</v>
      </c>
      <c r="O374" s="2">
        <f t="shared" si="158"/>
        <v>5.1840000000000011</v>
      </c>
      <c r="P374" s="2">
        <f t="shared" si="158"/>
        <v>1598.4000000000003</v>
      </c>
      <c r="Q374" s="2">
        <f t="shared" si="157"/>
        <v>159.84000000000003</v>
      </c>
      <c r="R374" s="2">
        <f t="shared" si="157"/>
        <v>33</v>
      </c>
      <c r="S374" s="2">
        <f t="shared" si="157"/>
        <v>3.3000000000000003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>
        <v>50543001</v>
      </c>
      <c r="Z374" s="14" t="s">
        <v>1502</v>
      </c>
      <c r="AA374" s="14" t="s">
        <v>890</v>
      </c>
      <c r="AB374">
        <v>0</v>
      </c>
      <c r="AC374" s="2">
        <v>19</v>
      </c>
      <c r="AD374" s="2"/>
      <c r="AE374" s="2"/>
      <c r="AF374">
        <v>1</v>
      </c>
      <c r="AG374" s="1">
        <f t="shared" si="161"/>
        <v>795.33642984064329</v>
      </c>
      <c r="AH374">
        <v>9</v>
      </c>
      <c r="AI374">
        <f t="shared" si="172"/>
        <v>51.84</v>
      </c>
      <c r="AJ374">
        <f t="shared" si="173"/>
        <v>5.1840000000000011</v>
      </c>
      <c r="AK374">
        <f t="shared" si="174"/>
        <v>1598.4000000000003</v>
      </c>
      <c r="AL374">
        <f t="shared" si="175"/>
        <v>159.84000000000003</v>
      </c>
      <c r="AM374">
        <f t="shared" si="168"/>
        <v>33</v>
      </c>
      <c r="AN374">
        <f t="shared" si="169"/>
        <v>3.3000000000000003</v>
      </c>
      <c r="AO374">
        <f t="shared" si="162"/>
        <v>1.2</v>
      </c>
      <c r="AP374">
        <f t="shared" si="163"/>
        <v>2</v>
      </c>
      <c r="AQ374">
        <f t="shared" si="164"/>
        <v>2.5</v>
      </c>
      <c r="AR374">
        <v>301</v>
      </c>
      <c r="AS374" s="1" t="str">
        <f t="shared" si="178"/>
        <v>1</v>
      </c>
      <c r="AT374">
        <v>5</v>
      </c>
      <c r="BP374" t="s">
        <v>923</v>
      </c>
      <c r="BQ374" t="str">
        <f t="shared" si="165"/>
        <v>1</v>
      </c>
      <c r="BT374">
        <v>33</v>
      </c>
      <c r="BU374" t="str">
        <f t="shared" si="166"/>
        <v>571033,582033,593033</v>
      </c>
      <c r="BV374">
        <f t="shared" si="179"/>
        <v>571033</v>
      </c>
      <c r="BW374">
        <f t="shared" si="177"/>
        <v>582033</v>
      </c>
      <c r="BX374">
        <f t="shared" si="176"/>
        <v>593033</v>
      </c>
      <c r="CF374" t="str">
        <f t="shared" si="170"/>
        <v>DATA_Class_Base48</v>
      </c>
      <c r="CG374" s="45" t="s">
        <v>411</v>
      </c>
    </row>
    <row r="375" spans="1:85" ht="27">
      <c r="A375">
        <f t="shared" si="171"/>
        <v>5094302</v>
      </c>
      <c r="B375" s="45" t="s">
        <v>1031</v>
      </c>
      <c r="C375">
        <v>9</v>
      </c>
      <c r="D375">
        <v>3</v>
      </c>
      <c r="E375">
        <v>4</v>
      </c>
      <c r="F375" t="s">
        <v>1335</v>
      </c>
      <c r="G375" t="str">
        <f t="shared" si="180"/>
        <v>刺客1_56_4</v>
      </c>
      <c r="H375" s="2">
        <v>0</v>
      </c>
      <c r="I375" s="2" t="s">
        <v>285</v>
      </c>
      <c r="J375" s="2">
        <f t="shared" si="167"/>
        <v>2.5</v>
      </c>
      <c r="K375" s="2">
        <f t="shared" si="160"/>
        <v>1.02</v>
      </c>
      <c r="L375" s="2">
        <f t="shared" si="159"/>
        <v>1.25</v>
      </c>
      <c r="M375" s="2">
        <v>10</v>
      </c>
      <c r="N375" s="2">
        <f t="shared" si="158"/>
        <v>60.48</v>
      </c>
      <c r="O375" s="2">
        <f t="shared" si="158"/>
        <v>6.048</v>
      </c>
      <c r="P375" s="2">
        <f t="shared" si="158"/>
        <v>1598.4000000000003</v>
      </c>
      <c r="Q375" s="2">
        <f t="shared" si="157"/>
        <v>159.84000000000003</v>
      </c>
      <c r="R375" s="2">
        <f t="shared" si="157"/>
        <v>33</v>
      </c>
      <c r="S375" s="2">
        <f t="shared" si="157"/>
        <v>3.3000000000000003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>
        <v>50543011</v>
      </c>
      <c r="Z375" s="14" t="s">
        <v>1503</v>
      </c>
      <c r="AA375" s="14" t="s">
        <v>890</v>
      </c>
      <c r="AB375">
        <v>0</v>
      </c>
      <c r="AC375" s="2">
        <v>19</v>
      </c>
      <c r="AD375" s="2"/>
      <c r="AE375" s="2"/>
      <c r="AF375">
        <v>1</v>
      </c>
      <c r="AG375" s="1">
        <f t="shared" si="161"/>
        <v>795.33642984064306</v>
      </c>
      <c r="AH375">
        <v>9</v>
      </c>
      <c r="AI375">
        <f t="shared" si="172"/>
        <v>60.48</v>
      </c>
      <c r="AJ375">
        <f t="shared" si="173"/>
        <v>6.048</v>
      </c>
      <c r="AK375">
        <f t="shared" si="174"/>
        <v>1598.4000000000003</v>
      </c>
      <c r="AL375">
        <f t="shared" si="175"/>
        <v>159.84000000000003</v>
      </c>
      <c r="AM375">
        <f t="shared" si="168"/>
        <v>33</v>
      </c>
      <c r="AN375">
        <f t="shared" si="169"/>
        <v>3.3000000000000003</v>
      </c>
      <c r="AO375">
        <f t="shared" si="162"/>
        <v>1.4</v>
      </c>
      <c r="AP375">
        <f t="shared" si="163"/>
        <v>1.7</v>
      </c>
      <c r="AQ375">
        <f t="shared" si="164"/>
        <v>2.5</v>
      </c>
      <c r="AR375">
        <v>302</v>
      </c>
      <c r="AS375" s="1" t="str">
        <f t="shared" si="178"/>
        <v>2</v>
      </c>
      <c r="AT375">
        <v>5</v>
      </c>
      <c r="BP375" t="s">
        <v>983</v>
      </c>
      <c r="BQ375" t="str">
        <f t="shared" si="165"/>
        <v>2</v>
      </c>
      <c r="BT375">
        <v>34</v>
      </c>
      <c r="BU375" t="str">
        <f t="shared" si="166"/>
        <v>571034,582034,593034</v>
      </c>
      <c r="BV375">
        <f t="shared" si="179"/>
        <v>571034</v>
      </c>
      <c r="BW375">
        <f t="shared" si="177"/>
        <v>582034</v>
      </c>
      <c r="BX375">
        <f t="shared" si="176"/>
        <v>593034</v>
      </c>
      <c r="CF375" t="str">
        <f t="shared" si="170"/>
        <v>DATA_Class_Base49</v>
      </c>
      <c r="CG375" s="45" t="s">
        <v>384</v>
      </c>
    </row>
    <row r="376" spans="1:85" ht="27">
      <c r="A376">
        <f t="shared" si="171"/>
        <v>5094401</v>
      </c>
      <c r="B376" s="45" t="s">
        <v>1034</v>
      </c>
      <c r="C376">
        <v>9</v>
      </c>
      <c r="D376">
        <v>4</v>
      </c>
      <c r="E376">
        <v>4</v>
      </c>
      <c r="F376" t="s">
        <v>1337</v>
      </c>
      <c r="G376" t="str">
        <f t="shared" si="180"/>
        <v>法师1_56_4</v>
      </c>
      <c r="H376">
        <v>0</v>
      </c>
      <c r="I376" s="2" t="s">
        <v>161</v>
      </c>
      <c r="J376" s="2">
        <f t="shared" si="167"/>
        <v>6</v>
      </c>
      <c r="K376" s="2">
        <f t="shared" si="160"/>
        <v>1.17</v>
      </c>
      <c r="L376" s="2">
        <f t="shared" si="159"/>
        <v>1.47</v>
      </c>
      <c r="M376" s="2">
        <v>10</v>
      </c>
      <c r="N376" s="2">
        <f t="shared" si="158"/>
        <v>84.480000000000018</v>
      </c>
      <c r="O376" s="2">
        <f t="shared" si="158"/>
        <v>8.4480000000000022</v>
      </c>
      <c r="P376" s="2">
        <f t="shared" si="158"/>
        <v>1310.3999999999999</v>
      </c>
      <c r="Q376" s="2">
        <f t="shared" si="157"/>
        <v>131.04</v>
      </c>
      <c r="R376" s="2">
        <f t="shared" si="157"/>
        <v>27</v>
      </c>
      <c r="S376" s="2">
        <f t="shared" si="157"/>
        <v>2.7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>
        <v>50544011</v>
      </c>
      <c r="Z376" s="14" t="s">
        <v>1504</v>
      </c>
      <c r="AA376" s="14" t="s">
        <v>890</v>
      </c>
      <c r="AB376">
        <v>0</v>
      </c>
      <c r="AC376" s="2">
        <v>19</v>
      </c>
      <c r="AD376" s="2"/>
      <c r="AE376" s="2"/>
      <c r="AF376">
        <v>1</v>
      </c>
      <c r="AG376" s="1">
        <f t="shared" si="161"/>
        <v>795.87046319135663</v>
      </c>
      <c r="AH376">
        <v>9</v>
      </c>
      <c r="AI376">
        <f t="shared" si="172"/>
        <v>84.480000000000018</v>
      </c>
      <c r="AJ376">
        <f t="shared" si="173"/>
        <v>8.4480000000000022</v>
      </c>
      <c r="AK376">
        <f t="shared" si="174"/>
        <v>1310.3999999999999</v>
      </c>
      <c r="AL376">
        <f t="shared" si="175"/>
        <v>131.04</v>
      </c>
      <c r="AM376">
        <f t="shared" si="168"/>
        <v>27</v>
      </c>
      <c r="AN376">
        <f t="shared" si="169"/>
        <v>2.7</v>
      </c>
      <c r="AO376">
        <f t="shared" si="162"/>
        <v>1.6</v>
      </c>
      <c r="AP376">
        <f t="shared" si="163"/>
        <v>2</v>
      </c>
      <c r="AQ376">
        <f t="shared" si="164"/>
        <v>6</v>
      </c>
      <c r="AR376">
        <v>401</v>
      </c>
      <c r="AS376" s="1" t="str">
        <f t="shared" si="178"/>
        <v>1</v>
      </c>
      <c r="AT376">
        <v>5</v>
      </c>
      <c r="BP376" t="s">
        <v>953</v>
      </c>
      <c r="BQ376" t="str">
        <f t="shared" si="165"/>
        <v>1</v>
      </c>
      <c r="BT376">
        <v>35</v>
      </c>
      <c r="BU376" t="str">
        <f t="shared" si="166"/>
        <v>571035,582035,593035</v>
      </c>
      <c r="BV376">
        <f t="shared" si="179"/>
        <v>571035</v>
      </c>
      <c r="BW376">
        <f t="shared" si="177"/>
        <v>582035</v>
      </c>
      <c r="BX376">
        <f t="shared" si="176"/>
        <v>593035</v>
      </c>
      <c r="CF376" t="str">
        <f t="shared" si="170"/>
        <v>DATA_Class_Base50</v>
      </c>
      <c r="CG376" s="45" t="s">
        <v>176</v>
      </c>
    </row>
    <row r="377" spans="1:85" ht="27">
      <c r="A377">
        <f t="shared" si="171"/>
        <v>5094402</v>
      </c>
      <c r="B377" s="45" t="s">
        <v>1037</v>
      </c>
      <c r="C377">
        <v>9</v>
      </c>
      <c r="D377">
        <v>4</v>
      </c>
      <c r="E377">
        <v>4</v>
      </c>
      <c r="F377" t="s">
        <v>1339</v>
      </c>
      <c r="G377" t="str">
        <f t="shared" si="180"/>
        <v>法师2_56_4</v>
      </c>
      <c r="H377" s="2">
        <v>0</v>
      </c>
      <c r="I377" s="2" t="s">
        <v>250</v>
      </c>
      <c r="J377" s="2">
        <f t="shared" si="167"/>
        <v>5</v>
      </c>
      <c r="K377" s="2">
        <f t="shared" si="160"/>
        <v>1.1000000000000001</v>
      </c>
      <c r="L377" s="2">
        <f t="shared" si="159"/>
        <v>1.1000000000000001</v>
      </c>
      <c r="M377" s="2">
        <v>10</v>
      </c>
      <c r="N377" s="2">
        <f t="shared" si="158"/>
        <v>79.2</v>
      </c>
      <c r="O377" s="2">
        <f t="shared" si="158"/>
        <v>7.9200000000000008</v>
      </c>
      <c r="P377" s="2">
        <f t="shared" si="158"/>
        <v>1310.3999999999999</v>
      </c>
      <c r="Q377" s="2">
        <f t="shared" si="157"/>
        <v>131.04</v>
      </c>
      <c r="R377" s="2">
        <f t="shared" si="157"/>
        <v>27</v>
      </c>
      <c r="S377" s="2">
        <f t="shared" si="157"/>
        <v>2.7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>
        <v>50544021</v>
      </c>
      <c r="Z377" s="14" t="s">
        <v>1505</v>
      </c>
      <c r="AA377" s="14" t="s">
        <v>890</v>
      </c>
      <c r="AB377">
        <v>0</v>
      </c>
      <c r="AC377" s="2">
        <v>19</v>
      </c>
      <c r="AD377" s="2"/>
      <c r="AE377" s="2"/>
      <c r="AF377">
        <v>1</v>
      </c>
      <c r="AG377" s="1">
        <f t="shared" si="161"/>
        <v>795.87046319135652</v>
      </c>
      <c r="AH377">
        <v>9</v>
      </c>
      <c r="AI377">
        <f t="shared" si="172"/>
        <v>79.2</v>
      </c>
      <c r="AJ377">
        <f t="shared" si="173"/>
        <v>7.9200000000000008</v>
      </c>
      <c r="AK377">
        <f t="shared" si="174"/>
        <v>1310.3999999999999</v>
      </c>
      <c r="AL377">
        <f t="shared" si="175"/>
        <v>131.04</v>
      </c>
      <c r="AM377">
        <f t="shared" si="168"/>
        <v>27</v>
      </c>
      <c r="AN377">
        <f t="shared" si="169"/>
        <v>2.7</v>
      </c>
      <c r="AO377">
        <f t="shared" si="162"/>
        <v>1.5</v>
      </c>
      <c r="AP377">
        <f t="shared" si="163"/>
        <v>1.5</v>
      </c>
      <c r="AQ377">
        <f t="shared" si="164"/>
        <v>5</v>
      </c>
      <c r="AR377">
        <v>402</v>
      </c>
      <c r="AS377" s="1" t="str">
        <f t="shared" si="178"/>
        <v>2</v>
      </c>
      <c r="AT377">
        <v>5</v>
      </c>
      <c r="BP377" t="s">
        <v>971</v>
      </c>
      <c r="BQ377" t="str">
        <f t="shared" si="165"/>
        <v>2</v>
      </c>
      <c r="BT377">
        <v>36</v>
      </c>
      <c r="BU377" t="str">
        <f t="shared" si="166"/>
        <v>571036,582036,593036</v>
      </c>
      <c r="BV377">
        <f t="shared" si="179"/>
        <v>571036</v>
      </c>
      <c r="BW377">
        <f t="shared" si="177"/>
        <v>582036</v>
      </c>
      <c r="BX377">
        <f t="shared" si="176"/>
        <v>593036</v>
      </c>
      <c r="CF377" t="str">
        <f t="shared" si="170"/>
        <v>DATA_Class_Base51</v>
      </c>
      <c r="CG377" s="45" t="s">
        <v>1038</v>
      </c>
    </row>
    <row r="378" spans="1:85" ht="27">
      <c r="A378">
        <f t="shared" si="171"/>
        <v>5094501</v>
      </c>
      <c r="B378" s="45" t="s">
        <v>1044</v>
      </c>
      <c r="C378">
        <v>9</v>
      </c>
      <c r="D378">
        <v>5</v>
      </c>
      <c r="E378">
        <v>4</v>
      </c>
      <c r="F378" t="s">
        <v>1341</v>
      </c>
      <c r="G378" t="str">
        <f t="shared" si="180"/>
        <v>游侠1_56_4</v>
      </c>
      <c r="H378" s="2">
        <v>0</v>
      </c>
      <c r="I378" s="2" t="s">
        <v>334</v>
      </c>
      <c r="J378" s="2">
        <f t="shared" si="167"/>
        <v>6</v>
      </c>
      <c r="K378" s="2">
        <f t="shared" si="160"/>
        <v>1.17</v>
      </c>
      <c r="L378" s="2">
        <f t="shared" si="159"/>
        <v>1.47</v>
      </c>
      <c r="M378" s="2">
        <v>10</v>
      </c>
      <c r="N378" s="2">
        <f t="shared" si="158"/>
        <v>92.16</v>
      </c>
      <c r="O378" s="2">
        <f t="shared" si="158"/>
        <v>9.2159999999999993</v>
      </c>
      <c r="P378" s="2">
        <f t="shared" si="158"/>
        <v>1195.2</v>
      </c>
      <c r="Q378" s="2">
        <f t="shared" si="157"/>
        <v>119.52000000000001</v>
      </c>
      <c r="R378" s="2">
        <f t="shared" si="157"/>
        <v>24</v>
      </c>
      <c r="S378" s="2">
        <f t="shared" si="157"/>
        <v>2.4000000000000004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>
        <v>50545011</v>
      </c>
      <c r="Z378" s="14" t="s">
        <v>1506</v>
      </c>
      <c r="AA378" s="14" t="s">
        <v>890</v>
      </c>
      <c r="AB378">
        <v>0</v>
      </c>
      <c r="AC378" s="2">
        <v>19</v>
      </c>
      <c r="AD378" s="2"/>
      <c r="AE378" s="2"/>
      <c r="AF378">
        <v>1</v>
      </c>
      <c r="AG378" s="1">
        <f t="shared" si="161"/>
        <v>791.36966125140725</v>
      </c>
      <c r="AH378">
        <v>9</v>
      </c>
      <c r="AI378">
        <f t="shared" si="172"/>
        <v>92.16</v>
      </c>
      <c r="AJ378">
        <f t="shared" si="173"/>
        <v>9.2159999999999993</v>
      </c>
      <c r="AK378">
        <f t="shared" si="174"/>
        <v>1195.2</v>
      </c>
      <c r="AL378">
        <f t="shared" si="175"/>
        <v>119.52000000000001</v>
      </c>
      <c r="AM378">
        <f t="shared" si="168"/>
        <v>24</v>
      </c>
      <c r="AN378">
        <f t="shared" si="169"/>
        <v>2.4000000000000004</v>
      </c>
      <c r="AO378">
        <f t="shared" si="162"/>
        <v>1.6</v>
      </c>
      <c r="AP378">
        <f t="shared" si="163"/>
        <v>2</v>
      </c>
      <c r="AQ378">
        <f t="shared" si="164"/>
        <v>6</v>
      </c>
      <c r="AR378">
        <v>501</v>
      </c>
      <c r="AS378" s="1" t="str">
        <f t="shared" si="178"/>
        <v>1</v>
      </c>
      <c r="AT378">
        <v>5</v>
      </c>
      <c r="BP378" t="s">
        <v>945</v>
      </c>
      <c r="BQ378" t="str">
        <f t="shared" si="165"/>
        <v>1</v>
      </c>
      <c r="BT378">
        <v>37</v>
      </c>
      <c r="BU378" t="str">
        <f t="shared" si="166"/>
        <v>571037,582037,593037</v>
      </c>
      <c r="BV378">
        <f t="shared" si="179"/>
        <v>571037</v>
      </c>
      <c r="BW378">
        <f t="shared" si="177"/>
        <v>582037</v>
      </c>
      <c r="BX378">
        <f t="shared" si="176"/>
        <v>593037</v>
      </c>
      <c r="CF378" t="str">
        <f t="shared" si="170"/>
        <v>DATA_Class_Base53</v>
      </c>
      <c r="CG378" s="45" t="s">
        <v>349</v>
      </c>
    </row>
    <row r="379" spans="1:85" ht="27">
      <c r="A379">
        <f t="shared" si="171"/>
        <v>5094502</v>
      </c>
      <c r="B379" s="45" t="s">
        <v>1063</v>
      </c>
      <c r="C379">
        <v>9</v>
      </c>
      <c r="D379">
        <v>5</v>
      </c>
      <c r="E379">
        <v>4</v>
      </c>
      <c r="F379" t="s">
        <v>1343</v>
      </c>
      <c r="G379" t="str">
        <f t="shared" si="180"/>
        <v>游侠2_56_4</v>
      </c>
      <c r="H379">
        <v>0</v>
      </c>
      <c r="I379" s="2" t="s">
        <v>291</v>
      </c>
      <c r="J379" s="2">
        <f t="shared" si="167"/>
        <v>6</v>
      </c>
      <c r="K379" s="2">
        <f t="shared" si="160"/>
        <v>1.02</v>
      </c>
      <c r="L379" s="2">
        <f t="shared" si="159"/>
        <v>1.47</v>
      </c>
      <c r="M379" s="2">
        <v>10</v>
      </c>
      <c r="N379" s="2">
        <f t="shared" si="158"/>
        <v>80.639999999999986</v>
      </c>
      <c r="O379" s="2">
        <f t="shared" si="158"/>
        <v>8.0639999999999983</v>
      </c>
      <c r="P379" s="2">
        <f t="shared" si="158"/>
        <v>1195.2</v>
      </c>
      <c r="Q379" s="2">
        <f t="shared" si="157"/>
        <v>119.52000000000001</v>
      </c>
      <c r="R379" s="2">
        <f t="shared" si="157"/>
        <v>24</v>
      </c>
      <c r="S379" s="2">
        <f t="shared" si="157"/>
        <v>2.4000000000000004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>
        <v>50545021</v>
      </c>
      <c r="Z379" s="14" t="s">
        <v>1507</v>
      </c>
      <c r="AA379" s="14" t="s">
        <v>890</v>
      </c>
      <c r="AB379">
        <v>0</v>
      </c>
      <c r="AC379" s="2">
        <v>19</v>
      </c>
      <c r="AD379" s="2"/>
      <c r="AE379" s="2"/>
      <c r="AF379">
        <v>1</v>
      </c>
      <c r="AG379" s="1">
        <f t="shared" si="161"/>
        <v>791.36966125140725</v>
      </c>
      <c r="AH379">
        <v>9</v>
      </c>
      <c r="AI379">
        <f t="shared" si="172"/>
        <v>80.639999999999986</v>
      </c>
      <c r="AJ379">
        <f t="shared" si="173"/>
        <v>8.0639999999999983</v>
      </c>
      <c r="AK379">
        <f t="shared" si="174"/>
        <v>1195.2</v>
      </c>
      <c r="AL379">
        <f t="shared" si="175"/>
        <v>119.52000000000001</v>
      </c>
      <c r="AM379">
        <f t="shared" si="168"/>
        <v>24</v>
      </c>
      <c r="AN379">
        <f t="shared" si="169"/>
        <v>2.4000000000000004</v>
      </c>
      <c r="AO379">
        <f t="shared" si="162"/>
        <v>1.4</v>
      </c>
      <c r="AP379">
        <f t="shared" si="163"/>
        <v>2</v>
      </c>
      <c r="AQ379">
        <f t="shared" si="164"/>
        <v>6</v>
      </c>
      <c r="AR379">
        <v>502</v>
      </c>
      <c r="AS379" s="1" t="str">
        <f t="shared" si="178"/>
        <v>2</v>
      </c>
      <c r="AT379">
        <v>5</v>
      </c>
      <c r="BP379" t="s">
        <v>974</v>
      </c>
      <c r="BQ379" t="str">
        <f t="shared" si="165"/>
        <v>2</v>
      </c>
      <c r="BT379">
        <v>38</v>
      </c>
      <c r="BU379" t="str">
        <f t="shared" si="166"/>
        <v>571038,582038,593038</v>
      </c>
      <c r="BV379">
        <f t="shared" si="179"/>
        <v>571038</v>
      </c>
      <c r="BW379">
        <f t="shared" si="177"/>
        <v>582038</v>
      </c>
      <c r="BX379">
        <f t="shared" si="176"/>
        <v>593038</v>
      </c>
      <c r="CF379" t="str">
        <f t="shared" si="170"/>
        <v>DATA_Class_Base59</v>
      </c>
      <c r="CG379" s="45" t="s">
        <v>195</v>
      </c>
    </row>
    <row r="380" spans="1:85" ht="27">
      <c r="A380">
        <f t="shared" si="171"/>
        <v>5094600</v>
      </c>
      <c r="B380" s="45" t="s">
        <v>1047</v>
      </c>
      <c r="C380">
        <v>9</v>
      </c>
      <c r="D380">
        <v>6</v>
      </c>
      <c r="E380">
        <v>4</v>
      </c>
      <c r="F380" t="s">
        <v>1345</v>
      </c>
      <c r="G380" t="str">
        <f t="shared" si="180"/>
        <v>牧师0_56_4</v>
      </c>
      <c r="H380">
        <v>0</v>
      </c>
      <c r="I380" s="2" t="s">
        <v>339</v>
      </c>
      <c r="J380" s="2">
        <f t="shared" si="167"/>
        <v>4</v>
      </c>
      <c r="K380" s="2">
        <f t="shared" si="160"/>
        <v>1.02</v>
      </c>
      <c r="L380" s="2">
        <f t="shared" si="159"/>
        <v>1.3900000000000001</v>
      </c>
      <c r="M380" s="2">
        <v>10</v>
      </c>
      <c r="N380" s="2">
        <f t="shared" si="158"/>
        <v>67.199999999999989</v>
      </c>
      <c r="O380" s="2">
        <f t="shared" si="158"/>
        <v>6.7199999999999989</v>
      </c>
      <c r="P380" s="2">
        <f t="shared" si="158"/>
        <v>1440</v>
      </c>
      <c r="Q380" s="2">
        <f t="shared" si="158"/>
        <v>144</v>
      </c>
      <c r="R380" s="2">
        <f t="shared" si="158"/>
        <v>30</v>
      </c>
      <c r="S380" s="2">
        <f t="shared" si="158"/>
        <v>3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>
        <v>50546001</v>
      </c>
      <c r="Z380" s="14" t="s">
        <v>1508</v>
      </c>
      <c r="AA380" s="14" t="s">
        <v>890</v>
      </c>
      <c r="AB380">
        <v>0</v>
      </c>
      <c r="AC380" s="2">
        <v>19</v>
      </c>
      <c r="AD380" s="2"/>
      <c r="AE380" s="2"/>
      <c r="AF380">
        <v>1</v>
      </c>
      <c r="AG380" s="1">
        <f t="shared" si="161"/>
        <v>795.60362391785793</v>
      </c>
      <c r="AH380">
        <v>9</v>
      </c>
      <c r="AI380">
        <f t="shared" si="172"/>
        <v>67.199999999999989</v>
      </c>
      <c r="AJ380">
        <f t="shared" si="173"/>
        <v>6.7199999999999989</v>
      </c>
      <c r="AK380">
        <f t="shared" si="174"/>
        <v>1440</v>
      </c>
      <c r="AL380">
        <f t="shared" si="175"/>
        <v>144</v>
      </c>
      <c r="AM380">
        <f t="shared" si="168"/>
        <v>30</v>
      </c>
      <c r="AN380">
        <f t="shared" si="169"/>
        <v>3</v>
      </c>
      <c r="AO380">
        <f t="shared" si="162"/>
        <v>1.4</v>
      </c>
      <c r="AP380">
        <f t="shared" si="163"/>
        <v>1.9</v>
      </c>
      <c r="AQ380">
        <f t="shared" si="164"/>
        <v>4</v>
      </c>
      <c r="AR380">
        <v>600</v>
      </c>
      <c r="AS380" s="1" t="str">
        <f t="shared" si="178"/>
        <v>0</v>
      </c>
      <c r="AT380">
        <v>5</v>
      </c>
      <c r="BP380" t="s">
        <v>990</v>
      </c>
      <c r="BQ380" t="str">
        <f t="shared" si="165"/>
        <v>0</v>
      </c>
      <c r="BT380">
        <v>39</v>
      </c>
      <c r="BU380" t="str">
        <f t="shared" si="166"/>
        <v>571039,582039,593039</v>
      </c>
      <c r="BV380">
        <f t="shared" si="179"/>
        <v>571039</v>
      </c>
      <c r="BW380">
        <f t="shared" si="177"/>
        <v>582039</v>
      </c>
      <c r="BX380">
        <f t="shared" si="176"/>
        <v>593039</v>
      </c>
      <c r="CF380" t="str">
        <f t="shared" si="170"/>
        <v>DATA_Class_Base54</v>
      </c>
      <c r="CG380" s="45" t="s">
        <v>198</v>
      </c>
    </row>
    <row r="381" spans="1:85" ht="27">
      <c r="A381">
        <f t="shared" si="171"/>
        <v>5094601</v>
      </c>
      <c r="B381" s="45" t="s">
        <v>1050</v>
      </c>
      <c r="C381">
        <v>9</v>
      </c>
      <c r="D381">
        <v>6</v>
      </c>
      <c r="E381">
        <v>4</v>
      </c>
      <c r="F381" t="s">
        <v>1347</v>
      </c>
      <c r="G381" t="str">
        <f t="shared" si="180"/>
        <v>牧师1_56_4</v>
      </c>
      <c r="H381" s="2">
        <v>0</v>
      </c>
      <c r="I381" s="2" t="s">
        <v>309</v>
      </c>
      <c r="J381" s="2">
        <f t="shared" si="167"/>
        <v>5</v>
      </c>
      <c r="K381" s="2">
        <f t="shared" si="160"/>
        <v>1.1000000000000001</v>
      </c>
      <c r="L381" s="2">
        <f t="shared" si="159"/>
        <v>1.47</v>
      </c>
      <c r="M381" s="2">
        <v>10</v>
      </c>
      <c r="N381" s="2">
        <f t="shared" ref="N381:S391" si="181">AI381</f>
        <v>72</v>
      </c>
      <c r="O381" s="2">
        <f t="shared" si="181"/>
        <v>7.2</v>
      </c>
      <c r="P381" s="2">
        <f t="shared" si="181"/>
        <v>1440</v>
      </c>
      <c r="Q381" s="2">
        <f t="shared" si="181"/>
        <v>144</v>
      </c>
      <c r="R381" s="2">
        <f t="shared" si="181"/>
        <v>30</v>
      </c>
      <c r="S381" s="2">
        <f t="shared" si="181"/>
        <v>3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>
        <v>50546011</v>
      </c>
      <c r="Z381" s="14" t="s">
        <v>1509</v>
      </c>
      <c r="AA381" s="14" t="s">
        <v>890</v>
      </c>
      <c r="AB381">
        <v>0</v>
      </c>
      <c r="AC381" s="2">
        <v>19</v>
      </c>
      <c r="AD381" s="2"/>
      <c r="AE381" s="2"/>
      <c r="AF381">
        <v>1</v>
      </c>
      <c r="AG381" s="1">
        <f t="shared" si="161"/>
        <v>795.60362391785793</v>
      </c>
      <c r="AH381">
        <v>9</v>
      </c>
      <c r="AI381">
        <f t="shared" si="172"/>
        <v>72</v>
      </c>
      <c r="AJ381">
        <f t="shared" si="173"/>
        <v>7.2</v>
      </c>
      <c r="AK381">
        <f t="shared" si="174"/>
        <v>1440</v>
      </c>
      <c r="AL381">
        <f t="shared" si="175"/>
        <v>144</v>
      </c>
      <c r="AM381">
        <f t="shared" si="168"/>
        <v>30</v>
      </c>
      <c r="AN381">
        <f t="shared" si="169"/>
        <v>3</v>
      </c>
      <c r="AO381">
        <f t="shared" si="162"/>
        <v>1.5</v>
      </c>
      <c r="AP381">
        <f t="shared" si="163"/>
        <v>2</v>
      </c>
      <c r="AQ381">
        <f t="shared" si="164"/>
        <v>5</v>
      </c>
      <c r="AR381">
        <v>601</v>
      </c>
      <c r="AS381" s="1" t="str">
        <f t="shared" si="178"/>
        <v>1</v>
      </c>
      <c r="AT381">
        <v>5</v>
      </c>
      <c r="BP381" t="s">
        <v>960</v>
      </c>
      <c r="BQ381" t="str">
        <f t="shared" si="165"/>
        <v>1</v>
      </c>
      <c r="BT381">
        <v>40</v>
      </c>
      <c r="BU381" t="str">
        <f t="shared" si="166"/>
        <v>571040,582040,593040</v>
      </c>
      <c r="BV381">
        <f t="shared" si="179"/>
        <v>571040</v>
      </c>
      <c r="BW381">
        <f t="shared" si="177"/>
        <v>582040</v>
      </c>
      <c r="BX381">
        <f t="shared" si="176"/>
        <v>593040</v>
      </c>
      <c r="CF381" t="str">
        <f t="shared" si="170"/>
        <v>DATA_Class_Base55</v>
      </c>
      <c r="CG381" s="45" t="s">
        <v>201</v>
      </c>
    </row>
    <row r="382" spans="1:85" ht="27">
      <c r="A382">
        <f t="shared" si="171"/>
        <v>5095201</v>
      </c>
      <c r="B382" s="45" t="s">
        <v>1025</v>
      </c>
      <c r="C382">
        <v>9</v>
      </c>
      <c r="D382">
        <v>2</v>
      </c>
      <c r="E382">
        <v>5</v>
      </c>
      <c r="F382" s="3" t="s">
        <v>1349</v>
      </c>
      <c r="G382" t="str">
        <f t="shared" si="180"/>
        <v>战士1_56_5</v>
      </c>
      <c r="H382" s="2">
        <v>0</v>
      </c>
      <c r="I382" s="2" t="s">
        <v>298</v>
      </c>
      <c r="J382" s="2">
        <f t="shared" si="167"/>
        <v>2.5</v>
      </c>
      <c r="K382" s="2">
        <f t="shared" si="160"/>
        <v>1.32</v>
      </c>
      <c r="L382" s="2">
        <f t="shared" si="159"/>
        <v>1.32</v>
      </c>
      <c r="M382" s="2">
        <v>10</v>
      </c>
      <c r="N382" s="2">
        <f t="shared" si="181"/>
        <v>69.12</v>
      </c>
      <c r="O382" s="2">
        <f t="shared" si="181"/>
        <v>6.9120000000000008</v>
      </c>
      <c r="P382" s="2">
        <f t="shared" si="181"/>
        <v>1800</v>
      </c>
      <c r="Q382" s="2">
        <f t="shared" si="181"/>
        <v>180</v>
      </c>
      <c r="R382" s="2">
        <f t="shared" si="181"/>
        <v>36</v>
      </c>
      <c r="S382" s="2">
        <f t="shared" si="181"/>
        <v>3.6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>
        <v>50552011</v>
      </c>
      <c r="Z382" s="14" t="s">
        <v>1510</v>
      </c>
      <c r="AA382" s="14" t="s">
        <v>890</v>
      </c>
      <c r="AB382">
        <v>0</v>
      </c>
      <c r="AC382" s="2">
        <v>19</v>
      </c>
      <c r="AD382" s="2"/>
      <c r="AE382" s="2"/>
      <c r="AF382">
        <v>1</v>
      </c>
      <c r="AG382" s="1">
        <f t="shared" si="161"/>
        <v>796.66220466091454</v>
      </c>
      <c r="AH382">
        <v>9</v>
      </c>
      <c r="AI382">
        <f t="shared" si="172"/>
        <v>69.12</v>
      </c>
      <c r="AJ382">
        <f t="shared" si="173"/>
        <v>6.9120000000000008</v>
      </c>
      <c r="AK382">
        <f t="shared" si="174"/>
        <v>1800</v>
      </c>
      <c r="AL382">
        <f t="shared" si="175"/>
        <v>180</v>
      </c>
      <c r="AM382">
        <f t="shared" si="168"/>
        <v>36</v>
      </c>
      <c r="AN382">
        <f t="shared" si="169"/>
        <v>3.6</v>
      </c>
      <c r="AO382">
        <f t="shared" si="162"/>
        <v>1.8</v>
      </c>
      <c r="AP382">
        <f t="shared" si="163"/>
        <v>1.8</v>
      </c>
      <c r="AQ382">
        <f t="shared" si="164"/>
        <v>2.5</v>
      </c>
      <c r="AR382">
        <v>201</v>
      </c>
      <c r="AS382" s="1" t="str">
        <f t="shared" si="178"/>
        <v>1</v>
      </c>
      <c r="AT382">
        <v>5</v>
      </c>
      <c r="BP382" t="s">
        <v>913</v>
      </c>
      <c r="BQ382" t="str">
        <f t="shared" si="165"/>
        <v>1</v>
      </c>
      <c r="BT382">
        <v>41</v>
      </c>
      <c r="BU382" t="str">
        <f t="shared" si="166"/>
        <v>571041,582041,593041</v>
      </c>
      <c r="BV382">
        <f t="shared" si="179"/>
        <v>571041</v>
      </c>
      <c r="BW382">
        <f t="shared" si="177"/>
        <v>582041</v>
      </c>
      <c r="BX382">
        <f t="shared" si="176"/>
        <v>593041</v>
      </c>
      <c r="CF382" t="str">
        <f t="shared" si="170"/>
        <v>DATA_Class_Base47</v>
      </c>
      <c r="CG382" s="45" t="s">
        <v>378</v>
      </c>
    </row>
    <row r="383" spans="1:85" ht="27">
      <c r="A383">
        <f t="shared" si="171"/>
        <v>5095202</v>
      </c>
      <c r="B383" s="45" t="s">
        <v>1053</v>
      </c>
      <c r="C383">
        <v>9</v>
      </c>
      <c r="D383">
        <v>2</v>
      </c>
      <c r="E383">
        <v>5</v>
      </c>
      <c r="F383" s="2" t="s">
        <v>1351</v>
      </c>
      <c r="G383" t="str">
        <f t="shared" si="180"/>
        <v>战士2_56_5</v>
      </c>
      <c r="H383">
        <v>0</v>
      </c>
      <c r="I383" s="2" t="s">
        <v>280</v>
      </c>
      <c r="J383" s="2">
        <f t="shared" si="167"/>
        <v>2.5</v>
      </c>
      <c r="K383" s="2">
        <f t="shared" si="160"/>
        <v>1.32</v>
      </c>
      <c r="L383" s="2">
        <f t="shared" si="159"/>
        <v>1.47</v>
      </c>
      <c r="M383" s="2">
        <v>10</v>
      </c>
      <c r="N383" s="2">
        <f t="shared" si="181"/>
        <v>69.12</v>
      </c>
      <c r="O383" s="2">
        <f t="shared" si="181"/>
        <v>6.9120000000000008</v>
      </c>
      <c r="P383" s="2">
        <f t="shared" si="181"/>
        <v>1800</v>
      </c>
      <c r="Q383" s="2">
        <f t="shared" si="181"/>
        <v>180</v>
      </c>
      <c r="R383" s="2">
        <f t="shared" si="181"/>
        <v>36</v>
      </c>
      <c r="S383" s="2">
        <f t="shared" si="181"/>
        <v>3.6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>
        <v>50552021</v>
      </c>
      <c r="Z383" s="14" t="s">
        <v>1511</v>
      </c>
      <c r="AA383" s="14" t="s">
        <v>890</v>
      </c>
      <c r="AB383">
        <v>0</v>
      </c>
      <c r="AC383" s="2">
        <v>19</v>
      </c>
      <c r="AD383" s="2"/>
      <c r="AE383" s="2"/>
      <c r="AF383">
        <v>1</v>
      </c>
      <c r="AG383" s="1">
        <f t="shared" si="161"/>
        <v>796.66220466091454</v>
      </c>
      <c r="AH383">
        <v>9</v>
      </c>
      <c r="AI383">
        <f t="shared" si="172"/>
        <v>69.12</v>
      </c>
      <c r="AJ383">
        <f t="shared" si="173"/>
        <v>6.9120000000000008</v>
      </c>
      <c r="AK383">
        <f t="shared" si="174"/>
        <v>1800</v>
      </c>
      <c r="AL383">
        <f t="shared" si="175"/>
        <v>180</v>
      </c>
      <c r="AM383">
        <f t="shared" si="168"/>
        <v>36</v>
      </c>
      <c r="AN383">
        <f t="shared" si="169"/>
        <v>3.6</v>
      </c>
      <c r="AO383">
        <f t="shared" si="162"/>
        <v>1.8</v>
      </c>
      <c r="AP383">
        <f t="shared" si="163"/>
        <v>2</v>
      </c>
      <c r="AQ383">
        <f t="shared" si="164"/>
        <v>2.5</v>
      </c>
      <c r="AR383">
        <v>202</v>
      </c>
      <c r="AS383" s="1" t="str">
        <f t="shared" si="178"/>
        <v>2</v>
      </c>
      <c r="AT383">
        <v>5</v>
      </c>
      <c r="BP383" t="s">
        <v>981</v>
      </c>
      <c r="BQ383" t="str">
        <f t="shared" si="165"/>
        <v>2</v>
      </c>
      <c r="BT383">
        <v>42</v>
      </c>
      <c r="BU383" t="str">
        <f t="shared" si="166"/>
        <v>571042,582042,593042</v>
      </c>
      <c r="BV383">
        <f t="shared" si="179"/>
        <v>571042</v>
      </c>
      <c r="BW383">
        <f t="shared" si="177"/>
        <v>582042</v>
      </c>
      <c r="BX383">
        <f t="shared" si="176"/>
        <v>593042</v>
      </c>
      <c r="CF383" t="str">
        <f t="shared" si="170"/>
        <v>DATA_Class_Base56</v>
      </c>
      <c r="CG383" s="45" t="s">
        <v>381</v>
      </c>
    </row>
    <row r="384" spans="1:85" ht="27">
      <c r="A384">
        <f t="shared" si="171"/>
        <v>5095300</v>
      </c>
      <c r="B384" s="45" t="s">
        <v>1056</v>
      </c>
      <c r="C384">
        <v>9</v>
      </c>
      <c r="D384">
        <v>3</v>
      </c>
      <c r="E384">
        <v>5</v>
      </c>
      <c r="F384" t="s">
        <v>1353</v>
      </c>
      <c r="G384" t="str">
        <f t="shared" si="180"/>
        <v>刺客2_56_5</v>
      </c>
      <c r="H384" s="2">
        <v>0</v>
      </c>
      <c r="I384" s="2" t="s">
        <v>358</v>
      </c>
      <c r="J384" s="2">
        <f t="shared" si="167"/>
        <v>4</v>
      </c>
      <c r="K384" s="2">
        <f t="shared" si="160"/>
        <v>0.95000000000000007</v>
      </c>
      <c r="L384" s="2">
        <f t="shared" si="159"/>
        <v>1.3900000000000001</v>
      </c>
      <c r="M384" s="2">
        <v>10</v>
      </c>
      <c r="N384" s="2">
        <f t="shared" si="181"/>
        <v>56.160000000000011</v>
      </c>
      <c r="O384" s="2">
        <f t="shared" si="181"/>
        <v>5.6160000000000014</v>
      </c>
      <c r="P384" s="2">
        <f t="shared" si="181"/>
        <v>1598.4000000000003</v>
      </c>
      <c r="Q384" s="2">
        <f t="shared" si="181"/>
        <v>159.84000000000003</v>
      </c>
      <c r="R384" s="2">
        <f t="shared" si="181"/>
        <v>33</v>
      </c>
      <c r="S384" s="2">
        <f t="shared" si="181"/>
        <v>3.3000000000000003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>
        <v>50553021</v>
      </c>
      <c r="Z384" s="14" t="s">
        <v>1512</v>
      </c>
      <c r="AA384" s="14" t="s">
        <v>890</v>
      </c>
      <c r="AB384">
        <v>0</v>
      </c>
      <c r="AC384" s="2">
        <v>19</v>
      </c>
      <c r="AD384" s="2"/>
      <c r="AE384" s="2"/>
      <c r="AF384">
        <v>1</v>
      </c>
      <c r="AG384" s="1">
        <f t="shared" si="161"/>
        <v>795.33642984064329</v>
      </c>
      <c r="AH384">
        <v>9</v>
      </c>
      <c r="AI384">
        <f t="shared" si="172"/>
        <v>56.160000000000011</v>
      </c>
      <c r="AJ384">
        <f t="shared" si="173"/>
        <v>5.6160000000000014</v>
      </c>
      <c r="AK384">
        <f t="shared" si="174"/>
        <v>1598.4000000000003</v>
      </c>
      <c r="AL384">
        <f t="shared" si="175"/>
        <v>159.84000000000003</v>
      </c>
      <c r="AM384">
        <f t="shared" si="168"/>
        <v>33</v>
      </c>
      <c r="AN384">
        <f t="shared" si="169"/>
        <v>3.3000000000000003</v>
      </c>
      <c r="AO384">
        <f t="shared" si="162"/>
        <v>1.3</v>
      </c>
      <c r="AP384">
        <f t="shared" si="163"/>
        <v>1.9</v>
      </c>
      <c r="AQ384">
        <f t="shared" si="164"/>
        <v>4</v>
      </c>
      <c r="AR384">
        <v>300</v>
      </c>
      <c r="AS384" s="1" t="str">
        <f t="shared" si="178"/>
        <v>0</v>
      </c>
      <c r="AT384">
        <v>5</v>
      </c>
      <c r="BP384" t="s">
        <v>967</v>
      </c>
      <c r="BQ384" t="str">
        <f t="shared" si="165"/>
        <v>0</v>
      </c>
      <c r="BT384">
        <v>43</v>
      </c>
      <c r="BU384" t="str">
        <f t="shared" si="166"/>
        <v>571043,582043,593043</v>
      </c>
      <c r="BV384">
        <f t="shared" si="179"/>
        <v>571043</v>
      </c>
      <c r="BW384">
        <f t="shared" si="177"/>
        <v>582043</v>
      </c>
      <c r="BX384">
        <f t="shared" si="176"/>
        <v>593043</v>
      </c>
      <c r="CF384" t="str">
        <f t="shared" si="170"/>
        <v>DATA_Class_Base57</v>
      </c>
      <c r="CG384" s="45" t="s">
        <v>1057</v>
      </c>
    </row>
    <row r="385" spans="1:85" ht="27">
      <c r="A385">
        <f t="shared" si="171"/>
        <v>5095302</v>
      </c>
      <c r="B385" s="45" t="s">
        <v>1031</v>
      </c>
      <c r="C385">
        <v>9</v>
      </c>
      <c r="D385">
        <v>3</v>
      </c>
      <c r="E385">
        <v>5</v>
      </c>
      <c r="F385" t="s">
        <v>1355</v>
      </c>
      <c r="G385" t="str">
        <f t="shared" si="180"/>
        <v>刺客1_56_5</v>
      </c>
      <c r="H385" s="2">
        <v>0</v>
      </c>
      <c r="I385" s="2" t="s">
        <v>285</v>
      </c>
      <c r="J385" s="2">
        <f t="shared" si="167"/>
        <v>2.5</v>
      </c>
      <c r="K385" s="2">
        <f t="shared" si="160"/>
        <v>1.02</v>
      </c>
      <c r="L385" s="2">
        <f t="shared" si="159"/>
        <v>1.25</v>
      </c>
      <c r="M385" s="2">
        <v>10</v>
      </c>
      <c r="N385" s="2">
        <f t="shared" si="181"/>
        <v>60.48</v>
      </c>
      <c r="O385" s="2">
        <f t="shared" si="181"/>
        <v>6.048</v>
      </c>
      <c r="P385" s="2">
        <f t="shared" si="181"/>
        <v>1598.4000000000003</v>
      </c>
      <c r="Q385" s="2">
        <f t="shared" si="181"/>
        <v>159.84000000000003</v>
      </c>
      <c r="R385" s="2">
        <f t="shared" si="181"/>
        <v>33</v>
      </c>
      <c r="S385" s="2">
        <f t="shared" si="181"/>
        <v>3.3000000000000003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>
        <v>50553011</v>
      </c>
      <c r="Z385" s="14" t="s">
        <v>1513</v>
      </c>
      <c r="AA385" s="14" t="s">
        <v>890</v>
      </c>
      <c r="AB385">
        <v>0</v>
      </c>
      <c r="AC385" s="2">
        <v>19</v>
      </c>
      <c r="AD385" s="2"/>
      <c r="AE385" s="2"/>
      <c r="AF385">
        <v>1</v>
      </c>
      <c r="AG385" s="1">
        <f t="shared" si="161"/>
        <v>795.33642984064306</v>
      </c>
      <c r="AH385">
        <v>9</v>
      </c>
      <c r="AI385">
        <f t="shared" si="172"/>
        <v>60.48</v>
      </c>
      <c r="AJ385">
        <f t="shared" si="173"/>
        <v>6.048</v>
      </c>
      <c r="AK385">
        <f t="shared" si="174"/>
        <v>1598.4000000000003</v>
      </c>
      <c r="AL385">
        <f t="shared" si="175"/>
        <v>159.84000000000003</v>
      </c>
      <c r="AM385">
        <f t="shared" si="168"/>
        <v>33</v>
      </c>
      <c r="AN385">
        <f t="shared" si="169"/>
        <v>3.3000000000000003</v>
      </c>
      <c r="AO385">
        <f t="shared" si="162"/>
        <v>1.4</v>
      </c>
      <c r="AP385">
        <f t="shared" si="163"/>
        <v>1.7</v>
      </c>
      <c r="AQ385">
        <f t="shared" si="164"/>
        <v>2.5</v>
      </c>
      <c r="AR385">
        <v>302</v>
      </c>
      <c r="AS385" s="1" t="str">
        <f t="shared" si="178"/>
        <v>2</v>
      </c>
      <c r="AT385">
        <v>5</v>
      </c>
      <c r="BP385" t="s">
        <v>983</v>
      </c>
      <c r="BQ385" t="str">
        <f t="shared" si="165"/>
        <v>2</v>
      </c>
      <c r="BT385">
        <v>44</v>
      </c>
      <c r="BU385" t="str">
        <f t="shared" si="166"/>
        <v>571044,582044,593044</v>
      </c>
      <c r="BV385">
        <f t="shared" si="179"/>
        <v>571044</v>
      </c>
      <c r="BW385">
        <f t="shared" si="177"/>
        <v>582044</v>
      </c>
      <c r="BX385">
        <f t="shared" si="176"/>
        <v>593044</v>
      </c>
      <c r="CF385" t="str">
        <f t="shared" si="170"/>
        <v>DATA_Class_Base49</v>
      </c>
      <c r="CG385" s="45" t="s">
        <v>384</v>
      </c>
    </row>
    <row r="386" spans="1:85" ht="27">
      <c r="A386">
        <f t="shared" si="171"/>
        <v>5095400</v>
      </c>
      <c r="B386" s="45" t="s">
        <v>1060</v>
      </c>
      <c r="C386">
        <v>9</v>
      </c>
      <c r="D386">
        <v>4</v>
      </c>
      <c r="E386">
        <v>5</v>
      </c>
      <c r="F386" t="s">
        <v>1357</v>
      </c>
      <c r="G386" t="str">
        <f t="shared" si="180"/>
        <v>法师0_56_5</v>
      </c>
      <c r="H386">
        <v>0</v>
      </c>
      <c r="I386" s="2" t="s">
        <v>364</v>
      </c>
      <c r="J386" s="2">
        <f t="shared" si="167"/>
        <v>5</v>
      </c>
      <c r="K386" s="2">
        <f t="shared" si="160"/>
        <v>1.02</v>
      </c>
      <c r="L386" s="2">
        <f t="shared" si="159"/>
        <v>1.02</v>
      </c>
      <c r="M386" s="2">
        <v>10</v>
      </c>
      <c r="N386" s="2">
        <f t="shared" si="181"/>
        <v>73.919999999999987</v>
      </c>
      <c r="O386" s="2">
        <f t="shared" si="181"/>
        <v>7.3919999999999995</v>
      </c>
      <c r="P386" s="2">
        <f t="shared" si="181"/>
        <v>1310.3999999999999</v>
      </c>
      <c r="Q386" s="2">
        <f t="shared" si="181"/>
        <v>131.04</v>
      </c>
      <c r="R386" s="2">
        <f t="shared" si="181"/>
        <v>27</v>
      </c>
      <c r="S386" s="2">
        <f t="shared" si="181"/>
        <v>2.7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>
        <v>50554001</v>
      </c>
      <c r="Z386" s="14" t="s">
        <v>1514</v>
      </c>
      <c r="AA386" s="14" t="s">
        <v>890</v>
      </c>
      <c r="AB386">
        <v>0</v>
      </c>
      <c r="AC386" s="2">
        <v>19</v>
      </c>
      <c r="AD386" s="2"/>
      <c r="AE386" s="2"/>
      <c r="AF386">
        <v>1</v>
      </c>
      <c r="AG386" s="1">
        <f t="shared" si="161"/>
        <v>795.87046319135652</v>
      </c>
      <c r="AH386">
        <v>9</v>
      </c>
      <c r="AI386">
        <f t="shared" si="172"/>
        <v>73.919999999999987</v>
      </c>
      <c r="AJ386">
        <f t="shared" si="173"/>
        <v>7.3919999999999995</v>
      </c>
      <c r="AK386">
        <f t="shared" si="174"/>
        <v>1310.3999999999999</v>
      </c>
      <c r="AL386">
        <f t="shared" si="175"/>
        <v>131.04</v>
      </c>
      <c r="AM386">
        <f t="shared" si="168"/>
        <v>27</v>
      </c>
      <c r="AN386">
        <f t="shared" si="169"/>
        <v>2.7</v>
      </c>
      <c r="AO386">
        <f t="shared" si="162"/>
        <v>1.4</v>
      </c>
      <c r="AP386">
        <f t="shared" si="163"/>
        <v>1.4</v>
      </c>
      <c r="AQ386">
        <f t="shared" si="164"/>
        <v>5</v>
      </c>
      <c r="AR386">
        <v>400</v>
      </c>
      <c r="AS386" s="1" t="str">
        <f t="shared" si="178"/>
        <v>0</v>
      </c>
      <c r="AT386">
        <v>5</v>
      </c>
      <c r="BP386" t="s">
        <v>986</v>
      </c>
      <c r="BQ386" t="str">
        <f t="shared" si="165"/>
        <v>0</v>
      </c>
      <c r="BT386">
        <v>45</v>
      </c>
      <c r="BU386" t="str">
        <f t="shared" si="166"/>
        <v>571045,582045,593045</v>
      </c>
      <c r="BV386">
        <f t="shared" si="179"/>
        <v>571045</v>
      </c>
      <c r="BW386">
        <f t="shared" si="177"/>
        <v>582045</v>
      </c>
      <c r="BX386">
        <f t="shared" si="176"/>
        <v>593045</v>
      </c>
      <c r="CF386" t="str">
        <f t="shared" si="170"/>
        <v>DATA_Class_Base58</v>
      </c>
      <c r="CG386" s="45" t="s">
        <v>174</v>
      </c>
    </row>
    <row r="387" spans="1:85" ht="27">
      <c r="A387">
        <f t="shared" si="171"/>
        <v>5095402</v>
      </c>
      <c r="B387" s="45" t="s">
        <v>1037</v>
      </c>
      <c r="C387">
        <v>9</v>
      </c>
      <c r="D387">
        <v>4</v>
      </c>
      <c r="E387">
        <v>5</v>
      </c>
      <c r="F387" t="s">
        <v>1359</v>
      </c>
      <c r="G387" t="str">
        <f t="shared" si="180"/>
        <v>法师2_56_5</v>
      </c>
      <c r="H387" s="2">
        <v>0</v>
      </c>
      <c r="I387" s="2" t="s">
        <v>250</v>
      </c>
      <c r="J387" s="2">
        <f t="shared" si="167"/>
        <v>5</v>
      </c>
      <c r="K387" s="2">
        <f t="shared" si="160"/>
        <v>1.1000000000000001</v>
      </c>
      <c r="L387" s="2">
        <f t="shared" si="159"/>
        <v>1.1000000000000001</v>
      </c>
      <c r="M387" s="2">
        <v>10</v>
      </c>
      <c r="N387" s="2">
        <f t="shared" si="181"/>
        <v>79.2</v>
      </c>
      <c r="O387" s="2">
        <f t="shared" si="181"/>
        <v>7.9200000000000008</v>
      </c>
      <c r="P387" s="2">
        <f t="shared" si="181"/>
        <v>1310.3999999999999</v>
      </c>
      <c r="Q387" s="2">
        <f t="shared" si="181"/>
        <v>131.04</v>
      </c>
      <c r="R387" s="2">
        <f t="shared" si="181"/>
        <v>27</v>
      </c>
      <c r="S387" s="2">
        <f t="shared" si="181"/>
        <v>2.7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>
        <v>50554021</v>
      </c>
      <c r="Z387" s="14" t="s">
        <v>1515</v>
      </c>
      <c r="AA387" s="14" t="s">
        <v>890</v>
      </c>
      <c r="AB387">
        <v>0</v>
      </c>
      <c r="AC387" s="2">
        <v>19</v>
      </c>
      <c r="AD387" s="2"/>
      <c r="AE387" s="2"/>
      <c r="AF387">
        <v>1</v>
      </c>
      <c r="AG387" s="1">
        <f t="shared" si="161"/>
        <v>795.87046319135652</v>
      </c>
      <c r="AH387">
        <v>9</v>
      </c>
      <c r="AI387">
        <f t="shared" si="172"/>
        <v>79.2</v>
      </c>
      <c r="AJ387">
        <f t="shared" si="173"/>
        <v>7.9200000000000008</v>
      </c>
      <c r="AK387">
        <f t="shared" si="174"/>
        <v>1310.3999999999999</v>
      </c>
      <c r="AL387">
        <f t="shared" si="175"/>
        <v>131.04</v>
      </c>
      <c r="AM387">
        <f t="shared" si="168"/>
        <v>27</v>
      </c>
      <c r="AN387">
        <f t="shared" si="169"/>
        <v>2.7</v>
      </c>
      <c r="AO387">
        <f t="shared" si="162"/>
        <v>1.5</v>
      </c>
      <c r="AP387">
        <f t="shared" si="163"/>
        <v>1.5</v>
      </c>
      <c r="AQ387">
        <f t="shared" si="164"/>
        <v>5</v>
      </c>
      <c r="AR387">
        <v>402</v>
      </c>
      <c r="AS387" s="1" t="str">
        <f t="shared" si="178"/>
        <v>2</v>
      </c>
      <c r="AT387">
        <v>5</v>
      </c>
      <c r="BP387" t="s">
        <v>971</v>
      </c>
      <c r="BQ387" t="str">
        <f t="shared" si="165"/>
        <v>2</v>
      </c>
      <c r="BT387">
        <v>46</v>
      </c>
      <c r="BU387" t="str">
        <f t="shared" si="166"/>
        <v>571046,582046,593046</v>
      </c>
      <c r="BV387">
        <f t="shared" si="179"/>
        <v>571046</v>
      </c>
      <c r="BW387">
        <f t="shared" si="177"/>
        <v>582046</v>
      </c>
      <c r="BX387">
        <f t="shared" si="176"/>
        <v>593046</v>
      </c>
      <c r="CF387" t="str">
        <f t="shared" si="170"/>
        <v>DATA_Class_Base51</v>
      </c>
      <c r="CG387" s="45" t="s">
        <v>1038</v>
      </c>
    </row>
    <row r="388" spans="1:85" ht="27">
      <c r="A388">
        <f t="shared" si="171"/>
        <v>5095500</v>
      </c>
      <c r="B388" s="45" t="s">
        <v>1041</v>
      </c>
      <c r="C388">
        <v>9</v>
      </c>
      <c r="D388">
        <v>5</v>
      </c>
      <c r="E388">
        <v>5</v>
      </c>
      <c r="F388" t="s">
        <v>1361</v>
      </c>
      <c r="G388" t="str">
        <f t="shared" si="180"/>
        <v>游侠0_56_5</v>
      </c>
      <c r="H388" s="2">
        <v>0</v>
      </c>
      <c r="I388" s="2" t="s">
        <v>303</v>
      </c>
      <c r="J388" s="2">
        <f t="shared" si="167"/>
        <v>5</v>
      </c>
      <c r="K388" s="2">
        <f t="shared" si="160"/>
        <v>1.1000000000000001</v>
      </c>
      <c r="L388" s="2">
        <f t="shared" ref="L388:L391" si="182">FLOOR(AP388/1.36,0.01)</f>
        <v>1.1000000000000001</v>
      </c>
      <c r="M388" s="2">
        <v>10</v>
      </c>
      <c r="N388" s="2">
        <f t="shared" si="181"/>
        <v>86.399999999999991</v>
      </c>
      <c r="O388" s="2">
        <f t="shared" si="181"/>
        <v>8.6399999999999988</v>
      </c>
      <c r="P388" s="2">
        <f t="shared" si="181"/>
        <v>1195.2</v>
      </c>
      <c r="Q388" s="2">
        <f t="shared" si="181"/>
        <v>119.52000000000001</v>
      </c>
      <c r="R388" s="2">
        <f t="shared" si="181"/>
        <v>24</v>
      </c>
      <c r="S388" s="2">
        <f t="shared" si="181"/>
        <v>2.4000000000000004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>
        <v>50555001</v>
      </c>
      <c r="Z388" s="14" t="s">
        <v>1516</v>
      </c>
      <c r="AA388" s="14" t="s">
        <v>890</v>
      </c>
      <c r="AB388">
        <v>0</v>
      </c>
      <c r="AC388" s="2">
        <v>19</v>
      </c>
      <c r="AD388" s="2"/>
      <c r="AE388" s="2"/>
      <c r="AF388">
        <v>1</v>
      </c>
      <c r="AG388" s="1">
        <f t="shared" si="161"/>
        <v>791.36966125140736</v>
      </c>
      <c r="AH388">
        <v>9</v>
      </c>
      <c r="AI388">
        <f t="shared" si="172"/>
        <v>86.399999999999991</v>
      </c>
      <c r="AJ388">
        <f t="shared" si="173"/>
        <v>8.6399999999999988</v>
      </c>
      <c r="AK388">
        <f t="shared" si="174"/>
        <v>1195.2</v>
      </c>
      <c r="AL388">
        <f t="shared" si="175"/>
        <v>119.52000000000001</v>
      </c>
      <c r="AM388">
        <f t="shared" si="168"/>
        <v>24</v>
      </c>
      <c r="AN388">
        <f t="shared" si="169"/>
        <v>2.4000000000000004</v>
      </c>
      <c r="AO388">
        <f t="shared" si="162"/>
        <v>1.5</v>
      </c>
      <c r="AP388">
        <f t="shared" si="163"/>
        <v>1.5</v>
      </c>
      <c r="AQ388">
        <f t="shared" si="164"/>
        <v>5</v>
      </c>
      <c r="AR388">
        <v>500</v>
      </c>
      <c r="AS388" s="1" t="str">
        <f t="shared" si="178"/>
        <v>0</v>
      </c>
      <c r="AT388">
        <v>5</v>
      </c>
      <c r="BP388" t="s">
        <v>956</v>
      </c>
      <c r="BQ388" t="str">
        <f t="shared" si="165"/>
        <v>0</v>
      </c>
      <c r="BT388">
        <v>47</v>
      </c>
      <c r="BU388" t="str">
        <f t="shared" si="166"/>
        <v>571047,582047,593047</v>
      </c>
      <c r="BV388">
        <f t="shared" si="179"/>
        <v>571047</v>
      </c>
      <c r="BW388">
        <f t="shared" si="177"/>
        <v>582047</v>
      </c>
      <c r="BX388">
        <f t="shared" si="176"/>
        <v>593047</v>
      </c>
      <c r="CF388" t="str">
        <f t="shared" si="170"/>
        <v>DATA_Class_Base52</v>
      </c>
      <c r="CG388" s="45" t="s">
        <v>184</v>
      </c>
    </row>
    <row r="389" spans="1:85" ht="27">
      <c r="A389">
        <f t="shared" si="171"/>
        <v>5095502</v>
      </c>
      <c r="B389" s="45" t="s">
        <v>1063</v>
      </c>
      <c r="C389">
        <v>9</v>
      </c>
      <c r="D389">
        <v>5</v>
      </c>
      <c r="E389">
        <v>5</v>
      </c>
      <c r="F389" t="s">
        <v>1363</v>
      </c>
      <c r="G389" t="str">
        <f t="shared" si="180"/>
        <v>游侠2_56_5</v>
      </c>
      <c r="H389">
        <v>0</v>
      </c>
      <c r="I389" s="2" t="s">
        <v>291</v>
      </c>
      <c r="J389" s="2">
        <f t="shared" si="167"/>
        <v>6</v>
      </c>
      <c r="K389" s="2">
        <f t="shared" ref="K389:K391" si="183">FLOOR(AO389/1.363,0.01)</f>
        <v>1.02</v>
      </c>
      <c r="L389" s="2">
        <f t="shared" si="182"/>
        <v>1.47</v>
      </c>
      <c r="M389" s="2">
        <v>10</v>
      </c>
      <c r="N389" s="2">
        <f t="shared" si="181"/>
        <v>80.639999999999986</v>
      </c>
      <c r="O389" s="2">
        <f t="shared" si="181"/>
        <v>8.0639999999999983</v>
      </c>
      <c r="P389" s="2">
        <f t="shared" si="181"/>
        <v>1195.2</v>
      </c>
      <c r="Q389" s="2">
        <f t="shared" si="181"/>
        <v>119.52000000000001</v>
      </c>
      <c r="R389" s="2">
        <f t="shared" si="181"/>
        <v>24</v>
      </c>
      <c r="S389" s="2">
        <f t="shared" si="181"/>
        <v>2.4000000000000004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>
        <v>50555021</v>
      </c>
      <c r="Z389" s="14" t="s">
        <v>1517</v>
      </c>
      <c r="AA389" s="14" t="s">
        <v>890</v>
      </c>
      <c r="AB389">
        <v>0</v>
      </c>
      <c r="AC389" s="2">
        <v>19</v>
      </c>
      <c r="AD389" s="2"/>
      <c r="AE389" s="2"/>
      <c r="AF389">
        <v>1</v>
      </c>
      <c r="AG389" s="1">
        <f t="shared" ref="AG389:AG391" si="184">(AK389+AL389*AF389)*(AI389+AJ389*AF389)/AO389*(0.9)*(1+0.5*0.1)*1/1/(1-(AM389+AN389*AF389)*0.0002)/100</f>
        <v>791.36966125140725</v>
      </c>
      <c r="AH389">
        <v>9</v>
      </c>
      <c r="AI389">
        <f t="shared" si="172"/>
        <v>80.639999999999986</v>
      </c>
      <c r="AJ389">
        <f t="shared" si="173"/>
        <v>8.0639999999999983</v>
      </c>
      <c r="AK389">
        <f t="shared" si="174"/>
        <v>1195.2</v>
      </c>
      <c r="AL389">
        <f t="shared" si="175"/>
        <v>119.52000000000001</v>
      </c>
      <c r="AM389">
        <f t="shared" si="168"/>
        <v>24</v>
      </c>
      <c r="AN389">
        <f t="shared" si="169"/>
        <v>2.4000000000000004</v>
      </c>
      <c r="AO389">
        <f t="shared" ref="AO389:AO391" si="185">INDEX($AZ$5:$AZ$34,MATCH($AR389,$AU$5:$AU$34,0))</f>
        <v>1.4</v>
      </c>
      <c r="AP389">
        <f t="shared" ref="AP389:AP391" si="186">ROUND(IF(INDEX($BH$5:$BH$34,MATCH($AR389,$AU$5:$AU$34,0))&lt;2,INDEX($BH$5:$BH$34,MATCH($AR389,$AU$5:$AU$34,0))+0.2,2),1)</f>
        <v>2</v>
      </c>
      <c r="AQ389">
        <f t="shared" ref="AQ389:AQ391" si="187">INDEX($BD$5:$BD$34,MATCH($AR389,$AU$5:$AU$34,0))</f>
        <v>6</v>
      </c>
      <c r="AR389">
        <v>502</v>
      </c>
      <c r="AS389" s="1" t="str">
        <f t="shared" si="178"/>
        <v>2</v>
      </c>
      <c r="AT389">
        <v>5</v>
      </c>
      <c r="BP389" t="s">
        <v>974</v>
      </c>
      <c r="BQ389" t="str">
        <f t="shared" ref="BQ389:BQ391" si="188">RIGHT(BP389,1)</f>
        <v>2</v>
      </c>
      <c r="BT389">
        <v>48</v>
      </c>
      <c r="BU389" t="str">
        <f t="shared" si="166"/>
        <v>571048,582048,593048</v>
      </c>
      <c r="BV389">
        <f t="shared" si="179"/>
        <v>571048</v>
      </c>
      <c r="BW389">
        <f t="shared" si="177"/>
        <v>582048</v>
      </c>
      <c r="BX389">
        <f t="shared" si="176"/>
        <v>593048</v>
      </c>
      <c r="CF389" t="str">
        <f t="shared" si="170"/>
        <v>DATA_Class_Base59</v>
      </c>
      <c r="CG389" s="45" t="s">
        <v>195</v>
      </c>
    </row>
    <row r="390" spans="1:85" ht="27">
      <c r="A390">
        <f t="shared" si="171"/>
        <v>5095600</v>
      </c>
      <c r="B390" s="45" t="s">
        <v>1047</v>
      </c>
      <c r="C390">
        <v>9</v>
      </c>
      <c r="D390">
        <v>6</v>
      </c>
      <c r="E390">
        <v>5</v>
      </c>
      <c r="F390" t="s">
        <v>1365</v>
      </c>
      <c r="G390" t="str">
        <f t="shared" si="180"/>
        <v>牧师0_56_5</v>
      </c>
      <c r="H390">
        <v>0</v>
      </c>
      <c r="I390" s="2" t="s">
        <v>339</v>
      </c>
      <c r="J390" s="2">
        <f t="shared" si="167"/>
        <v>4</v>
      </c>
      <c r="K390" s="2">
        <f t="shared" si="183"/>
        <v>1.02</v>
      </c>
      <c r="L390" s="2">
        <f t="shared" si="182"/>
        <v>1.3900000000000001</v>
      </c>
      <c r="M390" s="2">
        <v>10</v>
      </c>
      <c r="N390" s="2">
        <f t="shared" si="181"/>
        <v>67.199999999999989</v>
      </c>
      <c r="O390" s="2">
        <f t="shared" si="181"/>
        <v>6.7199999999999989</v>
      </c>
      <c r="P390" s="2">
        <f t="shared" si="181"/>
        <v>1440</v>
      </c>
      <c r="Q390" s="2">
        <f t="shared" si="181"/>
        <v>144</v>
      </c>
      <c r="R390" s="2">
        <f t="shared" si="181"/>
        <v>30</v>
      </c>
      <c r="S390" s="2">
        <f t="shared" si="181"/>
        <v>3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>
        <v>50556001</v>
      </c>
      <c r="Z390" s="14" t="s">
        <v>1518</v>
      </c>
      <c r="AA390" s="14" t="s">
        <v>890</v>
      </c>
      <c r="AB390">
        <v>0</v>
      </c>
      <c r="AC390" s="2">
        <v>19</v>
      </c>
      <c r="AD390" s="2"/>
      <c r="AE390" s="2"/>
      <c r="AF390">
        <v>1</v>
      </c>
      <c r="AG390" s="1">
        <f t="shared" si="184"/>
        <v>795.60362391785793</v>
      </c>
      <c r="AH390">
        <v>9</v>
      </c>
      <c r="AI390">
        <f t="shared" si="172"/>
        <v>67.199999999999989</v>
      </c>
      <c r="AJ390">
        <f t="shared" si="173"/>
        <v>6.7199999999999989</v>
      </c>
      <c r="AK390">
        <f t="shared" si="174"/>
        <v>1440</v>
      </c>
      <c r="AL390">
        <f t="shared" si="175"/>
        <v>144</v>
      </c>
      <c r="AM390">
        <f t="shared" si="168"/>
        <v>30</v>
      </c>
      <c r="AN390">
        <f t="shared" si="169"/>
        <v>3</v>
      </c>
      <c r="AO390">
        <f t="shared" si="185"/>
        <v>1.4</v>
      </c>
      <c r="AP390">
        <f t="shared" si="186"/>
        <v>1.9</v>
      </c>
      <c r="AQ390">
        <f t="shared" si="187"/>
        <v>4</v>
      </c>
      <c r="AR390">
        <v>600</v>
      </c>
      <c r="AS390" s="1" t="str">
        <f t="shared" si="178"/>
        <v>0</v>
      </c>
      <c r="AT390">
        <v>5</v>
      </c>
      <c r="BP390" t="s">
        <v>990</v>
      </c>
      <c r="BQ390" t="str">
        <f t="shared" si="188"/>
        <v>0</v>
      </c>
      <c r="BT390">
        <v>49</v>
      </c>
      <c r="BU390" t="str">
        <f t="shared" si="166"/>
        <v>571049,582049,593049</v>
      </c>
      <c r="BV390">
        <f t="shared" si="179"/>
        <v>571049</v>
      </c>
      <c r="BW390">
        <f t="shared" si="177"/>
        <v>582049</v>
      </c>
      <c r="BX390">
        <f t="shared" si="176"/>
        <v>593049</v>
      </c>
      <c r="CF390" t="str">
        <f t="shared" si="170"/>
        <v>DATA_Class_Base54</v>
      </c>
      <c r="CG390" s="45" t="s">
        <v>198</v>
      </c>
    </row>
    <row r="391" spans="1:85" ht="27">
      <c r="A391">
        <f t="shared" si="171"/>
        <v>5095602</v>
      </c>
      <c r="B391" s="45" t="s">
        <v>1066</v>
      </c>
      <c r="C391">
        <v>9</v>
      </c>
      <c r="D391">
        <v>6</v>
      </c>
      <c r="E391">
        <v>5</v>
      </c>
      <c r="F391" t="s">
        <v>1367</v>
      </c>
      <c r="G391" t="str">
        <f t="shared" si="180"/>
        <v>牧师2_56_5</v>
      </c>
      <c r="H391" t="s">
        <v>345</v>
      </c>
      <c r="I391" s="2" t="s">
        <v>346</v>
      </c>
      <c r="J391" s="2">
        <f t="shared" si="167"/>
        <v>6</v>
      </c>
      <c r="K391" s="2">
        <f t="shared" si="183"/>
        <v>1.32</v>
      </c>
      <c r="L391" s="2">
        <f t="shared" si="182"/>
        <v>1.47</v>
      </c>
      <c r="M391" s="2">
        <v>10</v>
      </c>
      <c r="N391" s="2">
        <f t="shared" si="181"/>
        <v>86.399999999999991</v>
      </c>
      <c r="O391" s="2">
        <f t="shared" si="181"/>
        <v>8.6399999999999988</v>
      </c>
      <c r="P391" s="2">
        <f t="shared" si="181"/>
        <v>1440</v>
      </c>
      <c r="Q391" s="2">
        <f t="shared" si="181"/>
        <v>144</v>
      </c>
      <c r="R391" s="2">
        <f t="shared" si="181"/>
        <v>30</v>
      </c>
      <c r="S391" s="2">
        <f t="shared" si="181"/>
        <v>3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>
        <v>50556021</v>
      </c>
      <c r="Z391" s="14" t="s">
        <v>1519</v>
      </c>
      <c r="AA391" s="14" t="s">
        <v>890</v>
      </c>
      <c r="AB391">
        <v>0</v>
      </c>
      <c r="AC391" s="2">
        <v>19</v>
      </c>
      <c r="AD391" s="2"/>
      <c r="AE391" s="2"/>
      <c r="AF391">
        <v>1</v>
      </c>
      <c r="AG391" s="1">
        <f t="shared" si="184"/>
        <v>795.60362391785793</v>
      </c>
      <c r="AH391">
        <v>9</v>
      </c>
      <c r="AI391">
        <f t="shared" si="172"/>
        <v>86.399999999999991</v>
      </c>
      <c r="AJ391">
        <f t="shared" si="173"/>
        <v>8.6399999999999988</v>
      </c>
      <c r="AK391">
        <f t="shared" si="174"/>
        <v>1440</v>
      </c>
      <c r="AL391">
        <f t="shared" si="175"/>
        <v>144</v>
      </c>
      <c r="AM391">
        <f t="shared" si="168"/>
        <v>30</v>
      </c>
      <c r="AN391">
        <f t="shared" si="169"/>
        <v>3</v>
      </c>
      <c r="AO391">
        <f t="shared" si="185"/>
        <v>1.8</v>
      </c>
      <c r="AP391">
        <f t="shared" si="186"/>
        <v>2</v>
      </c>
      <c r="AQ391">
        <f t="shared" si="187"/>
        <v>6</v>
      </c>
      <c r="AR391">
        <v>602</v>
      </c>
      <c r="AS391" s="1" t="str">
        <f t="shared" si="178"/>
        <v>2</v>
      </c>
      <c r="AT391">
        <v>5</v>
      </c>
      <c r="BP391" t="s">
        <v>978</v>
      </c>
      <c r="BQ391" t="str">
        <f t="shared" si="188"/>
        <v>2</v>
      </c>
      <c r="BT391">
        <v>50</v>
      </c>
      <c r="BU391" t="str">
        <f t="shared" si="166"/>
        <v>571050,582050,593050</v>
      </c>
      <c r="BV391">
        <f t="shared" si="179"/>
        <v>571050</v>
      </c>
      <c r="BW391">
        <f t="shared" si="177"/>
        <v>582050</v>
      </c>
      <c r="BX391">
        <f t="shared" si="176"/>
        <v>593050</v>
      </c>
      <c r="CF391" t="str">
        <f t="shared" si="170"/>
        <v>DATA_Class_Base60</v>
      </c>
      <c r="CG391" s="45" t="s">
        <v>407</v>
      </c>
    </row>
  </sheetData>
  <phoneticPr fontId="9" type="noConversion"/>
  <conditionalFormatting sqref="A117">
    <cfRule type="duplicateValues" dxfId="30" priority="2"/>
  </conditionalFormatting>
  <conditionalFormatting sqref="CD4:CD75">
    <cfRule type="duplicateValues" dxfId="29" priority="5"/>
  </conditionalFormatting>
  <conditionalFormatting sqref="CG4:CG15">
    <cfRule type="duplicateValues" dxfId="28" priority="1"/>
  </conditionalFormatting>
  <conditionalFormatting sqref="CD76:CD1048576 CD1:CD3">
    <cfRule type="duplicateValues" dxfId="27" priority="4"/>
  </conditionalFormatting>
  <conditionalFormatting sqref="A6:A116 A118:A1048576">
    <cfRule type="duplicateValues" dxfId="26" priority="3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F560"/>
  <sheetViews>
    <sheetView workbookViewId="0">
      <selection activeCell="A32" sqref="A32:AY33"/>
    </sheetView>
  </sheetViews>
  <sheetFormatPr defaultColWidth="9" defaultRowHeight="13.5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2" max="32" width="12.75" customWidth="1"/>
    <col min="33" max="33" width="13.875" customWidth="1"/>
    <col min="34" max="34" width="11.625" customWidth="1"/>
    <col min="37" max="37" width="9" style="1"/>
    <col min="52" max="52" width="12" customWidth="1"/>
    <col min="53" max="53" width="14.5" customWidth="1"/>
    <col min="57" max="57" width="20.375" customWidth="1"/>
    <col min="61" max="61" width="11.625" customWidth="1"/>
    <col min="65" max="65" width="11" customWidth="1"/>
    <col min="66" max="66" width="11.625" customWidth="1"/>
    <col min="69" max="69" width="10.875" customWidth="1"/>
    <col min="80" max="80" width="18.375" customWidth="1"/>
    <col min="83" max="83" width="19.375" customWidth="1"/>
  </cols>
  <sheetData>
    <row r="1" spans="1:84" ht="16.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812</v>
      </c>
      <c r="I1" s="2" t="s">
        <v>813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7" t="s">
        <v>14</v>
      </c>
      <c r="Q1" s="2" t="s">
        <v>15</v>
      </c>
      <c r="R1" s="9" t="s">
        <v>16</v>
      </c>
      <c r="S1" s="2" t="s">
        <v>17</v>
      </c>
      <c r="T1" s="10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33</v>
      </c>
      <c r="AP1" s="2"/>
      <c r="AQ1" s="2"/>
      <c r="AR1" s="2"/>
      <c r="AS1" s="2"/>
      <c r="AT1" s="2"/>
      <c r="AU1" s="2"/>
    </row>
    <row r="2" spans="1:84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7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B2">
        <v>0.8</v>
      </c>
    </row>
    <row r="3" spans="1:84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814</v>
      </c>
      <c r="I3" t="s">
        <v>815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7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8" t="s">
        <v>72</v>
      </c>
      <c r="AG3" s="8" t="s">
        <v>73</v>
      </c>
      <c r="AH3" s="8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t="s">
        <v>86</v>
      </c>
      <c r="BB3">
        <v>1</v>
      </c>
      <c r="BC3">
        <v>1</v>
      </c>
      <c r="BD3">
        <v>1</v>
      </c>
      <c r="BF3" s="24" t="s">
        <v>87</v>
      </c>
      <c r="BG3" s="24" t="s">
        <v>88</v>
      </c>
      <c r="BH3" s="24" t="s">
        <v>89</v>
      </c>
      <c r="BK3" s="24" t="s">
        <v>90</v>
      </c>
      <c r="BM3" t="s">
        <v>91</v>
      </c>
      <c r="CB3" s="24" t="s">
        <v>92</v>
      </c>
      <c r="CE3" s="24" t="s">
        <v>93</v>
      </c>
    </row>
    <row r="4" spans="1:84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9" si="0">FLOOR(AS4/1,0.01)</f>
        <v>1.3</v>
      </c>
      <c r="N4" s="2">
        <f t="shared" si="0"/>
        <v>1.5</v>
      </c>
      <c r="O4" s="2">
        <v>10</v>
      </c>
      <c r="P4" s="2">
        <f t="shared" ref="P4:U19" si="1">ROUND(AM4*(1+$AY4),2)</f>
        <v>97.07</v>
      </c>
      <c r="Q4" s="2">
        <f t="shared" si="1"/>
        <v>9.7100000000000009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816</v>
      </c>
      <c r="AC4" s="12" t="s">
        <v>817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67" si="2">(AO4+AP4*AJ4)*(AM4+AN4*AJ4)/AS4*(0.9)*(1+0.5*0.1)*1/1/(1-(AQ4+AR4*AJ4)*0.0002)/3000</f>
        <v>38.523382799518714</v>
      </c>
      <c r="AL4">
        <v>1</v>
      </c>
      <c r="AM4">
        <f>INDEX($BB$5:$BB$58,MATCH($AV4,$AZ$5:$AZ$58,0))*$AS4/1.5*$BF$4*INDEX($BB$106:$BO$106,MATCH($AL4,$BB$105:$BO$105,0))</f>
        <v>97.066666666666677</v>
      </c>
      <c r="AN4">
        <f>(INDEX($BB$5:$BB$58,MATCH($AV4,$AZ$5:$AZ$58,0))*$AS4/1.5*$BF$4*INDEX($BB$106:$BO$106,MATCH($AL4,$BB$105:$BO$105,0)))*0.1</f>
        <v>9.7066666666666688</v>
      </c>
      <c r="AO4">
        <f>INDEX($BC$5:$BC$58,MATCH($AV4,$AZ$5:$AZ$58,0))*$BG$4*INDEX($BB$106:$BO$106,MATCH($AL4,$BB$105:$BO$105,0))</f>
        <v>1344</v>
      </c>
      <c r="AP4">
        <f>(INDEX($BC$5:$BC$58,MATCH($AV4,$AZ$5:$AZ$58,0))*$BG$4*INDEX($BB$106:$BO$106,MATCH($AL4,$BB$105:$BO$105,0)))*0.1</f>
        <v>134.4</v>
      </c>
      <c r="AQ4">
        <f t="shared" ref="AQ4:AQ67" si="3">$AM4/INDEX($BD$5:$BD$58,MATCH($AV4,$AZ$5:$AZ$58,0))</f>
        <v>32.355555555555561</v>
      </c>
      <c r="AR4">
        <f t="shared" ref="AR4:AR67" si="4">AQ4*0.1</f>
        <v>3.2355555555555564</v>
      </c>
      <c r="AS4">
        <f t="shared" ref="AS4:AS67" si="5">INDEX($BE$5:$BE$58,MATCH($AV4,$AZ$5:$AZ$58,0))</f>
        <v>1.3</v>
      </c>
      <c r="AT4">
        <f t="shared" ref="AT4:AT67" si="6">ROUND(IF(INDEX($BM$5:$BM$58,MATCH($AV4,$AZ$5:$AZ$58,0))&lt;2,INDEX($BM$5:$BM$58,MATCH($AV4,$AZ$5:$AZ$58,0))+0.2,2),1)</f>
        <v>1.5</v>
      </c>
      <c r="AU4">
        <f t="shared" ref="AU4:AU67" si="7">INDEX($BI$5:$BI$58,MATCH($AV4,$AZ$5:$AZ$58,0))</f>
        <v>3</v>
      </c>
      <c r="AV4">
        <v>1</v>
      </c>
      <c r="AW4">
        <v>1</v>
      </c>
      <c r="AX4">
        <v>0</v>
      </c>
      <c r="AY4">
        <v>0</v>
      </c>
      <c r="AZ4" t="s">
        <v>98</v>
      </c>
      <c r="BA4" s="2" t="s">
        <v>99</v>
      </c>
      <c r="BB4" s="2" t="s">
        <v>100</v>
      </c>
      <c r="BC4" s="2" t="s">
        <v>101</v>
      </c>
      <c r="BD4" s="8" t="s">
        <v>102</v>
      </c>
      <c r="BE4" s="2" t="s">
        <v>103</v>
      </c>
      <c r="BF4" s="19">
        <v>80</v>
      </c>
      <c r="BG4" s="19">
        <v>960</v>
      </c>
      <c r="BH4" s="19">
        <v>20</v>
      </c>
      <c r="BI4" t="s">
        <v>52</v>
      </c>
      <c r="BJ4" t="s">
        <v>104</v>
      </c>
      <c r="BK4" t="s">
        <v>105</v>
      </c>
      <c r="BL4" t="s">
        <v>106</v>
      </c>
      <c r="BM4" t="s">
        <v>107</v>
      </c>
      <c r="BN4" t="s">
        <v>108</v>
      </c>
      <c r="BP4" t="s">
        <v>100</v>
      </c>
      <c r="BQ4" t="s">
        <v>109</v>
      </c>
      <c r="CB4" s="2" t="s">
        <v>94</v>
      </c>
      <c r="CC4" t="s">
        <v>110</v>
      </c>
      <c r="CE4" s="2" t="s">
        <v>94</v>
      </c>
      <c r="CF4" t="s">
        <v>110</v>
      </c>
    </row>
    <row r="5" spans="1:84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si="1"/>
        <v>97.07</v>
      </c>
      <c r="Q5" s="2">
        <f t="shared" si="1"/>
        <v>9.7100000000000009</v>
      </c>
      <c r="R5" s="2">
        <f t="shared" si="1"/>
        <v>1344</v>
      </c>
      <c r="S5" s="2">
        <f t="shared" si="1"/>
        <v>134.4</v>
      </c>
      <c r="T5" s="2">
        <f t="shared" si="1"/>
        <v>32.36</v>
      </c>
      <c r="U5" s="2">
        <f t="shared" si="1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816</v>
      </c>
      <c r="AC5" s="12" t="s">
        <v>817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38.523382799518714</v>
      </c>
      <c r="AL5">
        <v>2</v>
      </c>
      <c r="AM5">
        <f t="shared" ref="AM5:AM17" si="8">INDEX($BB$5:$BB$58,MATCH($AV5,$AZ$5:$AZ$58,0))*$AS5/1.5*$BF$4*INDEX($BB$106:$BO$106,MATCH($AL5,$BB$105:$BO$105,0))</f>
        <v>97.066666666666677</v>
      </c>
      <c r="AN5">
        <f t="shared" ref="AN5:AN17" si="9">(INDEX($BB$5:$BB$58,MATCH($AV5,$AZ$5:$AZ$58,0))*$AS5/1.5*$BF$4*INDEX($BB$106:$BO$106,MATCH($AL5,$BB$105:$BO$105,0)))*0.1</f>
        <v>9.7066666666666688</v>
      </c>
      <c r="AO5">
        <f t="shared" ref="AO5:AO17" si="10">INDEX($BC$5:$BC$58,MATCH($AV5,$AZ$5:$AZ$58,0))*$BG$4*INDEX($BB$106:$BO$106,MATCH($AL5,$BB$105:$BO$105,0))</f>
        <v>1344</v>
      </c>
      <c r="AP5">
        <f t="shared" ref="AP5:AP17" si="11">(INDEX($BC$5:$BC$58,MATCH($AV5,$AZ$5:$AZ$58,0))*$BG$4*INDEX($BB$106:$BO$106,MATCH($AL5,$BB$105:$BO$105,0)))*0.1</f>
        <v>134.4</v>
      </c>
      <c r="AQ5">
        <f t="shared" si="3"/>
        <v>32.355555555555561</v>
      </c>
      <c r="AR5">
        <f t="shared" si="4"/>
        <v>3.2355555555555564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AZ5" s="20">
        <v>1</v>
      </c>
      <c r="BA5" s="21" t="s">
        <v>113</v>
      </c>
      <c r="BB5" s="20">
        <v>1</v>
      </c>
      <c r="BC5" s="20">
        <f>1/BB5</f>
        <v>1</v>
      </c>
      <c r="BD5" s="22">
        <v>3</v>
      </c>
      <c r="BE5" s="23">
        <v>1.3</v>
      </c>
      <c r="BF5" s="25">
        <f>BB5*$BF$4*BE5/1.5</f>
        <v>69.333333333333329</v>
      </c>
      <c r="BG5" s="25">
        <f t="shared" ref="BG5:BG58" si="12">BC5*$BG$4</f>
        <v>960</v>
      </c>
      <c r="BH5" s="25">
        <f t="shared" ref="BH5:BH58" si="13">BF5/BD5</f>
        <v>23.111111111111111</v>
      </c>
      <c r="BI5">
        <v>3</v>
      </c>
      <c r="BJ5">
        <f t="shared" ref="BJ5:BJ58" si="14">BF5/BE5</f>
        <v>53.333333333333329</v>
      </c>
      <c r="BK5">
        <f t="shared" ref="BK5:BK58" si="15">BL5/30</f>
        <v>1.3333333333333333</v>
      </c>
      <c r="BL5" s="20">
        <v>40</v>
      </c>
      <c r="BM5">
        <f t="shared" ref="BM5:BM58" si="16">BN5/30</f>
        <v>1.3333333333333333</v>
      </c>
      <c r="BN5" s="20">
        <v>40</v>
      </c>
      <c r="BO5">
        <v>1.5</v>
      </c>
      <c r="BP5">
        <v>1</v>
      </c>
      <c r="BQ5" s="26">
        <f t="shared" ref="BQ5:BQ22" si="17">1/BP5</f>
        <v>1</v>
      </c>
      <c r="BR5">
        <f>$BF$4*(1-(1.5-BE5)*1)*BB5</f>
        <v>64</v>
      </c>
      <c r="CB5" s="2" t="s">
        <v>111</v>
      </c>
      <c r="CC5" t="s">
        <v>114</v>
      </c>
      <c r="CE5" s="2" t="s">
        <v>111</v>
      </c>
      <c r="CF5" t="s">
        <v>114</v>
      </c>
    </row>
    <row r="6" spans="1:84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1"/>
        <v>97.07</v>
      </c>
      <c r="Q6" s="2">
        <f t="shared" si="1"/>
        <v>9.7100000000000009</v>
      </c>
      <c r="R6" s="2">
        <f t="shared" si="1"/>
        <v>1344</v>
      </c>
      <c r="S6" s="2">
        <f t="shared" si="1"/>
        <v>134.4</v>
      </c>
      <c r="T6" s="2">
        <f t="shared" si="1"/>
        <v>32.36</v>
      </c>
      <c r="U6" s="2">
        <f t="shared" si="1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816</v>
      </c>
      <c r="AC6" s="12" t="s">
        <v>817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38.523382799518714</v>
      </c>
      <c r="AL6">
        <v>3</v>
      </c>
      <c r="AM6">
        <f t="shared" si="8"/>
        <v>97.066666666666677</v>
      </c>
      <c r="AN6">
        <f t="shared" si="9"/>
        <v>9.7066666666666688</v>
      </c>
      <c r="AO6">
        <f t="shared" si="10"/>
        <v>1344</v>
      </c>
      <c r="AP6">
        <f t="shared" si="11"/>
        <v>134.4</v>
      </c>
      <c r="AQ6">
        <f t="shared" si="3"/>
        <v>32.355555555555561</v>
      </c>
      <c r="AR6">
        <f t="shared" si="4"/>
        <v>3.2355555555555564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AZ6" s="20">
        <v>2001</v>
      </c>
      <c r="BA6" s="59" t="s">
        <v>127</v>
      </c>
      <c r="BB6" s="20">
        <v>0.8</v>
      </c>
      <c r="BC6" s="20">
        <f t="shared" ref="BC6:BC58" si="18">1/BB6</f>
        <v>1.25</v>
      </c>
      <c r="BD6" s="22">
        <v>3</v>
      </c>
      <c r="BE6" s="23">
        <v>1.5</v>
      </c>
      <c r="BF6" s="25">
        <f t="shared" ref="BF6:BF58" si="19">BB6*$BF$4*BE6/1.5</f>
        <v>64</v>
      </c>
      <c r="BG6" s="25">
        <f t="shared" si="12"/>
        <v>1200</v>
      </c>
      <c r="BH6" s="25">
        <f t="shared" si="13"/>
        <v>21.333333333333332</v>
      </c>
      <c r="BI6">
        <v>3</v>
      </c>
      <c r="BJ6">
        <f t="shared" si="14"/>
        <v>42.666666666666664</v>
      </c>
      <c r="BK6">
        <f t="shared" si="15"/>
        <v>1</v>
      </c>
      <c r="BL6" s="20">
        <v>30</v>
      </c>
      <c r="BM6">
        <f t="shared" si="16"/>
        <v>1</v>
      </c>
      <c r="BN6" s="20">
        <v>30</v>
      </c>
      <c r="BO6" s="2">
        <v>1.5</v>
      </c>
      <c r="BP6">
        <v>0.8</v>
      </c>
      <c r="BQ6" s="26">
        <f t="shared" si="17"/>
        <v>1.25</v>
      </c>
      <c r="BR6">
        <f>$BF$4*(1-(1.5-BE6)*1)*BB6</f>
        <v>64</v>
      </c>
      <c r="CB6" s="2" t="s">
        <v>115</v>
      </c>
      <c r="CC6" t="s">
        <v>118</v>
      </c>
      <c r="CE6" s="2" t="s">
        <v>115</v>
      </c>
      <c r="CF6" t="s">
        <v>118</v>
      </c>
    </row>
    <row r="7" spans="1:84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1"/>
        <v>97.07</v>
      </c>
      <c r="Q7" s="2">
        <f t="shared" si="1"/>
        <v>9.7100000000000009</v>
      </c>
      <c r="R7" s="2">
        <f t="shared" si="1"/>
        <v>1344</v>
      </c>
      <c r="S7" s="2">
        <f t="shared" si="1"/>
        <v>134.4</v>
      </c>
      <c r="T7" s="2">
        <f t="shared" si="1"/>
        <v>32.36</v>
      </c>
      <c r="U7" s="2">
        <f t="shared" si="1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816</v>
      </c>
      <c r="AC7" s="12" t="s">
        <v>817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38.523382799518714</v>
      </c>
      <c r="AL7">
        <v>4</v>
      </c>
      <c r="AM7">
        <f t="shared" si="8"/>
        <v>97.066666666666677</v>
      </c>
      <c r="AN7">
        <f t="shared" si="9"/>
        <v>9.7066666666666688</v>
      </c>
      <c r="AO7">
        <f t="shared" si="10"/>
        <v>1344</v>
      </c>
      <c r="AP7">
        <f t="shared" si="11"/>
        <v>134.4</v>
      </c>
      <c r="AQ7">
        <f t="shared" si="3"/>
        <v>32.355555555555561</v>
      </c>
      <c r="AR7">
        <f t="shared" si="4"/>
        <v>3.2355555555555564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AZ7" s="20">
        <v>2002</v>
      </c>
      <c r="BA7" s="59"/>
      <c r="BB7" s="20">
        <v>1</v>
      </c>
      <c r="BC7" s="20">
        <f t="shared" si="18"/>
        <v>1</v>
      </c>
      <c r="BD7" s="22">
        <v>4</v>
      </c>
      <c r="BE7" s="23">
        <v>1.5</v>
      </c>
      <c r="BF7" s="25">
        <f t="shared" si="19"/>
        <v>80</v>
      </c>
      <c r="BG7" s="25">
        <f t="shared" si="12"/>
        <v>960</v>
      </c>
      <c r="BH7" s="25">
        <f t="shared" si="13"/>
        <v>20</v>
      </c>
      <c r="BI7">
        <v>3</v>
      </c>
      <c r="BJ7">
        <f t="shared" si="14"/>
        <v>53.333333333333336</v>
      </c>
      <c r="BK7">
        <f t="shared" si="15"/>
        <v>1</v>
      </c>
      <c r="BL7" s="20">
        <v>30</v>
      </c>
      <c r="BM7">
        <f t="shared" si="16"/>
        <v>1</v>
      </c>
      <c r="BN7" s="20">
        <v>30</v>
      </c>
      <c r="BO7">
        <v>1.5</v>
      </c>
      <c r="BP7">
        <v>0.8</v>
      </c>
      <c r="BQ7" s="26">
        <f t="shared" si="17"/>
        <v>1.25</v>
      </c>
      <c r="BR7">
        <f t="shared" ref="BR7:BR22" si="20">$BF$4*(1-(1.5-BE7)*1)*BB7</f>
        <v>80</v>
      </c>
      <c r="CB7" s="2" t="s">
        <v>119</v>
      </c>
      <c r="CC7" t="s">
        <v>123</v>
      </c>
      <c r="CE7" s="2" t="s">
        <v>119</v>
      </c>
      <c r="CF7" t="s">
        <v>123</v>
      </c>
    </row>
    <row r="8" spans="1:84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1"/>
        <v>97.07</v>
      </c>
      <c r="Q8" s="2">
        <f t="shared" si="1"/>
        <v>9.7100000000000009</v>
      </c>
      <c r="R8" s="2">
        <f t="shared" si="1"/>
        <v>1344</v>
      </c>
      <c r="S8" s="2">
        <f t="shared" si="1"/>
        <v>134.4</v>
      </c>
      <c r="T8" s="2">
        <f t="shared" si="1"/>
        <v>32.36</v>
      </c>
      <c r="U8" s="2">
        <f t="shared" si="1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816</v>
      </c>
      <c r="AC8" s="12" t="s">
        <v>817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38.523382799518714</v>
      </c>
      <c r="AL8">
        <v>5</v>
      </c>
      <c r="AM8">
        <f t="shared" si="8"/>
        <v>97.066666666666677</v>
      </c>
      <c r="AN8">
        <f t="shared" si="9"/>
        <v>9.7066666666666688</v>
      </c>
      <c r="AO8">
        <f t="shared" si="10"/>
        <v>1344</v>
      </c>
      <c r="AP8">
        <f t="shared" si="11"/>
        <v>134.4</v>
      </c>
      <c r="AQ8">
        <f t="shared" si="3"/>
        <v>32.355555555555561</v>
      </c>
      <c r="AR8">
        <f t="shared" si="4"/>
        <v>3.2355555555555564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AZ8" s="20">
        <v>2003</v>
      </c>
      <c r="BA8" s="59"/>
      <c r="BB8" s="20">
        <v>0.7</v>
      </c>
      <c r="BC8" s="20">
        <f t="shared" si="18"/>
        <v>1.4285714285714286</v>
      </c>
      <c r="BD8" s="22">
        <v>2</v>
      </c>
      <c r="BE8" s="23">
        <v>1.5</v>
      </c>
      <c r="BF8" s="25">
        <f t="shared" si="19"/>
        <v>56</v>
      </c>
      <c r="BG8" s="25">
        <f t="shared" si="12"/>
        <v>1371.4285714285716</v>
      </c>
      <c r="BH8" s="25">
        <f t="shared" si="13"/>
        <v>28</v>
      </c>
      <c r="BI8">
        <v>3</v>
      </c>
      <c r="BJ8">
        <f t="shared" si="14"/>
        <v>37.333333333333336</v>
      </c>
      <c r="BK8">
        <f t="shared" si="15"/>
        <v>1</v>
      </c>
      <c r="BL8" s="20">
        <v>30</v>
      </c>
      <c r="BM8">
        <f t="shared" si="16"/>
        <v>1</v>
      </c>
      <c r="BN8" s="20">
        <v>30</v>
      </c>
      <c r="BO8" s="2">
        <v>1.5</v>
      </c>
      <c r="BP8">
        <v>0.8</v>
      </c>
      <c r="BQ8" s="26">
        <f t="shared" si="17"/>
        <v>1.25</v>
      </c>
      <c r="BR8">
        <f t="shared" si="20"/>
        <v>56</v>
      </c>
      <c r="CB8" s="2" t="s">
        <v>124</v>
      </c>
      <c r="CC8" t="s">
        <v>128</v>
      </c>
      <c r="CE8" s="2" t="s">
        <v>124</v>
      </c>
      <c r="CF8" t="s">
        <v>128</v>
      </c>
    </row>
    <row r="9" spans="1:84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1"/>
        <v>97.07</v>
      </c>
      <c r="Q9" s="2">
        <f t="shared" si="1"/>
        <v>9.7100000000000009</v>
      </c>
      <c r="R9" s="2">
        <f t="shared" si="1"/>
        <v>1344</v>
      </c>
      <c r="S9" s="2">
        <f t="shared" si="1"/>
        <v>134.4</v>
      </c>
      <c r="T9" s="2">
        <f t="shared" si="1"/>
        <v>32.36</v>
      </c>
      <c r="U9" s="2">
        <f t="shared" si="1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816</v>
      </c>
      <c r="AC9" s="12" t="s">
        <v>817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38.523382799518714</v>
      </c>
      <c r="AL9">
        <v>6</v>
      </c>
      <c r="AM9">
        <f t="shared" si="8"/>
        <v>97.066666666666677</v>
      </c>
      <c r="AN9">
        <f t="shared" si="9"/>
        <v>9.7066666666666688</v>
      </c>
      <c r="AO9">
        <f t="shared" si="10"/>
        <v>1344</v>
      </c>
      <c r="AP9">
        <f t="shared" si="11"/>
        <v>134.4</v>
      </c>
      <c r="AQ9">
        <f t="shared" si="3"/>
        <v>32.355555555555561</v>
      </c>
      <c r="AR9">
        <f t="shared" si="4"/>
        <v>3.2355555555555564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AZ9" s="20">
        <v>2011</v>
      </c>
      <c r="BA9" s="59" t="s">
        <v>132</v>
      </c>
      <c r="BB9" s="20">
        <v>0.5</v>
      </c>
      <c r="BC9" s="20">
        <f t="shared" si="18"/>
        <v>2</v>
      </c>
      <c r="BD9" s="22">
        <v>2</v>
      </c>
      <c r="BE9" s="23">
        <v>1.8</v>
      </c>
      <c r="BF9" s="25">
        <f t="shared" si="19"/>
        <v>48</v>
      </c>
      <c r="BG9" s="25">
        <f t="shared" si="12"/>
        <v>1920</v>
      </c>
      <c r="BH9" s="25">
        <f t="shared" si="13"/>
        <v>24</v>
      </c>
      <c r="BI9">
        <v>3</v>
      </c>
      <c r="BJ9">
        <f t="shared" si="14"/>
        <v>26.666666666666664</v>
      </c>
      <c r="BK9">
        <f t="shared" si="15"/>
        <v>1.6666666666666667</v>
      </c>
      <c r="BL9" s="20">
        <v>50</v>
      </c>
      <c r="BM9">
        <f t="shared" si="16"/>
        <v>1.6</v>
      </c>
      <c r="BN9" s="20">
        <v>48</v>
      </c>
      <c r="BO9" s="2">
        <v>1.2</v>
      </c>
      <c r="BP9">
        <v>0.9</v>
      </c>
      <c r="BQ9" s="26">
        <f t="shared" si="17"/>
        <v>1.1111111111111112</v>
      </c>
      <c r="BR9">
        <f t="shared" si="20"/>
        <v>52</v>
      </c>
      <c r="CB9" s="2" t="s">
        <v>129</v>
      </c>
      <c r="CC9" t="s">
        <v>133</v>
      </c>
      <c r="CE9" s="2" t="s">
        <v>129</v>
      </c>
      <c r="CF9" t="s">
        <v>133</v>
      </c>
    </row>
    <row r="10" spans="1:84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1"/>
        <v>97.07</v>
      </c>
      <c r="Q10" s="2">
        <f t="shared" si="1"/>
        <v>9.7100000000000009</v>
      </c>
      <c r="R10" s="2">
        <f t="shared" si="1"/>
        <v>1344</v>
      </c>
      <c r="S10" s="2">
        <f t="shared" si="1"/>
        <v>134.4</v>
      </c>
      <c r="T10" s="2">
        <f t="shared" si="1"/>
        <v>32.36</v>
      </c>
      <c r="U10" s="2">
        <f t="shared" si="1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816</v>
      </c>
      <c r="AC10" s="12" t="s">
        <v>817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38.523382799518714</v>
      </c>
      <c r="AL10">
        <v>7</v>
      </c>
      <c r="AM10">
        <f t="shared" si="8"/>
        <v>97.066666666666677</v>
      </c>
      <c r="AN10">
        <f t="shared" si="9"/>
        <v>9.7066666666666688</v>
      </c>
      <c r="AO10">
        <f t="shared" si="10"/>
        <v>1344</v>
      </c>
      <c r="AP10">
        <f t="shared" si="11"/>
        <v>134.4</v>
      </c>
      <c r="AQ10">
        <f t="shared" si="3"/>
        <v>32.355555555555561</v>
      </c>
      <c r="AR10">
        <f t="shared" si="4"/>
        <v>3.2355555555555564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AZ10" s="20">
        <v>2012</v>
      </c>
      <c r="BA10" s="59"/>
      <c r="BB10" s="20">
        <v>0.7</v>
      </c>
      <c r="BC10" s="20">
        <f t="shared" si="18"/>
        <v>1.4285714285714286</v>
      </c>
      <c r="BD10" s="22">
        <v>3</v>
      </c>
      <c r="BE10" s="23">
        <v>1.8</v>
      </c>
      <c r="BF10" s="25">
        <f t="shared" si="19"/>
        <v>67.2</v>
      </c>
      <c r="BG10" s="25">
        <f t="shared" si="12"/>
        <v>1371.4285714285716</v>
      </c>
      <c r="BH10" s="25">
        <f t="shared" si="13"/>
        <v>22.400000000000002</v>
      </c>
      <c r="BI10">
        <v>3</v>
      </c>
      <c r="BJ10">
        <f t="shared" si="14"/>
        <v>37.333333333333336</v>
      </c>
      <c r="BK10">
        <f t="shared" si="15"/>
        <v>1.6666666666666667</v>
      </c>
      <c r="BL10" s="20">
        <v>50</v>
      </c>
      <c r="BM10">
        <f t="shared" si="16"/>
        <v>1.6</v>
      </c>
      <c r="BN10" s="20">
        <v>48</v>
      </c>
      <c r="BO10" s="2">
        <v>1</v>
      </c>
      <c r="BP10">
        <v>0.9</v>
      </c>
      <c r="BQ10" s="26">
        <f t="shared" si="17"/>
        <v>1.1111111111111112</v>
      </c>
      <c r="BR10">
        <f t="shared" si="20"/>
        <v>72.8</v>
      </c>
      <c r="CB10" s="2" t="s">
        <v>134</v>
      </c>
      <c r="CC10" t="s">
        <v>137</v>
      </c>
      <c r="CE10" s="2" t="s">
        <v>134</v>
      </c>
      <c r="CF10" t="s">
        <v>137</v>
      </c>
    </row>
    <row r="11" spans="1:84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si="0"/>
        <v>1.3</v>
      </c>
      <c r="N11" s="2">
        <f t="shared" si="0"/>
        <v>1.5</v>
      </c>
      <c r="O11" s="2">
        <v>10</v>
      </c>
      <c r="P11" s="2">
        <f t="shared" si="1"/>
        <v>97.07</v>
      </c>
      <c r="Q11" s="2">
        <f t="shared" si="1"/>
        <v>9.7100000000000009</v>
      </c>
      <c r="R11" s="2">
        <f t="shared" si="1"/>
        <v>1344</v>
      </c>
      <c r="S11" s="2">
        <f t="shared" si="1"/>
        <v>134.4</v>
      </c>
      <c r="T11" s="2">
        <f t="shared" si="1"/>
        <v>32.36</v>
      </c>
      <c r="U11" s="2">
        <f t="shared" si="1"/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816</v>
      </c>
      <c r="AC11" s="12" t="s">
        <v>817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si="2"/>
        <v>38.523382799518714</v>
      </c>
      <c r="AL11">
        <v>8</v>
      </c>
      <c r="AM11">
        <f t="shared" si="8"/>
        <v>97.066666666666677</v>
      </c>
      <c r="AN11">
        <f t="shared" si="9"/>
        <v>9.7066666666666688</v>
      </c>
      <c r="AO11">
        <f t="shared" si="10"/>
        <v>1344</v>
      </c>
      <c r="AP11">
        <f t="shared" si="11"/>
        <v>134.4</v>
      </c>
      <c r="AQ11">
        <f t="shared" si="3"/>
        <v>32.355555555555561</v>
      </c>
      <c r="AR11">
        <f t="shared" si="4"/>
        <v>3.2355555555555564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AZ11" s="20">
        <v>2013</v>
      </c>
      <c r="BA11" s="59"/>
      <c r="BB11" s="20">
        <v>0.6</v>
      </c>
      <c r="BC11" s="20">
        <f t="shared" si="18"/>
        <v>1.6666666666666667</v>
      </c>
      <c r="BD11" s="22">
        <v>1.8</v>
      </c>
      <c r="BE11" s="23">
        <v>1.8</v>
      </c>
      <c r="BF11" s="25">
        <f t="shared" si="19"/>
        <v>57.6</v>
      </c>
      <c r="BG11" s="25">
        <f t="shared" si="12"/>
        <v>1600</v>
      </c>
      <c r="BH11" s="25">
        <f t="shared" si="13"/>
        <v>32</v>
      </c>
      <c r="BI11">
        <v>3</v>
      </c>
      <c r="BJ11">
        <f t="shared" si="14"/>
        <v>32</v>
      </c>
      <c r="BK11">
        <f t="shared" si="15"/>
        <v>1.6666666666666667</v>
      </c>
      <c r="BL11" s="20">
        <v>50</v>
      </c>
      <c r="BM11">
        <f t="shared" si="16"/>
        <v>1.6</v>
      </c>
      <c r="BN11" s="20">
        <v>48</v>
      </c>
      <c r="BO11" s="2">
        <v>1.2</v>
      </c>
      <c r="BP11">
        <v>0.9</v>
      </c>
      <c r="BQ11" s="26">
        <f t="shared" si="17"/>
        <v>1.1111111111111112</v>
      </c>
      <c r="BR11">
        <f t="shared" si="20"/>
        <v>62.4</v>
      </c>
      <c r="CB11" s="2" t="s">
        <v>138</v>
      </c>
      <c r="CC11" t="s">
        <v>142</v>
      </c>
      <c r="CE11" s="2" t="s">
        <v>138</v>
      </c>
      <c r="CF11" t="s">
        <v>142</v>
      </c>
    </row>
    <row r="12" spans="1:84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0"/>
        <v>1.3</v>
      </c>
      <c r="N12" s="2">
        <f t="shared" si="0"/>
        <v>1.5</v>
      </c>
      <c r="O12" s="2">
        <v>10</v>
      </c>
      <c r="P12" s="2">
        <f t="shared" si="1"/>
        <v>97.07</v>
      </c>
      <c r="Q12" s="2">
        <f t="shared" si="1"/>
        <v>9.7100000000000009</v>
      </c>
      <c r="R12" s="2">
        <f t="shared" si="1"/>
        <v>1344</v>
      </c>
      <c r="S12" s="2">
        <f t="shared" si="1"/>
        <v>134.4</v>
      </c>
      <c r="T12" s="2">
        <f t="shared" si="1"/>
        <v>32.36</v>
      </c>
      <c r="U12" s="2">
        <f t="shared" si="1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816</v>
      </c>
      <c r="AC12" s="12" t="s">
        <v>817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2"/>
        <v>38.523382799518714</v>
      </c>
      <c r="AL12">
        <v>9</v>
      </c>
      <c r="AM12">
        <f t="shared" si="8"/>
        <v>97.066666666666677</v>
      </c>
      <c r="AN12">
        <f t="shared" si="9"/>
        <v>9.7066666666666688</v>
      </c>
      <c r="AO12">
        <f t="shared" si="10"/>
        <v>1344</v>
      </c>
      <c r="AP12">
        <f t="shared" si="11"/>
        <v>134.4</v>
      </c>
      <c r="AQ12">
        <f t="shared" si="3"/>
        <v>32.355555555555561</v>
      </c>
      <c r="AR12">
        <f t="shared" si="4"/>
        <v>3.2355555555555564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AZ12" s="20">
        <v>2014</v>
      </c>
      <c r="BA12" s="59"/>
      <c r="BB12" s="20">
        <v>0.8</v>
      </c>
      <c r="BC12" s="20">
        <f t="shared" si="18"/>
        <v>1.25</v>
      </c>
      <c r="BD12" s="22">
        <v>2.6</v>
      </c>
      <c r="BE12" s="23">
        <v>1.8</v>
      </c>
      <c r="BF12" s="25">
        <f t="shared" si="19"/>
        <v>76.8</v>
      </c>
      <c r="BG12" s="25">
        <f t="shared" si="12"/>
        <v>1200</v>
      </c>
      <c r="BH12" s="25">
        <f t="shared" si="13"/>
        <v>29.538461538461537</v>
      </c>
      <c r="BI12">
        <v>3</v>
      </c>
      <c r="BJ12">
        <f t="shared" si="14"/>
        <v>42.666666666666664</v>
      </c>
      <c r="BK12">
        <f t="shared" si="15"/>
        <v>1.6666666666666667</v>
      </c>
      <c r="BL12" s="20">
        <v>50</v>
      </c>
      <c r="BM12">
        <f t="shared" si="16"/>
        <v>1.6</v>
      </c>
      <c r="BN12" s="20">
        <v>48</v>
      </c>
      <c r="BO12" s="2">
        <v>1.8</v>
      </c>
      <c r="BP12">
        <v>1.1000000000000001</v>
      </c>
      <c r="BQ12" s="26">
        <f t="shared" si="17"/>
        <v>0.90909090909090906</v>
      </c>
      <c r="BR12">
        <f t="shared" si="20"/>
        <v>83.2</v>
      </c>
      <c r="CB12" s="2" t="s">
        <v>143</v>
      </c>
      <c r="CC12" t="s">
        <v>147</v>
      </c>
      <c r="CE12" s="2" t="s">
        <v>143</v>
      </c>
      <c r="CF12" t="s">
        <v>147</v>
      </c>
    </row>
    <row r="13" spans="1:84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0"/>
        <v>1.3</v>
      </c>
      <c r="N13" s="2">
        <f t="shared" si="0"/>
        <v>1.5</v>
      </c>
      <c r="O13" s="2">
        <v>10</v>
      </c>
      <c r="P13" s="2">
        <f t="shared" si="1"/>
        <v>97.07</v>
      </c>
      <c r="Q13" s="2">
        <f t="shared" si="1"/>
        <v>9.7100000000000009</v>
      </c>
      <c r="R13" s="2">
        <f t="shared" si="1"/>
        <v>1344</v>
      </c>
      <c r="S13" s="2">
        <f t="shared" si="1"/>
        <v>134.4</v>
      </c>
      <c r="T13" s="2">
        <f t="shared" si="1"/>
        <v>32.36</v>
      </c>
      <c r="U13" s="2">
        <f t="shared" si="1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816</v>
      </c>
      <c r="AC13" s="12" t="s">
        <v>817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2"/>
        <v>38.523382799518714</v>
      </c>
      <c r="AL13">
        <v>10</v>
      </c>
      <c r="AM13">
        <f t="shared" si="8"/>
        <v>97.066666666666677</v>
      </c>
      <c r="AN13">
        <f t="shared" si="9"/>
        <v>9.7066666666666688</v>
      </c>
      <c r="AO13">
        <f t="shared" si="10"/>
        <v>1344</v>
      </c>
      <c r="AP13">
        <f t="shared" si="11"/>
        <v>134.4</v>
      </c>
      <c r="AQ13">
        <f t="shared" si="3"/>
        <v>32.355555555555561</v>
      </c>
      <c r="AR13">
        <f t="shared" si="4"/>
        <v>3.2355555555555564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AZ13" s="20">
        <v>2021</v>
      </c>
      <c r="BA13" s="59" t="s">
        <v>354</v>
      </c>
      <c r="BB13" s="20">
        <v>0.8</v>
      </c>
      <c r="BC13" s="20">
        <f t="shared" si="18"/>
        <v>1.25</v>
      </c>
      <c r="BD13" s="22">
        <v>4</v>
      </c>
      <c r="BE13" s="23">
        <v>1.8</v>
      </c>
      <c r="BF13" s="25">
        <f t="shared" si="19"/>
        <v>76.8</v>
      </c>
      <c r="BG13" s="25">
        <f t="shared" si="12"/>
        <v>1200</v>
      </c>
      <c r="BH13" s="25">
        <f t="shared" si="13"/>
        <v>19.2</v>
      </c>
      <c r="BI13">
        <v>3</v>
      </c>
      <c r="BJ13">
        <f t="shared" si="14"/>
        <v>42.666666666666664</v>
      </c>
      <c r="BK13">
        <f t="shared" si="15"/>
        <v>1.6666666666666667</v>
      </c>
      <c r="BL13" s="20">
        <v>50</v>
      </c>
      <c r="BM13">
        <f t="shared" si="16"/>
        <v>2</v>
      </c>
      <c r="BN13" s="20">
        <v>60</v>
      </c>
      <c r="BO13" s="2">
        <v>1.8</v>
      </c>
      <c r="BP13">
        <v>1.1000000000000001</v>
      </c>
      <c r="BQ13" s="26">
        <f t="shared" si="17"/>
        <v>0.90909090909090906</v>
      </c>
      <c r="BR13">
        <f t="shared" si="20"/>
        <v>83.2</v>
      </c>
      <c r="CB13" s="2" t="s">
        <v>148</v>
      </c>
      <c r="CC13" t="s">
        <v>152</v>
      </c>
      <c r="CE13" s="2" t="s">
        <v>148</v>
      </c>
      <c r="CF13" t="s">
        <v>152</v>
      </c>
    </row>
    <row r="14" spans="1:84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0"/>
        <v>1.3</v>
      </c>
      <c r="N14" s="2">
        <f t="shared" si="0"/>
        <v>1.5</v>
      </c>
      <c r="O14" s="2">
        <v>10</v>
      </c>
      <c r="P14" s="2">
        <f t="shared" si="1"/>
        <v>97.07</v>
      </c>
      <c r="Q14" s="2">
        <f t="shared" si="1"/>
        <v>9.7100000000000009</v>
      </c>
      <c r="R14" s="2">
        <f t="shared" si="1"/>
        <v>1344</v>
      </c>
      <c r="S14" s="2">
        <f t="shared" si="1"/>
        <v>134.4</v>
      </c>
      <c r="T14" s="2">
        <f t="shared" si="1"/>
        <v>32.36</v>
      </c>
      <c r="U14" s="2">
        <f t="shared" si="1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816</v>
      </c>
      <c r="AC14" s="12" t="s">
        <v>817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2"/>
        <v>38.523382799518714</v>
      </c>
      <c r="AL14">
        <v>11</v>
      </c>
      <c r="AM14">
        <f t="shared" si="8"/>
        <v>97.066666666666677</v>
      </c>
      <c r="AN14">
        <f t="shared" si="9"/>
        <v>9.7066666666666688</v>
      </c>
      <c r="AO14">
        <f t="shared" si="10"/>
        <v>1344</v>
      </c>
      <c r="AP14">
        <f t="shared" si="11"/>
        <v>134.4</v>
      </c>
      <c r="AQ14">
        <f t="shared" si="3"/>
        <v>32.355555555555561</v>
      </c>
      <c r="AR14">
        <f t="shared" si="4"/>
        <v>3.2355555555555564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AZ14" s="20">
        <v>2022</v>
      </c>
      <c r="BA14" s="59"/>
      <c r="BB14" s="20">
        <v>1.1499999999999999</v>
      </c>
      <c r="BC14" s="20">
        <f t="shared" si="18"/>
        <v>0.86956521739130443</v>
      </c>
      <c r="BD14" s="22">
        <v>5</v>
      </c>
      <c r="BE14" s="23">
        <v>1.8</v>
      </c>
      <c r="BF14" s="25">
        <f t="shared" si="19"/>
        <v>110.39999999999999</v>
      </c>
      <c r="BG14" s="25">
        <f t="shared" si="12"/>
        <v>834.78260869565224</v>
      </c>
      <c r="BH14" s="25">
        <f t="shared" si="13"/>
        <v>22.08</v>
      </c>
      <c r="BI14">
        <v>3</v>
      </c>
      <c r="BJ14">
        <f t="shared" si="14"/>
        <v>61.333333333333329</v>
      </c>
      <c r="BK14">
        <f t="shared" si="15"/>
        <v>1.6666666666666667</v>
      </c>
      <c r="BL14" s="20">
        <v>50</v>
      </c>
      <c r="BM14">
        <f t="shared" si="16"/>
        <v>2</v>
      </c>
      <c r="BN14" s="20">
        <v>60</v>
      </c>
      <c r="BO14" s="2">
        <v>1.8</v>
      </c>
      <c r="BP14">
        <v>1.1000000000000001</v>
      </c>
      <c r="BQ14" s="26">
        <f t="shared" si="17"/>
        <v>0.90909090909090906</v>
      </c>
      <c r="BR14">
        <f t="shared" si="20"/>
        <v>119.6</v>
      </c>
      <c r="CB14" s="2" t="s">
        <v>153</v>
      </c>
      <c r="CC14" t="s">
        <v>156</v>
      </c>
      <c r="CE14" s="2" t="s">
        <v>153</v>
      </c>
      <c r="CF14" t="s">
        <v>156</v>
      </c>
    </row>
    <row r="15" spans="1:84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0"/>
        <v>1.3</v>
      </c>
      <c r="N15" s="2">
        <f t="shared" si="0"/>
        <v>1.5</v>
      </c>
      <c r="O15" s="2">
        <v>10</v>
      </c>
      <c r="P15" s="2">
        <f t="shared" si="1"/>
        <v>97.07</v>
      </c>
      <c r="Q15" s="2">
        <f t="shared" si="1"/>
        <v>9.7100000000000009</v>
      </c>
      <c r="R15" s="2">
        <f t="shared" si="1"/>
        <v>1344</v>
      </c>
      <c r="S15" s="2">
        <f t="shared" si="1"/>
        <v>134.4</v>
      </c>
      <c r="T15" s="2">
        <f t="shared" si="1"/>
        <v>32.36</v>
      </c>
      <c r="U15" s="2">
        <f t="shared" si="1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816</v>
      </c>
      <c r="AC15" s="12" t="s">
        <v>817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2"/>
        <v>38.523382799518714</v>
      </c>
      <c r="AL15">
        <v>12</v>
      </c>
      <c r="AM15">
        <f t="shared" si="8"/>
        <v>97.066666666666677</v>
      </c>
      <c r="AN15">
        <f t="shared" si="9"/>
        <v>9.7066666666666688</v>
      </c>
      <c r="AO15">
        <f t="shared" si="10"/>
        <v>1344</v>
      </c>
      <c r="AP15">
        <f t="shared" si="11"/>
        <v>134.4</v>
      </c>
      <c r="AQ15">
        <f t="shared" si="3"/>
        <v>32.355555555555561</v>
      </c>
      <c r="AR15">
        <f t="shared" si="4"/>
        <v>3.2355555555555564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AZ15" s="20">
        <v>2023</v>
      </c>
      <c r="BA15" s="59"/>
      <c r="BB15" s="20">
        <v>0.9</v>
      </c>
      <c r="BC15" s="20">
        <f t="shared" si="18"/>
        <v>1.1111111111111112</v>
      </c>
      <c r="BD15" s="22">
        <v>3</v>
      </c>
      <c r="BE15" s="23">
        <v>1.8</v>
      </c>
      <c r="BF15" s="25">
        <f t="shared" si="19"/>
        <v>86.399999999999991</v>
      </c>
      <c r="BG15" s="25">
        <f t="shared" si="12"/>
        <v>1066.6666666666667</v>
      </c>
      <c r="BH15" s="25">
        <f t="shared" si="13"/>
        <v>28.799999999999997</v>
      </c>
      <c r="BI15">
        <v>3</v>
      </c>
      <c r="BJ15">
        <f t="shared" si="14"/>
        <v>47.999999999999993</v>
      </c>
      <c r="BK15">
        <f t="shared" si="15"/>
        <v>1.6666666666666667</v>
      </c>
      <c r="BL15" s="20">
        <v>50</v>
      </c>
      <c r="BM15">
        <f t="shared" si="16"/>
        <v>2</v>
      </c>
      <c r="BN15" s="20">
        <v>60</v>
      </c>
      <c r="BO15" s="2">
        <v>1.5</v>
      </c>
      <c r="BP15">
        <v>1.2</v>
      </c>
      <c r="BQ15" s="26">
        <f t="shared" si="17"/>
        <v>0.83333333333333337</v>
      </c>
      <c r="BR15">
        <f t="shared" si="20"/>
        <v>93.600000000000009</v>
      </c>
      <c r="CB15" s="2" t="s">
        <v>157</v>
      </c>
      <c r="CC15" t="s">
        <v>160</v>
      </c>
      <c r="CE15" s="2" t="s">
        <v>157</v>
      </c>
      <c r="CF15" t="s">
        <v>160</v>
      </c>
    </row>
    <row r="16" spans="1:84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0"/>
        <v>1.3</v>
      </c>
      <c r="N16" s="2">
        <f t="shared" si="0"/>
        <v>1.5</v>
      </c>
      <c r="O16" s="2">
        <v>10</v>
      </c>
      <c r="P16" s="2">
        <f t="shared" si="1"/>
        <v>97.07</v>
      </c>
      <c r="Q16" s="2">
        <f t="shared" si="1"/>
        <v>9.7100000000000009</v>
      </c>
      <c r="R16" s="2">
        <f t="shared" si="1"/>
        <v>1344</v>
      </c>
      <c r="S16" s="2">
        <f t="shared" si="1"/>
        <v>134.4</v>
      </c>
      <c r="T16" s="2">
        <f t="shared" si="1"/>
        <v>32.36</v>
      </c>
      <c r="U16" s="2">
        <f t="shared" si="1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816</v>
      </c>
      <c r="AC16" s="12" t="s">
        <v>817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2"/>
        <v>38.523382799518714</v>
      </c>
      <c r="AL16">
        <v>13</v>
      </c>
      <c r="AM16">
        <f t="shared" si="8"/>
        <v>97.066666666666677</v>
      </c>
      <c r="AN16">
        <f t="shared" si="9"/>
        <v>9.7066666666666688</v>
      </c>
      <c r="AO16">
        <f t="shared" si="10"/>
        <v>1344</v>
      </c>
      <c r="AP16">
        <f t="shared" si="11"/>
        <v>134.4</v>
      </c>
      <c r="AQ16">
        <f t="shared" si="3"/>
        <v>32.355555555555561</v>
      </c>
      <c r="AR16">
        <f t="shared" si="4"/>
        <v>3.2355555555555564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AZ16" s="20">
        <v>2023</v>
      </c>
      <c r="BA16" s="59"/>
      <c r="BB16" s="20">
        <v>0.9</v>
      </c>
      <c r="BC16" s="20">
        <f t="shared" si="18"/>
        <v>1.1111111111111112</v>
      </c>
      <c r="BD16" s="22">
        <v>3</v>
      </c>
      <c r="BE16" s="23">
        <v>1.8</v>
      </c>
      <c r="BF16" s="25">
        <f t="shared" si="19"/>
        <v>86.399999999999991</v>
      </c>
      <c r="BG16" s="25">
        <f t="shared" si="12"/>
        <v>1066.6666666666667</v>
      </c>
      <c r="BH16" s="25">
        <f t="shared" si="13"/>
        <v>28.799999999999997</v>
      </c>
      <c r="BI16">
        <v>3</v>
      </c>
      <c r="BJ16">
        <f t="shared" si="14"/>
        <v>47.999999999999993</v>
      </c>
      <c r="BK16">
        <f t="shared" si="15"/>
        <v>1.6666666666666667</v>
      </c>
      <c r="BL16" s="20">
        <v>50</v>
      </c>
      <c r="BM16">
        <f t="shared" si="16"/>
        <v>2</v>
      </c>
      <c r="BN16" s="20">
        <v>60</v>
      </c>
      <c r="BO16" s="2">
        <v>1.5</v>
      </c>
      <c r="BP16">
        <v>1.2</v>
      </c>
      <c r="BQ16" s="26">
        <f t="shared" si="17"/>
        <v>0.83333333333333337</v>
      </c>
      <c r="BR16">
        <f t="shared" si="20"/>
        <v>93.600000000000009</v>
      </c>
      <c r="CB16" s="2" t="s">
        <v>157</v>
      </c>
      <c r="CC16" t="s">
        <v>160</v>
      </c>
      <c r="CE16" s="2" t="s">
        <v>157</v>
      </c>
      <c r="CF16" t="s">
        <v>160</v>
      </c>
    </row>
    <row r="17" spans="1:84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0"/>
        <v>1.3</v>
      </c>
      <c r="N17" s="2">
        <f t="shared" si="0"/>
        <v>1.5</v>
      </c>
      <c r="O17" s="2">
        <v>10</v>
      </c>
      <c r="P17" s="2">
        <f t="shared" si="1"/>
        <v>97.07</v>
      </c>
      <c r="Q17" s="2">
        <f t="shared" si="1"/>
        <v>9.7100000000000009</v>
      </c>
      <c r="R17" s="2">
        <f t="shared" si="1"/>
        <v>1344</v>
      </c>
      <c r="S17" s="2">
        <f t="shared" si="1"/>
        <v>134.4</v>
      </c>
      <c r="T17" s="2">
        <f t="shared" si="1"/>
        <v>32.36</v>
      </c>
      <c r="U17" s="2">
        <f t="shared" si="1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816</v>
      </c>
      <c r="AC17" s="12" t="s">
        <v>817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2"/>
        <v>38.523382799518714</v>
      </c>
      <c r="AL17">
        <v>13</v>
      </c>
      <c r="AM17">
        <f t="shared" si="8"/>
        <v>97.066666666666677</v>
      </c>
      <c r="AN17">
        <f t="shared" si="9"/>
        <v>9.7066666666666688</v>
      </c>
      <c r="AO17">
        <f t="shared" si="10"/>
        <v>1344</v>
      </c>
      <c r="AP17">
        <f t="shared" si="11"/>
        <v>134.4</v>
      </c>
      <c r="AQ17">
        <f t="shared" si="3"/>
        <v>32.355555555555561</v>
      </c>
      <c r="AR17">
        <f t="shared" si="4"/>
        <v>3.2355555555555564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AZ17" s="20">
        <v>2023</v>
      </c>
      <c r="BA17" s="59"/>
      <c r="BB17" s="20">
        <v>0.9</v>
      </c>
      <c r="BC17" s="20">
        <f t="shared" si="18"/>
        <v>1.1111111111111112</v>
      </c>
      <c r="BD17" s="22">
        <v>3</v>
      </c>
      <c r="BE17" s="23">
        <v>1.8</v>
      </c>
      <c r="BF17" s="25">
        <f t="shared" si="19"/>
        <v>86.399999999999991</v>
      </c>
      <c r="BG17" s="25">
        <f t="shared" si="12"/>
        <v>1066.6666666666667</v>
      </c>
      <c r="BH17" s="25">
        <f t="shared" si="13"/>
        <v>28.799999999999997</v>
      </c>
      <c r="BI17">
        <v>3</v>
      </c>
      <c r="BJ17">
        <f t="shared" si="14"/>
        <v>47.999999999999993</v>
      </c>
      <c r="BK17">
        <f t="shared" si="15"/>
        <v>1.6666666666666667</v>
      </c>
      <c r="BL17" s="20">
        <v>50</v>
      </c>
      <c r="BM17">
        <f t="shared" si="16"/>
        <v>2</v>
      </c>
      <c r="BN17" s="20">
        <v>60</v>
      </c>
      <c r="BO17" s="2">
        <v>1.5</v>
      </c>
      <c r="BP17">
        <v>1.2</v>
      </c>
      <c r="BQ17" s="26">
        <f t="shared" si="17"/>
        <v>0.83333333333333337</v>
      </c>
      <c r="BR17">
        <f t="shared" si="20"/>
        <v>93.600000000000009</v>
      </c>
      <c r="CB17" s="2" t="s">
        <v>157</v>
      </c>
      <c r="CC17" t="s">
        <v>160</v>
      </c>
      <c r="CE17" s="2" t="s">
        <v>157</v>
      </c>
      <c r="CF17" t="s">
        <v>160</v>
      </c>
    </row>
    <row r="18" spans="1:84">
      <c r="A18">
        <f t="shared" ref="A18:A81" si="21">AX18*1000000+C18*10000+E18*1000+D18*100+AW18</f>
        <v>1011203</v>
      </c>
      <c r="B18" s="3" t="s">
        <v>235</v>
      </c>
      <c r="C18">
        <v>1</v>
      </c>
      <c r="D18">
        <v>2</v>
      </c>
      <c r="E18">
        <v>1</v>
      </c>
      <c r="F18" s="3" t="s">
        <v>236</v>
      </c>
      <c r="G18" s="4" t="s">
        <v>237</v>
      </c>
      <c r="H18" s="3">
        <v>0</v>
      </c>
      <c r="I18">
        <v>30</v>
      </c>
      <c r="J18">
        <v>0</v>
      </c>
      <c r="K18" s="2">
        <v>0</v>
      </c>
      <c r="L18" s="2">
        <f t="shared" ref="L18:L81" si="22">AU18</f>
        <v>3</v>
      </c>
      <c r="M18" s="2">
        <f t="shared" si="0"/>
        <v>1.3</v>
      </c>
      <c r="N18" s="2">
        <f t="shared" si="0"/>
        <v>1.9000000000000001</v>
      </c>
      <c r="O18" s="2">
        <v>10</v>
      </c>
      <c r="P18" s="2">
        <f t="shared" si="1"/>
        <v>65.87</v>
      </c>
      <c r="Q18" s="2">
        <f t="shared" si="1"/>
        <v>6.59</v>
      </c>
      <c r="R18" s="2">
        <f t="shared" si="1"/>
        <v>1010.53</v>
      </c>
      <c r="S18" s="2">
        <f t="shared" si="1"/>
        <v>101.05</v>
      </c>
      <c r="T18" s="2">
        <f t="shared" si="1"/>
        <v>13.17</v>
      </c>
      <c r="U18" s="2">
        <f t="shared" si="1"/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3">
        <v>112031</v>
      </c>
      <c r="AB18" s="14">
        <v>0</v>
      </c>
      <c r="AC18" s="12" t="s">
        <v>238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si="2"/>
        <v>19.571601109562319</v>
      </c>
      <c r="AL18">
        <v>1</v>
      </c>
      <c r="AM18">
        <f t="shared" ref="AM18:AM81" si="23">INDEX($BB$5:$BB$58,MATCH($AV18,$AZ$5:$AZ$58,0))*$AS18/1.5*$BF$4*INDEX($BB$109:$BO$109,MATCH($AL18,$BB$108:$BO$108,0))</f>
        <v>65.86666666666666</v>
      </c>
      <c r="AN18">
        <f t="shared" ref="AN18:AN81" si="24">(INDEX($BB$5:$BB$58,MATCH($AV18,$AZ$5:$AZ$58,0))*$AS18/1.5*$BF$4*INDEX($BB$109:$BO$109,MATCH($AL18,$BB$108:$BO$108,0)))*0.1</f>
        <v>6.586666666666666</v>
      </c>
      <c r="AO18">
        <f t="shared" ref="AO18:AO81" si="25">INDEX($BC$5:$BC$58,MATCH($AV18,$AZ$5:$AZ$58,0))*$BG$4*INDEX($BB$109:$BO$109,MATCH($AL18,$BB$108:$BO$108,0))</f>
        <v>1010.5263157894736</v>
      </c>
      <c r="AP18">
        <f t="shared" ref="AP18:AP81" si="26">(INDEX($BC$5:$BC$58,MATCH($AV18,$AZ$5:$AZ$58,0))*$BG$4*INDEX($BB$109:$BO$109,MATCH($AL18,$BB$108:$BO$108,0)))*0.1</f>
        <v>101.05263157894737</v>
      </c>
      <c r="AQ18">
        <f t="shared" si="3"/>
        <v>13.173333333333332</v>
      </c>
      <c r="AR18">
        <f t="shared" si="4"/>
        <v>1.3173333333333332</v>
      </c>
      <c r="AS18">
        <f t="shared" si="5"/>
        <v>1.3</v>
      </c>
      <c r="AT18">
        <f t="shared" si="6"/>
        <v>1.9</v>
      </c>
      <c r="AU18">
        <f t="shared" si="7"/>
        <v>3</v>
      </c>
      <c r="AV18">
        <v>203</v>
      </c>
      <c r="AW18" s="1">
        <v>3</v>
      </c>
      <c r="AX18">
        <v>1</v>
      </c>
      <c r="AY18">
        <v>0</v>
      </c>
      <c r="AZ18" s="20">
        <v>2025</v>
      </c>
      <c r="BA18" s="59"/>
      <c r="BB18" s="20">
        <v>0.9</v>
      </c>
      <c r="BC18" s="20">
        <f t="shared" si="18"/>
        <v>1.1111111111111112</v>
      </c>
      <c r="BD18" s="22">
        <v>3</v>
      </c>
      <c r="BE18" s="23">
        <v>1.8</v>
      </c>
      <c r="BF18" s="25">
        <f t="shared" si="19"/>
        <v>86.399999999999991</v>
      </c>
      <c r="BG18" s="25">
        <f t="shared" si="12"/>
        <v>1066.6666666666667</v>
      </c>
      <c r="BH18" s="25">
        <f t="shared" si="13"/>
        <v>28.799999999999997</v>
      </c>
      <c r="BI18">
        <v>3</v>
      </c>
      <c r="BJ18">
        <f t="shared" si="14"/>
        <v>47.999999999999993</v>
      </c>
      <c r="BK18">
        <f t="shared" si="15"/>
        <v>1.6666666666666667</v>
      </c>
      <c r="BL18" s="20">
        <v>50</v>
      </c>
      <c r="BM18">
        <f t="shared" si="16"/>
        <v>2</v>
      </c>
      <c r="BN18" s="20">
        <v>60</v>
      </c>
      <c r="BO18" s="2">
        <v>1.5</v>
      </c>
      <c r="BP18">
        <v>1.2</v>
      </c>
      <c r="BQ18" s="26">
        <f t="shared" si="17"/>
        <v>0.83333333333333337</v>
      </c>
      <c r="BR18">
        <f t="shared" si="20"/>
        <v>93.600000000000009</v>
      </c>
      <c r="CB18" s="2" t="s">
        <v>245</v>
      </c>
      <c r="CC18" s="3" t="s">
        <v>246</v>
      </c>
      <c r="CE18" t="str">
        <f>INDEX($CB$18:$CB$59,MATCH($CF18,$CC$18:$CC$59,0))</f>
        <v>DATA_Class_Base7</v>
      </c>
      <c r="CF18" s="3" t="s">
        <v>205</v>
      </c>
    </row>
    <row r="19" spans="1:84">
      <c r="A19">
        <f t="shared" si="21"/>
        <v>1011403</v>
      </c>
      <c r="B19" s="3" t="s">
        <v>239</v>
      </c>
      <c r="C19">
        <v>1</v>
      </c>
      <c r="D19">
        <v>4</v>
      </c>
      <c r="E19">
        <v>1</v>
      </c>
      <c r="F19" s="3" t="s">
        <v>240</v>
      </c>
      <c r="G19" s="4" t="s">
        <v>241</v>
      </c>
      <c r="H19" s="3">
        <v>-15</v>
      </c>
      <c r="I19">
        <v>30</v>
      </c>
      <c r="J19" s="2">
        <v>0</v>
      </c>
      <c r="K19" s="2" t="s">
        <v>161</v>
      </c>
      <c r="L19" s="2">
        <f t="shared" si="22"/>
        <v>6</v>
      </c>
      <c r="M19" s="2">
        <f t="shared" si="0"/>
        <v>1.3</v>
      </c>
      <c r="N19" s="2">
        <f t="shared" si="0"/>
        <v>1.9000000000000001</v>
      </c>
      <c r="O19" s="2">
        <v>10</v>
      </c>
      <c r="P19" s="2">
        <f t="shared" si="1"/>
        <v>83.2</v>
      </c>
      <c r="Q19" s="2">
        <f t="shared" si="1"/>
        <v>8.32</v>
      </c>
      <c r="R19" s="2">
        <f t="shared" si="1"/>
        <v>800</v>
      </c>
      <c r="S19" s="2">
        <f t="shared" si="1"/>
        <v>80</v>
      </c>
      <c r="T19" s="2">
        <f t="shared" si="1"/>
        <v>8.32</v>
      </c>
      <c r="U19" s="2">
        <f t="shared" si="1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3">
        <v>114031</v>
      </c>
      <c r="AB19" s="14">
        <v>0</v>
      </c>
      <c r="AC19" s="12" t="s">
        <v>238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2"/>
        <v>19.550665538201127</v>
      </c>
      <c r="AL19">
        <v>1</v>
      </c>
      <c r="AM19">
        <f t="shared" si="23"/>
        <v>83.2</v>
      </c>
      <c r="AN19">
        <f t="shared" si="24"/>
        <v>8.32</v>
      </c>
      <c r="AO19">
        <f t="shared" si="25"/>
        <v>800</v>
      </c>
      <c r="AP19">
        <f t="shared" si="26"/>
        <v>80</v>
      </c>
      <c r="AQ19">
        <f t="shared" si="3"/>
        <v>8.32</v>
      </c>
      <c r="AR19">
        <f t="shared" si="4"/>
        <v>0.83200000000000007</v>
      </c>
      <c r="AS19">
        <f t="shared" si="5"/>
        <v>1.3</v>
      </c>
      <c r="AT19">
        <f t="shared" si="6"/>
        <v>1.9</v>
      </c>
      <c r="AU19">
        <f t="shared" si="7"/>
        <v>6</v>
      </c>
      <c r="AV19">
        <v>403</v>
      </c>
      <c r="AW19" s="1">
        <v>3</v>
      </c>
      <c r="AX19">
        <v>1</v>
      </c>
      <c r="AY19">
        <v>0</v>
      </c>
      <c r="AZ19" s="23">
        <v>3005</v>
      </c>
      <c r="BA19" s="21" t="s">
        <v>360</v>
      </c>
      <c r="BB19" s="20">
        <v>1.1499999999999999</v>
      </c>
      <c r="BC19" s="20">
        <f t="shared" si="18"/>
        <v>0.86956521739130443</v>
      </c>
      <c r="BD19" s="22">
        <v>8</v>
      </c>
      <c r="BE19" s="23">
        <v>1.3</v>
      </c>
      <c r="BF19" s="25">
        <f t="shared" si="19"/>
        <v>79.733333333333334</v>
      </c>
      <c r="BG19" s="25">
        <f t="shared" si="12"/>
        <v>834.78260869565224</v>
      </c>
      <c r="BH19" s="25">
        <f t="shared" si="13"/>
        <v>9.9666666666666668</v>
      </c>
      <c r="BI19">
        <v>6</v>
      </c>
      <c r="BJ19">
        <f t="shared" si="14"/>
        <v>61.333333333333329</v>
      </c>
      <c r="BK19">
        <f t="shared" si="15"/>
        <v>1</v>
      </c>
      <c r="BL19" s="20">
        <v>30</v>
      </c>
      <c r="BM19">
        <f t="shared" si="16"/>
        <v>2.5</v>
      </c>
      <c r="BN19" s="20">
        <v>75</v>
      </c>
      <c r="BO19" s="2">
        <v>1.2</v>
      </c>
      <c r="BP19">
        <v>1.2</v>
      </c>
      <c r="BQ19" s="26">
        <f t="shared" si="17"/>
        <v>0.83333333333333337</v>
      </c>
      <c r="BR19">
        <f t="shared" si="20"/>
        <v>73.599999999999994</v>
      </c>
      <c r="CB19" s="2" t="s">
        <v>251</v>
      </c>
      <c r="CC19" s="3" t="s">
        <v>252</v>
      </c>
      <c r="CE19" t="str">
        <f t="shared" ref="CE19:CE82" si="27">INDEX($CB$18:$CB$59,MATCH($CF19,$CC$18:$CC$59,0))</f>
        <v>DATA_Class_Base8</v>
      </c>
      <c r="CF19" s="3" t="s">
        <v>216</v>
      </c>
    </row>
    <row r="20" spans="1:84">
      <c r="A20">
        <f t="shared" si="21"/>
        <v>1012205</v>
      </c>
      <c r="B20" s="3" t="s">
        <v>242</v>
      </c>
      <c r="C20">
        <v>1</v>
      </c>
      <c r="D20">
        <v>2</v>
      </c>
      <c r="E20">
        <v>2</v>
      </c>
      <c r="F20" s="3" t="s">
        <v>243</v>
      </c>
      <c r="G20" s="4" t="s">
        <v>244</v>
      </c>
      <c r="H20" s="3">
        <v>-15</v>
      </c>
      <c r="I20">
        <v>30</v>
      </c>
      <c r="J20">
        <v>0</v>
      </c>
      <c r="K20" s="2">
        <v>0</v>
      </c>
      <c r="L20" s="2">
        <f t="shared" si="22"/>
        <v>3</v>
      </c>
      <c r="M20" s="2">
        <f t="shared" ref="M20:N72" si="28">FLOOR(AS20/1,0.01)</f>
        <v>1.8</v>
      </c>
      <c r="N20" s="2">
        <f t="shared" si="28"/>
        <v>2</v>
      </c>
      <c r="O20" s="2">
        <v>10</v>
      </c>
      <c r="P20" s="2">
        <f t="shared" ref="P20:U62" si="29">ROUND(AM20*(1+$AY20),2)</f>
        <v>100.8</v>
      </c>
      <c r="Q20" s="2">
        <f t="shared" si="29"/>
        <v>10.08</v>
      </c>
      <c r="R20" s="2">
        <f t="shared" si="29"/>
        <v>914.29</v>
      </c>
      <c r="S20" s="2">
        <f t="shared" si="29"/>
        <v>91.43</v>
      </c>
      <c r="T20" s="2">
        <f t="shared" si="29"/>
        <v>20.16</v>
      </c>
      <c r="U20" s="2">
        <f t="shared" si="29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3">
        <v>122051</v>
      </c>
      <c r="AB20" s="14">
        <v>0</v>
      </c>
      <c r="AC20" s="12" t="s">
        <v>238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2"/>
        <v>19.601817983118728</v>
      </c>
      <c r="AL20">
        <v>1</v>
      </c>
      <c r="AM20">
        <f t="shared" si="23"/>
        <v>100.8</v>
      </c>
      <c r="AN20">
        <f t="shared" si="24"/>
        <v>10.08</v>
      </c>
      <c r="AO20">
        <f t="shared" si="25"/>
        <v>914.28571428571422</v>
      </c>
      <c r="AP20">
        <f t="shared" si="26"/>
        <v>91.428571428571431</v>
      </c>
      <c r="AQ20">
        <f t="shared" si="3"/>
        <v>20.16</v>
      </c>
      <c r="AR20">
        <f t="shared" si="4"/>
        <v>2.016</v>
      </c>
      <c r="AS20">
        <f t="shared" si="5"/>
        <v>1.8</v>
      </c>
      <c r="AT20">
        <f t="shared" si="6"/>
        <v>2</v>
      </c>
      <c r="AU20">
        <f t="shared" si="7"/>
        <v>3</v>
      </c>
      <c r="AV20">
        <v>205</v>
      </c>
      <c r="AW20" s="1">
        <v>5</v>
      </c>
      <c r="AX20">
        <v>1</v>
      </c>
      <c r="AY20">
        <v>0</v>
      </c>
      <c r="AZ20" s="20">
        <v>3011</v>
      </c>
      <c r="BA20" s="59" t="s">
        <v>165</v>
      </c>
      <c r="BB20" s="20">
        <v>1.1000000000000001</v>
      </c>
      <c r="BC20" s="20">
        <f t="shared" si="18"/>
        <v>0.90909090909090906</v>
      </c>
      <c r="BD20" s="22">
        <v>6</v>
      </c>
      <c r="BE20" s="23">
        <v>1.2</v>
      </c>
      <c r="BF20" s="25">
        <f t="shared" si="19"/>
        <v>70.399999999999991</v>
      </c>
      <c r="BG20" s="25">
        <f t="shared" si="12"/>
        <v>872.72727272727275</v>
      </c>
      <c r="BH20" s="25">
        <f t="shared" si="13"/>
        <v>11.733333333333333</v>
      </c>
      <c r="BI20">
        <v>3</v>
      </c>
      <c r="BJ20">
        <f t="shared" si="14"/>
        <v>58.666666666666664</v>
      </c>
      <c r="BK20">
        <f t="shared" si="15"/>
        <v>1.2</v>
      </c>
      <c r="BL20" s="20">
        <v>36</v>
      </c>
      <c r="BM20">
        <f t="shared" si="16"/>
        <v>2.5</v>
      </c>
      <c r="BN20" s="20">
        <v>75</v>
      </c>
      <c r="BO20" s="2">
        <v>1.5</v>
      </c>
      <c r="BP20">
        <v>1</v>
      </c>
      <c r="BQ20" s="26">
        <f t="shared" si="17"/>
        <v>1</v>
      </c>
      <c r="BR20">
        <f t="shared" si="20"/>
        <v>61.600000000000009</v>
      </c>
      <c r="CB20" s="2" t="s">
        <v>242</v>
      </c>
      <c r="CC20" t="s">
        <v>209</v>
      </c>
      <c r="CE20" t="str">
        <f t="shared" si="27"/>
        <v>DATA_Class_Base3</v>
      </c>
      <c r="CF20" s="3" t="s">
        <v>209</v>
      </c>
    </row>
    <row r="21" spans="1:84">
      <c r="A21">
        <f t="shared" si="21"/>
        <v>1012405</v>
      </c>
      <c r="B21" s="3" t="s">
        <v>247</v>
      </c>
      <c r="C21">
        <v>1</v>
      </c>
      <c r="D21">
        <v>4</v>
      </c>
      <c r="E21">
        <v>2</v>
      </c>
      <c r="F21" s="3" t="s">
        <v>248</v>
      </c>
      <c r="G21" s="3" t="s">
        <v>249</v>
      </c>
      <c r="H21" s="3">
        <v>0</v>
      </c>
      <c r="I21">
        <v>15</v>
      </c>
      <c r="J21">
        <v>0</v>
      </c>
      <c r="K21" s="2" t="s">
        <v>250</v>
      </c>
      <c r="L21" s="2">
        <f t="shared" si="22"/>
        <v>6</v>
      </c>
      <c r="M21" s="2">
        <f t="shared" si="28"/>
        <v>1.5</v>
      </c>
      <c r="N21" s="2">
        <f t="shared" si="28"/>
        <v>1.5</v>
      </c>
      <c r="O21" s="2">
        <v>10</v>
      </c>
      <c r="P21" s="2">
        <f t="shared" si="29"/>
        <v>100</v>
      </c>
      <c r="Q21" s="2">
        <f t="shared" si="29"/>
        <v>10</v>
      </c>
      <c r="R21" s="2">
        <f t="shared" si="29"/>
        <v>768</v>
      </c>
      <c r="S21" s="2">
        <f t="shared" si="29"/>
        <v>76.8</v>
      </c>
      <c r="T21" s="2">
        <f t="shared" si="29"/>
        <v>10</v>
      </c>
      <c r="U21" s="2">
        <f t="shared" si="29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3">
        <v>124051</v>
      </c>
      <c r="AB21" s="14">
        <v>0</v>
      </c>
      <c r="AC21" s="12" t="s">
        <v>238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2"/>
        <v>19.557907396271801</v>
      </c>
      <c r="AL21">
        <v>1</v>
      </c>
      <c r="AM21">
        <f t="shared" si="23"/>
        <v>100</v>
      </c>
      <c r="AN21">
        <f t="shared" si="24"/>
        <v>10</v>
      </c>
      <c r="AO21">
        <f t="shared" si="25"/>
        <v>768</v>
      </c>
      <c r="AP21">
        <f t="shared" si="26"/>
        <v>76.800000000000011</v>
      </c>
      <c r="AQ21">
        <f t="shared" si="3"/>
        <v>10</v>
      </c>
      <c r="AR21">
        <f t="shared" si="4"/>
        <v>1</v>
      </c>
      <c r="AS21">
        <f t="shared" si="5"/>
        <v>1.5</v>
      </c>
      <c r="AT21">
        <f t="shared" si="6"/>
        <v>1.5</v>
      </c>
      <c r="AU21">
        <f t="shared" si="7"/>
        <v>6</v>
      </c>
      <c r="AV21">
        <v>405</v>
      </c>
      <c r="AW21" s="1">
        <v>5</v>
      </c>
      <c r="AX21">
        <v>1</v>
      </c>
      <c r="AY21">
        <v>0</v>
      </c>
      <c r="AZ21" s="20">
        <v>3012</v>
      </c>
      <c r="BA21" s="59"/>
      <c r="BB21" s="20">
        <v>1.3</v>
      </c>
      <c r="BC21" s="20">
        <f t="shared" si="18"/>
        <v>0.76923076923076916</v>
      </c>
      <c r="BD21" s="22">
        <v>6</v>
      </c>
      <c r="BE21" s="23">
        <v>1.2</v>
      </c>
      <c r="BF21" s="25">
        <f t="shared" si="19"/>
        <v>83.2</v>
      </c>
      <c r="BG21" s="25">
        <f t="shared" si="12"/>
        <v>738.46153846153834</v>
      </c>
      <c r="BH21" s="25">
        <f t="shared" si="13"/>
        <v>13.866666666666667</v>
      </c>
      <c r="BI21">
        <v>3</v>
      </c>
      <c r="BJ21">
        <f t="shared" si="14"/>
        <v>69.333333333333343</v>
      </c>
      <c r="BK21">
        <f t="shared" si="15"/>
        <v>1.2</v>
      </c>
      <c r="BL21" s="20">
        <v>36</v>
      </c>
      <c r="BM21">
        <f t="shared" si="16"/>
        <v>1.5</v>
      </c>
      <c r="BN21" s="20">
        <v>45</v>
      </c>
      <c r="BO21" s="2">
        <v>1.5</v>
      </c>
      <c r="BP21">
        <v>1</v>
      </c>
      <c r="BQ21" s="26">
        <f t="shared" si="17"/>
        <v>1</v>
      </c>
      <c r="BR21">
        <f t="shared" si="20"/>
        <v>72.8</v>
      </c>
      <c r="CB21" s="2" t="s">
        <v>256</v>
      </c>
      <c r="CC21" t="s">
        <v>259</v>
      </c>
      <c r="CE21" t="str">
        <f t="shared" si="27"/>
        <v>DATA_Class_Base11</v>
      </c>
      <c r="CF21" s="3" t="s">
        <v>218</v>
      </c>
    </row>
    <row r="22" spans="1:84">
      <c r="A22">
        <f t="shared" si="21"/>
        <v>1013303</v>
      </c>
      <c r="B22" s="3" t="s">
        <v>253</v>
      </c>
      <c r="C22">
        <v>1</v>
      </c>
      <c r="D22">
        <v>3</v>
      </c>
      <c r="E22">
        <v>3</v>
      </c>
      <c r="F22" s="3" t="s">
        <v>254</v>
      </c>
      <c r="G22" s="3" t="s">
        <v>255</v>
      </c>
      <c r="H22" s="3">
        <v>0</v>
      </c>
      <c r="I22">
        <v>15</v>
      </c>
      <c r="J22" s="2">
        <v>0</v>
      </c>
      <c r="K22" s="2">
        <v>0</v>
      </c>
      <c r="L22" s="2">
        <f t="shared" si="22"/>
        <v>3</v>
      </c>
      <c r="M22" s="2">
        <f t="shared" si="28"/>
        <v>1.3</v>
      </c>
      <c r="N22" s="2">
        <f t="shared" si="28"/>
        <v>1.4000000000000001</v>
      </c>
      <c r="O22" s="2">
        <v>10</v>
      </c>
      <c r="P22" s="2">
        <f t="shared" si="29"/>
        <v>76.27</v>
      </c>
      <c r="Q22" s="2">
        <f t="shared" si="29"/>
        <v>7.63</v>
      </c>
      <c r="R22" s="2">
        <f t="shared" si="29"/>
        <v>872.73</v>
      </c>
      <c r="S22" s="2">
        <f t="shared" si="29"/>
        <v>87.27</v>
      </c>
      <c r="T22" s="2">
        <f t="shared" si="29"/>
        <v>9.5299999999999994</v>
      </c>
      <c r="U22" s="2">
        <f t="shared" si="29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3">
        <v>133031</v>
      </c>
      <c r="AB22" s="14">
        <v>0</v>
      </c>
      <c r="AC22" s="12" t="s">
        <v>238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2"/>
        <v>19.555895230931007</v>
      </c>
      <c r="AL22">
        <v>1</v>
      </c>
      <c r="AM22">
        <f t="shared" si="23"/>
        <v>76.26666666666668</v>
      </c>
      <c r="AN22">
        <f t="shared" si="24"/>
        <v>7.6266666666666687</v>
      </c>
      <c r="AO22">
        <f t="shared" si="25"/>
        <v>872.72727272727275</v>
      </c>
      <c r="AP22">
        <f t="shared" si="26"/>
        <v>87.27272727272728</v>
      </c>
      <c r="AQ22">
        <f t="shared" si="3"/>
        <v>9.533333333333335</v>
      </c>
      <c r="AR22">
        <f t="shared" si="4"/>
        <v>0.95333333333333359</v>
      </c>
      <c r="AS22">
        <f t="shared" si="5"/>
        <v>1.3</v>
      </c>
      <c r="AT22">
        <f t="shared" si="6"/>
        <v>1.4</v>
      </c>
      <c r="AU22">
        <f t="shared" si="7"/>
        <v>3</v>
      </c>
      <c r="AV22">
        <v>303</v>
      </c>
      <c r="AW22" s="1">
        <v>3</v>
      </c>
      <c r="AX22">
        <v>1</v>
      </c>
      <c r="AY22">
        <v>0</v>
      </c>
      <c r="AZ22" s="20">
        <v>3013</v>
      </c>
      <c r="BA22" s="59"/>
      <c r="BB22" s="20">
        <v>1.2</v>
      </c>
      <c r="BC22" s="20">
        <f t="shared" si="18"/>
        <v>0.83333333333333337</v>
      </c>
      <c r="BD22" s="22">
        <v>5</v>
      </c>
      <c r="BE22" s="23">
        <v>1.2</v>
      </c>
      <c r="BF22" s="25">
        <f t="shared" si="19"/>
        <v>76.8</v>
      </c>
      <c r="BG22" s="25">
        <f t="shared" si="12"/>
        <v>800</v>
      </c>
      <c r="BH22" s="25">
        <f t="shared" si="13"/>
        <v>15.36</v>
      </c>
      <c r="BI22">
        <v>3</v>
      </c>
      <c r="BJ22">
        <f t="shared" si="14"/>
        <v>64</v>
      </c>
      <c r="BK22">
        <f t="shared" si="15"/>
        <v>1.2</v>
      </c>
      <c r="BL22" s="20">
        <v>36</v>
      </c>
      <c r="BM22">
        <f t="shared" si="16"/>
        <v>1.2333333333333334</v>
      </c>
      <c r="BN22" s="20">
        <v>37</v>
      </c>
      <c r="BO22">
        <v>1.5</v>
      </c>
      <c r="BP22">
        <v>1</v>
      </c>
      <c r="BQ22" s="26">
        <f t="shared" si="17"/>
        <v>1</v>
      </c>
      <c r="BR22">
        <f t="shared" si="20"/>
        <v>67.2</v>
      </c>
      <c r="CB22" s="2" t="s">
        <v>253</v>
      </c>
      <c r="CC22" t="s">
        <v>212</v>
      </c>
      <c r="CE22" t="str">
        <f t="shared" si="27"/>
        <v>DATA_Class_Base5</v>
      </c>
      <c r="CF22" s="3" t="s">
        <v>212</v>
      </c>
    </row>
    <row r="23" spans="1:84">
      <c r="A23">
        <f t="shared" si="21"/>
        <v>1013503</v>
      </c>
      <c r="B23" s="3" t="s">
        <v>256</v>
      </c>
      <c r="C23">
        <v>1</v>
      </c>
      <c r="D23">
        <v>5</v>
      </c>
      <c r="E23">
        <v>3</v>
      </c>
      <c r="F23" s="3" t="s">
        <v>257</v>
      </c>
      <c r="G23" s="3" t="s">
        <v>258</v>
      </c>
      <c r="H23" s="3">
        <v>-30</v>
      </c>
      <c r="I23">
        <v>30</v>
      </c>
      <c r="J23">
        <v>0</v>
      </c>
      <c r="K23" s="2">
        <v>0</v>
      </c>
      <c r="L23" s="2">
        <f t="shared" si="22"/>
        <v>3</v>
      </c>
      <c r="M23" s="2">
        <f t="shared" si="28"/>
        <v>1.6</v>
      </c>
      <c r="N23" s="2">
        <f t="shared" si="28"/>
        <v>1.5</v>
      </c>
      <c r="O23" s="2">
        <v>10</v>
      </c>
      <c r="P23" s="2">
        <f t="shared" si="29"/>
        <v>102.4</v>
      </c>
      <c r="Q23" s="2">
        <f t="shared" si="29"/>
        <v>10.24</v>
      </c>
      <c r="R23" s="2">
        <f t="shared" si="29"/>
        <v>800</v>
      </c>
      <c r="S23" s="2">
        <f t="shared" si="29"/>
        <v>80</v>
      </c>
      <c r="T23" s="2">
        <f t="shared" si="29"/>
        <v>17.07</v>
      </c>
      <c r="U23" s="2">
        <f t="shared" si="29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3">
        <v>135041</v>
      </c>
      <c r="AB23" s="14">
        <v>0</v>
      </c>
      <c r="AC23" s="12" t="s">
        <v>238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2"/>
        <v>19.588428017730578</v>
      </c>
      <c r="AL23">
        <v>1</v>
      </c>
      <c r="AM23">
        <f t="shared" si="23"/>
        <v>102.4</v>
      </c>
      <c r="AN23">
        <f t="shared" si="24"/>
        <v>10.240000000000002</v>
      </c>
      <c r="AO23">
        <f t="shared" si="25"/>
        <v>800</v>
      </c>
      <c r="AP23">
        <f t="shared" si="26"/>
        <v>80</v>
      </c>
      <c r="AQ23">
        <f t="shared" si="3"/>
        <v>17.066666666666666</v>
      </c>
      <c r="AR23">
        <f t="shared" si="4"/>
        <v>1.7066666666666668</v>
      </c>
      <c r="AS23">
        <f t="shared" si="5"/>
        <v>1.6</v>
      </c>
      <c r="AT23">
        <f t="shared" si="6"/>
        <v>1.5</v>
      </c>
      <c r="AU23">
        <f t="shared" si="7"/>
        <v>3</v>
      </c>
      <c r="AV23">
        <v>503</v>
      </c>
      <c r="AW23" s="1">
        <v>3</v>
      </c>
      <c r="AX23">
        <v>1</v>
      </c>
      <c r="AY23">
        <v>0</v>
      </c>
      <c r="AZ23" s="20">
        <v>3024</v>
      </c>
      <c r="BA23" s="59" t="s">
        <v>172</v>
      </c>
      <c r="BB23" s="20">
        <v>1.1000000000000001</v>
      </c>
      <c r="BC23" s="20">
        <f t="shared" si="18"/>
        <v>0.90909090909090906</v>
      </c>
      <c r="BD23" s="22">
        <v>6.5</v>
      </c>
      <c r="BE23" s="23">
        <v>1.4</v>
      </c>
      <c r="BF23" s="25">
        <f t="shared" si="19"/>
        <v>82.133333333333326</v>
      </c>
      <c r="BG23" s="25">
        <f t="shared" si="12"/>
        <v>872.72727272727275</v>
      </c>
      <c r="BH23" s="25">
        <f t="shared" si="13"/>
        <v>12.635897435897435</v>
      </c>
      <c r="BI23">
        <v>3</v>
      </c>
      <c r="BJ23">
        <f t="shared" si="14"/>
        <v>58.666666666666664</v>
      </c>
      <c r="BK23">
        <f t="shared" si="15"/>
        <v>0.93333333333333335</v>
      </c>
      <c r="BL23" s="20">
        <v>28</v>
      </c>
      <c r="BM23">
        <f t="shared" si="16"/>
        <v>2</v>
      </c>
      <c r="BN23" s="20">
        <v>60</v>
      </c>
      <c r="CB23" s="2" t="s">
        <v>264</v>
      </c>
      <c r="CC23" t="s">
        <v>265</v>
      </c>
      <c r="CE23" t="str">
        <f t="shared" si="27"/>
        <v>DATA_Class_Base4</v>
      </c>
      <c r="CF23" s="3" t="s">
        <v>259</v>
      </c>
    </row>
    <row r="24" spans="1:84">
      <c r="A24">
        <f t="shared" si="21"/>
        <v>2021206</v>
      </c>
      <c r="B24" s="5" t="s">
        <v>245</v>
      </c>
      <c r="C24">
        <v>2</v>
      </c>
      <c r="D24">
        <v>2</v>
      </c>
      <c r="E24">
        <v>1</v>
      </c>
      <c r="F24" s="3" t="s">
        <v>260</v>
      </c>
      <c r="G24" s="3" t="s">
        <v>261</v>
      </c>
      <c r="H24" s="3">
        <v>0</v>
      </c>
      <c r="I24">
        <v>20</v>
      </c>
      <c r="J24" s="2">
        <v>0</v>
      </c>
      <c r="K24" s="2">
        <v>0</v>
      </c>
      <c r="L24" s="2">
        <f t="shared" si="22"/>
        <v>3</v>
      </c>
      <c r="M24" s="2">
        <f t="shared" si="28"/>
        <v>1.6</v>
      </c>
      <c r="N24" s="2">
        <f t="shared" si="28"/>
        <v>2</v>
      </c>
      <c r="O24" s="2">
        <v>10</v>
      </c>
      <c r="P24" s="2">
        <f t="shared" si="29"/>
        <v>93.87</v>
      </c>
      <c r="Q24" s="2">
        <f t="shared" si="29"/>
        <v>9.39</v>
      </c>
      <c r="R24" s="2">
        <f t="shared" si="29"/>
        <v>1056</v>
      </c>
      <c r="S24" s="2">
        <f t="shared" si="29"/>
        <v>105.6</v>
      </c>
      <c r="T24" s="2">
        <f t="shared" si="29"/>
        <v>18.77</v>
      </c>
      <c r="U24" s="2">
        <f t="shared" si="29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3">
        <v>212061</v>
      </c>
      <c r="AB24" s="15" t="s">
        <v>238</v>
      </c>
      <c r="AC24" s="12" t="s">
        <v>238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2"/>
        <v>23.710934119370883</v>
      </c>
      <c r="AL24">
        <v>2</v>
      </c>
      <c r="AM24">
        <f t="shared" si="23"/>
        <v>93.866666666666674</v>
      </c>
      <c r="AN24">
        <f t="shared" si="24"/>
        <v>9.3866666666666685</v>
      </c>
      <c r="AO24">
        <f t="shared" si="25"/>
        <v>1056</v>
      </c>
      <c r="AP24">
        <f t="shared" si="26"/>
        <v>105.60000000000001</v>
      </c>
      <c r="AQ24">
        <f t="shared" si="3"/>
        <v>18.773333333333333</v>
      </c>
      <c r="AR24">
        <f t="shared" si="4"/>
        <v>1.8773333333333335</v>
      </c>
      <c r="AS24">
        <f t="shared" si="5"/>
        <v>1.6</v>
      </c>
      <c r="AT24">
        <f t="shared" si="6"/>
        <v>2</v>
      </c>
      <c r="AU24">
        <f t="shared" si="7"/>
        <v>3</v>
      </c>
      <c r="AV24">
        <v>206</v>
      </c>
      <c r="AW24" s="1">
        <v>6</v>
      </c>
      <c r="AX24">
        <v>2</v>
      </c>
      <c r="AY24">
        <v>0</v>
      </c>
      <c r="AZ24" s="20">
        <v>3025</v>
      </c>
      <c r="BA24" s="59"/>
      <c r="BB24" s="20">
        <v>1.2</v>
      </c>
      <c r="BC24" s="20">
        <f t="shared" si="18"/>
        <v>0.83333333333333337</v>
      </c>
      <c r="BD24" s="22">
        <v>7</v>
      </c>
      <c r="BE24" s="23">
        <v>1.4</v>
      </c>
      <c r="BF24" s="25">
        <f t="shared" si="19"/>
        <v>89.59999999999998</v>
      </c>
      <c r="BG24" s="25">
        <f t="shared" si="12"/>
        <v>800</v>
      </c>
      <c r="BH24" s="25">
        <f t="shared" si="13"/>
        <v>12.799999999999997</v>
      </c>
      <c r="BI24">
        <v>3</v>
      </c>
      <c r="BJ24">
        <f t="shared" si="14"/>
        <v>63.999999999999993</v>
      </c>
      <c r="BK24">
        <f t="shared" si="15"/>
        <v>0.93333333333333335</v>
      </c>
      <c r="BL24" s="20">
        <v>28</v>
      </c>
      <c r="BM24">
        <f t="shared" si="16"/>
        <v>2</v>
      </c>
      <c r="BN24" s="20">
        <v>60</v>
      </c>
      <c r="CB24" s="2" t="s">
        <v>235</v>
      </c>
      <c r="CC24" t="s">
        <v>205</v>
      </c>
      <c r="CE24" t="str">
        <f t="shared" si="27"/>
        <v>DATA_Class_Base1</v>
      </c>
      <c r="CF24" s="5" t="s">
        <v>246</v>
      </c>
    </row>
    <row r="25" spans="1:84">
      <c r="A25">
        <f t="shared" si="21"/>
        <v>2021406</v>
      </c>
      <c r="B25" s="5" t="s">
        <v>251</v>
      </c>
      <c r="C25">
        <v>2</v>
      </c>
      <c r="D25">
        <v>4</v>
      </c>
      <c r="E25">
        <v>1</v>
      </c>
      <c r="F25" s="3" t="s">
        <v>262</v>
      </c>
      <c r="G25" s="3" t="s">
        <v>263</v>
      </c>
      <c r="H25" s="3">
        <v>-15</v>
      </c>
      <c r="I25">
        <v>20</v>
      </c>
      <c r="J25" s="2">
        <v>0</v>
      </c>
      <c r="K25" s="2" t="s">
        <v>161</v>
      </c>
      <c r="L25" s="2">
        <f t="shared" si="22"/>
        <v>6</v>
      </c>
      <c r="M25" s="2">
        <f t="shared" si="28"/>
        <v>1.4000000000000001</v>
      </c>
      <c r="N25" s="2">
        <f t="shared" si="28"/>
        <v>1.2</v>
      </c>
      <c r="O25" s="2">
        <v>10</v>
      </c>
      <c r="P25" s="2">
        <f t="shared" si="29"/>
        <v>106.77</v>
      </c>
      <c r="Q25" s="2">
        <f t="shared" si="29"/>
        <v>10.68</v>
      </c>
      <c r="R25" s="2">
        <f t="shared" si="29"/>
        <v>812.31</v>
      </c>
      <c r="S25" s="2">
        <f t="shared" si="29"/>
        <v>81.23</v>
      </c>
      <c r="T25" s="2">
        <f t="shared" si="29"/>
        <v>10.68</v>
      </c>
      <c r="U25" s="2">
        <f t="shared" si="29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3">
        <v>214061</v>
      </c>
      <c r="AB25" s="15" t="s">
        <v>238</v>
      </c>
      <c r="AC25" s="12" t="s">
        <v>238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2"/>
        <v>23.668602663237312</v>
      </c>
      <c r="AL25">
        <v>2</v>
      </c>
      <c r="AM25">
        <f t="shared" si="23"/>
        <v>106.77333333333333</v>
      </c>
      <c r="AN25">
        <f t="shared" si="24"/>
        <v>10.677333333333333</v>
      </c>
      <c r="AO25">
        <f t="shared" si="25"/>
        <v>812.30769230769226</v>
      </c>
      <c r="AP25">
        <f t="shared" si="26"/>
        <v>81.230769230769226</v>
      </c>
      <c r="AQ25">
        <f t="shared" si="3"/>
        <v>10.677333333333333</v>
      </c>
      <c r="AR25">
        <f t="shared" si="4"/>
        <v>1.0677333333333334</v>
      </c>
      <c r="AS25">
        <f t="shared" si="5"/>
        <v>1.4</v>
      </c>
      <c r="AT25">
        <f t="shared" si="6"/>
        <v>1.2</v>
      </c>
      <c r="AU25">
        <f t="shared" si="7"/>
        <v>6</v>
      </c>
      <c r="AV25">
        <v>406</v>
      </c>
      <c r="AW25" s="1">
        <v>6</v>
      </c>
      <c r="AX25">
        <v>2</v>
      </c>
      <c r="AY25">
        <v>0</v>
      </c>
      <c r="AZ25" s="23">
        <v>4005</v>
      </c>
      <c r="BA25" s="21" t="s">
        <v>174</v>
      </c>
      <c r="BB25" s="20">
        <v>1.25</v>
      </c>
      <c r="BC25" s="20">
        <f t="shared" si="18"/>
        <v>0.8</v>
      </c>
      <c r="BD25" s="22">
        <v>6</v>
      </c>
      <c r="BE25" s="23">
        <v>1.4</v>
      </c>
      <c r="BF25" s="25">
        <f t="shared" si="19"/>
        <v>93.333333333333329</v>
      </c>
      <c r="BG25" s="25">
        <f t="shared" si="12"/>
        <v>768</v>
      </c>
      <c r="BH25" s="25">
        <f t="shared" si="13"/>
        <v>15.555555555555555</v>
      </c>
      <c r="BI25">
        <v>6</v>
      </c>
      <c r="BJ25">
        <f t="shared" si="14"/>
        <v>66.666666666666671</v>
      </c>
      <c r="BK25">
        <f t="shared" si="15"/>
        <v>0.83333333333333337</v>
      </c>
      <c r="BL25" s="20">
        <v>25</v>
      </c>
      <c r="BM25">
        <f t="shared" si="16"/>
        <v>2</v>
      </c>
      <c r="BN25" s="20">
        <v>60</v>
      </c>
      <c r="CB25" s="2" t="s">
        <v>239</v>
      </c>
      <c r="CC25" t="s">
        <v>216</v>
      </c>
      <c r="CE25" t="str">
        <f t="shared" si="27"/>
        <v>DATA_Class_Base2</v>
      </c>
      <c r="CF25" s="5" t="s">
        <v>252</v>
      </c>
    </row>
    <row r="26" spans="1:84">
      <c r="A26">
        <f t="shared" si="21"/>
        <v>2022204</v>
      </c>
      <c r="B26" s="5" t="s">
        <v>264</v>
      </c>
      <c r="C26">
        <v>2</v>
      </c>
      <c r="D26">
        <v>2</v>
      </c>
      <c r="E26">
        <v>2</v>
      </c>
      <c r="F26" s="3" t="s">
        <v>266</v>
      </c>
      <c r="G26" s="3" t="s">
        <v>267</v>
      </c>
      <c r="H26" s="3">
        <v>0</v>
      </c>
      <c r="I26">
        <v>35</v>
      </c>
      <c r="J26" s="2">
        <v>0</v>
      </c>
      <c r="K26" s="2">
        <v>0</v>
      </c>
      <c r="L26" s="2">
        <f t="shared" si="22"/>
        <v>3</v>
      </c>
      <c r="M26" s="2">
        <f t="shared" si="28"/>
        <v>1.4000000000000001</v>
      </c>
      <c r="N26" s="2">
        <f t="shared" si="28"/>
        <v>1.2</v>
      </c>
      <c r="O26" s="2">
        <v>10</v>
      </c>
      <c r="P26" s="2">
        <f t="shared" si="29"/>
        <v>73.92</v>
      </c>
      <c r="Q26" s="2">
        <f t="shared" si="29"/>
        <v>7.39</v>
      </c>
      <c r="R26" s="2">
        <f t="shared" si="29"/>
        <v>1173.33</v>
      </c>
      <c r="S26" s="2">
        <f t="shared" si="29"/>
        <v>117.33</v>
      </c>
      <c r="T26" s="2">
        <f t="shared" si="29"/>
        <v>14.78</v>
      </c>
      <c r="U26" s="2">
        <f t="shared" si="29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3">
        <v>222041</v>
      </c>
      <c r="AB26" s="15" t="s">
        <v>238</v>
      </c>
      <c r="AC26" s="12" t="s">
        <v>238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2"/>
        <v>23.6900562341003</v>
      </c>
      <c r="AL26">
        <v>2</v>
      </c>
      <c r="AM26">
        <f t="shared" si="23"/>
        <v>73.920000000000016</v>
      </c>
      <c r="AN26">
        <f t="shared" si="24"/>
        <v>7.3920000000000021</v>
      </c>
      <c r="AO26">
        <f t="shared" si="25"/>
        <v>1173.3333333333335</v>
      </c>
      <c r="AP26">
        <f t="shared" si="26"/>
        <v>117.33333333333336</v>
      </c>
      <c r="AQ26">
        <f t="shared" si="3"/>
        <v>14.784000000000002</v>
      </c>
      <c r="AR26">
        <f t="shared" si="4"/>
        <v>1.4784000000000004</v>
      </c>
      <c r="AS26">
        <f t="shared" si="5"/>
        <v>1.4</v>
      </c>
      <c r="AT26">
        <f t="shared" si="6"/>
        <v>1.2</v>
      </c>
      <c r="AU26">
        <f t="shared" si="7"/>
        <v>3</v>
      </c>
      <c r="AV26">
        <v>204</v>
      </c>
      <c r="AW26" s="1">
        <v>4</v>
      </c>
      <c r="AX26">
        <v>2</v>
      </c>
      <c r="AY26">
        <v>0</v>
      </c>
      <c r="AZ26" s="20">
        <v>4011</v>
      </c>
      <c r="BA26" s="59" t="s">
        <v>176</v>
      </c>
      <c r="BB26" s="20">
        <v>1.1000000000000001</v>
      </c>
      <c r="BC26" s="20">
        <f t="shared" si="18"/>
        <v>0.90909090909090906</v>
      </c>
      <c r="BD26" s="22">
        <v>5</v>
      </c>
      <c r="BE26" s="23">
        <v>1.6</v>
      </c>
      <c r="BF26" s="25">
        <f t="shared" si="19"/>
        <v>93.866666666666674</v>
      </c>
      <c r="BG26" s="25">
        <f t="shared" si="12"/>
        <v>872.72727272727275</v>
      </c>
      <c r="BH26" s="25">
        <f t="shared" si="13"/>
        <v>18.773333333333333</v>
      </c>
      <c r="BI26">
        <v>6</v>
      </c>
      <c r="BJ26">
        <f t="shared" si="14"/>
        <v>58.666666666666671</v>
      </c>
      <c r="BK26">
        <f t="shared" si="15"/>
        <v>1</v>
      </c>
      <c r="BL26" s="20">
        <v>30</v>
      </c>
      <c r="BM26">
        <f t="shared" si="16"/>
        <v>2</v>
      </c>
      <c r="BN26" s="20">
        <v>60</v>
      </c>
      <c r="CB26" s="2" t="s">
        <v>274</v>
      </c>
      <c r="CC26" t="s">
        <v>214</v>
      </c>
      <c r="CE26" t="str">
        <f t="shared" si="27"/>
        <v>DATA_Class_Base6</v>
      </c>
      <c r="CF26" s="5" t="s">
        <v>265</v>
      </c>
    </row>
    <row r="27" spans="1:84">
      <c r="A27">
        <f t="shared" si="21"/>
        <v>2022404</v>
      </c>
      <c r="B27" s="5" t="s">
        <v>268</v>
      </c>
      <c r="C27">
        <v>2</v>
      </c>
      <c r="D27">
        <v>4</v>
      </c>
      <c r="E27">
        <v>2</v>
      </c>
      <c r="F27" s="3" t="s">
        <v>269</v>
      </c>
      <c r="G27" s="3" t="s">
        <v>270</v>
      </c>
      <c r="H27" s="3">
        <v>-10</v>
      </c>
      <c r="I27">
        <v>30</v>
      </c>
      <c r="J27" s="2">
        <v>0</v>
      </c>
      <c r="K27" s="2" t="s">
        <v>250</v>
      </c>
      <c r="L27" s="2">
        <f t="shared" si="22"/>
        <v>6</v>
      </c>
      <c r="M27" s="2">
        <f t="shared" si="28"/>
        <v>1.6</v>
      </c>
      <c r="N27" s="2">
        <f t="shared" si="28"/>
        <v>1.9000000000000001</v>
      </c>
      <c r="O27" s="2">
        <v>10</v>
      </c>
      <c r="P27" s="2">
        <f t="shared" si="29"/>
        <v>122.03</v>
      </c>
      <c r="Q27" s="2">
        <f t="shared" si="29"/>
        <v>12.2</v>
      </c>
      <c r="R27" s="2">
        <f t="shared" si="29"/>
        <v>812.31</v>
      </c>
      <c r="S27" s="2">
        <f t="shared" si="29"/>
        <v>81.23</v>
      </c>
      <c r="T27" s="2">
        <f t="shared" si="29"/>
        <v>12.2</v>
      </c>
      <c r="U27" s="2">
        <f t="shared" si="29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3">
        <v>224041</v>
      </c>
      <c r="AB27" s="15" t="s">
        <v>238</v>
      </c>
      <c r="AC27" s="14" t="s">
        <v>238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2"/>
        <v>23.676566594993364</v>
      </c>
      <c r="AL27">
        <v>2</v>
      </c>
      <c r="AM27">
        <f t="shared" si="23"/>
        <v>122.02666666666669</v>
      </c>
      <c r="AN27">
        <f t="shared" si="24"/>
        <v>12.202666666666669</v>
      </c>
      <c r="AO27">
        <f t="shared" si="25"/>
        <v>812.30769230769226</v>
      </c>
      <c r="AP27">
        <f t="shared" si="26"/>
        <v>81.230769230769226</v>
      </c>
      <c r="AQ27">
        <f t="shared" si="3"/>
        <v>12.202666666666669</v>
      </c>
      <c r="AR27">
        <f t="shared" si="4"/>
        <v>1.2202666666666671</v>
      </c>
      <c r="AS27">
        <f t="shared" si="5"/>
        <v>1.6</v>
      </c>
      <c r="AT27">
        <f t="shared" si="6"/>
        <v>1.9</v>
      </c>
      <c r="AU27">
        <f t="shared" si="7"/>
        <v>6</v>
      </c>
      <c r="AV27">
        <v>404</v>
      </c>
      <c r="AW27" s="1">
        <v>4</v>
      </c>
      <c r="AX27">
        <v>2</v>
      </c>
      <c r="AY27">
        <v>0</v>
      </c>
      <c r="AZ27" s="20">
        <v>4012</v>
      </c>
      <c r="BA27" s="59"/>
      <c r="BB27" s="20">
        <v>1.3</v>
      </c>
      <c r="BC27" s="20">
        <f t="shared" si="18"/>
        <v>0.76923076923076916</v>
      </c>
      <c r="BD27" s="22">
        <v>9</v>
      </c>
      <c r="BE27" s="23">
        <v>1.6</v>
      </c>
      <c r="BF27" s="25">
        <f t="shared" si="19"/>
        <v>110.93333333333334</v>
      </c>
      <c r="BG27" s="25">
        <f t="shared" si="12"/>
        <v>738.46153846153834</v>
      </c>
      <c r="BH27" s="25">
        <f t="shared" si="13"/>
        <v>12.325925925925926</v>
      </c>
      <c r="BI27">
        <v>6</v>
      </c>
      <c r="BJ27">
        <f t="shared" si="14"/>
        <v>69.333333333333329</v>
      </c>
      <c r="BK27">
        <f t="shared" si="15"/>
        <v>1</v>
      </c>
      <c r="BL27" s="20">
        <v>30</v>
      </c>
      <c r="BM27">
        <f t="shared" si="16"/>
        <v>1.3333333333333333</v>
      </c>
      <c r="BN27" s="20">
        <v>40</v>
      </c>
      <c r="CB27" s="2" t="s">
        <v>271</v>
      </c>
      <c r="CC27" t="s">
        <v>221</v>
      </c>
      <c r="CE27" t="str">
        <f t="shared" si="27"/>
        <v>DATA_Class_Base12</v>
      </c>
      <c r="CF27" s="5" t="s">
        <v>277</v>
      </c>
    </row>
    <row r="28" spans="1:84">
      <c r="A28">
        <f t="shared" si="21"/>
        <v>2023503</v>
      </c>
      <c r="B28" s="5" t="s">
        <v>271</v>
      </c>
      <c r="C28">
        <v>2</v>
      </c>
      <c r="D28">
        <v>5</v>
      </c>
      <c r="E28">
        <v>3</v>
      </c>
      <c r="F28" s="3" t="s">
        <v>272</v>
      </c>
      <c r="G28" s="3" t="s">
        <v>273</v>
      </c>
      <c r="H28" s="3">
        <v>15</v>
      </c>
      <c r="I28">
        <v>35</v>
      </c>
      <c r="J28" s="2">
        <v>0</v>
      </c>
      <c r="K28" s="2">
        <v>0</v>
      </c>
      <c r="L28" s="2">
        <f t="shared" si="22"/>
        <v>3</v>
      </c>
      <c r="M28" s="2">
        <f t="shared" si="28"/>
        <v>1.6</v>
      </c>
      <c r="N28" s="2">
        <f t="shared" si="28"/>
        <v>1.5</v>
      </c>
      <c r="O28" s="2">
        <v>10</v>
      </c>
      <c r="P28" s="2">
        <f t="shared" si="29"/>
        <v>112.64</v>
      </c>
      <c r="Q28" s="2">
        <f t="shared" si="29"/>
        <v>11.26</v>
      </c>
      <c r="R28" s="2">
        <f t="shared" si="29"/>
        <v>880</v>
      </c>
      <c r="S28" s="2">
        <f t="shared" si="29"/>
        <v>88</v>
      </c>
      <c r="T28" s="2">
        <f t="shared" si="29"/>
        <v>18.77</v>
      </c>
      <c r="U28" s="2">
        <f t="shared" si="29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3">
        <v>233041</v>
      </c>
      <c r="AB28" s="15" t="s">
        <v>238</v>
      </c>
      <c r="AC28" s="14" t="s">
        <v>238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2"/>
        <v>23.710934119370897</v>
      </c>
      <c r="AL28">
        <v>2</v>
      </c>
      <c r="AM28">
        <f t="shared" si="23"/>
        <v>112.64000000000001</v>
      </c>
      <c r="AN28">
        <f t="shared" si="24"/>
        <v>11.264000000000003</v>
      </c>
      <c r="AO28">
        <f t="shared" si="25"/>
        <v>880.00000000000011</v>
      </c>
      <c r="AP28">
        <f t="shared" si="26"/>
        <v>88.000000000000014</v>
      </c>
      <c r="AQ28">
        <f t="shared" si="3"/>
        <v>18.773333333333337</v>
      </c>
      <c r="AR28">
        <f t="shared" si="4"/>
        <v>1.8773333333333337</v>
      </c>
      <c r="AS28">
        <f t="shared" si="5"/>
        <v>1.6</v>
      </c>
      <c r="AT28">
        <f t="shared" si="6"/>
        <v>1.5</v>
      </c>
      <c r="AU28">
        <f t="shared" si="7"/>
        <v>3</v>
      </c>
      <c r="AV28">
        <v>503</v>
      </c>
      <c r="AW28" s="1">
        <v>3</v>
      </c>
      <c r="AX28">
        <v>2</v>
      </c>
      <c r="AY28">
        <v>0</v>
      </c>
      <c r="AZ28" s="20">
        <v>4013</v>
      </c>
      <c r="BA28" s="59"/>
      <c r="BB28" s="20">
        <v>1.2</v>
      </c>
      <c r="BC28" s="20">
        <f t="shared" si="18"/>
        <v>0.83333333333333337</v>
      </c>
      <c r="BD28" s="22">
        <v>6</v>
      </c>
      <c r="BE28" s="23">
        <v>1.6</v>
      </c>
      <c r="BF28" s="25">
        <f t="shared" si="19"/>
        <v>102.40000000000002</v>
      </c>
      <c r="BG28" s="25">
        <f t="shared" si="12"/>
        <v>800</v>
      </c>
      <c r="BH28" s="25">
        <f t="shared" si="13"/>
        <v>17.06666666666667</v>
      </c>
      <c r="BI28">
        <v>6</v>
      </c>
      <c r="BJ28">
        <f t="shared" si="14"/>
        <v>64.000000000000014</v>
      </c>
      <c r="BK28">
        <f t="shared" si="15"/>
        <v>1</v>
      </c>
      <c r="BL28" s="20">
        <v>30</v>
      </c>
      <c r="BM28">
        <f t="shared" si="16"/>
        <v>1.3333333333333333</v>
      </c>
      <c r="BN28" s="20">
        <v>40</v>
      </c>
      <c r="CB28" s="2" t="s">
        <v>247</v>
      </c>
      <c r="CC28" t="s">
        <v>218</v>
      </c>
      <c r="CE28" t="str">
        <f t="shared" si="27"/>
        <v>DATA_Class_Base10</v>
      </c>
      <c r="CF28" s="5" t="s">
        <v>221</v>
      </c>
    </row>
    <row r="29" spans="1:84">
      <c r="A29">
        <f t="shared" si="21"/>
        <v>2023304</v>
      </c>
      <c r="B29" s="5" t="s">
        <v>274</v>
      </c>
      <c r="C29">
        <v>2</v>
      </c>
      <c r="D29">
        <v>3</v>
      </c>
      <c r="E29">
        <v>3</v>
      </c>
      <c r="F29" s="3" t="s">
        <v>275</v>
      </c>
      <c r="G29" s="3" t="s">
        <v>276</v>
      </c>
      <c r="H29" s="3">
        <v>10</v>
      </c>
      <c r="I29">
        <v>30</v>
      </c>
      <c r="J29">
        <v>0</v>
      </c>
      <c r="K29" s="2">
        <v>0</v>
      </c>
      <c r="L29" s="2">
        <f t="shared" si="22"/>
        <v>3</v>
      </c>
      <c r="M29" s="2">
        <f t="shared" si="28"/>
        <v>1.4000000000000001</v>
      </c>
      <c r="N29" s="2">
        <f t="shared" si="28"/>
        <v>2</v>
      </c>
      <c r="O29" s="2">
        <v>10</v>
      </c>
      <c r="P29" s="2">
        <f t="shared" si="29"/>
        <v>94.45</v>
      </c>
      <c r="Q29" s="2">
        <f t="shared" si="29"/>
        <v>9.4499999999999993</v>
      </c>
      <c r="R29" s="2">
        <f t="shared" si="29"/>
        <v>918.26</v>
      </c>
      <c r="S29" s="2">
        <f t="shared" si="29"/>
        <v>91.83</v>
      </c>
      <c r="T29" s="2">
        <f t="shared" si="29"/>
        <v>11.81</v>
      </c>
      <c r="U29" s="2">
        <f t="shared" si="29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3">
        <v>235031</v>
      </c>
      <c r="AB29" s="15" t="s">
        <v>238</v>
      </c>
      <c r="AC29" s="14" t="s">
        <v>238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2"/>
        <v>23.674498520757723</v>
      </c>
      <c r="AL29">
        <v>2</v>
      </c>
      <c r="AM29">
        <f t="shared" si="23"/>
        <v>94.453333333333333</v>
      </c>
      <c r="AN29">
        <f t="shared" si="24"/>
        <v>9.445333333333334</v>
      </c>
      <c r="AO29">
        <f t="shared" si="25"/>
        <v>918.26086956521749</v>
      </c>
      <c r="AP29">
        <f t="shared" si="26"/>
        <v>91.826086956521749</v>
      </c>
      <c r="AQ29">
        <f t="shared" si="3"/>
        <v>11.806666666666667</v>
      </c>
      <c r="AR29">
        <f t="shared" si="4"/>
        <v>1.1806666666666668</v>
      </c>
      <c r="AS29">
        <f t="shared" si="5"/>
        <v>1.4</v>
      </c>
      <c r="AT29">
        <f t="shared" si="6"/>
        <v>2</v>
      </c>
      <c r="AU29">
        <f t="shared" si="7"/>
        <v>3</v>
      </c>
      <c r="AV29">
        <v>304</v>
      </c>
      <c r="AW29" s="1">
        <v>4</v>
      </c>
      <c r="AX29">
        <v>2</v>
      </c>
      <c r="AY29">
        <v>0</v>
      </c>
      <c r="AZ29" s="20">
        <v>4021</v>
      </c>
      <c r="BA29" s="59" t="s">
        <v>376</v>
      </c>
      <c r="BB29" s="20">
        <v>1.2</v>
      </c>
      <c r="BC29" s="20">
        <f t="shared" si="18"/>
        <v>0.83333333333333337</v>
      </c>
      <c r="BD29" s="22">
        <v>6</v>
      </c>
      <c r="BE29" s="23">
        <v>1.5</v>
      </c>
      <c r="BF29" s="25">
        <f t="shared" si="19"/>
        <v>96</v>
      </c>
      <c r="BG29" s="25">
        <f t="shared" si="12"/>
        <v>800</v>
      </c>
      <c r="BH29" s="25">
        <f t="shared" si="13"/>
        <v>16</v>
      </c>
      <c r="BI29">
        <v>6</v>
      </c>
      <c r="BJ29">
        <f t="shared" si="14"/>
        <v>64</v>
      </c>
      <c r="BK29">
        <f t="shared" si="15"/>
        <v>1.2666666666666666</v>
      </c>
      <c r="BL29" s="20">
        <v>38</v>
      </c>
      <c r="BM29">
        <f t="shared" si="16"/>
        <v>1.3333333333333333</v>
      </c>
      <c r="BN29" s="20">
        <v>40</v>
      </c>
      <c r="CB29" s="2" t="s">
        <v>268</v>
      </c>
      <c r="CC29" t="s">
        <v>277</v>
      </c>
      <c r="CE29" t="str">
        <f t="shared" si="27"/>
        <v>DATA_Class_Base9</v>
      </c>
      <c r="CF29" s="5" t="s">
        <v>214</v>
      </c>
    </row>
    <row r="30" spans="1:84">
      <c r="A30">
        <f t="shared" si="21"/>
        <v>3031200</v>
      </c>
      <c r="B30" s="6" t="s">
        <v>294</v>
      </c>
      <c r="C30">
        <v>3</v>
      </c>
      <c r="D30">
        <v>2</v>
      </c>
      <c r="E30">
        <v>1</v>
      </c>
      <c r="F30" s="3" t="s">
        <v>1520</v>
      </c>
      <c r="G30" s="3" t="s">
        <v>1520</v>
      </c>
      <c r="H30">
        <v>0</v>
      </c>
      <c r="I30">
        <v>0</v>
      </c>
      <c r="J30" s="2">
        <v>0</v>
      </c>
      <c r="K30" s="2" t="s">
        <v>314</v>
      </c>
      <c r="L30" s="2">
        <f t="shared" si="22"/>
        <v>3</v>
      </c>
      <c r="M30" s="2">
        <f t="shared" si="28"/>
        <v>1.5</v>
      </c>
      <c r="N30" s="2">
        <f t="shared" si="28"/>
        <v>1.2</v>
      </c>
      <c r="O30" s="2">
        <v>10</v>
      </c>
      <c r="P30" s="2">
        <f t="shared" si="29"/>
        <v>76.8</v>
      </c>
      <c r="Q30" s="2">
        <f t="shared" si="29"/>
        <v>7.68</v>
      </c>
      <c r="R30" s="2">
        <f t="shared" si="29"/>
        <v>1440</v>
      </c>
      <c r="S30" s="2">
        <f t="shared" si="29"/>
        <v>144</v>
      </c>
      <c r="T30" s="2">
        <f t="shared" si="29"/>
        <v>25.6</v>
      </c>
      <c r="U30" s="2">
        <f t="shared" si="29"/>
        <v>2.56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6">
        <v>312001</v>
      </c>
      <c r="AB30" s="14" t="s">
        <v>1521</v>
      </c>
      <c r="AC30" s="15" t="s">
        <v>869</v>
      </c>
      <c r="AD30" s="2">
        <v>3041200</v>
      </c>
      <c r="AE30" s="2">
        <v>4</v>
      </c>
      <c r="AF30" s="2">
        <v>1</v>
      </c>
      <c r="AG30" s="2">
        <f t="shared" ref="AG30:AG62" si="30">A30</f>
        <v>3031200</v>
      </c>
      <c r="AH30" s="2">
        <v>2</v>
      </c>
      <c r="AI30" s="2"/>
      <c r="AJ30">
        <v>1</v>
      </c>
      <c r="AK30" s="1">
        <f t="shared" si="2"/>
        <v>28.26059084765399</v>
      </c>
      <c r="AL30">
        <v>3</v>
      </c>
      <c r="AM30">
        <f t="shared" si="23"/>
        <v>76.800000000000011</v>
      </c>
      <c r="AN30">
        <f t="shared" si="24"/>
        <v>7.6800000000000015</v>
      </c>
      <c r="AO30">
        <f t="shared" si="25"/>
        <v>1440</v>
      </c>
      <c r="AP30">
        <f t="shared" si="26"/>
        <v>144</v>
      </c>
      <c r="AQ30">
        <f t="shared" si="3"/>
        <v>25.600000000000005</v>
      </c>
      <c r="AR30">
        <f t="shared" si="4"/>
        <v>2.5600000000000005</v>
      </c>
      <c r="AS30">
        <f t="shared" si="5"/>
        <v>1.5</v>
      </c>
      <c r="AT30">
        <f t="shared" si="6"/>
        <v>1.2</v>
      </c>
      <c r="AU30">
        <f t="shared" si="7"/>
        <v>3</v>
      </c>
      <c r="AV30">
        <f t="shared" ref="AV30:AV93" si="31">D30*1000+AW30*10+E30</f>
        <v>2001</v>
      </c>
      <c r="AW30" s="1">
        <v>0</v>
      </c>
      <c r="AX30">
        <v>3</v>
      </c>
      <c r="AY30">
        <v>0</v>
      </c>
      <c r="AZ30" s="20">
        <v>4022</v>
      </c>
      <c r="BA30" s="59"/>
      <c r="BB30" s="20">
        <v>1.4</v>
      </c>
      <c r="BC30" s="20">
        <f t="shared" si="18"/>
        <v>0.7142857142857143</v>
      </c>
      <c r="BD30" s="22">
        <v>8</v>
      </c>
      <c r="BE30" s="23">
        <v>1.5</v>
      </c>
      <c r="BF30" s="25">
        <f t="shared" si="19"/>
        <v>112</v>
      </c>
      <c r="BG30" s="25">
        <f t="shared" si="12"/>
        <v>685.71428571428578</v>
      </c>
      <c r="BH30" s="25">
        <f t="shared" si="13"/>
        <v>14</v>
      </c>
      <c r="BI30">
        <v>6</v>
      </c>
      <c r="BJ30">
        <f t="shared" si="14"/>
        <v>74.666666666666671</v>
      </c>
      <c r="BK30">
        <f t="shared" si="15"/>
        <v>1.2666666666666666</v>
      </c>
      <c r="BL30" s="20">
        <v>38</v>
      </c>
      <c r="BM30">
        <f t="shared" si="16"/>
        <v>1.3333333333333333</v>
      </c>
      <c r="BN30" s="20">
        <v>40</v>
      </c>
      <c r="CB30" s="2" t="s">
        <v>294</v>
      </c>
      <c r="CC30" s="6" t="s">
        <v>295</v>
      </c>
      <c r="CE30" t="str">
        <f t="shared" si="27"/>
        <v>DATA_Class_Base13</v>
      </c>
      <c r="CF30" s="6" t="s">
        <v>295</v>
      </c>
    </row>
    <row r="31" spans="1:84">
      <c r="A31">
        <f t="shared" si="21"/>
        <v>3031201</v>
      </c>
      <c r="B31" s="6" t="s">
        <v>296</v>
      </c>
      <c r="C31">
        <v>3</v>
      </c>
      <c r="D31">
        <v>2</v>
      </c>
      <c r="E31">
        <v>1</v>
      </c>
      <c r="F31" s="3" t="s">
        <v>911</v>
      </c>
      <c r="G31" s="3" t="s">
        <v>911</v>
      </c>
      <c r="H31">
        <v>0</v>
      </c>
      <c r="I31">
        <v>0</v>
      </c>
      <c r="J31" s="2">
        <v>0</v>
      </c>
      <c r="K31" s="8" t="s">
        <v>298</v>
      </c>
      <c r="L31" s="2">
        <f t="shared" si="22"/>
        <v>3</v>
      </c>
      <c r="M31" s="2">
        <f t="shared" si="28"/>
        <v>1.8</v>
      </c>
      <c r="N31" s="2">
        <f t="shared" si="28"/>
        <v>1.8</v>
      </c>
      <c r="O31" s="2">
        <v>10</v>
      </c>
      <c r="P31" s="2">
        <f t="shared" si="29"/>
        <v>57.6</v>
      </c>
      <c r="Q31" s="2">
        <f t="shared" si="29"/>
        <v>5.76</v>
      </c>
      <c r="R31" s="2">
        <f t="shared" si="29"/>
        <v>2304</v>
      </c>
      <c r="S31" s="2">
        <f t="shared" si="29"/>
        <v>230.4</v>
      </c>
      <c r="T31" s="2">
        <f t="shared" si="29"/>
        <v>28.8</v>
      </c>
      <c r="U31" s="2">
        <f t="shared" si="29"/>
        <v>2.88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6">
        <v>312011</v>
      </c>
      <c r="AB31" s="14" t="s">
        <v>1522</v>
      </c>
      <c r="AC31" s="15" t="s">
        <v>869</v>
      </c>
      <c r="AD31" s="2">
        <v>3041201</v>
      </c>
      <c r="AE31" s="2">
        <v>4</v>
      </c>
      <c r="AF31" s="2">
        <v>1</v>
      </c>
      <c r="AG31" s="2">
        <f t="shared" si="30"/>
        <v>3031201</v>
      </c>
      <c r="AH31" s="2">
        <v>2</v>
      </c>
      <c r="AI31" s="2"/>
      <c r="AJ31">
        <v>1</v>
      </c>
      <c r="AK31" s="1">
        <f t="shared" si="2"/>
        <v>28.28061316501352</v>
      </c>
      <c r="AL31">
        <v>3</v>
      </c>
      <c r="AM31">
        <f t="shared" si="23"/>
        <v>57.599999999999994</v>
      </c>
      <c r="AN31">
        <f t="shared" si="24"/>
        <v>5.76</v>
      </c>
      <c r="AO31">
        <f t="shared" si="25"/>
        <v>2304</v>
      </c>
      <c r="AP31">
        <f t="shared" si="26"/>
        <v>230.4</v>
      </c>
      <c r="AQ31">
        <f t="shared" si="3"/>
        <v>28.799999999999997</v>
      </c>
      <c r="AR31">
        <f t="shared" si="4"/>
        <v>2.88</v>
      </c>
      <c r="AS31">
        <f t="shared" si="5"/>
        <v>1.8</v>
      </c>
      <c r="AT31">
        <f t="shared" si="6"/>
        <v>1.8</v>
      </c>
      <c r="AU31">
        <f t="shared" si="7"/>
        <v>3</v>
      </c>
      <c r="AV31">
        <f t="shared" si="31"/>
        <v>2011</v>
      </c>
      <c r="AW31" s="1">
        <v>1</v>
      </c>
      <c r="AX31">
        <v>3</v>
      </c>
      <c r="AY31">
        <v>0</v>
      </c>
      <c r="AZ31" s="20">
        <v>4023</v>
      </c>
      <c r="BA31" s="59"/>
      <c r="BB31" s="20">
        <v>1.3</v>
      </c>
      <c r="BC31" s="20">
        <f t="shared" si="18"/>
        <v>0.76923076923076916</v>
      </c>
      <c r="BD31" s="22">
        <v>7</v>
      </c>
      <c r="BE31" s="23">
        <v>1.5</v>
      </c>
      <c r="BF31" s="25">
        <f t="shared" si="19"/>
        <v>104</v>
      </c>
      <c r="BG31" s="25">
        <f t="shared" si="12"/>
        <v>738.46153846153834</v>
      </c>
      <c r="BH31" s="25">
        <f t="shared" si="13"/>
        <v>14.857142857142858</v>
      </c>
      <c r="BI31">
        <v>6</v>
      </c>
      <c r="BJ31">
        <f t="shared" si="14"/>
        <v>69.333333333333329</v>
      </c>
      <c r="BK31">
        <f t="shared" si="15"/>
        <v>1.2666666666666666</v>
      </c>
      <c r="BL31" s="20">
        <v>38</v>
      </c>
      <c r="BM31">
        <f t="shared" si="16"/>
        <v>1.3333333333333333</v>
      </c>
      <c r="BN31" s="20">
        <v>40</v>
      </c>
      <c r="CB31" s="2" t="s">
        <v>296</v>
      </c>
      <c r="CC31" s="6" t="s">
        <v>300</v>
      </c>
      <c r="CE31" t="str">
        <f t="shared" si="27"/>
        <v>DATA_Class_Base14</v>
      </c>
      <c r="CF31" s="6" t="s">
        <v>300</v>
      </c>
    </row>
    <row r="32" spans="1:84">
      <c r="A32">
        <f t="shared" si="21"/>
        <v>3031202</v>
      </c>
      <c r="B32" s="6" t="s">
        <v>278</v>
      </c>
      <c r="C32">
        <v>3</v>
      </c>
      <c r="D32">
        <v>2</v>
      </c>
      <c r="E32">
        <v>1</v>
      </c>
      <c r="F32" s="3" t="s">
        <v>279</v>
      </c>
      <c r="G32" s="3" t="s">
        <v>279</v>
      </c>
      <c r="H32">
        <v>0</v>
      </c>
      <c r="I32">
        <v>0</v>
      </c>
      <c r="J32">
        <v>0</v>
      </c>
      <c r="K32" s="2" t="s">
        <v>280</v>
      </c>
      <c r="L32" s="2">
        <f t="shared" si="22"/>
        <v>3</v>
      </c>
      <c r="M32" s="2">
        <f t="shared" si="28"/>
        <v>1.8</v>
      </c>
      <c r="N32" s="2">
        <f t="shared" si="28"/>
        <v>2</v>
      </c>
      <c r="O32" s="2">
        <v>10</v>
      </c>
      <c r="P32" s="2">
        <f t="shared" si="29"/>
        <v>92.16</v>
      </c>
      <c r="Q32" s="2">
        <f t="shared" si="29"/>
        <v>9.2200000000000006</v>
      </c>
      <c r="R32" s="2">
        <f t="shared" si="29"/>
        <v>1440</v>
      </c>
      <c r="S32" s="2">
        <f t="shared" si="29"/>
        <v>144</v>
      </c>
      <c r="T32" s="2">
        <f t="shared" si="29"/>
        <v>23.04</v>
      </c>
      <c r="U32" s="2">
        <f t="shared" si="29"/>
        <v>2.2999999999999998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6">
        <v>312021</v>
      </c>
      <c r="AB32" s="14" t="s">
        <v>281</v>
      </c>
      <c r="AC32" s="15" t="s">
        <v>869</v>
      </c>
      <c r="AD32" s="2">
        <v>3041202</v>
      </c>
      <c r="AE32" s="2">
        <v>4</v>
      </c>
      <c r="AF32" s="2">
        <v>1</v>
      </c>
      <c r="AG32" s="2">
        <f t="shared" si="30"/>
        <v>3031202</v>
      </c>
      <c r="AH32" s="2">
        <v>2</v>
      </c>
      <c r="AI32" s="2"/>
      <c r="AJ32">
        <v>1</v>
      </c>
      <c r="AK32" s="1">
        <f t="shared" si="2"/>
        <v>28.244593395000582</v>
      </c>
      <c r="AL32">
        <v>3</v>
      </c>
      <c r="AM32">
        <f t="shared" si="23"/>
        <v>92.160000000000011</v>
      </c>
      <c r="AN32">
        <f t="shared" si="24"/>
        <v>9.2160000000000011</v>
      </c>
      <c r="AO32">
        <f t="shared" si="25"/>
        <v>1440</v>
      </c>
      <c r="AP32">
        <f t="shared" si="26"/>
        <v>144</v>
      </c>
      <c r="AQ32">
        <f t="shared" si="3"/>
        <v>23.040000000000003</v>
      </c>
      <c r="AR32">
        <f t="shared" si="4"/>
        <v>2.3040000000000003</v>
      </c>
      <c r="AS32">
        <f t="shared" si="5"/>
        <v>1.8</v>
      </c>
      <c r="AT32">
        <f t="shared" si="6"/>
        <v>2</v>
      </c>
      <c r="AU32">
        <f t="shared" si="7"/>
        <v>3</v>
      </c>
      <c r="AV32">
        <f t="shared" si="31"/>
        <v>2021</v>
      </c>
      <c r="AW32" s="1">
        <v>2</v>
      </c>
      <c r="AX32">
        <v>3</v>
      </c>
      <c r="AY32">
        <v>0</v>
      </c>
      <c r="AZ32" s="20">
        <v>5001</v>
      </c>
      <c r="BA32" s="59" t="s">
        <v>184</v>
      </c>
      <c r="BB32" s="20">
        <v>1.4</v>
      </c>
      <c r="BC32" s="20">
        <f t="shared" si="18"/>
        <v>0.7142857142857143</v>
      </c>
      <c r="BD32" s="22">
        <v>7</v>
      </c>
      <c r="BE32" s="23">
        <v>1.5</v>
      </c>
      <c r="BF32" s="25">
        <f t="shared" si="19"/>
        <v>112</v>
      </c>
      <c r="BG32" s="25">
        <f t="shared" si="12"/>
        <v>685.71428571428578</v>
      </c>
      <c r="BH32" s="25">
        <f t="shared" si="13"/>
        <v>16</v>
      </c>
      <c r="BI32">
        <v>6</v>
      </c>
      <c r="BJ32">
        <f t="shared" si="14"/>
        <v>74.666666666666671</v>
      </c>
      <c r="BK32">
        <f t="shared" si="15"/>
        <v>1</v>
      </c>
      <c r="BL32" s="20">
        <v>30</v>
      </c>
      <c r="BM32">
        <f t="shared" si="16"/>
        <v>1.3333333333333333</v>
      </c>
      <c r="BN32" s="20">
        <v>40</v>
      </c>
      <c r="CB32" s="2" t="s">
        <v>278</v>
      </c>
      <c r="CC32" s="6" t="s">
        <v>306</v>
      </c>
      <c r="CE32" t="str">
        <f t="shared" si="27"/>
        <v>DATA_Class_Base15</v>
      </c>
      <c r="CF32" s="6" t="s">
        <v>306</v>
      </c>
    </row>
    <row r="33" spans="1:84">
      <c r="A33">
        <f t="shared" si="21"/>
        <v>3031301</v>
      </c>
      <c r="B33" s="6" t="s">
        <v>283</v>
      </c>
      <c r="C33">
        <v>3</v>
      </c>
      <c r="D33">
        <v>3</v>
      </c>
      <c r="E33">
        <v>1</v>
      </c>
      <c r="F33" s="3" t="s">
        <v>284</v>
      </c>
      <c r="G33" s="3" t="s">
        <v>284</v>
      </c>
      <c r="H33">
        <v>0</v>
      </c>
      <c r="I33">
        <v>0</v>
      </c>
      <c r="J33" s="2">
        <v>0</v>
      </c>
      <c r="K33" s="2" t="s">
        <v>285</v>
      </c>
      <c r="L33" s="2">
        <f t="shared" si="22"/>
        <v>3</v>
      </c>
      <c r="M33" s="2">
        <f t="shared" si="28"/>
        <v>1.2</v>
      </c>
      <c r="N33" s="2">
        <f t="shared" si="28"/>
        <v>2</v>
      </c>
      <c r="O33" s="2">
        <v>10</v>
      </c>
      <c r="P33" s="2">
        <f t="shared" si="29"/>
        <v>84.48</v>
      </c>
      <c r="Q33" s="2">
        <f t="shared" si="29"/>
        <v>8.4499999999999993</v>
      </c>
      <c r="R33" s="2">
        <f t="shared" si="29"/>
        <v>1047.27</v>
      </c>
      <c r="S33" s="2">
        <f t="shared" si="29"/>
        <v>104.73</v>
      </c>
      <c r="T33" s="2">
        <f t="shared" si="29"/>
        <v>14.08</v>
      </c>
      <c r="U33" s="2">
        <f t="shared" si="29"/>
        <v>1.41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6">
        <v>313011</v>
      </c>
      <c r="AB33" s="14" t="s">
        <v>286</v>
      </c>
      <c r="AC33" s="15" t="s">
        <v>869</v>
      </c>
      <c r="AD33" s="2">
        <v>3041301</v>
      </c>
      <c r="AE33" s="2">
        <v>4</v>
      </c>
      <c r="AF33" s="2">
        <v>1</v>
      </c>
      <c r="AG33" s="2">
        <f t="shared" si="30"/>
        <v>3031301</v>
      </c>
      <c r="AH33" s="2">
        <v>2</v>
      </c>
      <c r="AI33" s="2"/>
      <c r="AJ33">
        <v>1</v>
      </c>
      <c r="AK33" s="1">
        <f t="shared" si="2"/>
        <v>28.188744655444708</v>
      </c>
      <c r="AL33">
        <v>3</v>
      </c>
      <c r="AM33">
        <f t="shared" si="23"/>
        <v>84.48</v>
      </c>
      <c r="AN33">
        <f t="shared" si="24"/>
        <v>8.4480000000000004</v>
      </c>
      <c r="AO33">
        <f t="shared" si="25"/>
        <v>1047.2727272727273</v>
      </c>
      <c r="AP33">
        <f t="shared" si="26"/>
        <v>104.72727272727273</v>
      </c>
      <c r="AQ33">
        <f t="shared" si="3"/>
        <v>14.08</v>
      </c>
      <c r="AR33">
        <f t="shared" si="4"/>
        <v>1.4080000000000001</v>
      </c>
      <c r="AS33">
        <f t="shared" si="5"/>
        <v>1.2</v>
      </c>
      <c r="AT33">
        <f t="shared" si="6"/>
        <v>2</v>
      </c>
      <c r="AU33">
        <f t="shared" si="7"/>
        <v>3</v>
      </c>
      <c r="AV33">
        <f t="shared" si="31"/>
        <v>3011</v>
      </c>
      <c r="AW33" s="1">
        <v>1</v>
      </c>
      <c r="AX33">
        <v>3</v>
      </c>
      <c r="AY33">
        <v>0</v>
      </c>
      <c r="AZ33" s="20">
        <v>5002</v>
      </c>
      <c r="BA33" s="59"/>
      <c r="BB33" s="20">
        <v>1.5</v>
      </c>
      <c r="BC33" s="20">
        <f t="shared" si="18"/>
        <v>0.66666666666666663</v>
      </c>
      <c r="BD33" s="22">
        <v>9</v>
      </c>
      <c r="BE33" s="23">
        <v>1.5</v>
      </c>
      <c r="BF33" s="25">
        <f t="shared" si="19"/>
        <v>120</v>
      </c>
      <c r="BG33" s="25">
        <f t="shared" si="12"/>
        <v>640</v>
      </c>
      <c r="BH33" s="25">
        <f t="shared" si="13"/>
        <v>13.333333333333334</v>
      </c>
      <c r="BI33">
        <v>6</v>
      </c>
      <c r="BJ33">
        <f t="shared" si="14"/>
        <v>80</v>
      </c>
      <c r="BK33">
        <f t="shared" si="15"/>
        <v>1</v>
      </c>
      <c r="BL33" s="20">
        <v>30</v>
      </c>
      <c r="BM33">
        <f t="shared" si="16"/>
        <v>2.5</v>
      </c>
      <c r="BN33" s="20">
        <v>75</v>
      </c>
      <c r="CB33" s="2" t="s">
        <v>283</v>
      </c>
      <c r="CC33" s="6" t="s">
        <v>312</v>
      </c>
      <c r="CE33" t="str">
        <f t="shared" si="27"/>
        <v>DATA_Class_Base16</v>
      </c>
      <c r="CF33" s="6" t="s">
        <v>312</v>
      </c>
    </row>
    <row r="34" spans="1:84">
      <c r="A34">
        <f t="shared" si="21"/>
        <v>3031401</v>
      </c>
      <c r="B34" s="6" t="s">
        <v>317</v>
      </c>
      <c r="C34">
        <v>3</v>
      </c>
      <c r="D34">
        <v>4</v>
      </c>
      <c r="E34">
        <v>1</v>
      </c>
      <c r="F34" s="3" t="s">
        <v>319</v>
      </c>
      <c r="G34" s="3" t="s">
        <v>319</v>
      </c>
      <c r="H34">
        <v>0</v>
      </c>
      <c r="I34">
        <v>0</v>
      </c>
      <c r="J34" s="2">
        <v>0</v>
      </c>
      <c r="K34" s="2" t="s">
        <v>161</v>
      </c>
      <c r="L34" s="2">
        <f t="shared" si="22"/>
        <v>6</v>
      </c>
      <c r="M34" s="2">
        <f t="shared" si="28"/>
        <v>1.6</v>
      </c>
      <c r="N34" s="2">
        <f t="shared" si="28"/>
        <v>2</v>
      </c>
      <c r="O34" s="2">
        <v>10</v>
      </c>
      <c r="P34" s="2">
        <f t="shared" si="29"/>
        <v>112.64</v>
      </c>
      <c r="Q34" s="2">
        <f t="shared" si="29"/>
        <v>11.26</v>
      </c>
      <c r="R34" s="2">
        <f t="shared" si="29"/>
        <v>1047.27</v>
      </c>
      <c r="S34" s="2">
        <f t="shared" si="29"/>
        <v>104.73</v>
      </c>
      <c r="T34" s="2">
        <f t="shared" si="29"/>
        <v>22.53</v>
      </c>
      <c r="U34" s="2">
        <f t="shared" si="29"/>
        <v>2.25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6">
        <v>314011</v>
      </c>
      <c r="AB34" s="14" t="s">
        <v>1523</v>
      </c>
      <c r="AC34" s="15" t="s">
        <v>869</v>
      </c>
      <c r="AD34" s="2">
        <v>3041401</v>
      </c>
      <c r="AE34" s="2">
        <v>4</v>
      </c>
      <c r="AF34" s="2">
        <v>1</v>
      </c>
      <c r="AG34" s="2">
        <f t="shared" si="30"/>
        <v>3031401</v>
      </c>
      <c r="AH34" s="2">
        <v>2</v>
      </c>
      <c r="AI34" s="2"/>
      <c r="AJ34">
        <v>1</v>
      </c>
      <c r="AK34" s="1">
        <f t="shared" si="2"/>
        <v>28.241396077583879</v>
      </c>
      <c r="AL34">
        <v>3</v>
      </c>
      <c r="AM34">
        <f t="shared" si="23"/>
        <v>112.64000000000003</v>
      </c>
      <c r="AN34">
        <f t="shared" si="24"/>
        <v>11.264000000000003</v>
      </c>
      <c r="AO34">
        <f t="shared" si="25"/>
        <v>1047.2727272727273</v>
      </c>
      <c r="AP34">
        <f t="shared" si="26"/>
        <v>104.72727272727273</v>
      </c>
      <c r="AQ34">
        <f t="shared" si="3"/>
        <v>22.528000000000006</v>
      </c>
      <c r="AR34">
        <f t="shared" si="4"/>
        <v>2.2528000000000006</v>
      </c>
      <c r="AS34">
        <f t="shared" si="5"/>
        <v>1.6</v>
      </c>
      <c r="AT34">
        <f t="shared" si="6"/>
        <v>2</v>
      </c>
      <c r="AU34">
        <f t="shared" si="7"/>
        <v>6</v>
      </c>
      <c r="AV34">
        <f t="shared" si="31"/>
        <v>4011</v>
      </c>
      <c r="AW34" s="1">
        <v>1</v>
      </c>
      <c r="AX34">
        <v>3</v>
      </c>
      <c r="AY34">
        <v>0</v>
      </c>
      <c r="AZ34" s="20">
        <v>5003</v>
      </c>
      <c r="BA34" s="59"/>
      <c r="BB34" s="20">
        <v>1.3</v>
      </c>
      <c r="BC34" s="20">
        <f t="shared" si="18"/>
        <v>0.76923076923076916</v>
      </c>
      <c r="BD34" s="22">
        <v>6</v>
      </c>
      <c r="BE34" s="23">
        <v>1.5</v>
      </c>
      <c r="BF34" s="25">
        <f t="shared" si="19"/>
        <v>104</v>
      </c>
      <c r="BG34" s="25">
        <f t="shared" si="12"/>
        <v>738.46153846153834</v>
      </c>
      <c r="BH34" s="25">
        <f t="shared" si="13"/>
        <v>17.333333333333332</v>
      </c>
      <c r="BI34">
        <v>6</v>
      </c>
      <c r="BJ34">
        <f t="shared" si="14"/>
        <v>69.333333333333329</v>
      </c>
      <c r="BK34">
        <f t="shared" si="15"/>
        <v>1</v>
      </c>
      <c r="BL34" s="20">
        <v>30</v>
      </c>
      <c r="BM34">
        <f t="shared" si="16"/>
        <v>2</v>
      </c>
      <c r="BN34" s="20">
        <v>60</v>
      </c>
      <c r="CB34" s="2" t="s">
        <v>317</v>
      </c>
      <c r="CC34" s="6" t="s">
        <v>318</v>
      </c>
      <c r="CE34" t="str">
        <f t="shared" si="27"/>
        <v>DATA_Class_Base17</v>
      </c>
      <c r="CF34" s="6" t="s">
        <v>318</v>
      </c>
    </row>
    <row r="35" spans="1:84">
      <c r="A35">
        <f t="shared" si="21"/>
        <v>3031402</v>
      </c>
      <c r="B35" s="6" t="s">
        <v>323</v>
      </c>
      <c r="C35">
        <v>3</v>
      </c>
      <c r="D35">
        <v>4</v>
      </c>
      <c r="E35">
        <v>1</v>
      </c>
      <c r="F35" s="3" t="s">
        <v>1524</v>
      </c>
      <c r="G35" s="3" t="s">
        <v>1524</v>
      </c>
      <c r="H35">
        <v>0</v>
      </c>
      <c r="I35">
        <v>0</v>
      </c>
      <c r="J35">
        <v>0</v>
      </c>
      <c r="K35" s="2" t="s">
        <v>250</v>
      </c>
      <c r="L35" s="2">
        <f t="shared" si="22"/>
        <v>6</v>
      </c>
      <c r="M35" s="2">
        <f t="shared" si="28"/>
        <v>1.5</v>
      </c>
      <c r="N35" s="2">
        <f t="shared" si="28"/>
        <v>1.5</v>
      </c>
      <c r="O35" s="2">
        <v>10</v>
      </c>
      <c r="P35" s="2">
        <f t="shared" si="29"/>
        <v>115.2</v>
      </c>
      <c r="Q35" s="2">
        <f t="shared" si="29"/>
        <v>11.52</v>
      </c>
      <c r="R35" s="2">
        <f t="shared" si="29"/>
        <v>960</v>
      </c>
      <c r="S35" s="2">
        <f t="shared" si="29"/>
        <v>96</v>
      </c>
      <c r="T35" s="2">
        <f t="shared" si="29"/>
        <v>19.2</v>
      </c>
      <c r="U35" s="2">
        <f t="shared" si="29"/>
        <v>1.92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6">
        <v>314021</v>
      </c>
      <c r="AB35" s="14" t="s">
        <v>1525</v>
      </c>
      <c r="AC35" s="15" t="s">
        <v>869</v>
      </c>
      <c r="AD35" s="2">
        <v>3041402</v>
      </c>
      <c r="AE35" s="2">
        <v>4</v>
      </c>
      <c r="AF35" s="2">
        <v>1</v>
      </c>
      <c r="AG35" s="2">
        <f t="shared" si="30"/>
        <v>3031402</v>
      </c>
      <c r="AH35" s="2">
        <v>2</v>
      </c>
      <c r="AI35" s="2"/>
      <c r="AJ35">
        <v>1</v>
      </c>
      <c r="AK35" s="1">
        <f t="shared" si="2"/>
        <v>28.220631145960535</v>
      </c>
      <c r="AL35">
        <v>3</v>
      </c>
      <c r="AM35">
        <f t="shared" si="23"/>
        <v>115.19999999999999</v>
      </c>
      <c r="AN35">
        <f t="shared" si="24"/>
        <v>11.52</v>
      </c>
      <c r="AO35">
        <f t="shared" si="25"/>
        <v>960</v>
      </c>
      <c r="AP35">
        <f t="shared" si="26"/>
        <v>96</v>
      </c>
      <c r="AQ35">
        <f t="shared" si="3"/>
        <v>19.2</v>
      </c>
      <c r="AR35">
        <f t="shared" si="4"/>
        <v>1.92</v>
      </c>
      <c r="AS35">
        <f t="shared" si="5"/>
        <v>1.5</v>
      </c>
      <c r="AT35">
        <f t="shared" si="6"/>
        <v>1.5</v>
      </c>
      <c r="AU35">
        <f t="shared" si="7"/>
        <v>6</v>
      </c>
      <c r="AV35">
        <f t="shared" si="31"/>
        <v>4021</v>
      </c>
      <c r="AW35" s="1">
        <v>2</v>
      </c>
      <c r="AX35">
        <v>3</v>
      </c>
      <c r="AY35">
        <v>0</v>
      </c>
      <c r="AZ35" s="20">
        <v>5014</v>
      </c>
      <c r="BA35" s="59" t="s">
        <v>190</v>
      </c>
      <c r="BB35" s="20">
        <v>1.3</v>
      </c>
      <c r="BC35" s="20">
        <f t="shared" si="18"/>
        <v>0.76923076923076916</v>
      </c>
      <c r="BD35" s="22">
        <v>9</v>
      </c>
      <c r="BE35" s="23">
        <v>1.6</v>
      </c>
      <c r="BF35" s="25">
        <f t="shared" si="19"/>
        <v>110.93333333333334</v>
      </c>
      <c r="BG35" s="25">
        <f t="shared" si="12"/>
        <v>738.46153846153834</v>
      </c>
      <c r="BH35" s="25">
        <f t="shared" si="13"/>
        <v>12.325925925925926</v>
      </c>
      <c r="BI35">
        <v>6</v>
      </c>
      <c r="BJ35">
        <f t="shared" si="14"/>
        <v>69.333333333333329</v>
      </c>
      <c r="BK35">
        <f t="shared" si="15"/>
        <v>1.3333333333333333</v>
      </c>
      <c r="BL35" s="20">
        <v>40</v>
      </c>
      <c r="BM35">
        <f t="shared" si="16"/>
        <v>2</v>
      </c>
      <c r="BN35" s="20">
        <v>60</v>
      </c>
      <c r="CB35" s="2" t="s">
        <v>323</v>
      </c>
      <c r="CC35" s="6" t="s">
        <v>324</v>
      </c>
      <c r="CE35" t="str">
        <f t="shared" si="27"/>
        <v>DATA_Class_Base18</v>
      </c>
      <c r="CF35" s="6" t="s">
        <v>324</v>
      </c>
    </row>
    <row r="36" spans="1:84">
      <c r="A36">
        <f t="shared" si="21"/>
        <v>3031500</v>
      </c>
      <c r="B36" s="6" t="s">
        <v>301</v>
      </c>
      <c r="C36">
        <v>3</v>
      </c>
      <c r="D36">
        <v>5</v>
      </c>
      <c r="E36">
        <v>1</v>
      </c>
      <c r="F36" s="3" t="s">
        <v>954</v>
      </c>
      <c r="G36" s="3" t="s">
        <v>954</v>
      </c>
      <c r="H36">
        <v>0</v>
      </c>
      <c r="I36">
        <v>0</v>
      </c>
      <c r="J36">
        <v>0</v>
      </c>
      <c r="K36" s="2" t="s">
        <v>303</v>
      </c>
      <c r="L36" s="2">
        <f t="shared" si="22"/>
        <v>6</v>
      </c>
      <c r="M36" s="2">
        <f t="shared" si="28"/>
        <v>1.5</v>
      </c>
      <c r="N36" s="2">
        <f t="shared" si="28"/>
        <v>1.5</v>
      </c>
      <c r="O36" s="2">
        <v>10</v>
      </c>
      <c r="P36" s="2">
        <f t="shared" si="29"/>
        <v>134.4</v>
      </c>
      <c r="Q36" s="2">
        <f t="shared" si="29"/>
        <v>13.44</v>
      </c>
      <c r="R36" s="2">
        <f t="shared" si="29"/>
        <v>822.86</v>
      </c>
      <c r="S36" s="2">
        <f t="shared" si="29"/>
        <v>82.29</v>
      </c>
      <c r="T36" s="2">
        <f t="shared" si="29"/>
        <v>19.2</v>
      </c>
      <c r="U36" s="2">
        <f t="shared" si="29"/>
        <v>1.92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6">
        <v>315001</v>
      </c>
      <c r="AB36" s="14" t="s">
        <v>1526</v>
      </c>
      <c r="AC36" s="15" t="s">
        <v>869</v>
      </c>
      <c r="AD36" s="2">
        <v>3041500</v>
      </c>
      <c r="AE36" s="2">
        <v>4</v>
      </c>
      <c r="AF36" s="2">
        <v>1</v>
      </c>
      <c r="AG36" s="2">
        <f t="shared" si="30"/>
        <v>3031500</v>
      </c>
      <c r="AH36" s="2">
        <v>2</v>
      </c>
      <c r="AI36" s="2"/>
      <c r="AJ36">
        <v>1</v>
      </c>
      <c r="AK36" s="1">
        <f t="shared" si="2"/>
        <v>28.220631145960535</v>
      </c>
      <c r="AL36">
        <v>3</v>
      </c>
      <c r="AM36">
        <f t="shared" si="23"/>
        <v>134.39999999999995</v>
      </c>
      <c r="AN36">
        <f t="shared" si="24"/>
        <v>13.439999999999996</v>
      </c>
      <c r="AO36">
        <f t="shared" si="25"/>
        <v>822.85714285714289</v>
      </c>
      <c r="AP36">
        <f t="shared" si="26"/>
        <v>82.285714285714292</v>
      </c>
      <c r="AQ36">
        <f t="shared" si="3"/>
        <v>19.199999999999992</v>
      </c>
      <c r="AR36">
        <f t="shared" si="4"/>
        <v>1.9199999999999993</v>
      </c>
      <c r="AS36">
        <f t="shared" si="5"/>
        <v>1.5</v>
      </c>
      <c r="AT36">
        <f t="shared" si="6"/>
        <v>1.5</v>
      </c>
      <c r="AU36">
        <f t="shared" si="7"/>
        <v>6</v>
      </c>
      <c r="AV36">
        <f t="shared" si="31"/>
        <v>5001</v>
      </c>
      <c r="AW36" s="1">
        <v>0</v>
      </c>
      <c r="AX36">
        <v>3</v>
      </c>
      <c r="AY36">
        <v>0</v>
      </c>
      <c r="AZ36" s="20">
        <v>5015</v>
      </c>
      <c r="BA36" s="59"/>
      <c r="BB36" s="20">
        <v>1.45</v>
      </c>
      <c r="BC36" s="20">
        <f t="shared" si="18"/>
        <v>0.68965517241379315</v>
      </c>
      <c r="BD36" s="22">
        <v>9</v>
      </c>
      <c r="BE36" s="23">
        <v>1.6</v>
      </c>
      <c r="BF36" s="25">
        <f t="shared" si="19"/>
        <v>123.73333333333335</v>
      </c>
      <c r="BG36" s="25">
        <f t="shared" si="12"/>
        <v>662.06896551724139</v>
      </c>
      <c r="BH36" s="25">
        <f t="shared" si="13"/>
        <v>13.74814814814815</v>
      </c>
      <c r="BI36">
        <v>6</v>
      </c>
      <c r="BJ36">
        <f t="shared" si="14"/>
        <v>77.333333333333343</v>
      </c>
      <c r="BK36">
        <f t="shared" si="15"/>
        <v>1.3333333333333333</v>
      </c>
      <c r="BL36" s="20">
        <v>40</v>
      </c>
      <c r="BM36">
        <f t="shared" si="16"/>
        <v>2</v>
      </c>
      <c r="BN36" s="20">
        <v>60</v>
      </c>
      <c r="CB36" s="2" t="s">
        <v>301</v>
      </c>
      <c r="CC36" s="6" t="s">
        <v>331</v>
      </c>
      <c r="CE36" t="str">
        <f t="shared" si="27"/>
        <v>DATA_Class_Base19</v>
      </c>
      <c r="CF36" s="6" t="s">
        <v>331</v>
      </c>
    </row>
    <row r="37" spans="1:84">
      <c r="A37">
        <f t="shared" si="21"/>
        <v>3031502</v>
      </c>
      <c r="B37" s="6" t="s">
        <v>289</v>
      </c>
      <c r="C37">
        <v>3</v>
      </c>
      <c r="D37">
        <v>5</v>
      </c>
      <c r="E37">
        <v>1</v>
      </c>
      <c r="F37" s="3" t="s">
        <v>290</v>
      </c>
      <c r="G37" s="3" t="s">
        <v>290</v>
      </c>
      <c r="H37">
        <v>0</v>
      </c>
      <c r="I37">
        <v>0</v>
      </c>
      <c r="J37" s="2">
        <v>0</v>
      </c>
      <c r="K37" s="2" t="s">
        <v>291</v>
      </c>
      <c r="L37" s="2">
        <f t="shared" si="22"/>
        <v>6</v>
      </c>
      <c r="M37" s="2">
        <f t="shared" si="28"/>
        <v>1.4000000000000001</v>
      </c>
      <c r="N37" s="2">
        <f t="shared" si="28"/>
        <v>2</v>
      </c>
      <c r="O37" s="2">
        <v>10</v>
      </c>
      <c r="P37" s="2">
        <f t="shared" si="29"/>
        <v>116.48</v>
      </c>
      <c r="Q37" s="2">
        <f t="shared" si="29"/>
        <v>11.65</v>
      </c>
      <c r="R37" s="2">
        <f t="shared" si="29"/>
        <v>886.15</v>
      </c>
      <c r="S37" s="2">
        <f t="shared" si="29"/>
        <v>88.62</v>
      </c>
      <c r="T37" s="2">
        <f t="shared" si="29"/>
        <v>17.920000000000002</v>
      </c>
      <c r="U37" s="2">
        <f t="shared" si="29"/>
        <v>1.79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6">
        <v>315021</v>
      </c>
      <c r="AB37" s="14" t="s">
        <v>292</v>
      </c>
      <c r="AC37" s="15" t="s">
        <v>869</v>
      </c>
      <c r="AD37" s="2">
        <v>3041502</v>
      </c>
      <c r="AE37" s="2">
        <v>4</v>
      </c>
      <c r="AF37" s="2">
        <v>1</v>
      </c>
      <c r="AG37" s="2">
        <f t="shared" si="30"/>
        <v>3031502</v>
      </c>
      <c r="AH37" s="2">
        <v>2</v>
      </c>
      <c r="AI37" s="2"/>
      <c r="AJ37">
        <v>1</v>
      </c>
      <c r="AK37" s="1">
        <f t="shared" si="2"/>
        <v>28.212652762249888</v>
      </c>
      <c r="AL37">
        <v>3</v>
      </c>
      <c r="AM37">
        <f t="shared" si="23"/>
        <v>116.47999999999998</v>
      </c>
      <c r="AN37">
        <f t="shared" si="24"/>
        <v>11.647999999999998</v>
      </c>
      <c r="AO37">
        <f t="shared" si="25"/>
        <v>886.15384615384596</v>
      </c>
      <c r="AP37">
        <f t="shared" si="26"/>
        <v>88.615384615384599</v>
      </c>
      <c r="AQ37">
        <f t="shared" si="3"/>
        <v>17.919999999999995</v>
      </c>
      <c r="AR37">
        <f t="shared" si="4"/>
        <v>1.7919999999999996</v>
      </c>
      <c r="AS37">
        <f t="shared" si="5"/>
        <v>1.4</v>
      </c>
      <c r="AT37">
        <f t="shared" si="6"/>
        <v>2</v>
      </c>
      <c r="AU37">
        <f t="shared" si="7"/>
        <v>6</v>
      </c>
      <c r="AV37">
        <f t="shared" si="31"/>
        <v>5021</v>
      </c>
      <c r="AW37" s="1">
        <v>2</v>
      </c>
      <c r="AX37">
        <v>3</v>
      </c>
      <c r="AY37">
        <v>0</v>
      </c>
      <c r="AZ37" s="20">
        <v>5021</v>
      </c>
      <c r="BA37" s="59" t="s">
        <v>386</v>
      </c>
      <c r="BB37" s="20">
        <v>1.3</v>
      </c>
      <c r="BC37" s="20">
        <f t="shared" si="18"/>
        <v>0.76923076923076916</v>
      </c>
      <c r="BD37" s="22">
        <v>6.5</v>
      </c>
      <c r="BE37" s="23">
        <v>1.4</v>
      </c>
      <c r="BF37" s="25">
        <f t="shared" si="19"/>
        <v>97.066666666666663</v>
      </c>
      <c r="BG37" s="25">
        <f t="shared" si="12"/>
        <v>738.46153846153834</v>
      </c>
      <c r="BH37" s="25">
        <f t="shared" si="13"/>
        <v>14.933333333333334</v>
      </c>
      <c r="BI37">
        <v>6</v>
      </c>
      <c r="BJ37">
        <f t="shared" si="14"/>
        <v>69.333333333333329</v>
      </c>
      <c r="BK37">
        <f t="shared" si="15"/>
        <v>1</v>
      </c>
      <c r="BL37" s="20">
        <v>30</v>
      </c>
      <c r="BM37">
        <f t="shared" si="16"/>
        <v>2</v>
      </c>
      <c r="BN37" s="20">
        <v>60</v>
      </c>
      <c r="CB37" s="2" t="s">
        <v>289</v>
      </c>
      <c r="CC37" s="6" t="s">
        <v>336</v>
      </c>
      <c r="CE37" t="str">
        <f t="shared" si="27"/>
        <v>DATA_Class_Base20</v>
      </c>
      <c r="CF37" s="6" t="s">
        <v>336</v>
      </c>
    </row>
    <row r="38" spans="1:84">
      <c r="A38">
        <f t="shared" si="21"/>
        <v>3031601</v>
      </c>
      <c r="B38" s="6" t="s">
        <v>307</v>
      </c>
      <c r="C38">
        <v>3</v>
      </c>
      <c r="D38">
        <v>6</v>
      </c>
      <c r="E38">
        <v>1</v>
      </c>
      <c r="F38" s="3" t="s">
        <v>958</v>
      </c>
      <c r="G38" s="3" t="s">
        <v>958</v>
      </c>
      <c r="H38">
        <v>0</v>
      </c>
      <c r="I38">
        <v>0</v>
      </c>
      <c r="J38">
        <v>0</v>
      </c>
      <c r="K38" s="2" t="s">
        <v>309</v>
      </c>
      <c r="L38" s="2">
        <f t="shared" si="22"/>
        <v>6</v>
      </c>
      <c r="M38" s="2">
        <f t="shared" si="28"/>
        <v>1.5</v>
      </c>
      <c r="N38" s="2">
        <f t="shared" si="28"/>
        <v>2</v>
      </c>
      <c r="O38" s="2">
        <v>10</v>
      </c>
      <c r="P38" s="2">
        <f t="shared" si="29"/>
        <v>96</v>
      </c>
      <c r="Q38" s="2">
        <f t="shared" si="29"/>
        <v>9.6</v>
      </c>
      <c r="R38" s="2">
        <f t="shared" si="29"/>
        <v>1152</v>
      </c>
      <c r="S38" s="2">
        <f t="shared" si="29"/>
        <v>115.2</v>
      </c>
      <c r="T38" s="2">
        <f t="shared" si="29"/>
        <v>24</v>
      </c>
      <c r="U38" s="2">
        <f t="shared" si="29"/>
        <v>2.4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6">
        <v>316011</v>
      </c>
      <c r="AB38" s="14" t="s">
        <v>1527</v>
      </c>
      <c r="AC38" s="15" t="s">
        <v>869</v>
      </c>
      <c r="AD38" s="2">
        <v>3041601</v>
      </c>
      <c r="AE38" s="2">
        <v>4</v>
      </c>
      <c r="AF38" s="2">
        <v>1</v>
      </c>
      <c r="AG38" s="2">
        <f t="shared" si="30"/>
        <v>3031601</v>
      </c>
      <c r="AH38" s="2">
        <v>2</v>
      </c>
      <c r="AI38" s="2"/>
      <c r="AJ38">
        <v>1</v>
      </c>
      <c r="AK38" s="1">
        <f t="shared" si="2"/>
        <v>28.250590316873087</v>
      </c>
      <c r="AL38">
        <v>3</v>
      </c>
      <c r="AM38">
        <f t="shared" si="23"/>
        <v>96</v>
      </c>
      <c r="AN38">
        <f t="shared" si="24"/>
        <v>9.6000000000000014</v>
      </c>
      <c r="AO38">
        <f t="shared" si="25"/>
        <v>1152</v>
      </c>
      <c r="AP38">
        <f t="shared" si="26"/>
        <v>115.2</v>
      </c>
      <c r="AQ38">
        <f t="shared" si="3"/>
        <v>24</v>
      </c>
      <c r="AR38">
        <f t="shared" si="4"/>
        <v>2.4000000000000004</v>
      </c>
      <c r="AS38">
        <f t="shared" si="5"/>
        <v>1.5</v>
      </c>
      <c r="AT38">
        <f t="shared" si="6"/>
        <v>2</v>
      </c>
      <c r="AU38">
        <f t="shared" si="7"/>
        <v>6</v>
      </c>
      <c r="AV38">
        <f t="shared" si="31"/>
        <v>6011</v>
      </c>
      <c r="AW38" s="1">
        <v>1</v>
      </c>
      <c r="AX38">
        <v>3</v>
      </c>
      <c r="AY38">
        <v>0</v>
      </c>
      <c r="AZ38" s="20">
        <v>5022</v>
      </c>
      <c r="BA38" s="59"/>
      <c r="BB38" s="20">
        <v>1.55</v>
      </c>
      <c r="BC38" s="20">
        <f t="shared" si="18"/>
        <v>0.64516129032258063</v>
      </c>
      <c r="BD38" s="22">
        <v>10</v>
      </c>
      <c r="BE38" s="23">
        <v>1.4</v>
      </c>
      <c r="BF38" s="25">
        <f t="shared" si="19"/>
        <v>115.73333333333333</v>
      </c>
      <c r="BG38" s="25">
        <f t="shared" si="12"/>
        <v>619.35483870967744</v>
      </c>
      <c r="BH38" s="25">
        <f t="shared" si="13"/>
        <v>11.573333333333334</v>
      </c>
      <c r="BI38">
        <v>6</v>
      </c>
      <c r="BJ38">
        <f t="shared" si="14"/>
        <v>82.666666666666671</v>
      </c>
      <c r="BK38">
        <f t="shared" si="15"/>
        <v>1</v>
      </c>
      <c r="BL38" s="20">
        <v>30</v>
      </c>
      <c r="BM38">
        <f t="shared" si="16"/>
        <v>2</v>
      </c>
      <c r="BN38" s="20">
        <v>60</v>
      </c>
      <c r="CB38" s="2" t="s">
        <v>307</v>
      </c>
      <c r="CC38" s="6" t="s">
        <v>342</v>
      </c>
      <c r="CE38" t="str">
        <f t="shared" si="27"/>
        <v>DATA_Class_Base21</v>
      </c>
      <c r="CF38" s="6" t="s">
        <v>342</v>
      </c>
    </row>
    <row r="39" spans="1:84">
      <c r="A39">
        <f t="shared" si="21"/>
        <v>3032200</v>
      </c>
      <c r="B39" s="6" t="s">
        <v>294</v>
      </c>
      <c r="C39">
        <v>3</v>
      </c>
      <c r="D39">
        <v>2</v>
      </c>
      <c r="E39">
        <v>2</v>
      </c>
      <c r="F39" s="3" t="s">
        <v>962</v>
      </c>
      <c r="G39" s="3" t="s">
        <v>962</v>
      </c>
      <c r="H39">
        <v>0</v>
      </c>
      <c r="I39">
        <v>0</v>
      </c>
      <c r="J39">
        <v>0</v>
      </c>
      <c r="K39" s="2" t="s">
        <v>314</v>
      </c>
      <c r="L39" s="2">
        <f t="shared" si="22"/>
        <v>3</v>
      </c>
      <c r="M39" s="2">
        <f t="shared" si="28"/>
        <v>1.5</v>
      </c>
      <c r="N39" s="2">
        <f t="shared" si="28"/>
        <v>1.2</v>
      </c>
      <c r="O39" s="2">
        <v>10</v>
      </c>
      <c r="P39" s="2">
        <f t="shared" si="29"/>
        <v>96</v>
      </c>
      <c r="Q39" s="2">
        <f t="shared" si="29"/>
        <v>9.6</v>
      </c>
      <c r="R39" s="2">
        <f t="shared" si="29"/>
        <v>1152</v>
      </c>
      <c r="S39" s="2">
        <f t="shared" si="29"/>
        <v>115.2</v>
      </c>
      <c r="T39" s="2">
        <f t="shared" si="29"/>
        <v>24</v>
      </c>
      <c r="U39" s="2">
        <f t="shared" si="29"/>
        <v>2.4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6">
        <v>322001</v>
      </c>
      <c r="AB39" s="14" t="s">
        <v>1528</v>
      </c>
      <c r="AC39" s="15" t="s">
        <v>869</v>
      </c>
      <c r="AD39" s="2">
        <v>3042200</v>
      </c>
      <c r="AE39" s="2">
        <v>4</v>
      </c>
      <c r="AF39" s="2">
        <v>1</v>
      </c>
      <c r="AG39" s="2">
        <f t="shared" si="30"/>
        <v>3032200</v>
      </c>
      <c r="AH39" s="2">
        <v>2</v>
      </c>
      <c r="AI39" s="2"/>
      <c r="AJ39">
        <v>1</v>
      </c>
      <c r="AK39" s="1">
        <f t="shared" si="2"/>
        <v>28.250590316873087</v>
      </c>
      <c r="AL39">
        <v>3</v>
      </c>
      <c r="AM39">
        <f t="shared" si="23"/>
        <v>96</v>
      </c>
      <c r="AN39">
        <f t="shared" si="24"/>
        <v>9.6000000000000014</v>
      </c>
      <c r="AO39">
        <f t="shared" si="25"/>
        <v>1152</v>
      </c>
      <c r="AP39">
        <f t="shared" si="26"/>
        <v>115.2</v>
      </c>
      <c r="AQ39">
        <f t="shared" si="3"/>
        <v>24</v>
      </c>
      <c r="AR39">
        <f t="shared" si="4"/>
        <v>2.4000000000000004</v>
      </c>
      <c r="AS39">
        <f t="shared" si="5"/>
        <v>1.5</v>
      </c>
      <c r="AT39">
        <f t="shared" si="6"/>
        <v>1.2</v>
      </c>
      <c r="AU39">
        <f t="shared" si="7"/>
        <v>3</v>
      </c>
      <c r="AV39">
        <f t="shared" si="31"/>
        <v>2002</v>
      </c>
      <c r="AW39" s="1">
        <v>0</v>
      </c>
      <c r="AX39">
        <v>3</v>
      </c>
      <c r="AY39">
        <v>0</v>
      </c>
      <c r="AZ39" s="20">
        <v>5023</v>
      </c>
      <c r="BA39" s="59"/>
      <c r="BB39" s="20">
        <v>1.35</v>
      </c>
      <c r="BC39" s="20">
        <f t="shared" si="18"/>
        <v>0.7407407407407407</v>
      </c>
      <c r="BD39" s="22">
        <v>7</v>
      </c>
      <c r="BE39" s="23">
        <v>1.4</v>
      </c>
      <c r="BF39" s="25">
        <f t="shared" si="19"/>
        <v>100.8</v>
      </c>
      <c r="BG39" s="25">
        <f t="shared" si="12"/>
        <v>711.11111111111109</v>
      </c>
      <c r="BH39" s="25">
        <f t="shared" si="13"/>
        <v>14.4</v>
      </c>
      <c r="BI39">
        <v>6</v>
      </c>
      <c r="BJ39">
        <f t="shared" si="14"/>
        <v>72</v>
      </c>
      <c r="BK39">
        <f t="shared" si="15"/>
        <v>1</v>
      </c>
      <c r="BL39" s="20">
        <v>30</v>
      </c>
      <c r="BM39">
        <f t="shared" si="16"/>
        <v>2</v>
      </c>
      <c r="BN39" s="20">
        <v>60</v>
      </c>
      <c r="CB39" s="2" t="s">
        <v>332</v>
      </c>
      <c r="CC39" s="6" t="s">
        <v>349</v>
      </c>
      <c r="CE39" t="str">
        <f t="shared" si="27"/>
        <v>DATA_Class_Base13</v>
      </c>
      <c r="CF39" s="6" t="s">
        <v>295</v>
      </c>
    </row>
    <row r="40" spans="1:84">
      <c r="A40">
        <f t="shared" si="21"/>
        <v>3032201</v>
      </c>
      <c r="B40" s="6" t="s">
        <v>296</v>
      </c>
      <c r="C40">
        <v>3</v>
      </c>
      <c r="D40">
        <v>2</v>
      </c>
      <c r="E40">
        <v>2</v>
      </c>
      <c r="F40" s="3" t="s">
        <v>297</v>
      </c>
      <c r="G40" s="3" t="s">
        <v>297</v>
      </c>
      <c r="H40">
        <v>0</v>
      </c>
      <c r="I40">
        <v>0</v>
      </c>
      <c r="J40">
        <v>0</v>
      </c>
      <c r="K40" s="8" t="s">
        <v>298</v>
      </c>
      <c r="L40" s="2">
        <f t="shared" si="22"/>
        <v>3</v>
      </c>
      <c r="M40" s="2">
        <f t="shared" si="28"/>
        <v>1.8</v>
      </c>
      <c r="N40" s="2">
        <f t="shared" si="28"/>
        <v>1.8</v>
      </c>
      <c r="O40" s="2">
        <v>10</v>
      </c>
      <c r="P40" s="2">
        <f t="shared" si="29"/>
        <v>80.64</v>
      </c>
      <c r="Q40" s="2">
        <f t="shared" si="29"/>
        <v>8.06</v>
      </c>
      <c r="R40" s="2">
        <f t="shared" si="29"/>
        <v>1645.71</v>
      </c>
      <c r="S40" s="2">
        <f t="shared" si="29"/>
        <v>164.57</v>
      </c>
      <c r="T40" s="2">
        <f t="shared" si="29"/>
        <v>26.88</v>
      </c>
      <c r="U40" s="2">
        <f t="shared" si="29"/>
        <v>2.69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3">
        <v>322011</v>
      </c>
      <c r="AB40" s="14" t="s">
        <v>299</v>
      </c>
      <c r="AC40" s="15" t="s">
        <v>869</v>
      </c>
      <c r="AD40" s="2">
        <v>3042201</v>
      </c>
      <c r="AE40" s="2">
        <v>4</v>
      </c>
      <c r="AF40" s="2">
        <v>1</v>
      </c>
      <c r="AG40" s="2">
        <f t="shared" si="30"/>
        <v>3032201</v>
      </c>
      <c r="AH40" s="2">
        <v>2</v>
      </c>
      <c r="AI40" s="2"/>
      <c r="AJ40">
        <v>1</v>
      </c>
      <c r="AK40" s="1">
        <f t="shared" si="2"/>
        <v>28.268596371502522</v>
      </c>
      <c r="AL40">
        <v>3</v>
      </c>
      <c r="AM40">
        <f t="shared" si="23"/>
        <v>80.64</v>
      </c>
      <c r="AN40">
        <f t="shared" si="24"/>
        <v>8.0640000000000001</v>
      </c>
      <c r="AO40">
        <f t="shared" si="25"/>
        <v>1645.7142857142858</v>
      </c>
      <c r="AP40">
        <f t="shared" si="26"/>
        <v>164.57142857142858</v>
      </c>
      <c r="AQ40">
        <f t="shared" si="3"/>
        <v>26.88</v>
      </c>
      <c r="AR40">
        <f t="shared" si="4"/>
        <v>2.6880000000000002</v>
      </c>
      <c r="AS40">
        <f t="shared" si="5"/>
        <v>1.8</v>
      </c>
      <c r="AT40">
        <f t="shared" si="6"/>
        <v>1.8</v>
      </c>
      <c r="AU40">
        <f t="shared" si="7"/>
        <v>3</v>
      </c>
      <c r="AV40">
        <f t="shared" si="31"/>
        <v>2012</v>
      </c>
      <c r="AW40" s="1">
        <v>1</v>
      </c>
      <c r="AX40">
        <v>3</v>
      </c>
      <c r="AY40">
        <v>0</v>
      </c>
      <c r="AZ40" s="20">
        <v>6004</v>
      </c>
      <c r="BA40" s="21" t="s">
        <v>198</v>
      </c>
      <c r="BB40" s="20">
        <v>1.1000000000000001</v>
      </c>
      <c r="BC40" s="20">
        <f t="shared" si="18"/>
        <v>0.90909090909090906</v>
      </c>
      <c r="BD40" s="22">
        <v>4</v>
      </c>
      <c r="BE40" s="23">
        <v>1.4</v>
      </c>
      <c r="BF40" s="25">
        <f t="shared" si="19"/>
        <v>82.133333333333326</v>
      </c>
      <c r="BG40" s="25">
        <f t="shared" si="12"/>
        <v>872.72727272727275</v>
      </c>
      <c r="BH40" s="25">
        <f t="shared" si="13"/>
        <v>20.533333333333331</v>
      </c>
      <c r="BI40">
        <v>3</v>
      </c>
      <c r="BJ40">
        <f t="shared" si="14"/>
        <v>58.666666666666664</v>
      </c>
      <c r="BK40">
        <f t="shared" si="15"/>
        <v>1</v>
      </c>
      <c r="BL40" s="20">
        <v>30</v>
      </c>
      <c r="BM40">
        <f t="shared" si="16"/>
        <v>1.6666666666666667</v>
      </c>
      <c r="BN40" s="20">
        <v>50</v>
      </c>
      <c r="CB40" s="2" t="s">
        <v>337</v>
      </c>
      <c r="CC40" s="6" t="s">
        <v>355</v>
      </c>
      <c r="CE40" t="str">
        <f t="shared" si="27"/>
        <v>DATA_Class_Base14</v>
      </c>
      <c r="CF40" s="6" t="s">
        <v>300</v>
      </c>
    </row>
    <row r="41" spans="1:84">
      <c r="A41">
        <f t="shared" si="21"/>
        <v>3032202</v>
      </c>
      <c r="B41" s="6" t="s">
        <v>278</v>
      </c>
      <c r="C41">
        <v>3</v>
      </c>
      <c r="D41">
        <v>2</v>
      </c>
      <c r="E41">
        <v>2</v>
      </c>
      <c r="F41" s="3" t="s">
        <v>1529</v>
      </c>
      <c r="G41" s="3" t="s">
        <v>1529</v>
      </c>
      <c r="H41">
        <v>0</v>
      </c>
      <c r="I41">
        <v>0</v>
      </c>
      <c r="J41" s="2">
        <v>0</v>
      </c>
      <c r="K41" s="2" t="s">
        <v>280</v>
      </c>
      <c r="L41" s="2">
        <f t="shared" si="22"/>
        <v>3</v>
      </c>
      <c r="M41" s="2">
        <f t="shared" si="28"/>
        <v>1.8</v>
      </c>
      <c r="N41" s="2">
        <f t="shared" si="28"/>
        <v>2</v>
      </c>
      <c r="O41" s="2">
        <v>10</v>
      </c>
      <c r="P41" s="2">
        <f t="shared" si="29"/>
        <v>132.47999999999999</v>
      </c>
      <c r="Q41" s="2">
        <f t="shared" si="29"/>
        <v>13.25</v>
      </c>
      <c r="R41" s="2">
        <f t="shared" si="29"/>
        <v>1001.74</v>
      </c>
      <c r="S41" s="2">
        <f t="shared" si="29"/>
        <v>100.17</v>
      </c>
      <c r="T41" s="2">
        <f t="shared" si="29"/>
        <v>26.5</v>
      </c>
      <c r="U41" s="2">
        <f t="shared" si="29"/>
        <v>2.65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3">
        <v>322021</v>
      </c>
      <c r="AB41" s="14" t="s">
        <v>1530</v>
      </c>
      <c r="AC41" s="15" t="s">
        <v>869</v>
      </c>
      <c r="AD41" s="2">
        <v>3042202</v>
      </c>
      <c r="AE41" s="2">
        <v>4</v>
      </c>
      <c r="AF41" s="2">
        <v>1</v>
      </c>
      <c r="AG41" s="2">
        <f t="shared" si="30"/>
        <v>3032202</v>
      </c>
      <c r="AH41" s="2">
        <v>2</v>
      </c>
      <c r="AI41" s="2"/>
      <c r="AJ41">
        <v>1</v>
      </c>
      <c r="AK41" s="1">
        <f t="shared" si="2"/>
        <v>28.266194238157532</v>
      </c>
      <c r="AL41">
        <v>3</v>
      </c>
      <c r="AM41">
        <f t="shared" si="23"/>
        <v>132.47999999999999</v>
      </c>
      <c r="AN41">
        <f t="shared" si="24"/>
        <v>13.247999999999999</v>
      </c>
      <c r="AO41">
        <f t="shared" si="25"/>
        <v>1001.7391304347826</v>
      </c>
      <c r="AP41">
        <f t="shared" si="26"/>
        <v>100.17391304347827</v>
      </c>
      <c r="AQ41">
        <f t="shared" si="3"/>
        <v>26.495999999999999</v>
      </c>
      <c r="AR41">
        <f t="shared" si="4"/>
        <v>2.6496</v>
      </c>
      <c r="AS41">
        <f t="shared" si="5"/>
        <v>1.8</v>
      </c>
      <c r="AT41">
        <f t="shared" si="6"/>
        <v>2</v>
      </c>
      <c r="AU41">
        <f t="shared" si="7"/>
        <v>3</v>
      </c>
      <c r="AV41">
        <f t="shared" si="31"/>
        <v>2022</v>
      </c>
      <c r="AW41" s="1">
        <v>2</v>
      </c>
      <c r="AX41">
        <v>3</v>
      </c>
      <c r="AY41">
        <v>0</v>
      </c>
      <c r="AZ41" s="20">
        <v>6011</v>
      </c>
      <c r="BA41" s="59" t="s">
        <v>393</v>
      </c>
      <c r="BB41" s="20">
        <v>1</v>
      </c>
      <c r="BC41" s="20">
        <f t="shared" si="18"/>
        <v>1</v>
      </c>
      <c r="BD41" s="22">
        <v>4</v>
      </c>
      <c r="BE41" s="23">
        <v>1.5</v>
      </c>
      <c r="BF41" s="25">
        <f t="shared" si="19"/>
        <v>80</v>
      </c>
      <c r="BG41" s="25">
        <f t="shared" si="12"/>
        <v>960</v>
      </c>
      <c r="BH41" s="25">
        <f t="shared" si="13"/>
        <v>20</v>
      </c>
      <c r="BI41">
        <v>6</v>
      </c>
      <c r="BJ41">
        <f t="shared" si="14"/>
        <v>53.333333333333336</v>
      </c>
      <c r="BK41">
        <f t="shared" si="15"/>
        <v>1.2333333333333334</v>
      </c>
      <c r="BL41" s="20">
        <v>37</v>
      </c>
      <c r="BM41">
        <f t="shared" si="16"/>
        <v>2.1666666666666665</v>
      </c>
      <c r="BN41" s="20">
        <v>65</v>
      </c>
      <c r="CB41" s="2" t="s">
        <v>343</v>
      </c>
      <c r="CC41" s="6" t="s">
        <v>361</v>
      </c>
      <c r="CE41" t="str">
        <f t="shared" si="27"/>
        <v>DATA_Class_Base15</v>
      </c>
      <c r="CF41" s="6" t="s">
        <v>306</v>
      </c>
    </row>
    <row r="42" spans="1:84">
      <c r="A42">
        <f t="shared" si="21"/>
        <v>3032301</v>
      </c>
      <c r="B42" s="6" t="s">
        <v>283</v>
      </c>
      <c r="C42">
        <v>3</v>
      </c>
      <c r="D42">
        <v>3</v>
      </c>
      <c r="E42">
        <v>2</v>
      </c>
      <c r="F42" s="3" t="s">
        <v>1531</v>
      </c>
      <c r="G42" s="3" t="s">
        <v>1531</v>
      </c>
      <c r="H42">
        <v>0</v>
      </c>
      <c r="I42">
        <v>0</v>
      </c>
      <c r="J42">
        <v>0</v>
      </c>
      <c r="K42" s="2" t="s">
        <v>285</v>
      </c>
      <c r="L42" s="2">
        <f t="shared" si="22"/>
        <v>3</v>
      </c>
      <c r="M42" s="2">
        <f t="shared" si="28"/>
        <v>1.2</v>
      </c>
      <c r="N42" s="2">
        <f t="shared" si="28"/>
        <v>1.7</v>
      </c>
      <c r="O42" s="2">
        <v>10</v>
      </c>
      <c r="P42" s="2">
        <f t="shared" si="29"/>
        <v>99.84</v>
      </c>
      <c r="Q42" s="2">
        <f t="shared" si="29"/>
        <v>9.98</v>
      </c>
      <c r="R42" s="2">
        <f t="shared" si="29"/>
        <v>886.15</v>
      </c>
      <c r="S42" s="2">
        <f t="shared" si="29"/>
        <v>88.62</v>
      </c>
      <c r="T42" s="2">
        <f t="shared" si="29"/>
        <v>16.64</v>
      </c>
      <c r="U42" s="2">
        <f t="shared" si="29"/>
        <v>1.66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3">
        <v>323011</v>
      </c>
      <c r="AB42" s="14" t="s">
        <v>1532</v>
      </c>
      <c r="AC42" s="15" t="s">
        <v>869</v>
      </c>
      <c r="AD42" s="2">
        <v>3042301</v>
      </c>
      <c r="AE42" s="2">
        <v>4</v>
      </c>
      <c r="AF42" s="2">
        <v>1</v>
      </c>
      <c r="AG42" s="2">
        <f t="shared" si="30"/>
        <v>3032301</v>
      </c>
      <c r="AH42" s="2">
        <v>2</v>
      </c>
      <c r="AI42" s="2"/>
      <c r="AJ42">
        <v>1</v>
      </c>
      <c r="AK42" s="1">
        <f t="shared" si="2"/>
        <v>28.20467888847493</v>
      </c>
      <c r="AL42">
        <v>3</v>
      </c>
      <c r="AM42">
        <f t="shared" si="23"/>
        <v>99.84</v>
      </c>
      <c r="AN42">
        <f t="shared" si="24"/>
        <v>9.9840000000000018</v>
      </c>
      <c r="AO42">
        <f t="shared" si="25"/>
        <v>886.15384615384596</v>
      </c>
      <c r="AP42">
        <f t="shared" si="26"/>
        <v>88.615384615384599</v>
      </c>
      <c r="AQ42">
        <f t="shared" si="3"/>
        <v>16.64</v>
      </c>
      <c r="AR42">
        <f t="shared" si="4"/>
        <v>1.6640000000000001</v>
      </c>
      <c r="AS42">
        <f t="shared" si="5"/>
        <v>1.2</v>
      </c>
      <c r="AT42">
        <f t="shared" si="6"/>
        <v>1.7</v>
      </c>
      <c r="AU42">
        <f t="shared" si="7"/>
        <v>3</v>
      </c>
      <c r="AV42">
        <f t="shared" si="31"/>
        <v>3012</v>
      </c>
      <c r="AW42" s="1">
        <v>1</v>
      </c>
      <c r="AX42">
        <v>3</v>
      </c>
      <c r="AY42">
        <v>0</v>
      </c>
      <c r="AZ42" s="20">
        <v>6012</v>
      </c>
      <c r="BA42" s="59"/>
      <c r="BB42" s="20">
        <v>1.1000000000000001</v>
      </c>
      <c r="BC42" s="20">
        <f t="shared" si="18"/>
        <v>0.90909090909090906</v>
      </c>
      <c r="BD42" s="22">
        <v>5</v>
      </c>
      <c r="BE42" s="23">
        <v>1.5</v>
      </c>
      <c r="BF42" s="25">
        <f t="shared" si="19"/>
        <v>88</v>
      </c>
      <c r="BG42" s="25">
        <f t="shared" si="12"/>
        <v>872.72727272727275</v>
      </c>
      <c r="BH42" s="25">
        <f t="shared" si="13"/>
        <v>17.600000000000001</v>
      </c>
      <c r="BI42">
        <v>6</v>
      </c>
      <c r="BJ42">
        <f t="shared" si="14"/>
        <v>58.666666666666664</v>
      </c>
      <c r="BK42">
        <f t="shared" si="15"/>
        <v>1.2333333333333334</v>
      </c>
      <c r="BL42" s="20">
        <v>37</v>
      </c>
      <c r="BM42">
        <f t="shared" si="16"/>
        <v>2.1666666666666665</v>
      </c>
      <c r="BN42" s="20">
        <v>65</v>
      </c>
      <c r="CB42" s="8" t="s">
        <v>350</v>
      </c>
      <c r="CC42" s="6" t="s">
        <v>366</v>
      </c>
      <c r="CE42" t="str">
        <f t="shared" si="27"/>
        <v>DATA_Class_Base16</v>
      </c>
      <c r="CF42" s="6" t="s">
        <v>312</v>
      </c>
    </row>
    <row r="43" spans="1:84">
      <c r="A43">
        <f t="shared" si="21"/>
        <v>3032401</v>
      </c>
      <c r="B43" s="6" t="s">
        <v>317</v>
      </c>
      <c r="C43">
        <v>3</v>
      </c>
      <c r="D43">
        <v>4</v>
      </c>
      <c r="E43">
        <v>2</v>
      </c>
      <c r="F43" s="3" t="s">
        <v>1533</v>
      </c>
      <c r="G43" s="3" t="s">
        <v>1533</v>
      </c>
      <c r="H43">
        <v>0</v>
      </c>
      <c r="I43">
        <v>0</v>
      </c>
      <c r="J43" s="2">
        <v>0</v>
      </c>
      <c r="K43" s="2" t="s">
        <v>161</v>
      </c>
      <c r="L43" s="2">
        <f t="shared" si="22"/>
        <v>6</v>
      </c>
      <c r="M43" s="2">
        <f t="shared" si="28"/>
        <v>1.6</v>
      </c>
      <c r="N43" s="2">
        <f t="shared" si="28"/>
        <v>1.5</v>
      </c>
      <c r="O43" s="2">
        <v>10</v>
      </c>
      <c r="P43" s="2">
        <f t="shared" si="29"/>
        <v>133.12</v>
      </c>
      <c r="Q43" s="2">
        <f t="shared" si="29"/>
        <v>13.31</v>
      </c>
      <c r="R43" s="2">
        <f t="shared" si="29"/>
        <v>886.15</v>
      </c>
      <c r="S43" s="2">
        <f t="shared" si="29"/>
        <v>88.62</v>
      </c>
      <c r="T43" s="2">
        <f t="shared" si="29"/>
        <v>14.79</v>
      </c>
      <c r="U43" s="2">
        <f t="shared" si="29"/>
        <v>1.48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3">
        <v>324011</v>
      </c>
      <c r="AB43" s="14" t="s">
        <v>1534</v>
      </c>
      <c r="AC43" s="15" t="s">
        <v>869</v>
      </c>
      <c r="AD43" s="2">
        <v>3042401</v>
      </c>
      <c r="AE43" s="2">
        <v>4</v>
      </c>
      <c r="AF43" s="2">
        <v>1</v>
      </c>
      <c r="AG43" s="2">
        <f t="shared" si="30"/>
        <v>3032401</v>
      </c>
      <c r="AH43" s="2">
        <v>2</v>
      </c>
      <c r="AI43" s="2"/>
      <c r="AJ43">
        <v>1</v>
      </c>
      <c r="AK43" s="1">
        <f t="shared" si="2"/>
        <v>28.1931690250372</v>
      </c>
      <c r="AL43">
        <v>3</v>
      </c>
      <c r="AM43">
        <f t="shared" si="23"/>
        <v>133.12</v>
      </c>
      <c r="AN43">
        <f t="shared" si="24"/>
        <v>13.312000000000001</v>
      </c>
      <c r="AO43">
        <f t="shared" si="25"/>
        <v>886.15384615384596</v>
      </c>
      <c r="AP43">
        <f t="shared" si="26"/>
        <v>88.615384615384599</v>
      </c>
      <c r="AQ43">
        <f t="shared" si="3"/>
        <v>14.791111111111112</v>
      </c>
      <c r="AR43">
        <f t="shared" si="4"/>
        <v>1.4791111111111113</v>
      </c>
      <c r="AS43">
        <f t="shared" si="5"/>
        <v>1.6</v>
      </c>
      <c r="AT43">
        <f t="shared" si="6"/>
        <v>1.5</v>
      </c>
      <c r="AU43">
        <f t="shared" si="7"/>
        <v>6</v>
      </c>
      <c r="AV43">
        <f t="shared" si="31"/>
        <v>4012</v>
      </c>
      <c r="AW43" s="1">
        <v>1</v>
      </c>
      <c r="AX43">
        <v>3</v>
      </c>
      <c r="AY43">
        <v>0</v>
      </c>
      <c r="AZ43" s="20">
        <v>6013</v>
      </c>
      <c r="BA43" s="59"/>
      <c r="BB43" s="20">
        <v>0.9</v>
      </c>
      <c r="BC43" s="20">
        <f t="shared" si="18"/>
        <v>1.1111111111111112</v>
      </c>
      <c r="BD43" s="22">
        <v>3</v>
      </c>
      <c r="BE43" s="23">
        <v>1.5</v>
      </c>
      <c r="BF43" s="25">
        <f t="shared" si="19"/>
        <v>72</v>
      </c>
      <c r="BG43" s="25">
        <f t="shared" si="12"/>
        <v>1066.6666666666667</v>
      </c>
      <c r="BH43" s="25">
        <f t="shared" si="13"/>
        <v>24</v>
      </c>
      <c r="BI43">
        <v>6</v>
      </c>
      <c r="BJ43">
        <f t="shared" si="14"/>
        <v>48</v>
      </c>
      <c r="BK43">
        <f t="shared" si="15"/>
        <v>1.2333333333333334</v>
      </c>
      <c r="BL43" s="20">
        <v>37</v>
      </c>
      <c r="BM43">
        <f t="shared" si="16"/>
        <v>2.1666666666666665</v>
      </c>
      <c r="BN43" s="20">
        <v>65</v>
      </c>
      <c r="CB43" s="2" t="s">
        <v>356</v>
      </c>
      <c r="CC43" s="6" t="s">
        <v>369</v>
      </c>
      <c r="CE43" t="str">
        <f t="shared" si="27"/>
        <v>DATA_Class_Base17</v>
      </c>
      <c r="CF43" s="6" t="s">
        <v>318</v>
      </c>
    </row>
    <row r="44" spans="1:84">
      <c r="A44">
        <f t="shared" si="21"/>
        <v>3032402</v>
      </c>
      <c r="B44" s="6" t="s">
        <v>323</v>
      </c>
      <c r="C44">
        <v>3</v>
      </c>
      <c r="D44">
        <v>4</v>
      </c>
      <c r="E44">
        <v>2</v>
      </c>
      <c r="F44" s="3" t="s">
        <v>969</v>
      </c>
      <c r="G44" s="3" t="s">
        <v>969</v>
      </c>
      <c r="H44">
        <v>0</v>
      </c>
      <c r="I44">
        <v>0</v>
      </c>
      <c r="J44">
        <v>0</v>
      </c>
      <c r="K44" s="2" t="s">
        <v>250</v>
      </c>
      <c r="L44" s="2">
        <f t="shared" si="22"/>
        <v>6</v>
      </c>
      <c r="M44" s="2">
        <f t="shared" si="28"/>
        <v>1.5</v>
      </c>
      <c r="N44" s="2">
        <f t="shared" si="28"/>
        <v>1.5</v>
      </c>
      <c r="O44" s="2">
        <v>10</v>
      </c>
      <c r="P44" s="2">
        <f t="shared" si="29"/>
        <v>134.4</v>
      </c>
      <c r="Q44" s="2">
        <f t="shared" si="29"/>
        <v>13.44</v>
      </c>
      <c r="R44" s="2">
        <f t="shared" si="29"/>
        <v>822.86</v>
      </c>
      <c r="S44" s="2">
        <f t="shared" si="29"/>
        <v>82.29</v>
      </c>
      <c r="T44" s="2">
        <f t="shared" si="29"/>
        <v>16.8</v>
      </c>
      <c r="U44" s="2">
        <f t="shared" si="29"/>
        <v>1.68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3">
        <v>324021</v>
      </c>
      <c r="AB44" s="14" t="s">
        <v>1535</v>
      </c>
      <c r="AC44" s="15" t="s">
        <v>869</v>
      </c>
      <c r="AD44" s="2">
        <v>3042402</v>
      </c>
      <c r="AE44" s="2">
        <v>4</v>
      </c>
      <c r="AF44" s="2">
        <v>1</v>
      </c>
      <c r="AG44" s="2">
        <f t="shared" si="30"/>
        <v>3032402</v>
      </c>
      <c r="AH44" s="2">
        <v>2</v>
      </c>
      <c r="AI44" s="2"/>
      <c r="AJ44">
        <v>1</v>
      </c>
      <c r="AK44" s="1">
        <f t="shared" si="2"/>
        <v>28.205675376190396</v>
      </c>
      <c r="AL44">
        <v>3</v>
      </c>
      <c r="AM44">
        <f t="shared" si="23"/>
        <v>134.39999999999995</v>
      </c>
      <c r="AN44">
        <f t="shared" si="24"/>
        <v>13.439999999999996</v>
      </c>
      <c r="AO44">
        <f t="shared" si="25"/>
        <v>822.85714285714289</v>
      </c>
      <c r="AP44">
        <f t="shared" si="26"/>
        <v>82.285714285714292</v>
      </c>
      <c r="AQ44">
        <f t="shared" si="3"/>
        <v>16.799999999999994</v>
      </c>
      <c r="AR44">
        <f t="shared" si="4"/>
        <v>1.6799999999999995</v>
      </c>
      <c r="AS44">
        <f t="shared" si="5"/>
        <v>1.5</v>
      </c>
      <c r="AT44">
        <f t="shared" si="6"/>
        <v>1.5</v>
      </c>
      <c r="AU44">
        <f t="shared" si="7"/>
        <v>6</v>
      </c>
      <c r="AV44">
        <f t="shared" si="31"/>
        <v>4022</v>
      </c>
      <c r="AW44" s="1">
        <v>2</v>
      </c>
      <c r="AX44">
        <v>3</v>
      </c>
      <c r="AY44">
        <v>0</v>
      </c>
      <c r="AZ44" s="20">
        <v>6024</v>
      </c>
      <c r="BA44" s="21" t="s">
        <v>203</v>
      </c>
      <c r="BB44" s="20">
        <v>1</v>
      </c>
      <c r="BC44" s="20">
        <f t="shared" si="18"/>
        <v>1</v>
      </c>
      <c r="BD44" s="22">
        <v>5</v>
      </c>
      <c r="BE44" s="23">
        <v>1.8</v>
      </c>
      <c r="BF44" s="25">
        <f t="shared" si="19"/>
        <v>96</v>
      </c>
      <c r="BG44" s="25">
        <f t="shared" si="12"/>
        <v>960</v>
      </c>
      <c r="BH44" s="25">
        <f t="shared" si="13"/>
        <v>19.2</v>
      </c>
      <c r="BI44">
        <v>6</v>
      </c>
      <c r="BJ44">
        <f t="shared" si="14"/>
        <v>53.333333333333329</v>
      </c>
      <c r="BK44">
        <f t="shared" si="15"/>
        <v>1.6666666666666667</v>
      </c>
      <c r="BL44" s="20">
        <v>50</v>
      </c>
      <c r="BM44">
        <f t="shared" si="16"/>
        <v>2.5</v>
      </c>
      <c r="BN44" s="20">
        <v>75</v>
      </c>
      <c r="CB44" s="2" t="s">
        <v>362</v>
      </c>
      <c r="CC44" s="6" t="s">
        <v>371</v>
      </c>
      <c r="CE44" t="str">
        <f t="shared" si="27"/>
        <v>DATA_Class_Base18</v>
      </c>
      <c r="CF44" s="6" t="s">
        <v>324</v>
      </c>
    </row>
    <row r="45" spans="1:84">
      <c r="A45">
        <f t="shared" si="21"/>
        <v>3032500</v>
      </c>
      <c r="B45" s="6" t="s">
        <v>301</v>
      </c>
      <c r="C45">
        <v>3</v>
      </c>
      <c r="D45">
        <v>5</v>
      </c>
      <c r="E45">
        <v>2</v>
      </c>
      <c r="F45" s="3" t="s">
        <v>302</v>
      </c>
      <c r="G45" s="3" t="s">
        <v>302</v>
      </c>
      <c r="H45">
        <v>0</v>
      </c>
      <c r="I45">
        <v>0</v>
      </c>
      <c r="J45" s="2">
        <v>0</v>
      </c>
      <c r="K45" s="2" t="s">
        <v>303</v>
      </c>
      <c r="L45" s="2">
        <f t="shared" si="22"/>
        <v>6</v>
      </c>
      <c r="M45" s="2">
        <f t="shared" si="28"/>
        <v>1.5</v>
      </c>
      <c r="N45" s="2">
        <f t="shared" si="28"/>
        <v>2</v>
      </c>
      <c r="O45" s="2">
        <v>10</v>
      </c>
      <c r="P45" s="2">
        <f t="shared" si="29"/>
        <v>144</v>
      </c>
      <c r="Q45" s="2">
        <f t="shared" si="29"/>
        <v>14.4</v>
      </c>
      <c r="R45" s="2">
        <f t="shared" si="29"/>
        <v>768</v>
      </c>
      <c r="S45" s="2">
        <f t="shared" si="29"/>
        <v>76.8</v>
      </c>
      <c r="T45" s="2">
        <f t="shared" si="29"/>
        <v>16</v>
      </c>
      <c r="U45" s="2">
        <f t="shared" si="29"/>
        <v>1.6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3">
        <v>325001</v>
      </c>
      <c r="AB45" s="14" t="s">
        <v>304</v>
      </c>
      <c r="AC45" s="15" t="s">
        <v>869</v>
      </c>
      <c r="AD45" s="2">
        <v>3042500</v>
      </c>
      <c r="AE45" s="2">
        <v>4</v>
      </c>
      <c r="AF45" s="2">
        <v>1</v>
      </c>
      <c r="AG45" s="2">
        <f t="shared" si="30"/>
        <v>3032500</v>
      </c>
      <c r="AH45" s="2">
        <v>2</v>
      </c>
      <c r="AI45" s="2"/>
      <c r="AJ45">
        <v>1</v>
      </c>
      <c r="AK45" s="1">
        <f t="shared" si="2"/>
        <v>28.200693641618496</v>
      </c>
      <c r="AL45">
        <v>3</v>
      </c>
      <c r="AM45">
        <f t="shared" si="23"/>
        <v>144</v>
      </c>
      <c r="AN45">
        <f t="shared" si="24"/>
        <v>14.4</v>
      </c>
      <c r="AO45">
        <f t="shared" si="25"/>
        <v>768</v>
      </c>
      <c r="AP45">
        <f t="shared" si="26"/>
        <v>76.800000000000011</v>
      </c>
      <c r="AQ45">
        <f t="shared" si="3"/>
        <v>16</v>
      </c>
      <c r="AR45">
        <f t="shared" si="4"/>
        <v>1.6</v>
      </c>
      <c r="AS45">
        <f t="shared" si="5"/>
        <v>1.5</v>
      </c>
      <c r="AT45">
        <f t="shared" si="6"/>
        <v>2</v>
      </c>
      <c r="AU45">
        <f t="shared" si="7"/>
        <v>6</v>
      </c>
      <c r="AV45">
        <f t="shared" si="31"/>
        <v>5002</v>
      </c>
      <c r="AW45" s="1">
        <v>0</v>
      </c>
      <c r="AX45">
        <v>3</v>
      </c>
      <c r="AY45">
        <v>0</v>
      </c>
      <c r="AZ45" s="20">
        <v>203</v>
      </c>
      <c r="BA45" s="21" t="s">
        <v>205</v>
      </c>
      <c r="BB45" s="20">
        <v>0.95</v>
      </c>
      <c r="BC45" s="20">
        <f t="shared" si="18"/>
        <v>1.0526315789473684</v>
      </c>
      <c r="BD45" s="22">
        <v>5</v>
      </c>
      <c r="BE45" s="23">
        <v>1.3</v>
      </c>
      <c r="BF45" s="25">
        <f t="shared" si="19"/>
        <v>65.86666666666666</v>
      </c>
      <c r="BG45" s="25">
        <f t="shared" si="12"/>
        <v>1010.5263157894736</v>
      </c>
      <c r="BH45" s="25">
        <f t="shared" si="13"/>
        <v>13.173333333333332</v>
      </c>
      <c r="BI45">
        <v>3</v>
      </c>
      <c r="BJ45">
        <f t="shared" si="14"/>
        <v>50.666666666666657</v>
      </c>
      <c r="BK45">
        <f t="shared" si="15"/>
        <v>0.93333333333333335</v>
      </c>
      <c r="BL45" s="20">
        <v>28</v>
      </c>
      <c r="BM45">
        <f t="shared" si="16"/>
        <v>1.6666666666666667</v>
      </c>
      <c r="BN45" s="20">
        <v>50</v>
      </c>
      <c r="CB45" s="2" t="s">
        <v>373</v>
      </c>
      <c r="CC45" s="3" t="s">
        <v>374</v>
      </c>
      <c r="CE45" t="str">
        <f t="shared" si="27"/>
        <v>DATA_Class_Base19</v>
      </c>
      <c r="CF45" s="6" t="s">
        <v>331</v>
      </c>
    </row>
    <row r="46" spans="1:84">
      <c r="A46">
        <f t="shared" si="21"/>
        <v>3032502</v>
      </c>
      <c r="B46" s="6" t="s">
        <v>289</v>
      </c>
      <c r="C46">
        <v>3</v>
      </c>
      <c r="D46">
        <v>5</v>
      </c>
      <c r="E46">
        <v>2</v>
      </c>
      <c r="F46" s="3" t="s">
        <v>972</v>
      </c>
      <c r="G46" s="3" t="s">
        <v>972</v>
      </c>
      <c r="H46">
        <v>0</v>
      </c>
      <c r="I46">
        <v>0</v>
      </c>
      <c r="J46" s="2">
        <v>0</v>
      </c>
      <c r="K46" s="2" t="s">
        <v>291</v>
      </c>
      <c r="L46" s="2">
        <f t="shared" si="22"/>
        <v>6</v>
      </c>
      <c r="M46" s="2">
        <f t="shared" si="28"/>
        <v>1.4000000000000001</v>
      </c>
      <c r="N46" s="2">
        <f t="shared" si="28"/>
        <v>2</v>
      </c>
      <c r="O46" s="2">
        <v>10</v>
      </c>
      <c r="P46" s="2">
        <f t="shared" si="29"/>
        <v>138.88</v>
      </c>
      <c r="Q46" s="2">
        <f t="shared" si="29"/>
        <v>13.89</v>
      </c>
      <c r="R46" s="2">
        <f t="shared" si="29"/>
        <v>743.23</v>
      </c>
      <c r="S46" s="2">
        <f t="shared" si="29"/>
        <v>74.319999999999993</v>
      </c>
      <c r="T46" s="2">
        <f t="shared" si="29"/>
        <v>13.89</v>
      </c>
      <c r="U46" s="2">
        <f t="shared" si="29"/>
        <v>1.39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3">
        <v>325021</v>
      </c>
      <c r="AB46" s="14" t="s">
        <v>1536</v>
      </c>
      <c r="AC46" s="15" t="s">
        <v>869</v>
      </c>
      <c r="AD46" s="2">
        <v>3042502</v>
      </c>
      <c r="AE46" s="2">
        <v>4</v>
      </c>
      <c r="AF46" s="2">
        <v>1</v>
      </c>
      <c r="AG46" s="2">
        <f t="shared" si="30"/>
        <v>3032502</v>
      </c>
      <c r="AH46" s="2">
        <v>2</v>
      </c>
      <c r="AI46" s="2"/>
      <c r="AJ46">
        <v>1</v>
      </c>
      <c r="AK46" s="1">
        <f t="shared" si="2"/>
        <v>28.187550313726547</v>
      </c>
      <c r="AL46">
        <v>3</v>
      </c>
      <c r="AM46">
        <f t="shared" si="23"/>
        <v>138.87999999999997</v>
      </c>
      <c r="AN46">
        <f t="shared" si="24"/>
        <v>13.887999999999998</v>
      </c>
      <c r="AO46">
        <f t="shared" si="25"/>
        <v>743.22580645161293</v>
      </c>
      <c r="AP46">
        <f t="shared" si="26"/>
        <v>74.322580645161295</v>
      </c>
      <c r="AQ46">
        <f t="shared" si="3"/>
        <v>13.887999999999996</v>
      </c>
      <c r="AR46">
        <f t="shared" si="4"/>
        <v>1.3887999999999998</v>
      </c>
      <c r="AS46">
        <f t="shared" si="5"/>
        <v>1.4</v>
      </c>
      <c r="AT46">
        <f t="shared" si="6"/>
        <v>2</v>
      </c>
      <c r="AU46">
        <f t="shared" si="7"/>
        <v>6</v>
      </c>
      <c r="AV46">
        <f t="shared" si="31"/>
        <v>5022</v>
      </c>
      <c r="AW46" s="1">
        <v>2</v>
      </c>
      <c r="AX46">
        <v>3</v>
      </c>
      <c r="AY46">
        <v>0</v>
      </c>
      <c r="AZ46" s="20">
        <v>204</v>
      </c>
      <c r="BA46" s="21" t="s">
        <v>207</v>
      </c>
      <c r="BB46" s="20">
        <v>0.9</v>
      </c>
      <c r="BC46" s="20">
        <f t="shared" si="18"/>
        <v>1.1111111111111112</v>
      </c>
      <c r="BD46" s="22">
        <v>5</v>
      </c>
      <c r="BE46" s="23">
        <v>1.4</v>
      </c>
      <c r="BF46" s="25">
        <f t="shared" si="19"/>
        <v>67.2</v>
      </c>
      <c r="BG46" s="25">
        <f t="shared" si="12"/>
        <v>1066.6666666666667</v>
      </c>
      <c r="BH46" s="25">
        <f t="shared" si="13"/>
        <v>13.440000000000001</v>
      </c>
      <c r="BI46">
        <v>3</v>
      </c>
      <c r="BJ46">
        <f t="shared" si="14"/>
        <v>48.000000000000007</v>
      </c>
      <c r="BK46">
        <f t="shared" si="15"/>
        <v>1</v>
      </c>
      <c r="BL46" s="20">
        <v>30</v>
      </c>
      <c r="BM46">
        <f t="shared" si="16"/>
        <v>1</v>
      </c>
      <c r="BN46" s="20">
        <v>30</v>
      </c>
      <c r="CB46" s="2" t="s">
        <v>377</v>
      </c>
      <c r="CC46" s="3" t="s">
        <v>378</v>
      </c>
      <c r="CE46" t="str">
        <f t="shared" si="27"/>
        <v>DATA_Class_Base20</v>
      </c>
      <c r="CF46" s="6" t="s">
        <v>336</v>
      </c>
    </row>
    <row r="47" spans="1:84">
      <c r="A47">
        <f t="shared" si="21"/>
        <v>3032601</v>
      </c>
      <c r="B47" s="6" t="s">
        <v>307</v>
      </c>
      <c r="C47">
        <v>3</v>
      </c>
      <c r="D47">
        <v>6</v>
      </c>
      <c r="E47">
        <v>2</v>
      </c>
      <c r="F47" s="3" t="s">
        <v>308</v>
      </c>
      <c r="G47" s="3" t="s">
        <v>308</v>
      </c>
      <c r="H47">
        <v>0</v>
      </c>
      <c r="I47">
        <v>0</v>
      </c>
      <c r="J47" s="2">
        <v>0</v>
      </c>
      <c r="K47" s="2" t="s">
        <v>309</v>
      </c>
      <c r="L47" s="2">
        <f t="shared" si="22"/>
        <v>6</v>
      </c>
      <c r="M47" s="2">
        <f t="shared" si="28"/>
        <v>1.5</v>
      </c>
      <c r="N47" s="2">
        <f t="shared" si="28"/>
        <v>2</v>
      </c>
      <c r="O47" s="2">
        <v>10</v>
      </c>
      <c r="P47" s="2">
        <f t="shared" si="29"/>
        <v>105.6</v>
      </c>
      <c r="Q47" s="2">
        <f t="shared" si="29"/>
        <v>10.56</v>
      </c>
      <c r="R47" s="2">
        <f t="shared" si="29"/>
        <v>1047.27</v>
      </c>
      <c r="S47" s="2">
        <f t="shared" si="29"/>
        <v>104.73</v>
      </c>
      <c r="T47" s="2">
        <f t="shared" si="29"/>
        <v>21.12</v>
      </c>
      <c r="U47" s="2">
        <f t="shared" si="29"/>
        <v>2.11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3">
        <v>326011</v>
      </c>
      <c r="AB47" s="14" t="s">
        <v>310</v>
      </c>
      <c r="AC47" s="15" t="s">
        <v>869</v>
      </c>
      <c r="AD47" s="2">
        <v>3042601</v>
      </c>
      <c r="AE47" s="2">
        <v>4</v>
      </c>
      <c r="AF47" s="2">
        <v>1</v>
      </c>
      <c r="AG47" s="2">
        <f t="shared" si="30"/>
        <v>3032601</v>
      </c>
      <c r="AH47" s="2">
        <v>2</v>
      </c>
      <c r="AI47" s="2"/>
      <c r="AJ47">
        <v>1</v>
      </c>
      <c r="AK47" s="1">
        <f t="shared" si="2"/>
        <v>28.232607186029171</v>
      </c>
      <c r="AL47">
        <v>3</v>
      </c>
      <c r="AM47">
        <f t="shared" si="23"/>
        <v>105.6</v>
      </c>
      <c r="AN47">
        <f t="shared" si="24"/>
        <v>10.56</v>
      </c>
      <c r="AO47">
        <f t="shared" si="25"/>
        <v>1047.2727272727273</v>
      </c>
      <c r="AP47">
        <f t="shared" si="26"/>
        <v>104.72727272727273</v>
      </c>
      <c r="AQ47">
        <f t="shared" si="3"/>
        <v>21.119999999999997</v>
      </c>
      <c r="AR47">
        <f t="shared" si="4"/>
        <v>2.1119999999999997</v>
      </c>
      <c r="AS47">
        <f t="shared" si="5"/>
        <v>1.5</v>
      </c>
      <c r="AT47">
        <f t="shared" si="6"/>
        <v>2</v>
      </c>
      <c r="AU47">
        <f t="shared" si="7"/>
        <v>6</v>
      </c>
      <c r="AV47">
        <f t="shared" si="31"/>
        <v>6012</v>
      </c>
      <c r="AW47" s="1">
        <v>1</v>
      </c>
      <c r="AX47">
        <v>3</v>
      </c>
      <c r="AY47">
        <v>0</v>
      </c>
      <c r="AZ47" s="20">
        <v>205</v>
      </c>
      <c r="BA47" s="21" t="s">
        <v>209</v>
      </c>
      <c r="BB47" s="20">
        <v>1.05</v>
      </c>
      <c r="BC47" s="20">
        <f t="shared" si="18"/>
        <v>0.95238095238095233</v>
      </c>
      <c r="BD47" s="22">
        <v>5</v>
      </c>
      <c r="BE47" s="23">
        <v>1.8</v>
      </c>
      <c r="BF47" s="25">
        <f t="shared" si="19"/>
        <v>100.80000000000001</v>
      </c>
      <c r="BG47" s="25">
        <f t="shared" si="12"/>
        <v>914.28571428571422</v>
      </c>
      <c r="BH47" s="25">
        <f t="shared" si="13"/>
        <v>20.160000000000004</v>
      </c>
      <c r="BI47">
        <v>3</v>
      </c>
      <c r="BJ47">
        <f t="shared" si="14"/>
        <v>56.000000000000007</v>
      </c>
      <c r="BK47">
        <f t="shared" si="15"/>
        <v>1.6666666666666667</v>
      </c>
      <c r="BL47" s="20">
        <v>50</v>
      </c>
      <c r="BM47">
        <f t="shared" si="16"/>
        <v>2</v>
      </c>
      <c r="BN47" s="20">
        <v>60</v>
      </c>
      <c r="CB47" s="2" t="s">
        <v>380</v>
      </c>
      <c r="CC47" s="3" t="s">
        <v>381</v>
      </c>
      <c r="CE47" t="str">
        <f t="shared" si="27"/>
        <v>DATA_Class_Base21</v>
      </c>
      <c r="CF47" s="6" t="s">
        <v>342</v>
      </c>
    </row>
    <row r="48" spans="1:84">
      <c r="A48">
        <f t="shared" si="21"/>
        <v>3033200</v>
      </c>
      <c r="B48" s="6" t="s">
        <v>294</v>
      </c>
      <c r="C48">
        <v>3</v>
      </c>
      <c r="D48">
        <v>2</v>
      </c>
      <c r="E48">
        <v>3</v>
      </c>
      <c r="F48" s="3" t="s">
        <v>313</v>
      </c>
      <c r="G48" s="3" t="s">
        <v>313</v>
      </c>
      <c r="H48">
        <v>0</v>
      </c>
      <c r="I48">
        <v>0</v>
      </c>
      <c r="J48">
        <v>0</v>
      </c>
      <c r="K48" s="2" t="s">
        <v>314</v>
      </c>
      <c r="L48" s="2">
        <f t="shared" si="22"/>
        <v>3</v>
      </c>
      <c r="M48" s="2">
        <f t="shared" si="28"/>
        <v>1.5</v>
      </c>
      <c r="N48" s="2">
        <f t="shared" si="28"/>
        <v>1.2</v>
      </c>
      <c r="O48" s="2">
        <v>10</v>
      </c>
      <c r="P48" s="2">
        <f t="shared" si="29"/>
        <v>67.2</v>
      </c>
      <c r="Q48" s="2">
        <f t="shared" si="29"/>
        <v>6.72</v>
      </c>
      <c r="R48" s="2">
        <f t="shared" si="29"/>
        <v>1645.71</v>
      </c>
      <c r="S48" s="2">
        <f t="shared" si="29"/>
        <v>164.57</v>
      </c>
      <c r="T48" s="2">
        <f t="shared" si="29"/>
        <v>33.6</v>
      </c>
      <c r="U48" s="2">
        <f t="shared" si="29"/>
        <v>3.36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3">
        <v>332001</v>
      </c>
      <c r="AB48" s="14" t="s">
        <v>315</v>
      </c>
      <c r="AC48" s="15" t="s">
        <v>869</v>
      </c>
      <c r="AD48" s="2">
        <v>3043200</v>
      </c>
      <c r="AE48" s="2">
        <v>4</v>
      </c>
      <c r="AF48" s="2">
        <v>1</v>
      </c>
      <c r="AG48" s="2">
        <f t="shared" si="30"/>
        <v>3033200</v>
      </c>
      <c r="AH48" s="2">
        <v>2</v>
      </c>
      <c r="AI48" s="2"/>
      <c r="AJ48">
        <v>1</v>
      </c>
      <c r="AK48" s="1">
        <f t="shared" si="2"/>
        <v>28.310699893613588</v>
      </c>
      <c r="AL48">
        <v>3</v>
      </c>
      <c r="AM48">
        <f t="shared" si="23"/>
        <v>67.199999999999974</v>
      </c>
      <c r="AN48">
        <f t="shared" si="24"/>
        <v>6.719999999999998</v>
      </c>
      <c r="AO48">
        <f t="shared" si="25"/>
        <v>1645.7142857142858</v>
      </c>
      <c r="AP48">
        <f t="shared" si="26"/>
        <v>164.57142857142858</v>
      </c>
      <c r="AQ48">
        <f t="shared" si="3"/>
        <v>33.599999999999987</v>
      </c>
      <c r="AR48">
        <f t="shared" si="4"/>
        <v>3.359999999999999</v>
      </c>
      <c r="AS48">
        <f t="shared" si="5"/>
        <v>1.5</v>
      </c>
      <c r="AT48">
        <f t="shared" si="6"/>
        <v>1.2</v>
      </c>
      <c r="AU48">
        <f t="shared" si="7"/>
        <v>3</v>
      </c>
      <c r="AV48">
        <f t="shared" si="31"/>
        <v>2003</v>
      </c>
      <c r="AW48" s="1">
        <v>0</v>
      </c>
      <c r="AX48">
        <v>3</v>
      </c>
      <c r="AY48">
        <v>0</v>
      </c>
      <c r="AZ48" s="20">
        <v>206</v>
      </c>
      <c r="BA48" s="21" t="s">
        <v>210</v>
      </c>
      <c r="BB48" s="20">
        <v>1</v>
      </c>
      <c r="BC48" s="20">
        <f t="shared" si="18"/>
        <v>1</v>
      </c>
      <c r="BD48" s="22">
        <v>5</v>
      </c>
      <c r="BE48" s="23">
        <v>1.6</v>
      </c>
      <c r="BF48" s="25">
        <f t="shared" si="19"/>
        <v>85.333333333333329</v>
      </c>
      <c r="BG48" s="25">
        <f t="shared" si="12"/>
        <v>960</v>
      </c>
      <c r="BH48" s="25">
        <f t="shared" si="13"/>
        <v>17.066666666666666</v>
      </c>
      <c r="BI48">
        <v>3</v>
      </c>
      <c r="BJ48">
        <f t="shared" si="14"/>
        <v>53.333333333333329</v>
      </c>
      <c r="BK48">
        <f t="shared" si="15"/>
        <v>1.3666666666666667</v>
      </c>
      <c r="BL48" s="20">
        <v>41</v>
      </c>
      <c r="BM48">
        <f t="shared" si="16"/>
        <v>2.3333333333333335</v>
      </c>
      <c r="BN48" s="20">
        <v>70</v>
      </c>
      <c r="CB48" s="2" t="s">
        <v>383</v>
      </c>
      <c r="CC48" s="3" t="s">
        <v>384</v>
      </c>
      <c r="CE48" t="str">
        <f t="shared" si="27"/>
        <v>DATA_Class_Base13</v>
      </c>
      <c r="CF48" s="6" t="s">
        <v>295</v>
      </c>
    </row>
    <row r="49" spans="1:84">
      <c r="A49">
        <f t="shared" si="21"/>
        <v>3033201</v>
      </c>
      <c r="B49" s="6" t="s">
        <v>296</v>
      </c>
      <c r="C49">
        <v>3</v>
      </c>
      <c r="D49">
        <v>2</v>
      </c>
      <c r="E49">
        <v>3</v>
      </c>
      <c r="F49" s="3" t="s">
        <v>1537</v>
      </c>
      <c r="G49" s="3" t="s">
        <v>1537</v>
      </c>
      <c r="H49">
        <v>0</v>
      </c>
      <c r="I49">
        <v>0</v>
      </c>
      <c r="J49" s="2">
        <v>0</v>
      </c>
      <c r="K49" s="8" t="s">
        <v>298</v>
      </c>
      <c r="L49" s="2">
        <f t="shared" si="22"/>
        <v>3</v>
      </c>
      <c r="M49" s="2">
        <f t="shared" si="28"/>
        <v>1.8</v>
      </c>
      <c r="N49" s="2">
        <f t="shared" si="28"/>
        <v>1.8</v>
      </c>
      <c r="O49" s="2">
        <v>10</v>
      </c>
      <c r="P49" s="2">
        <f t="shared" si="29"/>
        <v>69.12</v>
      </c>
      <c r="Q49" s="2">
        <f t="shared" si="29"/>
        <v>6.91</v>
      </c>
      <c r="R49" s="2">
        <f t="shared" si="29"/>
        <v>1920</v>
      </c>
      <c r="S49" s="2">
        <f t="shared" si="29"/>
        <v>192</v>
      </c>
      <c r="T49" s="2">
        <f t="shared" si="29"/>
        <v>38.4</v>
      </c>
      <c r="U49" s="2">
        <f t="shared" si="29"/>
        <v>3.84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3">
        <v>332011</v>
      </c>
      <c r="AB49" s="14" t="s">
        <v>1538</v>
      </c>
      <c r="AC49" s="15" t="s">
        <v>869</v>
      </c>
      <c r="AD49" s="2">
        <v>3043201</v>
      </c>
      <c r="AE49" s="2">
        <v>4</v>
      </c>
      <c r="AF49" s="2">
        <v>1</v>
      </c>
      <c r="AG49" s="2">
        <f t="shared" si="30"/>
        <v>3033201</v>
      </c>
      <c r="AH49" s="2">
        <v>2</v>
      </c>
      <c r="AI49" s="2"/>
      <c r="AJ49">
        <v>1</v>
      </c>
      <c r="AK49" s="1">
        <f t="shared" si="2"/>
        <v>28.340850706770809</v>
      </c>
      <c r="AL49">
        <v>3</v>
      </c>
      <c r="AM49">
        <f t="shared" si="23"/>
        <v>69.12</v>
      </c>
      <c r="AN49">
        <f t="shared" si="24"/>
        <v>6.9120000000000008</v>
      </c>
      <c r="AO49">
        <f t="shared" si="25"/>
        <v>1920</v>
      </c>
      <c r="AP49">
        <f t="shared" si="26"/>
        <v>192</v>
      </c>
      <c r="AQ49">
        <f t="shared" si="3"/>
        <v>38.4</v>
      </c>
      <c r="AR49">
        <f t="shared" si="4"/>
        <v>3.84</v>
      </c>
      <c r="AS49">
        <f t="shared" si="5"/>
        <v>1.8</v>
      </c>
      <c r="AT49">
        <f t="shared" si="6"/>
        <v>1.8</v>
      </c>
      <c r="AU49">
        <f t="shared" si="7"/>
        <v>3</v>
      </c>
      <c r="AV49">
        <f t="shared" si="31"/>
        <v>2013</v>
      </c>
      <c r="AW49" s="1">
        <v>1</v>
      </c>
      <c r="AX49">
        <v>3</v>
      </c>
      <c r="AY49">
        <v>0</v>
      </c>
      <c r="AZ49" s="20">
        <v>303</v>
      </c>
      <c r="BA49" s="21" t="s">
        <v>212</v>
      </c>
      <c r="BB49" s="20">
        <v>1.1000000000000001</v>
      </c>
      <c r="BC49" s="20">
        <f t="shared" si="18"/>
        <v>0.90909090909090906</v>
      </c>
      <c r="BD49" s="22">
        <v>8</v>
      </c>
      <c r="BE49" s="23">
        <v>1.3</v>
      </c>
      <c r="BF49" s="25">
        <f t="shared" si="19"/>
        <v>76.266666666666666</v>
      </c>
      <c r="BG49" s="25">
        <f t="shared" si="12"/>
        <v>872.72727272727275</v>
      </c>
      <c r="BH49" s="25">
        <f t="shared" si="13"/>
        <v>9.5333333333333332</v>
      </c>
      <c r="BI49">
        <v>3</v>
      </c>
      <c r="BJ49">
        <f t="shared" si="14"/>
        <v>58.666666666666664</v>
      </c>
      <c r="BK49">
        <f t="shared" si="15"/>
        <v>1.1666666666666667</v>
      </c>
      <c r="BL49" s="20">
        <v>35</v>
      </c>
      <c r="BM49">
        <f t="shared" si="16"/>
        <v>1.1666666666666667</v>
      </c>
      <c r="BN49" s="20">
        <v>35</v>
      </c>
      <c r="CB49" s="2" t="s">
        <v>387</v>
      </c>
      <c r="CC49" s="3" t="s">
        <v>388</v>
      </c>
      <c r="CE49" t="str">
        <f t="shared" si="27"/>
        <v>DATA_Class_Base14</v>
      </c>
      <c r="CF49" s="6" t="s">
        <v>300</v>
      </c>
    </row>
    <row r="50" spans="1:84">
      <c r="A50">
        <f t="shared" si="21"/>
        <v>3033202</v>
      </c>
      <c r="B50" s="6" t="s">
        <v>278</v>
      </c>
      <c r="C50">
        <v>3</v>
      </c>
      <c r="D50">
        <v>2</v>
      </c>
      <c r="E50">
        <v>3</v>
      </c>
      <c r="F50" s="3" t="s">
        <v>979</v>
      </c>
      <c r="G50" s="3" t="s">
        <v>979</v>
      </c>
      <c r="H50">
        <v>0</v>
      </c>
      <c r="I50">
        <v>0</v>
      </c>
      <c r="J50">
        <v>0</v>
      </c>
      <c r="K50" s="2" t="s">
        <v>280</v>
      </c>
      <c r="L50" s="2">
        <f t="shared" si="22"/>
        <v>3</v>
      </c>
      <c r="M50" s="2">
        <f t="shared" si="28"/>
        <v>1.8</v>
      </c>
      <c r="N50" s="2">
        <f t="shared" si="28"/>
        <v>2</v>
      </c>
      <c r="O50" s="2">
        <v>10</v>
      </c>
      <c r="P50" s="2">
        <f t="shared" si="29"/>
        <v>103.68</v>
      </c>
      <c r="Q50" s="2">
        <f t="shared" si="29"/>
        <v>10.37</v>
      </c>
      <c r="R50" s="2">
        <f t="shared" si="29"/>
        <v>1280</v>
      </c>
      <c r="S50" s="2">
        <f t="shared" si="29"/>
        <v>128</v>
      </c>
      <c r="T50" s="2">
        <f t="shared" si="29"/>
        <v>34.56</v>
      </c>
      <c r="U50" s="2">
        <f t="shared" si="29"/>
        <v>3.46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3">
        <v>332021</v>
      </c>
      <c r="AB50" s="14" t="s">
        <v>1539</v>
      </c>
      <c r="AC50" s="15" t="s">
        <v>869</v>
      </c>
      <c r="AD50" s="2">
        <v>3043202</v>
      </c>
      <c r="AE50" s="2">
        <v>4</v>
      </c>
      <c r="AF50" s="2">
        <v>1</v>
      </c>
      <c r="AG50" s="2">
        <f t="shared" si="30"/>
        <v>3033202</v>
      </c>
      <c r="AH50" s="2">
        <v>2</v>
      </c>
      <c r="AI50" s="2"/>
      <c r="AJ50">
        <v>1</v>
      </c>
      <c r="AK50" s="1">
        <f t="shared" si="2"/>
        <v>28.316724922934053</v>
      </c>
      <c r="AL50">
        <v>3</v>
      </c>
      <c r="AM50">
        <f t="shared" si="23"/>
        <v>103.68</v>
      </c>
      <c r="AN50">
        <f t="shared" si="24"/>
        <v>10.368000000000002</v>
      </c>
      <c r="AO50">
        <f t="shared" si="25"/>
        <v>1280</v>
      </c>
      <c r="AP50">
        <f t="shared" si="26"/>
        <v>128</v>
      </c>
      <c r="AQ50">
        <f t="shared" si="3"/>
        <v>34.56</v>
      </c>
      <c r="AR50">
        <f t="shared" si="4"/>
        <v>3.4560000000000004</v>
      </c>
      <c r="AS50">
        <f t="shared" si="5"/>
        <v>1.8</v>
      </c>
      <c r="AT50">
        <f t="shared" si="6"/>
        <v>2</v>
      </c>
      <c r="AU50">
        <f t="shared" si="7"/>
        <v>3</v>
      </c>
      <c r="AV50">
        <f t="shared" si="31"/>
        <v>2023</v>
      </c>
      <c r="AW50" s="1">
        <v>2</v>
      </c>
      <c r="AX50">
        <v>3</v>
      </c>
      <c r="AY50">
        <v>0</v>
      </c>
      <c r="AZ50" s="20">
        <v>304</v>
      </c>
      <c r="BA50" s="21" t="s">
        <v>214</v>
      </c>
      <c r="BB50" s="20">
        <v>1.1499999999999999</v>
      </c>
      <c r="BC50" s="20">
        <f t="shared" si="18"/>
        <v>0.86956521739130443</v>
      </c>
      <c r="BD50" s="22">
        <v>8</v>
      </c>
      <c r="BE50" s="23">
        <v>1.4</v>
      </c>
      <c r="BF50" s="25">
        <f t="shared" si="19"/>
        <v>85.86666666666666</v>
      </c>
      <c r="BG50" s="25">
        <f t="shared" si="12"/>
        <v>834.78260869565224</v>
      </c>
      <c r="BH50" s="25">
        <f t="shared" si="13"/>
        <v>10.733333333333333</v>
      </c>
      <c r="BI50">
        <v>3</v>
      </c>
      <c r="BJ50">
        <f t="shared" si="14"/>
        <v>61.333333333333336</v>
      </c>
      <c r="BK50">
        <f t="shared" si="15"/>
        <v>1.3333333333333333</v>
      </c>
      <c r="BL50" s="20">
        <v>40</v>
      </c>
      <c r="BM50">
        <f t="shared" si="16"/>
        <v>2</v>
      </c>
      <c r="BN50" s="20">
        <v>60</v>
      </c>
      <c r="CB50" s="2" t="s">
        <v>390</v>
      </c>
      <c r="CC50" s="3" t="s">
        <v>391</v>
      </c>
      <c r="CE50" t="str">
        <f t="shared" si="27"/>
        <v>DATA_Class_Base15</v>
      </c>
      <c r="CF50" s="6" t="s">
        <v>306</v>
      </c>
    </row>
    <row r="51" spans="1:84">
      <c r="A51">
        <f t="shared" si="21"/>
        <v>3033301</v>
      </c>
      <c r="B51" s="6" t="s">
        <v>283</v>
      </c>
      <c r="C51">
        <v>3</v>
      </c>
      <c r="D51">
        <v>3</v>
      </c>
      <c r="E51">
        <v>3</v>
      </c>
      <c r="F51" s="3" t="s">
        <v>1540</v>
      </c>
      <c r="G51" s="3" t="s">
        <v>1540</v>
      </c>
      <c r="H51">
        <v>0</v>
      </c>
      <c r="I51">
        <v>0</v>
      </c>
      <c r="J51" s="2">
        <v>0</v>
      </c>
      <c r="K51" s="2" t="s">
        <v>285</v>
      </c>
      <c r="L51" s="2">
        <f t="shared" si="22"/>
        <v>3</v>
      </c>
      <c r="M51" s="2">
        <f t="shared" si="28"/>
        <v>1.2</v>
      </c>
      <c r="N51" s="2">
        <f t="shared" si="28"/>
        <v>1.4000000000000001</v>
      </c>
      <c r="O51" s="2">
        <v>10</v>
      </c>
      <c r="P51" s="2">
        <f t="shared" si="29"/>
        <v>92.16</v>
      </c>
      <c r="Q51" s="2">
        <f t="shared" si="29"/>
        <v>9.2200000000000006</v>
      </c>
      <c r="R51" s="2">
        <f t="shared" si="29"/>
        <v>960</v>
      </c>
      <c r="S51" s="2">
        <f t="shared" si="29"/>
        <v>96</v>
      </c>
      <c r="T51" s="2">
        <f t="shared" si="29"/>
        <v>18.43</v>
      </c>
      <c r="U51" s="2">
        <f t="shared" si="29"/>
        <v>1.84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3">
        <v>333011</v>
      </c>
      <c r="AB51" s="14" t="s">
        <v>1541</v>
      </c>
      <c r="AC51" s="15" t="s">
        <v>869</v>
      </c>
      <c r="AD51" s="2">
        <v>3043301</v>
      </c>
      <c r="AE51" s="2">
        <v>4</v>
      </c>
      <c r="AF51" s="2">
        <v>1</v>
      </c>
      <c r="AG51" s="2">
        <f t="shared" si="30"/>
        <v>3033301</v>
      </c>
      <c r="AH51" s="2">
        <v>2</v>
      </c>
      <c r="AI51" s="2"/>
      <c r="AJ51">
        <v>1</v>
      </c>
      <c r="AK51" s="1">
        <f t="shared" si="2"/>
        <v>28.215843574327646</v>
      </c>
      <c r="AL51">
        <v>3</v>
      </c>
      <c r="AM51">
        <f t="shared" si="23"/>
        <v>92.16</v>
      </c>
      <c r="AN51">
        <f t="shared" si="24"/>
        <v>9.2159999999999993</v>
      </c>
      <c r="AO51">
        <f t="shared" si="25"/>
        <v>960</v>
      </c>
      <c r="AP51">
        <f t="shared" si="26"/>
        <v>96</v>
      </c>
      <c r="AQ51">
        <f t="shared" si="3"/>
        <v>18.431999999999999</v>
      </c>
      <c r="AR51">
        <f t="shared" si="4"/>
        <v>1.8431999999999999</v>
      </c>
      <c r="AS51">
        <f t="shared" si="5"/>
        <v>1.2</v>
      </c>
      <c r="AT51">
        <f t="shared" si="6"/>
        <v>1.4</v>
      </c>
      <c r="AU51">
        <f t="shared" si="7"/>
        <v>3</v>
      </c>
      <c r="AV51">
        <f t="shared" si="31"/>
        <v>3013</v>
      </c>
      <c r="AW51" s="1">
        <v>1</v>
      </c>
      <c r="AX51">
        <v>3</v>
      </c>
      <c r="AY51">
        <v>0</v>
      </c>
      <c r="AZ51" s="20">
        <v>403</v>
      </c>
      <c r="BA51" s="21" t="s">
        <v>216</v>
      </c>
      <c r="BB51" s="20">
        <v>1.2</v>
      </c>
      <c r="BC51" s="20">
        <f t="shared" si="18"/>
        <v>0.83333333333333337</v>
      </c>
      <c r="BD51" s="22">
        <v>10</v>
      </c>
      <c r="BE51" s="23">
        <v>1.3</v>
      </c>
      <c r="BF51" s="25">
        <f t="shared" si="19"/>
        <v>83.2</v>
      </c>
      <c r="BG51" s="25">
        <f t="shared" si="12"/>
        <v>800</v>
      </c>
      <c r="BH51" s="25">
        <f t="shared" si="13"/>
        <v>8.32</v>
      </c>
      <c r="BI51">
        <v>6</v>
      </c>
      <c r="BJ51">
        <f t="shared" si="14"/>
        <v>64</v>
      </c>
      <c r="BK51">
        <f t="shared" si="15"/>
        <v>0.83333333333333337</v>
      </c>
      <c r="BL51" s="20">
        <v>25</v>
      </c>
      <c r="BM51">
        <f t="shared" si="16"/>
        <v>1.6666666666666667</v>
      </c>
      <c r="BN51" s="20">
        <v>50</v>
      </c>
      <c r="CB51" s="2" t="s">
        <v>394</v>
      </c>
      <c r="CC51" s="3" t="s">
        <v>184</v>
      </c>
      <c r="CE51" t="str">
        <f t="shared" si="27"/>
        <v>DATA_Class_Base16</v>
      </c>
      <c r="CF51" s="6" t="s">
        <v>312</v>
      </c>
    </row>
    <row r="52" spans="1:84">
      <c r="A52">
        <f t="shared" si="21"/>
        <v>3033401</v>
      </c>
      <c r="B52" s="6" t="s">
        <v>317</v>
      </c>
      <c r="C52">
        <v>3</v>
      </c>
      <c r="D52">
        <v>4</v>
      </c>
      <c r="E52">
        <v>3</v>
      </c>
      <c r="F52" s="3" t="s">
        <v>1542</v>
      </c>
      <c r="G52" s="3" t="s">
        <v>1542</v>
      </c>
      <c r="H52">
        <v>0</v>
      </c>
      <c r="I52">
        <v>0</v>
      </c>
      <c r="J52">
        <v>0</v>
      </c>
      <c r="K52" s="2" t="s">
        <v>161</v>
      </c>
      <c r="L52" s="2">
        <f t="shared" si="22"/>
        <v>6</v>
      </c>
      <c r="M52" s="2">
        <f t="shared" si="28"/>
        <v>1.6</v>
      </c>
      <c r="N52" s="2">
        <f t="shared" si="28"/>
        <v>1.5</v>
      </c>
      <c r="O52" s="2">
        <v>10</v>
      </c>
      <c r="P52" s="2">
        <f t="shared" si="29"/>
        <v>122.88</v>
      </c>
      <c r="Q52" s="2">
        <f t="shared" si="29"/>
        <v>12.29</v>
      </c>
      <c r="R52" s="2">
        <f t="shared" si="29"/>
        <v>960</v>
      </c>
      <c r="S52" s="2">
        <f t="shared" si="29"/>
        <v>96</v>
      </c>
      <c r="T52" s="2">
        <f t="shared" si="29"/>
        <v>20.48</v>
      </c>
      <c r="U52" s="2">
        <f t="shared" si="29"/>
        <v>2.0499999999999998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3">
        <v>334011</v>
      </c>
      <c r="AB52" s="14" t="s">
        <v>320</v>
      </c>
      <c r="AC52" s="15" t="s">
        <v>869</v>
      </c>
      <c r="AD52" s="2">
        <v>3043401</v>
      </c>
      <c r="AE52" s="2">
        <v>4</v>
      </c>
      <c r="AF52" s="2">
        <v>1</v>
      </c>
      <c r="AG52" s="2">
        <f t="shared" si="30"/>
        <v>3033401</v>
      </c>
      <c r="AH52" s="2">
        <v>2</v>
      </c>
      <c r="AI52" s="2"/>
      <c r="AJ52">
        <v>1</v>
      </c>
      <c r="AK52" s="1">
        <f t="shared" si="2"/>
        <v>28.228614043434092</v>
      </c>
      <c r="AL52">
        <v>3</v>
      </c>
      <c r="AM52">
        <f t="shared" si="23"/>
        <v>122.88</v>
      </c>
      <c r="AN52">
        <f t="shared" si="24"/>
        <v>12.288</v>
      </c>
      <c r="AO52">
        <f t="shared" si="25"/>
        <v>960</v>
      </c>
      <c r="AP52">
        <f t="shared" si="26"/>
        <v>96</v>
      </c>
      <c r="AQ52">
        <f t="shared" si="3"/>
        <v>20.48</v>
      </c>
      <c r="AR52">
        <f t="shared" si="4"/>
        <v>2.048</v>
      </c>
      <c r="AS52">
        <f t="shared" si="5"/>
        <v>1.6</v>
      </c>
      <c r="AT52">
        <f t="shared" si="6"/>
        <v>1.5</v>
      </c>
      <c r="AU52">
        <f t="shared" si="7"/>
        <v>6</v>
      </c>
      <c r="AV52">
        <f t="shared" si="31"/>
        <v>4013</v>
      </c>
      <c r="AW52" s="1">
        <v>1</v>
      </c>
      <c r="AX52">
        <v>3</v>
      </c>
      <c r="AY52">
        <v>0</v>
      </c>
      <c r="AZ52" s="20">
        <v>404</v>
      </c>
      <c r="BA52" s="21" t="s">
        <v>217</v>
      </c>
      <c r="BB52" s="20">
        <v>1.3</v>
      </c>
      <c r="BC52" s="20">
        <f t="shared" si="18"/>
        <v>0.76923076923076916</v>
      </c>
      <c r="BD52" s="22">
        <v>10</v>
      </c>
      <c r="BE52" s="23">
        <v>1.6</v>
      </c>
      <c r="BF52" s="25">
        <f t="shared" si="19"/>
        <v>110.93333333333334</v>
      </c>
      <c r="BG52" s="25">
        <f t="shared" si="12"/>
        <v>738.46153846153834</v>
      </c>
      <c r="BH52" s="25">
        <f t="shared" si="13"/>
        <v>11.093333333333334</v>
      </c>
      <c r="BI52">
        <v>6</v>
      </c>
      <c r="BJ52">
        <f t="shared" si="14"/>
        <v>69.333333333333329</v>
      </c>
      <c r="BK52">
        <f t="shared" si="15"/>
        <v>1.3333333333333333</v>
      </c>
      <c r="BL52" s="20">
        <v>40</v>
      </c>
      <c r="BM52">
        <f t="shared" si="16"/>
        <v>1.6666666666666667</v>
      </c>
      <c r="BN52" s="20">
        <v>50</v>
      </c>
      <c r="CB52" s="2" t="s">
        <v>396</v>
      </c>
      <c r="CC52" s="3" t="s">
        <v>195</v>
      </c>
      <c r="CE52" t="str">
        <f t="shared" si="27"/>
        <v>DATA_Class_Base17</v>
      </c>
      <c r="CF52" s="6" t="s">
        <v>318</v>
      </c>
    </row>
    <row r="53" spans="1:84">
      <c r="A53">
        <f t="shared" si="21"/>
        <v>3033402</v>
      </c>
      <c r="B53" s="6" t="s">
        <v>323</v>
      </c>
      <c r="C53">
        <v>3</v>
      </c>
      <c r="D53">
        <v>4</v>
      </c>
      <c r="E53">
        <v>3</v>
      </c>
      <c r="F53" s="3" t="s">
        <v>325</v>
      </c>
      <c r="G53" s="3" t="s">
        <v>325</v>
      </c>
      <c r="H53">
        <v>0</v>
      </c>
      <c r="I53">
        <v>0</v>
      </c>
      <c r="J53" s="2">
        <v>0</v>
      </c>
      <c r="K53" s="2" t="s">
        <v>250</v>
      </c>
      <c r="L53" s="2">
        <f t="shared" si="22"/>
        <v>6</v>
      </c>
      <c r="M53" s="2">
        <f t="shared" si="28"/>
        <v>1.5</v>
      </c>
      <c r="N53" s="2">
        <f t="shared" si="28"/>
        <v>1.5</v>
      </c>
      <c r="O53" s="2">
        <v>10</v>
      </c>
      <c r="P53" s="2">
        <f t="shared" si="29"/>
        <v>124.8</v>
      </c>
      <c r="Q53" s="2">
        <f t="shared" si="29"/>
        <v>12.48</v>
      </c>
      <c r="R53" s="2">
        <f t="shared" si="29"/>
        <v>886.15</v>
      </c>
      <c r="S53" s="2">
        <f t="shared" si="29"/>
        <v>88.62</v>
      </c>
      <c r="T53" s="2">
        <f t="shared" si="29"/>
        <v>17.829999999999998</v>
      </c>
      <c r="U53" s="2">
        <f t="shared" si="29"/>
        <v>1.78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3">
        <v>334021</v>
      </c>
      <c r="AB53" s="14" t="s">
        <v>326</v>
      </c>
      <c r="AC53" s="15" t="s">
        <v>869</v>
      </c>
      <c r="AD53" s="2">
        <v>3043402</v>
      </c>
      <c r="AE53" s="2">
        <v>4</v>
      </c>
      <c r="AF53" s="2">
        <v>1</v>
      </c>
      <c r="AG53" s="2">
        <f t="shared" si="30"/>
        <v>3033402</v>
      </c>
      <c r="AH53" s="2">
        <v>2</v>
      </c>
      <c r="AI53" s="2"/>
      <c r="AJ53">
        <v>1</v>
      </c>
      <c r="AK53" s="1">
        <f t="shared" si="2"/>
        <v>28.212083050318505</v>
      </c>
      <c r="AL53">
        <v>3</v>
      </c>
      <c r="AM53">
        <f t="shared" si="23"/>
        <v>124.8</v>
      </c>
      <c r="AN53">
        <f t="shared" si="24"/>
        <v>12.48</v>
      </c>
      <c r="AO53">
        <f t="shared" si="25"/>
        <v>886.15384615384596</v>
      </c>
      <c r="AP53">
        <f t="shared" si="26"/>
        <v>88.615384615384599</v>
      </c>
      <c r="AQ53">
        <f t="shared" si="3"/>
        <v>17.828571428571429</v>
      </c>
      <c r="AR53">
        <f t="shared" si="4"/>
        <v>1.7828571428571429</v>
      </c>
      <c r="AS53">
        <f t="shared" si="5"/>
        <v>1.5</v>
      </c>
      <c r="AT53">
        <f t="shared" si="6"/>
        <v>1.5</v>
      </c>
      <c r="AU53">
        <f t="shared" si="7"/>
        <v>6</v>
      </c>
      <c r="AV53">
        <f t="shared" si="31"/>
        <v>4023</v>
      </c>
      <c r="AW53" s="1">
        <v>2</v>
      </c>
      <c r="AX53">
        <v>3</v>
      </c>
      <c r="AY53">
        <v>0</v>
      </c>
      <c r="AZ53" s="20">
        <v>405</v>
      </c>
      <c r="BA53" s="21" t="s">
        <v>218</v>
      </c>
      <c r="BB53" s="20">
        <v>1.25</v>
      </c>
      <c r="BC53" s="20">
        <f t="shared" si="18"/>
        <v>0.8</v>
      </c>
      <c r="BD53" s="22">
        <v>10</v>
      </c>
      <c r="BE53" s="23">
        <v>1.5</v>
      </c>
      <c r="BF53" s="25">
        <f t="shared" si="19"/>
        <v>100</v>
      </c>
      <c r="BG53" s="25">
        <f t="shared" si="12"/>
        <v>768</v>
      </c>
      <c r="BH53" s="25">
        <f t="shared" si="13"/>
        <v>10</v>
      </c>
      <c r="BI53">
        <v>6</v>
      </c>
      <c r="BJ53">
        <f t="shared" si="14"/>
        <v>66.666666666666671</v>
      </c>
      <c r="BK53">
        <f t="shared" si="15"/>
        <v>1.1000000000000001</v>
      </c>
      <c r="BL53" s="20">
        <v>33</v>
      </c>
      <c r="BM53">
        <f t="shared" si="16"/>
        <v>1.3333333333333333</v>
      </c>
      <c r="BN53" s="20">
        <v>40</v>
      </c>
      <c r="CB53" s="2" t="s">
        <v>398</v>
      </c>
      <c r="CC53" s="3" t="s">
        <v>201</v>
      </c>
      <c r="CE53" t="str">
        <f t="shared" si="27"/>
        <v>DATA_Class_Base18</v>
      </c>
      <c r="CF53" s="6" t="s">
        <v>324</v>
      </c>
    </row>
    <row r="54" spans="1:84">
      <c r="A54">
        <f t="shared" si="21"/>
        <v>3033500</v>
      </c>
      <c r="B54" s="6" t="s">
        <v>301</v>
      </c>
      <c r="C54">
        <v>3</v>
      </c>
      <c r="D54">
        <v>5</v>
      </c>
      <c r="E54">
        <v>3</v>
      </c>
      <c r="F54" s="3" t="s">
        <v>1543</v>
      </c>
      <c r="G54" s="3" t="s">
        <v>1543</v>
      </c>
      <c r="H54">
        <v>0</v>
      </c>
      <c r="I54">
        <v>0</v>
      </c>
      <c r="J54" s="2">
        <v>0</v>
      </c>
      <c r="K54" s="2" t="s">
        <v>303</v>
      </c>
      <c r="L54" s="2">
        <f t="shared" si="22"/>
        <v>6</v>
      </c>
      <c r="M54" s="2">
        <f t="shared" si="28"/>
        <v>1.5</v>
      </c>
      <c r="N54" s="2">
        <f t="shared" si="28"/>
        <v>2</v>
      </c>
      <c r="O54" s="2">
        <v>10</v>
      </c>
      <c r="P54" s="2">
        <f t="shared" si="29"/>
        <v>124.8</v>
      </c>
      <c r="Q54" s="2">
        <f t="shared" si="29"/>
        <v>12.48</v>
      </c>
      <c r="R54" s="2">
        <f t="shared" si="29"/>
        <v>886.15</v>
      </c>
      <c r="S54" s="2">
        <f t="shared" si="29"/>
        <v>88.62</v>
      </c>
      <c r="T54" s="2">
        <f t="shared" si="29"/>
        <v>20.8</v>
      </c>
      <c r="U54" s="2">
        <f t="shared" si="29"/>
        <v>2.08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3">
        <v>335001</v>
      </c>
      <c r="AB54" s="14" t="s">
        <v>1544</v>
      </c>
      <c r="AC54" s="15" t="s">
        <v>869</v>
      </c>
      <c r="AD54" s="2">
        <v>3043500</v>
      </c>
      <c r="AE54" s="2">
        <v>4</v>
      </c>
      <c r="AF54" s="2">
        <v>1</v>
      </c>
      <c r="AG54" s="2">
        <f t="shared" si="30"/>
        <v>3033500</v>
      </c>
      <c r="AH54" s="2">
        <v>2</v>
      </c>
      <c r="AI54" s="2"/>
      <c r="AJ54">
        <v>1</v>
      </c>
      <c r="AK54" s="1">
        <f t="shared" si="2"/>
        <v>28.230610473526855</v>
      </c>
      <c r="AL54">
        <v>3</v>
      </c>
      <c r="AM54">
        <f t="shared" si="23"/>
        <v>124.8</v>
      </c>
      <c r="AN54">
        <f t="shared" si="24"/>
        <v>12.48</v>
      </c>
      <c r="AO54">
        <f t="shared" si="25"/>
        <v>886.15384615384596</v>
      </c>
      <c r="AP54">
        <f t="shared" si="26"/>
        <v>88.615384615384599</v>
      </c>
      <c r="AQ54">
        <f t="shared" si="3"/>
        <v>20.8</v>
      </c>
      <c r="AR54">
        <f t="shared" si="4"/>
        <v>2.08</v>
      </c>
      <c r="AS54">
        <f t="shared" si="5"/>
        <v>1.5</v>
      </c>
      <c r="AT54">
        <f t="shared" si="6"/>
        <v>2</v>
      </c>
      <c r="AU54">
        <f t="shared" si="7"/>
        <v>6</v>
      </c>
      <c r="AV54">
        <f t="shared" si="31"/>
        <v>5003</v>
      </c>
      <c r="AW54" s="1">
        <v>0</v>
      </c>
      <c r="AX54">
        <v>3</v>
      </c>
      <c r="AY54">
        <v>0</v>
      </c>
      <c r="AZ54" s="20">
        <v>406</v>
      </c>
      <c r="BA54" s="21" t="s">
        <v>220</v>
      </c>
      <c r="BB54" s="20">
        <v>1.3</v>
      </c>
      <c r="BC54" s="20">
        <f t="shared" si="18"/>
        <v>0.76923076923076916</v>
      </c>
      <c r="BD54" s="22">
        <v>10</v>
      </c>
      <c r="BE54" s="23">
        <v>1.4</v>
      </c>
      <c r="BF54" s="25">
        <f t="shared" si="19"/>
        <v>97.066666666666663</v>
      </c>
      <c r="BG54" s="25">
        <f t="shared" si="12"/>
        <v>738.46153846153834</v>
      </c>
      <c r="BH54" s="25">
        <f t="shared" si="13"/>
        <v>9.706666666666667</v>
      </c>
      <c r="BI54">
        <v>6</v>
      </c>
      <c r="BJ54">
        <f t="shared" si="14"/>
        <v>69.333333333333329</v>
      </c>
      <c r="BK54">
        <f t="shared" si="15"/>
        <v>1</v>
      </c>
      <c r="BL54" s="20">
        <v>30</v>
      </c>
      <c r="BM54">
        <f t="shared" si="16"/>
        <v>1</v>
      </c>
      <c r="BN54" s="20">
        <v>30</v>
      </c>
      <c r="CB54" s="2" t="s">
        <v>401</v>
      </c>
      <c r="CC54" s="3" t="s">
        <v>402</v>
      </c>
      <c r="CE54" t="str">
        <f t="shared" si="27"/>
        <v>DATA_Class_Base19</v>
      </c>
      <c r="CF54" s="6" t="s">
        <v>331</v>
      </c>
    </row>
    <row r="55" spans="1:84">
      <c r="A55">
        <f t="shared" si="21"/>
        <v>3033502</v>
      </c>
      <c r="B55" s="6" t="s">
        <v>289</v>
      </c>
      <c r="C55">
        <v>3</v>
      </c>
      <c r="D55">
        <v>5</v>
      </c>
      <c r="E55">
        <v>3</v>
      </c>
      <c r="F55" s="3" t="s">
        <v>1545</v>
      </c>
      <c r="G55" s="3" t="s">
        <v>1545</v>
      </c>
      <c r="H55">
        <v>0</v>
      </c>
      <c r="I55">
        <v>0</v>
      </c>
      <c r="J55" s="2">
        <v>0</v>
      </c>
      <c r="K55" s="2" t="s">
        <v>291</v>
      </c>
      <c r="L55" s="2">
        <f t="shared" si="22"/>
        <v>6</v>
      </c>
      <c r="M55" s="2">
        <f t="shared" si="28"/>
        <v>1.4000000000000001</v>
      </c>
      <c r="N55" s="2">
        <f t="shared" si="28"/>
        <v>2</v>
      </c>
      <c r="O55" s="2">
        <v>10</v>
      </c>
      <c r="P55" s="2">
        <f t="shared" si="29"/>
        <v>120.96</v>
      </c>
      <c r="Q55" s="2">
        <f t="shared" si="29"/>
        <v>12.1</v>
      </c>
      <c r="R55" s="2">
        <f t="shared" si="29"/>
        <v>853.33</v>
      </c>
      <c r="S55" s="2">
        <f t="shared" si="29"/>
        <v>85.33</v>
      </c>
      <c r="T55" s="2">
        <f t="shared" si="29"/>
        <v>17.28</v>
      </c>
      <c r="U55" s="2">
        <f t="shared" si="29"/>
        <v>1.73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3">
        <v>335021</v>
      </c>
      <c r="AB55" s="14" t="s">
        <v>1546</v>
      </c>
      <c r="AC55" s="15" t="s">
        <v>869</v>
      </c>
      <c r="AD55">
        <v>3043502</v>
      </c>
      <c r="AE55" s="2">
        <v>4</v>
      </c>
      <c r="AF55" s="2">
        <v>1</v>
      </c>
      <c r="AG55" s="2">
        <f t="shared" si="30"/>
        <v>3033502</v>
      </c>
      <c r="AH55" s="2">
        <v>2</v>
      </c>
      <c r="AI55" s="2"/>
      <c r="AJ55">
        <v>1</v>
      </c>
      <c r="AK55" s="1">
        <f t="shared" si="2"/>
        <v>28.208665261859483</v>
      </c>
      <c r="AL55">
        <v>3</v>
      </c>
      <c r="AM55">
        <f t="shared" si="23"/>
        <v>120.96</v>
      </c>
      <c r="AN55">
        <f t="shared" si="24"/>
        <v>12.096</v>
      </c>
      <c r="AO55">
        <f t="shared" si="25"/>
        <v>853.33333333333326</v>
      </c>
      <c r="AP55">
        <f t="shared" si="26"/>
        <v>85.333333333333329</v>
      </c>
      <c r="AQ55">
        <f t="shared" si="3"/>
        <v>17.279999999999998</v>
      </c>
      <c r="AR55">
        <f t="shared" si="4"/>
        <v>1.7279999999999998</v>
      </c>
      <c r="AS55">
        <f t="shared" si="5"/>
        <v>1.4</v>
      </c>
      <c r="AT55">
        <f t="shared" si="6"/>
        <v>2</v>
      </c>
      <c r="AU55">
        <f t="shared" si="7"/>
        <v>6</v>
      </c>
      <c r="AV55">
        <f t="shared" si="31"/>
        <v>5023</v>
      </c>
      <c r="AW55" s="1">
        <v>2</v>
      </c>
      <c r="AX55">
        <v>3</v>
      </c>
      <c r="AY55">
        <v>0</v>
      </c>
      <c r="AZ55" s="20">
        <v>503</v>
      </c>
      <c r="BA55" s="21" t="s">
        <v>221</v>
      </c>
      <c r="BB55" s="20">
        <v>1.2</v>
      </c>
      <c r="BC55" s="20">
        <f t="shared" si="18"/>
        <v>0.83333333333333337</v>
      </c>
      <c r="BD55" s="22">
        <v>6</v>
      </c>
      <c r="BE55" s="23">
        <v>1.6</v>
      </c>
      <c r="BF55" s="25">
        <f t="shared" si="19"/>
        <v>102.40000000000002</v>
      </c>
      <c r="BG55" s="25">
        <f t="shared" si="12"/>
        <v>800</v>
      </c>
      <c r="BH55" s="25">
        <f t="shared" si="13"/>
        <v>17.06666666666667</v>
      </c>
      <c r="BI55">
        <v>3</v>
      </c>
      <c r="BJ55">
        <f t="shared" si="14"/>
        <v>64.000000000000014</v>
      </c>
      <c r="BK55">
        <f t="shared" si="15"/>
        <v>1.3333333333333333</v>
      </c>
      <c r="BL55" s="20">
        <v>40</v>
      </c>
      <c r="BM55">
        <f t="shared" si="16"/>
        <v>1.3333333333333333</v>
      </c>
      <c r="BN55" s="20">
        <v>40</v>
      </c>
      <c r="CB55" s="2" t="s">
        <v>404</v>
      </c>
      <c r="CC55" s="3" t="s">
        <v>198</v>
      </c>
      <c r="CE55" t="str">
        <f t="shared" si="27"/>
        <v>DATA_Class_Base20</v>
      </c>
      <c r="CF55" s="6" t="s">
        <v>336</v>
      </c>
    </row>
    <row r="56" spans="1:84">
      <c r="A56">
        <f t="shared" si="21"/>
        <v>3033601</v>
      </c>
      <c r="B56" s="6" t="s">
        <v>307</v>
      </c>
      <c r="C56">
        <v>3</v>
      </c>
      <c r="D56">
        <v>6</v>
      </c>
      <c r="E56">
        <v>3</v>
      </c>
      <c r="F56" s="3" t="s">
        <v>1547</v>
      </c>
      <c r="G56" s="3" t="s">
        <v>1547</v>
      </c>
      <c r="H56">
        <v>0</v>
      </c>
      <c r="I56">
        <v>0</v>
      </c>
      <c r="J56">
        <v>0</v>
      </c>
      <c r="K56" s="2" t="s">
        <v>309</v>
      </c>
      <c r="L56" s="2">
        <f t="shared" si="22"/>
        <v>6</v>
      </c>
      <c r="M56" s="2">
        <f t="shared" si="28"/>
        <v>1.5</v>
      </c>
      <c r="N56" s="2">
        <f t="shared" si="28"/>
        <v>2</v>
      </c>
      <c r="O56" s="2">
        <v>10</v>
      </c>
      <c r="P56" s="2">
        <f t="shared" si="29"/>
        <v>86.4</v>
      </c>
      <c r="Q56" s="2">
        <f t="shared" si="29"/>
        <v>8.64</v>
      </c>
      <c r="R56" s="2">
        <f t="shared" si="29"/>
        <v>1280</v>
      </c>
      <c r="S56" s="2">
        <f t="shared" si="29"/>
        <v>128</v>
      </c>
      <c r="T56" s="2">
        <f t="shared" si="29"/>
        <v>28.8</v>
      </c>
      <c r="U56" s="2">
        <f t="shared" si="29"/>
        <v>2.88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3">
        <v>336011</v>
      </c>
      <c r="AB56" s="14" t="s">
        <v>1548</v>
      </c>
      <c r="AC56" s="15" t="s">
        <v>869</v>
      </c>
      <c r="AD56">
        <v>3043601</v>
      </c>
      <c r="AE56" s="2">
        <v>4</v>
      </c>
      <c r="AF56" s="2">
        <v>1</v>
      </c>
      <c r="AG56" s="2">
        <f t="shared" si="30"/>
        <v>3033601</v>
      </c>
      <c r="AH56" s="2">
        <v>2</v>
      </c>
      <c r="AI56" s="2"/>
      <c r="AJ56">
        <v>1</v>
      </c>
      <c r="AK56" s="1">
        <f t="shared" si="2"/>
        <v>28.28061316501352</v>
      </c>
      <c r="AL56">
        <v>3</v>
      </c>
      <c r="AM56">
        <f t="shared" si="23"/>
        <v>86.399999999999991</v>
      </c>
      <c r="AN56">
        <f t="shared" si="24"/>
        <v>8.6399999999999988</v>
      </c>
      <c r="AO56">
        <f t="shared" si="25"/>
        <v>1280</v>
      </c>
      <c r="AP56">
        <f t="shared" si="26"/>
        <v>128</v>
      </c>
      <c r="AQ56">
        <f t="shared" si="3"/>
        <v>28.799999999999997</v>
      </c>
      <c r="AR56">
        <f t="shared" si="4"/>
        <v>2.88</v>
      </c>
      <c r="AS56">
        <f t="shared" si="5"/>
        <v>1.5</v>
      </c>
      <c r="AT56">
        <f t="shared" si="6"/>
        <v>2</v>
      </c>
      <c r="AU56">
        <f t="shared" si="7"/>
        <v>6</v>
      </c>
      <c r="AV56">
        <f t="shared" si="31"/>
        <v>6013</v>
      </c>
      <c r="AW56" s="1">
        <v>1</v>
      </c>
      <c r="AX56">
        <v>3</v>
      </c>
      <c r="AY56">
        <v>0</v>
      </c>
      <c r="AZ56" s="20">
        <v>504</v>
      </c>
      <c r="BA56" s="21" t="s">
        <v>222</v>
      </c>
      <c r="BB56" s="20">
        <v>1.1000000000000001</v>
      </c>
      <c r="BC56" s="20">
        <f t="shared" si="18"/>
        <v>0.90909090909090906</v>
      </c>
      <c r="BD56" s="22">
        <v>6</v>
      </c>
      <c r="BE56" s="23">
        <v>1.8</v>
      </c>
      <c r="BF56" s="25">
        <f t="shared" si="19"/>
        <v>105.60000000000001</v>
      </c>
      <c r="BG56" s="25">
        <f t="shared" si="12"/>
        <v>872.72727272727275</v>
      </c>
      <c r="BH56" s="25">
        <f t="shared" si="13"/>
        <v>17.600000000000001</v>
      </c>
      <c r="BI56">
        <v>3</v>
      </c>
      <c r="BJ56">
        <f t="shared" si="14"/>
        <v>58.666666666666671</v>
      </c>
      <c r="BK56">
        <f t="shared" si="15"/>
        <v>1.5</v>
      </c>
      <c r="BL56" s="20">
        <v>45</v>
      </c>
      <c r="BM56">
        <f t="shared" si="16"/>
        <v>1.3</v>
      </c>
      <c r="BN56" s="20">
        <v>39</v>
      </c>
      <c r="CB56" s="2" t="s">
        <v>406</v>
      </c>
      <c r="CC56" s="3" t="s">
        <v>407</v>
      </c>
      <c r="CE56" t="str">
        <f t="shared" si="27"/>
        <v>DATA_Class_Base21</v>
      </c>
      <c r="CF56" s="6" t="s">
        <v>342</v>
      </c>
    </row>
    <row r="57" spans="1:84">
      <c r="A57">
        <f t="shared" si="21"/>
        <v>3034501</v>
      </c>
      <c r="B57" s="6" t="s">
        <v>332</v>
      </c>
      <c r="C57">
        <v>3</v>
      </c>
      <c r="D57">
        <v>5</v>
      </c>
      <c r="E57">
        <v>4</v>
      </c>
      <c r="F57" s="3" t="s">
        <v>1549</v>
      </c>
      <c r="G57" s="3" t="s">
        <v>1549</v>
      </c>
      <c r="H57">
        <v>0</v>
      </c>
      <c r="I57">
        <v>0</v>
      </c>
      <c r="J57">
        <v>0</v>
      </c>
      <c r="K57" s="2" t="s">
        <v>334</v>
      </c>
      <c r="L57" s="2">
        <f t="shared" si="22"/>
        <v>6</v>
      </c>
      <c r="M57" s="2">
        <f t="shared" si="28"/>
        <v>1.6</v>
      </c>
      <c r="N57" s="2">
        <f t="shared" si="28"/>
        <v>2</v>
      </c>
      <c r="O57" s="2">
        <v>10</v>
      </c>
      <c r="P57" s="2">
        <f t="shared" si="29"/>
        <v>133.12</v>
      </c>
      <c r="Q57" s="2">
        <f t="shared" si="29"/>
        <v>13.31</v>
      </c>
      <c r="R57" s="2">
        <f t="shared" si="29"/>
        <v>886.15</v>
      </c>
      <c r="S57" s="2">
        <f t="shared" si="29"/>
        <v>88.62</v>
      </c>
      <c r="T57" s="2">
        <f t="shared" si="29"/>
        <v>14.79</v>
      </c>
      <c r="U57" s="2">
        <f t="shared" si="29"/>
        <v>1.48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3">
        <v>345011</v>
      </c>
      <c r="AB57" s="14" t="s">
        <v>335</v>
      </c>
      <c r="AC57" s="15" t="s">
        <v>869</v>
      </c>
      <c r="AD57">
        <v>3044501</v>
      </c>
      <c r="AE57" s="2">
        <v>5</v>
      </c>
      <c r="AF57" s="2">
        <v>1</v>
      </c>
      <c r="AG57" s="2">
        <f t="shared" si="30"/>
        <v>3034501</v>
      </c>
      <c r="AH57" s="2">
        <v>2</v>
      </c>
      <c r="AI57" s="2"/>
      <c r="AJ57">
        <v>1</v>
      </c>
      <c r="AK57" s="1">
        <f t="shared" si="2"/>
        <v>28.1931690250372</v>
      </c>
      <c r="AL57">
        <v>3</v>
      </c>
      <c r="AM57">
        <f t="shared" si="23"/>
        <v>133.12</v>
      </c>
      <c r="AN57">
        <f t="shared" si="24"/>
        <v>13.312000000000001</v>
      </c>
      <c r="AO57">
        <f t="shared" si="25"/>
        <v>886.15384615384596</v>
      </c>
      <c r="AP57">
        <f t="shared" si="26"/>
        <v>88.615384615384599</v>
      </c>
      <c r="AQ57">
        <f t="shared" si="3"/>
        <v>14.791111111111112</v>
      </c>
      <c r="AR57">
        <f t="shared" si="4"/>
        <v>1.4791111111111113</v>
      </c>
      <c r="AS57">
        <f t="shared" si="5"/>
        <v>1.6</v>
      </c>
      <c r="AT57">
        <f t="shared" si="6"/>
        <v>2</v>
      </c>
      <c r="AU57">
        <f t="shared" si="7"/>
        <v>6</v>
      </c>
      <c r="AV57">
        <f t="shared" si="31"/>
        <v>5014</v>
      </c>
      <c r="AW57" s="1">
        <v>1</v>
      </c>
      <c r="AX57">
        <v>3</v>
      </c>
      <c r="AY57">
        <v>0</v>
      </c>
      <c r="AZ57" s="20">
        <v>101</v>
      </c>
      <c r="BA57" s="21" t="s">
        <v>224</v>
      </c>
      <c r="BB57" s="20">
        <v>1.1000000000000001</v>
      </c>
      <c r="BC57" s="20">
        <f t="shared" si="18"/>
        <v>0.90909090909090906</v>
      </c>
      <c r="BD57" s="22">
        <v>5</v>
      </c>
      <c r="BE57" s="23">
        <v>1.6</v>
      </c>
      <c r="BF57" s="25">
        <f t="shared" si="19"/>
        <v>93.866666666666674</v>
      </c>
      <c r="BG57" s="25">
        <f t="shared" si="12"/>
        <v>872.72727272727275</v>
      </c>
      <c r="BH57" s="25">
        <f t="shared" si="13"/>
        <v>18.773333333333333</v>
      </c>
      <c r="BI57">
        <v>3</v>
      </c>
      <c r="BJ57">
        <f t="shared" si="14"/>
        <v>58.666666666666671</v>
      </c>
      <c r="BK57">
        <f t="shared" si="15"/>
        <v>1.3333333333333333</v>
      </c>
      <c r="BL57" s="20">
        <v>40</v>
      </c>
      <c r="BM57">
        <f t="shared" si="16"/>
        <v>1.6666666666666667</v>
      </c>
      <c r="BN57" s="20">
        <v>50</v>
      </c>
      <c r="CB57" s="2" t="s">
        <v>410</v>
      </c>
      <c r="CC57" s="3" t="s">
        <v>411</v>
      </c>
      <c r="CE57" t="str">
        <f t="shared" si="27"/>
        <v>DATA_Class_Base22</v>
      </c>
      <c r="CF57" s="6" t="s">
        <v>349</v>
      </c>
    </row>
    <row r="58" spans="1:84">
      <c r="A58">
        <f t="shared" si="21"/>
        <v>3034600</v>
      </c>
      <c r="B58" s="6" t="s">
        <v>337</v>
      </c>
      <c r="C58">
        <v>3</v>
      </c>
      <c r="D58">
        <v>6</v>
      </c>
      <c r="E58">
        <v>4</v>
      </c>
      <c r="F58" s="3" t="s">
        <v>1550</v>
      </c>
      <c r="G58" s="3" t="s">
        <v>1550</v>
      </c>
      <c r="H58">
        <v>0</v>
      </c>
      <c r="I58">
        <v>0</v>
      </c>
      <c r="J58" s="2">
        <v>0</v>
      </c>
      <c r="K58" s="2" t="s">
        <v>339</v>
      </c>
      <c r="L58" s="2">
        <f t="shared" si="22"/>
        <v>3</v>
      </c>
      <c r="M58" s="2">
        <f t="shared" si="28"/>
        <v>1.4000000000000001</v>
      </c>
      <c r="N58" s="2">
        <f t="shared" si="28"/>
        <v>1.9000000000000001</v>
      </c>
      <c r="O58" s="2">
        <v>10</v>
      </c>
      <c r="P58" s="2">
        <f t="shared" si="29"/>
        <v>98.56</v>
      </c>
      <c r="Q58" s="2">
        <f t="shared" si="29"/>
        <v>9.86</v>
      </c>
      <c r="R58" s="2">
        <f t="shared" si="29"/>
        <v>1047.27</v>
      </c>
      <c r="S58" s="2">
        <f t="shared" si="29"/>
        <v>104.73</v>
      </c>
      <c r="T58" s="2">
        <f t="shared" si="29"/>
        <v>24.64</v>
      </c>
      <c r="U58" s="2">
        <f t="shared" si="29"/>
        <v>2.46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3">
        <v>346001</v>
      </c>
      <c r="AB58" s="14" t="s">
        <v>340</v>
      </c>
      <c r="AC58" s="15" t="s">
        <v>869</v>
      </c>
      <c r="AD58">
        <v>3044600</v>
      </c>
      <c r="AE58" s="2">
        <v>5</v>
      </c>
      <c r="AF58" s="2">
        <v>1</v>
      </c>
      <c r="AG58" s="2">
        <f t="shared" si="30"/>
        <v>3034600</v>
      </c>
      <c r="AH58" s="2">
        <v>2</v>
      </c>
      <c r="AI58" s="2"/>
      <c r="AJ58">
        <v>1</v>
      </c>
      <c r="AK58" s="1">
        <f t="shared" si="2"/>
        <v>28.254589679735908</v>
      </c>
      <c r="AL58">
        <v>3</v>
      </c>
      <c r="AM58">
        <f t="shared" si="23"/>
        <v>98.559999999999988</v>
      </c>
      <c r="AN58">
        <f t="shared" si="24"/>
        <v>9.8559999999999999</v>
      </c>
      <c r="AO58">
        <f t="shared" si="25"/>
        <v>1047.2727272727273</v>
      </c>
      <c r="AP58">
        <f t="shared" si="26"/>
        <v>104.72727272727273</v>
      </c>
      <c r="AQ58">
        <f t="shared" si="3"/>
        <v>24.639999999999997</v>
      </c>
      <c r="AR58">
        <f t="shared" si="4"/>
        <v>2.464</v>
      </c>
      <c r="AS58">
        <f t="shared" si="5"/>
        <v>1.4</v>
      </c>
      <c r="AT58">
        <f t="shared" si="6"/>
        <v>1.9</v>
      </c>
      <c r="AU58">
        <f t="shared" si="7"/>
        <v>3</v>
      </c>
      <c r="AV58">
        <f t="shared" si="31"/>
        <v>6004</v>
      </c>
      <c r="AW58" s="1">
        <v>0</v>
      </c>
      <c r="AX58">
        <v>3</v>
      </c>
      <c r="AY58">
        <v>0</v>
      </c>
      <c r="AZ58" s="20">
        <v>102</v>
      </c>
      <c r="BA58" s="21" t="s">
        <v>226</v>
      </c>
      <c r="BB58" s="20">
        <v>1</v>
      </c>
      <c r="BC58" s="20">
        <f t="shared" si="18"/>
        <v>1</v>
      </c>
      <c r="BD58" s="22">
        <v>5</v>
      </c>
      <c r="BE58" s="23">
        <v>1.4</v>
      </c>
      <c r="BF58" s="25">
        <f t="shared" si="19"/>
        <v>74.666666666666671</v>
      </c>
      <c r="BG58" s="25">
        <f t="shared" si="12"/>
        <v>960</v>
      </c>
      <c r="BH58" s="25">
        <f t="shared" si="13"/>
        <v>14.933333333333334</v>
      </c>
      <c r="BI58">
        <v>3</v>
      </c>
      <c r="BJ58">
        <f t="shared" si="14"/>
        <v>53.333333333333343</v>
      </c>
      <c r="BK58">
        <f t="shared" si="15"/>
        <v>1</v>
      </c>
      <c r="BL58" s="20">
        <v>30</v>
      </c>
      <c r="BM58">
        <f t="shared" si="16"/>
        <v>1.3333333333333333</v>
      </c>
      <c r="BN58" s="20">
        <v>40</v>
      </c>
      <c r="CB58" s="2" t="s">
        <v>412</v>
      </c>
      <c r="CC58" s="3" t="s">
        <v>413</v>
      </c>
      <c r="CE58" t="str">
        <f t="shared" si="27"/>
        <v>DATA_Class_Base23</v>
      </c>
      <c r="CF58" s="6" t="s">
        <v>355</v>
      </c>
    </row>
    <row r="59" spans="1:84">
      <c r="A59">
        <f t="shared" si="21"/>
        <v>3034602</v>
      </c>
      <c r="B59" s="6" t="s">
        <v>343</v>
      </c>
      <c r="C59">
        <v>3</v>
      </c>
      <c r="D59">
        <v>6</v>
      </c>
      <c r="E59">
        <v>4</v>
      </c>
      <c r="F59" s="3" t="s">
        <v>1551</v>
      </c>
      <c r="G59" s="3" t="s">
        <v>1551</v>
      </c>
      <c r="H59">
        <v>0</v>
      </c>
      <c r="I59">
        <v>0</v>
      </c>
      <c r="J59" t="s">
        <v>345</v>
      </c>
      <c r="K59" s="2" t="s">
        <v>346</v>
      </c>
      <c r="L59" s="2">
        <f t="shared" si="22"/>
        <v>6</v>
      </c>
      <c r="M59" s="2">
        <f t="shared" si="28"/>
        <v>1.8</v>
      </c>
      <c r="N59" s="2">
        <f t="shared" si="28"/>
        <v>2</v>
      </c>
      <c r="O59" s="2">
        <v>10</v>
      </c>
      <c r="P59" s="2">
        <f t="shared" si="29"/>
        <v>115.2</v>
      </c>
      <c r="Q59" s="2">
        <f t="shared" si="29"/>
        <v>11.52</v>
      </c>
      <c r="R59" s="2">
        <f t="shared" si="29"/>
        <v>1152</v>
      </c>
      <c r="S59" s="2">
        <f t="shared" si="29"/>
        <v>115.2</v>
      </c>
      <c r="T59" s="2">
        <f t="shared" si="29"/>
        <v>23.04</v>
      </c>
      <c r="U59" s="2">
        <f t="shared" si="29"/>
        <v>2.2999999999999998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3">
        <v>346021</v>
      </c>
      <c r="AB59" s="14" t="s">
        <v>347</v>
      </c>
      <c r="AC59" s="15" t="s">
        <v>869</v>
      </c>
      <c r="AD59">
        <v>3044602</v>
      </c>
      <c r="AE59" s="2">
        <v>5</v>
      </c>
      <c r="AF59" s="2">
        <v>1</v>
      </c>
      <c r="AG59" s="2">
        <f t="shared" si="30"/>
        <v>3034602</v>
      </c>
      <c r="AH59" s="2">
        <v>2</v>
      </c>
      <c r="AI59" s="2"/>
      <c r="AJ59">
        <v>1</v>
      </c>
      <c r="AK59" s="1">
        <f t="shared" si="2"/>
        <v>28.244593395000575</v>
      </c>
      <c r="AL59">
        <v>3</v>
      </c>
      <c r="AM59">
        <f t="shared" si="23"/>
        <v>115.19999999999999</v>
      </c>
      <c r="AN59">
        <f t="shared" si="24"/>
        <v>11.52</v>
      </c>
      <c r="AO59">
        <f t="shared" si="25"/>
        <v>1152</v>
      </c>
      <c r="AP59">
        <f t="shared" si="26"/>
        <v>115.2</v>
      </c>
      <c r="AQ59">
        <f t="shared" si="3"/>
        <v>23.04</v>
      </c>
      <c r="AR59">
        <f t="shared" si="4"/>
        <v>2.3039999999999998</v>
      </c>
      <c r="AS59">
        <f t="shared" si="5"/>
        <v>1.8</v>
      </c>
      <c r="AT59">
        <f t="shared" si="6"/>
        <v>2</v>
      </c>
      <c r="AU59">
        <f t="shared" si="7"/>
        <v>6</v>
      </c>
      <c r="AV59">
        <f t="shared" si="31"/>
        <v>6024</v>
      </c>
      <c r="AW59" s="1">
        <v>2</v>
      </c>
      <c r="AX59">
        <v>3</v>
      </c>
      <c r="AY59">
        <v>0</v>
      </c>
      <c r="CB59" s="2" t="s">
        <v>414</v>
      </c>
      <c r="CC59" s="3" t="s">
        <v>174</v>
      </c>
      <c r="CE59" t="str">
        <f t="shared" si="27"/>
        <v>DATA_Class_Base24</v>
      </c>
      <c r="CF59" s="6" t="s">
        <v>361</v>
      </c>
    </row>
    <row r="60" spans="1:84">
      <c r="A60">
        <f t="shared" si="21"/>
        <v>3035300</v>
      </c>
      <c r="B60" s="6" t="s">
        <v>350</v>
      </c>
      <c r="C60">
        <v>3</v>
      </c>
      <c r="D60">
        <v>3</v>
      </c>
      <c r="E60">
        <v>5</v>
      </c>
      <c r="F60" s="3" t="s">
        <v>1552</v>
      </c>
      <c r="G60" s="3" t="s">
        <v>1552</v>
      </c>
      <c r="H60">
        <v>0</v>
      </c>
      <c r="I60">
        <v>0</v>
      </c>
      <c r="J60" s="2">
        <v>0</v>
      </c>
      <c r="K60" s="2" t="s">
        <v>352</v>
      </c>
      <c r="L60" s="2">
        <f t="shared" si="22"/>
        <v>6</v>
      </c>
      <c r="M60" s="2">
        <f t="shared" si="28"/>
        <v>1.3</v>
      </c>
      <c r="N60" s="2">
        <f t="shared" si="28"/>
        <v>2</v>
      </c>
      <c r="O60" s="2">
        <v>10</v>
      </c>
      <c r="P60" s="2">
        <f t="shared" si="29"/>
        <v>95.68</v>
      </c>
      <c r="Q60" s="2">
        <f t="shared" si="29"/>
        <v>9.57</v>
      </c>
      <c r="R60" s="2">
        <f t="shared" si="29"/>
        <v>1001.74</v>
      </c>
      <c r="S60" s="2">
        <f t="shared" si="29"/>
        <v>100.17</v>
      </c>
      <c r="T60" s="2">
        <f t="shared" si="29"/>
        <v>11.96</v>
      </c>
      <c r="U60" s="2">
        <f t="shared" si="29"/>
        <v>1.2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3">
        <v>353001</v>
      </c>
      <c r="AB60" s="14" t="s">
        <v>353</v>
      </c>
      <c r="AC60" s="15" t="s">
        <v>869</v>
      </c>
      <c r="AD60">
        <v>3045300</v>
      </c>
      <c r="AE60" s="2">
        <v>5</v>
      </c>
      <c r="AF60" s="2">
        <v>1</v>
      </c>
      <c r="AG60" s="2">
        <f t="shared" si="30"/>
        <v>3035300</v>
      </c>
      <c r="AH60" s="2">
        <v>2</v>
      </c>
      <c r="AI60" s="2"/>
      <c r="AJ60">
        <v>1</v>
      </c>
      <c r="AK60" s="1">
        <f t="shared" si="2"/>
        <v>28.175562740683279</v>
      </c>
      <c r="AL60">
        <v>3</v>
      </c>
      <c r="AM60">
        <f t="shared" si="23"/>
        <v>95.679999999999978</v>
      </c>
      <c r="AN60">
        <f t="shared" si="24"/>
        <v>9.5679999999999978</v>
      </c>
      <c r="AO60">
        <f t="shared" si="25"/>
        <v>1001.7391304347826</v>
      </c>
      <c r="AP60">
        <f t="shared" si="26"/>
        <v>100.17391304347827</v>
      </c>
      <c r="AQ60">
        <f t="shared" si="3"/>
        <v>11.959999999999997</v>
      </c>
      <c r="AR60">
        <f t="shared" si="4"/>
        <v>1.1959999999999997</v>
      </c>
      <c r="AS60">
        <f t="shared" si="5"/>
        <v>1.3</v>
      </c>
      <c r="AT60">
        <f t="shared" si="6"/>
        <v>2</v>
      </c>
      <c r="AU60">
        <f t="shared" si="7"/>
        <v>6</v>
      </c>
      <c r="AV60">
        <f t="shared" si="31"/>
        <v>3005</v>
      </c>
      <c r="AW60" s="1">
        <v>0</v>
      </c>
      <c r="AX60">
        <v>3</v>
      </c>
      <c r="AY60">
        <v>0</v>
      </c>
      <c r="CE60" t="str">
        <f t="shared" si="27"/>
        <v>DATA_Class_Base25</v>
      </c>
      <c r="CF60" s="6" t="s">
        <v>366</v>
      </c>
    </row>
    <row r="61" spans="1:84">
      <c r="A61">
        <f t="shared" si="21"/>
        <v>3035302</v>
      </c>
      <c r="B61" s="6" t="s">
        <v>356</v>
      </c>
      <c r="C61">
        <v>3</v>
      </c>
      <c r="D61">
        <v>3</v>
      </c>
      <c r="E61">
        <v>5</v>
      </c>
      <c r="F61" s="3" t="s">
        <v>1008</v>
      </c>
      <c r="G61" s="3" t="s">
        <v>1008</v>
      </c>
      <c r="H61">
        <v>0</v>
      </c>
      <c r="I61">
        <v>0</v>
      </c>
      <c r="J61">
        <v>0</v>
      </c>
      <c r="K61" s="2" t="s">
        <v>358</v>
      </c>
      <c r="L61" s="2">
        <f t="shared" si="22"/>
        <v>3</v>
      </c>
      <c r="M61" s="2">
        <f t="shared" si="28"/>
        <v>1.4000000000000001</v>
      </c>
      <c r="N61" s="2">
        <f t="shared" si="28"/>
        <v>2</v>
      </c>
      <c r="O61" s="2">
        <v>10</v>
      </c>
      <c r="P61" s="2">
        <f t="shared" si="29"/>
        <v>107.52</v>
      </c>
      <c r="Q61" s="2">
        <f t="shared" si="29"/>
        <v>10.75</v>
      </c>
      <c r="R61" s="2">
        <f t="shared" si="29"/>
        <v>960</v>
      </c>
      <c r="S61" s="2">
        <f t="shared" si="29"/>
        <v>96</v>
      </c>
      <c r="T61" s="2">
        <f t="shared" si="29"/>
        <v>15.36</v>
      </c>
      <c r="U61" s="2">
        <f t="shared" si="29"/>
        <v>1.54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3">
        <v>353021</v>
      </c>
      <c r="AB61" s="14" t="s">
        <v>359</v>
      </c>
      <c r="AC61" s="15" t="s">
        <v>869</v>
      </c>
      <c r="AD61">
        <v>3045302</v>
      </c>
      <c r="AE61" s="2">
        <v>5</v>
      </c>
      <c r="AF61" s="2">
        <v>1</v>
      </c>
      <c r="AG61" s="2">
        <f t="shared" si="30"/>
        <v>3035302</v>
      </c>
      <c r="AH61" s="2">
        <v>2</v>
      </c>
      <c r="AI61" s="2"/>
      <c r="AJ61">
        <v>1</v>
      </c>
      <c r="AK61" s="1">
        <f t="shared" si="2"/>
        <v>28.196709520812732</v>
      </c>
      <c r="AL61">
        <v>3</v>
      </c>
      <c r="AM61">
        <f t="shared" si="23"/>
        <v>107.52</v>
      </c>
      <c r="AN61">
        <f t="shared" si="24"/>
        <v>10.752000000000001</v>
      </c>
      <c r="AO61">
        <f t="shared" si="25"/>
        <v>960</v>
      </c>
      <c r="AP61">
        <f t="shared" si="26"/>
        <v>96</v>
      </c>
      <c r="AQ61">
        <f t="shared" si="3"/>
        <v>15.36</v>
      </c>
      <c r="AR61">
        <f t="shared" si="4"/>
        <v>1.536</v>
      </c>
      <c r="AS61">
        <f t="shared" si="5"/>
        <v>1.4</v>
      </c>
      <c r="AT61">
        <f t="shared" si="6"/>
        <v>2</v>
      </c>
      <c r="AU61">
        <f t="shared" si="7"/>
        <v>3</v>
      </c>
      <c r="AV61">
        <f t="shared" si="31"/>
        <v>3025</v>
      </c>
      <c r="AW61" s="1">
        <v>2</v>
      </c>
      <c r="AX61">
        <v>3</v>
      </c>
      <c r="AY61">
        <v>0</v>
      </c>
      <c r="CE61" t="str">
        <f t="shared" si="27"/>
        <v>DATA_Class_Base26</v>
      </c>
      <c r="CF61" s="6" t="s">
        <v>369</v>
      </c>
    </row>
    <row r="62" spans="1:84">
      <c r="A62">
        <f t="shared" si="21"/>
        <v>3035400</v>
      </c>
      <c r="B62" s="6" t="s">
        <v>362</v>
      </c>
      <c r="C62">
        <v>3</v>
      </c>
      <c r="D62">
        <v>4</v>
      </c>
      <c r="E62">
        <v>5</v>
      </c>
      <c r="F62" s="3" t="s">
        <v>1012</v>
      </c>
      <c r="G62" s="3" t="s">
        <v>1012</v>
      </c>
      <c r="H62">
        <v>0</v>
      </c>
      <c r="I62">
        <v>0</v>
      </c>
      <c r="J62">
        <v>0</v>
      </c>
      <c r="K62" s="2" t="s">
        <v>364</v>
      </c>
      <c r="L62" s="2">
        <f t="shared" si="22"/>
        <v>6</v>
      </c>
      <c r="M62" s="2">
        <f t="shared" si="28"/>
        <v>1.4000000000000001</v>
      </c>
      <c r="N62" s="2">
        <f t="shared" si="28"/>
        <v>2</v>
      </c>
      <c r="O62" s="2">
        <v>10</v>
      </c>
      <c r="P62" s="2">
        <f t="shared" si="29"/>
        <v>112</v>
      </c>
      <c r="Q62" s="2">
        <f t="shared" si="29"/>
        <v>11.2</v>
      </c>
      <c r="R62" s="2">
        <f t="shared" si="29"/>
        <v>921.6</v>
      </c>
      <c r="S62" s="2">
        <f t="shared" ref="S62:U114" si="32">ROUND(AP62*(1+$AY62),2)</f>
        <v>92.16</v>
      </c>
      <c r="T62" s="2">
        <f t="shared" si="32"/>
        <v>18.670000000000002</v>
      </c>
      <c r="U62" s="2">
        <f t="shared" si="32"/>
        <v>1.87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3">
        <v>354001</v>
      </c>
      <c r="AB62" s="14" t="s">
        <v>365</v>
      </c>
      <c r="AC62" s="15" t="s">
        <v>869</v>
      </c>
      <c r="AD62">
        <v>3045400</v>
      </c>
      <c r="AE62" s="2">
        <v>5</v>
      </c>
      <c r="AF62" s="2">
        <v>1</v>
      </c>
      <c r="AG62" s="2">
        <f t="shared" si="30"/>
        <v>3035400</v>
      </c>
      <c r="AH62" s="2">
        <v>2</v>
      </c>
      <c r="AI62" s="2"/>
      <c r="AJ62">
        <v>1</v>
      </c>
      <c r="AK62" s="1">
        <f t="shared" si="2"/>
        <v>28.217306271086596</v>
      </c>
      <c r="AL62">
        <v>3</v>
      </c>
      <c r="AM62">
        <f t="shared" si="23"/>
        <v>112.00000000000001</v>
      </c>
      <c r="AN62">
        <f t="shared" si="24"/>
        <v>11.200000000000003</v>
      </c>
      <c r="AO62">
        <f t="shared" si="25"/>
        <v>921.59999999999991</v>
      </c>
      <c r="AP62">
        <f t="shared" si="26"/>
        <v>92.16</v>
      </c>
      <c r="AQ62">
        <f t="shared" si="3"/>
        <v>18.666666666666668</v>
      </c>
      <c r="AR62">
        <f t="shared" si="4"/>
        <v>1.8666666666666669</v>
      </c>
      <c r="AS62">
        <f t="shared" si="5"/>
        <v>1.4</v>
      </c>
      <c r="AT62">
        <f t="shared" si="6"/>
        <v>2</v>
      </c>
      <c r="AU62">
        <f t="shared" si="7"/>
        <v>6</v>
      </c>
      <c r="AV62">
        <f t="shared" si="31"/>
        <v>4005</v>
      </c>
      <c r="AW62" s="1">
        <v>0</v>
      </c>
      <c r="AX62">
        <v>3</v>
      </c>
      <c r="AY62">
        <v>0</v>
      </c>
      <c r="CE62" t="str">
        <f t="shared" si="27"/>
        <v>DATA_Class_Base27</v>
      </c>
      <c r="CF62" s="6" t="s">
        <v>371</v>
      </c>
    </row>
    <row r="63" spans="1:84">
      <c r="A63">
        <f t="shared" si="21"/>
        <v>3041200</v>
      </c>
      <c r="B63" s="6" t="s">
        <v>294</v>
      </c>
      <c r="C63">
        <v>4</v>
      </c>
      <c r="D63">
        <v>2</v>
      </c>
      <c r="E63">
        <v>1</v>
      </c>
      <c r="F63" s="3" t="s">
        <v>1520</v>
      </c>
      <c r="G63" s="3" t="s">
        <v>1520</v>
      </c>
      <c r="H63">
        <v>0</v>
      </c>
      <c r="I63">
        <v>0</v>
      </c>
      <c r="J63" s="2">
        <v>0</v>
      </c>
      <c r="K63" s="2" t="s">
        <v>314</v>
      </c>
      <c r="L63" s="2">
        <f t="shared" si="22"/>
        <v>3</v>
      </c>
      <c r="M63" s="2">
        <f t="shared" si="28"/>
        <v>1.5</v>
      </c>
      <c r="N63" s="2">
        <f t="shared" si="28"/>
        <v>1.2</v>
      </c>
      <c r="O63" s="2">
        <v>10</v>
      </c>
      <c r="P63" s="2">
        <f t="shared" ref="P63:U115" si="33">ROUND(AM63*(1+$AY63),2)</f>
        <v>89.6</v>
      </c>
      <c r="Q63" s="2">
        <f t="shared" si="33"/>
        <v>8.9600000000000009</v>
      </c>
      <c r="R63" s="2">
        <f t="shared" si="33"/>
        <v>1680</v>
      </c>
      <c r="S63" s="2">
        <f t="shared" si="32"/>
        <v>168</v>
      </c>
      <c r="T63" s="2">
        <f t="shared" si="32"/>
        <v>29.87</v>
      </c>
      <c r="U63" s="2">
        <f t="shared" si="32"/>
        <v>2.99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6">
        <v>312001</v>
      </c>
      <c r="AB63" s="15" t="s">
        <v>1553</v>
      </c>
      <c r="AC63" s="15" t="s">
        <v>889</v>
      </c>
      <c r="AD63" s="2">
        <v>3051200</v>
      </c>
      <c r="AE63" s="2">
        <v>4</v>
      </c>
      <c r="AF63" s="2">
        <v>2</v>
      </c>
      <c r="AG63" s="2">
        <v>4</v>
      </c>
      <c r="AH63" s="2">
        <v>2</v>
      </c>
      <c r="AI63" s="2"/>
      <c r="AJ63">
        <v>1</v>
      </c>
      <c r="AK63" s="1">
        <f t="shared" si="2"/>
        <v>38.502149590912019</v>
      </c>
      <c r="AL63">
        <v>4</v>
      </c>
      <c r="AM63">
        <f t="shared" si="23"/>
        <v>89.600000000000009</v>
      </c>
      <c r="AN63">
        <f t="shared" si="24"/>
        <v>8.9600000000000009</v>
      </c>
      <c r="AO63">
        <f t="shared" si="25"/>
        <v>1680</v>
      </c>
      <c r="AP63">
        <f t="shared" si="26"/>
        <v>168</v>
      </c>
      <c r="AQ63">
        <f t="shared" si="3"/>
        <v>29.866666666666671</v>
      </c>
      <c r="AR63">
        <f t="shared" si="4"/>
        <v>2.9866666666666672</v>
      </c>
      <c r="AS63">
        <f t="shared" si="5"/>
        <v>1.5</v>
      </c>
      <c r="AT63">
        <f t="shared" si="6"/>
        <v>1.2</v>
      </c>
      <c r="AU63">
        <f t="shared" si="7"/>
        <v>3</v>
      </c>
      <c r="AV63">
        <f t="shared" si="31"/>
        <v>2001</v>
      </c>
      <c r="AW63" s="1">
        <v>0</v>
      </c>
      <c r="AX63">
        <v>3</v>
      </c>
      <c r="AY63">
        <v>0</v>
      </c>
      <c r="CE63" t="str">
        <f t="shared" si="27"/>
        <v>DATA_Class_Base13</v>
      </c>
      <c r="CF63" s="6" t="s">
        <v>295</v>
      </c>
    </row>
    <row r="64" spans="1:84">
      <c r="A64">
        <f t="shared" si="21"/>
        <v>3041201</v>
      </c>
      <c r="B64" s="6" t="s">
        <v>296</v>
      </c>
      <c r="C64">
        <v>4</v>
      </c>
      <c r="D64">
        <v>2</v>
      </c>
      <c r="E64">
        <v>1</v>
      </c>
      <c r="F64" s="3" t="s">
        <v>911</v>
      </c>
      <c r="G64" s="3" t="s">
        <v>911</v>
      </c>
      <c r="H64">
        <v>0</v>
      </c>
      <c r="I64">
        <v>0</v>
      </c>
      <c r="J64" s="2">
        <v>0</v>
      </c>
      <c r="K64" s="8" t="s">
        <v>298</v>
      </c>
      <c r="L64" s="2">
        <f t="shared" si="22"/>
        <v>3</v>
      </c>
      <c r="M64" s="2">
        <f t="shared" si="28"/>
        <v>1.8</v>
      </c>
      <c r="N64" s="2">
        <f t="shared" si="28"/>
        <v>1.8</v>
      </c>
      <c r="O64" s="2">
        <v>10</v>
      </c>
      <c r="P64" s="2">
        <f t="shared" si="33"/>
        <v>67.2</v>
      </c>
      <c r="Q64" s="2">
        <f t="shared" si="33"/>
        <v>6.72</v>
      </c>
      <c r="R64" s="2">
        <f t="shared" si="33"/>
        <v>2688</v>
      </c>
      <c r="S64" s="2">
        <f t="shared" si="32"/>
        <v>268.8</v>
      </c>
      <c r="T64" s="2">
        <f t="shared" si="32"/>
        <v>33.6</v>
      </c>
      <c r="U64" s="2">
        <f t="shared" si="32"/>
        <v>3.36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6">
        <v>312011</v>
      </c>
      <c r="AB64" s="14" t="s">
        <v>1554</v>
      </c>
      <c r="AC64" s="15" t="s">
        <v>889</v>
      </c>
      <c r="AD64" s="2">
        <v>3051201</v>
      </c>
      <c r="AE64" s="2">
        <v>4</v>
      </c>
      <c r="AF64" s="2">
        <v>2</v>
      </c>
      <c r="AG64" s="2">
        <v>4</v>
      </c>
      <c r="AH64" s="2">
        <v>2</v>
      </c>
      <c r="AI64" s="2"/>
      <c r="AJ64">
        <v>1</v>
      </c>
      <c r="AK64" s="1">
        <f t="shared" si="2"/>
        <v>38.534008188529612</v>
      </c>
      <c r="AL64">
        <v>4</v>
      </c>
      <c r="AM64">
        <f t="shared" si="23"/>
        <v>67.199999999999989</v>
      </c>
      <c r="AN64">
        <f t="shared" si="24"/>
        <v>6.7199999999999989</v>
      </c>
      <c r="AO64">
        <f t="shared" si="25"/>
        <v>2688</v>
      </c>
      <c r="AP64">
        <f t="shared" si="26"/>
        <v>268.8</v>
      </c>
      <c r="AQ64">
        <f t="shared" si="3"/>
        <v>33.599999999999994</v>
      </c>
      <c r="AR64">
        <f t="shared" si="4"/>
        <v>3.3599999999999994</v>
      </c>
      <c r="AS64">
        <f t="shared" si="5"/>
        <v>1.8</v>
      </c>
      <c r="AT64">
        <f t="shared" si="6"/>
        <v>1.8</v>
      </c>
      <c r="AU64">
        <f t="shared" si="7"/>
        <v>3</v>
      </c>
      <c r="AV64">
        <f t="shared" si="31"/>
        <v>2011</v>
      </c>
      <c r="AW64" s="1">
        <v>1</v>
      </c>
      <c r="AX64">
        <v>3</v>
      </c>
      <c r="AY64">
        <v>0</v>
      </c>
      <c r="CE64" t="str">
        <f t="shared" si="27"/>
        <v>DATA_Class_Base14</v>
      </c>
      <c r="CF64" s="6" t="s">
        <v>300</v>
      </c>
    </row>
    <row r="65" spans="1:84">
      <c r="A65">
        <f t="shared" si="21"/>
        <v>3041202</v>
      </c>
      <c r="B65" s="6" t="s">
        <v>278</v>
      </c>
      <c r="C65">
        <v>4</v>
      </c>
      <c r="D65">
        <v>2</v>
      </c>
      <c r="E65">
        <v>1</v>
      </c>
      <c r="F65" s="3" t="s">
        <v>279</v>
      </c>
      <c r="G65" s="3" t="s">
        <v>279</v>
      </c>
      <c r="H65">
        <v>0</v>
      </c>
      <c r="I65">
        <v>0</v>
      </c>
      <c r="J65">
        <v>0</v>
      </c>
      <c r="K65" s="2" t="s">
        <v>280</v>
      </c>
      <c r="L65" s="2">
        <f t="shared" si="22"/>
        <v>3</v>
      </c>
      <c r="M65" s="2">
        <f t="shared" si="28"/>
        <v>1.8</v>
      </c>
      <c r="N65" s="2">
        <f t="shared" si="28"/>
        <v>2</v>
      </c>
      <c r="O65" s="2">
        <v>10</v>
      </c>
      <c r="P65" s="2">
        <f t="shared" si="33"/>
        <v>107.52</v>
      </c>
      <c r="Q65" s="2">
        <f t="shared" si="33"/>
        <v>10.75</v>
      </c>
      <c r="R65" s="2">
        <f t="shared" si="33"/>
        <v>1680</v>
      </c>
      <c r="S65" s="2">
        <f t="shared" si="32"/>
        <v>168</v>
      </c>
      <c r="T65" s="2">
        <f t="shared" si="32"/>
        <v>26.88</v>
      </c>
      <c r="U65" s="2">
        <f t="shared" si="32"/>
        <v>2.69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6">
        <v>312021</v>
      </c>
      <c r="AB65" s="14" t="s">
        <v>367</v>
      </c>
      <c r="AC65" s="15" t="s">
        <v>889</v>
      </c>
      <c r="AD65" s="2">
        <v>3051202</v>
      </c>
      <c r="AE65" s="2">
        <v>4</v>
      </c>
      <c r="AF65" s="2">
        <v>2</v>
      </c>
      <c r="AG65" s="2">
        <v>4</v>
      </c>
      <c r="AH65" s="2">
        <v>2</v>
      </c>
      <c r="AI65" s="2"/>
      <c r="AJ65">
        <v>1</v>
      </c>
      <c r="AK65" s="1">
        <f t="shared" si="2"/>
        <v>38.476700616767324</v>
      </c>
      <c r="AL65">
        <v>4</v>
      </c>
      <c r="AM65">
        <f t="shared" si="23"/>
        <v>107.52000000000001</v>
      </c>
      <c r="AN65">
        <f t="shared" si="24"/>
        <v>10.752000000000002</v>
      </c>
      <c r="AO65">
        <f t="shared" si="25"/>
        <v>1680</v>
      </c>
      <c r="AP65">
        <f t="shared" si="26"/>
        <v>168</v>
      </c>
      <c r="AQ65">
        <f t="shared" si="3"/>
        <v>26.880000000000003</v>
      </c>
      <c r="AR65">
        <f t="shared" si="4"/>
        <v>2.6880000000000006</v>
      </c>
      <c r="AS65">
        <f t="shared" si="5"/>
        <v>1.8</v>
      </c>
      <c r="AT65">
        <f t="shared" si="6"/>
        <v>2</v>
      </c>
      <c r="AU65">
        <f t="shared" si="7"/>
        <v>3</v>
      </c>
      <c r="AV65">
        <f t="shared" si="31"/>
        <v>2021</v>
      </c>
      <c r="AW65" s="1">
        <v>2</v>
      </c>
      <c r="AX65">
        <v>3</v>
      </c>
      <c r="AY65">
        <v>0</v>
      </c>
      <c r="CE65" t="str">
        <f t="shared" si="27"/>
        <v>DATA_Class_Base15</v>
      </c>
      <c r="CF65" s="6" t="s">
        <v>306</v>
      </c>
    </row>
    <row r="66" spans="1:84">
      <c r="A66">
        <f t="shared" si="21"/>
        <v>3041301</v>
      </c>
      <c r="B66" s="6" t="s">
        <v>283</v>
      </c>
      <c r="C66">
        <v>4</v>
      </c>
      <c r="D66">
        <v>3</v>
      </c>
      <c r="E66">
        <v>1</v>
      </c>
      <c r="F66" s="3" t="s">
        <v>284</v>
      </c>
      <c r="G66" s="3" t="s">
        <v>284</v>
      </c>
      <c r="H66">
        <v>0</v>
      </c>
      <c r="I66">
        <v>0</v>
      </c>
      <c r="J66" s="2">
        <v>0</v>
      </c>
      <c r="K66" s="2" t="s">
        <v>285</v>
      </c>
      <c r="L66" s="2">
        <f t="shared" si="22"/>
        <v>3</v>
      </c>
      <c r="M66" s="2">
        <f t="shared" si="28"/>
        <v>1.2</v>
      </c>
      <c r="N66" s="2">
        <f t="shared" si="28"/>
        <v>2</v>
      </c>
      <c r="O66" s="2">
        <v>10</v>
      </c>
      <c r="P66" s="2">
        <f t="shared" si="33"/>
        <v>98.56</v>
      </c>
      <c r="Q66" s="2">
        <f t="shared" si="33"/>
        <v>9.86</v>
      </c>
      <c r="R66" s="2">
        <f t="shared" si="33"/>
        <v>1221.82</v>
      </c>
      <c r="S66" s="2">
        <f t="shared" si="32"/>
        <v>122.18</v>
      </c>
      <c r="T66" s="2">
        <f t="shared" si="32"/>
        <v>16.43</v>
      </c>
      <c r="U66" s="2">
        <f t="shared" si="32"/>
        <v>1.64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6">
        <v>313011</v>
      </c>
      <c r="AB66" s="14" t="s">
        <v>370</v>
      </c>
      <c r="AC66" s="15" t="s">
        <v>889</v>
      </c>
      <c r="AD66" s="2">
        <v>3051301</v>
      </c>
      <c r="AE66" s="2">
        <v>4</v>
      </c>
      <c r="AF66" s="2">
        <v>2</v>
      </c>
      <c r="AG66" s="2">
        <v>4</v>
      </c>
      <c r="AH66" s="2">
        <v>2</v>
      </c>
      <c r="AI66" s="2"/>
      <c r="AJ66">
        <v>1</v>
      </c>
      <c r="AK66" s="1">
        <f t="shared" si="2"/>
        <v>38.387893528827377</v>
      </c>
      <c r="AL66">
        <v>4</v>
      </c>
      <c r="AM66">
        <f t="shared" si="23"/>
        <v>98.56</v>
      </c>
      <c r="AN66">
        <f t="shared" si="24"/>
        <v>9.8560000000000016</v>
      </c>
      <c r="AO66">
        <f t="shared" si="25"/>
        <v>1221.8181818181818</v>
      </c>
      <c r="AP66">
        <f t="shared" si="26"/>
        <v>122.18181818181819</v>
      </c>
      <c r="AQ66">
        <f t="shared" si="3"/>
        <v>16.426666666666666</v>
      </c>
      <c r="AR66">
        <f t="shared" si="4"/>
        <v>1.6426666666666667</v>
      </c>
      <c r="AS66">
        <f t="shared" si="5"/>
        <v>1.2</v>
      </c>
      <c r="AT66">
        <f t="shared" si="6"/>
        <v>2</v>
      </c>
      <c r="AU66">
        <f t="shared" si="7"/>
        <v>3</v>
      </c>
      <c r="AV66">
        <f t="shared" si="31"/>
        <v>3011</v>
      </c>
      <c r="AW66" s="1">
        <v>1</v>
      </c>
      <c r="AX66">
        <v>3</v>
      </c>
      <c r="AY66">
        <v>0</v>
      </c>
      <c r="CE66" t="str">
        <f t="shared" si="27"/>
        <v>DATA_Class_Base16</v>
      </c>
      <c r="CF66" s="6" t="s">
        <v>312</v>
      </c>
    </row>
    <row r="67" spans="1:84">
      <c r="A67">
        <f t="shared" si="21"/>
        <v>3041401</v>
      </c>
      <c r="B67" s="6" t="s">
        <v>317</v>
      </c>
      <c r="C67">
        <v>4</v>
      </c>
      <c r="D67">
        <v>4</v>
      </c>
      <c r="E67">
        <v>1</v>
      </c>
      <c r="F67" s="3" t="s">
        <v>319</v>
      </c>
      <c r="G67" s="3" t="s">
        <v>319</v>
      </c>
      <c r="H67">
        <v>0</v>
      </c>
      <c r="I67">
        <v>0</v>
      </c>
      <c r="J67" s="2">
        <v>0</v>
      </c>
      <c r="K67" s="2" t="s">
        <v>161</v>
      </c>
      <c r="L67" s="2">
        <f t="shared" si="22"/>
        <v>6</v>
      </c>
      <c r="M67" s="2">
        <f t="shared" si="28"/>
        <v>1.6</v>
      </c>
      <c r="N67" s="2">
        <f t="shared" si="28"/>
        <v>2</v>
      </c>
      <c r="O67" s="2">
        <v>10</v>
      </c>
      <c r="P67" s="2">
        <f t="shared" si="33"/>
        <v>131.41</v>
      </c>
      <c r="Q67" s="2">
        <f t="shared" si="33"/>
        <v>13.14</v>
      </c>
      <c r="R67" s="2">
        <f t="shared" si="33"/>
        <v>1221.82</v>
      </c>
      <c r="S67" s="2">
        <f t="shared" si="32"/>
        <v>122.18</v>
      </c>
      <c r="T67" s="2">
        <f t="shared" si="32"/>
        <v>26.28</v>
      </c>
      <c r="U67" s="2">
        <f t="shared" si="32"/>
        <v>2.63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6">
        <v>314011</v>
      </c>
      <c r="AB67" s="14" t="s">
        <v>1555</v>
      </c>
      <c r="AC67" s="15" t="s">
        <v>889</v>
      </c>
      <c r="AD67" s="2">
        <v>3051401</v>
      </c>
      <c r="AE67" s="2">
        <v>4</v>
      </c>
      <c r="AF67" s="2">
        <v>2</v>
      </c>
      <c r="AG67" s="2">
        <v>4</v>
      </c>
      <c r="AH67" s="2">
        <v>2</v>
      </c>
      <c r="AI67" s="2"/>
      <c r="AJ67">
        <v>1</v>
      </c>
      <c r="AK67" s="1">
        <f t="shared" si="2"/>
        <v>38.471614858479839</v>
      </c>
      <c r="AL67">
        <v>4</v>
      </c>
      <c r="AM67">
        <f t="shared" si="23"/>
        <v>131.41333333333336</v>
      </c>
      <c r="AN67">
        <f t="shared" si="24"/>
        <v>13.141333333333336</v>
      </c>
      <c r="AO67">
        <f t="shared" si="25"/>
        <v>1221.8181818181818</v>
      </c>
      <c r="AP67">
        <f t="shared" si="26"/>
        <v>122.18181818181819</v>
      </c>
      <c r="AQ67">
        <f t="shared" si="3"/>
        <v>26.282666666666671</v>
      </c>
      <c r="AR67">
        <f t="shared" si="4"/>
        <v>2.6282666666666672</v>
      </c>
      <c r="AS67">
        <f t="shared" si="5"/>
        <v>1.6</v>
      </c>
      <c r="AT67">
        <f t="shared" si="6"/>
        <v>2</v>
      </c>
      <c r="AU67">
        <f t="shared" si="7"/>
        <v>6</v>
      </c>
      <c r="AV67">
        <f t="shared" si="31"/>
        <v>4011</v>
      </c>
      <c r="AW67" s="1">
        <v>1</v>
      </c>
      <c r="AX67">
        <v>3</v>
      </c>
      <c r="AY67">
        <v>0</v>
      </c>
      <c r="CE67" t="str">
        <f t="shared" si="27"/>
        <v>DATA_Class_Base17</v>
      </c>
      <c r="CF67" s="6" t="s">
        <v>318</v>
      </c>
    </row>
    <row r="68" spans="1:84">
      <c r="A68">
        <f t="shared" si="21"/>
        <v>3041402</v>
      </c>
      <c r="B68" s="6" t="s">
        <v>323</v>
      </c>
      <c r="C68">
        <v>4</v>
      </c>
      <c r="D68">
        <v>4</v>
      </c>
      <c r="E68">
        <v>1</v>
      </c>
      <c r="F68" s="3" t="s">
        <v>1524</v>
      </c>
      <c r="G68" s="3" t="s">
        <v>1524</v>
      </c>
      <c r="H68">
        <v>0</v>
      </c>
      <c r="I68">
        <v>0</v>
      </c>
      <c r="J68">
        <v>0</v>
      </c>
      <c r="K68" s="2" t="s">
        <v>250</v>
      </c>
      <c r="L68" s="2">
        <f t="shared" si="22"/>
        <v>6</v>
      </c>
      <c r="M68" s="2">
        <f t="shared" si="28"/>
        <v>1.5</v>
      </c>
      <c r="N68" s="2">
        <f t="shared" si="28"/>
        <v>1.5</v>
      </c>
      <c r="O68" s="2">
        <v>10</v>
      </c>
      <c r="P68" s="2">
        <f t="shared" si="33"/>
        <v>134.4</v>
      </c>
      <c r="Q68" s="2">
        <f t="shared" si="33"/>
        <v>13.44</v>
      </c>
      <c r="R68" s="2">
        <f t="shared" si="33"/>
        <v>1120</v>
      </c>
      <c r="S68" s="2">
        <f t="shared" si="32"/>
        <v>112</v>
      </c>
      <c r="T68" s="2">
        <f t="shared" si="32"/>
        <v>22.4</v>
      </c>
      <c r="U68" s="2">
        <f t="shared" si="32"/>
        <v>2.2400000000000002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6">
        <v>314021</v>
      </c>
      <c r="AB68" s="14" t="s">
        <v>1556</v>
      </c>
      <c r="AC68" s="15" t="s">
        <v>889</v>
      </c>
      <c r="AD68" s="2">
        <v>3051402</v>
      </c>
      <c r="AE68" s="2">
        <v>4</v>
      </c>
      <c r="AF68" s="2">
        <v>2</v>
      </c>
      <c r="AG68" s="2">
        <v>4</v>
      </c>
      <c r="AH68" s="2">
        <v>2</v>
      </c>
      <c r="AI68" s="2"/>
      <c r="AJ68">
        <v>1</v>
      </c>
      <c r="AK68" s="1">
        <f t="shared" ref="AK68:AK131" si="34">(AO68+AP68*AJ68)*(AM68+AN68*AJ68)/AS68*(0.9)*(1+0.5*0.1)*1/1/(1-(AQ68+AR68*AJ68)*0.0002)/3000</f>
        <v>38.438590172369437</v>
      </c>
      <c r="AL68">
        <v>4</v>
      </c>
      <c r="AM68">
        <f t="shared" si="23"/>
        <v>134.39999999999998</v>
      </c>
      <c r="AN68">
        <f t="shared" si="24"/>
        <v>13.439999999999998</v>
      </c>
      <c r="AO68">
        <f t="shared" si="25"/>
        <v>1120</v>
      </c>
      <c r="AP68">
        <f t="shared" si="26"/>
        <v>112</v>
      </c>
      <c r="AQ68">
        <f t="shared" ref="AQ68:AQ131" si="35">$AM68/INDEX($BD$5:$BD$58,MATCH($AV68,$AZ$5:$AZ$58,0))</f>
        <v>22.399999999999995</v>
      </c>
      <c r="AR68">
        <f t="shared" ref="AR68:AR131" si="36">AQ68*0.1</f>
        <v>2.2399999999999998</v>
      </c>
      <c r="AS68">
        <f t="shared" ref="AS68:AS131" si="37">INDEX($BE$5:$BE$58,MATCH($AV68,$AZ$5:$AZ$58,0))</f>
        <v>1.5</v>
      </c>
      <c r="AT68">
        <f t="shared" ref="AT68:AT131" si="38">ROUND(IF(INDEX($BM$5:$BM$58,MATCH($AV68,$AZ$5:$AZ$58,0))&lt;2,INDEX($BM$5:$BM$58,MATCH($AV68,$AZ$5:$AZ$58,0))+0.2,2),1)</f>
        <v>1.5</v>
      </c>
      <c r="AU68">
        <f t="shared" ref="AU68:AU131" si="39">INDEX($BI$5:$BI$58,MATCH($AV68,$AZ$5:$AZ$58,0))</f>
        <v>6</v>
      </c>
      <c r="AV68">
        <f t="shared" si="31"/>
        <v>4021</v>
      </c>
      <c r="AW68" s="1">
        <v>2</v>
      </c>
      <c r="AX68">
        <v>3</v>
      </c>
      <c r="AY68">
        <v>0</v>
      </c>
      <c r="CE68" t="str">
        <f t="shared" si="27"/>
        <v>DATA_Class_Base18</v>
      </c>
      <c r="CF68" s="6" t="s">
        <v>324</v>
      </c>
    </row>
    <row r="69" spans="1:84">
      <c r="A69">
        <f t="shared" si="21"/>
        <v>3041500</v>
      </c>
      <c r="B69" s="6" t="s">
        <v>301</v>
      </c>
      <c r="C69">
        <v>4</v>
      </c>
      <c r="D69">
        <v>5</v>
      </c>
      <c r="E69">
        <v>1</v>
      </c>
      <c r="F69" s="3" t="s">
        <v>954</v>
      </c>
      <c r="G69" s="3" t="s">
        <v>954</v>
      </c>
      <c r="H69">
        <v>0</v>
      </c>
      <c r="I69">
        <v>0</v>
      </c>
      <c r="J69">
        <v>0</v>
      </c>
      <c r="K69" s="2" t="s">
        <v>303</v>
      </c>
      <c r="L69" s="2">
        <f t="shared" si="22"/>
        <v>6</v>
      </c>
      <c r="M69" s="2">
        <f t="shared" si="28"/>
        <v>1.5</v>
      </c>
      <c r="N69" s="2">
        <f t="shared" si="28"/>
        <v>1.5</v>
      </c>
      <c r="O69" s="2">
        <v>10</v>
      </c>
      <c r="P69" s="2">
        <f t="shared" si="33"/>
        <v>156.80000000000001</v>
      </c>
      <c r="Q69" s="2">
        <f t="shared" si="33"/>
        <v>15.68</v>
      </c>
      <c r="R69" s="2">
        <f t="shared" si="33"/>
        <v>960</v>
      </c>
      <c r="S69" s="2">
        <f t="shared" si="32"/>
        <v>96</v>
      </c>
      <c r="T69" s="2">
        <f t="shared" si="32"/>
        <v>22.4</v>
      </c>
      <c r="U69" s="2">
        <f t="shared" si="32"/>
        <v>2.2400000000000002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6">
        <v>315001</v>
      </c>
      <c r="AB69" s="14" t="s">
        <v>1557</v>
      </c>
      <c r="AC69" s="15" t="s">
        <v>889</v>
      </c>
      <c r="AD69" s="2">
        <v>3051500</v>
      </c>
      <c r="AE69" s="2">
        <v>4</v>
      </c>
      <c r="AF69" s="2">
        <v>2</v>
      </c>
      <c r="AG69" s="2">
        <v>4</v>
      </c>
      <c r="AH69" s="2">
        <v>2</v>
      </c>
      <c r="AI69" s="2"/>
      <c r="AJ69">
        <v>1</v>
      </c>
      <c r="AK69" s="1">
        <f t="shared" si="34"/>
        <v>38.43859017236943</v>
      </c>
      <c r="AL69">
        <v>4</v>
      </c>
      <c r="AM69">
        <f t="shared" si="23"/>
        <v>156.79999999999995</v>
      </c>
      <c r="AN69">
        <f t="shared" si="24"/>
        <v>15.679999999999996</v>
      </c>
      <c r="AO69">
        <f t="shared" si="25"/>
        <v>960</v>
      </c>
      <c r="AP69">
        <f t="shared" si="26"/>
        <v>96</v>
      </c>
      <c r="AQ69">
        <f t="shared" si="35"/>
        <v>22.399999999999995</v>
      </c>
      <c r="AR69">
        <f t="shared" si="36"/>
        <v>2.2399999999999998</v>
      </c>
      <c r="AS69">
        <f t="shared" si="37"/>
        <v>1.5</v>
      </c>
      <c r="AT69">
        <f t="shared" si="38"/>
        <v>1.5</v>
      </c>
      <c r="AU69">
        <f t="shared" si="39"/>
        <v>6</v>
      </c>
      <c r="AV69">
        <f t="shared" si="31"/>
        <v>5001</v>
      </c>
      <c r="AW69" s="1">
        <v>0</v>
      </c>
      <c r="AX69">
        <v>3</v>
      </c>
      <c r="AY69">
        <v>0</v>
      </c>
      <c r="CE69" t="str">
        <f t="shared" si="27"/>
        <v>DATA_Class_Base19</v>
      </c>
      <c r="CF69" s="6" t="s">
        <v>331</v>
      </c>
    </row>
    <row r="70" spans="1:84">
      <c r="A70">
        <f t="shared" si="21"/>
        <v>3041502</v>
      </c>
      <c r="B70" s="6" t="s">
        <v>289</v>
      </c>
      <c r="C70">
        <v>4</v>
      </c>
      <c r="D70">
        <v>5</v>
      </c>
      <c r="E70">
        <v>1</v>
      </c>
      <c r="F70" s="3" t="s">
        <v>290</v>
      </c>
      <c r="G70" s="3" t="s">
        <v>290</v>
      </c>
      <c r="H70">
        <v>0</v>
      </c>
      <c r="I70">
        <v>0</v>
      </c>
      <c r="J70" s="2">
        <v>0</v>
      </c>
      <c r="K70" s="2" t="s">
        <v>291</v>
      </c>
      <c r="L70" s="2">
        <f t="shared" si="22"/>
        <v>6</v>
      </c>
      <c r="M70" s="2">
        <f t="shared" si="28"/>
        <v>1.4000000000000001</v>
      </c>
      <c r="N70" s="2">
        <f t="shared" si="28"/>
        <v>2</v>
      </c>
      <c r="O70" s="2">
        <v>10</v>
      </c>
      <c r="P70" s="2">
        <f t="shared" si="33"/>
        <v>135.88999999999999</v>
      </c>
      <c r="Q70" s="2">
        <f t="shared" si="33"/>
        <v>13.59</v>
      </c>
      <c r="R70" s="2">
        <f t="shared" si="33"/>
        <v>1033.8499999999999</v>
      </c>
      <c r="S70" s="2">
        <f t="shared" si="32"/>
        <v>103.38</v>
      </c>
      <c r="T70" s="2">
        <f t="shared" si="32"/>
        <v>20.91</v>
      </c>
      <c r="U70" s="2">
        <f t="shared" si="32"/>
        <v>2.09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6">
        <v>315021</v>
      </c>
      <c r="AB70" s="14" t="s">
        <v>372</v>
      </c>
      <c r="AC70" s="15" t="s">
        <v>889</v>
      </c>
      <c r="AD70" s="2">
        <v>3051502</v>
      </c>
      <c r="AE70" s="2">
        <v>4</v>
      </c>
      <c r="AF70" s="2">
        <v>2</v>
      </c>
      <c r="AG70" s="2">
        <v>4</v>
      </c>
      <c r="AH70" s="2">
        <v>2</v>
      </c>
      <c r="AI70" s="2"/>
      <c r="AJ70">
        <v>1</v>
      </c>
      <c r="AK70" s="1">
        <f t="shared" si="34"/>
        <v>38.425903462110512</v>
      </c>
      <c r="AL70">
        <v>4</v>
      </c>
      <c r="AM70">
        <f t="shared" si="23"/>
        <v>135.89333333333329</v>
      </c>
      <c r="AN70">
        <f t="shared" si="24"/>
        <v>13.589333333333329</v>
      </c>
      <c r="AO70">
        <f t="shared" si="25"/>
        <v>1033.8461538461536</v>
      </c>
      <c r="AP70">
        <f t="shared" si="26"/>
        <v>103.38461538461536</v>
      </c>
      <c r="AQ70">
        <f t="shared" si="35"/>
        <v>20.906666666666659</v>
      </c>
      <c r="AR70">
        <f t="shared" si="36"/>
        <v>2.090666666666666</v>
      </c>
      <c r="AS70">
        <f t="shared" si="37"/>
        <v>1.4</v>
      </c>
      <c r="AT70">
        <f t="shared" si="38"/>
        <v>2</v>
      </c>
      <c r="AU70">
        <f t="shared" si="39"/>
        <v>6</v>
      </c>
      <c r="AV70">
        <f t="shared" si="31"/>
        <v>5021</v>
      </c>
      <c r="AW70" s="1">
        <v>2</v>
      </c>
      <c r="AX70">
        <v>3</v>
      </c>
      <c r="AY70">
        <v>0</v>
      </c>
      <c r="CE70" t="str">
        <f t="shared" si="27"/>
        <v>DATA_Class_Base20</v>
      </c>
      <c r="CF70" s="6" t="s">
        <v>336</v>
      </c>
    </row>
    <row r="71" spans="1:84">
      <c r="A71">
        <f t="shared" si="21"/>
        <v>3041601</v>
      </c>
      <c r="B71" s="6" t="s">
        <v>307</v>
      </c>
      <c r="C71">
        <v>4</v>
      </c>
      <c r="D71">
        <v>6</v>
      </c>
      <c r="E71">
        <v>1</v>
      </c>
      <c r="F71" s="3" t="s">
        <v>958</v>
      </c>
      <c r="G71" s="3" t="s">
        <v>958</v>
      </c>
      <c r="H71">
        <v>0</v>
      </c>
      <c r="I71">
        <v>0</v>
      </c>
      <c r="J71">
        <v>0</v>
      </c>
      <c r="K71" s="2" t="s">
        <v>309</v>
      </c>
      <c r="L71" s="2">
        <f t="shared" si="22"/>
        <v>6</v>
      </c>
      <c r="M71" s="2">
        <f t="shared" si="28"/>
        <v>1.5</v>
      </c>
      <c r="N71" s="2">
        <f t="shared" si="28"/>
        <v>2</v>
      </c>
      <c r="O71" s="2">
        <v>10</v>
      </c>
      <c r="P71" s="2">
        <f t="shared" si="33"/>
        <v>112</v>
      </c>
      <c r="Q71" s="2">
        <f t="shared" si="33"/>
        <v>11.2</v>
      </c>
      <c r="R71" s="2">
        <f t="shared" si="33"/>
        <v>1344</v>
      </c>
      <c r="S71" s="2">
        <f t="shared" si="32"/>
        <v>134.4</v>
      </c>
      <c r="T71" s="2">
        <f t="shared" si="32"/>
        <v>28</v>
      </c>
      <c r="U71" s="2">
        <f t="shared" si="32"/>
        <v>2.8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6">
        <v>316011</v>
      </c>
      <c r="AB71" s="14" t="s">
        <v>1558</v>
      </c>
      <c r="AC71" s="15" t="s">
        <v>889</v>
      </c>
      <c r="AD71" s="2">
        <v>3051601</v>
      </c>
      <c r="AE71" s="2">
        <v>4</v>
      </c>
      <c r="AF71" s="2">
        <v>2</v>
      </c>
      <c r="AG71" s="2">
        <v>4</v>
      </c>
      <c r="AH71" s="2">
        <v>2</v>
      </c>
      <c r="AI71" s="2"/>
      <c r="AJ71">
        <v>1</v>
      </c>
      <c r="AK71" s="1">
        <f t="shared" si="34"/>
        <v>38.486240038638016</v>
      </c>
      <c r="AL71">
        <v>4</v>
      </c>
      <c r="AM71">
        <f t="shared" si="23"/>
        <v>112</v>
      </c>
      <c r="AN71">
        <f t="shared" si="24"/>
        <v>11.200000000000001</v>
      </c>
      <c r="AO71">
        <f t="shared" si="25"/>
        <v>1344</v>
      </c>
      <c r="AP71">
        <f t="shared" si="26"/>
        <v>134.4</v>
      </c>
      <c r="AQ71">
        <f t="shared" si="35"/>
        <v>28</v>
      </c>
      <c r="AR71">
        <f t="shared" si="36"/>
        <v>2.8000000000000003</v>
      </c>
      <c r="AS71">
        <f t="shared" si="37"/>
        <v>1.5</v>
      </c>
      <c r="AT71">
        <f t="shared" si="38"/>
        <v>2</v>
      </c>
      <c r="AU71">
        <f t="shared" si="39"/>
        <v>6</v>
      </c>
      <c r="AV71">
        <f t="shared" si="31"/>
        <v>6011</v>
      </c>
      <c r="AW71" s="1">
        <v>1</v>
      </c>
      <c r="AX71">
        <v>3</v>
      </c>
      <c r="AY71">
        <v>0</v>
      </c>
      <c r="CE71" t="str">
        <f t="shared" si="27"/>
        <v>DATA_Class_Base21</v>
      </c>
      <c r="CF71" s="6" t="s">
        <v>342</v>
      </c>
    </row>
    <row r="72" spans="1:84">
      <c r="A72">
        <f t="shared" si="21"/>
        <v>3042200</v>
      </c>
      <c r="B72" s="6" t="s">
        <v>294</v>
      </c>
      <c r="C72">
        <v>4</v>
      </c>
      <c r="D72">
        <v>2</v>
      </c>
      <c r="E72">
        <v>2</v>
      </c>
      <c r="F72" s="3" t="s">
        <v>962</v>
      </c>
      <c r="G72" s="3" t="s">
        <v>962</v>
      </c>
      <c r="H72">
        <v>0</v>
      </c>
      <c r="I72">
        <v>0</v>
      </c>
      <c r="J72">
        <v>0</v>
      </c>
      <c r="K72" s="2" t="s">
        <v>314</v>
      </c>
      <c r="L72" s="2">
        <f t="shared" si="22"/>
        <v>3</v>
      </c>
      <c r="M72" s="2">
        <f t="shared" si="28"/>
        <v>1.5</v>
      </c>
      <c r="N72" s="2">
        <f t="shared" si="28"/>
        <v>1.2</v>
      </c>
      <c r="O72" s="2">
        <v>10</v>
      </c>
      <c r="P72" s="2">
        <f t="shared" si="33"/>
        <v>112</v>
      </c>
      <c r="Q72" s="2">
        <f t="shared" si="33"/>
        <v>11.2</v>
      </c>
      <c r="R72" s="2">
        <f t="shared" si="33"/>
        <v>1344</v>
      </c>
      <c r="S72" s="2">
        <f t="shared" si="32"/>
        <v>134.4</v>
      </c>
      <c r="T72" s="2">
        <f t="shared" si="32"/>
        <v>28</v>
      </c>
      <c r="U72" s="2">
        <f t="shared" si="32"/>
        <v>2.8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6">
        <v>322001</v>
      </c>
      <c r="AB72" s="14" t="s">
        <v>1559</v>
      </c>
      <c r="AC72" s="15" t="s">
        <v>889</v>
      </c>
      <c r="AD72" s="2">
        <v>3052200</v>
      </c>
      <c r="AE72" s="2">
        <v>4</v>
      </c>
      <c r="AF72" s="2">
        <v>2</v>
      </c>
      <c r="AG72" s="2">
        <v>4</v>
      </c>
      <c r="AH72" s="2">
        <v>2</v>
      </c>
      <c r="AI72" s="2"/>
      <c r="AJ72">
        <v>1</v>
      </c>
      <c r="AK72" s="1">
        <f t="shared" si="34"/>
        <v>38.486240038638016</v>
      </c>
      <c r="AL72">
        <v>4</v>
      </c>
      <c r="AM72">
        <f t="shared" si="23"/>
        <v>112</v>
      </c>
      <c r="AN72">
        <f t="shared" si="24"/>
        <v>11.200000000000001</v>
      </c>
      <c r="AO72">
        <f t="shared" si="25"/>
        <v>1344</v>
      </c>
      <c r="AP72">
        <f t="shared" si="26"/>
        <v>134.4</v>
      </c>
      <c r="AQ72">
        <f t="shared" si="35"/>
        <v>28</v>
      </c>
      <c r="AR72">
        <f t="shared" si="36"/>
        <v>2.8000000000000003</v>
      </c>
      <c r="AS72">
        <f t="shared" si="37"/>
        <v>1.5</v>
      </c>
      <c r="AT72">
        <f t="shared" si="38"/>
        <v>1.2</v>
      </c>
      <c r="AU72">
        <f t="shared" si="39"/>
        <v>3</v>
      </c>
      <c r="AV72">
        <f t="shared" si="31"/>
        <v>2002</v>
      </c>
      <c r="AW72" s="1">
        <v>0</v>
      </c>
      <c r="AX72">
        <v>3</v>
      </c>
      <c r="AY72">
        <v>0</v>
      </c>
      <c r="CE72" t="str">
        <f t="shared" si="27"/>
        <v>DATA_Class_Base13</v>
      </c>
      <c r="CF72" s="6" t="s">
        <v>295</v>
      </c>
    </row>
    <row r="73" spans="1:84">
      <c r="A73">
        <f t="shared" si="21"/>
        <v>3042201</v>
      </c>
      <c r="B73" s="6" t="s">
        <v>296</v>
      </c>
      <c r="C73">
        <v>4</v>
      </c>
      <c r="D73">
        <v>2</v>
      </c>
      <c r="E73">
        <v>2</v>
      </c>
      <c r="F73" s="3" t="s">
        <v>297</v>
      </c>
      <c r="G73" s="3" t="s">
        <v>297</v>
      </c>
      <c r="H73">
        <v>0</v>
      </c>
      <c r="I73">
        <v>0</v>
      </c>
      <c r="J73">
        <v>0</v>
      </c>
      <c r="K73" s="8" t="s">
        <v>298</v>
      </c>
      <c r="L73" s="2">
        <f t="shared" si="22"/>
        <v>3</v>
      </c>
      <c r="M73" s="2">
        <f t="shared" ref="M73:N136" si="40">FLOOR(AS73/1,0.01)</f>
        <v>1.8</v>
      </c>
      <c r="N73" s="2">
        <f t="shared" si="40"/>
        <v>1.8</v>
      </c>
      <c r="O73" s="2">
        <v>10</v>
      </c>
      <c r="P73" s="2">
        <f t="shared" si="33"/>
        <v>94.08</v>
      </c>
      <c r="Q73" s="2">
        <f t="shared" si="33"/>
        <v>9.41</v>
      </c>
      <c r="R73" s="2">
        <f t="shared" si="33"/>
        <v>1920</v>
      </c>
      <c r="S73" s="2">
        <f t="shared" si="32"/>
        <v>192</v>
      </c>
      <c r="T73" s="2">
        <f t="shared" si="32"/>
        <v>31.36</v>
      </c>
      <c r="U73" s="2">
        <f t="shared" si="32"/>
        <v>3.14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3">
        <v>322011</v>
      </c>
      <c r="AB73" s="14" t="s">
        <v>375</v>
      </c>
      <c r="AC73" s="15" t="s">
        <v>889</v>
      </c>
      <c r="AD73" s="2">
        <v>3052201</v>
      </c>
      <c r="AE73" s="2">
        <v>4</v>
      </c>
      <c r="AF73" s="2">
        <v>2</v>
      </c>
      <c r="AG73" s="2">
        <v>4</v>
      </c>
      <c r="AH73" s="2">
        <v>2</v>
      </c>
      <c r="AI73" s="2"/>
      <c r="AJ73">
        <v>1</v>
      </c>
      <c r="AK73" s="1">
        <f t="shared" si="34"/>
        <v>38.51488670636455</v>
      </c>
      <c r="AL73">
        <v>4</v>
      </c>
      <c r="AM73">
        <f t="shared" si="23"/>
        <v>94.08</v>
      </c>
      <c r="AN73">
        <f t="shared" si="24"/>
        <v>9.4079999999999995</v>
      </c>
      <c r="AO73">
        <f t="shared" si="25"/>
        <v>1920</v>
      </c>
      <c r="AP73">
        <f t="shared" si="26"/>
        <v>192</v>
      </c>
      <c r="AQ73">
        <f t="shared" si="35"/>
        <v>31.36</v>
      </c>
      <c r="AR73">
        <f t="shared" si="36"/>
        <v>3.1360000000000001</v>
      </c>
      <c r="AS73">
        <f t="shared" si="37"/>
        <v>1.8</v>
      </c>
      <c r="AT73">
        <f t="shared" si="38"/>
        <v>1.8</v>
      </c>
      <c r="AU73">
        <f t="shared" si="39"/>
        <v>3</v>
      </c>
      <c r="AV73">
        <f t="shared" si="31"/>
        <v>2012</v>
      </c>
      <c r="AW73" s="1">
        <v>1</v>
      </c>
      <c r="AX73">
        <v>3</v>
      </c>
      <c r="AY73">
        <v>0</v>
      </c>
      <c r="CE73" t="str">
        <f t="shared" si="27"/>
        <v>DATA_Class_Base14</v>
      </c>
      <c r="CF73" s="6" t="s">
        <v>300</v>
      </c>
    </row>
    <row r="74" spans="1:84">
      <c r="A74">
        <f t="shared" si="21"/>
        <v>3042202</v>
      </c>
      <c r="B74" s="6" t="s">
        <v>278</v>
      </c>
      <c r="C74">
        <v>4</v>
      </c>
      <c r="D74">
        <v>2</v>
      </c>
      <c r="E74">
        <v>2</v>
      </c>
      <c r="F74" s="3" t="s">
        <v>1529</v>
      </c>
      <c r="G74" s="3" t="s">
        <v>1529</v>
      </c>
      <c r="H74">
        <v>0</v>
      </c>
      <c r="I74">
        <v>0</v>
      </c>
      <c r="J74" s="2">
        <v>0</v>
      </c>
      <c r="K74" s="2" t="s">
        <v>280</v>
      </c>
      <c r="L74" s="2">
        <f t="shared" si="22"/>
        <v>3</v>
      </c>
      <c r="M74" s="2">
        <f t="shared" si="40"/>
        <v>1.8</v>
      </c>
      <c r="N74" s="2">
        <f t="shared" si="40"/>
        <v>2</v>
      </c>
      <c r="O74" s="2">
        <v>10</v>
      </c>
      <c r="P74" s="2">
        <f t="shared" si="33"/>
        <v>154.56</v>
      </c>
      <c r="Q74" s="2">
        <f t="shared" si="33"/>
        <v>15.46</v>
      </c>
      <c r="R74" s="2">
        <f t="shared" si="33"/>
        <v>1168.7</v>
      </c>
      <c r="S74" s="2">
        <f t="shared" si="32"/>
        <v>116.87</v>
      </c>
      <c r="T74" s="2">
        <f t="shared" si="32"/>
        <v>30.91</v>
      </c>
      <c r="U74" s="2">
        <f t="shared" si="32"/>
        <v>3.09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3">
        <v>322021</v>
      </c>
      <c r="AB74" s="14" t="s">
        <v>1560</v>
      </c>
      <c r="AC74" s="15" t="s">
        <v>889</v>
      </c>
      <c r="AD74" s="2">
        <v>3052202</v>
      </c>
      <c r="AE74" s="2">
        <v>4</v>
      </c>
      <c r="AF74" s="2">
        <v>2</v>
      </c>
      <c r="AG74" s="2">
        <v>4</v>
      </c>
      <c r="AH74" s="2">
        <v>2</v>
      </c>
      <c r="AI74" s="2"/>
      <c r="AJ74">
        <v>1</v>
      </c>
      <c r="AK74" s="1">
        <f t="shared" si="34"/>
        <v>38.511064686952665</v>
      </c>
      <c r="AL74">
        <v>4</v>
      </c>
      <c r="AM74">
        <f t="shared" si="23"/>
        <v>154.55999999999997</v>
      </c>
      <c r="AN74">
        <f t="shared" si="24"/>
        <v>15.455999999999998</v>
      </c>
      <c r="AO74">
        <f t="shared" si="25"/>
        <v>1168.695652173913</v>
      </c>
      <c r="AP74">
        <f t="shared" si="26"/>
        <v>116.86956521739131</v>
      </c>
      <c r="AQ74">
        <f t="shared" si="35"/>
        <v>30.911999999999995</v>
      </c>
      <c r="AR74">
        <f t="shared" si="36"/>
        <v>3.0911999999999997</v>
      </c>
      <c r="AS74">
        <f t="shared" si="37"/>
        <v>1.8</v>
      </c>
      <c r="AT74">
        <f t="shared" si="38"/>
        <v>2</v>
      </c>
      <c r="AU74">
        <f t="shared" si="39"/>
        <v>3</v>
      </c>
      <c r="AV74">
        <f t="shared" si="31"/>
        <v>2022</v>
      </c>
      <c r="AW74" s="1">
        <v>2</v>
      </c>
      <c r="AX74">
        <v>3</v>
      </c>
      <c r="AY74">
        <v>0</v>
      </c>
      <c r="CE74" t="str">
        <f t="shared" si="27"/>
        <v>DATA_Class_Base15</v>
      </c>
      <c r="CF74" s="6" t="s">
        <v>306</v>
      </c>
    </row>
    <row r="75" spans="1:84">
      <c r="A75">
        <f t="shared" si="21"/>
        <v>3042301</v>
      </c>
      <c r="B75" s="6" t="s">
        <v>283</v>
      </c>
      <c r="C75">
        <v>4</v>
      </c>
      <c r="D75">
        <v>3</v>
      </c>
      <c r="E75">
        <v>2</v>
      </c>
      <c r="F75" s="3" t="s">
        <v>1531</v>
      </c>
      <c r="G75" s="3" t="s">
        <v>1531</v>
      </c>
      <c r="H75">
        <v>0</v>
      </c>
      <c r="I75">
        <v>0</v>
      </c>
      <c r="J75">
        <v>0</v>
      </c>
      <c r="K75" s="2" t="s">
        <v>285</v>
      </c>
      <c r="L75" s="2">
        <f t="shared" si="22"/>
        <v>3</v>
      </c>
      <c r="M75" s="2">
        <f t="shared" si="40"/>
        <v>1.2</v>
      </c>
      <c r="N75" s="2">
        <f t="shared" si="40"/>
        <v>1.7</v>
      </c>
      <c r="O75" s="2">
        <v>10</v>
      </c>
      <c r="P75" s="2">
        <f t="shared" si="33"/>
        <v>116.48</v>
      </c>
      <c r="Q75" s="2">
        <f t="shared" si="33"/>
        <v>11.65</v>
      </c>
      <c r="R75" s="2">
        <f t="shared" si="33"/>
        <v>1033.8499999999999</v>
      </c>
      <c r="S75" s="2">
        <f t="shared" si="32"/>
        <v>103.38</v>
      </c>
      <c r="T75" s="2">
        <f t="shared" si="32"/>
        <v>19.41</v>
      </c>
      <c r="U75" s="2">
        <f t="shared" si="32"/>
        <v>1.94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3">
        <v>323011</v>
      </c>
      <c r="AB75" s="14" t="s">
        <v>1561</v>
      </c>
      <c r="AC75" s="15" t="s">
        <v>889</v>
      </c>
      <c r="AD75" s="2">
        <v>3052301</v>
      </c>
      <c r="AE75" s="2">
        <v>4</v>
      </c>
      <c r="AF75" s="2">
        <v>2</v>
      </c>
      <c r="AG75" s="2">
        <v>4</v>
      </c>
      <c r="AH75" s="2">
        <v>2</v>
      </c>
      <c r="AI75" s="2"/>
      <c r="AJ75">
        <v>1</v>
      </c>
      <c r="AK75" s="1">
        <f t="shared" si="34"/>
        <v>38.413225123621302</v>
      </c>
      <c r="AL75">
        <v>4</v>
      </c>
      <c r="AM75">
        <f t="shared" si="23"/>
        <v>116.47999999999999</v>
      </c>
      <c r="AN75">
        <f t="shared" si="24"/>
        <v>11.648</v>
      </c>
      <c r="AO75">
        <f t="shared" si="25"/>
        <v>1033.8461538461536</v>
      </c>
      <c r="AP75">
        <f t="shared" si="26"/>
        <v>103.38461538461536</v>
      </c>
      <c r="AQ75">
        <f t="shared" si="35"/>
        <v>19.41333333333333</v>
      </c>
      <c r="AR75">
        <f t="shared" si="36"/>
        <v>1.9413333333333331</v>
      </c>
      <c r="AS75">
        <f t="shared" si="37"/>
        <v>1.2</v>
      </c>
      <c r="AT75">
        <f t="shared" si="38"/>
        <v>1.7</v>
      </c>
      <c r="AU75">
        <f t="shared" si="39"/>
        <v>3</v>
      </c>
      <c r="AV75">
        <f t="shared" si="31"/>
        <v>3012</v>
      </c>
      <c r="AW75" s="1">
        <v>1</v>
      </c>
      <c r="AX75">
        <v>3</v>
      </c>
      <c r="AY75">
        <v>0</v>
      </c>
      <c r="CE75" t="str">
        <f t="shared" si="27"/>
        <v>DATA_Class_Base16</v>
      </c>
      <c r="CF75" s="6" t="s">
        <v>312</v>
      </c>
    </row>
    <row r="76" spans="1:84">
      <c r="A76">
        <f t="shared" si="21"/>
        <v>3042401</v>
      </c>
      <c r="B76" s="6" t="s">
        <v>317</v>
      </c>
      <c r="C76">
        <v>4</v>
      </c>
      <c r="D76">
        <v>4</v>
      </c>
      <c r="E76">
        <v>2</v>
      </c>
      <c r="F76" s="3" t="s">
        <v>1533</v>
      </c>
      <c r="G76" s="3" t="s">
        <v>1533</v>
      </c>
      <c r="H76">
        <v>0</v>
      </c>
      <c r="I76">
        <v>0</v>
      </c>
      <c r="J76" s="2">
        <v>0</v>
      </c>
      <c r="K76" s="2" t="s">
        <v>161</v>
      </c>
      <c r="L76" s="2">
        <f t="shared" si="22"/>
        <v>6</v>
      </c>
      <c r="M76" s="2">
        <f t="shared" si="40"/>
        <v>1.6</v>
      </c>
      <c r="N76" s="2">
        <f t="shared" si="40"/>
        <v>1.5</v>
      </c>
      <c r="O76" s="2">
        <v>10</v>
      </c>
      <c r="P76" s="2">
        <f t="shared" si="33"/>
        <v>155.31</v>
      </c>
      <c r="Q76" s="2">
        <f t="shared" si="33"/>
        <v>15.53</v>
      </c>
      <c r="R76" s="2">
        <f t="shared" si="33"/>
        <v>1033.8499999999999</v>
      </c>
      <c r="S76" s="2">
        <f t="shared" si="32"/>
        <v>103.38</v>
      </c>
      <c r="T76" s="2">
        <f t="shared" si="32"/>
        <v>17.260000000000002</v>
      </c>
      <c r="U76" s="2">
        <f t="shared" si="32"/>
        <v>1.73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3">
        <v>324011</v>
      </c>
      <c r="AB76" s="14" t="s">
        <v>1562</v>
      </c>
      <c r="AC76" s="15" t="s">
        <v>889</v>
      </c>
      <c r="AD76" s="2">
        <v>3052401</v>
      </c>
      <c r="AE76" s="2">
        <v>4</v>
      </c>
      <c r="AF76" s="2">
        <v>2</v>
      </c>
      <c r="AG76" s="2">
        <v>4</v>
      </c>
      <c r="AH76" s="2">
        <v>2</v>
      </c>
      <c r="AI76" s="2"/>
      <c r="AJ76">
        <v>1</v>
      </c>
      <c r="AK76" s="1">
        <f t="shared" si="34"/>
        <v>38.394926731027944</v>
      </c>
      <c r="AL76">
        <v>4</v>
      </c>
      <c r="AM76">
        <f t="shared" si="23"/>
        <v>155.30666666666667</v>
      </c>
      <c r="AN76">
        <f t="shared" si="24"/>
        <v>15.530666666666669</v>
      </c>
      <c r="AO76">
        <f t="shared" si="25"/>
        <v>1033.8461538461536</v>
      </c>
      <c r="AP76">
        <f t="shared" si="26"/>
        <v>103.38461538461536</v>
      </c>
      <c r="AQ76">
        <f t="shared" si="35"/>
        <v>17.256296296296298</v>
      </c>
      <c r="AR76">
        <f t="shared" si="36"/>
        <v>1.7256296296296298</v>
      </c>
      <c r="AS76">
        <f t="shared" si="37"/>
        <v>1.6</v>
      </c>
      <c r="AT76">
        <f t="shared" si="38"/>
        <v>1.5</v>
      </c>
      <c r="AU76">
        <f t="shared" si="39"/>
        <v>6</v>
      </c>
      <c r="AV76">
        <f t="shared" si="31"/>
        <v>4012</v>
      </c>
      <c r="AW76" s="1">
        <v>1</v>
      </c>
      <c r="AX76">
        <v>3</v>
      </c>
      <c r="AY76">
        <v>0</v>
      </c>
      <c r="CE76" t="str">
        <f t="shared" si="27"/>
        <v>DATA_Class_Base17</v>
      </c>
      <c r="CF76" s="6" t="s">
        <v>318</v>
      </c>
    </row>
    <row r="77" spans="1:84">
      <c r="A77">
        <f t="shared" si="21"/>
        <v>3042402</v>
      </c>
      <c r="B77" s="6" t="s">
        <v>323</v>
      </c>
      <c r="C77">
        <v>4</v>
      </c>
      <c r="D77">
        <v>4</v>
      </c>
      <c r="E77">
        <v>2</v>
      </c>
      <c r="F77" s="3" t="s">
        <v>969</v>
      </c>
      <c r="G77" s="3" t="s">
        <v>969</v>
      </c>
      <c r="H77">
        <v>0</v>
      </c>
      <c r="I77">
        <v>0</v>
      </c>
      <c r="J77">
        <v>0</v>
      </c>
      <c r="K77" s="2" t="s">
        <v>250</v>
      </c>
      <c r="L77" s="2">
        <f t="shared" si="22"/>
        <v>6</v>
      </c>
      <c r="M77" s="2">
        <f t="shared" si="40"/>
        <v>1.5</v>
      </c>
      <c r="N77" s="2">
        <f t="shared" si="40"/>
        <v>1.5</v>
      </c>
      <c r="O77" s="2">
        <v>10</v>
      </c>
      <c r="P77" s="2">
        <f t="shared" si="33"/>
        <v>156.80000000000001</v>
      </c>
      <c r="Q77" s="2">
        <f t="shared" si="33"/>
        <v>15.68</v>
      </c>
      <c r="R77" s="2">
        <f t="shared" si="33"/>
        <v>960</v>
      </c>
      <c r="S77" s="2">
        <f t="shared" si="32"/>
        <v>96</v>
      </c>
      <c r="T77" s="2">
        <f t="shared" si="32"/>
        <v>19.600000000000001</v>
      </c>
      <c r="U77" s="2">
        <f t="shared" si="32"/>
        <v>1.96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3">
        <v>324021</v>
      </c>
      <c r="AB77" s="14" t="s">
        <v>1563</v>
      </c>
      <c r="AC77" s="15" t="s">
        <v>889</v>
      </c>
      <c r="AD77" s="2">
        <v>3052402</v>
      </c>
      <c r="AE77" s="2">
        <v>4</v>
      </c>
      <c r="AF77" s="2">
        <v>2</v>
      </c>
      <c r="AG77" s="2">
        <v>4</v>
      </c>
      <c r="AH77" s="2">
        <v>2</v>
      </c>
      <c r="AI77" s="2"/>
      <c r="AJ77">
        <v>1</v>
      </c>
      <c r="AK77" s="1">
        <f t="shared" si="34"/>
        <v>38.414809458384546</v>
      </c>
      <c r="AL77">
        <v>4</v>
      </c>
      <c r="AM77">
        <f t="shared" si="23"/>
        <v>156.79999999999995</v>
      </c>
      <c r="AN77">
        <f t="shared" si="24"/>
        <v>15.679999999999996</v>
      </c>
      <c r="AO77">
        <f t="shared" si="25"/>
        <v>960</v>
      </c>
      <c r="AP77">
        <f t="shared" si="26"/>
        <v>96</v>
      </c>
      <c r="AQ77">
        <f t="shared" si="35"/>
        <v>19.599999999999994</v>
      </c>
      <c r="AR77">
        <f t="shared" si="36"/>
        <v>1.9599999999999995</v>
      </c>
      <c r="AS77">
        <f t="shared" si="37"/>
        <v>1.5</v>
      </c>
      <c r="AT77">
        <f t="shared" si="38"/>
        <v>1.5</v>
      </c>
      <c r="AU77">
        <f t="shared" si="39"/>
        <v>6</v>
      </c>
      <c r="AV77">
        <f t="shared" si="31"/>
        <v>4022</v>
      </c>
      <c r="AW77" s="1">
        <v>2</v>
      </c>
      <c r="AX77">
        <v>3</v>
      </c>
      <c r="AY77">
        <v>0</v>
      </c>
      <c r="CE77" t="str">
        <f t="shared" si="27"/>
        <v>DATA_Class_Base18</v>
      </c>
      <c r="CF77" s="6" t="s">
        <v>324</v>
      </c>
    </row>
    <row r="78" spans="1:84">
      <c r="A78">
        <f t="shared" si="21"/>
        <v>3042500</v>
      </c>
      <c r="B78" s="6" t="s">
        <v>301</v>
      </c>
      <c r="C78">
        <v>4</v>
      </c>
      <c r="D78">
        <v>5</v>
      </c>
      <c r="E78">
        <v>2</v>
      </c>
      <c r="F78" s="3" t="s">
        <v>302</v>
      </c>
      <c r="G78" s="3" t="s">
        <v>302</v>
      </c>
      <c r="H78">
        <v>0</v>
      </c>
      <c r="I78">
        <v>0</v>
      </c>
      <c r="J78" s="2">
        <v>0</v>
      </c>
      <c r="K78" s="2" t="s">
        <v>303</v>
      </c>
      <c r="L78" s="2">
        <f t="shared" si="22"/>
        <v>6</v>
      </c>
      <c r="M78" s="2">
        <f t="shared" si="40"/>
        <v>1.5</v>
      </c>
      <c r="N78" s="2">
        <f t="shared" si="40"/>
        <v>2</v>
      </c>
      <c r="O78" s="2">
        <v>10</v>
      </c>
      <c r="P78" s="2">
        <f t="shared" si="33"/>
        <v>168</v>
      </c>
      <c r="Q78" s="2">
        <f t="shared" si="33"/>
        <v>16.8</v>
      </c>
      <c r="R78" s="2">
        <f t="shared" si="33"/>
        <v>896</v>
      </c>
      <c r="S78" s="2">
        <f t="shared" si="32"/>
        <v>89.6</v>
      </c>
      <c r="T78" s="2">
        <f t="shared" si="32"/>
        <v>18.670000000000002</v>
      </c>
      <c r="U78" s="2">
        <f t="shared" si="32"/>
        <v>1.87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3">
        <v>325001</v>
      </c>
      <c r="AB78" s="14" t="s">
        <v>379</v>
      </c>
      <c r="AC78" s="15" t="s">
        <v>889</v>
      </c>
      <c r="AD78" s="2">
        <v>3052500</v>
      </c>
      <c r="AE78" s="2">
        <v>4</v>
      </c>
      <c r="AF78" s="2">
        <v>2</v>
      </c>
      <c r="AG78" s="2">
        <v>4</v>
      </c>
      <c r="AH78" s="2">
        <v>2</v>
      </c>
      <c r="AI78" s="2"/>
      <c r="AJ78">
        <v>1</v>
      </c>
      <c r="AK78" s="1">
        <f t="shared" si="34"/>
        <v>38.406889091201201</v>
      </c>
      <c r="AL78">
        <v>4</v>
      </c>
      <c r="AM78">
        <f t="shared" si="23"/>
        <v>168</v>
      </c>
      <c r="AN78">
        <f t="shared" si="24"/>
        <v>16.8</v>
      </c>
      <c r="AO78">
        <f t="shared" si="25"/>
        <v>896</v>
      </c>
      <c r="AP78">
        <f t="shared" si="26"/>
        <v>89.600000000000009</v>
      </c>
      <c r="AQ78">
        <f t="shared" si="35"/>
        <v>18.666666666666668</v>
      </c>
      <c r="AR78">
        <f t="shared" si="36"/>
        <v>1.8666666666666669</v>
      </c>
      <c r="AS78">
        <f t="shared" si="37"/>
        <v>1.5</v>
      </c>
      <c r="AT78">
        <f t="shared" si="38"/>
        <v>2</v>
      </c>
      <c r="AU78">
        <f t="shared" si="39"/>
        <v>6</v>
      </c>
      <c r="AV78">
        <f t="shared" si="31"/>
        <v>5002</v>
      </c>
      <c r="AW78" s="1">
        <v>0</v>
      </c>
      <c r="AX78">
        <v>3</v>
      </c>
      <c r="AY78">
        <v>0</v>
      </c>
      <c r="CE78" t="str">
        <f t="shared" si="27"/>
        <v>DATA_Class_Base19</v>
      </c>
      <c r="CF78" s="6" t="s">
        <v>331</v>
      </c>
    </row>
    <row r="79" spans="1:84" ht="16.5">
      <c r="A79">
        <f t="shared" si="21"/>
        <v>3042502</v>
      </c>
      <c r="B79" s="6" t="s">
        <v>289</v>
      </c>
      <c r="C79">
        <v>4</v>
      </c>
      <c r="D79">
        <v>5</v>
      </c>
      <c r="E79">
        <v>2</v>
      </c>
      <c r="F79" s="3" t="s">
        <v>972</v>
      </c>
      <c r="G79" s="3" t="s">
        <v>972</v>
      </c>
      <c r="H79">
        <v>0</v>
      </c>
      <c r="I79">
        <v>0</v>
      </c>
      <c r="J79" s="2">
        <v>0</v>
      </c>
      <c r="K79" s="2" t="s">
        <v>291</v>
      </c>
      <c r="L79" s="2">
        <f t="shared" si="22"/>
        <v>6</v>
      </c>
      <c r="M79" s="2">
        <f t="shared" si="40"/>
        <v>1.4000000000000001</v>
      </c>
      <c r="N79" s="2">
        <f t="shared" si="40"/>
        <v>2</v>
      </c>
      <c r="O79" s="2">
        <v>10</v>
      </c>
      <c r="P79" s="2">
        <f t="shared" si="33"/>
        <v>162.03</v>
      </c>
      <c r="Q79" s="2">
        <f t="shared" si="33"/>
        <v>16.2</v>
      </c>
      <c r="R79" s="2">
        <f t="shared" si="33"/>
        <v>867.1</v>
      </c>
      <c r="S79" s="2">
        <f t="shared" si="32"/>
        <v>86.71</v>
      </c>
      <c r="T79" s="2">
        <f t="shared" si="32"/>
        <v>16.2</v>
      </c>
      <c r="U79" s="2">
        <f t="shared" si="32"/>
        <v>1.62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3">
        <v>325021</v>
      </c>
      <c r="AB79" s="15" t="s">
        <v>1564</v>
      </c>
      <c r="AC79" s="15" t="s">
        <v>889</v>
      </c>
      <c r="AD79" s="2">
        <v>3052502</v>
      </c>
      <c r="AE79" s="2">
        <v>4</v>
      </c>
      <c r="AF79" s="2">
        <v>2</v>
      </c>
      <c r="AG79" s="2">
        <v>4</v>
      </c>
      <c r="AH79" s="2">
        <v>2</v>
      </c>
      <c r="AI79" s="2"/>
      <c r="AJ79">
        <v>1</v>
      </c>
      <c r="AK79" s="1">
        <f t="shared" si="34"/>
        <v>38.385995005985066</v>
      </c>
      <c r="AL79">
        <v>4</v>
      </c>
      <c r="AM79">
        <f t="shared" si="23"/>
        <v>162.02666666666664</v>
      </c>
      <c r="AN79">
        <f t="shared" si="24"/>
        <v>16.202666666666666</v>
      </c>
      <c r="AO79">
        <f t="shared" si="25"/>
        <v>867.09677419354841</v>
      </c>
      <c r="AP79">
        <f t="shared" si="26"/>
        <v>86.709677419354847</v>
      </c>
      <c r="AQ79">
        <f t="shared" si="35"/>
        <v>16.202666666666666</v>
      </c>
      <c r="AR79">
        <f t="shared" si="36"/>
        <v>1.6202666666666667</v>
      </c>
      <c r="AS79">
        <f t="shared" si="37"/>
        <v>1.4</v>
      </c>
      <c r="AT79">
        <f t="shared" si="38"/>
        <v>2</v>
      </c>
      <c r="AU79">
        <f t="shared" si="39"/>
        <v>6</v>
      </c>
      <c r="AV79">
        <f t="shared" si="31"/>
        <v>5022</v>
      </c>
      <c r="AW79" s="1">
        <v>2</v>
      </c>
      <c r="AX79">
        <v>3</v>
      </c>
      <c r="AY79">
        <v>0</v>
      </c>
      <c r="BA79" t="s">
        <v>287</v>
      </c>
      <c r="BB79" s="27" t="s">
        <v>288</v>
      </c>
      <c r="CE79" t="str">
        <f t="shared" si="27"/>
        <v>DATA_Class_Base20</v>
      </c>
      <c r="CF79" s="6" t="s">
        <v>336</v>
      </c>
    </row>
    <row r="80" spans="1:84" ht="16.5">
      <c r="A80">
        <f t="shared" si="21"/>
        <v>3042601</v>
      </c>
      <c r="B80" s="6" t="s">
        <v>307</v>
      </c>
      <c r="C80">
        <v>4</v>
      </c>
      <c r="D80">
        <v>6</v>
      </c>
      <c r="E80">
        <v>2</v>
      </c>
      <c r="F80" s="3" t="s">
        <v>308</v>
      </c>
      <c r="G80" s="3" t="s">
        <v>308</v>
      </c>
      <c r="H80">
        <v>0</v>
      </c>
      <c r="I80">
        <v>0</v>
      </c>
      <c r="J80" s="2">
        <v>0</v>
      </c>
      <c r="K80" s="2" t="s">
        <v>309</v>
      </c>
      <c r="L80" s="2">
        <f t="shared" si="22"/>
        <v>6</v>
      </c>
      <c r="M80" s="2">
        <f t="shared" si="40"/>
        <v>1.5</v>
      </c>
      <c r="N80" s="2">
        <f t="shared" si="40"/>
        <v>2</v>
      </c>
      <c r="O80" s="2">
        <v>10</v>
      </c>
      <c r="P80" s="2">
        <f t="shared" si="33"/>
        <v>123.2</v>
      </c>
      <c r="Q80" s="2">
        <f t="shared" si="33"/>
        <v>12.32</v>
      </c>
      <c r="R80" s="2">
        <f t="shared" si="33"/>
        <v>1221.82</v>
      </c>
      <c r="S80" s="2">
        <f t="shared" si="32"/>
        <v>122.18</v>
      </c>
      <c r="T80" s="2">
        <f t="shared" si="32"/>
        <v>24.64</v>
      </c>
      <c r="U80" s="2">
        <f t="shared" si="32"/>
        <v>2.46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3">
        <v>326011</v>
      </c>
      <c r="AB80" s="14" t="s">
        <v>382</v>
      </c>
      <c r="AC80" s="15" t="s">
        <v>889</v>
      </c>
      <c r="AD80" s="2">
        <v>3052601</v>
      </c>
      <c r="AE80" s="2">
        <v>4</v>
      </c>
      <c r="AF80" s="2">
        <v>2</v>
      </c>
      <c r="AG80" s="2">
        <v>4</v>
      </c>
      <c r="AH80" s="2">
        <v>2</v>
      </c>
      <c r="AI80" s="2"/>
      <c r="AJ80">
        <v>1</v>
      </c>
      <c r="AK80" s="1">
        <f t="shared" si="34"/>
        <v>38.457635952973881</v>
      </c>
      <c r="AL80">
        <v>4</v>
      </c>
      <c r="AM80">
        <f t="shared" si="23"/>
        <v>123.19999999999999</v>
      </c>
      <c r="AN80">
        <f t="shared" si="24"/>
        <v>12.32</v>
      </c>
      <c r="AO80">
        <f t="shared" si="25"/>
        <v>1221.8181818181818</v>
      </c>
      <c r="AP80">
        <f t="shared" si="26"/>
        <v>122.18181818181819</v>
      </c>
      <c r="AQ80">
        <f t="shared" si="35"/>
        <v>24.639999999999997</v>
      </c>
      <c r="AR80">
        <f t="shared" si="36"/>
        <v>2.464</v>
      </c>
      <c r="AS80">
        <f t="shared" si="37"/>
        <v>1.5</v>
      </c>
      <c r="AT80">
        <f t="shared" si="38"/>
        <v>2</v>
      </c>
      <c r="AU80">
        <f t="shared" si="39"/>
        <v>6</v>
      </c>
      <c r="AV80">
        <f t="shared" si="31"/>
        <v>6012</v>
      </c>
      <c r="AW80" s="1">
        <v>1</v>
      </c>
      <c r="AX80">
        <v>3</v>
      </c>
      <c r="AY80">
        <v>0</v>
      </c>
      <c r="BA80" s="27" t="s">
        <v>293</v>
      </c>
      <c r="CE80" t="str">
        <f t="shared" si="27"/>
        <v>DATA_Class_Base21</v>
      </c>
      <c r="CF80" s="6" t="s">
        <v>342</v>
      </c>
    </row>
    <row r="81" spans="1:84">
      <c r="A81">
        <f t="shared" si="21"/>
        <v>3043200</v>
      </c>
      <c r="B81" s="6" t="s">
        <v>294</v>
      </c>
      <c r="C81">
        <v>4</v>
      </c>
      <c r="D81">
        <v>2</v>
      </c>
      <c r="E81">
        <v>3</v>
      </c>
      <c r="F81" s="3" t="s">
        <v>313</v>
      </c>
      <c r="G81" s="3" t="s">
        <v>313</v>
      </c>
      <c r="H81">
        <v>0</v>
      </c>
      <c r="I81">
        <v>0</v>
      </c>
      <c r="J81">
        <v>0</v>
      </c>
      <c r="K81" s="2" t="s">
        <v>314</v>
      </c>
      <c r="L81" s="2">
        <f t="shared" si="22"/>
        <v>3</v>
      </c>
      <c r="M81" s="2">
        <f t="shared" si="40"/>
        <v>1.5</v>
      </c>
      <c r="N81" s="2">
        <f t="shared" si="40"/>
        <v>1.2</v>
      </c>
      <c r="O81" s="2">
        <v>10</v>
      </c>
      <c r="P81" s="2">
        <f t="shared" si="33"/>
        <v>78.400000000000006</v>
      </c>
      <c r="Q81" s="2">
        <f t="shared" si="33"/>
        <v>7.84</v>
      </c>
      <c r="R81" s="2">
        <f t="shared" si="33"/>
        <v>1920</v>
      </c>
      <c r="S81" s="2">
        <f t="shared" si="32"/>
        <v>192</v>
      </c>
      <c r="T81" s="2">
        <f t="shared" si="32"/>
        <v>39.200000000000003</v>
      </c>
      <c r="U81" s="2">
        <f t="shared" si="32"/>
        <v>3.92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3">
        <v>332001</v>
      </c>
      <c r="AB81" s="14" t="s">
        <v>385</v>
      </c>
      <c r="AC81" s="15" t="s">
        <v>889</v>
      </c>
      <c r="AD81" s="2">
        <v>3053200</v>
      </c>
      <c r="AE81" s="2">
        <v>4</v>
      </c>
      <c r="AF81" s="2">
        <v>2</v>
      </c>
      <c r="AG81" s="2">
        <v>4</v>
      </c>
      <c r="AH81" s="2">
        <v>2</v>
      </c>
      <c r="AI81" s="2"/>
      <c r="AJ81">
        <v>1</v>
      </c>
      <c r="AK81" s="1">
        <f t="shared" si="34"/>
        <v>38.581895063023502</v>
      </c>
      <c r="AL81">
        <v>4</v>
      </c>
      <c r="AM81">
        <f t="shared" si="23"/>
        <v>78.399999999999977</v>
      </c>
      <c r="AN81">
        <f t="shared" si="24"/>
        <v>7.8399999999999981</v>
      </c>
      <c r="AO81">
        <f t="shared" si="25"/>
        <v>1920</v>
      </c>
      <c r="AP81">
        <f t="shared" si="26"/>
        <v>192</v>
      </c>
      <c r="AQ81">
        <f t="shared" si="35"/>
        <v>39.199999999999989</v>
      </c>
      <c r="AR81">
        <f t="shared" si="36"/>
        <v>3.919999999999999</v>
      </c>
      <c r="AS81">
        <f t="shared" si="37"/>
        <v>1.5</v>
      </c>
      <c r="AT81">
        <f t="shared" si="38"/>
        <v>1.2</v>
      </c>
      <c r="AU81">
        <f t="shared" si="39"/>
        <v>3</v>
      </c>
      <c r="AV81">
        <f t="shared" si="31"/>
        <v>2003</v>
      </c>
      <c r="AW81" s="1">
        <v>0</v>
      </c>
      <c r="AX81">
        <v>3</v>
      </c>
      <c r="AY81">
        <v>0</v>
      </c>
      <c r="CE81" t="str">
        <f t="shared" si="27"/>
        <v>DATA_Class_Base13</v>
      </c>
      <c r="CF81" s="6" t="s">
        <v>295</v>
      </c>
    </row>
    <row r="82" spans="1:84">
      <c r="A82">
        <f t="shared" ref="A82:A145" si="41">AX82*1000000+C82*10000+E82*1000+D82*100+AW82</f>
        <v>3043201</v>
      </c>
      <c r="B82" s="6" t="s">
        <v>296</v>
      </c>
      <c r="C82">
        <v>4</v>
      </c>
      <c r="D82">
        <v>2</v>
      </c>
      <c r="E82">
        <v>3</v>
      </c>
      <c r="F82" s="3" t="s">
        <v>1537</v>
      </c>
      <c r="G82" s="3" t="s">
        <v>1537</v>
      </c>
      <c r="H82">
        <v>0</v>
      </c>
      <c r="I82">
        <v>0</v>
      </c>
      <c r="J82" s="2">
        <v>0</v>
      </c>
      <c r="K82" s="8" t="s">
        <v>298</v>
      </c>
      <c r="L82" s="2">
        <f t="shared" ref="L82:L145" si="42">AU82</f>
        <v>3</v>
      </c>
      <c r="M82" s="2">
        <f t="shared" si="40"/>
        <v>1.8</v>
      </c>
      <c r="N82" s="2">
        <f t="shared" si="40"/>
        <v>1.8</v>
      </c>
      <c r="O82" s="2">
        <v>10</v>
      </c>
      <c r="P82" s="2">
        <f t="shared" si="33"/>
        <v>80.64</v>
      </c>
      <c r="Q82" s="2">
        <f t="shared" si="33"/>
        <v>8.06</v>
      </c>
      <c r="R82" s="2">
        <f t="shared" si="33"/>
        <v>2240</v>
      </c>
      <c r="S82" s="2">
        <f t="shared" si="32"/>
        <v>224</v>
      </c>
      <c r="T82" s="2">
        <f t="shared" si="32"/>
        <v>44.8</v>
      </c>
      <c r="U82" s="2">
        <f t="shared" si="32"/>
        <v>4.4800000000000004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3">
        <v>332011</v>
      </c>
      <c r="AB82" s="14" t="s">
        <v>1565</v>
      </c>
      <c r="AC82" s="15" t="s">
        <v>889</v>
      </c>
      <c r="AD82" s="2">
        <v>3053201</v>
      </c>
      <c r="AE82" s="2">
        <v>4</v>
      </c>
      <c r="AF82" s="2">
        <v>2</v>
      </c>
      <c r="AG82" s="2">
        <v>4</v>
      </c>
      <c r="AH82" s="2">
        <v>2</v>
      </c>
      <c r="AI82" s="2"/>
      <c r="AJ82">
        <v>1</v>
      </c>
      <c r="AK82" s="1">
        <f t="shared" si="34"/>
        <v>38.629901105293776</v>
      </c>
      <c r="AL82">
        <v>4</v>
      </c>
      <c r="AM82">
        <f t="shared" ref="AM82:AM145" si="43">INDEX($BB$5:$BB$58,MATCH($AV82,$AZ$5:$AZ$58,0))*$AS82/1.5*$BF$4*INDEX($BB$109:$BO$109,MATCH($AL82,$BB$108:$BO$108,0))</f>
        <v>80.64</v>
      </c>
      <c r="AN82">
        <f t="shared" ref="AN82:AN145" si="44">(INDEX($BB$5:$BB$58,MATCH($AV82,$AZ$5:$AZ$58,0))*$AS82/1.5*$BF$4*INDEX($BB$109:$BO$109,MATCH($AL82,$BB$108:$BO$108,0)))*0.1</f>
        <v>8.0640000000000001</v>
      </c>
      <c r="AO82">
        <f t="shared" ref="AO82:AO145" si="45">INDEX($BC$5:$BC$58,MATCH($AV82,$AZ$5:$AZ$58,0))*$BG$4*INDEX($BB$109:$BO$109,MATCH($AL82,$BB$108:$BO$108,0))</f>
        <v>2240</v>
      </c>
      <c r="AP82">
        <f t="shared" ref="AP82:AP145" si="46">(INDEX($BC$5:$BC$58,MATCH($AV82,$AZ$5:$AZ$58,0))*$BG$4*INDEX($BB$109:$BO$109,MATCH($AL82,$BB$108:$BO$108,0)))*0.1</f>
        <v>224</v>
      </c>
      <c r="AQ82">
        <f t="shared" si="35"/>
        <v>44.8</v>
      </c>
      <c r="AR82">
        <f t="shared" si="36"/>
        <v>4.4799999999999995</v>
      </c>
      <c r="AS82">
        <f t="shared" si="37"/>
        <v>1.8</v>
      </c>
      <c r="AT82">
        <f t="shared" si="38"/>
        <v>1.8</v>
      </c>
      <c r="AU82">
        <f t="shared" si="39"/>
        <v>3</v>
      </c>
      <c r="AV82">
        <f t="shared" si="31"/>
        <v>2013</v>
      </c>
      <c r="AW82" s="1">
        <v>1</v>
      </c>
      <c r="AX82">
        <v>3</v>
      </c>
      <c r="AY82">
        <v>0</v>
      </c>
      <c r="BA82" t="s">
        <v>305</v>
      </c>
      <c r="CE82" t="str">
        <f t="shared" si="27"/>
        <v>DATA_Class_Base14</v>
      </c>
      <c r="CF82" s="6" t="s">
        <v>300</v>
      </c>
    </row>
    <row r="83" spans="1:84">
      <c r="A83">
        <f t="shared" si="41"/>
        <v>3043202</v>
      </c>
      <c r="B83" s="6" t="s">
        <v>278</v>
      </c>
      <c r="C83">
        <v>4</v>
      </c>
      <c r="D83">
        <v>2</v>
      </c>
      <c r="E83">
        <v>3</v>
      </c>
      <c r="F83" s="3" t="s">
        <v>979</v>
      </c>
      <c r="G83" s="3" t="s">
        <v>979</v>
      </c>
      <c r="H83">
        <v>0</v>
      </c>
      <c r="I83">
        <v>0</v>
      </c>
      <c r="J83">
        <v>0</v>
      </c>
      <c r="K83" s="2" t="s">
        <v>280</v>
      </c>
      <c r="L83" s="2">
        <f t="shared" si="42"/>
        <v>3</v>
      </c>
      <c r="M83" s="2">
        <f t="shared" si="40"/>
        <v>1.8</v>
      </c>
      <c r="N83" s="2">
        <f t="shared" si="40"/>
        <v>2</v>
      </c>
      <c r="O83" s="2">
        <v>10</v>
      </c>
      <c r="P83" s="2">
        <f t="shared" si="33"/>
        <v>120.96</v>
      </c>
      <c r="Q83" s="2">
        <f t="shared" si="33"/>
        <v>12.1</v>
      </c>
      <c r="R83" s="2">
        <f t="shared" si="33"/>
        <v>1493.33</v>
      </c>
      <c r="S83" s="2">
        <f t="shared" si="32"/>
        <v>149.33000000000001</v>
      </c>
      <c r="T83" s="2">
        <f t="shared" si="32"/>
        <v>40.32</v>
      </c>
      <c r="U83" s="2">
        <f t="shared" si="32"/>
        <v>4.03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3">
        <v>332021</v>
      </c>
      <c r="AB83" s="14" t="s">
        <v>1566</v>
      </c>
      <c r="AC83" s="15" t="s">
        <v>889</v>
      </c>
      <c r="AD83" s="2">
        <v>3053202</v>
      </c>
      <c r="AE83" s="2">
        <v>4</v>
      </c>
      <c r="AF83" s="2">
        <v>2</v>
      </c>
      <c r="AG83" s="2">
        <v>4</v>
      </c>
      <c r="AH83" s="2">
        <v>2</v>
      </c>
      <c r="AI83" s="2"/>
      <c r="AJ83">
        <v>1</v>
      </c>
      <c r="AK83" s="1">
        <f t="shared" si="34"/>
        <v>38.591486723835096</v>
      </c>
      <c r="AL83">
        <v>4</v>
      </c>
      <c r="AM83">
        <f t="shared" si="43"/>
        <v>120.96</v>
      </c>
      <c r="AN83">
        <f t="shared" si="44"/>
        <v>12.096</v>
      </c>
      <c r="AO83">
        <f t="shared" si="45"/>
        <v>1493.3333333333333</v>
      </c>
      <c r="AP83">
        <f t="shared" si="46"/>
        <v>149.33333333333334</v>
      </c>
      <c r="AQ83">
        <f t="shared" si="35"/>
        <v>40.32</v>
      </c>
      <c r="AR83">
        <f t="shared" si="36"/>
        <v>4.032</v>
      </c>
      <c r="AS83">
        <f t="shared" si="37"/>
        <v>1.8</v>
      </c>
      <c r="AT83">
        <f t="shared" si="38"/>
        <v>2</v>
      </c>
      <c r="AU83">
        <f t="shared" si="39"/>
        <v>3</v>
      </c>
      <c r="AV83">
        <f t="shared" si="31"/>
        <v>2023</v>
      </c>
      <c r="AW83" s="1">
        <v>2</v>
      </c>
      <c r="AX83">
        <v>3</v>
      </c>
      <c r="AY83">
        <v>0</v>
      </c>
      <c r="BA83" t="s">
        <v>311</v>
      </c>
      <c r="CE83" t="str">
        <f t="shared" ref="CE83:CE146" si="47">INDEX($CB$18:$CB$59,MATCH($CF83,$CC$18:$CC$59,0))</f>
        <v>DATA_Class_Base15</v>
      </c>
      <c r="CF83" s="6" t="s">
        <v>306</v>
      </c>
    </row>
    <row r="84" spans="1:84">
      <c r="A84">
        <f t="shared" si="41"/>
        <v>3043301</v>
      </c>
      <c r="B84" s="6" t="s">
        <v>283</v>
      </c>
      <c r="C84">
        <v>4</v>
      </c>
      <c r="D84">
        <v>3</v>
      </c>
      <c r="E84">
        <v>3</v>
      </c>
      <c r="F84" s="3" t="s">
        <v>1540</v>
      </c>
      <c r="G84" s="3" t="s">
        <v>1540</v>
      </c>
      <c r="H84">
        <v>0</v>
      </c>
      <c r="I84">
        <v>0</v>
      </c>
      <c r="J84" s="2">
        <v>0</v>
      </c>
      <c r="K84" s="2" t="s">
        <v>285</v>
      </c>
      <c r="L84" s="2">
        <f t="shared" si="42"/>
        <v>3</v>
      </c>
      <c r="M84" s="2">
        <f t="shared" si="40"/>
        <v>1.2</v>
      </c>
      <c r="N84" s="2">
        <f t="shared" si="40"/>
        <v>1.4000000000000001</v>
      </c>
      <c r="O84" s="2">
        <v>10</v>
      </c>
      <c r="P84" s="2">
        <f t="shared" si="33"/>
        <v>107.52</v>
      </c>
      <c r="Q84" s="2">
        <f t="shared" si="33"/>
        <v>10.75</v>
      </c>
      <c r="R84" s="2">
        <f t="shared" si="33"/>
        <v>1120</v>
      </c>
      <c r="S84" s="2">
        <f t="shared" si="32"/>
        <v>112</v>
      </c>
      <c r="T84" s="2">
        <f t="shared" si="32"/>
        <v>21.5</v>
      </c>
      <c r="U84" s="2">
        <f t="shared" si="32"/>
        <v>2.15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3">
        <v>333011</v>
      </c>
      <c r="AB84" s="14" t="s">
        <v>1567</v>
      </c>
      <c r="AC84" s="15" t="s">
        <v>889</v>
      </c>
      <c r="AD84" s="2">
        <v>3053301</v>
      </c>
      <c r="AE84" s="2">
        <v>4</v>
      </c>
      <c r="AF84" s="2">
        <v>2</v>
      </c>
      <c r="AG84" s="2">
        <v>4</v>
      </c>
      <c r="AH84" s="2">
        <v>2</v>
      </c>
      <c r="AI84" s="2"/>
      <c r="AJ84">
        <v>1</v>
      </c>
      <c r="AK84" s="1">
        <f t="shared" si="34"/>
        <v>38.430977141137461</v>
      </c>
      <c r="AL84">
        <v>4</v>
      </c>
      <c r="AM84">
        <f t="shared" si="43"/>
        <v>107.52</v>
      </c>
      <c r="AN84">
        <f t="shared" si="44"/>
        <v>10.752000000000001</v>
      </c>
      <c r="AO84">
        <f t="shared" si="45"/>
        <v>1120</v>
      </c>
      <c r="AP84">
        <f t="shared" si="46"/>
        <v>112</v>
      </c>
      <c r="AQ84">
        <f t="shared" si="35"/>
        <v>21.503999999999998</v>
      </c>
      <c r="AR84">
        <f t="shared" si="36"/>
        <v>2.1503999999999999</v>
      </c>
      <c r="AS84">
        <f t="shared" si="37"/>
        <v>1.2</v>
      </c>
      <c r="AT84">
        <f t="shared" si="38"/>
        <v>1.4</v>
      </c>
      <c r="AU84">
        <f t="shared" si="39"/>
        <v>3</v>
      </c>
      <c r="AV84">
        <f t="shared" si="31"/>
        <v>3013</v>
      </c>
      <c r="AW84" s="1">
        <v>1</v>
      </c>
      <c r="AX84">
        <v>3</v>
      </c>
      <c r="AY84">
        <v>0</v>
      </c>
      <c r="BA84" s="3" t="s">
        <v>316</v>
      </c>
      <c r="CE84" t="str">
        <f t="shared" si="47"/>
        <v>DATA_Class_Base16</v>
      </c>
      <c r="CF84" s="6" t="s">
        <v>312</v>
      </c>
    </row>
    <row r="85" spans="1:84">
      <c r="A85">
        <f t="shared" si="41"/>
        <v>3043401</v>
      </c>
      <c r="B85" s="6" t="s">
        <v>317</v>
      </c>
      <c r="C85">
        <v>4</v>
      </c>
      <c r="D85">
        <v>4</v>
      </c>
      <c r="E85">
        <v>3</v>
      </c>
      <c r="F85" s="3" t="s">
        <v>1542</v>
      </c>
      <c r="G85" s="3" t="s">
        <v>1542</v>
      </c>
      <c r="H85">
        <v>0</v>
      </c>
      <c r="I85">
        <v>0</v>
      </c>
      <c r="J85">
        <v>0</v>
      </c>
      <c r="K85" s="2" t="s">
        <v>161</v>
      </c>
      <c r="L85" s="2">
        <f t="shared" si="42"/>
        <v>6</v>
      </c>
      <c r="M85" s="2">
        <f t="shared" si="40"/>
        <v>1.6</v>
      </c>
      <c r="N85" s="2">
        <f t="shared" si="40"/>
        <v>1.5</v>
      </c>
      <c r="O85" s="2">
        <v>10</v>
      </c>
      <c r="P85" s="2">
        <f t="shared" si="33"/>
        <v>143.36000000000001</v>
      </c>
      <c r="Q85" s="2">
        <f t="shared" si="33"/>
        <v>14.34</v>
      </c>
      <c r="R85" s="2">
        <f t="shared" si="33"/>
        <v>1120</v>
      </c>
      <c r="S85" s="2">
        <f t="shared" si="32"/>
        <v>112</v>
      </c>
      <c r="T85" s="2">
        <f t="shared" si="32"/>
        <v>23.89</v>
      </c>
      <c r="U85" s="2">
        <f t="shared" si="32"/>
        <v>2.39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3">
        <v>334011</v>
      </c>
      <c r="AB85" s="14" t="s">
        <v>389</v>
      </c>
      <c r="AC85" s="15" t="s">
        <v>889</v>
      </c>
      <c r="AD85" s="2">
        <v>3053401</v>
      </c>
      <c r="AE85" s="2">
        <v>4</v>
      </c>
      <c r="AF85" s="2">
        <v>2</v>
      </c>
      <c r="AG85" s="2">
        <v>4</v>
      </c>
      <c r="AH85" s="2">
        <v>2</v>
      </c>
      <c r="AI85" s="2"/>
      <c r="AJ85">
        <v>1</v>
      </c>
      <c r="AK85" s="1">
        <f t="shared" si="34"/>
        <v>38.451285262692849</v>
      </c>
      <c r="AL85">
        <v>4</v>
      </c>
      <c r="AM85">
        <f t="shared" si="43"/>
        <v>143.35999999999999</v>
      </c>
      <c r="AN85">
        <f t="shared" si="44"/>
        <v>14.335999999999999</v>
      </c>
      <c r="AO85">
        <f t="shared" si="45"/>
        <v>1120</v>
      </c>
      <c r="AP85">
        <f t="shared" si="46"/>
        <v>112</v>
      </c>
      <c r="AQ85">
        <f t="shared" si="35"/>
        <v>23.893333333333331</v>
      </c>
      <c r="AR85">
        <f t="shared" si="36"/>
        <v>2.3893333333333331</v>
      </c>
      <c r="AS85">
        <f t="shared" si="37"/>
        <v>1.6</v>
      </c>
      <c r="AT85">
        <f t="shared" si="38"/>
        <v>1.5</v>
      </c>
      <c r="AU85">
        <f t="shared" si="39"/>
        <v>6</v>
      </c>
      <c r="AV85">
        <f t="shared" si="31"/>
        <v>4013</v>
      </c>
      <c r="AW85" s="1">
        <v>1</v>
      </c>
      <c r="AX85">
        <v>3</v>
      </c>
      <c r="AY85">
        <v>0</v>
      </c>
      <c r="BA85" s="24" t="s">
        <v>321</v>
      </c>
      <c r="BB85">
        <v>1E-4</v>
      </c>
      <c r="BE85" s="24" t="s">
        <v>322</v>
      </c>
      <c r="BN85">
        <v>10000</v>
      </c>
      <c r="BP85">
        <v>80</v>
      </c>
      <c r="BQ85">
        <v>80</v>
      </c>
      <c r="CE85" t="str">
        <f t="shared" si="47"/>
        <v>DATA_Class_Base17</v>
      </c>
      <c r="CF85" s="6" t="s">
        <v>318</v>
      </c>
    </row>
    <row r="86" spans="1:84">
      <c r="A86">
        <f t="shared" si="41"/>
        <v>3043402</v>
      </c>
      <c r="B86" s="6" t="s">
        <v>323</v>
      </c>
      <c r="C86">
        <v>4</v>
      </c>
      <c r="D86">
        <v>4</v>
      </c>
      <c r="E86">
        <v>3</v>
      </c>
      <c r="F86" s="3" t="s">
        <v>325</v>
      </c>
      <c r="G86" s="3" t="s">
        <v>325</v>
      </c>
      <c r="H86">
        <v>0</v>
      </c>
      <c r="I86">
        <v>0</v>
      </c>
      <c r="J86" s="2">
        <v>0</v>
      </c>
      <c r="K86" s="2" t="s">
        <v>250</v>
      </c>
      <c r="L86" s="2">
        <f t="shared" si="42"/>
        <v>6</v>
      </c>
      <c r="M86" s="2">
        <f t="shared" si="40"/>
        <v>1.5</v>
      </c>
      <c r="N86" s="2">
        <f t="shared" si="40"/>
        <v>1.5</v>
      </c>
      <c r="O86" s="2">
        <v>10</v>
      </c>
      <c r="P86" s="2">
        <f t="shared" si="33"/>
        <v>145.6</v>
      </c>
      <c r="Q86" s="2">
        <f t="shared" si="33"/>
        <v>14.56</v>
      </c>
      <c r="R86" s="2">
        <f t="shared" si="33"/>
        <v>1033.8499999999999</v>
      </c>
      <c r="S86" s="2">
        <f t="shared" si="32"/>
        <v>103.38</v>
      </c>
      <c r="T86" s="2">
        <f t="shared" si="32"/>
        <v>20.8</v>
      </c>
      <c r="U86" s="2">
        <f t="shared" si="32"/>
        <v>2.08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3">
        <v>334021</v>
      </c>
      <c r="AB86" s="14" t="s">
        <v>392</v>
      </c>
      <c r="AC86" s="15" t="s">
        <v>889</v>
      </c>
      <c r="AD86" s="2">
        <v>3053402</v>
      </c>
      <c r="AE86" s="2">
        <v>4</v>
      </c>
      <c r="AF86" s="2">
        <v>2</v>
      </c>
      <c r="AG86" s="2">
        <v>4</v>
      </c>
      <c r="AH86" s="2">
        <v>2</v>
      </c>
      <c r="AI86" s="2"/>
      <c r="AJ86">
        <v>1</v>
      </c>
      <c r="AK86" s="1">
        <f t="shared" si="34"/>
        <v>38.424997588967116</v>
      </c>
      <c r="AL86">
        <v>4</v>
      </c>
      <c r="AM86">
        <f t="shared" si="43"/>
        <v>145.6</v>
      </c>
      <c r="AN86">
        <f t="shared" si="44"/>
        <v>14.56</v>
      </c>
      <c r="AO86">
        <f t="shared" si="45"/>
        <v>1033.8461538461536</v>
      </c>
      <c r="AP86">
        <f t="shared" si="46"/>
        <v>103.38461538461536</v>
      </c>
      <c r="AQ86">
        <f t="shared" si="35"/>
        <v>20.8</v>
      </c>
      <c r="AR86">
        <f t="shared" si="36"/>
        <v>2.08</v>
      </c>
      <c r="AS86">
        <f t="shared" si="37"/>
        <v>1.5</v>
      </c>
      <c r="AT86">
        <f t="shared" si="38"/>
        <v>1.5</v>
      </c>
      <c r="AU86">
        <f t="shared" si="39"/>
        <v>6</v>
      </c>
      <c r="AV86">
        <f t="shared" si="31"/>
        <v>4023</v>
      </c>
      <c r="AW86" s="1">
        <v>2</v>
      </c>
      <c r="AX86">
        <v>3</v>
      </c>
      <c r="AY86">
        <v>0</v>
      </c>
      <c r="BA86" t="s">
        <v>46</v>
      </c>
      <c r="BB86" t="s">
        <v>327</v>
      </c>
      <c r="BC86" t="s">
        <v>328</v>
      </c>
      <c r="BD86" t="s">
        <v>329</v>
      </c>
      <c r="BE86" s="24">
        <v>1</v>
      </c>
      <c r="BF86" s="24">
        <v>18</v>
      </c>
      <c r="BG86" s="24">
        <v>33</v>
      </c>
      <c r="BH86" s="24">
        <v>50</v>
      </c>
      <c r="BI86" s="24">
        <v>100</v>
      </c>
      <c r="BJ86" s="24">
        <v>150</v>
      </c>
      <c r="BK86" s="24">
        <v>200</v>
      </c>
      <c r="BL86" s="24">
        <v>300</v>
      </c>
      <c r="BM86" t="s">
        <v>330</v>
      </c>
      <c r="CE86" t="str">
        <f t="shared" si="47"/>
        <v>DATA_Class_Base18</v>
      </c>
      <c r="CF86" s="6" t="s">
        <v>324</v>
      </c>
    </row>
    <row r="87" spans="1:84">
      <c r="A87">
        <f t="shared" si="41"/>
        <v>3043500</v>
      </c>
      <c r="B87" s="6" t="s">
        <v>301</v>
      </c>
      <c r="C87">
        <v>4</v>
      </c>
      <c r="D87">
        <v>5</v>
      </c>
      <c r="E87">
        <v>3</v>
      </c>
      <c r="F87" s="3" t="s">
        <v>1543</v>
      </c>
      <c r="G87" s="3" t="s">
        <v>1543</v>
      </c>
      <c r="H87">
        <v>0</v>
      </c>
      <c r="I87">
        <v>0</v>
      </c>
      <c r="J87" s="2">
        <v>0</v>
      </c>
      <c r="K87" s="2" t="s">
        <v>303</v>
      </c>
      <c r="L87" s="2">
        <f t="shared" si="42"/>
        <v>6</v>
      </c>
      <c r="M87" s="2">
        <f t="shared" si="40"/>
        <v>1.5</v>
      </c>
      <c r="N87" s="2">
        <f t="shared" si="40"/>
        <v>2</v>
      </c>
      <c r="O87" s="2">
        <v>10</v>
      </c>
      <c r="P87" s="2">
        <f t="shared" si="33"/>
        <v>145.6</v>
      </c>
      <c r="Q87" s="2">
        <f t="shared" si="33"/>
        <v>14.56</v>
      </c>
      <c r="R87" s="2">
        <f t="shared" si="33"/>
        <v>1033.8499999999999</v>
      </c>
      <c r="S87" s="2">
        <f t="shared" si="32"/>
        <v>103.38</v>
      </c>
      <c r="T87" s="2">
        <f t="shared" si="32"/>
        <v>24.27</v>
      </c>
      <c r="U87" s="2">
        <f t="shared" si="32"/>
        <v>2.4300000000000002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3">
        <v>335001</v>
      </c>
      <c r="AB87" s="14" t="s">
        <v>1568</v>
      </c>
      <c r="AC87" s="15" t="s">
        <v>889</v>
      </c>
      <c r="AD87" s="2">
        <v>3053500</v>
      </c>
      <c r="AE87" s="2">
        <v>4</v>
      </c>
      <c r="AF87" s="2">
        <v>2</v>
      </c>
      <c r="AG87" s="2">
        <v>4</v>
      </c>
      <c r="AH87" s="2">
        <v>2</v>
      </c>
      <c r="AI87" s="2"/>
      <c r="AJ87">
        <v>1</v>
      </c>
      <c r="AK87" s="1">
        <f t="shared" si="34"/>
        <v>38.45446034563188</v>
      </c>
      <c r="AL87">
        <v>4</v>
      </c>
      <c r="AM87">
        <f t="shared" si="43"/>
        <v>145.6</v>
      </c>
      <c r="AN87">
        <f t="shared" si="44"/>
        <v>14.56</v>
      </c>
      <c r="AO87">
        <f t="shared" si="45"/>
        <v>1033.8461538461536</v>
      </c>
      <c r="AP87">
        <f t="shared" si="46"/>
        <v>103.38461538461536</v>
      </c>
      <c r="AQ87">
        <f t="shared" si="35"/>
        <v>24.266666666666666</v>
      </c>
      <c r="AR87">
        <f t="shared" si="36"/>
        <v>2.4266666666666667</v>
      </c>
      <c r="AS87">
        <f t="shared" si="37"/>
        <v>1.5</v>
      </c>
      <c r="AT87">
        <f t="shared" si="38"/>
        <v>2</v>
      </c>
      <c r="AU87">
        <f t="shared" si="39"/>
        <v>6</v>
      </c>
      <c r="AV87">
        <f t="shared" si="31"/>
        <v>5003</v>
      </c>
      <c r="AW87" s="1">
        <v>0</v>
      </c>
      <c r="AX87">
        <v>3</v>
      </c>
      <c r="AY87">
        <v>0</v>
      </c>
      <c r="BA87" t="s">
        <v>113</v>
      </c>
      <c r="BB87">
        <f t="shared" ref="BB87:BB97" si="48">BH5</f>
        <v>23.111111111111111</v>
      </c>
      <c r="BC87">
        <f>BB87*0.1</f>
        <v>2.3111111111111113</v>
      </c>
      <c r="BD87" s="28">
        <v>0</v>
      </c>
      <c r="BE87" s="28">
        <f t="shared" ref="BE87:BL102" si="49">($BB87+(BE$86-1)*$BC87)*$BB$85+$BD87</f>
        <v>2.311111111111111E-3</v>
      </c>
      <c r="BF87" s="28">
        <f t="shared" si="49"/>
        <v>6.2400000000000008E-3</v>
      </c>
      <c r="BG87" s="28">
        <f t="shared" si="49"/>
        <v>9.706666666666669E-3</v>
      </c>
      <c r="BH87" s="28">
        <f t="shared" si="49"/>
        <v>1.3635555555555555E-2</v>
      </c>
      <c r="BI87" s="28">
        <f t="shared" si="49"/>
        <v>2.5191111111111116E-2</v>
      </c>
      <c r="BJ87" s="28">
        <f t="shared" si="49"/>
        <v>3.6746666666666671E-2</v>
      </c>
      <c r="BK87" s="28">
        <f t="shared" si="49"/>
        <v>4.8302222222222226E-2</v>
      </c>
      <c r="BL87" s="28">
        <f t="shared" si="49"/>
        <v>7.1413333333333343E-2</v>
      </c>
      <c r="BM87" s="28">
        <v>0.25</v>
      </c>
      <c r="BN87">
        <f t="shared" ref="BN87:BN102" si="50">$BN$85*(1-BL87)</f>
        <v>9285.8666666666668</v>
      </c>
      <c r="CE87" t="str">
        <f t="shared" si="47"/>
        <v>DATA_Class_Base19</v>
      </c>
      <c r="CF87" s="6" t="s">
        <v>331</v>
      </c>
    </row>
    <row r="88" spans="1:84">
      <c r="A88">
        <f t="shared" si="41"/>
        <v>3043502</v>
      </c>
      <c r="B88" s="6" t="s">
        <v>289</v>
      </c>
      <c r="C88">
        <v>4</v>
      </c>
      <c r="D88">
        <v>5</v>
      </c>
      <c r="E88">
        <v>3</v>
      </c>
      <c r="F88" s="3" t="s">
        <v>1545</v>
      </c>
      <c r="G88" s="3" t="s">
        <v>1545</v>
      </c>
      <c r="H88">
        <v>0</v>
      </c>
      <c r="I88">
        <v>0</v>
      </c>
      <c r="J88" s="2">
        <v>0</v>
      </c>
      <c r="K88" s="2" t="s">
        <v>291</v>
      </c>
      <c r="L88" s="2">
        <f t="shared" si="42"/>
        <v>6</v>
      </c>
      <c r="M88" s="2">
        <f t="shared" si="40"/>
        <v>1.4000000000000001</v>
      </c>
      <c r="N88" s="2">
        <f t="shared" si="40"/>
        <v>2</v>
      </c>
      <c r="O88" s="2">
        <v>10</v>
      </c>
      <c r="P88" s="2">
        <f t="shared" si="33"/>
        <v>141.12</v>
      </c>
      <c r="Q88" s="2">
        <f t="shared" si="33"/>
        <v>14.11</v>
      </c>
      <c r="R88" s="2">
        <f t="shared" si="33"/>
        <v>995.56</v>
      </c>
      <c r="S88" s="2">
        <f t="shared" si="32"/>
        <v>99.56</v>
      </c>
      <c r="T88" s="2">
        <f t="shared" si="32"/>
        <v>20.16</v>
      </c>
      <c r="U88" s="2">
        <f t="shared" si="32"/>
        <v>2.02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3">
        <v>335021</v>
      </c>
      <c r="AB88" s="14" t="s">
        <v>1569</v>
      </c>
      <c r="AC88" s="15" t="s">
        <v>889</v>
      </c>
      <c r="AD88">
        <v>3053502</v>
      </c>
      <c r="AE88" s="2">
        <v>4</v>
      </c>
      <c r="AF88" s="2">
        <v>2</v>
      </c>
      <c r="AG88" s="2">
        <v>4</v>
      </c>
      <c r="AH88" s="2">
        <v>2</v>
      </c>
      <c r="AI88" s="2"/>
      <c r="AJ88">
        <v>1</v>
      </c>
      <c r="AK88" s="1">
        <f t="shared" si="34"/>
        <v>38.419563246912702</v>
      </c>
      <c r="AL88">
        <v>4</v>
      </c>
      <c r="AM88">
        <f t="shared" si="43"/>
        <v>141.11999999999998</v>
      </c>
      <c r="AN88">
        <f t="shared" si="44"/>
        <v>14.111999999999998</v>
      </c>
      <c r="AO88">
        <f t="shared" si="45"/>
        <v>995.55555555555543</v>
      </c>
      <c r="AP88">
        <f t="shared" si="46"/>
        <v>99.555555555555543</v>
      </c>
      <c r="AQ88">
        <f t="shared" si="35"/>
        <v>20.159999999999997</v>
      </c>
      <c r="AR88">
        <f t="shared" si="36"/>
        <v>2.0159999999999996</v>
      </c>
      <c r="AS88">
        <f t="shared" si="37"/>
        <v>1.4</v>
      </c>
      <c r="AT88">
        <f t="shared" si="38"/>
        <v>2</v>
      </c>
      <c r="AU88">
        <f t="shared" si="39"/>
        <v>6</v>
      </c>
      <c r="AV88">
        <f t="shared" si="31"/>
        <v>5023</v>
      </c>
      <c r="AW88" s="1">
        <v>2</v>
      </c>
      <c r="AX88">
        <v>3</v>
      </c>
      <c r="AY88">
        <v>0</v>
      </c>
      <c r="BA88" s="2" t="s">
        <v>341</v>
      </c>
      <c r="BB88">
        <f t="shared" si="48"/>
        <v>21.333333333333332</v>
      </c>
      <c r="BC88">
        <f t="shared" ref="BC88:BC102" si="51">BB88*0.1</f>
        <v>2.1333333333333333</v>
      </c>
      <c r="BD88" s="28">
        <v>0</v>
      </c>
      <c r="BE88" s="28">
        <f t="shared" si="49"/>
        <v>2.1333333333333334E-3</v>
      </c>
      <c r="BF88" s="28">
        <f t="shared" si="49"/>
        <v>5.7599999999999995E-3</v>
      </c>
      <c r="BG88" s="28">
        <f t="shared" si="49"/>
        <v>8.9599999999999992E-3</v>
      </c>
      <c r="BH88" s="28">
        <f t="shared" si="49"/>
        <v>1.2586666666666666E-2</v>
      </c>
      <c r="BI88" s="28">
        <f t="shared" si="49"/>
        <v>2.3253333333333334E-2</v>
      </c>
      <c r="BJ88" s="28">
        <f t="shared" si="49"/>
        <v>3.3919999999999999E-2</v>
      </c>
      <c r="BK88" s="28">
        <f t="shared" si="49"/>
        <v>4.4586666666666663E-2</v>
      </c>
      <c r="BL88" s="28">
        <f t="shared" si="49"/>
        <v>6.5920000000000006E-2</v>
      </c>
      <c r="BM88" s="28">
        <v>0.25</v>
      </c>
      <c r="BN88">
        <f t="shared" si="50"/>
        <v>9340.8000000000011</v>
      </c>
      <c r="BQ88">
        <f>2+1.5*1.6/1.2</f>
        <v>4</v>
      </c>
      <c r="CE88" t="str">
        <f t="shared" si="47"/>
        <v>DATA_Class_Base20</v>
      </c>
      <c r="CF88" s="6" t="s">
        <v>336</v>
      </c>
    </row>
    <row r="89" spans="1:84">
      <c r="A89">
        <f t="shared" si="41"/>
        <v>3043601</v>
      </c>
      <c r="B89" s="6" t="s">
        <v>307</v>
      </c>
      <c r="C89">
        <v>4</v>
      </c>
      <c r="D89">
        <v>6</v>
      </c>
      <c r="E89">
        <v>3</v>
      </c>
      <c r="F89" s="3" t="s">
        <v>1547</v>
      </c>
      <c r="G89" s="3" t="s">
        <v>1547</v>
      </c>
      <c r="H89">
        <v>0</v>
      </c>
      <c r="I89">
        <v>0</v>
      </c>
      <c r="J89">
        <v>0</v>
      </c>
      <c r="K89" s="2" t="s">
        <v>309</v>
      </c>
      <c r="L89" s="2">
        <f t="shared" si="42"/>
        <v>6</v>
      </c>
      <c r="M89" s="2">
        <f t="shared" si="40"/>
        <v>1.5</v>
      </c>
      <c r="N89" s="2">
        <f t="shared" si="40"/>
        <v>2</v>
      </c>
      <c r="O89" s="2">
        <v>10</v>
      </c>
      <c r="P89" s="2">
        <f t="shared" si="33"/>
        <v>100.8</v>
      </c>
      <c r="Q89" s="2">
        <f t="shared" si="33"/>
        <v>10.08</v>
      </c>
      <c r="R89" s="2">
        <f t="shared" si="33"/>
        <v>1493.33</v>
      </c>
      <c r="S89" s="2">
        <f t="shared" si="32"/>
        <v>149.33000000000001</v>
      </c>
      <c r="T89" s="2">
        <f t="shared" si="32"/>
        <v>33.6</v>
      </c>
      <c r="U89" s="2">
        <f t="shared" si="32"/>
        <v>3.36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3">
        <v>336011</v>
      </c>
      <c r="AB89" s="14" t="s">
        <v>1570</v>
      </c>
      <c r="AC89" s="15" t="s">
        <v>889</v>
      </c>
      <c r="AD89">
        <v>3053601</v>
      </c>
      <c r="AE89" s="2">
        <v>4</v>
      </c>
      <c r="AF89" s="2">
        <v>2</v>
      </c>
      <c r="AG89" s="2">
        <v>4</v>
      </c>
      <c r="AH89" s="2">
        <v>2</v>
      </c>
      <c r="AI89" s="2"/>
      <c r="AJ89">
        <v>1</v>
      </c>
      <c r="AK89" s="1">
        <f t="shared" si="34"/>
        <v>38.534008188529612</v>
      </c>
      <c r="AL89">
        <v>4</v>
      </c>
      <c r="AM89">
        <f t="shared" si="43"/>
        <v>100.8</v>
      </c>
      <c r="AN89">
        <f t="shared" si="44"/>
        <v>10.08</v>
      </c>
      <c r="AO89">
        <f t="shared" si="45"/>
        <v>1493.3333333333333</v>
      </c>
      <c r="AP89">
        <f t="shared" si="46"/>
        <v>149.33333333333334</v>
      </c>
      <c r="AQ89">
        <f t="shared" si="35"/>
        <v>33.6</v>
      </c>
      <c r="AR89">
        <f t="shared" si="36"/>
        <v>3.3600000000000003</v>
      </c>
      <c r="AS89">
        <f t="shared" si="37"/>
        <v>1.5</v>
      </c>
      <c r="AT89">
        <f t="shared" si="38"/>
        <v>2</v>
      </c>
      <c r="AU89">
        <f t="shared" si="39"/>
        <v>6</v>
      </c>
      <c r="AV89">
        <f t="shared" si="31"/>
        <v>6013</v>
      </c>
      <c r="AW89" s="1">
        <v>1</v>
      </c>
      <c r="AX89">
        <v>3</v>
      </c>
      <c r="AY89">
        <v>0</v>
      </c>
      <c r="BA89" t="s">
        <v>132</v>
      </c>
      <c r="BB89">
        <f t="shared" si="48"/>
        <v>20</v>
      </c>
      <c r="BC89">
        <f t="shared" si="51"/>
        <v>2</v>
      </c>
      <c r="BD89" s="28">
        <v>0</v>
      </c>
      <c r="BE89" s="28">
        <f t="shared" si="49"/>
        <v>2E-3</v>
      </c>
      <c r="BF89" s="28">
        <f t="shared" si="49"/>
        <v>5.4000000000000003E-3</v>
      </c>
      <c r="BG89" s="28">
        <f t="shared" si="49"/>
        <v>8.4000000000000012E-3</v>
      </c>
      <c r="BH89" s="28">
        <f t="shared" si="49"/>
        <v>1.18E-2</v>
      </c>
      <c r="BI89" s="28">
        <f t="shared" si="49"/>
        <v>2.18E-2</v>
      </c>
      <c r="BJ89" s="28">
        <f t="shared" si="49"/>
        <v>3.1800000000000002E-2</v>
      </c>
      <c r="BK89" s="28">
        <f t="shared" si="49"/>
        <v>4.1800000000000004E-2</v>
      </c>
      <c r="BL89" s="28">
        <f t="shared" si="49"/>
        <v>6.1800000000000001E-2</v>
      </c>
      <c r="BM89" s="28">
        <v>0.25</v>
      </c>
      <c r="BN89">
        <f t="shared" si="50"/>
        <v>9382</v>
      </c>
      <c r="CE89" t="str">
        <f t="shared" si="47"/>
        <v>DATA_Class_Base21</v>
      </c>
      <c r="CF89" s="6" t="s">
        <v>342</v>
      </c>
    </row>
    <row r="90" spans="1:84">
      <c r="A90">
        <f t="shared" si="41"/>
        <v>3044501</v>
      </c>
      <c r="B90" s="6" t="s">
        <v>332</v>
      </c>
      <c r="C90">
        <v>4</v>
      </c>
      <c r="D90">
        <v>5</v>
      </c>
      <c r="E90">
        <v>4</v>
      </c>
      <c r="F90" s="3" t="s">
        <v>1549</v>
      </c>
      <c r="G90" s="3" t="s">
        <v>1549</v>
      </c>
      <c r="H90">
        <v>0</v>
      </c>
      <c r="I90">
        <v>0</v>
      </c>
      <c r="J90">
        <v>0</v>
      </c>
      <c r="K90" s="2" t="s">
        <v>334</v>
      </c>
      <c r="L90" s="2">
        <f t="shared" si="42"/>
        <v>6</v>
      </c>
      <c r="M90" s="2">
        <f t="shared" si="40"/>
        <v>1.6</v>
      </c>
      <c r="N90" s="2">
        <f t="shared" si="40"/>
        <v>2</v>
      </c>
      <c r="O90" s="2">
        <v>10</v>
      </c>
      <c r="P90" s="2">
        <f t="shared" si="33"/>
        <v>155.31</v>
      </c>
      <c r="Q90" s="2">
        <f t="shared" si="33"/>
        <v>15.53</v>
      </c>
      <c r="R90" s="2">
        <f t="shared" si="33"/>
        <v>1033.8499999999999</v>
      </c>
      <c r="S90" s="2">
        <f t="shared" si="32"/>
        <v>103.38</v>
      </c>
      <c r="T90" s="2">
        <f t="shared" si="32"/>
        <v>17.260000000000002</v>
      </c>
      <c r="U90" s="2">
        <f t="shared" si="32"/>
        <v>1.73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3">
        <v>345011</v>
      </c>
      <c r="AB90" s="14" t="s">
        <v>395</v>
      </c>
      <c r="AC90" s="15" t="s">
        <v>889</v>
      </c>
      <c r="AD90">
        <v>3054501</v>
      </c>
      <c r="AE90" s="2">
        <v>5</v>
      </c>
      <c r="AF90" s="2">
        <v>2</v>
      </c>
      <c r="AG90" s="2">
        <v>4</v>
      </c>
      <c r="AH90" s="2">
        <v>2</v>
      </c>
      <c r="AI90" s="2"/>
      <c r="AJ90">
        <v>1</v>
      </c>
      <c r="AK90" s="1">
        <f t="shared" si="34"/>
        <v>38.394926731027944</v>
      </c>
      <c r="AL90">
        <v>4</v>
      </c>
      <c r="AM90">
        <f t="shared" si="43"/>
        <v>155.30666666666667</v>
      </c>
      <c r="AN90">
        <f t="shared" si="44"/>
        <v>15.530666666666669</v>
      </c>
      <c r="AO90">
        <f t="shared" si="45"/>
        <v>1033.8461538461536</v>
      </c>
      <c r="AP90">
        <f t="shared" si="46"/>
        <v>103.38461538461536</v>
      </c>
      <c r="AQ90">
        <f t="shared" si="35"/>
        <v>17.256296296296298</v>
      </c>
      <c r="AR90">
        <f t="shared" si="36"/>
        <v>1.7256296296296298</v>
      </c>
      <c r="AS90">
        <f t="shared" si="37"/>
        <v>1.6</v>
      </c>
      <c r="AT90">
        <f t="shared" si="38"/>
        <v>2</v>
      </c>
      <c r="AU90">
        <f t="shared" si="39"/>
        <v>6</v>
      </c>
      <c r="AV90">
        <f t="shared" si="31"/>
        <v>5014</v>
      </c>
      <c r="AW90" s="1">
        <v>1</v>
      </c>
      <c r="AX90">
        <v>3</v>
      </c>
      <c r="AY90">
        <v>0</v>
      </c>
      <c r="BA90" s="2" t="s">
        <v>354</v>
      </c>
      <c r="BB90">
        <f t="shared" si="48"/>
        <v>28</v>
      </c>
      <c r="BC90">
        <f t="shared" si="51"/>
        <v>2.8000000000000003</v>
      </c>
      <c r="BD90" s="28">
        <v>0</v>
      </c>
      <c r="BE90" s="28">
        <f t="shared" si="49"/>
        <v>2.8E-3</v>
      </c>
      <c r="BF90" s="28">
        <f t="shared" si="49"/>
        <v>7.5599999999999999E-3</v>
      </c>
      <c r="BG90" s="28">
        <f t="shared" si="49"/>
        <v>1.1760000000000001E-2</v>
      </c>
      <c r="BH90" s="28">
        <f t="shared" si="49"/>
        <v>1.6520000000000003E-2</v>
      </c>
      <c r="BI90" s="28">
        <f t="shared" si="49"/>
        <v>3.0520000000000005E-2</v>
      </c>
      <c r="BJ90" s="28">
        <f t="shared" si="49"/>
        <v>4.4520000000000004E-2</v>
      </c>
      <c r="BK90" s="28">
        <f t="shared" si="49"/>
        <v>5.852000000000001E-2</v>
      </c>
      <c r="BL90" s="28">
        <f t="shared" si="49"/>
        <v>8.6520000000000014E-2</v>
      </c>
      <c r="BM90" s="28">
        <v>0.25</v>
      </c>
      <c r="BN90">
        <f t="shared" si="50"/>
        <v>9134.7999999999993</v>
      </c>
      <c r="BP90" t="s">
        <v>348</v>
      </c>
      <c r="BQ90" t="s">
        <v>348</v>
      </c>
      <c r="CE90" t="str">
        <f t="shared" si="47"/>
        <v>DATA_Class_Base22</v>
      </c>
      <c r="CF90" s="6" t="s">
        <v>349</v>
      </c>
    </row>
    <row r="91" spans="1:84">
      <c r="A91">
        <f t="shared" si="41"/>
        <v>3044600</v>
      </c>
      <c r="B91" s="6" t="s">
        <v>337</v>
      </c>
      <c r="C91">
        <v>4</v>
      </c>
      <c r="D91">
        <v>6</v>
      </c>
      <c r="E91">
        <v>4</v>
      </c>
      <c r="F91" s="3" t="s">
        <v>1550</v>
      </c>
      <c r="G91" s="3" t="s">
        <v>1550</v>
      </c>
      <c r="H91">
        <v>0</v>
      </c>
      <c r="I91">
        <v>0</v>
      </c>
      <c r="J91" s="2">
        <v>0</v>
      </c>
      <c r="K91" s="2" t="s">
        <v>339</v>
      </c>
      <c r="L91" s="2">
        <f t="shared" si="42"/>
        <v>3</v>
      </c>
      <c r="M91" s="2">
        <f t="shared" si="40"/>
        <v>1.4000000000000001</v>
      </c>
      <c r="N91" s="2">
        <f t="shared" si="40"/>
        <v>1.9000000000000001</v>
      </c>
      <c r="O91" s="2">
        <v>10</v>
      </c>
      <c r="P91" s="2">
        <f t="shared" si="33"/>
        <v>114.99</v>
      </c>
      <c r="Q91" s="2">
        <f t="shared" si="33"/>
        <v>11.5</v>
      </c>
      <c r="R91" s="2">
        <f t="shared" si="33"/>
        <v>1221.82</v>
      </c>
      <c r="S91" s="2">
        <f t="shared" si="32"/>
        <v>122.18</v>
      </c>
      <c r="T91" s="2">
        <f t="shared" si="32"/>
        <v>28.75</v>
      </c>
      <c r="U91" s="2">
        <f t="shared" si="32"/>
        <v>2.87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3">
        <v>346001</v>
      </c>
      <c r="AB91" s="14" t="s">
        <v>397</v>
      </c>
      <c r="AC91" s="15" t="s">
        <v>889</v>
      </c>
      <c r="AD91">
        <v>3054600</v>
      </c>
      <c r="AE91" s="2">
        <v>5</v>
      </c>
      <c r="AF91" s="2">
        <v>2</v>
      </c>
      <c r="AG91" s="2">
        <v>4</v>
      </c>
      <c r="AH91" s="2">
        <v>2</v>
      </c>
      <c r="AI91" s="2"/>
      <c r="AJ91">
        <v>1</v>
      </c>
      <c r="AK91" s="1">
        <f t="shared" si="34"/>
        <v>38.492602281522288</v>
      </c>
      <c r="AL91">
        <v>4</v>
      </c>
      <c r="AM91">
        <f t="shared" si="43"/>
        <v>114.98666666666665</v>
      </c>
      <c r="AN91">
        <f t="shared" si="44"/>
        <v>11.498666666666665</v>
      </c>
      <c r="AO91">
        <f t="shared" si="45"/>
        <v>1221.8181818181818</v>
      </c>
      <c r="AP91">
        <f t="shared" si="46"/>
        <v>122.18181818181819</v>
      </c>
      <c r="AQ91">
        <f t="shared" si="35"/>
        <v>28.746666666666663</v>
      </c>
      <c r="AR91">
        <f t="shared" si="36"/>
        <v>2.8746666666666663</v>
      </c>
      <c r="AS91">
        <f t="shared" si="37"/>
        <v>1.4</v>
      </c>
      <c r="AT91">
        <f t="shared" si="38"/>
        <v>1.9</v>
      </c>
      <c r="AU91">
        <f t="shared" si="39"/>
        <v>3</v>
      </c>
      <c r="AV91">
        <f t="shared" si="31"/>
        <v>6004</v>
      </c>
      <c r="AW91" s="1">
        <v>0</v>
      </c>
      <c r="AX91">
        <v>3</v>
      </c>
      <c r="AY91">
        <v>0</v>
      </c>
      <c r="BA91" s="2" t="s">
        <v>360</v>
      </c>
      <c r="BB91">
        <f t="shared" si="48"/>
        <v>24</v>
      </c>
      <c r="BC91">
        <f t="shared" si="51"/>
        <v>2.4000000000000004</v>
      </c>
      <c r="BD91" s="28">
        <v>0</v>
      </c>
      <c r="BE91" s="28">
        <f t="shared" si="49"/>
        <v>2.4000000000000002E-3</v>
      </c>
      <c r="BF91" s="28">
        <f t="shared" si="49"/>
        <v>6.4800000000000014E-3</v>
      </c>
      <c r="BG91" s="28">
        <f t="shared" si="49"/>
        <v>1.0080000000000002E-2</v>
      </c>
      <c r="BH91" s="28">
        <f t="shared" si="49"/>
        <v>1.4160000000000002E-2</v>
      </c>
      <c r="BI91" s="28">
        <f t="shared" si="49"/>
        <v>2.6160000000000003E-2</v>
      </c>
      <c r="BJ91" s="28">
        <f t="shared" si="49"/>
        <v>3.8160000000000006E-2</v>
      </c>
      <c r="BK91" s="28">
        <f t="shared" si="49"/>
        <v>5.016000000000001E-2</v>
      </c>
      <c r="BL91" s="28">
        <f t="shared" si="49"/>
        <v>7.4160000000000018E-2</v>
      </c>
      <c r="BM91" s="28">
        <v>0.25</v>
      </c>
      <c r="BN91">
        <f t="shared" si="50"/>
        <v>9258.4</v>
      </c>
      <c r="CE91" t="str">
        <f t="shared" si="47"/>
        <v>DATA_Class_Base23</v>
      </c>
      <c r="CF91" s="6" t="s">
        <v>355</v>
      </c>
    </row>
    <row r="92" spans="1:84">
      <c r="A92">
        <f t="shared" si="41"/>
        <v>3044602</v>
      </c>
      <c r="B92" s="6" t="s">
        <v>343</v>
      </c>
      <c r="C92">
        <v>4</v>
      </c>
      <c r="D92">
        <v>6</v>
      </c>
      <c r="E92">
        <v>4</v>
      </c>
      <c r="F92" s="3" t="s">
        <v>1551</v>
      </c>
      <c r="G92" s="3" t="s">
        <v>1551</v>
      </c>
      <c r="H92">
        <v>0</v>
      </c>
      <c r="I92">
        <v>0</v>
      </c>
      <c r="J92" t="s">
        <v>345</v>
      </c>
      <c r="K92" s="2" t="s">
        <v>346</v>
      </c>
      <c r="L92" s="2">
        <f t="shared" si="42"/>
        <v>6</v>
      </c>
      <c r="M92" s="2">
        <f t="shared" si="40"/>
        <v>1.8</v>
      </c>
      <c r="N92" s="2">
        <f t="shared" si="40"/>
        <v>2</v>
      </c>
      <c r="O92" s="2">
        <v>10</v>
      </c>
      <c r="P92" s="2">
        <f t="shared" si="33"/>
        <v>134.4</v>
      </c>
      <c r="Q92" s="2">
        <f t="shared" si="33"/>
        <v>13.44</v>
      </c>
      <c r="R92" s="2">
        <f t="shared" si="33"/>
        <v>1344</v>
      </c>
      <c r="S92" s="2">
        <f t="shared" si="32"/>
        <v>134.4</v>
      </c>
      <c r="T92" s="2">
        <f t="shared" si="32"/>
        <v>26.88</v>
      </c>
      <c r="U92" s="2">
        <f t="shared" si="32"/>
        <v>2.69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3">
        <v>346021</v>
      </c>
      <c r="AB92" s="14" t="s">
        <v>399</v>
      </c>
      <c r="AC92" s="15" t="s">
        <v>889</v>
      </c>
      <c r="AD92">
        <v>3054602</v>
      </c>
      <c r="AE92" s="2">
        <v>5</v>
      </c>
      <c r="AF92" s="2">
        <v>2</v>
      </c>
      <c r="AG92" s="2">
        <v>4</v>
      </c>
      <c r="AH92" s="2">
        <v>2</v>
      </c>
      <c r="AI92" s="2"/>
      <c r="AJ92">
        <v>1</v>
      </c>
      <c r="AK92" s="1">
        <f t="shared" si="34"/>
        <v>38.476700616767317</v>
      </c>
      <c r="AL92">
        <v>4</v>
      </c>
      <c r="AM92">
        <f t="shared" si="43"/>
        <v>134.39999999999998</v>
      </c>
      <c r="AN92">
        <f t="shared" si="44"/>
        <v>13.439999999999998</v>
      </c>
      <c r="AO92">
        <f t="shared" si="45"/>
        <v>1344</v>
      </c>
      <c r="AP92">
        <f t="shared" si="46"/>
        <v>134.4</v>
      </c>
      <c r="AQ92">
        <f t="shared" si="35"/>
        <v>26.879999999999995</v>
      </c>
      <c r="AR92">
        <f t="shared" si="36"/>
        <v>2.6879999999999997</v>
      </c>
      <c r="AS92">
        <f t="shared" si="37"/>
        <v>1.8</v>
      </c>
      <c r="AT92">
        <f t="shared" si="38"/>
        <v>2</v>
      </c>
      <c r="AU92">
        <f t="shared" si="39"/>
        <v>6</v>
      </c>
      <c r="AV92">
        <f t="shared" si="31"/>
        <v>6024</v>
      </c>
      <c r="AW92" s="1">
        <v>2</v>
      </c>
      <c r="AX92">
        <v>3</v>
      </c>
      <c r="AY92">
        <v>0</v>
      </c>
      <c r="BA92" s="2" t="s">
        <v>165</v>
      </c>
      <c r="BB92">
        <f t="shared" si="48"/>
        <v>22.400000000000002</v>
      </c>
      <c r="BC92">
        <f t="shared" si="51"/>
        <v>2.2400000000000002</v>
      </c>
      <c r="BD92" s="28">
        <v>0</v>
      </c>
      <c r="BE92" s="28">
        <f t="shared" si="49"/>
        <v>2.2400000000000002E-3</v>
      </c>
      <c r="BF92" s="28">
        <f t="shared" si="49"/>
        <v>6.0480000000000004E-3</v>
      </c>
      <c r="BG92" s="28">
        <f t="shared" si="49"/>
        <v>9.4080000000000014E-3</v>
      </c>
      <c r="BH92" s="28">
        <f t="shared" si="49"/>
        <v>1.3216E-2</v>
      </c>
      <c r="BI92" s="28">
        <f t="shared" si="49"/>
        <v>2.4416000000000004E-2</v>
      </c>
      <c r="BJ92" s="28">
        <f t="shared" si="49"/>
        <v>3.5616000000000002E-2</v>
      </c>
      <c r="BK92" s="28">
        <f t="shared" si="49"/>
        <v>4.6816000000000003E-2</v>
      </c>
      <c r="BL92" s="28">
        <f t="shared" si="49"/>
        <v>6.9216000000000014E-2</v>
      </c>
      <c r="BM92" s="28">
        <v>0.25</v>
      </c>
      <c r="BN92">
        <f t="shared" si="50"/>
        <v>9307.84</v>
      </c>
      <c r="CE92" t="str">
        <f t="shared" si="47"/>
        <v>DATA_Class_Base24</v>
      </c>
      <c r="CF92" s="6" t="s">
        <v>361</v>
      </c>
    </row>
    <row r="93" spans="1:84">
      <c r="A93">
        <f t="shared" si="41"/>
        <v>3045300</v>
      </c>
      <c r="B93" s="6" t="s">
        <v>350</v>
      </c>
      <c r="C93">
        <v>4</v>
      </c>
      <c r="D93">
        <v>3</v>
      </c>
      <c r="E93">
        <v>5</v>
      </c>
      <c r="F93" s="3" t="s">
        <v>1552</v>
      </c>
      <c r="G93" s="3" t="s">
        <v>1552</v>
      </c>
      <c r="H93">
        <v>0</v>
      </c>
      <c r="I93">
        <v>0</v>
      </c>
      <c r="J93" s="2">
        <v>0</v>
      </c>
      <c r="K93" s="2" t="s">
        <v>352</v>
      </c>
      <c r="L93" s="2">
        <f t="shared" si="42"/>
        <v>6</v>
      </c>
      <c r="M93" s="2">
        <f t="shared" si="40"/>
        <v>1.3</v>
      </c>
      <c r="N93" s="2">
        <f t="shared" si="40"/>
        <v>2</v>
      </c>
      <c r="O93" s="2">
        <v>10</v>
      </c>
      <c r="P93" s="2">
        <f t="shared" si="33"/>
        <v>111.63</v>
      </c>
      <c r="Q93" s="2">
        <f t="shared" si="33"/>
        <v>11.16</v>
      </c>
      <c r="R93" s="2">
        <f t="shared" si="33"/>
        <v>1168.7</v>
      </c>
      <c r="S93" s="2">
        <f t="shared" si="32"/>
        <v>116.87</v>
      </c>
      <c r="T93" s="2">
        <f t="shared" si="32"/>
        <v>13.95</v>
      </c>
      <c r="U93" s="2">
        <f t="shared" si="32"/>
        <v>1.4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3">
        <v>353001</v>
      </c>
      <c r="AB93" s="14" t="s">
        <v>403</v>
      </c>
      <c r="AC93" s="15" t="s">
        <v>889</v>
      </c>
      <c r="AD93">
        <v>3055300</v>
      </c>
      <c r="AE93" s="2">
        <v>5</v>
      </c>
      <c r="AF93" s="2">
        <v>2</v>
      </c>
      <c r="AG93" s="2">
        <v>4</v>
      </c>
      <c r="AH93" s="2">
        <v>2</v>
      </c>
      <c r="AI93" s="2"/>
      <c r="AJ93">
        <v>1</v>
      </c>
      <c r="AK93" s="1">
        <f t="shared" si="34"/>
        <v>38.366941077924935</v>
      </c>
      <c r="AL93">
        <v>4</v>
      </c>
      <c r="AM93">
        <f t="shared" si="43"/>
        <v>111.62666666666664</v>
      </c>
      <c r="AN93">
        <f t="shared" si="44"/>
        <v>11.162666666666665</v>
      </c>
      <c r="AO93">
        <f t="shared" si="45"/>
        <v>1168.695652173913</v>
      </c>
      <c r="AP93">
        <f t="shared" si="46"/>
        <v>116.86956521739131</v>
      </c>
      <c r="AQ93">
        <f t="shared" si="35"/>
        <v>13.95333333333333</v>
      </c>
      <c r="AR93">
        <f t="shared" si="36"/>
        <v>1.3953333333333331</v>
      </c>
      <c r="AS93">
        <f t="shared" si="37"/>
        <v>1.3</v>
      </c>
      <c r="AT93">
        <f t="shared" si="38"/>
        <v>2</v>
      </c>
      <c r="AU93">
        <f t="shared" si="39"/>
        <v>6</v>
      </c>
      <c r="AV93">
        <f t="shared" si="31"/>
        <v>3005</v>
      </c>
      <c r="AW93" s="1">
        <v>0</v>
      </c>
      <c r="AX93">
        <v>3</v>
      </c>
      <c r="AY93">
        <v>0</v>
      </c>
      <c r="BA93" s="2" t="s">
        <v>172</v>
      </c>
      <c r="BB93">
        <f t="shared" si="48"/>
        <v>32</v>
      </c>
      <c r="BC93">
        <f t="shared" si="51"/>
        <v>3.2</v>
      </c>
      <c r="BD93" s="28">
        <v>0</v>
      </c>
      <c r="BE93" s="28">
        <f t="shared" si="49"/>
        <v>3.2000000000000002E-3</v>
      </c>
      <c r="BF93" s="28">
        <f t="shared" si="49"/>
        <v>8.6400000000000018E-3</v>
      </c>
      <c r="BG93" s="28">
        <f t="shared" si="49"/>
        <v>1.3440000000000001E-2</v>
      </c>
      <c r="BH93" s="28">
        <f t="shared" si="49"/>
        <v>1.8880000000000001E-2</v>
      </c>
      <c r="BI93" s="28">
        <f t="shared" si="49"/>
        <v>3.4880000000000001E-2</v>
      </c>
      <c r="BJ93" s="28">
        <f t="shared" si="49"/>
        <v>5.0880000000000002E-2</v>
      </c>
      <c r="BK93" s="28">
        <f t="shared" si="49"/>
        <v>6.6880000000000009E-2</v>
      </c>
      <c r="BL93" s="28">
        <f t="shared" si="49"/>
        <v>9.888000000000001E-2</v>
      </c>
      <c r="BM93" s="28">
        <v>0.25</v>
      </c>
      <c r="BN93">
        <f t="shared" si="50"/>
        <v>9011.2000000000007</v>
      </c>
      <c r="CE93" t="str">
        <f>INDEX($CB$18:$CB$59,MATCH($CF94,$CC$18:$CC$59,0))</f>
        <v>DATA_Class_Base26</v>
      </c>
      <c r="CF93" s="6" t="s">
        <v>366</v>
      </c>
    </row>
    <row r="94" spans="1:84">
      <c r="A94">
        <f t="shared" si="41"/>
        <v>3045302</v>
      </c>
      <c r="B94" s="6" t="s">
        <v>356</v>
      </c>
      <c r="C94">
        <v>4</v>
      </c>
      <c r="D94">
        <v>3</v>
      </c>
      <c r="E94">
        <v>5</v>
      </c>
      <c r="F94" s="3" t="s">
        <v>1008</v>
      </c>
      <c r="G94" s="3" t="s">
        <v>1008</v>
      </c>
      <c r="H94">
        <v>0</v>
      </c>
      <c r="I94">
        <v>0</v>
      </c>
      <c r="J94" s="2">
        <v>0</v>
      </c>
      <c r="K94" s="2" t="s">
        <v>358</v>
      </c>
      <c r="L94" s="2">
        <f t="shared" si="42"/>
        <v>3</v>
      </c>
      <c r="M94" s="2">
        <f t="shared" si="40"/>
        <v>1.4000000000000001</v>
      </c>
      <c r="N94" s="2">
        <f t="shared" si="40"/>
        <v>2</v>
      </c>
      <c r="O94" s="2">
        <v>10</v>
      </c>
      <c r="P94" s="2">
        <f t="shared" si="33"/>
        <v>125.44</v>
      </c>
      <c r="Q94" s="2">
        <f t="shared" si="33"/>
        <v>12.54</v>
      </c>
      <c r="R94" s="2">
        <f t="shared" si="33"/>
        <v>1120</v>
      </c>
      <c r="S94" s="2">
        <f t="shared" si="32"/>
        <v>112</v>
      </c>
      <c r="T94" s="2">
        <f t="shared" si="32"/>
        <v>17.920000000000002</v>
      </c>
      <c r="U94" s="2">
        <f t="shared" si="32"/>
        <v>1.79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3">
        <v>353021</v>
      </c>
      <c r="AB94" s="14" t="s">
        <v>405</v>
      </c>
      <c r="AC94" s="15" t="s">
        <v>889</v>
      </c>
      <c r="AD94">
        <v>3055302</v>
      </c>
      <c r="AE94" s="2">
        <v>5</v>
      </c>
      <c r="AF94" s="2">
        <v>2</v>
      </c>
      <c r="AG94" s="2">
        <v>4</v>
      </c>
      <c r="AH94" s="2">
        <v>2</v>
      </c>
      <c r="AI94" s="2"/>
      <c r="AJ94">
        <v>1</v>
      </c>
      <c r="AK94" s="1">
        <f t="shared" si="34"/>
        <v>38.400555148617912</v>
      </c>
      <c r="AL94">
        <v>4</v>
      </c>
      <c r="AM94">
        <f t="shared" si="43"/>
        <v>125.43999999999998</v>
      </c>
      <c r="AN94">
        <f t="shared" si="44"/>
        <v>12.543999999999999</v>
      </c>
      <c r="AO94">
        <f t="shared" si="45"/>
        <v>1120</v>
      </c>
      <c r="AP94">
        <f t="shared" si="46"/>
        <v>112</v>
      </c>
      <c r="AQ94">
        <f t="shared" si="35"/>
        <v>17.919999999999998</v>
      </c>
      <c r="AR94">
        <f t="shared" si="36"/>
        <v>1.7919999999999998</v>
      </c>
      <c r="AS94">
        <f t="shared" si="37"/>
        <v>1.4</v>
      </c>
      <c r="AT94">
        <f t="shared" si="38"/>
        <v>2</v>
      </c>
      <c r="AU94">
        <f t="shared" si="39"/>
        <v>3</v>
      </c>
      <c r="AV94">
        <f t="shared" ref="AV94:AV157" si="52">D94*1000+AW94*10+E94</f>
        <v>3025</v>
      </c>
      <c r="AW94" s="1">
        <v>2</v>
      </c>
      <c r="AX94">
        <v>3</v>
      </c>
      <c r="AY94">
        <v>0</v>
      </c>
      <c r="BA94" s="2" t="s">
        <v>174</v>
      </c>
      <c r="BB94">
        <f t="shared" si="48"/>
        <v>29.538461538461537</v>
      </c>
      <c r="BC94">
        <f t="shared" si="51"/>
        <v>2.953846153846154</v>
      </c>
      <c r="BD94" s="28">
        <v>0</v>
      </c>
      <c r="BE94" s="28">
        <f t="shared" si="49"/>
        <v>2.9538461538461537E-3</v>
      </c>
      <c r="BF94" s="28">
        <f t="shared" si="49"/>
        <v>7.9753846153846151E-3</v>
      </c>
      <c r="BG94" s="28">
        <f t="shared" si="49"/>
        <v>1.2406153846153846E-2</v>
      </c>
      <c r="BH94" s="28">
        <f t="shared" si="49"/>
        <v>1.7427692307692311E-2</v>
      </c>
      <c r="BI94" s="28">
        <f t="shared" si="49"/>
        <v>3.2196923076923081E-2</v>
      </c>
      <c r="BJ94" s="28">
        <f t="shared" si="49"/>
        <v>4.6966153846153852E-2</v>
      </c>
      <c r="BK94" s="28">
        <f t="shared" si="49"/>
        <v>6.1735384615384629E-2</v>
      </c>
      <c r="BL94" s="28">
        <f t="shared" si="49"/>
        <v>9.1273846153846164E-2</v>
      </c>
      <c r="BM94" s="28">
        <v>0.25</v>
      </c>
      <c r="BN94">
        <f t="shared" si="50"/>
        <v>9087.2615384615383</v>
      </c>
      <c r="CE94" t="str">
        <f>INDEX($CB$18:$CB$59,MATCH($CF93,$CC$18:$CC$59,0))</f>
        <v>DATA_Class_Base25</v>
      </c>
      <c r="CF94" s="6" t="s">
        <v>369</v>
      </c>
    </row>
    <row r="95" spans="1:84">
      <c r="A95">
        <f t="shared" si="41"/>
        <v>3045400</v>
      </c>
      <c r="B95" s="6" t="s">
        <v>362</v>
      </c>
      <c r="C95">
        <v>4</v>
      </c>
      <c r="D95">
        <v>4</v>
      </c>
      <c r="E95">
        <v>5</v>
      </c>
      <c r="F95" s="3" t="s">
        <v>1012</v>
      </c>
      <c r="G95" s="3" t="s">
        <v>1012</v>
      </c>
      <c r="H95">
        <v>0</v>
      </c>
      <c r="I95">
        <v>0</v>
      </c>
      <c r="J95">
        <v>0</v>
      </c>
      <c r="K95" s="2" t="s">
        <v>364</v>
      </c>
      <c r="L95" s="2">
        <f t="shared" si="42"/>
        <v>6</v>
      </c>
      <c r="M95" s="2">
        <f t="shared" si="40"/>
        <v>1.4000000000000001</v>
      </c>
      <c r="N95" s="2">
        <f t="shared" si="40"/>
        <v>2</v>
      </c>
      <c r="O95" s="2">
        <v>10</v>
      </c>
      <c r="P95" s="2">
        <f t="shared" si="33"/>
        <v>130.66999999999999</v>
      </c>
      <c r="Q95" s="2">
        <f t="shared" si="33"/>
        <v>13.07</v>
      </c>
      <c r="R95" s="2">
        <f t="shared" si="33"/>
        <v>1075.2</v>
      </c>
      <c r="S95" s="2">
        <f t="shared" si="32"/>
        <v>107.52</v>
      </c>
      <c r="T95" s="2">
        <f t="shared" si="32"/>
        <v>21.78</v>
      </c>
      <c r="U95" s="2">
        <f t="shared" si="32"/>
        <v>2.1800000000000002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3">
        <v>354001</v>
      </c>
      <c r="AB95" s="14" t="s">
        <v>408</v>
      </c>
      <c r="AC95" s="15" t="s">
        <v>889</v>
      </c>
      <c r="AD95">
        <v>3055400</v>
      </c>
      <c r="AE95" s="2">
        <v>5</v>
      </c>
      <c r="AF95" s="2">
        <v>2</v>
      </c>
      <c r="AG95" s="2">
        <v>4</v>
      </c>
      <c r="AH95" s="2">
        <v>2</v>
      </c>
      <c r="AI95" s="2"/>
      <c r="AJ95">
        <v>100</v>
      </c>
      <c r="AK95" s="1">
        <f t="shared" si="34"/>
        <v>4017.3943049201766</v>
      </c>
      <c r="AL95">
        <v>4</v>
      </c>
      <c r="AM95">
        <f t="shared" si="43"/>
        <v>130.66666666666669</v>
      </c>
      <c r="AN95">
        <f t="shared" si="44"/>
        <v>13.06666666666667</v>
      </c>
      <c r="AO95">
        <f t="shared" si="45"/>
        <v>1075.1999999999998</v>
      </c>
      <c r="AP95">
        <f t="shared" si="46"/>
        <v>107.51999999999998</v>
      </c>
      <c r="AQ95">
        <f t="shared" si="35"/>
        <v>21.777777777777782</v>
      </c>
      <c r="AR95">
        <f t="shared" si="36"/>
        <v>2.1777777777777785</v>
      </c>
      <c r="AS95">
        <f t="shared" si="37"/>
        <v>1.4</v>
      </c>
      <c r="AT95">
        <f t="shared" si="38"/>
        <v>2</v>
      </c>
      <c r="AU95">
        <f t="shared" si="39"/>
        <v>6</v>
      </c>
      <c r="AV95">
        <f t="shared" si="52"/>
        <v>4005</v>
      </c>
      <c r="AW95" s="1">
        <v>0</v>
      </c>
      <c r="AX95">
        <v>3</v>
      </c>
      <c r="AY95">
        <v>0</v>
      </c>
      <c r="BA95" s="2" t="s">
        <v>176</v>
      </c>
      <c r="BB95">
        <f t="shared" si="48"/>
        <v>19.2</v>
      </c>
      <c r="BC95">
        <f t="shared" si="51"/>
        <v>1.92</v>
      </c>
      <c r="BD95" s="28">
        <v>0</v>
      </c>
      <c r="BE95" s="28">
        <f t="shared" si="49"/>
        <v>1.92E-3</v>
      </c>
      <c r="BF95" s="28">
        <f t="shared" si="49"/>
        <v>5.1840000000000002E-3</v>
      </c>
      <c r="BG95" s="28">
        <f t="shared" si="49"/>
        <v>8.064E-3</v>
      </c>
      <c r="BH95" s="28">
        <f t="shared" si="49"/>
        <v>1.1328000000000001E-2</v>
      </c>
      <c r="BI95" s="28">
        <f t="shared" si="49"/>
        <v>2.0927999999999999E-2</v>
      </c>
      <c r="BJ95" s="28">
        <f t="shared" si="49"/>
        <v>3.0528E-2</v>
      </c>
      <c r="BK95" s="28">
        <f t="shared" si="49"/>
        <v>4.0127999999999997E-2</v>
      </c>
      <c r="BL95" s="28">
        <f t="shared" si="49"/>
        <v>5.9327999999999999E-2</v>
      </c>
      <c r="BM95" s="28">
        <v>0.25</v>
      </c>
      <c r="BN95">
        <f t="shared" si="50"/>
        <v>9406.7199999999993</v>
      </c>
      <c r="CE95" t="str">
        <f t="shared" si="47"/>
        <v>DATA_Class_Base27</v>
      </c>
      <c r="CF95" s="6" t="s">
        <v>371</v>
      </c>
    </row>
    <row r="96" spans="1:84">
      <c r="A96">
        <f t="shared" si="41"/>
        <v>3051200</v>
      </c>
      <c r="B96" s="6" t="s">
        <v>294</v>
      </c>
      <c r="C96">
        <v>5</v>
      </c>
      <c r="D96">
        <v>2</v>
      </c>
      <c r="E96">
        <v>1</v>
      </c>
      <c r="F96" s="3" t="s">
        <v>1571</v>
      </c>
      <c r="G96" s="3" t="s">
        <v>1571</v>
      </c>
      <c r="H96">
        <v>0</v>
      </c>
      <c r="I96">
        <v>0</v>
      </c>
      <c r="J96" s="2">
        <v>0</v>
      </c>
      <c r="K96" s="2" t="s">
        <v>314</v>
      </c>
      <c r="L96" s="2">
        <f t="shared" si="42"/>
        <v>3</v>
      </c>
      <c r="M96" s="2">
        <f t="shared" si="40"/>
        <v>1.5</v>
      </c>
      <c r="N96" s="2">
        <f t="shared" si="40"/>
        <v>1.2</v>
      </c>
      <c r="O96" s="2">
        <v>10</v>
      </c>
      <c r="P96" s="2">
        <f t="shared" si="33"/>
        <v>102.4</v>
      </c>
      <c r="Q96" s="2">
        <f t="shared" si="33"/>
        <v>10.24</v>
      </c>
      <c r="R96" s="2">
        <f t="shared" si="33"/>
        <v>1920</v>
      </c>
      <c r="S96" s="2">
        <f t="shared" si="32"/>
        <v>192</v>
      </c>
      <c r="T96" s="2">
        <f t="shared" si="32"/>
        <v>34.130000000000003</v>
      </c>
      <c r="U96" s="2">
        <f t="shared" si="32"/>
        <v>3.41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6">
        <v>312001</v>
      </c>
      <c r="AB96" s="14" t="s">
        <v>1553</v>
      </c>
      <c r="AC96" s="15" t="s">
        <v>889</v>
      </c>
      <c r="AD96" s="2">
        <v>3061200</v>
      </c>
      <c r="AE96" s="2">
        <v>12</v>
      </c>
      <c r="AF96" s="2">
        <v>1</v>
      </c>
      <c r="AG96" s="2">
        <f>A96</f>
        <v>3051200</v>
      </c>
      <c r="AH96" s="2">
        <v>1</v>
      </c>
      <c r="AI96" s="2"/>
      <c r="AJ96">
        <v>1</v>
      </c>
      <c r="AK96" s="1">
        <f t="shared" si="34"/>
        <v>50.336083227650867</v>
      </c>
      <c r="AL96">
        <v>5</v>
      </c>
      <c r="AM96">
        <f t="shared" si="43"/>
        <v>102.40000000000003</v>
      </c>
      <c r="AN96">
        <f t="shared" si="44"/>
        <v>10.240000000000004</v>
      </c>
      <c r="AO96">
        <f t="shared" si="45"/>
        <v>1920</v>
      </c>
      <c r="AP96">
        <f t="shared" si="46"/>
        <v>192</v>
      </c>
      <c r="AQ96">
        <f t="shared" si="35"/>
        <v>34.133333333333347</v>
      </c>
      <c r="AR96">
        <f t="shared" si="36"/>
        <v>3.4133333333333349</v>
      </c>
      <c r="AS96">
        <f t="shared" si="37"/>
        <v>1.5</v>
      </c>
      <c r="AT96">
        <f t="shared" si="38"/>
        <v>1.2</v>
      </c>
      <c r="AU96">
        <f t="shared" si="39"/>
        <v>3</v>
      </c>
      <c r="AV96">
        <f t="shared" si="52"/>
        <v>2001</v>
      </c>
      <c r="AW96" s="1">
        <v>0</v>
      </c>
      <c r="AX96">
        <v>3</v>
      </c>
      <c r="AY96">
        <v>0</v>
      </c>
      <c r="BA96" s="2" t="s">
        <v>376</v>
      </c>
      <c r="BB96">
        <f t="shared" si="48"/>
        <v>22.08</v>
      </c>
      <c r="BC96">
        <f t="shared" si="51"/>
        <v>2.2079999999999997</v>
      </c>
      <c r="BD96" s="28">
        <v>0</v>
      </c>
      <c r="BE96" s="28">
        <f t="shared" si="49"/>
        <v>2.2079999999999999E-3</v>
      </c>
      <c r="BF96" s="28">
        <f t="shared" si="49"/>
        <v>5.9615999999999992E-3</v>
      </c>
      <c r="BG96" s="28">
        <f t="shared" si="49"/>
        <v>9.2735999999999999E-3</v>
      </c>
      <c r="BH96" s="28">
        <f t="shared" si="49"/>
        <v>1.3027199999999999E-2</v>
      </c>
      <c r="BI96" s="28">
        <f t="shared" si="49"/>
        <v>2.4067199999999997E-2</v>
      </c>
      <c r="BJ96" s="28">
        <f t="shared" si="49"/>
        <v>3.5107199999999998E-2</v>
      </c>
      <c r="BK96" s="28">
        <f t="shared" si="49"/>
        <v>4.6147199999999992E-2</v>
      </c>
      <c r="BL96" s="28">
        <f t="shared" si="49"/>
        <v>6.8227200000000002E-2</v>
      </c>
      <c r="BM96" s="28">
        <v>0.25</v>
      </c>
      <c r="BN96">
        <f t="shared" si="50"/>
        <v>9317.7279999999992</v>
      </c>
      <c r="CE96" t="str">
        <f t="shared" si="47"/>
        <v>DATA_Class_Base13</v>
      </c>
      <c r="CF96" s="6" t="s">
        <v>295</v>
      </c>
    </row>
    <row r="97" spans="1:84">
      <c r="A97">
        <f t="shared" si="41"/>
        <v>3051201</v>
      </c>
      <c r="B97" s="6" t="s">
        <v>296</v>
      </c>
      <c r="C97">
        <v>5</v>
      </c>
      <c r="D97">
        <v>2</v>
      </c>
      <c r="E97">
        <v>1</v>
      </c>
      <c r="F97" s="3" t="s">
        <v>1572</v>
      </c>
      <c r="G97" s="3" t="s">
        <v>1572</v>
      </c>
      <c r="H97">
        <v>0</v>
      </c>
      <c r="I97">
        <v>0</v>
      </c>
      <c r="J97" s="2">
        <v>0</v>
      </c>
      <c r="K97" s="8" t="s">
        <v>298</v>
      </c>
      <c r="L97" s="2">
        <f t="shared" si="42"/>
        <v>3</v>
      </c>
      <c r="M97" s="2">
        <f t="shared" si="40"/>
        <v>1.8</v>
      </c>
      <c r="N97" s="2">
        <f t="shared" si="40"/>
        <v>1.8</v>
      </c>
      <c r="O97" s="2">
        <v>10</v>
      </c>
      <c r="P97" s="2">
        <f t="shared" si="33"/>
        <v>76.8</v>
      </c>
      <c r="Q97" s="2">
        <f t="shared" si="33"/>
        <v>7.68</v>
      </c>
      <c r="R97" s="2">
        <f t="shared" si="33"/>
        <v>3072</v>
      </c>
      <c r="S97" s="2">
        <f t="shared" si="32"/>
        <v>307.2</v>
      </c>
      <c r="T97" s="2">
        <f t="shared" si="32"/>
        <v>38.4</v>
      </c>
      <c r="U97" s="2">
        <f t="shared" si="32"/>
        <v>3.84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6">
        <v>312011</v>
      </c>
      <c r="AB97" s="14" t="s">
        <v>1554</v>
      </c>
      <c r="AC97" s="15" t="s">
        <v>889</v>
      </c>
      <c r="AD97" s="2">
        <v>3061201</v>
      </c>
      <c r="AE97" s="2">
        <v>12</v>
      </c>
      <c r="AF97" s="2">
        <v>1</v>
      </c>
      <c r="AG97" s="2">
        <f t="shared" ref="AG97:AG128" si="53">A97</f>
        <v>3051201</v>
      </c>
      <c r="AH97" s="2">
        <v>1</v>
      </c>
      <c r="AI97" s="2"/>
      <c r="AJ97">
        <v>1</v>
      </c>
      <c r="AK97" s="1">
        <f t="shared" si="34"/>
        <v>50.383734589814772</v>
      </c>
      <c r="AL97">
        <v>5</v>
      </c>
      <c r="AM97">
        <f t="shared" si="43"/>
        <v>76.800000000000011</v>
      </c>
      <c r="AN97">
        <f t="shared" si="44"/>
        <v>7.6800000000000015</v>
      </c>
      <c r="AO97">
        <f t="shared" si="45"/>
        <v>3072</v>
      </c>
      <c r="AP97">
        <f t="shared" si="46"/>
        <v>307.20000000000005</v>
      </c>
      <c r="AQ97">
        <f t="shared" si="35"/>
        <v>38.400000000000006</v>
      </c>
      <c r="AR97">
        <f t="shared" si="36"/>
        <v>3.8400000000000007</v>
      </c>
      <c r="AS97">
        <f t="shared" si="37"/>
        <v>1.8</v>
      </c>
      <c r="AT97">
        <f t="shared" si="38"/>
        <v>1.8</v>
      </c>
      <c r="AU97">
        <f t="shared" si="39"/>
        <v>3</v>
      </c>
      <c r="AV97">
        <f t="shared" si="52"/>
        <v>2011</v>
      </c>
      <c r="AW97" s="1">
        <v>1</v>
      </c>
      <c r="AX97">
        <v>3</v>
      </c>
      <c r="AY97">
        <v>0</v>
      </c>
      <c r="BA97" s="2" t="s">
        <v>184</v>
      </c>
      <c r="BB97">
        <f t="shared" si="48"/>
        <v>28.799999999999997</v>
      </c>
      <c r="BC97">
        <f t="shared" si="51"/>
        <v>2.88</v>
      </c>
      <c r="BD97" s="28">
        <v>0</v>
      </c>
      <c r="BE97" s="28">
        <f t="shared" si="49"/>
        <v>2.8799999999999997E-3</v>
      </c>
      <c r="BF97" s="28">
        <f t="shared" si="49"/>
        <v>7.7759999999999991E-3</v>
      </c>
      <c r="BG97" s="28">
        <f t="shared" si="49"/>
        <v>1.2095999999999999E-2</v>
      </c>
      <c r="BH97" s="28">
        <f t="shared" si="49"/>
        <v>1.6992000000000004E-2</v>
      </c>
      <c r="BI97" s="28">
        <f t="shared" si="49"/>
        <v>3.1392000000000003E-2</v>
      </c>
      <c r="BJ97" s="28">
        <f t="shared" si="49"/>
        <v>4.5792000000000006E-2</v>
      </c>
      <c r="BK97" s="28">
        <f t="shared" si="49"/>
        <v>6.0191999999999996E-2</v>
      </c>
      <c r="BL97" s="28">
        <f t="shared" si="49"/>
        <v>8.8992000000000002E-2</v>
      </c>
      <c r="BM97" s="28">
        <v>0.25</v>
      </c>
      <c r="BN97">
        <f t="shared" si="50"/>
        <v>9110.08</v>
      </c>
      <c r="CE97" t="str">
        <f t="shared" si="47"/>
        <v>DATA_Class_Base14</v>
      </c>
      <c r="CF97" s="6" t="s">
        <v>300</v>
      </c>
    </row>
    <row r="98" spans="1:84">
      <c r="A98">
        <f t="shared" si="41"/>
        <v>3051202</v>
      </c>
      <c r="B98" s="6" t="s">
        <v>278</v>
      </c>
      <c r="C98">
        <v>5</v>
      </c>
      <c r="D98">
        <v>2</v>
      </c>
      <c r="E98">
        <v>1</v>
      </c>
      <c r="F98" s="3" t="s">
        <v>1573</v>
      </c>
      <c r="G98" s="3" t="s">
        <v>1573</v>
      </c>
      <c r="H98">
        <v>0</v>
      </c>
      <c r="I98">
        <v>0</v>
      </c>
      <c r="J98">
        <v>0</v>
      </c>
      <c r="K98" s="2" t="s">
        <v>280</v>
      </c>
      <c r="L98" s="2">
        <f t="shared" si="42"/>
        <v>3</v>
      </c>
      <c r="M98" s="2">
        <f t="shared" si="40"/>
        <v>1.8</v>
      </c>
      <c r="N98" s="2">
        <f t="shared" si="40"/>
        <v>2</v>
      </c>
      <c r="O98" s="2">
        <v>10</v>
      </c>
      <c r="P98" s="2">
        <f t="shared" si="33"/>
        <v>122.88</v>
      </c>
      <c r="Q98" s="2">
        <f t="shared" si="33"/>
        <v>12.29</v>
      </c>
      <c r="R98" s="2">
        <f t="shared" si="33"/>
        <v>1920</v>
      </c>
      <c r="S98" s="2">
        <f t="shared" si="32"/>
        <v>192</v>
      </c>
      <c r="T98" s="2">
        <f t="shared" si="32"/>
        <v>30.72</v>
      </c>
      <c r="U98" s="2">
        <f t="shared" si="32"/>
        <v>3.07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6">
        <v>312021</v>
      </c>
      <c r="AB98" s="14" t="s">
        <v>367</v>
      </c>
      <c r="AC98" s="15" t="s">
        <v>889</v>
      </c>
      <c r="AD98" s="2">
        <v>3061202</v>
      </c>
      <c r="AE98" s="2">
        <v>12</v>
      </c>
      <c r="AF98" s="2">
        <v>1</v>
      </c>
      <c r="AG98" s="2">
        <f t="shared" si="53"/>
        <v>3051202</v>
      </c>
      <c r="AH98" s="2">
        <v>1</v>
      </c>
      <c r="AI98" s="2"/>
      <c r="AJ98">
        <v>1</v>
      </c>
      <c r="AK98" s="1">
        <f t="shared" si="34"/>
        <v>50.298026985579355</v>
      </c>
      <c r="AL98">
        <v>5</v>
      </c>
      <c r="AM98">
        <f t="shared" si="43"/>
        <v>122.88000000000002</v>
      </c>
      <c r="AN98">
        <f t="shared" si="44"/>
        <v>12.288000000000004</v>
      </c>
      <c r="AO98">
        <f t="shared" si="45"/>
        <v>1920</v>
      </c>
      <c r="AP98">
        <f t="shared" si="46"/>
        <v>192</v>
      </c>
      <c r="AQ98">
        <f t="shared" si="35"/>
        <v>30.720000000000006</v>
      </c>
      <c r="AR98">
        <f t="shared" si="36"/>
        <v>3.072000000000001</v>
      </c>
      <c r="AS98">
        <f t="shared" si="37"/>
        <v>1.8</v>
      </c>
      <c r="AT98">
        <f t="shared" si="38"/>
        <v>2</v>
      </c>
      <c r="AU98">
        <f t="shared" si="39"/>
        <v>3</v>
      </c>
      <c r="AV98">
        <f t="shared" si="52"/>
        <v>2021</v>
      </c>
      <c r="AW98" s="1">
        <v>2</v>
      </c>
      <c r="AX98">
        <v>3</v>
      </c>
      <c r="AY98">
        <v>0</v>
      </c>
      <c r="BA98" t="s">
        <v>190</v>
      </c>
      <c r="BB98">
        <f>BH18</f>
        <v>28.799999999999997</v>
      </c>
      <c r="BC98">
        <f t="shared" si="51"/>
        <v>2.88</v>
      </c>
      <c r="BD98" s="28">
        <v>0</v>
      </c>
      <c r="BE98" s="28">
        <f t="shared" si="49"/>
        <v>2.8799999999999997E-3</v>
      </c>
      <c r="BF98" s="28">
        <f t="shared" si="49"/>
        <v>7.7759999999999991E-3</v>
      </c>
      <c r="BG98" s="28">
        <f t="shared" si="49"/>
        <v>1.2095999999999999E-2</v>
      </c>
      <c r="BH98" s="28">
        <f t="shared" si="49"/>
        <v>1.6992000000000004E-2</v>
      </c>
      <c r="BI98" s="28">
        <f t="shared" si="49"/>
        <v>3.1392000000000003E-2</v>
      </c>
      <c r="BJ98" s="28">
        <f t="shared" si="49"/>
        <v>4.5792000000000006E-2</v>
      </c>
      <c r="BK98" s="28">
        <f t="shared" si="49"/>
        <v>6.0191999999999996E-2</v>
      </c>
      <c r="BL98" s="28">
        <f t="shared" si="49"/>
        <v>8.8992000000000002E-2</v>
      </c>
      <c r="BM98" s="28">
        <v>0.25</v>
      </c>
      <c r="BN98">
        <f t="shared" si="50"/>
        <v>9110.08</v>
      </c>
      <c r="CE98" t="str">
        <f t="shared" si="47"/>
        <v>DATA_Class_Base15</v>
      </c>
      <c r="CF98" s="6" t="s">
        <v>306</v>
      </c>
    </row>
    <row r="99" spans="1:84">
      <c r="A99">
        <f t="shared" si="41"/>
        <v>3051301</v>
      </c>
      <c r="B99" s="6" t="s">
        <v>283</v>
      </c>
      <c r="C99">
        <v>5</v>
      </c>
      <c r="D99">
        <v>3</v>
      </c>
      <c r="E99">
        <v>1</v>
      </c>
      <c r="F99" s="3" t="s">
        <v>1574</v>
      </c>
      <c r="G99" s="3" t="s">
        <v>1574</v>
      </c>
      <c r="H99">
        <v>0</v>
      </c>
      <c r="I99">
        <v>0</v>
      </c>
      <c r="J99" s="2">
        <v>0</v>
      </c>
      <c r="K99" s="2" t="s">
        <v>285</v>
      </c>
      <c r="L99" s="2">
        <f t="shared" si="42"/>
        <v>3</v>
      </c>
      <c r="M99" s="2">
        <f t="shared" si="40"/>
        <v>1.2</v>
      </c>
      <c r="N99" s="2">
        <f t="shared" si="40"/>
        <v>2</v>
      </c>
      <c r="O99" s="2">
        <v>10</v>
      </c>
      <c r="P99" s="2">
        <f t="shared" si="33"/>
        <v>112.64</v>
      </c>
      <c r="Q99" s="2">
        <f t="shared" si="33"/>
        <v>11.26</v>
      </c>
      <c r="R99" s="2">
        <f t="shared" si="33"/>
        <v>1396.36</v>
      </c>
      <c r="S99" s="2">
        <f t="shared" si="32"/>
        <v>139.63999999999999</v>
      </c>
      <c r="T99" s="2">
        <f t="shared" si="32"/>
        <v>18.77</v>
      </c>
      <c r="U99" s="2">
        <f t="shared" si="32"/>
        <v>1.88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6">
        <v>313011</v>
      </c>
      <c r="AB99" s="14" t="s">
        <v>370</v>
      </c>
      <c r="AC99" s="15" t="s">
        <v>889</v>
      </c>
      <c r="AD99" s="2">
        <v>3061301</v>
      </c>
      <c r="AE99" s="2">
        <v>12</v>
      </c>
      <c r="AF99" s="2">
        <v>1</v>
      </c>
      <c r="AG99" s="2">
        <f t="shared" si="53"/>
        <v>3051301</v>
      </c>
      <c r="AH99" s="2">
        <v>1</v>
      </c>
      <c r="AI99" s="2"/>
      <c r="AJ99">
        <v>1</v>
      </c>
      <c r="AK99" s="1">
        <f t="shared" si="34"/>
        <v>50.165282103792968</v>
      </c>
      <c r="AL99">
        <v>5</v>
      </c>
      <c r="AM99">
        <f t="shared" si="43"/>
        <v>112.64000000000001</v>
      </c>
      <c r="AN99">
        <f t="shared" si="44"/>
        <v>11.264000000000003</v>
      </c>
      <c r="AO99">
        <f t="shared" si="45"/>
        <v>1396.3636363636365</v>
      </c>
      <c r="AP99">
        <f t="shared" si="46"/>
        <v>139.63636363636365</v>
      </c>
      <c r="AQ99">
        <f t="shared" si="35"/>
        <v>18.773333333333337</v>
      </c>
      <c r="AR99">
        <f t="shared" si="36"/>
        <v>1.8773333333333337</v>
      </c>
      <c r="AS99">
        <f t="shared" si="37"/>
        <v>1.2</v>
      </c>
      <c r="AT99">
        <f t="shared" si="38"/>
        <v>2</v>
      </c>
      <c r="AU99">
        <f t="shared" si="39"/>
        <v>3</v>
      </c>
      <c r="AV99">
        <f t="shared" si="52"/>
        <v>3011</v>
      </c>
      <c r="AW99" s="1">
        <v>1</v>
      </c>
      <c r="AX99">
        <v>3</v>
      </c>
      <c r="AY99">
        <v>0</v>
      </c>
      <c r="BA99" s="2" t="s">
        <v>386</v>
      </c>
      <c r="BB99">
        <f>BH19</f>
        <v>9.9666666666666668</v>
      </c>
      <c r="BC99">
        <f t="shared" si="51"/>
        <v>0.9966666666666667</v>
      </c>
      <c r="BD99" s="28">
        <v>0</v>
      </c>
      <c r="BE99" s="28">
        <f t="shared" si="49"/>
        <v>9.9666666666666675E-4</v>
      </c>
      <c r="BF99" s="28">
        <f t="shared" si="49"/>
        <v>2.6910000000000007E-3</v>
      </c>
      <c r="BG99" s="28">
        <f t="shared" si="49"/>
        <v>4.1860000000000005E-3</v>
      </c>
      <c r="BH99" s="28">
        <f t="shared" si="49"/>
        <v>5.8803333333333338E-3</v>
      </c>
      <c r="BI99" s="28">
        <f t="shared" si="49"/>
        <v>1.0863666666666667E-2</v>
      </c>
      <c r="BJ99" s="28">
        <f t="shared" si="49"/>
        <v>1.5847E-2</v>
      </c>
      <c r="BK99" s="28">
        <f t="shared" si="49"/>
        <v>2.0830333333333336E-2</v>
      </c>
      <c r="BL99" s="28">
        <f t="shared" si="49"/>
        <v>3.0796999999999998E-2</v>
      </c>
      <c r="BM99" s="28">
        <v>0.25</v>
      </c>
      <c r="BN99">
        <f t="shared" si="50"/>
        <v>9692.0300000000007</v>
      </c>
      <c r="CE99" t="str">
        <f t="shared" si="47"/>
        <v>DATA_Class_Base16</v>
      </c>
      <c r="CF99" s="6" t="s">
        <v>312</v>
      </c>
    </row>
    <row r="100" spans="1:84">
      <c r="A100">
        <f t="shared" si="41"/>
        <v>3051401</v>
      </c>
      <c r="B100" s="6" t="s">
        <v>317</v>
      </c>
      <c r="C100">
        <v>5</v>
      </c>
      <c r="D100">
        <v>4</v>
      </c>
      <c r="E100">
        <v>1</v>
      </c>
      <c r="F100" s="3" t="s">
        <v>1575</v>
      </c>
      <c r="G100" s="3" t="s">
        <v>1575</v>
      </c>
      <c r="H100">
        <v>0</v>
      </c>
      <c r="I100">
        <v>0</v>
      </c>
      <c r="J100" s="2">
        <v>0</v>
      </c>
      <c r="K100" s="2" t="s">
        <v>161</v>
      </c>
      <c r="L100" s="2">
        <f t="shared" si="42"/>
        <v>6</v>
      </c>
      <c r="M100" s="2">
        <f t="shared" si="40"/>
        <v>1.6</v>
      </c>
      <c r="N100" s="2">
        <f t="shared" si="40"/>
        <v>2</v>
      </c>
      <c r="O100" s="2">
        <v>10</v>
      </c>
      <c r="P100" s="2">
        <f t="shared" si="33"/>
        <v>150.19</v>
      </c>
      <c r="Q100" s="2">
        <f t="shared" si="33"/>
        <v>15.02</v>
      </c>
      <c r="R100" s="2">
        <f t="shared" si="33"/>
        <v>1396.36</v>
      </c>
      <c r="S100" s="2">
        <f t="shared" si="32"/>
        <v>139.63999999999999</v>
      </c>
      <c r="T100" s="2">
        <f t="shared" si="32"/>
        <v>30.04</v>
      </c>
      <c r="U100" s="2">
        <f t="shared" si="32"/>
        <v>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6">
        <v>314011</v>
      </c>
      <c r="AB100" s="14" t="s">
        <v>1555</v>
      </c>
      <c r="AC100" s="15" t="s">
        <v>889</v>
      </c>
      <c r="AD100" s="2">
        <v>3061401</v>
      </c>
      <c r="AE100" s="2">
        <v>12</v>
      </c>
      <c r="AF100" s="2">
        <v>1</v>
      </c>
      <c r="AG100" s="2">
        <f t="shared" si="53"/>
        <v>3051401</v>
      </c>
      <c r="AH100" s="2">
        <v>1</v>
      </c>
      <c r="AI100" s="2"/>
      <c r="AJ100">
        <v>1</v>
      </c>
      <c r="AK100" s="1">
        <f t="shared" si="34"/>
        <v>50.290422641438141</v>
      </c>
      <c r="AL100">
        <v>5</v>
      </c>
      <c r="AM100">
        <f t="shared" si="43"/>
        <v>150.1866666666667</v>
      </c>
      <c r="AN100">
        <f t="shared" si="44"/>
        <v>15.01866666666667</v>
      </c>
      <c r="AO100">
        <f t="shared" si="45"/>
        <v>1396.3636363636365</v>
      </c>
      <c r="AP100">
        <f t="shared" si="46"/>
        <v>139.63636363636365</v>
      </c>
      <c r="AQ100">
        <f t="shared" si="35"/>
        <v>30.03733333333334</v>
      </c>
      <c r="AR100">
        <f t="shared" si="36"/>
        <v>3.0037333333333343</v>
      </c>
      <c r="AS100">
        <f t="shared" si="37"/>
        <v>1.6</v>
      </c>
      <c r="AT100">
        <f t="shared" si="38"/>
        <v>2</v>
      </c>
      <c r="AU100">
        <f t="shared" si="39"/>
        <v>6</v>
      </c>
      <c r="AV100">
        <f t="shared" si="52"/>
        <v>4011</v>
      </c>
      <c r="AW100" s="1">
        <v>1</v>
      </c>
      <c r="AX100">
        <v>3</v>
      </c>
      <c r="AY100">
        <v>0</v>
      </c>
      <c r="BA100" s="2" t="s">
        <v>198</v>
      </c>
      <c r="BB100">
        <f>BH20</f>
        <v>11.733333333333333</v>
      </c>
      <c r="BC100">
        <f t="shared" si="51"/>
        <v>1.1733333333333333</v>
      </c>
      <c r="BD100" s="28">
        <v>0</v>
      </c>
      <c r="BE100" s="28">
        <f t="shared" si="49"/>
        <v>1.1733333333333333E-3</v>
      </c>
      <c r="BF100" s="28">
        <f t="shared" si="49"/>
        <v>3.1680000000000002E-3</v>
      </c>
      <c r="BG100" s="28">
        <f t="shared" si="49"/>
        <v>4.9280000000000001E-3</v>
      </c>
      <c r="BH100" s="28">
        <f t="shared" si="49"/>
        <v>6.9226666666666664E-3</v>
      </c>
      <c r="BI100" s="28">
        <f t="shared" si="49"/>
        <v>1.2789333333333333E-2</v>
      </c>
      <c r="BJ100" s="28">
        <f t="shared" si="49"/>
        <v>1.8655999999999999E-2</v>
      </c>
      <c r="BK100" s="28">
        <f t="shared" si="49"/>
        <v>2.4522666666666668E-2</v>
      </c>
      <c r="BL100" s="28">
        <f t="shared" si="49"/>
        <v>3.6256000000000004E-2</v>
      </c>
      <c r="BM100" s="28">
        <v>0.25</v>
      </c>
      <c r="BN100">
        <f t="shared" si="50"/>
        <v>9637.44</v>
      </c>
      <c r="CE100" t="str">
        <f t="shared" si="47"/>
        <v>DATA_Class_Base17</v>
      </c>
      <c r="CF100" s="6" t="s">
        <v>318</v>
      </c>
    </row>
    <row r="101" spans="1:84">
      <c r="A101">
        <f t="shared" si="41"/>
        <v>3051402</v>
      </c>
      <c r="B101" s="6" t="s">
        <v>323</v>
      </c>
      <c r="C101">
        <v>5</v>
      </c>
      <c r="D101">
        <v>4</v>
      </c>
      <c r="E101">
        <v>1</v>
      </c>
      <c r="F101" s="3" t="s">
        <v>1576</v>
      </c>
      <c r="G101" s="3" t="s">
        <v>1576</v>
      </c>
      <c r="H101">
        <v>0</v>
      </c>
      <c r="I101">
        <v>0</v>
      </c>
      <c r="J101">
        <v>0</v>
      </c>
      <c r="K101" s="2" t="s">
        <v>250</v>
      </c>
      <c r="L101" s="2">
        <f t="shared" si="42"/>
        <v>6</v>
      </c>
      <c r="M101" s="2">
        <f t="shared" si="40"/>
        <v>1.5</v>
      </c>
      <c r="N101" s="2">
        <f t="shared" si="40"/>
        <v>1.5</v>
      </c>
      <c r="O101" s="2">
        <v>10</v>
      </c>
      <c r="P101" s="2">
        <f t="shared" si="33"/>
        <v>153.6</v>
      </c>
      <c r="Q101" s="2">
        <f t="shared" si="33"/>
        <v>15.36</v>
      </c>
      <c r="R101" s="2">
        <f t="shared" si="33"/>
        <v>1280</v>
      </c>
      <c r="S101" s="2">
        <f t="shared" si="32"/>
        <v>128</v>
      </c>
      <c r="T101" s="2">
        <f t="shared" si="32"/>
        <v>25.6</v>
      </c>
      <c r="U101" s="2">
        <f t="shared" si="32"/>
        <v>2.56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6">
        <v>314021</v>
      </c>
      <c r="AB101" s="14" t="s">
        <v>1556</v>
      </c>
      <c r="AC101" s="15" t="s">
        <v>889</v>
      </c>
      <c r="AD101" s="2">
        <v>3061402</v>
      </c>
      <c r="AE101" s="2">
        <v>12</v>
      </c>
      <c r="AF101" s="2">
        <v>1</v>
      </c>
      <c r="AG101" s="2">
        <f t="shared" si="53"/>
        <v>3051402</v>
      </c>
      <c r="AH101" s="2">
        <v>1</v>
      </c>
      <c r="AI101" s="2"/>
      <c r="AJ101">
        <v>1</v>
      </c>
      <c r="AK101" s="1">
        <f t="shared" si="34"/>
        <v>50.241050395829319</v>
      </c>
      <c r="AL101">
        <v>5</v>
      </c>
      <c r="AM101">
        <f t="shared" si="43"/>
        <v>153.60000000000002</v>
      </c>
      <c r="AN101">
        <f t="shared" si="44"/>
        <v>15.360000000000003</v>
      </c>
      <c r="AO101">
        <f t="shared" si="45"/>
        <v>1280</v>
      </c>
      <c r="AP101">
        <f t="shared" si="46"/>
        <v>128</v>
      </c>
      <c r="AQ101">
        <f t="shared" si="35"/>
        <v>25.600000000000005</v>
      </c>
      <c r="AR101">
        <f t="shared" si="36"/>
        <v>2.5600000000000005</v>
      </c>
      <c r="AS101">
        <f t="shared" si="37"/>
        <v>1.5</v>
      </c>
      <c r="AT101">
        <f t="shared" si="38"/>
        <v>1.5</v>
      </c>
      <c r="AU101">
        <f t="shared" si="39"/>
        <v>6</v>
      </c>
      <c r="AV101">
        <f t="shared" si="52"/>
        <v>4021</v>
      </c>
      <c r="AW101" s="1">
        <v>2</v>
      </c>
      <c r="AX101">
        <v>3</v>
      </c>
      <c r="AY101">
        <v>0</v>
      </c>
      <c r="BA101" s="2" t="s">
        <v>393</v>
      </c>
      <c r="BB101">
        <f>BH21</f>
        <v>13.866666666666667</v>
      </c>
      <c r="BC101">
        <f t="shared" si="51"/>
        <v>1.3866666666666667</v>
      </c>
      <c r="BD101" s="28">
        <v>0</v>
      </c>
      <c r="BE101" s="28">
        <f t="shared" si="49"/>
        <v>1.3866666666666667E-3</v>
      </c>
      <c r="BF101" s="28">
        <f t="shared" si="49"/>
        <v>3.7439999999999999E-3</v>
      </c>
      <c r="BG101" s="28">
        <f t="shared" si="49"/>
        <v>5.8240000000000002E-3</v>
      </c>
      <c r="BH101" s="28">
        <f t="shared" si="49"/>
        <v>8.1813333333333339E-3</v>
      </c>
      <c r="BI101" s="28">
        <f t="shared" si="49"/>
        <v>1.5114666666666669E-2</v>
      </c>
      <c r="BJ101" s="28">
        <f t="shared" si="49"/>
        <v>2.2048000000000002E-2</v>
      </c>
      <c r="BK101" s="28">
        <f t="shared" si="49"/>
        <v>2.8981333333333335E-2</v>
      </c>
      <c r="BL101" s="28">
        <f t="shared" si="49"/>
        <v>4.2848000000000004E-2</v>
      </c>
      <c r="BM101" s="28">
        <v>0.25</v>
      </c>
      <c r="BN101">
        <f t="shared" si="50"/>
        <v>9571.52</v>
      </c>
      <c r="CE101" t="str">
        <f t="shared" si="47"/>
        <v>DATA_Class_Base18</v>
      </c>
      <c r="CF101" s="6" t="s">
        <v>324</v>
      </c>
    </row>
    <row r="102" spans="1:84">
      <c r="A102">
        <f t="shared" si="41"/>
        <v>3051500</v>
      </c>
      <c r="B102" s="6" t="s">
        <v>301</v>
      </c>
      <c r="C102">
        <v>5</v>
      </c>
      <c r="D102">
        <v>5</v>
      </c>
      <c r="E102">
        <v>1</v>
      </c>
      <c r="F102" s="3" t="s">
        <v>1577</v>
      </c>
      <c r="G102" s="3" t="s">
        <v>1577</v>
      </c>
      <c r="H102">
        <v>0</v>
      </c>
      <c r="I102">
        <v>0</v>
      </c>
      <c r="J102">
        <v>0</v>
      </c>
      <c r="K102" s="2" t="s">
        <v>303</v>
      </c>
      <c r="L102" s="2">
        <f t="shared" si="42"/>
        <v>6</v>
      </c>
      <c r="M102" s="2">
        <f t="shared" si="40"/>
        <v>1.5</v>
      </c>
      <c r="N102" s="2">
        <f t="shared" si="40"/>
        <v>1.5</v>
      </c>
      <c r="O102" s="2">
        <v>10</v>
      </c>
      <c r="P102" s="2">
        <f t="shared" si="33"/>
        <v>179.2</v>
      </c>
      <c r="Q102" s="2">
        <f t="shared" si="33"/>
        <v>17.920000000000002</v>
      </c>
      <c r="R102" s="2">
        <f t="shared" si="33"/>
        <v>1097.1400000000001</v>
      </c>
      <c r="S102" s="2">
        <f t="shared" si="32"/>
        <v>109.71</v>
      </c>
      <c r="T102" s="2">
        <f t="shared" si="32"/>
        <v>25.6</v>
      </c>
      <c r="U102" s="2">
        <f t="shared" si="32"/>
        <v>2.56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6">
        <v>315001</v>
      </c>
      <c r="AB102" s="14" t="s">
        <v>1557</v>
      </c>
      <c r="AC102" s="15" t="s">
        <v>889</v>
      </c>
      <c r="AD102" s="2">
        <v>3061500</v>
      </c>
      <c r="AE102" s="2">
        <v>12</v>
      </c>
      <c r="AF102" s="2">
        <v>1</v>
      </c>
      <c r="AG102" s="2">
        <f t="shared" si="53"/>
        <v>3051500</v>
      </c>
      <c r="AH102" s="2">
        <v>1</v>
      </c>
      <c r="AI102" s="2"/>
      <c r="AJ102">
        <v>1</v>
      </c>
      <c r="AK102" s="1">
        <f t="shared" si="34"/>
        <v>50.241050395829312</v>
      </c>
      <c r="AL102">
        <v>5</v>
      </c>
      <c r="AM102">
        <f t="shared" si="43"/>
        <v>179.19999999999996</v>
      </c>
      <c r="AN102">
        <f t="shared" si="44"/>
        <v>17.919999999999998</v>
      </c>
      <c r="AO102">
        <f t="shared" si="45"/>
        <v>1097.1428571428573</v>
      </c>
      <c r="AP102">
        <f t="shared" si="46"/>
        <v>109.71428571428574</v>
      </c>
      <c r="AQ102">
        <f t="shared" si="35"/>
        <v>25.599999999999994</v>
      </c>
      <c r="AR102">
        <f t="shared" si="36"/>
        <v>2.5599999999999996</v>
      </c>
      <c r="AS102">
        <f t="shared" si="37"/>
        <v>1.5</v>
      </c>
      <c r="AT102">
        <f t="shared" si="38"/>
        <v>1.5</v>
      </c>
      <c r="AU102">
        <f t="shared" si="39"/>
        <v>6</v>
      </c>
      <c r="AV102">
        <f t="shared" si="52"/>
        <v>5001</v>
      </c>
      <c r="AW102" s="1">
        <v>0</v>
      </c>
      <c r="AX102">
        <v>3</v>
      </c>
      <c r="AY102">
        <v>0</v>
      </c>
      <c r="BA102" s="2" t="s">
        <v>203</v>
      </c>
      <c r="BB102">
        <f>BH22</f>
        <v>15.36</v>
      </c>
      <c r="BC102">
        <f t="shared" si="51"/>
        <v>1.536</v>
      </c>
      <c r="BD102" s="28">
        <v>0</v>
      </c>
      <c r="BE102" s="28">
        <f t="shared" si="49"/>
        <v>1.536E-3</v>
      </c>
      <c r="BF102" s="28">
        <f t="shared" si="49"/>
        <v>4.1472000000000002E-3</v>
      </c>
      <c r="BG102" s="28">
        <f t="shared" si="49"/>
        <v>6.4512000000000007E-3</v>
      </c>
      <c r="BH102" s="28">
        <f t="shared" si="49"/>
        <v>9.0624E-3</v>
      </c>
      <c r="BI102" s="28">
        <f t="shared" si="49"/>
        <v>1.6742399999999998E-2</v>
      </c>
      <c r="BJ102" s="28">
        <f t="shared" si="49"/>
        <v>2.44224E-2</v>
      </c>
      <c r="BK102" s="28">
        <f t="shared" si="49"/>
        <v>3.2102400000000003E-2</v>
      </c>
      <c r="BL102" s="28">
        <f t="shared" si="49"/>
        <v>4.7462400000000002E-2</v>
      </c>
      <c r="BM102" s="28">
        <v>0.25</v>
      </c>
      <c r="BN102">
        <f t="shared" si="50"/>
        <v>9525.3760000000002</v>
      </c>
      <c r="CE102" t="str">
        <f t="shared" si="47"/>
        <v>DATA_Class_Base19</v>
      </c>
      <c r="CF102" s="6" t="s">
        <v>331</v>
      </c>
    </row>
    <row r="103" spans="1:84">
      <c r="A103">
        <f t="shared" si="41"/>
        <v>3051502</v>
      </c>
      <c r="B103" s="6" t="s">
        <v>289</v>
      </c>
      <c r="C103">
        <v>5</v>
      </c>
      <c r="D103">
        <v>5</v>
      </c>
      <c r="E103">
        <v>1</v>
      </c>
      <c r="F103" s="3" t="s">
        <v>1578</v>
      </c>
      <c r="G103" s="3" t="s">
        <v>1578</v>
      </c>
      <c r="H103">
        <v>0</v>
      </c>
      <c r="I103">
        <v>0</v>
      </c>
      <c r="J103" s="2">
        <v>0</v>
      </c>
      <c r="K103" s="2" t="s">
        <v>291</v>
      </c>
      <c r="L103" s="2">
        <f t="shared" si="42"/>
        <v>6</v>
      </c>
      <c r="M103" s="2">
        <f t="shared" si="40"/>
        <v>1.4000000000000001</v>
      </c>
      <c r="N103" s="2">
        <f t="shared" si="40"/>
        <v>2</v>
      </c>
      <c r="O103" s="2">
        <v>10</v>
      </c>
      <c r="P103" s="2">
        <f t="shared" si="33"/>
        <v>155.31</v>
      </c>
      <c r="Q103" s="2">
        <f t="shared" si="33"/>
        <v>15.53</v>
      </c>
      <c r="R103" s="2">
        <f t="shared" si="33"/>
        <v>1181.54</v>
      </c>
      <c r="S103" s="2">
        <f t="shared" si="32"/>
        <v>118.15</v>
      </c>
      <c r="T103" s="2">
        <f t="shared" si="32"/>
        <v>23.89</v>
      </c>
      <c r="U103" s="2">
        <f t="shared" si="32"/>
        <v>2.39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6">
        <v>315021</v>
      </c>
      <c r="AB103" s="14" t="s">
        <v>372</v>
      </c>
      <c r="AC103" s="15" t="s">
        <v>889</v>
      </c>
      <c r="AD103" s="2">
        <v>3061502</v>
      </c>
      <c r="AE103" s="2">
        <v>12</v>
      </c>
      <c r="AF103" s="2">
        <v>1</v>
      </c>
      <c r="AG103" s="2">
        <f t="shared" si="53"/>
        <v>3051502</v>
      </c>
      <c r="AH103" s="2">
        <v>1</v>
      </c>
      <c r="AI103" s="2"/>
      <c r="AJ103">
        <v>1</v>
      </c>
      <c r="AK103" s="1">
        <f t="shared" si="34"/>
        <v>50.222086873721281</v>
      </c>
      <c r="AL103">
        <v>5</v>
      </c>
      <c r="AM103">
        <f t="shared" si="43"/>
        <v>155.30666666666664</v>
      </c>
      <c r="AN103">
        <f t="shared" si="44"/>
        <v>15.530666666666665</v>
      </c>
      <c r="AO103">
        <f t="shared" si="45"/>
        <v>1181.5384615384614</v>
      </c>
      <c r="AP103">
        <f t="shared" si="46"/>
        <v>118.15384615384615</v>
      </c>
      <c r="AQ103">
        <f t="shared" si="35"/>
        <v>23.893333333333331</v>
      </c>
      <c r="AR103">
        <f t="shared" si="36"/>
        <v>2.3893333333333331</v>
      </c>
      <c r="AS103">
        <f t="shared" si="37"/>
        <v>1.4</v>
      </c>
      <c r="AT103">
        <f t="shared" si="38"/>
        <v>2</v>
      </c>
      <c r="AU103">
        <f t="shared" si="39"/>
        <v>6</v>
      </c>
      <c r="AV103">
        <f t="shared" si="52"/>
        <v>5021</v>
      </c>
      <c r="AW103" s="1">
        <v>2</v>
      </c>
      <c r="AX103">
        <v>3</v>
      </c>
      <c r="AY103">
        <v>0</v>
      </c>
      <c r="CE103" t="str">
        <f t="shared" si="47"/>
        <v>DATA_Class_Base20</v>
      </c>
      <c r="CF103" s="6" t="s">
        <v>336</v>
      </c>
    </row>
    <row r="104" spans="1:84">
      <c r="A104">
        <f t="shared" si="41"/>
        <v>3051601</v>
      </c>
      <c r="B104" s="6" t="s">
        <v>307</v>
      </c>
      <c r="C104">
        <v>5</v>
      </c>
      <c r="D104">
        <v>6</v>
      </c>
      <c r="E104">
        <v>1</v>
      </c>
      <c r="F104" s="3" t="s">
        <v>1579</v>
      </c>
      <c r="G104" s="3" t="s">
        <v>1579</v>
      </c>
      <c r="H104">
        <v>0</v>
      </c>
      <c r="I104">
        <v>0</v>
      </c>
      <c r="J104">
        <v>0</v>
      </c>
      <c r="K104" s="2" t="s">
        <v>309</v>
      </c>
      <c r="L104" s="2">
        <f t="shared" si="42"/>
        <v>6</v>
      </c>
      <c r="M104" s="2">
        <f t="shared" si="40"/>
        <v>1.5</v>
      </c>
      <c r="N104" s="2">
        <f t="shared" si="40"/>
        <v>2</v>
      </c>
      <c r="O104" s="2">
        <v>10</v>
      </c>
      <c r="P104" s="2">
        <f t="shared" si="33"/>
        <v>128</v>
      </c>
      <c r="Q104" s="2">
        <f t="shared" si="33"/>
        <v>12.8</v>
      </c>
      <c r="R104" s="2">
        <f t="shared" si="33"/>
        <v>1536</v>
      </c>
      <c r="S104" s="2">
        <f t="shared" si="32"/>
        <v>153.6</v>
      </c>
      <c r="T104" s="2">
        <f t="shared" si="32"/>
        <v>32</v>
      </c>
      <c r="U104" s="2">
        <f t="shared" si="32"/>
        <v>3.2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6">
        <v>316011</v>
      </c>
      <c r="AB104" s="14" t="s">
        <v>1558</v>
      </c>
      <c r="AC104" s="15" t="s">
        <v>889</v>
      </c>
      <c r="AD104" s="2">
        <v>3061601</v>
      </c>
      <c r="AE104" s="2">
        <v>12</v>
      </c>
      <c r="AF104" s="2">
        <v>1</v>
      </c>
      <c r="AG104" s="2">
        <f t="shared" si="53"/>
        <v>3051601</v>
      </c>
      <c r="AH104" s="2">
        <v>1</v>
      </c>
      <c r="AI104" s="2"/>
      <c r="AJ104">
        <v>1</v>
      </c>
      <c r="AK104" s="1">
        <f t="shared" si="34"/>
        <v>50.312291330970041</v>
      </c>
      <c r="AL104">
        <v>5</v>
      </c>
      <c r="AM104">
        <f t="shared" si="43"/>
        <v>128</v>
      </c>
      <c r="AN104">
        <f t="shared" si="44"/>
        <v>12.8</v>
      </c>
      <c r="AO104">
        <f t="shared" si="45"/>
        <v>1536</v>
      </c>
      <c r="AP104">
        <f t="shared" si="46"/>
        <v>153.60000000000002</v>
      </c>
      <c r="AQ104">
        <f t="shared" si="35"/>
        <v>32</v>
      </c>
      <c r="AR104">
        <f t="shared" si="36"/>
        <v>3.2</v>
      </c>
      <c r="AS104">
        <f t="shared" si="37"/>
        <v>1.5</v>
      </c>
      <c r="AT104">
        <f t="shared" si="38"/>
        <v>2</v>
      </c>
      <c r="AU104">
        <f t="shared" si="39"/>
        <v>6</v>
      </c>
      <c r="AV104">
        <f t="shared" si="52"/>
        <v>6011</v>
      </c>
      <c r="AW104" s="1">
        <v>1</v>
      </c>
      <c r="AX104">
        <v>3</v>
      </c>
      <c r="AY104">
        <v>0</v>
      </c>
      <c r="CE104" t="str">
        <f t="shared" si="47"/>
        <v>DATA_Class_Base21</v>
      </c>
      <c r="CF104" s="6" t="s">
        <v>342</v>
      </c>
    </row>
    <row r="105" spans="1:84">
      <c r="A105">
        <f t="shared" si="41"/>
        <v>3052200</v>
      </c>
      <c r="B105" s="6" t="s">
        <v>294</v>
      </c>
      <c r="C105">
        <v>5</v>
      </c>
      <c r="D105">
        <v>2</v>
      </c>
      <c r="E105">
        <v>2</v>
      </c>
      <c r="F105" s="3" t="s">
        <v>1580</v>
      </c>
      <c r="G105" s="3" t="s">
        <v>1580</v>
      </c>
      <c r="H105">
        <v>0</v>
      </c>
      <c r="I105">
        <v>0</v>
      </c>
      <c r="J105">
        <v>0</v>
      </c>
      <c r="K105" s="2" t="s">
        <v>314</v>
      </c>
      <c r="L105" s="2">
        <f t="shared" si="42"/>
        <v>3</v>
      </c>
      <c r="M105" s="2">
        <f t="shared" si="40"/>
        <v>1.5</v>
      </c>
      <c r="N105" s="2">
        <f t="shared" si="40"/>
        <v>1.2</v>
      </c>
      <c r="O105" s="2">
        <v>10</v>
      </c>
      <c r="P105" s="2">
        <f t="shared" si="33"/>
        <v>128</v>
      </c>
      <c r="Q105" s="2">
        <f t="shared" si="33"/>
        <v>12.8</v>
      </c>
      <c r="R105" s="2">
        <f t="shared" si="33"/>
        <v>1536</v>
      </c>
      <c r="S105" s="2">
        <f t="shared" si="32"/>
        <v>153.6</v>
      </c>
      <c r="T105" s="2">
        <f t="shared" si="32"/>
        <v>32</v>
      </c>
      <c r="U105" s="2">
        <f t="shared" si="32"/>
        <v>3.2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6">
        <v>322001</v>
      </c>
      <c r="AB105" s="14" t="s">
        <v>1559</v>
      </c>
      <c r="AC105" s="15" t="s">
        <v>889</v>
      </c>
      <c r="AD105" s="2">
        <v>3062200</v>
      </c>
      <c r="AE105" s="2">
        <v>12</v>
      </c>
      <c r="AF105" s="2">
        <v>1</v>
      </c>
      <c r="AG105" s="2">
        <f t="shared" si="53"/>
        <v>3052200</v>
      </c>
      <c r="AH105" s="2">
        <v>1</v>
      </c>
      <c r="AI105" s="2"/>
      <c r="AJ105">
        <v>1</v>
      </c>
      <c r="AK105" s="1">
        <f t="shared" si="34"/>
        <v>50.312291330970041</v>
      </c>
      <c r="AL105">
        <v>5</v>
      </c>
      <c r="AM105">
        <f t="shared" si="43"/>
        <v>128</v>
      </c>
      <c r="AN105">
        <f t="shared" si="44"/>
        <v>12.8</v>
      </c>
      <c r="AO105">
        <f t="shared" si="45"/>
        <v>1536</v>
      </c>
      <c r="AP105">
        <f t="shared" si="46"/>
        <v>153.60000000000002</v>
      </c>
      <c r="AQ105">
        <f t="shared" si="35"/>
        <v>32</v>
      </c>
      <c r="AR105">
        <f t="shared" si="36"/>
        <v>3.2</v>
      </c>
      <c r="AS105">
        <f t="shared" si="37"/>
        <v>1.5</v>
      </c>
      <c r="AT105">
        <f t="shared" si="38"/>
        <v>1.2</v>
      </c>
      <c r="AU105">
        <f t="shared" si="39"/>
        <v>3</v>
      </c>
      <c r="AV105">
        <f t="shared" si="52"/>
        <v>2002</v>
      </c>
      <c r="AW105" s="1">
        <v>0</v>
      </c>
      <c r="AX105">
        <v>3</v>
      </c>
      <c r="AY105">
        <v>0</v>
      </c>
      <c r="BA105" t="s">
        <v>400</v>
      </c>
      <c r="BB105">
        <v>1</v>
      </c>
      <c r="BC105" s="2">
        <v>2</v>
      </c>
      <c r="BD105" s="2">
        <v>3</v>
      </c>
      <c r="BE105" s="2">
        <v>4</v>
      </c>
      <c r="BF105" s="2">
        <v>5</v>
      </c>
      <c r="BG105" s="2">
        <v>6</v>
      </c>
      <c r="BH105" s="2">
        <v>7</v>
      </c>
      <c r="BI105" s="2">
        <v>8</v>
      </c>
      <c r="BJ105" s="2">
        <v>9</v>
      </c>
      <c r="BK105" s="2">
        <v>10</v>
      </c>
      <c r="BL105" s="2">
        <v>11</v>
      </c>
      <c r="BM105" s="2">
        <v>12</v>
      </c>
      <c r="BN105" s="2">
        <v>13</v>
      </c>
      <c r="BO105" s="2">
        <v>14</v>
      </c>
      <c r="CE105" t="str">
        <f t="shared" si="47"/>
        <v>DATA_Class_Base13</v>
      </c>
      <c r="CF105" s="6" t="s">
        <v>295</v>
      </c>
    </row>
    <row r="106" spans="1:84">
      <c r="A106">
        <f t="shared" si="41"/>
        <v>3052201</v>
      </c>
      <c r="B106" s="6" t="s">
        <v>296</v>
      </c>
      <c r="C106">
        <v>5</v>
      </c>
      <c r="D106">
        <v>2</v>
      </c>
      <c r="E106">
        <v>2</v>
      </c>
      <c r="F106" s="3" t="s">
        <v>1581</v>
      </c>
      <c r="G106" s="3" t="s">
        <v>1581</v>
      </c>
      <c r="H106">
        <v>0</v>
      </c>
      <c r="I106">
        <v>0</v>
      </c>
      <c r="J106">
        <v>0</v>
      </c>
      <c r="K106" s="8" t="s">
        <v>298</v>
      </c>
      <c r="L106" s="2">
        <f t="shared" si="42"/>
        <v>3</v>
      </c>
      <c r="M106" s="2">
        <f t="shared" si="40"/>
        <v>1.8</v>
      </c>
      <c r="N106" s="2">
        <f t="shared" si="40"/>
        <v>1.8</v>
      </c>
      <c r="O106" s="2">
        <v>10</v>
      </c>
      <c r="P106" s="2">
        <f t="shared" si="33"/>
        <v>107.52</v>
      </c>
      <c r="Q106" s="2">
        <f t="shared" si="33"/>
        <v>10.75</v>
      </c>
      <c r="R106" s="2">
        <f t="shared" si="33"/>
        <v>2194.29</v>
      </c>
      <c r="S106" s="2">
        <f t="shared" si="32"/>
        <v>219.43</v>
      </c>
      <c r="T106" s="2">
        <f t="shared" si="32"/>
        <v>35.840000000000003</v>
      </c>
      <c r="U106" s="2">
        <f t="shared" si="32"/>
        <v>3.58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3">
        <v>322011</v>
      </c>
      <c r="AB106" s="14" t="s">
        <v>375</v>
      </c>
      <c r="AC106" s="15" t="s">
        <v>889</v>
      </c>
      <c r="AD106" s="2">
        <v>3062201</v>
      </c>
      <c r="AE106" s="2">
        <v>12</v>
      </c>
      <c r="AF106" s="2">
        <v>1</v>
      </c>
      <c r="AG106" s="2">
        <f t="shared" si="53"/>
        <v>3052201</v>
      </c>
      <c r="AH106" s="2">
        <v>1</v>
      </c>
      <c r="AI106" s="2"/>
      <c r="AJ106">
        <v>1</v>
      </c>
      <c r="AK106" s="1">
        <f t="shared" si="34"/>
        <v>50.355132952302334</v>
      </c>
      <c r="AL106">
        <v>5</v>
      </c>
      <c r="AM106">
        <f t="shared" si="43"/>
        <v>107.52000000000001</v>
      </c>
      <c r="AN106">
        <f t="shared" si="44"/>
        <v>10.752000000000002</v>
      </c>
      <c r="AO106">
        <f t="shared" si="45"/>
        <v>2194.2857142857147</v>
      </c>
      <c r="AP106">
        <f t="shared" si="46"/>
        <v>219.42857142857147</v>
      </c>
      <c r="AQ106">
        <f t="shared" si="35"/>
        <v>35.840000000000003</v>
      </c>
      <c r="AR106">
        <f t="shared" si="36"/>
        <v>3.5840000000000005</v>
      </c>
      <c r="AS106">
        <f t="shared" si="37"/>
        <v>1.8</v>
      </c>
      <c r="AT106">
        <f t="shared" si="38"/>
        <v>1.8</v>
      </c>
      <c r="AU106">
        <f t="shared" si="39"/>
        <v>3</v>
      </c>
      <c r="AV106">
        <f t="shared" si="52"/>
        <v>2012</v>
      </c>
      <c r="AW106" s="1">
        <v>1</v>
      </c>
      <c r="AX106">
        <v>3</v>
      </c>
      <c r="AY106">
        <v>0</v>
      </c>
      <c r="BB106">
        <v>1.4</v>
      </c>
      <c r="BC106">
        <v>1.4</v>
      </c>
      <c r="BD106">
        <v>1.4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CE106" t="str">
        <f t="shared" si="47"/>
        <v>DATA_Class_Base14</v>
      </c>
      <c r="CF106" s="6" t="s">
        <v>300</v>
      </c>
    </row>
    <row r="107" spans="1:84">
      <c r="A107">
        <f t="shared" si="41"/>
        <v>3052202</v>
      </c>
      <c r="B107" s="6" t="s">
        <v>278</v>
      </c>
      <c r="C107">
        <v>5</v>
      </c>
      <c r="D107">
        <v>2</v>
      </c>
      <c r="E107">
        <v>2</v>
      </c>
      <c r="F107" s="3" t="s">
        <v>1582</v>
      </c>
      <c r="G107" s="3" t="s">
        <v>1582</v>
      </c>
      <c r="H107">
        <v>0</v>
      </c>
      <c r="I107">
        <v>0</v>
      </c>
      <c r="J107" s="2">
        <v>0</v>
      </c>
      <c r="K107" s="2" t="s">
        <v>280</v>
      </c>
      <c r="L107" s="2">
        <f t="shared" si="42"/>
        <v>3</v>
      </c>
      <c r="M107" s="2">
        <f t="shared" si="40"/>
        <v>1.8</v>
      </c>
      <c r="N107" s="2">
        <f t="shared" si="40"/>
        <v>2</v>
      </c>
      <c r="O107" s="2">
        <v>10</v>
      </c>
      <c r="P107" s="2">
        <f t="shared" si="33"/>
        <v>176.64</v>
      </c>
      <c r="Q107" s="2">
        <f t="shared" si="33"/>
        <v>17.66</v>
      </c>
      <c r="R107" s="2">
        <f t="shared" si="33"/>
        <v>1335.65</v>
      </c>
      <c r="S107" s="2">
        <f t="shared" si="32"/>
        <v>133.57</v>
      </c>
      <c r="T107" s="2">
        <f t="shared" si="32"/>
        <v>35.33</v>
      </c>
      <c r="U107" s="2">
        <f t="shared" si="32"/>
        <v>3.53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3">
        <v>322021</v>
      </c>
      <c r="AB107" s="14" t="s">
        <v>1560</v>
      </c>
      <c r="AC107" s="15" t="s">
        <v>889</v>
      </c>
      <c r="AD107" s="2">
        <v>3062202</v>
      </c>
      <c r="AE107" s="2">
        <v>12</v>
      </c>
      <c r="AF107" s="2">
        <v>1</v>
      </c>
      <c r="AG107" s="2">
        <f t="shared" si="53"/>
        <v>3052202</v>
      </c>
      <c r="AH107" s="2">
        <v>1</v>
      </c>
      <c r="AI107" s="2"/>
      <c r="AJ107">
        <v>1</v>
      </c>
      <c r="AK107" s="1">
        <f t="shared" si="34"/>
        <v>50.349416521108708</v>
      </c>
      <c r="AL107">
        <v>5</v>
      </c>
      <c r="AM107">
        <f t="shared" si="43"/>
        <v>176.64</v>
      </c>
      <c r="AN107">
        <f t="shared" si="44"/>
        <v>17.663999999999998</v>
      </c>
      <c r="AO107">
        <f t="shared" si="45"/>
        <v>1335.6521739130437</v>
      </c>
      <c r="AP107">
        <f t="shared" si="46"/>
        <v>133.56521739130437</v>
      </c>
      <c r="AQ107">
        <f t="shared" si="35"/>
        <v>35.327999999999996</v>
      </c>
      <c r="AR107">
        <f t="shared" si="36"/>
        <v>3.5327999999999999</v>
      </c>
      <c r="AS107">
        <f t="shared" si="37"/>
        <v>1.8</v>
      </c>
      <c r="AT107">
        <f t="shared" si="38"/>
        <v>2</v>
      </c>
      <c r="AU107">
        <f t="shared" si="39"/>
        <v>3</v>
      </c>
      <c r="AV107">
        <f t="shared" si="52"/>
        <v>2022</v>
      </c>
      <c r="AW107" s="1">
        <v>2</v>
      </c>
      <c r="AX107">
        <v>3</v>
      </c>
      <c r="AY107">
        <v>0</v>
      </c>
      <c r="CE107" t="str">
        <f t="shared" si="47"/>
        <v>DATA_Class_Base15</v>
      </c>
      <c r="CF107" s="6" t="s">
        <v>306</v>
      </c>
    </row>
    <row r="108" spans="1:84">
      <c r="A108">
        <f t="shared" si="41"/>
        <v>3052301</v>
      </c>
      <c r="B108" s="6" t="s">
        <v>283</v>
      </c>
      <c r="C108">
        <v>5</v>
      </c>
      <c r="D108">
        <v>3</v>
      </c>
      <c r="E108">
        <v>2</v>
      </c>
      <c r="F108" s="3" t="s">
        <v>1583</v>
      </c>
      <c r="G108" s="3" t="s">
        <v>1583</v>
      </c>
      <c r="H108">
        <v>0</v>
      </c>
      <c r="I108">
        <v>0</v>
      </c>
      <c r="J108">
        <v>0</v>
      </c>
      <c r="K108" s="2" t="s">
        <v>285</v>
      </c>
      <c r="L108" s="2">
        <f t="shared" si="42"/>
        <v>3</v>
      </c>
      <c r="M108" s="2">
        <f t="shared" si="40"/>
        <v>1.2</v>
      </c>
      <c r="N108" s="2">
        <f t="shared" si="40"/>
        <v>1.7</v>
      </c>
      <c r="O108" s="2">
        <v>10</v>
      </c>
      <c r="P108" s="2">
        <f t="shared" si="33"/>
        <v>133.12</v>
      </c>
      <c r="Q108" s="2">
        <f t="shared" si="33"/>
        <v>13.31</v>
      </c>
      <c r="R108" s="2">
        <f t="shared" si="33"/>
        <v>1181.54</v>
      </c>
      <c r="S108" s="2">
        <f t="shared" si="32"/>
        <v>118.15</v>
      </c>
      <c r="T108" s="2">
        <f t="shared" si="32"/>
        <v>22.19</v>
      </c>
      <c r="U108" s="2">
        <f t="shared" si="32"/>
        <v>2.2200000000000002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3">
        <v>323011</v>
      </c>
      <c r="AB108" s="14" t="s">
        <v>1561</v>
      </c>
      <c r="AC108" s="15" t="s">
        <v>889</v>
      </c>
      <c r="AD108" s="2">
        <v>3062301</v>
      </c>
      <c r="AE108" s="2">
        <v>12</v>
      </c>
      <c r="AF108" s="2">
        <v>1</v>
      </c>
      <c r="AG108" s="2">
        <f t="shared" si="53"/>
        <v>3052301</v>
      </c>
      <c r="AH108" s="2">
        <v>1</v>
      </c>
      <c r="AI108" s="2"/>
      <c r="AJ108">
        <v>1</v>
      </c>
      <c r="AK108" s="1">
        <f t="shared" si="34"/>
        <v>50.203137661803119</v>
      </c>
      <c r="AL108">
        <v>5</v>
      </c>
      <c r="AM108">
        <f t="shared" si="43"/>
        <v>133.12</v>
      </c>
      <c r="AN108">
        <f t="shared" si="44"/>
        <v>13.312000000000001</v>
      </c>
      <c r="AO108">
        <f t="shared" si="45"/>
        <v>1181.5384615384614</v>
      </c>
      <c r="AP108">
        <f t="shared" si="46"/>
        <v>118.15384615384615</v>
      </c>
      <c r="AQ108">
        <f t="shared" si="35"/>
        <v>22.186666666666667</v>
      </c>
      <c r="AR108">
        <f t="shared" si="36"/>
        <v>2.218666666666667</v>
      </c>
      <c r="AS108">
        <f t="shared" si="37"/>
        <v>1.2</v>
      </c>
      <c r="AT108">
        <f t="shared" si="38"/>
        <v>1.7</v>
      </c>
      <c r="AU108">
        <f t="shared" si="39"/>
        <v>3</v>
      </c>
      <c r="AV108">
        <f t="shared" si="52"/>
        <v>3012</v>
      </c>
      <c r="AW108" s="1">
        <v>1</v>
      </c>
      <c r="AX108">
        <v>3</v>
      </c>
      <c r="AY108">
        <v>0</v>
      </c>
      <c r="BA108" t="s">
        <v>409</v>
      </c>
      <c r="BB108">
        <v>1</v>
      </c>
      <c r="BC108" s="2">
        <v>2</v>
      </c>
      <c r="BD108" s="2">
        <v>3</v>
      </c>
      <c r="BE108" s="2">
        <v>4</v>
      </c>
      <c r="BF108" s="2">
        <v>5</v>
      </c>
      <c r="BG108" s="2">
        <v>6</v>
      </c>
      <c r="BH108" s="2">
        <v>7</v>
      </c>
      <c r="BI108" s="2">
        <v>8</v>
      </c>
      <c r="BJ108" s="2">
        <v>9</v>
      </c>
      <c r="BK108" s="2">
        <v>10</v>
      </c>
      <c r="BL108" s="2">
        <v>11</v>
      </c>
      <c r="BM108" s="2">
        <v>12</v>
      </c>
      <c r="BN108" s="2">
        <v>13</v>
      </c>
      <c r="BO108" s="2">
        <v>14</v>
      </c>
      <c r="CE108" t="str">
        <f t="shared" si="47"/>
        <v>DATA_Class_Base16</v>
      </c>
      <c r="CF108" s="6" t="s">
        <v>312</v>
      </c>
    </row>
    <row r="109" spans="1:84">
      <c r="A109">
        <f t="shared" si="41"/>
        <v>3052401</v>
      </c>
      <c r="B109" s="6" t="s">
        <v>317</v>
      </c>
      <c r="C109">
        <v>5</v>
      </c>
      <c r="D109">
        <v>4</v>
      </c>
      <c r="E109">
        <v>2</v>
      </c>
      <c r="F109" s="3" t="s">
        <v>1584</v>
      </c>
      <c r="G109" s="3" t="s">
        <v>1584</v>
      </c>
      <c r="H109">
        <v>0</v>
      </c>
      <c r="I109">
        <v>0</v>
      </c>
      <c r="J109" s="2">
        <v>0</v>
      </c>
      <c r="K109" s="2" t="s">
        <v>161</v>
      </c>
      <c r="L109" s="2">
        <f t="shared" si="42"/>
        <v>6</v>
      </c>
      <c r="M109" s="2">
        <f t="shared" si="40"/>
        <v>1.6</v>
      </c>
      <c r="N109" s="2">
        <f t="shared" si="40"/>
        <v>1.5</v>
      </c>
      <c r="O109" s="2">
        <v>10</v>
      </c>
      <c r="P109" s="2">
        <f t="shared" si="33"/>
        <v>177.49</v>
      </c>
      <c r="Q109" s="2">
        <f t="shared" si="33"/>
        <v>17.75</v>
      </c>
      <c r="R109" s="2">
        <f t="shared" si="33"/>
        <v>1181.54</v>
      </c>
      <c r="S109" s="2">
        <f t="shared" si="32"/>
        <v>118.15</v>
      </c>
      <c r="T109" s="2">
        <f t="shared" si="32"/>
        <v>19.72</v>
      </c>
      <c r="U109" s="2">
        <f t="shared" si="32"/>
        <v>1.97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3">
        <v>324011</v>
      </c>
      <c r="AB109" s="14" t="s">
        <v>1562</v>
      </c>
      <c r="AC109" s="15" t="s">
        <v>889</v>
      </c>
      <c r="AD109" s="2">
        <v>3062401</v>
      </c>
      <c r="AE109" s="2">
        <v>12</v>
      </c>
      <c r="AF109" s="2">
        <v>1</v>
      </c>
      <c r="AG109" s="2">
        <f t="shared" si="53"/>
        <v>3052401</v>
      </c>
      <c r="AH109" s="2">
        <v>1</v>
      </c>
      <c r="AI109" s="2"/>
      <c r="AJ109">
        <v>1</v>
      </c>
      <c r="AK109" s="1">
        <f t="shared" si="34"/>
        <v>50.175791808774598</v>
      </c>
      <c r="AL109">
        <v>5</v>
      </c>
      <c r="AM109">
        <f t="shared" si="43"/>
        <v>177.49333333333334</v>
      </c>
      <c r="AN109">
        <f t="shared" si="44"/>
        <v>17.749333333333336</v>
      </c>
      <c r="AO109">
        <f t="shared" si="45"/>
        <v>1181.5384615384614</v>
      </c>
      <c r="AP109">
        <f t="shared" si="46"/>
        <v>118.15384615384615</v>
      </c>
      <c r="AQ109">
        <f t="shared" si="35"/>
        <v>19.721481481481483</v>
      </c>
      <c r="AR109">
        <f t="shared" si="36"/>
        <v>1.9721481481481484</v>
      </c>
      <c r="AS109">
        <f t="shared" si="37"/>
        <v>1.6</v>
      </c>
      <c r="AT109">
        <f t="shared" si="38"/>
        <v>1.5</v>
      </c>
      <c r="AU109">
        <f t="shared" si="39"/>
        <v>6</v>
      </c>
      <c r="AV109">
        <f t="shared" si="52"/>
        <v>4012</v>
      </c>
      <c r="AW109" s="1">
        <v>1</v>
      </c>
      <c r="AX109">
        <v>3</v>
      </c>
      <c r="AY109">
        <v>0</v>
      </c>
      <c r="BB109">
        <v>1</v>
      </c>
      <c r="BC109" s="2">
        <v>1.1000000000000001</v>
      </c>
      <c r="BD109">
        <v>1.2</v>
      </c>
      <c r="BE109" s="2">
        <v>1.4</v>
      </c>
      <c r="BF109">
        <v>1.6</v>
      </c>
      <c r="BG109" s="2">
        <v>1.8</v>
      </c>
      <c r="BH109">
        <v>2</v>
      </c>
      <c r="BI109" s="2">
        <v>2.2000000000000002</v>
      </c>
      <c r="BJ109">
        <v>2.4</v>
      </c>
      <c r="BK109" s="2">
        <v>2.6</v>
      </c>
      <c r="BL109">
        <v>2.8</v>
      </c>
      <c r="BM109" s="2">
        <v>3</v>
      </c>
      <c r="BN109">
        <v>3.2</v>
      </c>
      <c r="BO109" s="2">
        <v>3.4</v>
      </c>
      <c r="CE109" t="str">
        <f t="shared" si="47"/>
        <v>DATA_Class_Base17</v>
      </c>
      <c r="CF109" s="6" t="s">
        <v>318</v>
      </c>
    </row>
    <row r="110" spans="1:84">
      <c r="A110">
        <f t="shared" si="41"/>
        <v>3052402</v>
      </c>
      <c r="B110" s="6" t="s">
        <v>323</v>
      </c>
      <c r="C110">
        <v>5</v>
      </c>
      <c r="D110">
        <v>4</v>
      </c>
      <c r="E110">
        <v>2</v>
      </c>
      <c r="F110" s="3" t="s">
        <v>1585</v>
      </c>
      <c r="G110" s="3" t="s">
        <v>1585</v>
      </c>
      <c r="H110">
        <v>0</v>
      </c>
      <c r="I110">
        <v>0</v>
      </c>
      <c r="J110">
        <v>0</v>
      </c>
      <c r="K110" s="2" t="s">
        <v>250</v>
      </c>
      <c r="L110" s="2">
        <f t="shared" si="42"/>
        <v>6</v>
      </c>
      <c r="M110" s="2">
        <f t="shared" si="40"/>
        <v>1.5</v>
      </c>
      <c r="N110" s="2">
        <f t="shared" si="40"/>
        <v>1.5</v>
      </c>
      <c r="O110" s="2">
        <v>10</v>
      </c>
      <c r="P110" s="2">
        <f t="shared" si="33"/>
        <v>179.2</v>
      </c>
      <c r="Q110" s="2">
        <f t="shared" si="33"/>
        <v>17.920000000000002</v>
      </c>
      <c r="R110" s="2">
        <f t="shared" si="33"/>
        <v>1097.1400000000001</v>
      </c>
      <c r="S110" s="2">
        <f t="shared" si="32"/>
        <v>109.71</v>
      </c>
      <c r="T110" s="2">
        <f t="shared" si="32"/>
        <v>22.4</v>
      </c>
      <c r="U110" s="2">
        <f t="shared" si="32"/>
        <v>2.2400000000000002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3">
        <v>324021</v>
      </c>
      <c r="AB110" s="14" t="s">
        <v>1563</v>
      </c>
      <c r="AC110" s="15" t="s">
        <v>889</v>
      </c>
      <c r="AD110" s="2">
        <v>3062402</v>
      </c>
      <c r="AE110" s="2">
        <v>12</v>
      </c>
      <c r="AF110" s="2">
        <v>1</v>
      </c>
      <c r="AG110" s="2">
        <f t="shared" si="53"/>
        <v>3052402</v>
      </c>
      <c r="AH110" s="2">
        <v>1</v>
      </c>
      <c r="AI110" s="2"/>
      <c r="AJ110">
        <v>1</v>
      </c>
      <c r="AK110" s="1">
        <f t="shared" si="34"/>
        <v>50.205505531258048</v>
      </c>
      <c r="AL110">
        <v>5</v>
      </c>
      <c r="AM110">
        <f t="shared" si="43"/>
        <v>179.19999999999996</v>
      </c>
      <c r="AN110">
        <f t="shared" si="44"/>
        <v>17.919999999999998</v>
      </c>
      <c r="AO110">
        <f t="shared" si="45"/>
        <v>1097.1428571428573</v>
      </c>
      <c r="AP110">
        <f t="shared" si="46"/>
        <v>109.71428571428574</v>
      </c>
      <c r="AQ110">
        <f t="shared" si="35"/>
        <v>22.399999999999995</v>
      </c>
      <c r="AR110">
        <f t="shared" si="36"/>
        <v>2.2399999999999998</v>
      </c>
      <c r="AS110">
        <f t="shared" si="37"/>
        <v>1.5</v>
      </c>
      <c r="AT110">
        <f t="shared" si="38"/>
        <v>1.5</v>
      </c>
      <c r="AU110">
        <f t="shared" si="39"/>
        <v>6</v>
      </c>
      <c r="AV110">
        <f t="shared" si="52"/>
        <v>4022</v>
      </c>
      <c r="AW110" s="1">
        <v>2</v>
      </c>
      <c r="AX110">
        <v>3</v>
      </c>
      <c r="AY110">
        <v>0</v>
      </c>
      <c r="BC110" s="2"/>
      <c r="BG110" s="2"/>
      <c r="CE110" t="str">
        <f t="shared" si="47"/>
        <v>DATA_Class_Base18</v>
      </c>
      <c r="CF110" s="6" t="s">
        <v>324</v>
      </c>
    </row>
    <row r="111" spans="1:84">
      <c r="A111">
        <f t="shared" si="41"/>
        <v>3052500</v>
      </c>
      <c r="B111" s="6" t="s">
        <v>301</v>
      </c>
      <c r="C111">
        <v>5</v>
      </c>
      <c r="D111">
        <v>5</v>
      </c>
      <c r="E111">
        <v>2</v>
      </c>
      <c r="F111" s="3" t="s">
        <v>1586</v>
      </c>
      <c r="G111" s="3" t="s">
        <v>1586</v>
      </c>
      <c r="H111">
        <v>0</v>
      </c>
      <c r="I111">
        <v>0</v>
      </c>
      <c r="J111" s="2">
        <v>0</v>
      </c>
      <c r="K111" s="2" t="s">
        <v>303</v>
      </c>
      <c r="L111" s="2">
        <f t="shared" si="42"/>
        <v>6</v>
      </c>
      <c r="M111" s="2">
        <f t="shared" si="40"/>
        <v>1.5</v>
      </c>
      <c r="N111" s="2">
        <f t="shared" si="40"/>
        <v>2</v>
      </c>
      <c r="O111" s="2">
        <v>10</v>
      </c>
      <c r="P111" s="2">
        <f t="shared" si="33"/>
        <v>192</v>
      </c>
      <c r="Q111" s="2">
        <f t="shared" si="33"/>
        <v>19.2</v>
      </c>
      <c r="R111" s="2">
        <f t="shared" si="33"/>
        <v>1024</v>
      </c>
      <c r="S111" s="2">
        <f t="shared" si="32"/>
        <v>102.4</v>
      </c>
      <c r="T111" s="2">
        <f t="shared" si="32"/>
        <v>21.33</v>
      </c>
      <c r="U111" s="2">
        <f t="shared" si="32"/>
        <v>2.13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3">
        <v>325001</v>
      </c>
      <c r="AB111" s="14" t="s">
        <v>379</v>
      </c>
      <c r="AC111" s="15" t="s">
        <v>889</v>
      </c>
      <c r="AD111" s="2">
        <v>3062500</v>
      </c>
      <c r="AE111" s="2">
        <v>12</v>
      </c>
      <c r="AF111" s="2">
        <v>1</v>
      </c>
      <c r="AG111" s="2">
        <f t="shared" si="53"/>
        <v>3052500</v>
      </c>
      <c r="AH111" s="2">
        <v>1</v>
      </c>
      <c r="AI111" s="2"/>
      <c r="AJ111">
        <v>1</v>
      </c>
      <c r="AK111" s="1">
        <f t="shared" si="34"/>
        <v>50.193668417104277</v>
      </c>
      <c r="AL111">
        <v>5</v>
      </c>
      <c r="AM111">
        <f t="shared" si="43"/>
        <v>192</v>
      </c>
      <c r="AN111">
        <f t="shared" si="44"/>
        <v>19.200000000000003</v>
      </c>
      <c r="AO111">
        <f t="shared" si="45"/>
        <v>1024</v>
      </c>
      <c r="AP111">
        <f t="shared" si="46"/>
        <v>102.4</v>
      </c>
      <c r="AQ111">
        <f t="shared" si="35"/>
        <v>21.333333333333332</v>
      </c>
      <c r="AR111">
        <f t="shared" si="36"/>
        <v>2.1333333333333333</v>
      </c>
      <c r="AS111">
        <f t="shared" si="37"/>
        <v>1.5</v>
      </c>
      <c r="AT111">
        <f t="shared" si="38"/>
        <v>2</v>
      </c>
      <c r="AU111">
        <f t="shared" si="39"/>
        <v>6</v>
      </c>
      <c r="AV111">
        <f t="shared" si="52"/>
        <v>5002</v>
      </c>
      <c r="AW111" s="1">
        <v>0</v>
      </c>
      <c r="AX111">
        <v>3</v>
      </c>
      <c r="AY111">
        <v>0</v>
      </c>
      <c r="BG111" s="2"/>
      <c r="CE111" t="str">
        <f t="shared" si="47"/>
        <v>DATA_Class_Base19</v>
      </c>
      <c r="CF111" s="6" t="s">
        <v>331</v>
      </c>
    </row>
    <row r="112" spans="1:84">
      <c r="A112">
        <f t="shared" si="41"/>
        <v>3052502</v>
      </c>
      <c r="B112" s="6" t="s">
        <v>289</v>
      </c>
      <c r="C112">
        <v>5</v>
      </c>
      <c r="D112">
        <v>5</v>
      </c>
      <c r="E112">
        <v>2</v>
      </c>
      <c r="F112" s="3" t="s">
        <v>1587</v>
      </c>
      <c r="G112" s="3" t="s">
        <v>1587</v>
      </c>
      <c r="H112">
        <v>0</v>
      </c>
      <c r="I112">
        <v>0</v>
      </c>
      <c r="J112" s="2">
        <v>0</v>
      </c>
      <c r="K112" s="2" t="s">
        <v>291</v>
      </c>
      <c r="L112" s="2">
        <f t="shared" si="42"/>
        <v>6</v>
      </c>
      <c r="M112" s="2">
        <f t="shared" si="40"/>
        <v>1.4000000000000001</v>
      </c>
      <c r="N112" s="2">
        <f t="shared" si="40"/>
        <v>2</v>
      </c>
      <c r="O112" s="2">
        <v>10</v>
      </c>
      <c r="P112" s="2">
        <f t="shared" si="33"/>
        <v>185.17</v>
      </c>
      <c r="Q112" s="2">
        <f t="shared" si="33"/>
        <v>18.52</v>
      </c>
      <c r="R112" s="2">
        <f t="shared" si="33"/>
        <v>990.97</v>
      </c>
      <c r="S112" s="2">
        <f t="shared" si="32"/>
        <v>99.1</v>
      </c>
      <c r="T112" s="2">
        <f t="shared" si="32"/>
        <v>18.52</v>
      </c>
      <c r="U112" s="2">
        <f t="shared" si="32"/>
        <v>1.85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3">
        <v>325021</v>
      </c>
      <c r="AB112" s="14" t="s">
        <v>1564</v>
      </c>
      <c r="AC112" s="15" t="s">
        <v>889</v>
      </c>
      <c r="AD112" s="2">
        <v>3062502</v>
      </c>
      <c r="AE112" s="2">
        <v>12</v>
      </c>
      <c r="AF112" s="2">
        <v>1</v>
      </c>
      <c r="AG112" s="2">
        <f t="shared" si="53"/>
        <v>3052502</v>
      </c>
      <c r="AH112" s="2">
        <v>1</v>
      </c>
      <c r="AI112" s="2"/>
      <c r="AJ112">
        <v>1</v>
      </c>
      <c r="AK112" s="1">
        <f t="shared" si="34"/>
        <v>50.162445238244167</v>
      </c>
      <c r="AL112">
        <v>5</v>
      </c>
      <c r="AM112">
        <f t="shared" si="43"/>
        <v>185.17333333333332</v>
      </c>
      <c r="AN112">
        <f t="shared" si="44"/>
        <v>18.517333333333333</v>
      </c>
      <c r="AO112">
        <f t="shared" si="45"/>
        <v>990.9677419354839</v>
      </c>
      <c r="AP112">
        <f t="shared" si="46"/>
        <v>99.096774193548399</v>
      </c>
      <c r="AQ112">
        <f t="shared" si="35"/>
        <v>18.517333333333333</v>
      </c>
      <c r="AR112">
        <f t="shared" si="36"/>
        <v>1.8517333333333335</v>
      </c>
      <c r="AS112">
        <f t="shared" si="37"/>
        <v>1.4</v>
      </c>
      <c r="AT112">
        <f t="shared" si="38"/>
        <v>2</v>
      </c>
      <c r="AU112">
        <f t="shared" si="39"/>
        <v>6</v>
      </c>
      <c r="AV112">
        <f t="shared" si="52"/>
        <v>5022</v>
      </c>
      <c r="AW112" s="1">
        <v>2</v>
      </c>
      <c r="AX112">
        <v>3</v>
      </c>
      <c r="AY112">
        <v>0</v>
      </c>
      <c r="BB112" s="3" t="s">
        <v>45</v>
      </c>
      <c r="BC112" s="3" t="s">
        <v>75</v>
      </c>
      <c r="BD112" s="3" t="s">
        <v>416</v>
      </c>
      <c r="BE112" s="3" t="s">
        <v>417</v>
      </c>
      <c r="BF112" s="3" t="s">
        <v>418</v>
      </c>
      <c r="BG112" s="3" t="s">
        <v>419</v>
      </c>
      <c r="BH112" s="24" t="s">
        <v>420</v>
      </c>
      <c r="BI112" s="3" t="s">
        <v>417</v>
      </c>
      <c r="BJ112" s="3" t="s">
        <v>418</v>
      </c>
      <c r="BK112" s="3" t="s">
        <v>419</v>
      </c>
      <c r="BR112" t="s">
        <v>415</v>
      </c>
      <c r="CE112" t="str">
        <f t="shared" si="47"/>
        <v>DATA_Class_Base20</v>
      </c>
      <c r="CF112" s="6" t="s">
        <v>336</v>
      </c>
    </row>
    <row r="113" spans="1:84">
      <c r="A113">
        <f t="shared" si="41"/>
        <v>3052601</v>
      </c>
      <c r="B113" s="6" t="s">
        <v>307</v>
      </c>
      <c r="C113">
        <v>5</v>
      </c>
      <c r="D113">
        <v>6</v>
      </c>
      <c r="E113">
        <v>2</v>
      </c>
      <c r="F113" s="3" t="s">
        <v>1588</v>
      </c>
      <c r="G113" s="3" t="s">
        <v>1588</v>
      </c>
      <c r="H113">
        <v>0</v>
      </c>
      <c r="I113">
        <v>0</v>
      </c>
      <c r="J113" s="2">
        <v>0</v>
      </c>
      <c r="K113" s="2" t="s">
        <v>309</v>
      </c>
      <c r="L113" s="2">
        <f t="shared" si="42"/>
        <v>6</v>
      </c>
      <c r="M113" s="2">
        <f t="shared" si="40"/>
        <v>1.5</v>
      </c>
      <c r="N113" s="2">
        <f t="shared" si="40"/>
        <v>2</v>
      </c>
      <c r="O113" s="2">
        <v>10</v>
      </c>
      <c r="P113" s="2">
        <f t="shared" si="33"/>
        <v>140.80000000000001</v>
      </c>
      <c r="Q113" s="2">
        <f t="shared" si="33"/>
        <v>14.08</v>
      </c>
      <c r="R113" s="2">
        <f t="shared" si="33"/>
        <v>1396.36</v>
      </c>
      <c r="S113" s="2">
        <f t="shared" si="32"/>
        <v>139.63999999999999</v>
      </c>
      <c r="T113" s="2">
        <f t="shared" si="32"/>
        <v>28.16</v>
      </c>
      <c r="U113" s="2">
        <f t="shared" si="32"/>
        <v>2.82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3">
        <v>326011</v>
      </c>
      <c r="AB113" s="14" t="s">
        <v>382</v>
      </c>
      <c r="AC113" s="15" t="s">
        <v>889</v>
      </c>
      <c r="AD113" s="2">
        <v>3062601</v>
      </c>
      <c r="AE113" s="2">
        <v>12</v>
      </c>
      <c r="AF113" s="2">
        <v>1</v>
      </c>
      <c r="AG113" s="2">
        <f t="shared" si="53"/>
        <v>3052601</v>
      </c>
      <c r="AH113" s="2">
        <v>1</v>
      </c>
      <c r="AI113" s="2"/>
      <c r="AJ113">
        <v>1</v>
      </c>
      <c r="AK113" s="1">
        <f t="shared" si="34"/>
        <v>50.269522546077475</v>
      </c>
      <c r="AL113">
        <v>5</v>
      </c>
      <c r="AM113">
        <f t="shared" si="43"/>
        <v>140.80000000000001</v>
      </c>
      <c r="AN113">
        <f t="shared" si="44"/>
        <v>14.080000000000002</v>
      </c>
      <c r="AO113">
        <f t="shared" si="45"/>
        <v>1396.3636363636365</v>
      </c>
      <c r="AP113">
        <f t="shared" si="46"/>
        <v>139.63636363636365</v>
      </c>
      <c r="AQ113">
        <f t="shared" si="35"/>
        <v>28.160000000000004</v>
      </c>
      <c r="AR113">
        <f t="shared" si="36"/>
        <v>2.8160000000000007</v>
      </c>
      <c r="AS113">
        <f t="shared" si="37"/>
        <v>1.5</v>
      </c>
      <c r="AT113">
        <f t="shared" si="38"/>
        <v>2</v>
      </c>
      <c r="AU113">
        <f t="shared" si="39"/>
        <v>6</v>
      </c>
      <c r="AV113">
        <f t="shared" si="52"/>
        <v>6012</v>
      </c>
      <c r="AW113" s="1">
        <v>1</v>
      </c>
      <c r="AX113">
        <v>3</v>
      </c>
      <c r="AY113">
        <v>0</v>
      </c>
      <c r="BA113" s="3" t="s">
        <v>421</v>
      </c>
      <c r="BB113">
        <v>3</v>
      </c>
      <c r="BC113">
        <v>1</v>
      </c>
      <c r="BD113">
        <v>0</v>
      </c>
      <c r="BE113">
        <f t="shared" ref="BE113:BG123" si="54">((BF$4*INDEX($BB$109:$BO$109,MATCH($BB113,$BB$108:$BO$108,0)))+BF$4*INDEX($BB$109:$BO$109,MATCH($BB113,$BB$108:$BO$108,0))*0.1*$BC113)*(1+$BD113*0.2)</f>
        <v>105.6</v>
      </c>
      <c r="BF113">
        <f t="shared" si="54"/>
        <v>1267.2</v>
      </c>
      <c r="BG113">
        <f t="shared" si="54"/>
        <v>26.4</v>
      </c>
      <c r="BI113">
        <f>BE113*0.2</f>
        <v>21.12</v>
      </c>
      <c r="BJ113">
        <f>BF113*0.2</f>
        <v>253.44000000000003</v>
      </c>
      <c r="BK113">
        <f>BG113*0.2</f>
        <v>5.28</v>
      </c>
      <c r="BR113" t="e">
        <f>#REF!/#REF!</f>
        <v>#REF!</v>
      </c>
      <c r="CE113" t="str">
        <f t="shared" si="47"/>
        <v>DATA_Class_Base21</v>
      </c>
      <c r="CF113" s="6" t="s">
        <v>342</v>
      </c>
    </row>
    <row r="114" spans="1:84">
      <c r="A114">
        <f t="shared" si="41"/>
        <v>3053200</v>
      </c>
      <c r="B114" s="6" t="s">
        <v>294</v>
      </c>
      <c r="C114">
        <v>5</v>
      </c>
      <c r="D114">
        <v>2</v>
      </c>
      <c r="E114">
        <v>3</v>
      </c>
      <c r="F114" s="3" t="s">
        <v>1589</v>
      </c>
      <c r="G114" s="3" t="s">
        <v>1589</v>
      </c>
      <c r="H114">
        <v>0</v>
      </c>
      <c r="I114">
        <v>0</v>
      </c>
      <c r="J114">
        <v>0</v>
      </c>
      <c r="K114" s="2" t="s">
        <v>314</v>
      </c>
      <c r="L114" s="2">
        <f t="shared" si="42"/>
        <v>3</v>
      </c>
      <c r="M114" s="2">
        <f t="shared" si="40"/>
        <v>1.5</v>
      </c>
      <c r="N114" s="2">
        <f t="shared" si="40"/>
        <v>1.2</v>
      </c>
      <c r="O114" s="2">
        <v>10</v>
      </c>
      <c r="P114" s="2">
        <f t="shared" si="33"/>
        <v>89.6</v>
      </c>
      <c r="Q114" s="2">
        <f t="shared" si="33"/>
        <v>8.9600000000000009</v>
      </c>
      <c r="R114" s="2">
        <f t="shared" si="33"/>
        <v>2194.29</v>
      </c>
      <c r="S114" s="2">
        <f t="shared" si="32"/>
        <v>219.43</v>
      </c>
      <c r="T114" s="2">
        <f t="shared" si="32"/>
        <v>44.8</v>
      </c>
      <c r="U114" s="2">
        <f t="shared" si="32"/>
        <v>4.4800000000000004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3">
        <v>332001</v>
      </c>
      <c r="AB114" s="14" t="s">
        <v>385</v>
      </c>
      <c r="AC114" s="15" t="s">
        <v>889</v>
      </c>
      <c r="AD114" s="2">
        <v>3063200</v>
      </c>
      <c r="AE114" s="2">
        <v>12</v>
      </c>
      <c r="AF114" s="2">
        <v>1</v>
      </c>
      <c r="AG114" s="2">
        <f t="shared" si="53"/>
        <v>3053200</v>
      </c>
      <c r="AH114" s="2">
        <v>1</v>
      </c>
      <c r="AI114" s="2"/>
      <c r="AJ114">
        <v>1</v>
      </c>
      <c r="AK114" s="1">
        <f t="shared" si="34"/>
        <v>50.45538103548575</v>
      </c>
      <c r="AL114">
        <v>5</v>
      </c>
      <c r="AM114">
        <f t="shared" si="43"/>
        <v>89.59999999999998</v>
      </c>
      <c r="AN114">
        <f t="shared" si="44"/>
        <v>8.9599999999999991</v>
      </c>
      <c r="AO114">
        <f t="shared" si="45"/>
        <v>2194.2857142857147</v>
      </c>
      <c r="AP114">
        <f t="shared" si="46"/>
        <v>219.42857142857147</v>
      </c>
      <c r="AQ114">
        <f t="shared" si="35"/>
        <v>44.79999999999999</v>
      </c>
      <c r="AR114">
        <f t="shared" si="36"/>
        <v>4.4799999999999995</v>
      </c>
      <c r="AS114">
        <f t="shared" si="37"/>
        <v>1.5</v>
      </c>
      <c r="AT114">
        <f t="shared" si="38"/>
        <v>1.2</v>
      </c>
      <c r="AU114">
        <f t="shared" si="39"/>
        <v>3</v>
      </c>
      <c r="AV114">
        <f t="shared" si="52"/>
        <v>2003</v>
      </c>
      <c r="AW114" s="1">
        <v>0</v>
      </c>
      <c r="AX114">
        <v>3</v>
      </c>
      <c r="AY114">
        <v>0</v>
      </c>
      <c r="BB114">
        <v>4</v>
      </c>
      <c r="BC114">
        <v>1</v>
      </c>
      <c r="BD114">
        <v>0</v>
      </c>
      <c r="BE114">
        <f t="shared" si="54"/>
        <v>123.2</v>
      </c>
      <c r="BF114">
        <f t="shared" si="54"/>
        <v>1478.4</v>
      </c>
      <c r="BG114">
        <f t="shared" si="54"/>
        <v>30.8</v>
      </c>
      <c r="BI114">
        <f t="shared" ref="BI114:BK123" si="55">BE114*0.2</f>
        <v>24.64</v>
      </c>
      <c r="BJ114">
        <f t="shared" si="55"/>
        <v>295.68</v>
      </c>
      <c r="BK114">
        <f t="shared" si="55"/>
        <v>6.16</v>
      </c>
      <c r="CE114" t="str">
        <f t="shared" si="47"/>
        <v>DATA_Class_Base13</v>
      </c>
      <c r="CF114" s="6" t="s">
        <v>295</v>
      </c>
    </row>
    <row r="115" spans="1:84">
      <c r="A115">
        <f t="shared" si="41"/>
        <v>3053201</v>
      </c>
      <c r="B115" s="6" t="s">
        <v>296</v>
      </c>
      <c r="C115">
        <v>5</v>
      </c>
      <c r="D115">
        <v>2</v>
      </c>
      <c r="E115">
        <v>3</v>
      </c>
      <c r="F115" s="3" t="s">
        <v>1590</v>
      </c>
      <c r="G115" s="3" t="s">
        <v>1590</v>
      </c>
      <c r="H115">
        <v>0</v>
      </c>
      <c r="I115">
        <v>0</v>
      </c>
      <c r="J115" s="2">
        <v>0</v>
      </c>
      <c r="K115" s="8" t="s">
        <v>298</v>
      </c>
      <c r="L115" s="2">
        <f t="shared" si="42"/>
        <v>3</v>
      </c>
      <c r="M115" s="2">
        <f t="shared" si="40"/>
        <v>1.8</v>
      </c>
      <c r="N115" s="2">
        <f t="shared" si="40"/>
        <v>1.8</v>
      </c>
      <c r="O115" s="2">
        <v>10</v>
      </c>
      <c r="P115" s="2">
        <f t="shared" si="33"/>
        <v>92.16</v>
      </c>
      <c r="Q115" s="2">
        <f t="shared" si="33"/>
        <v>9.2200000000000006</v>
      </c>
      <c r="R115" s="2">
        <f t="shared" si="33"/>
        <v>2560</v>
      </c>
      <c r="S115" s="2">
        <f t="shared" si="33"/>
        <v>256</v>
      </c>
      <c r="T115" s="2">
        <f t="shared" si="33"/>
        <v>51.2</v>
      </c>
      <c r="U115" s="2">
        <f t="shared" si="33"/>
        <v>5.12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3">
        <v>332011</v>
      </c>
      <c r="AB115" s="14" t="s">
        <v>1565</v>
      </c>
      <c r="AC115" s="15" t="s">
        <v>889</v>
      </c>
      <c r="AD115" s="2">
        <v>3063201</v>
      </c>
      <c r="AE115" s="2">
        <v>12</v>
      </c>
      <c r="AF115" s="2">
        <v>1</v>
      </c>
      <c r="AG115" s="2">
        <f t="shared" si="53"/>
        <v>3053201</v>
      </c>
      <c r="AH115" s="2">
        <v>1</v>
      </c>
      <c r="AI115" s="2"/>
      <c r="AJ115">
        <v>1</v>
      </c>
      <c r="AK115" s="1">
        <f t="shared" si="34"/>
        <v>50.527231536021773</v>
      </c>
      <c r="AL115">
        <v>5</v>
      </c>
      <c r="AM115">
        <f t="shared" si="43"/>
        <v>92.160000000000025</v>
      </c>
      <c r="AN115">
        <f t="shared" si="44"/>
        <v>9.2160000000000029</v>
      </c>
      <c r="AO115">
        <f t="shared" si="45"/>
        <v>2560</v>
      </c>
      <c r="AP115">
        <f t="shared" si="46"/>
        <v>256</v>
      </c>
      <c r="AQ115">
        <f t="shared" si="35"/>
        <v>51.20000000000001</v>
      </c>
      <c r="AR115">
        <f t="shared" si="36"/>
        <v>5.120000000000001</v>
      </c>
      <c r="AS115">
        <f t="shared" si="37"/>
        <v>1.8</v>
      </c>
      <c r="AT115">
        <f t="shared" si="38"/>
        <v>1.8</v>
      </c>
      <c r="AU115">
        <f t="shared" si="39"/>
        <v>3</v>
      </c>
      <c r="AV115">
        <f t="shared" si="52"/>
        <v>2013</v>
      </c>
      <c r="AW115" s="1">
        <v>1</v>
      </c>
      <c r="AX115">
        <v>3</v>
      </c>
      <c r="AY115">
        <v>0</v>
      </c>
      <c r="BB115">
        <v>5</v>
      </c>
      <c r="BC115">
        <v>46</v>
      </c>
      <c r="BD115">
        <v>3</v>
      </c>
      <c r="BE115">
        <f t="shared" si="54"/>
        <v>1146.8800000000001</v>
      </c>
      <c r="BF115">
        <f t="shared" si="54"/>
        <v>13762.560000000005</v>
      </c>
      <c r="BG115">
        <f t="shared" si="54"/>
        <v>286.72000000000003</v>
      </c>
      <c r="BI115">
        <f t="shared" si="55"/>
        <v>229.37600000000003</v>
      </c>
      <c r="BJ115">
        <f t="shared" si="55"/>
        <v>2752.5120000000011</v>
      </c>
      <c r="BK115">
        <f t="shared" si="55"/>
        <v>57.344000000000008</v>
      </c>
      <c r="CE115" t="str">
        <f t="shared" si="47"/>
        <v>DATA_Class_Base14</v>
      </c>
      <c r="CF115" s="6" t="s">
        <v>300</v>
      </c>
    </row>
    <row r="116" spans="1:84">
      <c r="A116">
        <f t="shared" si="41"/>
        <v>3053202</v>
      </c>
      <c r="B116" s="6" t="s">
        <v>278</v>
      </c>
      <c r="C116">
        <v>5</v>
      </c>
      <c r="D116">
        <v>2</v>
      </c>
      <c r="E116">
        <v>3</v>
      </c>
      <c r="F116" s="3" t="s">
        <v>1591</v>
      </c>
      <c r="G116" s="3" t="s">
        <v>1591</v>
      </c>
      <c r="H116">
        <v>0</v>
      </c>
      <c r="I116">
        <v>0</v>
      </c>
      <c r="J116">
        <v>0</v>
      </c>
      <c r="K116" s="2" t="s">
        <v>280</v>
      </c>
      <c r="L116" s="2">
        <f t="shared" si="42"/>
        <v>3</v>
      </c>
      <c r="M116" s="2">
        <f t="shared" si="40"/>
        <v>1.8</v>
      </c>
      <c r="N116" s="2">
        <f t="shared" si="40"/>
        <v>2</v>
      </c>
      <c r="O116" s="2">
        <v>10</v>
      </c>
      <c r="P116" s="2">
        <f t="shared" ref="P116:U158" si="56">ROUND(AM116*(1+$AY116),2)</f>
        <v>138.24</v>
      </c>
      <c r="Q116" s="2">
        <f t="shared" si="56"/>
        <v>13.82</v>
      </c>
      <c r="R116" s="2">
        <f t="shared" si="56"/>
        <v>1706.67</v>
      </c>
      <c r="S116" s="2">
        <f t="shared" si="56"/>
        <v>170.67</v>
      </c>
      <c r="T116" s="2">
        <f t="shared" si="56"/>
        <v>46.08</v>
      </c>
      <c r="U116" s="2">
        <f t="shared" si="56"/>
        <v>4.6100000000000003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3">
        <v>332021</v>
      </c>
      <c r="AB116" s="14" t="s">
        <v>1566</v>
      </c>
      <c r="AC116" s="15" t="s">
        <v>889</v>
      </c>
      <c r="AD116" s="2">
        <v>3063202</v>
      </c>
      <c r="AE116" s="2">
        <v>12</v>
      </c>
      <c r="AF116" s="2">
        <v>1</v>
      </c>
      <c r="AG116" s="2">
        <f t="shared" si="53"/>
        <v>3053202</v>
      </c>
      <c r="AH116" s="2">
        <v>1</v>
      </c>
      <c r="AI116" s="2"/>
      <c r="AJ116">
        <v>1</v>
      </c>
      <c r="AK116" s="1">
        <f t="shared" si="34"/>
        <v>50.469734783339604</v>
      </c>
      <c r="AL116">
        <v>5</v>
      </c>
      <c r="AM116">
        <f t="shared" si="43"/>
        <v>138.24</v>
      </c>
      <c r="AN116">
        <f t="shared" si="44"/>
        <v>13.824000000000002</v>
      </c>
      <c r="AO116">
        <f t="shared" si="45"/>
        <v>1706.666666666667</v>
      </c>
      <c r="AP116">
        <f t="shared" si="46"/>
        <v>170.66666666666671</v>
      </c>
      <c r="AQ116">
        <f t="shared" si="35"/>
        <v>46.080000000000005</v>
      </c>
      <c r="AR116">
        <f t="shared" si="36"/>
        <v>4.6080000000000005</v>
      </c>
      <c r="AS116">
        <f t="shared" si="37"/>
        <v>1.8</v>
      </c>
      <c r="AT116">
        <f t="shared" si="38"/>
        <v>2</v>
      </c>
      <c r="AU116">
        <f t="shared" si="39"/>
        <v>3</v>
      </c>
      <c r="AV116">
        <f t="shared" si="52"/>
        <v>2023</v>
      </c>
      <c r="AW116" s="1">
        <v>2</v>
      </c>
      <c r="AX116">
        <v>3</v>
      </c>
      <c r="AY116">
        <v>0</v>
      </c>
      <c r="BB116">
        <v>6</v>
      </c>
      <c r="BC116">
        <v>1</v>
      </c>
      <c r="BD116">
        <v>0</v>
      </c>
      <c r="BE116">
        <f t="shared" si="54"/>
        <v>158.4</v>
      </c>
      <c r="BF116">
        <f t="shared" si="54"/>
        <v>1900.8</v>
      </c>
      <c r="BG116">
        <f t="shared" si="54"/>
        <v>39.6</v>
      </c>
      <c r="BI116">
        <f t="shared" si="55"/>
        <v>31.680000000000003</v>
      </c>
      <c r="BJ116">
        <f t="shared" si="55"/>
        <v>380.16</v>
      </c>
      <c r="BK116">
        <f t="shared" si="55"/>
        <v>7.9200000000000008</v>
      </c>
      <c r="CE116" t="str">
        <f t="shared" si="47"/>
        <v>DATA_Class_Base15</v>
      </c>
      <c r="CF116" s="6" t="s">
        <v>306</v>
      </c>
    </row>
    <row r="117" spans="1:84">
      <c r="A117">
        <f t="shared" si="41"/>
        <v>3053301</v>
      </c>
      <c r="B117" s="6" t="s">
        <v>283</v>
      </c>
      <c r="C117">
        <v>5</v>
      </c>
      <c r="D117">
        <v>3</v>
      </c>
      <c r="E117">
        <v>3</v>
      </c>
      <c r="F117" s="3" t="s">
        <v>1592</v>
      </c>
      <c r="G117" s="3" t="s">
        <v>1592</v>
      </c>
      <c r="H117">
        <v>0</v>
      </c>
      <c r="I117">
        <v>0</v>
      </c>
      <c r="J117" s="2">
        <v>0</v>
      </c>
      <c r="K117" s="2" t="s">
        <v>285</v>
      </c>
      <c r="L117" s="2">
        <f t="shared" si="42"/>
        <v>3</v>
      </c>
      <c r="M117" s="2">
        <f t="shared" si="40"/>
        <v>1.2</v>
      </c>
      <c r="N117" s="2">
        <f t="shared" si="40"/>
        <v>1.4000000000000001</v>
      </c>
      <c r="O117" s="2">
        <v>10</v>
      </c>
      <c r="P117" s="2">
        <f t="shared" si="56"/>
        <v>122.88</v>
      </c>
      <c r="Q117" s="2">
        <f t="shared" si="56"/>
        <v>12.29</v>
      </c>
      <c r="R117" s="2">
        <f t="shared" si="56"/>
        <v>1280</v>
      </c>
      <c r="S117" s="2">
        <f t="shared" si="56"/>
        <v>128</v>
      </c>
      <c r="T117" s="2">
        <f t="shared" si="56"/>
        <v>24.58</v>
      </c>
      <c r="U117" s="2">
        <f t="shared" si="56"/>
        <v>2.46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3">
        <v>333011</v>
      </c>
      <c r="AB117" s="14" t="s">
        <v>1567</v>
      </c>
      <c r="AC117" s="15" t="s">
        <v>889</v>
      </c>
      <c r="AD117" s="2">
        <v>3063301</v>
      </c>
      <c r="AE117" s="2">
        <v>12</v>
      </c>
      <c r="AF117" s="2">
        <v>1</v>
      </c>
      <c r="AG117" s="2">
        <f t="shared" si="53"/>
        <v>3053301</v>
      </c>
      <c r="AH117" s="2">
        <v>1</v>
      </c>
      <c r="AI117" s="2"/>
      <c r="AJ117">
        <v>1</v>
      </c>
      <c r="AK117" s="1">
        <f t="shared" si="34"/>
        <v>50.229670564434144</v>
      </c>
      <c r="AL117">
        <v>5</v>
      </c>
      <c r="AM117">
        <f t="shared" si="43"/>
        <v>122.88</v>
      </c>
      <c r="AN117">
        <f t="shared" si="44"/>
        <v>12.288</v>
      </c>
      <c r="AO117">
        <f t="shared" si="45"/>
        <v>1280</v>
      </c>
      <c r="AP117">
        <f t="shared" si="46"/>
        <v>128</v>
      </c>
      <c r="AQ117">
        <f t="shared" si="35"/>
        <v>24.576000000000001</v>
      </c>
      <c r="AR117">
        <f t="shared" si="36"/>
        <v>2.4576000000000002</v>
      </c>
      <c r="AS117">
        <f t="shared" si="37"/>
        <v>1.2</v>
      </c>
      <c r="AT117">
        <f t="shared" si="38"/>
        <v>1.4</v>
      </c>
      <c r="AU117">
        <f t="shared" si="39"/>
        <v>3</v>
      </c>
      <c r="AV117">
        <f t="shared" si="52"/>
        <v>3013</v>
      </c>
      <c r="AW117" s="1">
        <v>1</v>
      </c>
      <c r="AX117">
        <v>3</v>
      </c>
      <c r="AY117">
        <v>0</v>
      </c>
      <c r="BB117">
        <v>7</v>
      </c>
      <c r="BC117">
        <v>1</v>
      </c>
      <c r="BD117">
        <v>0</v>
      </c>
      <c r="BE117">
        <f t="shared" si="54"/>
        <v>176</v>
      </c>
      <c r="BF117">
        <f t="shared" si="54"/>
        <v>2112</v>
      </c>
      <c r="BG117">
        <f t="shared" si="54"/>
        <v>44</v>
      </c>
      <c r="BI117">
        <f t="shared" si="55"/>
        <v>35.200000000000003</v>
      </c>
      <c r="BJ117">
        <f t="shared" si="55"/>
        <v>422.40000000000003</v>
      </c>
      <c r="BK117">
        <f t="shared" si="55"/>
        <v>8.8000000000000007</v>
      </c>
      <c r="CE117" t="str">
        <f t="shared" si="47"/>
        <v>DATA_Class_Base16</v>
      </c>
      <c r="CF117" s="6" t="s">
        <v>312</v>
      </c>
    </row>
    <row r="118" spans="1:84">
      <c r="A118">
        <f t="shared" si="41"/>
        <v>3053401</v>
      </c>
      <c r="B118" s="6" t="s">
        <v>317</v>
      </c>
      <c r="C118">
        <v>5</v>
      </c>
      <c r="D118">
        <v>4</v>
      </c>
      <c r="E118">
        <v>3</v>
      </c>
      <c r="F118" s="3" t="s">
        <v>1593</v>
      </c>
      <c r="G118" s="3" t="s">
        <v>1593</v>
      </c>
      <c r="H118">
        <v>0</v>
      </c>
      <c r="I118">
        <v>0</v>
      </c>
      <c r="J118">
        <v>0</v>
      </c>
      <c r="K118" s="2" t="s">
        <v>161</v>
      </c>
      <c r="L118" s="2">
        <f t="shared" si="42"/>
        <v>6</v>
      </c>
      <c r="M118" s="2">
        <f t="shared" si="40"/>
        <v>1.6</v>
      </c>
      <c r="N118" s="2">
        <f t="shared" si="40"/>
        <v>1.5</v>
      </c>
      <c r="O118" s="2">
        <v>10</v>
      </c>
      <c r="P118" s="2">
        <f t="shared" si="56"/>
        <v>163.84</v>
      </c>
      <c r="Q118" s="2">
        <f t="shared" si="56"/>
        <v>16.38</v>
      </c>
      <c r="R118" s="2">
        <f t="shared" si="56"/>
        <v>1280</v>
      </c>
      <c r="S118" s="2">
        <f t="shared" si="56"/>
        <v>128</v>
      </c>
      <c r="T118" s="2">
        <f t="shared" si="56"/>
        <v>27.31</v>
      </c>
      <c r="U118" s="2">
        <f t="shared" si="56"/>
        <v>2.73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3">
        <v>334011</v>
      </c>
      <c r="AB118" s="14" t="s">
        <v>389</v>
      </c>
      <c r="AC118" s="15" t="s">
        <v>889</v>
      </c>
      <c r="AD118" s="2">
        <v>3063401</v>
      </c>
      <c r="AE118" s="2">
        <v>12</v>
      </c>
      <c r="AF118" s="2">
        <v>1</v>
      </c>
      <c r="AG118" s="2">
        <f t="shared" si="53"/>
        <v>3053401</v>
      </c>
      <c r="AH118" s="2">
        <v>1</v>
      </c>
      <c r="AI118" s="2"/>
      <c r="AJ118">
        <v>1</v>
      </c>
      <c r="AK118" s="1">
        <f t="shared" si="34"/>
        <v>50.260028244343637</v>
      </c>
      <c r="AL118">
        <v>5</v>
      </c>
      <c r="AM118">
        <f t="shared" si="43"/>
        <v>163.84000000000003</v>
      </c>
      <c r="AN118">
        <f t="shared" si="44"/>
        <v>16.384000000000004</v>
      </c>
      <c r="AO118">
        <f t="shared" si="45"/>
        <v>1280</v>
      </c>
      <c r="AP118">
        <f t="shared" si="46"/>
        <v>128</v>
      </c>
      <c r="AQ118">
        <f t="shared" si="35"/>
        <v>27.306666666666672</v>
      </c>
      <c r="AR118">
        <f t="shared" si="36"/>
        <v>2.7306666666666675</v>
      </c>
      <c r="AS118">
        <f t="shared" si="37"/>
        <v>1.6</v>
      </c>
      <c r="AT118">
        <f t="shared" si="38"/>
        <v>1.5</v>
      </c>
      <c r="AU118">
        <f t="shared" si="39"/>
        <v>6</v>
      </c>
      <c r="AV118">
        <f t="shared" si="52"/>
        <v>4013</v>
      </c>
      <c r="AW118" s="1">
        <v>1</v>
      </c>
      <c r="AX118">
        <v>3</v>
      </c>
      <c r="AY118">
        <v>0</v>
      </c>
      <c r="BB118">
        <v>8</v>
      </c>
      <c r="BC118">
        <v>1</v>
      </c>
      <c r="BD118">
        <v>0</v>
      </c>
      <c r="BE118">
        <f t="shared" si="54"/>
        <v>193.6</v>
      </c>
      <c r="BF118">
        <f t="shared" si="54"/>
        <v>2323.1999999999998</v>
      </c>
      <c r="BG118">
        <f t="shared" si="54"/>
        <v>48.4</v>
      </c>
      <c r="BI118">
        <f t="shared" si="55"/>
        <v>38.72</v>
      </c>
      <c r="BJ118">
        <f t="shared" si="55"/>
        <v>464.64</v>
      </c>
      <c r="BK118">
        <f t="shared" si="55"/>
        <v>9.68</v>
      </c>
      <c r="CE118" t="str">
        <f t="shared" si="47"/>
        <v>DATA_Class_Base17</v>
      </c>
      <c r="CF118" s="6" t="s">
        <v>318</v>
      </c>
    </row>
    <row r="119" spans="1:84">
      <c r="A119">
        <f t="shared" si="41"/>
        <v>3053402</v>
      </c>
      <c r="B119" s="6" t="s">
        <v>323</v>
      </c>
      <c r="C119">
        <v>5</v>
      </c>
      <c r="D119">
        <v>4</v>
      </c>
      <c r="E119">
        <v>3</v>
      </c>
      <c r="F119" s="3" t="s">
        <v>1594</v>
      </c>
      <c r="G119" s="3" t="s">
        <v>1594</v>
      </c>
      <c r="H119">
        <v>0</v>
      </c>
      <c r="I119">
        <v>0</v>
      </c>
      <c r="J119" s="2">
        <v>0</v>
      </c>
      <c r="K119" s="2" t="s">
        <v>250</v>
      </c>
      <c r="L119" s="2">
        <f t="shared" si="42"/>
        <v>6</v>
      </c>
      <c r="M119" s="2">
        <f t="shared" si="40"/>
        <v>1.5</v>
      </c>
      <c r="N119" s="2">
        <f t="shared" si="40"/>
        <v>1.5</v>
      </c>
      <c r="O119" s="2">
        <v>10</v>
      </c>
      <c r="P119" s="2">
        <f t="shared" si="56"/>
        <v>166.4</v>
      </c>
      <c r="Q119" s="2">
        <f t="shared" si="56"/>
        <v>16.64</v>
      </c>
      <c r="R119" s="2">
        <f t="shared" si="56"/>
        <v>1181.54</v>
      </c>
      <c r="S119" s="2">
        <f t="shared" si="56"/>
        <v>118.15</v>
      </c>
      <c r="T119" s="2">
        <f t="shared" si="56"/>
        <v>23.77</v>
      </c>
      <c r="U119" s="2">
        <f t="shared" si="56"/>
        <v>2.38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3">
        <v>334021</v>
      </c>
      <c r="AB119" s="14" t="s">
        <v>392</v>
      </c>
      <c r="AC119" s="15" t="s">
        <v>889</v>
      </c>
      <c r="AD119" s="2">
        <v>3063402</v>
      </c>
      <c r="AE119" s="2">
        <v>12</v>
      </c>
      <c r="AF119" s="2">
        <v>1</v>
      </c>
      <c r="AG119" s="2">
        <f t="shared" si="53"/>
        <v>3053402</v>
      </c>
      <c r="AH119" s="2">
        <v>1</v>
      </c>
      <c r="AI119" s="2"/>
      <c r="AJ119">
        <v>1</v>
      </c>
      <c r="AK119" s="1">
        <f t="shared" si="34"/>
        <v>50.220732884203571</v>
      </c>
      <c r="AL119">
        <v>5</v>
      </c>
      <c r="AM119">
        <f t="shared" si="43"/>
        <v>166.4</v>
      </c>
      <c r="AN119">
        <f t="shared" si="44"/>
        <v>16.64</v>
      </c>
      <c r="AO119">
        <f t="shared" si="45"/>
        <v>1181.5384615384614</v>
      </c>
      <c r="AP119">
        <f t="shared" si="46"/>
        <v>118.15384615384615</v>
      </c>
      <c r="AQ119">
        <f t="shared" si="35"/>
        <v>23.771428571428572</v>
      </c>
      <c r="AR119">
        <f t="shared" si="36"/>
        <v>2.3771428571428572</v>
      </c>
      <c r="AS119">
        <f t="shared" si="37"/>
        <v>1.5</v>
      </c>
      <c r="AT119">
        <f t="shared" si="38"/>
        <v>1.5</v>
      </c>
      <c r="AU119">
        <f t="shared" si="39"/>
        <v>6</v>
      </c>
      <c r="AV119">
        <f t="shared" si="52"/>
        <v>4023</v>
      </c>
      <c r="AW119" s="1">
        <v>2</v>
      </c>
      <c r="AX119">
        <v>3</v>
      </c>
      <c r="AY119">
        <v>0</v>
      </c>
      <c r="BB119">
        <v>9</v>
      </c>
      <c r="BC119">
        <v>1</v>
      </c>
      <c r="BD119">
        <v>0</v>
      </c>
      <c r="BE119">
        <f t="shared" si="54"/>
        <v>211.2</v>
      </c>
      <c r="BF119">
        <f t="shared" si="54"/>
        <v>2534.4</v>
      </c>
      <c r="BG119">
        <f t="shared" si="54"/>
        <v>52.8</v>
      </c>
      <c r="BI119">
        <f t="shared" si="55"/>
        <v>42.24</v>
      </c>
      <c r="BJ119">
        <f t="shared" si="55"/>
        <v>506.88000000000005</v>
      </c>
      <c r="BK119">
        <f t="shared" si="55"/>
        <v>10.56</v>
      </c>
      <c r="CE119" t="str">
        <f t="shared" si="47"/>
        <v>DATA_Class_Base18</v>
      </c>
      <c r="CF119" s="6" t="s">
        <v>324</v>
      </c>
    </row>
    <row r="120" spans="1:84">
      <c r="A120">
        <f t="shared" si="41"/>
        <v>3053500</v>
      </c>
      <c r="B120" s="6" t="s">
        <v>301</v>
      </c>
      <c r="C120">
        <v>5</v>
      </c>
      <c r="D120">
        <v>5</v>
      </c>
      <c r="E120">
        <v>3</v>
      </c>
      <c r="F120" s="3" t="s">
        <v>1595</v>
      </c>
      <c r="G120" s="3" t="s">
        <v>1595</v>
      </c>
      <c r="H120">
        <v>0</v>
      </c>
      <c r="I120">
        <v>0</v>
      </c>
      <c r="J120" s="2">
        <v>0</v>
      </c>
      <c r="K120" s="2" t="s">
        <v>303</v>
      </c>
      <c r="L120" s="2">
        <f t="shared" si="42"/>
        <v>6</v>
      </c>
      <c r="M120" s="2">
        <f t="shared" si="40"/>
        <v>1.5</v>
      </c>
      <c r="N120" s="2">
        <f t="shared" si="40"/>
        <v>2</v>
      </c>
      <c r="O120" s="2">
        <v>10</v>
      </c>
      <c r="P120" s="2">
        <f t="shared" si="56"/>
        <v>166.4</v>
      </c>
      <c r="Q120" s="2">
        <f t="shared" si="56"/>
        <v>16.64</v>
      </c>
      <c r="R120" s="2">
        <f t="shared" si="56"/>
        <v>1181.54</v>
      </c>
      <c r="S120" s="2">
        <f t="shared" si="56"/>
        <v>118.15</v>
      </c>
      <c r="T120" s="2">
        <f t="shared" si="56"/>
        <v>27.73</v>
      </c>
      <c r="U120" s="2">
        <f t="shared" si="56"/>
        <v>2.77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3">
        <v>335001</v>
      </c>
      <c r="AB120" s="14" t="s">
        <v>1568</v>
      </c>
      <c r="AC120" s="15" t="s">
        <v>889</v>
      </c>
      <c r="AD120" s="2">
        <v>3063500</v>
      </c>
      <c r="AE120" s="2">
        <v>12</v>
      </c>
      <c r="AF120" s="2">
        <v>1</v>
      </c>
      <c r="AG120" s="2">
        <f t="shared" si="53"/>
        <v>3053500</v>
      </c>
      <c r="AH120" s="2">
        <v>1</v>
      </c>
      <c r="AI120" s="2"/>
      <c r="AJ120">
        <v>1</v>
      </c>
      <c r="AK120" s="1">
        <f t="shared" si="34"/>
        <v>50.264774946875882</v>
      </c>
      <c r="AL120">
        <v>5</v>
      </c>
      <c r="AM120">
        <f t="shared" si="43"/>
        <v>166.4</v>
      </c>
      <c r="AN120">
        <f t="shared" si="44"/>
        <v>16.64</v>
      </c>
      <c r="AO120">
        <f t="shared" si="45"/>
        <v>1181.5384615384614</v>
      </c>
      <c r="AP120">
        <f t="shared" si="46"/>
        <v>118.15384615384615</v>
      </c>
      <c r="AQ120">
        <f t="shared" si="35"/>
        <v>27.733333333333334</v>
      </c>
      <c r="AR120">
        <f t="shared" si="36"/>
        <v>2.7733333333333334</v>
      </c>
      <c r="AS120">
        <f t="shared" si="37"/>
        <v>1.5</v>
      </c>
      <c r="AT120">
        <f t="shared" si="38"/>
        <v>2</v>
      </c>
      <c r="AU120">
        <f t="shared" si="39"/>
        <v>6</v>
      </c>
      <c r="AV120">
        <f t="shared" si="52"/>
        <v>5003</v>
      </c>
      <c r="AW120" s="1">
        <v>0</v>
      </c>
      <c r="AX120">
        <v>3</v>
      </c>
      <c r="AY120">
        <v>0</v>
      </c>
      <c r="BB120">
        <v>10</v>
      </c>
      <c r="BC120">
        <v>1</v>
      </c>
      <c r="BD120">
        <v>0</v>
      </c>
      <c r="BE120">
        <f t="shared" si="54"/>
        <v>228.8</v>
      </c>
      <c r="BF120">
        <f t="shared" si="54"/>
        <v>2745.6</v>
      </c>
      <c r="BG120">
        <f t="shared" si="54"/>
        <v>57.2</v>
      </c>
      <c r="BI120">
        <f t="shared" si="55"/>
        <v>45.760000000000005</v>
      </c>
      <c r="BJ120">
        <f t="shared" si="55"/>
        <v>549.12</v>
      </c>
      <c r="BK120">
        <f t="shared" si="55"/>
        <v>11.440000000000001</v>
      </c>
      <c r="CE120" t="str">
        <f t="shared" si="47"/>
        <v>DATA_Class_Base19</v>
      </c>
      <c r="CF120" s="6" t="s">
        <v>331</v>
      </c>
    </row>
    <row r="121" spans="1:84">
      <c r="A121">
        <f t="shared" si="41"/>
        <v>3053502</v>
      </c>
      <c r="B121" s="6" t="s">
        <v>289</v>
      </c>
      <c r="C121">
        <v>5</v>
      </c>
      <c r="D121">
        <v>5</v>
      </c>
      <c r="E121">
        <v>3</v>
      </c>
      <c r="F121" s="3" t="s">
        <v>1596</v>
      </c>
      <c r="G121" s="3" t="s">
        <v>1596</v>
      </c>
      <c r="H121">
        <v>0</v>
      </c>
      <c r="I121">
        <v>0</v>
      </c>
      <c r="J121" s="2">
        <v>0</v>
      </c>
      <c r="K121" s="2" t="s">
        <v>291</v>
      </c>
      <c r="L121" s="2">
        <f t="shared" si="42"/>
        <v>6</v>
      </c>
      <c r="M121" s="2">
        <f t="shared" si="40"/>
        <v>1.4000000000000001</v>
      </c>
      <c r="N121" s="2">
        <f t="shared" si="40"/>
        <v>2</v>
      </c>
      <c r="O121" s="2">
        <v>10</v>
      </c>
      <c r="P121" s="2">
        <f t="shared" si="56"/>
        <v>161.28</v>
      </c>
      <c r="Q121" s="2">
        <f t="shared" si="56"/>
        <v>16.13</v>
      </c>
      <c r="R121" s="2">
        <f t="shared" si="56"/>
        <v>1137.78</v>
      </c>
      <c r="S121" s="2">
        <f t="shared" si="56"/>
        <v>113.78</v>
      </c>
      <c r="T121" s="2">
        <f t="shared" si="56"/>
        <v>23.04</v>
      </c>
      <c r="U121" s="2">
        <f t="shared" si="56"/>
        <v>2.2999999999999998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3">
        <v>335021</v>
      </c>
      <c r="AB121" s="14" t="s">
        <v>1569</v>
      </c>
      <c r="AC121" s="15" t="s">
        <v>889</v>
      </c>
      <c r="AD121">
        <v>3063502</v>
      </c>
      <c r="AE121" s="2">
        <v>12</v>
      </c>
      <c r="AF121" s="2">
        <v>1</v>
      </c>
      <c r="AG121" s="2">
        <f t="shared" si="53"/>
        <v>3053502</v>
      </c>
      <c r="AH121" s="2">
        <v>1</v>
      </c>
      <c r="AI121" s="2"/>
      <c r="AJ121">
        <v>1</v>
      </c>
      <c r="AK121" s="1">
        <f t="shared" si="34"/>
        <v>50.212610480001054</v>
      </c>
      <c r="AL121">
        <v>5</v>
      </c>
      <c r="AM121">
        <f t="shared" si="43"/>
        <v>161.28</v>
      </c>
      <c r="AN121">
        <f t="shared" si="44"/>
        <v>16.128</v>
      </c>
      <c r="AO121">
        <f t="shared" si="45"/>
        <v>1137.7777777777778</v>
      </c>
      <c r="AP121">
        <f t="shared" si="46"/>
        <v>113.77777777777779</v>
      </c>
      <c r="AQ121">
        <f t="shared" si="35"/>
        <v>23.04</v>
      </c>
      <c r="AR121">
        <f t="shared" si="36"/>
        <v>2.3039999999999998</v>
      </c>
      <c r="AS121">
        <f t="shared" si="37"/>
        <v>1.4</v>
      </c>
      <c r="AT121">
        <f t="shared" si="38"/>
        <v>2</v>
      </c>
      <c r="AU121">
        <f t="shared" si="39"/>
        <v>6</v>
      </c>
      <c r="AV121">
        <f t="shared" si="52"/>
        <v>5023</v>
      </c>
      <c r="AW121" s="1">
        <v>2</v>
      </c>
      <c r="AX121">
        <v>3</v>
      </c>
      <c r="AY121">
        <v>0</v>
      </c>
      <c r="BB121">
        <v>11</v>
      </c>
      <c r="BC121">
        <v>1</v>
      </c>
      <c r="BD121">
        <v>0</v>
      </c>
      <c r="BE121">
        <f t="shared" si="54"/>
        <v>246.4</v>
      </c>
      <c r="BF121">
        <f t="shared" si="54"/>
        <v>2956.8</v>
      </c>
      <c r="BG121">
        <f t="shared" si="54"/>
        <v>61.6</v>
      </c>
      <c r="BI121">
        <f t="shared" si="55"/>
        <v>49.28</v>
      </c>
      <c r="BJ121">
        <f t="shared" si="55"/>
        <v>591.36</v>
      </c>
      <c r="BK121">
        <f t="shared" si="55"/>
        <v>12.32</v>
      </c>
      <c r="BR121" t="s">
        <v>415</v>
      </c>
      <c r="CE121" t="str">
        <f t="shared" si="47"/>
        <v>DATA_Class_Base20</v>
      </c>
      <c r="CF121" s="6" t="s">
        <v>336</v>
      </c>
    </row>
    <row r="122" spans="1:84">
      <c r="A122">
        <f t="shared" si="41"/>
        <v>3053601</v>
      </c>
      <c r="B122" s="6" t="s">
        <v>307</v>
      </c>
      <c r="C122">
        <v>5</v>
      </c>
      <c r="D122">
        <v>6</v>
      </c>
      <c r="E122">
        <v>3</v>
      </c>
      <c r="F122" s="3" t="s">
        <v>1597</v>
      </c>
      <c r="G122" s="3" t="s">
        <v>1597</v>
      </c>
      <c r="H122">
        <v>0</v>
      </c>
      <c r="I122">
        <v>0</v>
      </c>
      <c r="J122">
        <v>0</v>
      </c>
      <c r="K122" s="2" t="s">
        <v>309</v>
      </c>
      <c r="L122" s="2">
        <f t="shared" si="42"/>
        <v>6</v>
      </c>
      <c r="M122" s="2">
        <f t="shared" si="40"/>
        <v>1.5</v>
      </c>
      <c r="N122" s="2">
        <f t="shared" si="40"/>
        <v>2</v>
      </c>
      <c r="O122" s="2">
        <v>10</v>
      </c>
      <c r="P122" s="2">
        <f t="shared" si="56"/>
        <v>115.2</v>
      </c>
      <c r="Q122" s="2">
        <f t="shared" si="56"/>
        <v>11.52</v>
      </c>
      <c r="R122" s="2">
        <f t="shared" si="56"/>
        <v>1706.67</v>
      </c>
      <c r="S122" s="2">
        <f t="shared" si="56"/>
        <v>170.67</v>
      </c>
      <c r="T122" s="2">
        <f t="shared" si="56"/>
        <v>38.4</v>
      </c>
      <c r="U122" s="2">
        <f t="shared" si="56"/>
        <v>3.84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3">
        <v>336011</v>
      </c>
      <c r="AB122" s="14" t="s">
        <v>1570</v>
      </c>
      <c r="AC122" s="15" t="s">
        <v>889</v>
      </c>
      <c r="AD122">
        <v>3063601</v>
      </c>
      <c r="AE122" s="2">
        <v>12</v>
      </c>
      <c r="AF122" s="2">
        <v>1</v>
      </c>
      <c r="AG122" s="2">
        <f t="shared" si="53"/>
        <v>3053601</v>
      </c>
      <c r="AH122" s="2">
        <v>1</v>
      </c>
      <c r="AI122" s="2"/>
      <c r="AJ122">
        <v>1</v>
      </c>
      <c r="AK122" s="1">
        <f t="shared" si="34"/>
        <v>50.383734589814772</v>
      </c>
      <c r="AL122">
        <v>5</v>
      </c>
      <c r="AM122">
        <f t="shared" si="43"/>
        <v>115.2</v>
      </c>
      <c r="AN122">
        <f t="shared" si="44"/>
        <v>11.520000000000001</v>
      </c>
      <c r="AO122">
        <f t="shared" si="45"/>
        <v>1706.666666666667</v>
      </c>
      <c r="AP122">
        <f t="shared" si="46"/>
        <v>170.66666666666671</v>
      </c>
      <c r="AQ122">
        <f t="shared" si="35"/>
        <v>38.4</v>
      </c>
      <c r="AR122">
        <f t="shared" si="36"/>
        <v>3.84</v>
      </c>
      <c r="AS122">
        <f t="shared" si="37"/>
        <v>1.5</v>
      </c>
      <c r="AT122">
        <f t="shared" si="38"/>
        <v>2</v>
      </c>
      <c r="AU122">
        <f t="shared" si="39"/>
        <v>6</v>
      </c>
      <c r="AV122">
        <f t="shared" si="52"/>
        <v>6013</v>
      </c>
      <c r="AW122" s="1">
        <v>1</v>
      </c>
      <c r="AX122">
        <v>3</v>
      </c>
      <c r="AY122">
        <v>0</v>
      </c>
      <c r="BB122">
        <v>12</v>
      </c>
      <c r="BC122">
        <v>1</v>
      </c>
      <c r="BD122">
        <v>0</v>
      </c>
      <c r="BE122">
        <f t="shared" si="54"/>
        <v>264</v>
      </c>
      <c r="BF122">
        <f t="shared" si="54"/>
        <v>3168</v>
      </c>
      <c r="BG122">
        <f t="shared" si="54"/>
        <v>66</v>
      </c>
      <c r="BI122">
        <f t="shared" si="55"/>
        <v>52.800000000000004</v>
      </c>
      <c r="BJ122">
        <f t="shared" si="55"/>
        <v>633.6</v>
      </c>
      <c r="BK122">
        <f t="shared" si="55"/>
        <v>13.200000000000001</v>
      </c>
      <c r="BR122" t="e">
        <f>#REF!/#REF!</f>
        <v>#REF!</v>
      </c>
      <c r="CE122" t="str">
        <f t="shared" si="47"/>
        <v>DATA_Class_Base21</v>
      </c>
      <c r="CF122" s="6" t="s">
        <v>342</v>
      </c>
    </row>
    <row r="123" spans="1:84">
      <c r="A123">
        <f t="shared" si="41"/>
        <v>3054501</v>
      </c>
      <c r="B123" s="6" t="s">
        <v>332</v>
      </c>
      <c r="C123">
        <v>5</v>
      </c>
      <c r="D123">
        <v>5</v>
      </c>
      <c r="E123">
        <v>4</v>
      </c>
      <c r="F123" s="3" t="s">
        <v>1598</v>
      </c>
      <c r="G123" s="3" t="s">
        <v>1598</v>
      </c>
      <c r="H123">
        <v>0</v>
      </c>
      <c r="I123">
        <v>0</v>
      </c>
      <c r="J123">
        <v>0</v>
      </c>
      <c r="K123" s="2" t="s">
        <v>334</v>
      </c>
      <c r="L123" s="2">
        <f t="shared" si="42"/>
        <v>6</v>
      </c>
      <c r="M123" s="2">
        <f t="shared" si="40"/>
        <v>1.6</v>
      </c>
      <c r="N123" s="2">
        <f t="shared" si="40"/>
        <v>2</v>
      </c>
      <c r="O123" s="2">
        <v>10</v>
      </c>
      <c r="P123" s="2">
        <f t="shared" si="56"/>
        <v>177.49</v>
      </c>
      <c r="Q123" s="2">
        <f t="shared" si="56"/>
        <v>17.75</v>
      </c>
      <c r="R123" s="2">
        <f t="shared" si="56"/>
        <v>1181.54</v>
      </c>
      <c r="S123" s="2">
        <f t="shared" si="56"/>
        <v>118.15</v>
      </c>
      <c r="T123" s="2">
        <f t="shared" si="56"/>
        <v>19.72</v>
      </c>
      <c r="U123" s="2">
        <f t="shared" si="56"/>
        <v>1.97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3">
        <v>345011</v>
      </c>
      <c r="AB123" s="14" t="s">
        <v>395</v>
      </c>
      <c r="AC123" s="15" t="s">
        <v>889</v>
      </c>
      <c r="AD123">
        <v>3064501</v>
      </c>
      <c r="AE123" s="2">
        <v>15</v>
      </c>
      <c r="AF123" s="2">
        <v>1</v>
      </c>
      <c r="AG123" s="2">
        <f t="shared" si="53"/>
        <v>3054501</v>
      </c>
      <c r="AH123" s="2">
        <v>1</v>
      </c>
      <c r="AI123" s="2"/>
      <c r="AJ123">
        <v>1</v>
      </c>
      <c r="AK123" s="1">
        <f t="shared" si="34"/>
        <v>50.175791808774598</v>
      </c>
      <c r="AL123">
        <v>5</v>
      </c>
      <c r="AM123">
        <f t="shared" si="43"/>
        <v>177.49333333333334</v>
      </c>
      <c r="AN123">
        <f t="shared" si="44"/>
        <v>17.749333333333336</v>
      </c>
      <c r="AO123">
        <f t="shared" si="45"/>
        <v>1181.5384615384614</v>
      </c>
      <c r="AP123">
        <f t="shared" si="46"/>
        <v>118.15384615384615</v>
      </c>
      <c r="AQ123">
        <f t="shared" si="35"/>
        <v>19.721481481481483</v>
      </c>
      <c r="AR123">
        <f t="shared" si="36"/>
        <v>1.9721481481481484</v>
      </c>
      <c r="AS123">
        <f t="shared" si="37"/>
        <v>1.6</v>
      </c>
      <c r="AT123">
        <f t="shared" si="38"/>
        <v>2</v>
      </c>
      <c r="AU123">
        <f t="shared" si="39"/>
        <v>6</v>
      </c>
      <c r="AV123">
        <f t="shared" si="52"/>
        <v>5014</v>
      </c>
      <c r="AW123" s="1">
        <v>1</v>
      </c>
      <c r="AX123">
        <v>3</v>
      </c>
      <c r="AY123">
        <v>0</v>
      </c>
      <c r="BB123">
        <v>13</v>
      </c>
      <c r="BC123">
        <v>260</v>
      </c>
      <c r="BD123">
        <v>6</v>
      </c>
      <c r="BE123">
        <f t="shared" si="54"/>
        <v>15206.400000000001</v>
      </c>
      <c r="BF123">
        <f t="shared" si="54"/>
        <v>182476.80000000005</v>
      </c>
      <c r="BG123">
        <f t="shared" si="54"/>
        <v>3801.6000000000004</v>
      </c>
      <c r="BI123">
        <f t="shared" si="55"/>
        <v>3041.2800000000007</v>
      </c>
      <c r="BJ123">
        <f t="shared" si="55"/>
        <v>36495.360000000008</v>
      </c>
      <c r="BK123">
        <f t="shared" si="55"/>
        <v>760.32000000000016</v>
      </c>
      <c r="CE123" t="str">
        <f t="shared" si="47"/>
        <v>DATA_Class_Base22</v>
      </c>
      <c r="CF123" s="6" t="s">
        <v>349</v>
      </c>
    </row>
    <row r="124" spans="1:84">
      <c r="A124">
        <f t="shared" si="41"/>
        <v>3054600</v>
      </c>
      <c r="B124" s="6" t="s">
        <v>337</v>
      </c>
      <c r="C124">
        <v>5</v>
      </c>
      <c r="D124">
        <v>6</v>
      </c>
      <c r="E124">
        <v>4</v>
      </c>
      <c r="F124" s="3" t="s">
        <v>1599</v>
      </c>
      <c r="G124" s="3" t="s">
        <v>1599</v>
      </c>
      <c r="H124">
        <v>0</v>
      </c>
      <c r="I124">
        <v>0</v>
      </c>
      <c r="J124" s="2">
        <v>0</v>
      </c>
      <c r="K124" s="2" t="s">
        <v>339</v>
      </c>
      <c r="L124" s="2">
        <f t="shared" si="42"/>
        <v>3</v>
      </c>
      <c r="M124" s="2">
        <f t="shared" si="40"/>
        <v>1.4000000000000001</v>
      </c>
      <c r="N124" s="2">
        <f t="shared" si="40"/>
        <v>1.9000000000000001</v>
      </c>
      <c r="O124" s="2">
        <v>10</v>
      </c>
      <c r="P124" s="2">
        <f t="shared" si="56"/>
        <v>131.41</v>
      </c>
      <c r="Q124" s="2">
        <f t="shared" si="56"/>
        <v>13.14</v>
      </c>
      <c r="R124" s="2">
        <f t="shared" si="56"/>
        <v>1396.36</v>
      </c>
      <c r="S124" s="2">
        <f t="shared" si="56"/>
        <v>139.63999999999999</v>
      </c>
      <c r="T124" s="2">
        <f t="shared" si="56"/>
        <v>32.85</v>
      </c>
      <c r="U124" s="2">
        <f t="shared" si="56"/>
        <v>3.29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3">
        <v>346001</v>
      </c>
      <c r="AB124" s="14" t="s">
        <v>397</v>
      </c>
      <c r="AC124" s="15" t="s">
        <v>889</v>
      </c>
      <c r="AD124">
        <v>3064600</v>
      </c>
      <c r="AE124" s="2">
        <v>15</v>
      </c>
      <c r="AF124" s="2">
        <v>1</v>
      </c>
      <c r="AG124" s="2">
        <f t="shared" si="53"/>
        <v>3054600</v>
      </c>
      <c r="AH124" s="2">
        <v>1</v>
      </c>
      <c r="AI124" s="2"/>
      <c r="AJ124">
        <v>1</v>
      </c>
      <c r="AK124" s="1">
        <f t="shared" si="34"/>
        <v>50.321805390212361</v>
      </c>
      <c r="AL124">
        <v>5</v>
      </c>
      <c r="AM124">
        <f t="shared" si="43"/>
        <v>131.41333333333333</v>
      </c>
      <c r="AN124">
        <f t="shared" si="44"/>
        <v>13.141333333333334</v>
      </c>
      <c r="AO124">
        <f t="shared" si="45"/>
        <v>1396.3636363636365</v>
      </c>
      <c r="AP124">
        <f t="shared" si="46"/>
        <v>139.63636363636365</v>
      </c>
      <c r="AQ124">
        <f t="shared" si="35"/>
        <v>32.853333333333332</v>
      </c>
      <c r="AR124">
        <f t="shared" si="36"/>
        <v>3.2853333333333334</v>
      </c>
      <c r="AS124">
        <f t="shared" si="37"/>
        <v>1.4</v>
      </c>
      <c r="AT124">
        <f t="shared" si="38"/>
        <v>1.9</v>
      </c>
      <c r="AU124">
        <f t="shared" si="39"/>
        <v>3</v>
      </c>
      <c r="AV124">
        <f t="shared" si="52"/>
        <v>6004</v>
      </c>
      <c r="AW124" s="1">
        <v>0</v>
      </c>
      <c r="AX124">
        <v>3</v>
      </c>
      <c r="AY124">
        <v>0</v>
      </c>
      <c r="CE124" t="str">
        <f t="shared" si="47"/>
        <v>DATA_Class_Base23</v>
      </c>
      <c r="CF124" s="6" t="s">
        <v>355</v>
      </c>
    </row>
    <row r="125" spans="1:84">
      <c r="A125">
        <f t="shared" si="41"/>
        <v>3054602</v>
      </c>
      <c r="B125" s="6" t="s">
        <v>343</v>
      </c>
      <c r="C125">
        <v>5</v>
      </c>
      <c r="D125">
        <v>6</v>
      </c>
      <c r="E125">
        <v>4</v>
      </c>
      <c r="F125" s="3" t="s">
        <v>1600</v>
      </c>
      <c r="G125" s="3" t="s">
        <v>1600</v>
      </c>
      <c r="H125">
        <v>0</v>
      </c>
      <c r="I125">
        <v>0</v>
      </c>
      <c r="J125" t="s">
        <v>345</v>
      </c>
      <c r="K125" s="2" t="s">
        <v>346</v>
      </c>
      <c r="L125" s="2">
        <f t="shared" si="42"/>
        <v>6</v>
      </c>
      <c r="M125" s="2">
        <f t="shared" si="40"/>
        <v>1.8</v>
      </c>
      <c r="N125" s="2">
        <f t="shared" si="40"/>
        <v>2</v>
      </c>
      <c r="O125" s="2">
        <v>10</v>
      </c>
      <c r="P125" s="2">
        <f t="shared" si="56"/>
        <v>153.6</v>
      </c>
      <c r="Q125" s="2">
        <f t="shared" si="56"/>
        <v>15.36</v>
      </c>
      <c r="R125" s="2">
        <f t="shared" si="56"/>
        <v>1536</v>
      </c>
      <c r="S125" s="2">
        <f t="shared" si="56"/>
        <v>153.6</v>
      </c>
      <c r="T125" s="2">
        <f t="shared" si="56"/>
        <v>30.72</v>
      </c>
      <c r="U125" s="2">
        <f t="shared" si="56"/>
        <v>3.07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3">
        <v>346021</v>
      </c>
      <c r="AB125" s="14" t="s">
        <v>399</v>
      </c>
      <c r="AC125" s="15" t="s">
        <v>889</v>
      </c>
      <c r="AD125">
        <v>3064602</v>
      </c>
      <c r="AE125" s="2">
        <v>15</v>
      </c>
      <c r="AF125" s="2">
        <v>1</v>
      </c>
      <c r="AG125" s="2">
        <f t="shared" si="53"/>
        <v>3054602</v>
      </c>
      <c r="AH125" s="2">
        <v>1</v>
      </c>
      <c r="AI125" s="2"/>
      <c r="AJ125">
        <v>1</v>
      </c>
      <c r="AK125" s="1">
        <f t="shared" si="34"/>
        <v>50.298026985579355</v>
      </c>
      <c r="AL125">
        <v>5</v>
      </c>
      <c r="AM125">
        <f t="shared" si="43"/>
        <v>153.60000000000002</v>
      </c>
      <c r="AN125">
        <f t="shared" si="44"/>
        <v>15.360000000000003</v>
      </c>
      <c r="AO125">
        <f t="shared" si="45"/>
        <v>1536</v>
      </c>
      <c r="AP125">
        <f t="shared" si="46"/>
        <v>153.60000000000002</v>
      </c>
      <c r="AQ125">
        <f t="shared" si="35"/>
        <v>30.720000000000006</v>
      </c>
      <c r="AR125">
        <f t="shared" si="36"/>
        <v>3.072000000000001</v>
      </c>
      <c r="AS125">
        <f t="shared" si="37"/>
        <v>1.8</v>
      </c>
      <c r="AT125">
        <f t="shared" si="38"/>
        <v>2</v>
      </c>
      <c r="AU125">
        <f t="shared" si="39"/>
        <v>6</v>
      </c>
      <c r="AV125">
        <f t="shared" si="52"/>
        <v>6024</v>
      </c>
      <c r="AW125" s="1">
        <v>2</v>
      </c>
      <c r="AX125">
        <v>3</v>
      </c>
      <c r="AY125">
        <v>0</v>
      </c>
      <c r="BB125" s="3" t="s">
        <v>422</v>
      </c>
      <c r="BC125" s="3" t="s">
        <v>423</v>
      </c>
      <c r="BD125" s="3" t="s">
        <v>424</v>
      </c>
      <c r="BE125" s="3" t="s">
        <v>425</v>
      </c>
      <c r="BF125" s="3" t="s">
        <v>426</v>
      </c>
      <c r="BG125" s="3" t="s">
        <v>427</v>
      </c>
      <c r="BI125" s="3" t="s">
        <v>417</v>
      </c>
      <c r="BJ125" s="3" t="s">
        <v>418</v>
      </c>
      <c r="BK125" s="3" t="s">
        <v>419</v>
      </c>
      <c r="BR125">
        <v>20</v>
      </c>
      <c r="CE125" t="str">
        <f t="shared" si="47"/>
        <v>DATA_Class_Base24</v>
      </c>
      <c r="CF125" s="6" t="s">
        <v>361</v>
      </c>
    </row>
    <row r="126" spans="1:84">
      <c r="A126">
        <f t="shared" si="41"/>
        <v>3055300</v>
      </c>
      <c r="B126" s="6" t="s">
        <v>350</v>
      </c>
      <c r="C126">
        <v>5</v>
      </c>
      <c r="D126">
        <v>3</v>
      </c>
      <c r="E126">
        <v>5</v>
      </c>
      <c r="F126" s="3" t="s">
        <v>1601</v>
      </c>
      <c r="G126" s="3" t="s">
        <v>1601</v>
      </c>
      <c r="H126">
        <v>0</v>
      </c>
      <c r="I126">
        <v>0</v>
      </c>
      <c r="J126" s="2">
        <v>0</v>
      </c>
      <c r="K126" s="2" t="s">
        <v>352</v>
      </c>
      <c r="L126" s="2">
        <f t="shared" si="42"/>
        <v>6</v>
      </c>
      <c r="M126" s="2">
        <f t="shared" si="40"/>
        <v>1.3</v>
      </c>
      <c r="N126" s="2">
        <f t="shared" si="40"/>
        <v>2</v>
      </c>
      <c r="O126" s="2">
        <v>10</v>
      </c>
      <c r="P126" s="2">
        <f t="shared" si="56"/>
        <v>127.57</v>
      </c>
      <c r="Q126" s="2">
        <f t="shared" si="56"/>
        <v>12.76</v>
      </c>
      <c r="R126" s="2">
        <f t="shared" si="56"/>
        <v>1335.65</v>
      </c>
      <c r="S126" s="2">
        <f t="shared" si="56"/>
        <v>133.57</v>
      </c>
      <c r="T126" s="2">
        <f t="shared" si="56"/>
        <v>15.95</v>
      </c>
      <c r="U126" s="2">
        <f t="shared" si="56"/>
        <v>1.59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3">
        <v>353001</v>
      </c>
      <c r="AB126" s="14" t="s">
        <v>403</v>
      </c>
      <c r="AC126" s="15" t="s">
        <v>889</v>
      </c>
      <c r="AD126">
        <v>3065300</v>
      </c>
      <c r="AE126" s="2">
        <v>15</v>
      </c>
      <c r="AF126" s="2">
        <v>1</v>
      </c>
      <c r="AG126" s="2">
        <f t="shared" si="53"/>
        <v>3055300</v>
      </c>
      <c r="AH126" s="2">
        <v>1</v>
      </c>
      <c r="AI126" s="2"/>
      <c r="AJ126">
        <v>1</v>
      </c>
      <c r="AK126" s="1">
        <f t="shared" si="34"/>
        <v>50.133976157420548</v>
      </c>
      <c r="AL126">
        <v>5</v>
      </c>
      <c r="AM126">
        <f t="shared" si="43"/>
        <v>127.57333333333332</v>
      </c>
      <c r="AN126">
        <f t="shared" si="44"/>
        <v>12.757333333333333</v>
      </c>
      <c r="AO126">
        <f t="shared" si="45"/>
        <v>1335.6521739130437</v>
      </c>
      <c r="AP126">
        <f t="shared" si="46"/>
        <v>133.56521739130437</v>
      </c>
      <c r="AQ126">
        <f t="shared" si="35"/>
        <v>15.946666666666665</v>
      </c>
      <c r="AR126">
        <f t="shared" si="36"/>
        <v>1.5946666666666667</v>
      </c>
      <c r="AS126">
        <f t="shared" si="37"/>
        <v>1.3</v>
      </c>
      <c r="AT126">
        <f t="shared" si="38"/>
        <v>2</v>
      </c>
      <c r="AU126">
        <f t="shared" si="39"/>
        <v>6</v>
      </c>
      <c r="AV126">
        <f t="shared" si="52"/>
        <v>3005</v>
      </c>
      <c r="AW126" s="1">
        <v>0</v>
      </c>
      <c r="AX126">
        <v>3</v>
      </c>
      <c r="AY126">
        <v>0</v>
      </c>
      <c r="BA126" s="3" t="s">
        <v>428</v>
      </c>
      <c r="BB126">
        <v>4</v>
      </c>
      <c r="BC126">
        <v>260</v>
      </c>
      <c r="BD126">
        <v>0</v>
      </c>
      <c r="BE126">
        <f>((BF$4*INDEX($BB$106:$BO$106,MATCH($BB126,$BB$105:$BO$105,0)))+BF$4*INDEX($BB$106:$BO$106,MATCH($BB126,$BB$105:$BO$105,0))*0.1*$BC126)</f>
        <v>3024.0000000000005</v>
      </c>
      <c r="BF126">
        <f>((BG$4*INDEX($BB$106:$BO$106,MATCH($BB126,$BB$105:$BO$105,0)))+BG$4*INDEX($BB$106:$BO$106,MATCH($BB126,$BB$105:$BO$105,0))*0.1*$BC126)</f>
        <v>36288</v>
      </c>
      <c r="BG126">
        <f>((BH$4*INDEX($BB$106:$BO$106,MATCH($BB126,$BB$105:$BO$105,0)))+BH$4*INDEX($BB$106:$BO$106,MATCH($BB126,$BB$105:$BO$105,0))*0.1*$BC126)</f>
        <v>756.00000000000011</v>
      </c>
      <c r="BI126">
        <f>BE126+IF($BB129&lt;&gt;"",INDEX($BI$113:$BI$123,MATCH($BB129,$BB$113:$BB$123,0)),0)+IF($BC129&lt;&gt;"",INDEX($BI$113:$BI$123,MATCH($BC129,$BB$113:$BB$123,0)),0)+IF($BD129&lt;&gt;"",INDEX($BI$113:$BI$123,MATCH($BD129,$BB$113:$BB$123,0)),0)+IF($BE129&lt;&gt;"",INDEX($BI$113:$BI$123,MATCH($BE129,$BB$113:$BB$123,0)),0)+IF($BF129&lt;&gt;"",INDEX($BI$113:$BI$123,MATCH($BF129,$BB$113:$BB$123,0)),0)</f>
        <v>18230.400000000001</v>
      </c>
      <c r="BJ126">
        <f>BF126+IF($BB129&lt;&gt;"",INDEX($BJ$113:$BJ$123,MATCH($BB129,$BB$113:$BB$123,0)),0)+IF($BC129&lt;&gt;"",INDEX($BJ$113:$BJ$123,MATCH($BC129,$BB$113:$BB$123,0)),0)+IF($BD129&lt;&gt;"",INDEX($BJ$113:$BJ$123,MATCH($BD129,$BB$113:$BB$123,0)),0)+IF($BE129&lt;&gt;"",INDEX($BJ$113:$BJ$123,MATCH($BE129,$BB$113:$BB$123,0)),0)+IF($BF129&lt;&gt;"",INDEX($BJ$113:$BJ$123,MATCH($BF129,$BB$113:$BB$123,0)),0)</f>
        <v>218764.80000000008</v>
      </c>
      <c r="BK126">
        <f>BG126+IF($BB129&lt;&gt;"",INDEX($BK$113:$BK$123,MATCH($BB129,$BB$113:$BB$123,0)),0)+IF($BC129&lt;&gt;"",INDEX($BK$113:$BK$123,MATCH($BC129,$BB$113:$BB$123,0)),0)+IF($BD129&lt;&gt;"",INDEX($BK$113:$BK$123,MATCH($BD129,$BB$113:$BB$123,0)),0)+IF($BE129&lt;&gt;"",INDEX($BK$113:$BK$123,MATCH($BE129,$BB$113:$BB$123,0)),0)+IF($BF129&lt;&gt;"",INDEX($BK$113:$BK$123,MATCH($BF129,$BB$113:$BB$123,0)),0)</f>
        <v>4557.6000000000004</v>
      </c>
      <c r="CE126" t="str">
        <f t="shared" si="47"/>
        <v>DATA_Class_Base25</v>
      </c>
      <c r="CF126" s="6" t="s">
        <v>366</v>
      </c>
    </row>
    <row r="127" spans="1:84">
      <c r="A127">
        <f t="shared" si="41"/>
        <v>3055302</v>
      </c>
      <c r="B127" s="6" t="s">
        <v>356</v>
      </c>
      <c r="C127">
        <v>5</v>
      </c>
      <c r="D127">
        <v>3</v>
      </c>
      <c r="E127">
        <v>5</v>
      </c>
      <c r="F127" s="3" t="s">
        <v>1602</v>
      </c>
      <c r="G127" s="3" t="s">
        <v>1602</v>
      </c>
      <c r="H127">
        <v>0</v>
      </c>
      <c r="I127">
        <v>0</v>
      </c>
      <c r="J127" s="2">
        <v>0</v>
      </c>
      <c r="K127" s="2" t="s">
        <v>358</v>
      </c>
      <c r="L127" s="2">
        <f t="shared" si="42"/>
        <v>3</v>
      </c>
      <c r="M127" s="2">
        <f t="shared" si="40"/>
        <v>1.4000000000000001</v>
      </c>
      <c r="N127" s="2">
        <f t="shared" si="40"/>
        <v>2</v>
      </c>
      <c r="O127" s="2">
        <v>10</v>
      </c>
      <c r="P127" s="2">
        <f t="shared" si="56"/>
        <v>143.36000000000001</v>
      </c>
      <c r="Q127" s="2">
        <f t="shared" si="56"/>
        <v>14.34</v>
      </c>
      <c r="R127" s="2">
        <f t="shared" si="56"/>
        <v>1280</v>
      </c>
      <c r="S127" s="2">
        <f t="shared" si="56"/>
        <v>128</v>
      </c>
      <c r="T127" s="2">
        <f t="shared" si="56"/>
        <v>20.48</v>
      </c>
      <c r="U127" s="2">
        <f t="shared" si="56"/>
        <v>2.0499999999999998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3">
        <v>353021</v>
      </c>
      <c r="AB127" s="14" t="s">
        <v>405</v>
      </c>
      <c r="AC127" s="15" t="s">
        <v>889</v>
      </c>
      <c r="AD127">
        <v>3065302</v>
      </c>
      <c r="AE127" s="2">
        <v>15</v>
      </c>
      <c r="AF127" s="2">
        <v>1</v>
      </c>
      <c r="AG127" s="2">
        <f t="shared" si="53"/>
        <v>3055302</v>
      </c>
      <c r="AH127" s="2">
        <v>1</v>
      </c>
      <c r="AI127" s="2"/>
      <c r="AJ127">
        <v>1</v>
      </c>
      <c r="AK127" s="1">
        <f t="shared" si="34"/>
        <v>50.184202743882835</v>
      </c>
      <c r="AL127">
        <v>5</v>
      </c>
      <c r="AM127">
        <f t="shared" si="43"/>
        <v>143.35999999999999</v>
      </c>
      <c r="AN127">
        <f t="shared" si="44"/>
        <v>14.335999999999999</v>
      </c>
      <c r="AO127">
        <f t="shared" si="45"/>
        <v>1280</v>
      </c>
      <c r="AP127">
        <f t="shared" si="46"/>
        <v>128</v>
      </c>
      <c r="AQ127">
        <f t="shared" si="35"/>
        <v>20.479999999999997</v>
      </c>
      <c r="AR127">
        <f t="shared" si="36"/>
        <v>2.0479999999999996</v>
      </c>
      <c r="AS127">
        <f t="shared" si="37"/>
        <v>1.4</v>
      </c>
      <c r="AT127">
        <f t="shared" si="38"/>
        <v>2</v>
      </c>
      <c r="AU127">
        <f t="shared" si="39"/>
        <v>3</v>
      </c>
      <c r="AV127">
        <f t="shared" si="52"/>
        <v>3025</v>
      </c>
      <c r="AW127" s="1">
        <v>2</v>
      </c>
      <c r="AX127">
        <v>3</v>
      </c>
      <c r="AY127">
        <v>0</v>
      </c>
      <c r="CE127" t="str">
        <f t="shared" si="47"/>
        <v>DATA_Class_Base26</v>
      </c>
      <c r="CF127" s="6" t="s">
        <v>369</v>
      </c>
    </row>
    <row r="128" spans="1:84">
      <c r="A128">
        <f t="shared" si="41"/>
        <v>3055400</v>
      </c>
      <c r="B128" s="6" t="s">
        <v>362</v>
      </c>
      <c r="C128">
        <v>5</v>
      </c>
      <c r="D128">
        <v>4</v>
      </c>
      <c r="E128">
        <v>5</v>
      </c>
      <c r="F128" s="3" t="s">
        <v>1603</v>
      </c>
      <c r="G128" s="3" t="s">
        <v>1603</v>
      </c>
      <c r="H128">
        <v>0</v>
      </c>
      <c r="I128">
        <v>0</v>
      </c>
      <c r="J128">
        <v>0</v>
      </c>
      <c r="K128" s="2" t="s">
        <v>364</v>
      </c>
      <c r="L128" s="2">
        <f t="shared" si="42"/>
        <v>6</v>
      </c>
      <c r="M128" s="2">
        <f t="shared" si="40"/>
        <v>1.4000000000000001</v>
      </c>
      <c r="N128" s="2">
        <f t="shared" si="40"/>
        <v>2</v>
      </c>
      <c r="O128" s="2">
        <v>10</v>
      </c>
      <c r="P128" s="2">
        <f t="shared" si="56"/>
        <v>149.33000000000001</v>
      </c>
      <c r="Q128" s="2">
        <f t="shared" si="56"/>
        <v>14.93</v>
      </c>
      <c r="R128" s="2">
        <f t="shared" si="56"/>
        <v>1228.8</v>
      </c>
      <c r="S128" s="2">
        <f t="shared" si="56"/>
        <v>122.88</v>
      </c>
      <c r="T128" s="2">
        <f t="shared" si="56"/>
        <v>24.89</v>
      </c>
      <c r="U128" s="2">
        <f t="shared" si="56"/>
        <v>2.4900000000000002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3">
        <v>354001</v>
      </c>
      <c r="AB128" s="14" t="s">
        <v>408</v>
      </c>
      <c r="AC128" s="15" t="s">
        <v>889</v>
      </c>
      <c r="AD128">
        <v>3065400</v>
      </c>
      <c r="AE128" s="2">
        <v>15</v>
      </c>
      <c r="AF128" s="2">
        <v>1</v>
      </c>
      <c r="AG128" s="2">
        <f t="shared" si="53"/>
        <v>3055400</v>
      </c>
      <c r="AH128" s="2">
        <v>1</v>
      </c>
      <c r="AI128" s="2"/>
      <c r="AJ128">
        <v>1</v>
      </c>
      <c r="AK128" s="1">
        <f t="shared" si="34"/>
        <v>50.233147188159194</v>
      </c>
      <c r="AL128">
        <v>5</v>
      </c>
      <c r="AM128">
        <f t="shared" si="43"/>
        <v>149.33333333333334</v>
      </c>
      <c r="AN128">
        <f t="shared" si="44"/>
        <v>14.933333333333335</v>
      </c>
      <c r="AO128">
        <f t="shared" si="45"/>
        <v>1228.8000000000002</v>
      </c>
      <c r="AP128">
        <f t="shared" si="46"/>
        <v>122.88000000000002</v>
      </c>
      <c r="AQ128">
        <f t="shared" si="35"/>
        <v>24.888888888888889</v>
      </c>
      <c r="AR128">
        <f t="shared" si="36"/>
        <v>2.4888888888888889</v>
      </c>
      <c r="AS128">
        <f t="shared" si="37"/>
        <v>1.4</v>
      </c>
      <c r="AT128">
        <f t="shared" si="38"/>
        <v>2</v>
      </c>
      <c r="AU128">
        <f t="shared" si="39"/>
        <v>6</v>
      </c>
      <c r="AV128">
        <f t="shared" si="52"/>
        <v>4005</v>
      </c>
      <c r="AW128" s="1">
        <v>0</v>
      </c>
      <c r="AX128">
        <v>3</v>
      </c>
      <c r="AY128">
        <v>0</v>
      </c>
      <c r="BB128" s="3" t="s">
        <v>429</v>
      </c>
      <c r="BC128" s="3" t="s">
        <v>430</v>
      </c>
      <c r="BD128" s="3" t="s">
        <v>431</v>
      </c>
      <c r="BE128" s="3" t="s">
        <v>432</v>
      </c>
      <c r="BF128" s="3" t="s">
        <v>433</v>
      </c>
      <c r="BM128" s="24"/>
      <c r="BR128">
        <v>30</v>
      </c>
      <c r="CE128" t="str">
        <f t="shared" si="47"/>
        <v>DATA_Class_Base27</v>
      </c>
      <c r="CF128" s="6" t="s">
        <v>371</v>
      </c>
    </row>
    <row r="129" spans="1:84">
      <c r="A129">
        <f t="shared" si="41"/>
        <v>3061200</v>
      </c>
      <c r="B129" s="6" t="s">
        <v>294</v>
      </c>
      <c r="C129">
        <v>6</v>
      </c>
      <c r="D129">
        <v>2</v>
      </c>
      <c r="E129">
        <v>1</v>
      </c>
      <c r="F129" s="3" t="s">
        <v>1571</v>
      </c>
      <c r="G129" s="3" t="s">
        <v>1571</v>
      </c>
      <c r="H129">
        <v>0</v>
      </c>
      <c r="I129">
        <v>0</v>
      </c>
      <c r="J129" s="2">
        <v>0</v>
      </c>
      <c r="K129" s="2" t="s">
        <v>314</v>
      </c>
      <c r="L129" s="2">
        <f t="shared" si="42"/>
        <v>3</v>
      </c>
      <c r="M129" s="2">
        <f t="shared" si="40"/>
        <v>1.5</v>
      </c>
      <c r="N129" s="2">
        <f t="shared" si="40"/>
        <v>1.2</v>
      </c>
      <c r="O129" s="2">
        <v>10</v>
      </c>
      <c r="P129" s="2">
        <f t="shared" si="56"/>
        <v>115.2</v>
      </c>
      <c r="Q129" s="2">
        <f t="shared" si="56"/>
        <v>11.52</v>
      </c>
      <c r="R129" s="2">
        <f t="shared" si="56"/>
        <v>2160</v>
      </c>
      <c r="S129" s="2">
        <f t="shared" si="56"/>
        <v>216</v>
      </c>
      <c r="T129" s="2">
        <f t="shared" si="56"/>
        <v>38.4</v>
      </c>
      <c r="U129" s="2">
        <f t="shared" si="56"/>
        <v>3.84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7">
        <v>312002</v>
      </c>
      <c r="AB129" s="14" t="s">
        <v>1553</v>
      </c>
      <c r="AC129" s="15" t="s">
        <v>889</v>
      </c>
      <c r="AD129" s="2">
        <v>3071200</v>
      </c>
      <c r="AE129" s="2">
        <v>0</v>
      </c>
      <c r="AF129" s="2">
        <v>2</v>
      </c>
      <c r="AG129" s="2">
        <v>6</v>
      </c>
      <c r="AH129" s="2">
        <v>2</v>
      </c>
      <c r="AI129" s="2"/>
      <c r="AJ129">
        <v>1</v>
      </c>
      <c r="AK129" s="1">
        <f t="shared" si="34"/>
        <v>63.76691409023433</v>
      </c>
      <c r="AL129">
        <v>6</v>
      </c>
      <c r="AM129">
        <f t="shared" si="43"/>
        <v>115.20000000000003</v>
      </c>
      <c r="AN129">
        <f t="shared" si="44"/>
        <v>11.520000000000003</v>
      </c>
      <c r="AO129">
        <f t="shared" si="45"/>
        <v>2160</v>
      </c>
      <c r="AP129">
        <f t="shared" si="46"/>
        <v>216</v>
      </c>
      <c r="AQ129">
        <f t="shared" si="35"/>
        <v>38.400000000000013</v>
      </c>
      <c r="AR129">
        <f t="shared" si="36"/>
        <v>3.8400000000000016</v>
      </c>
      <c r="AS129">
        <f t="shared" si="37"/>
        <v>1.5</v>
      </c>
      <c r="AT129">
        <f t="shared" si="38"/>
        <v>1.2</v>
      </c>
      <c r="AU129">
        <f t="shared" si="39"/>
        <v>3</v>
      </c>
      <c r="AV129">
        <f t="shared" si="52"/>
        <v>2001</v>
      </c>
      <c r="AW129" s="1">
        <v>0</v>
      </c>
      <c r="AX129">
        <v>3</v>
      </c>
      <c r="AY129">
        <v>0</v>
      </c>
      <c r="BB129">
        <v>13</v>
      </c>
      <c r="BC129">
        <v>13</v>
      </c>
      <c r="BD129">
        <v>13</v>
      </c>
      <c r="BE129">
        <v>13</v>
      </c>
      <c r="BF129">
        <v>13</v>
      </c>
      <c r="BG129" s="2"/>
      <c r="BM129" s="24"/>
      <c r="BP129" s="29"/>
      <c r="BQ129" s="29"/>
      <c r="BR129">
        <v>1</v>
      </c>
      <c r="CE129" t="str">
        <f t="shared" si="47"/>
        <v>DATA_Class_Base13</v>
      </c>
      <c r="CF129" s="6" t="s">
        <v>295</v>
      </c>
    </row>
    <row r="130" spans="1:84">
      <c r="A130">
        <f t="shared" si="41"/>
        <v>3061201</v>
      </c>
      <c r="B130" s="6" t="s">
        <v>296</v>
      </c>
      <c r="C130">
        <v>6</v>
      </c>
      <c r="D130">
        <v>2</v>
      </c>
      <c r="E130">
        <v>1</v>
      </c>
      <c r="F130" s="3" t="s">
        <v>1572</v>
      </c>
      <c r="G130" s="3" t="s">
        <v>1572</v>
      </c>
      <c r="H130">
        <v>0</v>
      </c>
      <c r="I130">
        <v>0</v>
      </c>
      <c r="J130" s="2">
        <v>0</v>
      </c>
      <c r="K130" s="8" t="s">
        <v>298</v>
      </c>
      <c r="L130" s="2">
        <f t="shared" si="42"/>
        <v>3</v>
      </c>
      <c r="M130" s="2">
        <f t="shared" si="40"/>
        <v>1.8</v>
      </c>
      <c r="N130" s="2">
        <f t="shared" si="40"/>
        <v>1.8</v>
      </c>
      <c r="O130" s="2">
        <v>10</v>
      </c>
      <c r="P130" s="2">
        <f t="shared" si="56"/>
        <v>86.4</v>
      </c>
      <c r="Q130" s="2">
        <f t="shared" si="56"/>
        <v>8.64</v>
      </c>
      <c r="R130" s="2">
        <f t="shared" si="56"/>
        <v>3456</v>
      </c>
      <c r="S130" s="2">
        <f t="shared" si="56"/>
        <v>345.6</v>
      </c>
      <c r="T130" s="2">
        <f t="shared" si="56"/>
        <v>43.2</v>
      </c>
      <c r="U130" s="2">
        <f t="shared" si="56"/>
        <v>4.32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7">
        <v>312012</v>
      </c>
      <c r="AB130" s="14" t="s">
        <v>1554</v>
      </c>
      <c r="AC130" s="15" t="s">
        <v>889</v>
      </c>
      <c r="AD130" s="2">
        <v>3071201</v>
      </c>
      <c r="AE130" s="2">
        <v>0</v>
      </c>
      <c r="AF130" s="2">
        <v>2</v>
      </c>
      <c r="AG130" s="2">
        <v>6</v>
      </c>
      <c r="AH130" s="2">
        <v>2</v>
      </c>
      <c r="AI130" s="2"/>
      <c r="AJ130">
        <v>1</v>
      </c>
      <c r="AK130" s="1">
        <f t="shared" si="34"/>
        <v>63.834898071269343</v>
      </c>
      <c r="AL130">
        <v>6</v>
      </c>
      <c r="AM130">
        <f t="shared" si="43"/>
        <v>86.4</v>
      </c>
      <c r="AN130">
        <f t="shared" si="44"/>
        <v>8.64</v>
      </c>
      <c r="AO130">
        <f t="shared" si="45"/>
        <v>3456</v>
      </c>
      <c r="AP130">
        <f t="shared" si="46"/>
        <v>345.6</v>
      </c>
      <c r="AQ130">
        <f t="shared" si="35"/>
        <v>43.2</v>
      </c>
      <c r="AR130">
        <f t="shared" si="36"/>
        <v>4.32</v>
      </c>
      <c r="AS130">
        <f t="shared" si="37"/>
        <v>1.8</v>
      </c>
      <c r="AT130">
        <f t="shared" si="38"/>
        <v>1.8</v>
      </c>
      <c r="AU130">
        <f t="shared" si="39"/>
        <v>3</v>
      </c>
      <c r="AV130">
        <f t="shared" si="52"/>
        <v>2011</v>
      </c>
      <c r="AW130" s="1">
        <v>1</v>
      </c>
      <c r="AX130">
        <v>3</v>
      </c>
      <c r="AY130">
        <v>0</v>
      </c>
      <c r="BK130" s="3"/>
      <c r="BL130" s="3"/>
      <c r="BR130">
        <v>120</v>
      </c>
      <c r="CE130" t="str">
        <f t="shared" si="47"/>
        <v>DATA_Class_Base14</v>
      </c>
      <c r="CF130" s="6" t="s">
        <v>300</v>
      </c>
    </row>
    <row r="131" spans="1:84">
      <c r="A131">
        <f t="shared" si="41"/>
        <v>3061202</v>
      </c>
      <c r="B131" s="6" t="s">
        <v>278</v>
      </c>
      <c r="C131">
        <v>6</v>
      </c>
      <c r="D131">
        <v>2</v>
      </c>
      <c r="E131">
        <v>1</v>
      </c>
      <c r="F131" s="3" t="s">
        <v>1573</v>
      </c>
      <c r="G131" s="3" t="s">
        <v>1573</v>
      </c>
      <c r="H131">
        <v>0</v>
      </c>
      <c r="I131">
        <v>0</v>
      </c>
      <c r="J131">
        <v>0</v>
      </c>
      <c r="K131" s="2" t="s">
        <v>280</v>
      </c>
      <c r="L131" s="2">
        <f t="shared" si="42"/>
        <v>3</v>
      </c>
      <c r="M131" s="2">
        <f t="shared" si="40"/>
        <v>1.8</v>
      </c>
      <c r="N131" s="2">
        <f t="shared" si="40"/>
        <v>2</v>
      </c>
      <c r="O131" s="2">
        <v>10</v>
      </c>
      <c r="P131" s="2">
        <f t="shared" si="56"/>
        <v>138.24</v>
      </c>
      <c r="Q131" s="2">
        <f t="shared" si="56"/>
        <v>13.82</v>
      </c>
      <c r="R131" s="2">
        <f t="shared" si="56"/>
        <v>2160</v>
      </c>
      <c r="S131" s="2">
        <f t="shared" si="56"/>
        <v>216</v>
      </c>
      <c r="T131" s="2">
        <f t="shared" si="56"/>
        <v>34.56</v>
      </c>
      <c r="U131" s="2">
        <f t="shared" si="56"/>
        <v>3.46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7">
        <v>312022</v>
      </c>
      <c r="AB131" s="14" t="s">
        <v>367</v>
      </c>
      <c r="AC131" s="15" t="s">
        <v>889</v>
      </c>
      <c r="AD131" s="2">
        <v>3071202</v>
      </c>
      <c r="AE131" s="2">
        <v>0</v>
      </c>
      <c r="AF131" s="2">
        <v>2</v>
      </c>
      <c r="AG131" s="2">
        <v>6</v>
      </c>
      <c r="AH131" s="2">
        <v>2</v>
      </c>
      <c r="AI131" s="2"/>
      <c r="AJ131">
        <v>1</v>
      </c>
      <c r="AK131" s="1">
        <f t="shared" si="34"/>
        <v>63.712631076601646</v>
      </c>
      <c r="AL131">
        <v>6</v>
      </c>
      <c r="AM131">
        <f t="shared" si="43"/>
        <v>138.24000000000004</v>
      </c>
      <c r="AN131">
        <f t="shared" si="44"/>
        <v>13.824000000000005</v>
      </c>
      <c r="AO131">
        <f t="shared" si="45"/>
        <v>2160</v>
      </c>
      <c r="AP131">
        <f t="shared" si="46"/>
        <v>216</v>
      </c>
      <c r="AQ131">
        <f t="shared" si="35"/>
        <v>34.560000000000009</v>
      </c>
      <c r="AR131">
        <f t="shared" si="36"/>
        <v>3.4560000000000013</v>
      </c>
      <c r="AS131">
        <f t="shared" si="37"/>
        <v>1.8</v>
      </c>
      <c r="AT131">
        <f t="shared" si="38"/>
        <v>2</v>
      </c>
      <c r="AU131">
        <f t="shared" si="39"/>
        <v>3</v>
      </c>
      <c r="AV131">
        <f t="shared" si="52"/>
        <v>2021</v>
      </c>
      <c r="AW131" s="1">
        <v>2</v>
      </c>
      <c r="AX131">
        <v>3</v>
      </c>
      <c r="AY131">
        <v>0</v>
      </c>
      <c r="BM131" s="24"/>
      <c r="CE131" t="str">
        <f t="shared" si="47"/>
        <v>DATA_Class_Base15</v>
      </c>
      <c r="CF131" s="6" t="s">
        <v>306</v>
      </c>
    </row>
    <row r="132" spans="1:84">
      <c r="A132">
        <f t="shared" si="41"/>
        <v>3061301</v>
      </c>
      <c r="B132" s="6" t="s">
        <v>283</v>
      </c>
      <c r="C132">
        <v>6</v>
      </c>
      <c r="D132">
        <v>3</v>
      </c>
      <c r="E132">
        <v>1</v>
      </c>
      <c r="F132" s="3" t="s">
        <v>1574</v>
      </c>
      <c r="G132" s="3" t="s">
        <v>1574</v>
      </c>
      <c r="H132">
        <v>0</v>
      </c>
      <c r="I132">
        <v>0</v>
      </c>
      <c r="J132" s="2">
        <v>0</v>
      </c>
      <c r="K132" s="2" t="s">
        <v>285</v>
      </c>
      <c r="L132" s="2">
        <f t="shared" si="42"/>
        <v>3</v>
      </c>
      <c r="M132" s="2">
        <f t="shared" si="40"/>
        <v>1.2</v>
      </c>
      <c r="N132" s="2">
        <f t="shared" si="40"/>
        <v>2</v>
      </c>
      <c r="O132" s="2">
        <v>10</v>
      </c>
      <c r="P132" s="2">
        <f t="shared" si="56"/>
        <v>126.72</v>
      </c>
      <c r="Q132" s="2">
        <f t="shared" si="56"/>
        <v>12.67</v>
      </c>
      <c r="R132" s="2">
        <f t="shared" si="56"/>
        <v>1570.91</v>
      </c>
      <c r="S132" s="2">
        <f t="shared" si="56"/>
        <v>157.09</v>
      </c>
      <c r="T132" s="2">
        <f t="shared" si="56"/>
        <v>21.12</v>
      </c>
      <c r="U132" s="2">
        <f t="shared" si="56"/>
        <v>2.11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7">
        <v>313012</v>
      </c>
      <c r="AB132" s="14" t="s">
        <v>370</v>
      </c>
      <c r="AC132" s="15" t="s">
        <v>889</v>
      </c>
      <c r="AD132" s="2">
        <v>3071301</v>
      </c>
      <c r="AE132" s="2">
        <v>0</v>
      </c>
      <c r="AF132" s="2">
        <v>2</v>
      </c>
      <c r="AG132" s="2">
        <v>6</v>
      </c>
      <c r="AH132" s="2">
        <v>2</v>
      </c>
      <c r="AI132" s="2"/>
      <c r="AJ132">
        <v>1</v>
      </c>
      <c r="AK132" s="1">
        <f t="shared" ref="AK132:AK195" si="57">(AO132+AP132*AJ132)*(AM132+AN132*AJ132)/AS132*(0.9)*(1+0.5*0.1)*1/1/(1-(AQ132+AR132*AJ132)*0.0002)/3000</f>
        <v>63.523366168565651</v>
      </c>
      <c r="AL132">
        <v>6</v>
      </c>
      <c r="AM132">
        <f t="shared" si="43"/>
        <v>126.72000000000001</v>
      </c>
      <c r="AN132">
        <f t="shared" si="44"/>
        <v>12.672000000000002</v>
      </c>
      <c r="AO132">
        <f t="shared" si="45"/>
        <v>1570.909090909091</v>
      </c>
      <c r="AP132">
        <f t="shared" si="46"/>
        <v>157.09090909090912</v>
      </c>
      <c r="AQ132">
        <f t="shared" ref="AQ132:AQ195" si="58">$AM132/INDEX($BD$5:$BD$58,MATCH($AV132,$AZ$5:$AZ$58,0))</f>
        <v>21.12</v>
      </c>
      <c r="AR132">
        <f t="shared" ref="AR132:AR195" si="59">AQ132*0.1</f>
        <v>2.1120000000000001</v>
      </c>
      <c r="AS132">
        <f t="shared" ref="AS132:AS195" si="60">INDEX($BE$5:$BE$58,MATCH($AV132,$AZ$5:$AZ$58,0))</f>
        <v>1.2</v>
      </c>
      <c r="AT132">
        <f t="shared" ref="AT132:AT195" si="61">ROUND(IF(INDEX($BM$5:$BM$58,MATCH($AV132,$AZ$5:$AZ$58,0))&lt;2,INDEX($BM$5:$BM$58,MATCH($AV132,$AZ$5:$AZ$58,0))+0.2,2),1)</f>
        <v>2</v>
      </c>
      <c r="AU132">
        <f t="shared" ref="AU132:AU195" si="62">INDEX($BI$5:$BI$58,MATCH($AV132,$AZ$5:$AZ$58,0))</f>
        <v>3</v>
      </c>
      <c r="AV132">
        <f t="shared" si="52"/>
        <v>3011</v>
      </c>
      <c r="AW132" s="1">
        <v>1</v>
      </c>
      <c r="AX132">
        <v>3</v>
      </c>
      <c r="AY132">
        <v>0</v>
      </c>
      <c r="BC132" s="2"/>
      <c r="BG132" s="2"/>
      <c r="CE132" t="str">
        <f t="shared" si="47"/>
        <v>DATA_Class_Base16</v>
      </c>
      <c r="CF132" s="6" t="s">
        <v>312</v>
      </c>
    </row>
    <row r="133" spans="1:84">
      <c r="A133">
        <f t="shared" si="41"/>
        <v>3061401</v>
      </c>
      <c r="B133" s="6" t="s">
        <v>317</v>
      </c>
      <c r="C133">
        <v>6</v>
      </c>
      <c r="D133">
        <v>4</v>
      </c>
      <c r="E133">
        <v>1</v>
      </c>
      <c r="F133" s="3" t="s">
        <v>1575</v>
      </c>
      <c r="G133" s="3" t="s">
        <v>1575</v>
      </c>
      <c r="H133">
        <v>0</v>
      </c>
      <c r="I133">
        <v>0</v>
      </c>
      <c r="J133" s="2">
        <v>0</v>
      </c>
      <c r="K133" s="2" t="s">
        <v>161</v>
      </c>
      <c r="L133" s="2">
        <f t="shared" si="42"/>
        <v>6</v>
      </c>
      <c r="M133" s="2">
        <f t="shared" si="40"/>
        <v>1.6</v>
      </c>
      <c r="N133" s="2">
        <f t="shared" si="40"/>
        <v>2</v>
      </c>
      <c r="O133" s="2">
        <v>10</v>
      </c>
      <c r="P133" s="2">
        <f t="shared" si="56"/>
        <v>168.96</v>
      </c>
      <c r="Q133" s="2">
        <f t="shared" si="56"/>
        <v>16.899999999999999</v>
      </c>
      <c r="R133" s="2">
        <f t="shared" si="56"/>
        <v>1570.91</v>
      </c>
      <c r="S133" s="2">
        <f t="shared" si="56"/>
        <v>157.09</v>
      </c>
      <c r="T133" s="2">
        <f t="shared" si="56"/>
        <v>33.79</v>
      </c>
      <c r="U133" s="2">
        <f t="shared" si="56"/>
        <v>3.38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7">
        <v>314012</v>
      </c>
      <c r="AB133" s="14" t="s">
        <v>1555</v>
      </c>
      <c r="AC133" s="15" t="s">
        <v>889</v>
      </c>
      <c r="AD133" s="2">
        <v>3071401</v>
      </c>
      <c r="AE133" s="2">
        <v>0</v>
      </c>
      <c r="AF133" s="2">
        <v>2</v>
      </c>
      <c r="AG133" s="2">
        <v>6</v>
      </c>
      <c r="AH133" s="2">
        <v>2</v>
      </c>
      <c r="AI133" s="2"/>
      <c r="AJ133">
        <v>1</v>
      </c>
      <c r="AK133" s="1">
        <f t="shared" si="57"/>
        <v>63.701785562298689</v>
      </c>
      <c r="AL133">
        <v>6</v>
      </c>
      <c r="AM133">
        <f t="shared" si="43"/>
        <v>168.96000000000004</v>
      </c>
      <c r="AN133">
        <f t="shared" si="44"/>
        <v>16.896000000000004</v>
      </c>
      <c r="AO133">
        <f t="shared" si="45"/>
        <v>1570.909090909091</v>
      </c>
      <c r="AP133">
        <f t="shared" si="46"/>
        <v>157.09090909090912</v>
      </c>
      <c r="AQ133">
        <f t="shared" si="58"/>
        <v>33.792000000000009</v>
      </c>
      <c r="AR133">
        <f t="shared" si="59"/>
        <v>3.3792000000000009</v>
      </c>
      <c r="AS133">
        <f t="shared" si="60"/>
        <v>1.6</v>
      </c>
      <c r="AT133">
        <f t="shared" si="61"/>
        <v>2</v>
      </c>
      <c r="AU133">
        <f t="shared" si="62"/>
        <v>6</v>
      </c>
      <c r="AV133">
        <f t="shared" si="52"/>
        <v>4011</v>
      </c>
      <c r="AW133" s="1">
        <v>1</v>
      </c>
      <c r="AX133">
        <v>3</v>
      </c>
      <c r="AY133">
        <v>0</v>
      </c>
      <c r="CE133" t="str">
        <f t="shared" si="47"/>
        <v>DATA_Class_Base17</v>
      </c>
      <c r="CF133" s="6" t="s">
        <v>318</v>
      </c>
    </row>
    <row r="134" spans="1:84">
      <c r="A134">
        <f t="shared" si="41"/>
        <v>3061402</v>
      </c>
      <c r="B134" s="6" t="s">
        <v>323</v>
      </c>
      <c r="C134">
        <v>6</v>
      </c>
      <c r="D134">
        <v>4</v>
      </c>
      <c r="E134">
        <v>1</v>
      </c>
      <c r="F134" s="3" t="s">
        <v>1576</v>
      </c>
      <c r="G134" s="3" t="s">
        <v>1576</v>
      </c>
      <c r="H134">
        <v>0</v>
      </c>
      <c r="I134">
        <v>0</v>
      </c>
      <c r="J134">
        <v>0</v>
      </c>
      <c r="K134" s="2" t="s">
        <v>250</v>
      </c>
      <c r="L134" s="2">
        <f t="shared" si="42"/>
        <v>6</v>
      </c>
      <c r="M134" s="2">
        <f t="shared" si="40"/>
        <v>1.5</v>
      </c>
      <c r="N134" s="2">
        <f t="shared" si="40"/>
        <v>1.5</v>
      </c>
      <c r="O134" s="2">
        <v>10</v>
      </c>
      <c r="P134" s="2">
        <f t="shared" si="56"/>
        <v>172.8</v>
      </c>
      <c r="Q134" s="2">
        <f t="shared" si="56"/>
        <v>17.28</v>
      </c>
      <c r="R134" s="2">
        <f t="shared" si="56"/>
        <v>1440</v>
      </c>
      <c r="S134" s="2">
        <f t="shared" si="56"/>
        <v>144</v>
      </c>
      <c r="T134" s="2">
        <f t="shared" si="56"/>
        <v>28.8</v>
      </c>
      <c r="U134" s="2">
        <f t="shared" si="56"/>
        <v>2.88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7">
        <v>314022</v>
      </c>
      <c r="AB134" s="14" t="s">
        <v>1556</v>
      </c>
      <c r="AC134" s="15" t="s">
        <v>889</v>
      </c>
      <c r="AD134" s="2">
        <v>3071402</v>
      </c>
      <c r="AE134" s="2">
        <v>0</v>
      </c>
      <c r="AF134" s="2">
        <v>2</v>
      </c>
      <c r="AG134" s="2">
        <v>6</v>
      </c>
      <c r="AH134" s="2">
        <v>2</v>
      </c>
      <c r="AI134" s="2"/>
      <c r="AJ134">
        <v>1</v>
      </c>
      <c r="AK134" s="1">
        <f t="shared" si="57"/>
        <v>63.631379621280438</v>
      </c>
      <c r="AL134">
        <v>6</v>
      </c>
      <c r="AM134">
        <f t="shared" si="43"/>
        <v>172.8</v>
      </c>
      <c r="AN134">
        <f t="shared" si="44"/>
        <v>17.28</v>
      </c>
      <c r="AO134">
        <f t="shared" si="45"/>
        <v>1440</v>
      </c>
      <c r="AP134">
        <f t="shared" si="46"/>
        <v>144</v>
      </c>
      <c r="AQ134">
        <f t="shared" si="58"/>
        <v>28.8</v>
      </c>
      <c r="AR134">
        <f t="shared" si="59"/>
        <v>2.8800000000000003</v>
      </c>
      <c r="AS134">
        <f t="shared" si="60"/>
        <v>1.5</v>
      </c>
      <c r="AT134">
        <f t="shared" si="61"/>
        <v>1.5</v>
      </c>
      <c r="AU134">
        <f t="shared" si="62"/>
        <v>6</v>
      </c>
      <c r="AV134">
        <f t="shared" si="52"/>
        <v>4021</v>
      </c>
      <c r="AW134" s="1">
        <v>2</v>
      </c>
      <c r="AX134">
        <v>3</v>
      </c>
      <c r="AY134">
        <v>0</v>
      </c>
      <c r="CE134" t="str">
        <f t="shared" si="47"/>
        <v>DATA_Class_Base18</v>
      </c>
      <c r="CF134" s="6" t="s">
        <v>324</v>
      </c>
    </row>
    <row r="135" spans="1:84">
      <c r="A135">
        <f t="shared" si="41"/>
        <v>3061500</v>
      </c>
      <c r="B135" s="6" t="s">
        <v>301</v>
      </c>
      <c r="C135">
        <v>6</v>
      </c>
      <c r="D135">
        <v>5</v>
      </c>
      <c r="E135">
        <v>1</v>
      </c>
      <c r="F135" s="3" t="s">
        <v>1577</v>
      </c>
      <c r="G135" s="3" t="s">
        <v>1577</v>
      </c>
      <c r="H135">
        <v>0</v>
      </c>
      <c r="I135">
        <v>0</v>
      </c>
      <c r="J135">
        <v>0</v>
      </c>
      <c r="K135" s="2" t="s">
        <v>303</v>
      </c>
      <c r="L135" s="2">
        <f t="shared" si="42"/>
        <v>6</v>
      </c>
      <c r="M135" s="2">
        <f t="shared" si="40"/>
        <v>1.5</v>
      </c>
      <c r="N135" s="2">
        <f t="shared" si="40"/>
        <v>1.5</v>
      </c>
      <c r="O135" s="2">
        <v>10</v>
      </c>
      <c r="P135" s="2">
        <f t="shared" si="56"/>
        <v>201.6</v>
      </c>
      <c r="Q135" s="2">
        <f t="shared" si="56"/>
        <v>20.16</v>
      </c>
      <c r="R135" s="2">
        <f t="shared" si="56"/>
        <v>1234.29</v>
      </c>
      <c r="S135" s="2">
        <f t="shared" si="56"/>
        <v>123.43</v>
      </c>
      <c r="T135" s="2">
        <f t="shared" si="56"/>
        <v>28.8</v>
      </c>
      <c r="U135" s="2">
        <f t="shared" si="56"/>
        <v>2.88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7">
        <v>315002</v>
      </c>
      <c r="AB135" s="14" t="s">
        <v>1557</v>
      </c>
      <c r="AC135" s="15" t="s">
        <v>889</v>
      </c>
      <c r="AD135" s="2">
        <v>3071500</v>
      </c>
      <c r="AE135" s="2">
        <v>0</v>
      </c>
      <c r="AF135" s="2">
        <v>2</v>
      </c>
      <c r="AG135" s="2">
        <v>6</v>
      </c>
      <c r="AH135" s="2">
        <v>2</v>
      </c>
      <c r="AI135" s="2"/>
      <c r="AJ135">
        <v>1</v>
      </c>
      <c r="AK135" s="1">
        <f t="shared" si="57"/>
        <v>63.631379621280423</v>
      </c>
      <c r="AL135">
        <v>6</v>
      </c>
      <c r="AM135">
        <f t="shared" si="43"/>
        <v>201.59999999999997</v>
      </c>
      <c r="AN135">
        <f t="shared" si="44"/>
        <v>20.159999999999997</v>
      </c>
      <c r="AO135">
        <f t="shared" si="45"/>
        <v>1234.2857142857144</v>
      </c>
      <c r="AP135">
        <f t="shared" si="46"/>
        <v>123.42857142857144</v>
      </c>
      <c r="AQ135">
        <f t="shared" si="58"/>
        <v>28.799999999999994</v>
      </c>
      <c r="AR135">
        <f t="shared" si="59"/>
        <v>2.8799999999999994</v>
      </c>
      <c r="AS135">
        <f t="shared" si="60"/>
        <v>1.5</v>
      </c>
      <c r="AT135">
        <f t="shared" si="61"/>
        <v>1.5</v>
      </c>
      <c r="AU135">
        <f t="shared" si="62"/>
        <v>6</v>
      </c>
      <c r="AV135">
        <f t="shared" si="52"/>
        <v>5001</v>
      </c>
      <c r="AW135" s="1">
        <v>0</v>
      </c>
      <c r="AX135">
        <v>3</v>
      </c>
      <c r="AY135">
        <v>0</v>
      </c>
      <c r="CE135" t="str">
        <f t="shared" si="47"/>
        <v>DATA_Class_Base19</v>
      </c>
      <c r="CF135" s="6" t="s">
        <v>331</v>
      </c>
    </row>
    <row r="136" spans="1:84">
      <c r="A136">
        <f t="shared" si="41"/>
        <v>3061502</v>
      </c>
      <c r="B136" s="6" t="s">
        <v>289</v>
      </c>
      <c r="C136">
        <v>6</v>
      </c>
      <c r="D136">
        <v>5</v>
      </c>
      <c r="E136">
        <v>1</v>
      </c>
      <c r="F136" s="3" t="s">
        <v>1578</v>
      </c>
      <c r="G136" s="3" t="s">
        <v>1578</v>
      </c>
      <c r="H136">
        <v>0</v>
      </c>
      <c r="I136">
        <v>0</v>
      </c>
      <c r="J136" s="2">
        <v>0</v>
      </c>
      <c r="K136" s="2" t="s">
        <v>291</v>
      </c>
      <c r="L136" s="2">
        <f t="shared" si="42"/>
        <v>6</v>
      </c>
      <c r="M136" s="2">
        <f t="shared" si="40"/>
        <v>1.4000000000000001</v>
      </c>
      <c r="N136" s="2">
        <f t="shared" si="40"/>
        <v>2</v>
      </c>
      <c r="O136" s="2">
        <v>10</v>
      </c>
      <c r="P136" s="2">
        <f t="shared" si="56"/>
        <v>174.72</v>
      </c>
      <c r="Q136" s="2">
        <f t="shared" si="56"/>
        <v>17.47</v>
      </c>
      <c r="R136" s="2">
        <f t="shared" si="56"/>
        <v>1329.23</v>
      </c>
      <c r="S136" s="2">
        <f t="shared" si="56"/>
        <v>132.91999999999999</v>
      </c>
      <c r="T136" s="2">
        <f t="shared" si="56"/>
        <v>26.88</v>
      </c>
      <c r="U136" s="2">
        <f t="shared" si="56"/>
        <v>2.69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7">
        <v>315022</v>
      </c>
      <c r="AB136" s="14" t="s">
        <v>372</v>
      </c>
      <c r="AC136" s="15" t="s">
        <v>889</v>
      </c>
      <c r="AD136" s="2">
        <v>3071502</v>
      </c>
      <c r="AE136" s="2">
        <v>0</v>
      </c>
      <c r="AF136" s="2">
        <v>2</v>
      </c>
      <c r="AG136" s="2">
        <v>6</v>
      </c>
      <c r="AH136" s="2">
        <v>2</v>
      </c>
      <c r="AI136" s="2"/>
      <c r="AJ136">
        <v>1</v>
      </c>
      <c r="AK136" s="1">
        <f t="shared" si="57"/>
        <v>63.604341835880653</v>
      </c>
      <c r="AL136">
        <v>6</v>
      </c>
      <c r="AM136">
        <f t="shared" si="43"/>
        <v>174.71999999999997</v>
      </c>
      <c r="AN136">
        <f t="shared" si="44"/>
        <v>17.471999999999998</v>
      </c>
      <c r="AO136">
        <f t="shared" si="45"/>
        <v>1329.2307692307691</v>
      </c>
      <c r="AP136">
        <f t="shared" si="46"/>
        <v>132.92307692307691</v>
      </c>
      <c r="AQ136">
        <f t="shared" si="58"/>
        <v>26.879999999999995</v>
      </c>
      <c r="AR136">
        <f t="shared" si="59"/>
        <v>2.6879999999999997</v>
      </c>
      <c r="AS136">
        <f t="shared" si="60"/>
        <v>1.4</v>
      </c>
      <c r="AT136">
        <f t="shared" si="61"/>
        <v>2</v>
      </c>
      <c r="AU136">
        <f t="shared" si="62"/>
        <v>6</v>
      </c>
      <c r="AV136">
        <f t="shared" si="52"/>
        <v>5021</v>
      </c>
      <c r="AW136" s="1">
        <v>2</v>
      </c>
      <c r="AX136">
        <v>3</v>
      </c>
      <c r="AY136">
        <v>0</v>
      </c>
      <c r="BC136" s="3"/>
      <c r="CE136" t="str">
        <f t="shared" si="47"/>
        <v>DATA_Class_Base20</v>
      </c>
      <c r="CF136" s="6" t="s">
        <v>336</v>
      </c>
    </row>
    <row r="137" spans="1:84">
      <c r="A137">
        <f t="shared" si="41"/>
        <v>3061601</v>
      </c>
      <c r="B137" s="6" t="s">
        <v>307</v>
      </c>
      <c r="C137">
        <v>6</v>
      </c>
      <c r="D137">
        <v>6</v>
      </c>
      <c r="E137">
        <v>1</v>
      </c>
      <c r="F137" s="3" t="s">
        <v>1579</v>
      </c>
      <c r="G137" s="3" t="s">
        <v>1579</v>
      </c>
      <c r="H137">
        <v>0</v>
      </c>
      <c r="I137">
        <v>0</v>
      </c>
      <c r="J137">
        <v>0</v>
      </c>
      <c r="K137" s="2" t="s">
        <v>309</v>
      </c>
      <c r="L137" s="2">
        <f t="shared" si="42"/>
        <v>6</v>
      </c>
      <c r="M137" s="2">
        <f t="shared" ref="M137:N200" si="63">FLOOR(AS137/1,0.01)</f>
        <v>1.5</v>
      </c>
      <c r="N137" s="2">
        <f t="shared" si="63"/>
        <v>2</v>
      </c>
      <c r="O137" s="2">
        <v>10</v>
      </c>
      <c r="P137" s="2">
        <f t="shared" si="56"/>
        <v>144</v>
      </c>
      <c r="Q137" s="2">
        <f t="shared" si="56"/>
        <v>14.4</v>
      </c>
      <c r="R137" s="2">
        <f t="shared" si="56"/>
        <v>1728</v>
      </c>
      <c r="S137" s="2">
        <f t="shared" si="56"/>
        <v>172.8</v>
      </c>
      <c r="T137" s="2">
        <f t="shared" si="56"/>
        <v>36</v>
      </c>
      <c r="U137" s="2">
        <f t="shared" si="56"/>
        <v>3.6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7">
        <v>316012</v>
      </c>
      <c r="AB137" s="14" t="s">
        <v>1558</v>
      </c>
      <c r="AC137" s="15" t="s">
        <v>889</v>
      </c>
      <c r="AD137" s="2">
        <v>3071601</v>
      </c>
      <c r="AE137" s="2">
        <v>0</v>
      </c>
      <c r="AF137" s="2">
        <v>2</v>
      </c>
      <c r="AG137" s="2">
        <v>6</v>
      </c>
      <c r="AH137" s="2">
        <v>2</v>
      </c>
      <c r="AI137" s="2"/>
      <c r="AJ137">
        <v>1</v>
      </c>
      <c r="AK137" s="1">
        <f t="shared" si="57"/>
        <v>63.732976372873161</v>
      </c>
      <c r="AL137">
        <v>6</v>
      </c>
      <c r="AM137">
        <f t="shared" si="43"/>
        <v>144</v>
      </c>
      <c r="AN137">
        <f t="shared" si="44"/>
        <v>14.4</v>
      </c>
      <c r="AO137">
        <f t="shared" si="45"/>
        <v>1728</v>
      </c>
      <c r="AP137">
        <f t="shared" si="46"/>
        <v>172.8</v>
      </c>
      <c r="AQ137">
        <f t="shared" si="58"/>
        <v>36</v>
      </c>
      <c r="AR137">
        <f t="shared" si="59"/>
        <v>3.6</v>
      </c>
      <c r="AS137">
        <f t="shared" si="60"/>
        <v>1.5</v>
      </c>
      <c r="AT137">
        <f t="shared" si="61"/>
        <v>2</v>
      </c>
      <c r="AU137">
        <f t="shared" si="62"/>
        <v>6</v>
      </c>
      <c r="AV137">
        <f t="shared" si="52"/>
        <v>6011</v>
      </c>
      <c r="AW137" s="1">
        <v>1</v>
      </c>
      <c r="AX137">
        <v>3</v>
      </c>
      <c r="AY137">
        <v>0</v>
      </c>
      <c r="BC137" s="3"/>
      <c r="CE137" t="str">
        <f t="shared" si="47"/>
        <v>DATA_Class_Base21</v>
      </c>
      <c r="CF137" s="6" t="s">
        <v>342</v>
      </c>
    </row>
    <row r="138" spans="1:84">
      <c r="A138">
        <f t="shared" si="41"/>
        <v>3062200</v>
      </c>
      <c r="B138" s="6" t="s">
        <v>294</v>
      </c>
      <c r="C138">
        <v>6</v>
      </c>
      <c r="D138">
        <v>2</v>
      </c>
      <c r="E138">
        <v>2</v>
      </c>
      <c r="F138" s="3" t="s">
        <v>1580</v>
      </c>
      <c r="G138" s="3" t="s">
        <v>1580</v>
      </c>
      <c r="H138">
        <v>0</v>
      </c>
      <c r="I138">
        <v>0</v>
      </c>
      <c r="J138">
        <v>0</v>
      </c>
      <c r="K138" s="2" t="s">
        <v>314</v>
      </c>
      <c r="L138" s="2">
        <f t="shared" si="42"/>
        <v>3</v>
      </c>
      <c r="M138" s="2">
        <f t="shared" si="63"/>
        <v>1.5</v>
      </c>
      <c r="N138" s="2">
        <f t="shared" si="63"/>
        <v>1.2</v>
      </c>
      <c r="O138" s="2">
        <v>10</v>
      </c>
      <c r="P138" s="2">
        <f t="shared" si="56"/>
        <v>144</v>
      </c>
      <c r="Q138" s="2">
        <f t="shared" si="56"/>
        <v>14.4</v>
      </c>
      <c r="R138" s="2">
        <f t="shared" si="56"/>
        <v>1728</v>
      </c>
      <c r="S138" s="2">
        <f t="shared" si="56"/>
        <v>172.8</v>
      </c>
      <c r="T138" s="2">
        <f t="shared" si="56"/>
        <v>36</v>
      </c>
      <c r="U138" s="2">
        <f t="shared" si="56"/>
        <v>3.6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7">
        <v>322002</v>
      </c>
      <c r="AB138" s="14" t="s">
        <v>1559</v>
      </c>
      <c r="AC138" s="15" t="s">
        <v>889</v>
      </c>
      <c r="AD138" s="2">
        <v>3072200</v>
      </c>
      <c r="AE138" s="2">
        <v>0</v>
      </c>
      <c r="AF138" s="2">
        <v>2</v>
      </c>
      <c r="AG138" s="2">
        <v>6</v>
      </c>
      <c r="AH138" s="2">
        <v>2</v>
      </c>
      <c r="AI138" s="2"/>
      <c r="AJ138">
        <v>1</v>
      </c>
      <c r="AK138" s="1">
        <f t="shared" si="57"/>
        <v>63.732976372873161</v>
      </c>
      <c r="AL138">
        <v>6</v>
      </c>
      <c r="AM138">
        <f t="shared" si="43"/>
        <v>144</v>
      </c>
      <c r="AN138">
        <f t="shared" si="44"/>
        <v>14.4</v>
      </c>
      <c r="AO138">
        <f t="shared" si="45"/>
        <v>1728</v>
      </c>
      <c r="AP138">
        <f t="shared" si="46"/>
        <v>172.8</v>
      </c>
      <c r="AQ138">
        <f t="shared" si="58"/>
        <v>36</v>
      </c>
      <c r="AR138">
        <f t="shared" si="59"/>
        <v>3.6</v>
      </c>
      <c r="AS138">
        <f t="shared" si="60"/>
        <v>1.5</v>
      </c>
      <c r="AT138">
        <f t="shared" si="61"/>
        <v>1.2</v>
      </c>
      <c r="AU138">
        <f t="shared" si="62"/>
        <v>3</v>
      </c>
      <c r="AV138">
        <f t="shared" si="52"/>
        <v>2002</v>
      </c>
      <c r="AW138" s="1">
        <v>0</v>
      </c>
      <c r="AX138">
        <v>3</v>
      </c>
      <c r="AY138">
        <v>0</v>
      </c>
      <c r="BC138" s="3"/>
      <c r="CE138" t="str">
        <f t="shared" si="47"/>
        <v>DATA_Class_Base13</v>
      </c>
      <c r="CF138" s="6" t="s">
        <v>295</v>
      </c>
    </row>
    <row r="139" spans="1:84">
      <c r="A139">
        <f t="shared" si="41"/>
        <v>3062201</v>
      </c>
      <c r="B139" s="6" t="s">
        <v>296</v>
      </c>
      <c r="C139">
        <v>6</v>
      </c>
      <c r="D139">
        <v>2</v>
      </c>
      <c r="E139">
        <v>2</v>
      </c>
      <c r="F139" s="3" t="s">
        <v>1581</v>
      </c>
      <c r="G139" s="3" t="s">
        <v>1581</v>
      </c>
      <c r="H139">
        <v>0</v>
      </c>
      <c r="I139">
        <v>0</v>
      </c>
      <c r="J139">
        <v>0</v>
      </c>
      <c r="K139" s="8" t="s">
        <v>298</v>
      </c>
      <c r="L139" s="2">
        <f t="shared" si="42"/>
        <v>3</v>
      </c>
      <c r="M139" s="2">
        <f t="shared" si="63"/>
        <v>1.8</v>
      </c>
      <c r="N139" s="2">
        <f t="shared" si="63"/>
        <v>1.8</v>
      </c>
      <c r="O139" s="2">
        <v>10</v>
      </c>
      <c r="P139" s="2">
        <f t="shared" si="56"/>
        <v>120.96</v>
      </c>
      <c r="Q139" s="2">
        <f t="shared" si="56"/>
        <v>12.1</v>
      </c>
      <c r="R139" s="2">
        <f t="shared" si="56"/>
        <v>2468.5700000000002</v>
      </c>
      <c r="S139" s="2">
        <f t="shared" si="56"/>
        <v>246.86</v>
      </c>
      <c r="T139" s="2">
        <f t="shared" si="56"/>
        <v>40.32</v>
      </c>
      <c r="U139" s="2">
        <f t="shared" si="56"/>
        <v>4.03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7">
        <v>322012</v>
      </c>
      <c r="AB139" s="14" t="s">
        <v>375</v>
      </c>
      <c r="AC139" s="15" t="s">
        <v>889</v>
      </c>
      <c r="AD139" s="2">
        <v>3072201</v>
      </c>
      <c r="AE139" s="2">
        <v>0</v>
      </c>
      <c r="AF139" s="2">
        <v>2</v>
      </c>
      <c r="AG139" s="2">
        <v>6</v>
      </c>
      <c r="AH139" s="2">
        <v>2</v>
      </c>
      <c r="AI139" s="2"/>
      <c r="AJ139">
        <v>1</v>
      </c>
      <c r="AK139" s="1">
        <f t="shared" si="57"/>
        <v>63.794090298584585</v>
      </c>
      <c r="AL139">
        <v>6</v>
      </c>
      <c r="AM139">
        <f t="shared" si="43"/>
        <v>120.96000000000001</v>
      </c>
      <c r="AN139">
        <f t="shared" si="44"/>
        <v>12.096000000000002</v>
      </c>
      <c r="AO139">
        <f t="shared" si="45"/>
        <v>2468.5714285714289</v>
      </c>
      <c r="AP139">
        <f t="shared" si="46"/>
        <v>246.85714285714289</v>
      </c>
      <c r="AQ139">
        <f t="shared" si="58"/>
        <v>40.32</v>
      </c>
      <c r="AR139">
        <f t="shared" si="59"/>
        <v>4.032</v>
      </c>
      <c r="AS139">
        <f t="shared" si="60"/>
        <v>1.8</v>
      </c>
      <c r="AT139">
        <f t="shared" si="61"/>
        <v>1.8</v>
      </c>
      <c r="AU139">
        <f t="shared" si="62"/>
        <v>3</v>
      </c>
      <c r="AV139">
        <f t="shared" si="52"/>
        <v>2012</v>
      </c>
      <c r="AW139" s="1">
        <v>1</v>
      </c>
      <c r="AX139">
        <v>3</v>
      </c>
      <c r="AY139">
        <v>0</v>
      </c>
      <c r="BC139" s="3"/>
      <c r="CE139" t="str">
        <f t="shared" si="47"/>
        <v>DATA_Class_Base14</v>
      </c>
      <c r="CF139" s="6" t="s">
        <v>300</v>
      </c>
    </row>
    <row r="140" spans="1:84">
      <c r="A140">
        <f t="shared" si="41"/>
        <v>3062202</v>
      </c>
      <c r="B140" s="6" t="s">
        <v>278</v>
      </c>
      <c r="C140">
        <v>6</v>
      </c>
      <c r="D140">
        <v>2</v>
      </c>
      <c r="E140">
        <v>2</v>
      </c>
      <c r="F140" s="3" t="s">
        <v>1582</v>
      </c>
      <c r="G140" s="3" t="s">
        <v>1582</v>
      </c>
      <c r="H140">
        <v>0</v>
      </c>
      <c r="I140">
        <v>0</v>
      </c>
      <c r="J140" s="2">
        <v>0</v>
      </c>
      <c r="K140" s="2" t="s">
        <v>280</v>
      </c>
      <c r="L140" s="2">
        <f t="shared" si="42"/>
        <v>3</v>
      </c>
      <c r="M140" s="2">
        <f t="shared" si="63"/>
        <v>1.8</v>
      </c>
      <c r="N140" s="2">
        <f t="shared" si="63"/>
        <v>2</v>
      </c>
      <c r="O140" s="2">
        <v>10</v>
      </c>
      <c r="P140" s="2">
        <f t="shared" si="56"/>
        <v>198.72</v>
      </c>
      <c r="Q140" s="2">
        <f t="shared" si="56"/>
        <v>19.87</v>
      </c>
      <c r="R140" s="2">
        <f t="shared" si="56"/>
        <v>1502.61</v>
      </c>
      <c r="S140" s="2">
        <f t="shared" si="56"/>
        <v>150.26</v>
      </c>
      <c r="T140" s="2">
        <f t="shared" si="56"/>
        <v>39.74</v>
      </c>
      <c r="U140" s="2">
        <f t="shared" si="56"/>
        <v>3.97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7">
        <v>322022</v>
      </c>
      <c r="AB140" s="14" t="s">
        <v>1560</v>
      </c>
      <c r="AC140" s="15" t="s">
        <v>889</v>
      </c>
      <c r="AD140" s="2">
        <v>3072202</v>
      </c>
      <c r="AE140" s="2">
        <v>0</v>
      </c>
      <c r="AF140" s="2">
        <v>2</v>
      </c>
      <c r="AG140" s="2">
        <v>6</v>
      </c>
      <c r="AH140" s="2">
        <v>2</v>
      </c>
      <c r="AI140" s="2"/>
      <c r="AJ140">
        <v>1</v>
      </c>
      <c r="AK140" s="1">
        <f t="shared" si="57"/>
        <v>63.785935004177325</v>
      </c>
      <c r="AL140">
        <v>6</v>
      </c>
      <c r="AM140">
        <f t="shared" si="43"/>
        <v>198.72</v>
      </c>
      <c r="AN140">
        <f t="shared" si="44"/>
        <v>19.872</v>
      </c>
      <c r="AO140">
        <f t="shared" si="45"/>
        <v>1502.608695652174</v>
      </c>
      <c r="AP140">
        <f t="shared" si="46"/>
        <v>150.2608695652174</v>
      </c>
      <c r="AQ140">
        <f t="shared" si="58"/>
        <v>39.744</v>
      </c>
      <c r="AR140">
        <f t="shared" si="59"/>
        <v>3.9744000000000002</v>
      </c>
      <c r="AS140">
        <f t="shared" si="60"/>
        <v>1.8</v>
      </c>
      <c r="AT140">
        <f t="shared" si="61"/>
        <v>2</v>
      </c>
      <c r="AU140">
        <f t="shared" si="62"/>
        <v>3</v>
      </c>
      <c r="AV140">
        <f t="shared" si="52"/>
        <v>2022</v>
      </c>
      <c r="AW140" s="1">
        <v>2</v>
      </c>
      <c r="AX140">
        <v>3</v>
      </c>
      <c r="AY140">
        <v>0</v>
      </c>
      <c r="BC140" s="3"/>
      <c r="CE140" t="str">
        <f t="shared" si="47"/>
        <v>DATA_Class_Base15</v>
      </c>
      <c r="CF140" s="6" t="s">
        <v>306</v>
      </c>
    </row>
    <row r="141" spans="1:84">
      <c r="A141">
        <f t="shared" si="41"/>
        <v>3062301</v>
      </c>
      <c r="B141" s="6" t="s">
        <v>283</v>
      </c>
      <c r="C141">
        <v>6</v>
      </c>
      <c r="D141">
        <v>3</v>
      </c>
      <c r="E141">
        <v>2</v>
      </c>
      <c r="F141" s="3" t="s">
        <v>1583</v>
      </c>
      <c r="G141" s="3" t="s">
        <v>1583</v>
      </c>
      <c r="H141">
        <v>0</v>
      </c>
      <c r="I141">
        <v>0</v>
      </c>
      <c r="J141">
        <v>0</v>
      </c>
      <c r="K141" s="2" t="s">
        <v>285</v>
      </c>
      <c r="L141" s="2">
        <f t="shared" si="42"/>
        <v>3</v>
      </c>
      <c r="M141" s="2">
        <f t="shared" si="63"/>
        <v>1.2</v>
      </c>
      <c r="N141" s="2">
        <f t="shared" si="63"/>
        <v>1.7</v>
      </c>
      <c r="O141" s="2">
        <v>10</v>
      </c>
      <c r="P141" s="2">
        <f t="shared" si="56"/>
        <v>149.76</v>
      </c>
      <c r="Q141" s="2">
        <f t="shared" si="56"/>
        <v>14.98</v>
      </c>
      <c r="R141" s="2">
        <f t="shared" si="56"/>
        <v>1329.23</v>
      </c>
      <c r="S141" s="2">
        <f t="shared" si="56"/>
        <v>132.91999999999999</v>
      </c>
      <c r="T141" s="2">
        <f t="shared" si="56"/>
        <v>24.96</v>
      </c>
      <c r="U141" s="2">
        <f t="shared" si="56"/>
        <v>2.5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7">
        <v>323012</v>
      </c>
      <c r="AB141" s="14" t="s">
        <v>1561</v>
      </c>
      <c r="AC141" s="15" t="s">
        <v>889</v>
      </c>
      <c r="AD141" s="2">
        <v>3072301</v>
      </c>
      <c r="AE141" s="2">
        <v>0</v>
      </c>
      <c r="AF141" s="2">
        <v>2</v>
      </c>
      <c r="AG141" s="2">
        <v>6</v>
      </c>
      <c r="AH141" s="2">
        <v>2</v>
      </c>
      <c r="AI141" s="2"/>
      <c r="AJ141">
        <v>1</v>
      </c>
      <c r="AK141" s="1">
        <f t="shared" si="57"/>
        <v>63.57732701812192</v>
      </c>
      <c r="AL141">
        <v>6</v>
      </c>
      <c r="AM141">
        <f t="shared" si="43"/>
        <v>149.76000000000002</v>
      </c>
      <c r="AN141">
        <f t="shared" si="44"/>
        <v>14.976000000000003</v>
      </c>
      <c r="AO141">
        <f t="shared" si="45"/>
        <v>1329.2307692307691</v>
      </c>
      <c r="AP141">
        <f t="shared" si="46"/>
        <v>132.92307692307691</v>
      </c>
      <c r="AQ141">
        <f t="shared" si="58"/>
        <v>24.960000000000004</v>
      </c>
      <c r="AR141">
        <f t="shared" si="59"/>
        <v>2.4960000000000004</v>
      </c>
      <c r="AS141">
        <f t="shared" si="60"/>
        <v>1.2</v>
      </c>
      <c r="AT141">
        <f t="shared" si="61"/>
        <v>1.7</v>
      </c>
      <c r="AU141">
        <f t="shared" si="62"/>
        <v>3</v>
      </c>
      <c r="AV141">
        <f t="shared" si="52"/>
        <v>3012</v>
      </c>
      <c r="AW141" s="1">
        <v>1</v>
      </c>
      <c r="AX141">
        <v>3</v>
      </c>
      <c r="AY141">
        <v>0</v>
      </c>
      <c r="BC141" s="3"/>
      <c r="CE141" t="str">
        <f t="shared" si="47"/>
        <v>DATA_Class_Base16</v>
      </c>
      <c r="CF141" s="6" t="s">
        <v>312</v>
      </c>
    </row>
    <row r="142" spans="1:84">
      <c r="A142">
        <f t="shared" si="41"/>
        <v>3062401</v>
      </c>
      <c r="B142" s="6" t="s">
        <v>317</v>
      </c>
      <c r="C142">
        <v>6</v>
      </c>
      <c r="D142">
        <v>4</v>
      </c>
      <c r="E142">
        <v>2</v>
      </c>
      <c r="F142" s="3" t="s">
        <v>1584</v>
      </c>
      <c r="G142" s="3" t="s">
        <v>1584</v>
      </c>
      <c r="H142">
        <v>0</v>
      </c>
      <c r="I142">
        <v>0</v>
      </c>
      <c r="J142" s="2">
        <v>0</v>
      </c>
      <c r="K142" s="2" t="s">
        <v>161</v>
      </c>
      <c r="L142" s="2">
        <f t="shared" si="42"/>
        <v>6</v>
      </c>
      <c r="M142" s="2">
        <f t="shared" si="63"/>
        <v>1.6</v>
      </c>
      <c r="N142" s="2">
        <f t="shared" si="63"/>
        <v>1.5</v>
      </c>
      <c r="O142" s="2">
        <v>10</v>
      </c>
      <c r="P142" s="2">
        <f t="shared" si="56"/>
        <v>199.68</v>
      </c>
      <c r="Q142" s="2">
        <f t="shared" si="56"/>
        <v>19.97</v>
      </c>
      <c r="R142" s="2">
        <f t="shared" si="56"/>
        <v>1329.23</v>
      </c>
      <c r="S142" s="2">
        <f t="shared" si="56"/>
        <v>132.91999999999999</v>
      </c>
      <c r="T142" s="2">
        <f t="shared" si="56"/>
        <v>22.19</v>
      </c>
      <c r="U142" s="2">
        <f t="shared" si="56"/>
        <v>2.2200000000000002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7">
        <v>324012</v>
      </c>
      <c r="AB142" s="14" t="s">
        <v>1562</v>
      </c>
      <c r="AC142" s="15" t="s">
        <v>889</v>
      </c>
      <c r="AD142" s="2">
        <v>3072401</v>
      </c>
      <c r="AE142" s="2">
        <v>0</v>
      </c>
      <c r="AF142" s="2">
        <v>2</v>
      </c>
      <c r="AG142" s="2">
        <v>6</v>
      </c>
      <c r="AH142" s="2">
        <v>2</v>
      </c>
      <c r="AI142" s="2"/>
      <c r="AJ142">
        <v>1</v>
      </c>
      <c r="AK142" s="1">
        <f t="shared" si="57"/>
        <v>63.538346103219546</v>
      </c>
      <c r="AL142">
        <v>6</v>
      </c>
      <c r="AM142">
        <f t="shared" si="43"/>
        <v>199.68</v>
      </c>
      <c r="AN142">
        <f t="shared" si="44"/>
        <v>19.968000000000004</v>
      </c>
      <c r="AO142">
        <f t="shared" si="45"/>
        <v>1329.2307692307691</v>
      </c>
      <c r="AP142">
        <f t="shared" si="46"/>
        <v>132.92307692307691</v>
      </c>
      <c r="AQ142">
        <f t="shared" si="58"/>
        <v>22.186666666666667</v>
      </c>
      <c r="AR142">
        <f t="shared" si="59"/>
        <v>2.218666666666667</v>
      </c>
      <c r="AS142">
        <f t="shared" si="60"/>
        <v>1.6</v>
      </c>
      <c r="AT142">
        <f t="shared" si="61"/>
        <v>1.5</v>
      </c>
      <c r="AU142">
        <f t="shared" si="62"/>
        <v>6</v>
      </c>
      <c r="AV142">
        <f t="shared" si="52"/>
        <v>4012</v>
      </c>
      <c r="AW142" s="1">
        <v>1</v>
      </c>
      <c r="AX142">
        <v>3</v>
      </c>
      <c r="AY142">
        <v>0</v>
      </c>
      <c r="BC142" s="3"/>
      <c r="CE142" t="str">
        <f t="shared" si="47"/>
        <v>DATA_Class_Base17</v>
      </c>
      <c r="CF142" s="6" t="s">
        <v>318</v>
      </c>
    </row>
    <row r="143" spans="1:84">
      <c r="A143">
        <f t="shared" si="41"/>
        <v>3062402</v>
      </c>
      <c r="B143" s="6" t="s">
        <v>323</v>
      </c>
      <c r="C143">
        <v>6</v>
      </c>
      <c r="D143">
        <v>4</v>
      </c>
      <c r="E143">
        <v>2</v>
      </c>
      <c r="F143" s="3" t="s">
        <v>1585</v>
      </c>
      <c r="G143" s="3" t="s">
        <v>1585</v>
      </c>
      <c r="H143">
        <v>0</v>
      </c>
      <c r="I143">
        <v>0</v>
      </c>
      <c r="J143">
        <v>0</v>
      </c>
      <c r="K143" s="2" t="s">
        <v>250</v>
      </c>
      <c r="L143" s="2">
        <f t="shared" si="42"/>
        <v>6</v>
      </c>
      <c r="M143" s="2">
        <f t="shared" si="63"/>
        <v>1.5</v>
      </c>
      <c r="N143" s="2">
        <f t="shared" si="63"/>
        <v>1.5</v>
      </c>
      <c r="O143" s="2">
        <v>10</v>
      </c>
      <c r="P143" s="2">
        <f t="shared" si="56"/>
        <v>201.6</v>
      </c>
      <c r="Q143" s="2">
        <f t="shared" si="56"/>
        <v>20.16</v>
      </c>
      <c r="R143" s="2">
        <f t="shared" si="56"/>
        <v>1234.29</v>
      </c>
      <c r="S143" s="2">
        <f t="shared" si="56"/>
        <v>123.43</v>
      </c>
      <c r="T143" s="2">
        <f t="shared" si="56"/>
        <v>25.2</v>
      </c>
      <c r="U143" s="2">
        <f t="shared" si="56"/>
        <v>2.52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7">
        <v>324022</v>
      </c>
      <c r="AB143" s="14" t="s">
        <v>1563</v>
      </c>
      <c r="AC143" s="15" t="s">
        <v>889</v>
      </c>
      <c r="AD143" s="2">
        <v>3072402</v>
      </c>
      <c r="AE143" s="2">
        <v>0</v>
      </c>
      <c r="AF143" s="2">
        <v>2</v>
      </c>
      <c r="AG143" s="2">
        <v>6</v>
      </c>
      <c r="AH143" s="2">
        <v>2</v>
      </c>
      <c r="AI143" s="2"/>
      <c r="AJ143">
        <v>1</v>
      </c>
      <c r="AK143" s="1">
        <f t="shared" si="57"/>
        <v>63.580702615299217</v>
      </c>
      <c r="AL143">
        <v>6</v>
      </c>
      <c r="AM143">
        <f t="shared" si="43"/>
        <v>201.59999999999997</v>
      </c>
      <c r="AN143">
        <f t="shared" si="44"/>
        <v>20.159999999999997</v>
      </c>
      <c r="AO143">
        <f t="shared" si="45"/>
        <v>1234.2857142857144</v>
      </c>
      <c r="AP143">
        <f t="shared" si="46"/>
        <v>123.42857142857144</v>
      </c>
      <c r="AQ143">
        <f t="shared" si="58"/>
        <v>25.199999999999996</v>
      </c>
      <c r="AR143">
        <f t="shared" si="59"/>
        <v>2.5199999999999996</v>
      </c>
      <c r="AS143">
        <f t="shared" si="60"/>
        <v>1.5</v>
      </c>
      <c r="AT143">
        <f t="shared" si="61"/>
        <v>1.5</v>
      </c>
      <c r="AU143">
        <f t="shared" si="62"/>
        <v>6</v>
      </c>
      <c r="AV143">
        <f t="shared" si="52"/>
        <v>4022</v>
      </c>
      <c r="AW143" s="1">
        <v>2</v>
      </c>
      <c r="AX143">
        <v>3</v>
      </c>
      <c r="AY143">
        <v>0</v>
      </c>
      <c r="CE143" t="str">
        <f t="shared" si="47"/>
        <v>DATA_Class_Base18</v>
      </c>
      <c r="CF143" s="6" t="s">
        <v>324</v>
      </c>
    </row>
    <row r="144" spans="1:84">
      <c r="A144">
        <f t="shared" si="41"/>
        <v>3062500</v>
      </c>
      <c r="B144" s="6" t="s">
        <v>301</v>
      </c>
      <c r="C144">
        <v>6</v>
      </c>
      <c r="D144">
        <v>5</v>
      </c>
      <c r="E144">
        <v>2</v>
      </c>
      <c r="F144" s="3" t="s">
        <v>1586</v>
      </c>
      <c r="G144" s="3" t="s">
        <v>1586</v>
      </c>
      <c r="H144">
        <v>0</v>
      </c>
      <c r="I144">
        <v>0</v>
      </c>
      <c r="J144" s="2">
        <v>0</v>
      </c>
      <c r="K144" s="2" t="s">
        <v>303</v>
      </c>
      <c r="L144" s="2">
        <f t="shared" si="42"/>
        <v>6</v>
      </c>
      <c r="M144" s="2">
        <f t="shared" si="63"/>
        <v>1.5</v>
      </c>
      <c r="N144" s="2">
        <f t="shared" si="63"/>
        <v>2</v>
      </c>
      <c r="O144" s="2">
        <v>10</v>
      </c>
      <c r="P144" s="2">
        <f t="shared" si="56"/>
        <v>216</v>
      </c>
      <c r="Q144" s="2">
        <f t="shared" si="56"/>
        <v>21.6</v>
      </c>
      <c r="R144" s="2">
        <f t="shared" si="56"/>
        <v>1152</v>
      </c>
      <c r="S144" s="2">
        <f t="shared" si="56"/>
        <v>115.2</v>
      </c>
      <c r="T144" s="2">
        <f t="shared" si="56"/>
        <v>24</v>
      </c>
      <c r="U144" s="2">
        <f t="shared" si="56"/>
        <v>2.4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7">
        <v>325002</v>
      </c>
      <c r="AB144" s="14" t="s">
        <v>379</v>
      </c>
      <c r="AC144" s="15" t="s">
        <v>889</v>
      </c>
      <c r="AD144" s="2">
        <v>3072500</v>
      </c>
      <c r="AE144" s="2">
        <v>0</v>
      </c>
      <c r="AF144" s="2">
        <v>2</v>
      </c>
      <c r="AG144" s="2">
        <v>6</v>
      </c>
      <c r="AH144" s="2">
        <v>2</v>
      </c>
      <c r="AI144" s="2"/>
      <c r="AJ144">
        <v>1</v>
      </c>
      <c r="AK144" s="1">
        <f t="shared" si="57"/>
        <v>63.563828212964445</v>
      </c>
      <c r="AL144">
        <v>6</v>
      </c>
      <c r="AM144">
        <f t="shared" si="43"/>
        <v>216</v>
      </c>
      <c r="AN144">
        <f t="shared" si="44"/>
        <v>21.6</v>
      </c>
      <c r="AO144">
        <f t="shared" si="45"/>
        <v>1152</v>
      </c>
      <c r="AP144">
        <f t="shared" si="46"/>
        <v>115.2</v>
      </c>
      <c r="AQ144">
        <f t="shared" si="58"/>
        <v>24</v>
      </c>
      <c r="AR144">
        <f t="shared" si="59"/>
        <v>2.4000000000000004</v>
      </c>
      <c r="AS144">
        <f t="shared" si="60"/>
        <v>1.5</v>
      </c>
      <c r="AT144">
        <f t="shared" si="61"/>
        <v>2</v>
      </c>
      <c r="AU144">
        <f t="shared" si="62"/>
        <v>6</v>
      </c>
      <c r="AV144">
        <f t="shared" si="52"/>
        <v>5002</v>
      </c>
      <c r="AW144" s="1">
        <v>0</v>
      </c>
      <c r="AX144">
        <v>3</v>
      </c>
      <c r="AY144">
        <v>0</v>
      </c>
      <c r="CE144" t="str">
        <f t="shared" si="47"/>
        <v>DATA_Class_Base19</v>
      </c>
      <c r="CF144" s="6" t="s">
        <v>331</v>
      </c>
    </row>
    <row r="145" spans="1:84">
      <c r="A145">
        <f t="shared" si="41"/>
        <v>3062502</v>
      </c>
      <c r="B145" s="6" t="s">
        <v>289</v>
      </c>
      <c r="C145">
        <v>6</v>
      </c>
      <c r="D145">
        <v>5</v>
      </c>
      <c r="E145">
        <v>2</v>
      </c>
      <c r="F145" s="3" t="s">
        <v>1587</v>
      </c>
      <c r="G145" s="3" t="s">
        <v>1587</v>
      </c>
      <c r="H145">
        <v>0</v>
      </c>
      <c r="I145">
        <v>0</v>
      </c>
      <c r="J145" s="2">
        <v>0</v>
      </c>
      <c r="K145" s="2" t="s">
        <v>291</v>
      </c>
      <c r="L145" s="2">
        <f t="shared" si="42"/>
        <v>6</v>
      </c>
      <c r="M145" s="2">
        <f t="shared" si="63"/>
        <v>1.4000000000000001</v>
      </c>
      <c r="N145" s="2">
        <f t="shared" si="63"/>
        <v>2</v>
      </c>
      <c r="O145" s="2">
        <v>10</v>
      </c>
      <c r="P145" s="2">
        <f t="shared" si="56"/>
        <v>208.32</v>
      </c>
      <c r="Q145" s="2">
        <f t="shared" si="56"/>
        <v>20.83</v>
      </c>
      <c r="R145" s="2">
        <f t="shared" si="56"/>
        <v>1114.8399999999999</v>
      </c>
      <c r="S145" s="2">
        <f t="shared" si="56"/>
        <v>111.48</v>
      </c>
      <c r="T145" s="2">
        <f t="shared" si="56"/>
        <v>20.83</v>
      </c>
      <c r="U145" s="2">
        <f t="shared" si="56"/>
        <v>2.08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7">
        <v>325022</v>
      </c>
      <c r="AB145" s="14" t="s">
        <v>1564</v>
      </c>
      <c r="AC145" s="15" t="s">
        <v>889</v>
      </c>
      <c r="AD145" s="2">
        <v>3072502</v>
      </c>
      <c r="AE145" s="2">
        <v>0</v>
      </c>
      <c r="AF145" s="2">
        <v>2</v>
      </c>
      <c r="AG145" s="2">
        <v>6</v>
      </c>
      <c r="AH145" s="2">
        <v>2</v>
      </c>
      <c r="AI145" s="2"/>
      <c r="AJ145">
        <v>1</v>
      </c>
      <c r="AK145" s="1">
        <f t="shared" si="57"/>
        <v>63.519322797152263</v>
      </c>
      <c r="AL145">
        <v>6</v>
      </c>
      <c r="AM145">
        <f t="shared" si="43"/>
        <v>208.32</v>
      </c>
      <c r="AN145">
        <f t="shared" si="44"/>
        <v>20.832000000000001</v>
      </c>
      <c r="AO145">
        <f t="shared" si="45"/>
        <v>1114.8387096774195</v>
      </c>
      <c r="AP145">
        <f t="shared" si="46"/>
        <v>111.48387096774195</v>
      </c>
      <c r="AQ145">
        <f t="shared" si="58"/>
        <v>20.832000000000001</v>
      </c>
      <c r="AR145">
        <f t="shared" si="59"/>
        <v>2.0832000000000002</v>
      </c>
      <c r="AS145">
        <f t="shared" si="60"/>
        <v>1.4</v>
      </c>
      <c r="AT145">
        <f t="shared" si="61"/>
        <v>2</v>
      </c>
      <c r="AU145">
        <f t="shared" si="62"/>
        <v>6</v>
      </c>
      <c r="AV145">
        <f t="shared" si="52"/>
        <v>5022</v>
      </c>
      <c r="AW145" s="1">
        <v>2</v>
      </c>
      <c r="AX145">
        <v>3</v>
      </c>
      <c r="AY145">
        <v>0</v>
      </c>
      <c r="CE145" t="str">
        <f t="shared" si="47"/>
        <v>DATA_Class_Base20</v>
      </c>
      <c r="CF145" s="6" t="s">
        <v>336</v>
      </c>
    </row>
    <row r="146" spans="1:84">
      <c r="A146">
        <f t="shared" ref="A146:A209" si="64">AX146*1000000+C146*10000+E146*1000+D146*100+AW146</f>
        <v>3062601</v>
      </c>
      <c r="B146" s="6" t="s">
        <v>307</v>
      </c>
      <c r="C146">
        <v>6</v>
      </c>
      <c r="D146">
        <v>6</v>
      </c>
      <c r="E146">
        <v>2</v>
      </c>
      <c r="F146" s="3" t="s">
        <v>1588</v>
      </c>
      <c r="G146" s="3" t="s">
        <v>1588</v>
      </c>
      <c r="H146">
        <v>0</v>
      </c>
      <c r="I146">
        <v>0</v>
      </c>
      <c r="J146" s="2">
        <v>0</v>
      </c>
      <c r="K146" s="2" t="s">
        <v>309</v>
      </c>
      <c r="L146" s="2">
        <f t="shared" ref="L146:L209" si="65">AU146</f>
        <v>6</v>
      </c>
      <c r="M146" s="2">
        <f t="shared" si="63"/>
        <v>1.5</v>
      </c>
      <c r="N146" s="2">
        <f t="shared" si="63"/>
        <v>2</v>
      </c>
      <c r="O146" s="2">
        <v>10</v>
      </c>
      <c r="P146" s="2">
        <f t="shared" si="56"/>
        <v>158.4</v>
      </c>
      <c r="Q146" s="2">
        <f t="shared" si="56"/>
        <v>15.84</v>
      </c>
      <c r="R146" s="2">
        <f t="shared" si="56"/>
        <v>1570.91</v>
      </c>
      <c r="S146" s="2">
        <f t="shared" si="56"/>
        <v>157.09</v>
      </c>
      <c r="T146" s="2">
        <f t="shared" si="56"/>
        <v>31.68</v>
      </c>
      <c r="U146" s="2">
        <f t="shared" si="56"/>
        <v>3.17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7">
        <v>326012</v>
      </c>
      <c r="AB146" s="14" t="s">
        <v>382</v>
      </c>
      <c r="AC146" s="15" t="s">
        <v>889</v>
      </c>
      <c r="AD146" s="2">
        <v>3072601</v>
      </c>
      <c r="AE146" s="2">
        <v>0</v>
      </c>
      <c r="AF146" s="2">
        <v>2</v>
      </c>
      <c r="AG146" s="2">
        <v>6</v>
      </c>
      <c r="AH146" s="2">
        <v>2</v>
      </c>
      <c r="AI146" s="2"/>
      <c r="AJ146">
        <v>1</v>
      </c>
      <c r="AK146" s="1">
        <f t="shared" si="57"/>
        <v>63.671979427820141</v>
      </c>
      <c r="AL146">
        <v>6</v>
      </c>
      <c r="AM146">
        <f t="shared" ref="AM146:AM209" si="66">INDEX($BB$5:$BB$58,MATCH($AV146,$AZ$5:$AZ$58,0))*$AS146/1.5*$BF$4*INDEX($BB$109:$BO$109,MATCH($AL146,$BB$108:$BO$108,0))</f>
        <v>158.4</v>
      </c>
      <c r="AN146">
        <f t="shared" ref="AN146:AN209" si="67">(INDEX($BB$5:$BB$58,MATCH($AV146,$AZ$5:$AZ$58,0))*$AS146/1.5*$BF$4*INDEX($BB$109:$BO$109,MATCH($AL146,$BB$108:$BO$108,0)))*0.1</f>
        <v>15.840000000000002</v>
      </c>
      <c r="AO146">
        <f t="shared" ref="AO146:AO209" si="68">INDEX($BC$5:$BC$58,MATCH($AV146,$AZ$5:$AZ$58,0))*$BG$4*INDEX($BB$109:$BO$109,MATCH($AL146,$BB$108:$BO$108,0))</f>
        <v>1570.909090909091</v>
      </c>
      <c r="AP146">
        <f t="shared" ref="AP146:AP209" si="69">(INDEX($BC$5:$BC$58,MATCH($AV146,$AZ$5:$AZ$58,0))*$BG$4*INDEX($BB$109:$BO$109,MATCH($AL146,$BB$108:$BO$108,0)))*0.1</f>
        <v>157.09090909090912</v>
      </c>
      <c r="AQ146">
        <f t="shared" si="58"/>
        <v>31.68</v>
      </c>
      <c r="AR146">
        <f t="shared" si="59"/>
        <v>3.1680000000000001</v>
      </c>
      <c r="AS146">
        <f t="shared" si="60"/>
        <v>1.5</v>
      </c>
      <c r="AT146">
        <f t="shared" si="61"/>
        <v>2</v>
      </c>
      <c r="AU146">
        <f t="shared" si="62"/>
        <v>6</v>
      </c>
      <c r="AV146">
        <f t="shared" si="52"/>
        <v>6012</v>
      </c>
      <c r="AW146" s="1">
        <v>1</v>
      </c>
      <c r="AX146">
        <v>3</v>
      </c>
      <c r="AY146">
        <v>0</v>
      </c>
      <c r="CE146" t="str">
        <f t="shared" si="47"/>
        <v>DATA_Class_Base21</v>
      </c>
      <c r="CF146" s="6" t="s">
        <v>342</v>
      </c>
    </row>
    <row r="147" spans="1:84">
      <c r="A147">
        <f t="shared" si="64"/>
        <v>3063200</v>
      </c>
      <c r="B147" s="6" t="s">
        <v>294</v>
      </c>
      <c r="C147">
        <v>6</v>
      </c>
      <c r="D147">
        <v>2</v>
      </c>
      <c r="E147">
        <v>3</v>
      </c>
      <c r="F147" s="3" t="s">
        <v>1589</v>
      </c>
      <c r="G147" s="3" t="s">
        <v>1589</v>
      </c>
      <c r="H147">
        <v>0</v>
      </c>
      <c r="I147">
        <v>0</v>
      </c>
      <c r="J147">
        <v>0</v>
      </c>
      <c r="K147" s="2" t="s">
        <v>314</v>
      </c>
      <c r="L147" s="2">
        <f t="shared" si="65"/>
        <v>3</v>
      </c>
      <c r="M147" s="2">
        <f t="shared" si="63"/>
        <v>1.5</v>
      </c>
      <c r="N147" s="2">
        <f t="shared" si="63"/>
        <v>1.2</v>
      </c>
      <c r="O147" s="2">
        <v>10</v>
      </c>
      <c r="P147" s="2">
        <f t="shared" si="56"/>
        <v>100.8</v>
      </c>
      <c r="Q147" s="2">
        <f t="shared" si="56"/>
        <v>10.08</v>
      </c>
      <c r="R147" s="2">
        <f t="shared" si="56"/>
        <v>2468.5700000000002</v>
      </c>
      <c r="S147" s="2">
        <f t="shared" si="56"/>
        <v>246.86</v>
      </c>
      <c r="T147" s="2">
        <f t="shared" si="56"/>
        <v>50.4</v>
      </c>
      <c r="U147" s="2">
        <f t="shared" si="56"/>
        <v>5.04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7">
        <v>332002</v>
      </c>
      <c r="AB147" s="14" t="s">
        <v>385</v>
      </c>
      <c r="AC147" s="15" t="s">
        <v>889</v>
      </c>
      <c r="AD147" s="2">
        <v>3073200</v>
      </c>
      <c r="AE147" s="2">
        <v>0</v>
      </c>
      <c r="AF147" s="2">
        <v>2</v>
      </c>
      <c r="AG147" s="2">
        <v>6</v>
      </c>
      <c r="AH147" s="2">
        <v>2</v>
      </c>
      <c r="AI147" s="2"/>
      <c r="AJ147">
        <v>1</v>
      </c>
      <c r="AK147" s="1">
        <f t="shared" si="57"/>
        <v>63.937146277929678</v>
      </c>
      <c r="AL147">
        <v>6</v>
      </c>
      <c r="AM147">
        <f t="shared" si="66"/>
        <v>100.79999999999998</v>
      </c>
      <c r="AN147">
        <f t="shared" si="67"/>
        <v>10.079999999999998</v>
      </c>
      <c r="AO147">
        <f t="shared" si="68"/>
        <v>2468.5714285714289</v>
      </c>
      <c r="AP147">
        <f t="shared" si="69"/>
        <v>246.85714285714289</v>
      </c>
      <c r="AQ147">
        <f t="shared" si="58"/>
        <v>50.399999999999991</v>
      </c>
      <c r="AR147">
        <f t="shared" si="59"/>
        <v>5.0399999999999991</v>
      </c>
      <c r="AS147">
        <f t="shared" si="60"/>
        <v>1.5</v>
      </c>
      <c r="AT147">
        <f t="shared" si="61"/>
        <v>1.2</v>
      </c>
      <c r="AU147">
        <f t="shared" si="62"/>
        <v>3</v>
      </c>
      <c r="AV147">
        <f t="shared" si="52"/>
        <v>2003</v>
      </c>
      <c r="AW147" s="1">
        <v>0</v>
      </c>
      <c r="AX147">
        <v>3</v>
      </c>
      <c r="AY147">
        <v>0</v>
      </c>
      <c r="CE147" t="str">
        <f t="shared" ref="CE147:CE210" si="70">INDEX($CB$18:$CB$59,MATCH($CF147,$CC$18:$CC$59,0))</f>
        <v>DATA_Class_Base13</v>
      </c>
      <c r="CF147" s="6" t="s">
        <v>295</v>
      </c>
    </row>
    <row r="148" spans="1:84">
      <c r="A148">
        <f t="shared" si="64"/>
        <v>3063201</v>
      </c>
      <c r="B148" s="6" t="s">
        <v>296</v>
      </c>
      <c r="C148">
        <v>6</v>
      </c>
      <c r="D148">
        <v>2</v>
      </c>
      <c r="E148">
        <v>3</v>
      </c>
      <c r="F148" s="3" t="s">
        <v>1590</v>
      </c>
      <c r="G148" s="3" t="s">
        <v>1590</v>
      </c>
      <c r="H148">
        <v>0</v>
      </c>
      <c r="I148">
        <v>0</v>
      </c>
      <c r="J148" s="2">
        <v>0</v>
      </c>
      <c r="K148" s="8" t="s">
        <v>298</v>
      </c>
      <c r="L148" s="2">
        <f t="shared" si="65"/>
        <v>3</v>
      </c>
      <c r="M148" s="2">
        <f t="shared" si="63"/>
        <v>1.8</v>
      </c>
      <c r="N148" s="2">
        <f t="shared" si="63"/>
        <v>1.8</v>
      </c>
      <c r="O148" s="2">
        <v>10</v>
      </c>
      <c r="P148" s="2">
        <f t="shared" si="56"/>
        <v>103.68</v>
      </c>
      <c r="Q148" s="2">
        <f t="shared" si="56"/>
        <v>10.37</v>
      </c>
      <c r="R148" s="2">
        <f t="shared" si="56"/>
        <v>2880</v>
      </c>
      <c r="S148" s="2">
        <f t="shared" si="56"/>
        <v>288</v>
      </c>
      <c r="T148" s="2">
        <f t="shared" si="56"/>
        <v>57.6</v>
      </c>
      <c r="U148" s="2">
        <f t="shared" si="56"/>
        <v>5.76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7">
        <v>332012</v>
      </c>
      <c r="AB148" s="14" t="s">
        <v>1565</v>
      </c>
      <c r="AC148" s="15" t="s">
        <v>889</v>
      </c>
      <c r="AD148" s="2">
        <v>3073201</v>
      </c>
      <c r="AE148" s="2">
        <v>0</v>
      </c>
      <c r="AF148" s="2">
        <v>2</v>
      </c>
      <c r="AG148" s="2">
        <v>6</v>
      </c>
      <c r="AH148" s="2">
        <v>2</v>
      </c>
      <c r="AI148" s="2"/>
      <c r="AJ148">
        <v>1</v>
      </c>
      <c r="AK148" s="1">
        <f t="shared" si="57"/>
        <v>64.039722564335278</v>
      </c>
      <c r="AL148">
        <v>6</v>
      </c>
      <c r="AM148">
        <f t="shared" si="66"/>
        <v>103.68000000000002</v>
      </c>
      <c r="AN148">
        <f t="shared" si="67"/>
        <v>10.368000000000002</v>
      </c>
      <c r="AO148">
        <f t="shared" si="68"/>
        <v>2880</v>
      </c>
      <c r="AP148">
        <f t="shared" si="69"/>
        <v>288</v>
      </c>
      <c r="AQ148">
        <f t="shared" si="58"/>
        <v>57.600000000000009</v>
      </c>
      <c r="AR148">
        <f t="shared" si="59"/>
        <v>5.7600000000000016</v>
      </c>
      <c r="AS148">
        <f t="shared" si="60"/>
        <v>1.8</v>
      </c>
      <c r="AT148">
        <f t="shared" si="61"/>
        <v>1.8</v>
      </c>
      <c r="AU148">
        <f t="shared" si="62"/>
        <v>3</v>
      </c>
      <c r="AV148">
        <f t="shared" si="52"/>
        <v>2013</v>
      </c>
      <c r="AW148" s="1">
        <v>1</v>
      </c>
      <c r="AX148">
        <v>3</v>
      </c>
      <c r="AY148">
        <v>0</v>
      </c>
      <c r="CE148" t="str">
        <f t="shared" si="70"/>
        <v>DATA_Class_Base14</v>
      </c>
      <c r="CF148" s="6" t="s">
        <v>300</v>
      </c>
    </row>
    <row r="149" spans="1:84">
      <c r="A149">
        <f t="shared" si="64"/>
        <v>3063202</v>
      </c>
      <c r="B149" s="6" t="s">
        <v>278</v>
      </c>
      <c r="C149">
        <v>6</v>
      </c>
      <c r="D149">
        <v>2</v>
      </c>
      <c r="E149">
        <v>3</v>
      </c>
      <c r="F149" s="3" t="s">
        <v>1591</v>
      </c>
      <c r="G149" s="3" t="s">
        <v>1591</v>
      </c>
      <c r="H149">
        <v>0</v>
      </c>
      <c r="I149">
        <v>0</v>
      </c>
      <c r="J149">
        <v>0</v>
      </c>
      <c r="K149" s="2" t="s">
        <v>280</v>
      </c>
      <c r="L149" s="2">
        <f t="shared" si="65"/>
        <v>3</v>
      </c>
      <c r="M149" s="2">
        <f t="shared" si="63"/>
        <v>1.8</v>
      </c>
      <c r="N149" s="2">
        <f t="shared" si="63"/>
        <v>2</v>
      </c>
      <c r="O149" s="2">
        <v>10</v>
      </c>
      <c r="P149" s="2">
        <f t="shared" si="56"/>
        <v>155.52000000000001</v>
      </c>
      <c r="Q149" s="2">
        <f t="shared" si="56"/>
        <v>15.55</v>
      </c>
      <c r="R149" s="2">
        <f t="shared" si="56"/>
        <v>1920</v>
      </c>
      <c r="S149" s="2">
        <f t="shared" si="56"/>
        <v>192</v>
      </c>
      <c r="T149" s="2">
        <f t="shared" si="56"/>
        <v>51.84</v>
      </c>
      <c r="U149" s="2">
        <f t="shared" si="56"/>
        <v>5.18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7">
        <v>332022</v>
      </c>
      <c r="AB149" s="14" t="s">
        <v>1566</v>
      </c>
      <c r="AC149" s="15" t="s">
        <v>889</v>
      </c>
      <c r="AD149" s="2">
        <v>3073202</v>
      </c>
      <c r="AE149" s="2">
        <v>0</v>
      </c>
      <c r="AF149" s="2">
        <v>2</v>
      </c>
      <c r="AG149" s="2">
        <v>6</v>
      </c>
      <c r="AH149" s="2">
        <v>2</v>
      </c>
      <c r="AI149" s="2"/>
      <c r="AJ149">
        <v>1</v>
      </c>
      <c r="AK149" s="1">
        <f t="shared" si="57"/>
        <v>63.957635238366542</v>
      </c>
      <c r="AL149">
        <v>6</v>
      </c>
      <c r="AM149">
        <f t="shared" si="66"/>
        <v>155.52000000000001</v>
      </c>
      <c r="AN149">
        <f t="shared" si="67"/>
        <v>15.552000000000001</v>
      </c>
      <c r="AO149">
        <f t="shared" si="68"/>
        <v>1920.0000000000002</v>
      </c>
      <c r="AP149">
        <f t="shared" si="69"/>
        <v>192.00000000000003</v>
      </c>
      <c r="AQ149">
        <f t="shared" si="58"/>
        <v>51.84</v>
      </c>
      <c r="AR149">
        <f t="shared" si="59"/>
        <v>5.1840000000000011</v>
      </c>
      <c r="AS149">
        <f t="shared" si="60"/>
        <v>1.8</v>
      </c>
      <c r="AT149">
        <f t="shared" si="61"/>
        <v>2</v>
      </c>
      <c r="AU149">
        <f t="shared" si="62"/>
        <v>3</v>
      </c>
      <c r="AV149">
        <f t="shared" si="52"/>
        <v>2023</v>
      </c>
      <c r="AW149" s="1">
        <v>2</v>
      </c>
      <c r="AX149">
        <v>3</v>
      </c>
      <c r="AY149">
        <v>0</v>
      </c>
      <c r="CE149" t="str">
        <f t="shared" si="70"/>
        <v>DATA_Class_Base15</v>
      </c>
      <c r="CF149" s="6" t="s">
        <v>306</v>
      </c>
    </row>
    <row r="150" spans="1:84">
      <c r="A150">
        <f t="shared" si="64"/>
        <v>3063301</v>
      </c>
      <c r="B150" s="6" t="s">
        <v>283</v>
      </c>
      <c r="C150">
        <v>6</v>
      </c>
      <c r="D150">
        <v>3</v>
      </c>
      <c r="E150">
        <v>3</v>
      </c>
      <c r="F150" s="3" t="s">
        <v>1592</v>
      </c>
      <c r="G150" s="3" t="s">
        <v>1592</v>
      </c>
      <c r="H150">
        <v>0</v>
      </c>
      <c r="I150">
        <v>0</v>
      </c>
      <c r="J150" s="2">
        <v>0</v>
      </c>
      <c r="K150" s="2" t="s">
        <v>285</v>
      </c>
      <c r="L150" s="2">
        <f t="shared" si="65"/>
        <v>3</v>
      </c>
      <c r="M150" s="2">
        <f t="shared" si="63"/>
        <v>1.2</v>
      </c>
      <c r="N150" s="2">
        <f t="shared" si="63"/>
        <v>1.4000000000000001</v>
      </c>
      <c r="O150" s="2">
        <v>10</v>
      </c>
      <c r="P150" s="2">
        <f t="shared" si="56"/>
        <v>138.24</v>
      </c>
      <c r="Q150" s="2">
        <f t="shared" si="56"/>
        <v>13.82</v>
      </c>
      <c r="R150" s="2">
        <f t="shared" si="56"/>
        <v>1440</v>
      </c>
      <c r="S150" s="2">
        <f t="shared" si="56"/>
        <v>144</v>
      </c>
      <c r="T150" s="2">
        <f t="shared" si="56"/>
        <v>27.65</v>
      </c>
      <c r="U150" s="2">
        <f t="shared" si="56"/>
        <v>2.76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7">
        <v>333012</v>
      </c>
      <c r="AB150" s="14" t="s">
        <v>1567</v>
      </c>
      <c r="AC150" s="15" t="s">
        <v>889</v>
      </c>
      <c r="AD150" s="2">
        <v>3073301</v>
      </c>
      <c r="AE150" s="2">
        <v>0</v>
      </c>
      <c r="AF150" s="2">
        <v>2</v>
      </c>
      <c r="AG150" s="2">
        <v>6</v>
      </c>
      <c r="AH150" s="2">
        <v>2</v>
      </c>
      <c r="AI150" s="2"/>
      <c r="AJ150">
        <v>1</v>
      </c>
      <c r="AK150" s="1">
        <f t="shared" si="57"/>
        <v>63.615154192283839</v>
      </c>
      <c r="AL150">
        <v>6</v>
      </c>
      <c r="AM150">
        <f t="shared" si="66"/>
        <v>138.24</v>
      </c>
      <c r="AN150">
        <f t="shared" si="67"/>
        <v>13.824000000000002</v>
      </c>
      <c r="AO150">
        <f t="shared" si="68"/>
        <v>1440</v>
      </c>
      <c r="AP150">
        <f t="shared" si="69"/>
        <v>144</v>
      </c>
      <c r="AQ150">
        <f t="shared" si="58"/>
        <v>27.648000000000003</v>
      </c>
      <c r="AR150">
        <f t="shared" si="59"/>
        <v>2.7648000000000006</v>
      </c>
      <c r="AS150">
        <f t="shared" si="60"/>
        <v>1.2</v>
      </c>
      <c r="AT150">
        <f t="shared" si="61"/>
        <v>1.4</v>
      </c>
      <c r="AU150">
        <f t="shared" si="62"/>
        <v>3</v>
      </c>
      <c r="AV150">
        <f t="shared" si="52"/>
        <v>3013</v>
      </c>
      <c r="AW150" s="1">
        <v>1</v>
      </c>
      <c r="AX150">
        <v>3</v>
      </c>
      <c r="AY150">
        <v>0</v>
      </c>
      <c r="CE150" t="str">
        <f t="shared" si="70"/>
        <v>DATA_Class_Base16</v>
      </c>
      <c r="CF150" s="6" t="s">
        <v>312</v>
      </c>
    </row>
    <row r="151" spans="1:84">
      <c r="A151">
        <f t="shared" si="64"/>
        <v>3063401</v>
      </c>
      <c r="B151" s="6" t="s">
        <v>317</v>
      </c>
      <c r="C151">
        <v>6</v>
      </c>
      <c r="D151">
        <v>4</v>
      </c>
      <c r="E151">
        <v>3</v>
      </c>
      <c r="F151" s="3" t="s">
        <v>1593</v>
      </c>
      <c r="G151" s="3" t="s">
        <v>1593</v>
      </c>
      <c r="H151">
        <v>0</v>
      </c>
      <c r="I151">
        <v>0</v>
      </c>
      <c r="J151">
        <v>0</v>
      </c>
      <c r="K151" s="2" t="s">
        <v>161</v>
      </c>
      <c r="L151" s="2">
        <f t="shared" si="65"/>
        <v>6</v>
      </c>
      <c r="M151" s="2">
        <f t="shared" si="63"/>
        <v>1.6</v>
      </c>
      <c r="N151" s="2">
        <f t="shared" si="63"/>
        <v>1.5</v>
      </c>
      <c r="O151" s="2">
        <v>10</v>
      </c>
      <c r="P151" s="2">
        <f t="shared" si="56"/>
        <v>184.32</v>
      </c>
      <c r="Q151" s="2">
        <f t="shared" si="56"/>
        <v>18.43</v>
      </c>
      <c r="R151" s="2">
        <f t="shared" si="56"/>
        <v>1440</v>
      </c>
      <c r="S151" s="2">
        <f t="shared" si="56"/>
        <v>144</v>
      </c>
      <c r="T151" s="2">
        <f t="shared" si="56"/>
        <v>30.72</v>
      </c>
      <c r="U151" s="2">
        <f t="shared" si="56"/>
        <v>3.07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334012</v>
      </c>
      <c r="AB151" s="14" t="s">
        <v>389</v>
      </c>
      <c r="AC151" s="15" t="s">
        <v>889</v>
      </c>
      <c r="AD151" s="2">
        <v>3073401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57"/>
        <v>63.658440403623842</v>
      </c>
      <c r="AL151">
        <v>6</v>
      </c>
      <c r="AM151">
        <f t="shared" si="66"/>
        <v>184.32000000000002</v>
      </c>
      <c r="AN151">
        <f t="shared" si="67"/>
        <v>18.432000000000002</v>
      </c>
      <c r="AO151">
        <f t="shared" si="68"/>
        <v>1440</v>
      </c>
      <c r="AP151">
        <f t="shared" si="69"/>
        <v>144</v>
      </c>
      <c r="AQ151">
        <f t="shared" si="58"/>
        <v>30.720000000000002</v>
      </c>
      <c r="AR151">
        <f t="shared" si="59"/>
        <v>3.0720000000000005</v>
      </c>
      <c r="AS151">
        <f t="shared" si="60"/>
        <v>1.6</v>
      </c>
      <c r="AT151">
        <f t="shared" si="61"/>
        <v>1.5</v>
      </c>
      <c r="AU151">
        <f t="shared" si="62"/>
        <v>6</v>
      </c>
      <c r="AV151">
        <f t="shared" si="52"/>
        <v>4013</v>
      </c>
      <c r="AW151" s="1">
        <v>1</v>
      </c>
      <c r="AX151">
        <v>3</v>
      </c>
      <c r="AY151">
        <v>0</v>
      </c>
      <c r="CE151" t="str">
        <f t="shared" si="70"/>
        <v>DATA_Class_Base17</v>
      </c>
      <c r="CF151" s="6" t="s">
        <v>318</v>
      </c>
    </row>
    <row r="152" spans="1:84">
      <c r="A152">
        <f t="shared" si="64"/>
        <v>3063402</v>
      </c>
      <c r="B152" s="6" t="s">
        <v>323</v>
      </c>
      <c r="C152">
        <v>6</v>
      </c>
      <c r="D152">
        <v>4</v>
      </c>
      <c r="E152">
        <v>3</v>
      </c>
      <c r="F152" s="3" t="s">
        <v>1594</v>
      </c>
      <c r="G152" s="3" t="s">
        <v>1594</v>
      </c>
      <c r="H152">
        <v>0</v>
      </c>
      <c r="I152">
        <v>0</v>
      </c>
      <c r="J152" s="2">
        <v>0</v>
      </c>
      <c r="K152" s="2" t="s">
        <v>250</v>
      </c>
      <c r="L152" s="2">
        <f t="shared" si="65"/>
        <v>6</v>
      </c>
      <c r="M152" s="2">
        <f t="shared" si="63"/>
        <v>1.5</v>
      </c>
      <c r="N152" s="2">
        <f t="shared" si="63"/>
        <v>1.5</v>
      </c>
      <c r="O152" s="2">
        <v>10</v>
      </c>
      <c r="P152" s="2">
        <f t="shared" si="56"/>
        <v>187.2</v>
      </c>
      <c r="Q152" s="2">
        <f t="shared" si="56"/>
        <v>18.72</v>
      </c>
      <c r="R152" s="2">
        <f t="shared" si="56"/>
        <v>1329.23</v>
      </c>
      <c r="S152" s="2">
        <f t="shared" si="56"/>
        <v>132.91999999999999</v>
      </c>
      <c r="T152" s="2">
        <f t="shared" si="56"/>
        <v>26.74</v>
      </c>
      <c r="U152" s="2">
        <f t="shared" si="56"/>
        <v>2.67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334022</v>
      </c>
      <c r="AB152" s="14" t="s">
        <v>392</v>
      </c>
      <c r="AC152" s="15" t="s">
        <v>889</v>
      </c>
      <c r="AD152" s="2">
        <v>3073402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57"/>
        <v>63.602411444705524</v>
      </c>
      <c r="AL152">
        <v>6</v>
      </c>
      <c r="AM152">
        <f t="shared" si="66"/>
        <v>187.20000000000002</v>
      </c>
      <c r="AN152">
        <f t="shared" si="67"/>
        <v>18.720000000000002</v>
      </c>
      <c r="AO152">
        <f t="shared" si="68"/>
        <v>1329.2307692307691</v>
      </c>
      <c r="AP152">
        <f t="shared" si="69"/>
        <v>132.92307692307691</v>
      </c>
      <c r="AQ152">
        <f t="shared" si="58"/>
        <v>26.742857142857144</v>
      </c>
      <c r="AR152">
        <f t="shared" si="59"/>
        <v>2.6742857142857144</v>
      </c>
      <c r="AS152">
        <f t="shared" si="60"/>
        <v>1.5</v>
      </c>
      <c r="AT152">
        <f t="shared" si="61"/>
        <v>1.5</v>
      </c>
      <c r="AU152">
        <f t="shared" si="62"/>
        <v>6</v>
      </c>
      <c r="AV152">
        <f t="shared" si="52"/>
        <v>4023</v>
      </c>
      <c r="AW152" s="1">
        <v>2</v>
      </c>
      <c r="AX152">
        <v>3</v>
      </c>
      <c r="AY152">
        <v>0</v>
      </c>
      <c r="CE152" t="str">
        <f t="shared" si="70"/>
        <v>DATA_Class_Base18</v>
      </c>
      <c r="CF152" s="6" t="s">
        <v>324</v>
      </c>
    </row>
    <row r="153" spans="1:84">
      <c r="A153">
        <f t="shared" si="64"/>
        <v>3063500</v>
      </c>
      <c r="B153" s="6" t="s">
        <v>301</v>
      </c>
      <c r="C153">
        <v>6</v>
      </c>
      <c r="D153">
        <v>5</v>
      </c>
      <c r="E153">
        <v>3</v>
      </c>
      <c r="F153" s="3" t="s">
        <v>1595</v>
      </c>
      <c r="G153" s="3" t="s">
        <v>1595</v>
      </c>
      <c r="H153">
        <v>0</v>
      </c>
      <c r="I153">
        <v>0</v>
      </c>
      <c r="J153" s="2">
        <v>0</v>
      </c>
      <c r="K153" s="2" t="s">
        <v>303</v>
      </c>
      <c r="L153" s="2">
        <f t="shared" si="65"/>
        <v>6</v>
      </c>
      <c r="M153" s="2">
        <f t="shared" si="63"/>
        <v>1.5</v>
      </c>
      <c r="N153" s="2">
        <f t="shared" si="63"/>
        <v>2</v>
      </c>
      <c r="O153" s="2">
        <v>10</v>
      </c>
      <c r="P153" s="2">
        <f t="shared" si="56"/>
        <v>187.2</v>
      </c>
      <c r="Q153" s="2">
        <f t="shared" si="56"/>
        <v>18.72</v>
      </c>
      <c r="R153" s="2">
        <f t="shared" si="56"/>
        <v>1329.23</v>
      </c>
      <c r="S153" s="2">
        <f t="shared" si="56"/>
        <v>132.91999999999999</v>
      </c>
      <c r="T153" s="2">
        <f t="shared" si="56"/>
        <v>31.2</v>
      </c>
      <c r="U153" s="2">
        <f t="shared" si="56"/>
        <v>3.12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335002</v>
      </c>
      <c r="AB153" s="14" t="s">
        <v>1568</v>
      </c>
      <c r="AC153" s="15" t="s">
        <v>889</v>
      </c>
      <c r="AD153" s="2">
        <v>3073500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si="57"/>
        <v>63.665209195920788</v>
      </c>
      <c r="AL153">
        <v>6</v>
      </c>
      <c r="AM153">
        <f t="shared" si="66"/>
        <v>187.20000000000002</v>
      </c>
      <c r="AN153">
        <f t="shared" si="67"/>
        <v>18.720000000000002</v>
      </c>
      <c r="AO153">
        <f t="shared" si="68"/>
        <v>1329.2307692307691</v>
      </c>
      <c r="AP153">
        <f t="shared" si="69"/>
        <v>132.92307692307691</v>
      </c>
      <c r="AQ153">
        <f t="shared" si="58"/>
        <v>31.200000000000003</v>
      </c>
      <c r="AR153">
        <f t="shared" si="59"/>
        <v>3.1200000000000006</v>
      </c>
      <c r="AS153">
        <f t="shared" si="60"/>
        <v>1.5</v>
      </c>
      <c r="AT153">
        <f t="shared" si="61"/>
        <v>2</v>
      </c>
      <c r="AU153">
        <f t="shared" si="62"/>
        <v>6</v>
      </c>
      <c r="AV153">
        <f t="shared" si="52"/>
        <v>5003</v>
      </c>
      <c r="AW153" s="1">
        <v>0</v>
      </c>
      <c r="AX153">
        <v>3</v>
      </c>
      <c r="AY153">
        <v>0</v>
      </c>
      <c r="CE153" t="str">
        <f t="shared" si="70"/>
        <v>DATA_Class_Base19</v>
      </c>
      <c r="CF153" s="6" t="s">
        <v>331</v>
      </c>
    </row>
    <row r="154" spans="1:84">
      <c r="A154">
        <f t="shared" si="64"/>
        <v>3063502</v>
      </c>
      <c r="B154" s="6" t="s">
        <v>289</v>
      </c>
      <c r="C154">
        <v>6</v>
      </c>
      <c r="D154">
        <v>5</v>
      </c>
      <c r="E154">
        <v>3</v>
      </c>
      <c r="F154" s="3" t="s">
        <v>1596</v>
      </c>
      <c r="G154" s="3" t="s">
        <v>1596</v>
      </c>
      <c r="H154">
        <v>0</v>
      </c>
      <c r="I154">
        <v>0</v>
      </c>
      <c r="J154" s="2">
        <v>0</v>
      </c>
      <c r="K154" s="2" t="s">
        <v>291</v>
      </c>
      <c r="L154" s="2">
        <f t="shared" si="65"/>
        <v>6</v>
      </c>
      <c r="M154" s="2">
        <f t="shared" si="63"/>
        <v>1.4000000000000001</v>
      </c>
      <c r="N154" s="2">
        <f t="shared" si="63"/>
        <v>2</v>
      </c>
      <c r="O154" s="2">
        <v>10</v>
      </c>
      <c r="P154" s="2">
        <f t="shared" si="56"/>
        <v>181.44</v>
      </c>
      <c r="Q154" s="2">
        <f t="shared" si="56"/>
        <v>18.14</v>
      </c>
      <c r="R154" s="2">
        <f t="shared" si="56"/>
        <v>1280</v>
      </c>
      <c r="S154" s="2">
        <f t="shared" si="56"/>
        <v>128</v>
      </c>
      <c r="T154" s="2">
        <f t="shared" si="56"/>
        <v>25.92</v>
      </c>
      <c r="U154" s="2">
        <f t="shared" si="56"/>
        <v>2.59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335022</v>
      </c>
      <c r="AB154" s="14" t="s">
        <v>1569</v>
      </c>
      <c r="AC154" s="15" t="s">
        <v>889</v>
      </c>
      <c r="AD154">
        <v>3073502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57"/>
        <v>63.590831557875632</v>
      </c>
      <c r="AL154">
        <v>6</v>
      </c>
      <c r="AM154">
        <f t="shared" si="66"/>
        <v>181.44</v>
      </c>
      <c r="AN154">
        <f t="shared" si="67"/>
        <v>18.144000000000002</v>
      </c>
      <c r="AO154">
        <f t="shared" si="68"/>
        <v>1280</v>
      </c>
      <c r="AP154">
        <f t="shared" si="69"/>
        <v>128</v>
      </c>
      <c r="AQ154">
        <f t="shared" si="58"/>
        <v>25.919999999999998</v>
      </c>
      <c r="AR154">
        <f t="shared" si="59"/>
        <v>2.5920000000000001</v>
      </c>
      <c r="AS154">
        <f t="shared" si="60"/>
        <v>1.4</v>
      </c>
      <c r="AT154">
        <f t="shared" si="61"/>
        <v>2</v>
      </c>
      <c r="AU154">
        <f t="shared" si="62"/>
        <v>6</v>
      </c>
      <c r="AV154">
        <f t="shared" si="52"/>
        <v>5023</v>
      </c>
      <c r="AW154" s="1">
        <v>2</v>
      </c>
      <c r="AX154">
        <v>3</v>
      </c>
      <c r="AY154">
        <v>0</v>
      </c>
      <c r="CE154" t="str">
        <f t="shared" si="70"/>
        <v>DATA_Class_Base20</v>
      </c>
      <c r="CF154" s="6" t="s">
        <v>336</v>
      </c>
    </row>
    <row r="155" spans="1:84">
      <c r="A155">
        <f t="shared" si="64"/>
        <v>3063601</v>
      </c>
      <c r="B155" s="6" t="s">
        <v>307</v>
      </c>
      <c r="C155">
        <v>6</v>
      </c>
      <c r="D155">
        <v>6</v>
      </c>
      <c r="E155">
        <v>3</v>
      </c>
      <c r="F155" s="3" t="s">
        <v>1597</v>
      </c>
      <c r="G155" s="3" t="s">
        <v>1597</v>
      </c>
      <c r="H155">
        <v>0</v>
      </c>
      <c r="I155">
        <v>0</v>
      </c>
      <c r="J155">
        <v>0</v>
      </c>
      <c r="K155" s="2" t="s">
        <v>309</v>
      </c>
      <c r="L155" s="2">
        <f t="shared" si="65"/>
        <v>6</v>
      </c>
      <c r="M155" s="2">
        <f t="shared" si="63"/>
        <v>1.5</v>
      </c>
      <c r="N155" s="2">
        <f t="shared" si="63"/>
        <v>2</v>
      </c>
      <c r="O155" s="2">
        <v>10</v>
      </c>
      <c r="P155" s="2">
        <f t="shared" si="56"/>
        <v>129.6</v>
      </c>
      <c r="Q155" s="2">
        <f t="shared" si="56"/>
        <v>12.96</v>
      </c>
      <c r="R155" s="2">
        <f t="shared" si="56"/>
        <v>1920</v>
      </c>
      <c r="S155" s="2">
        <f t="shared" si="56"/>
        <v>192</v>
      </c>
      <c r="T155" s="2">
        <f t="shared" si="56"/>
        <v>43.2</v>
      </c>
      <c r="U155" s="2">
        <f t="shared" si="56"/>
        <v>4.32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336012</v>
      </c>
      <c r="AB155" s="14" t="s">
        <v>1570</v>
      </c>
      <c r="AC155" s="15" t="s">
        <v>889</v>
      </c>
      <c r="AD155">
        <v>3073601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57"/>
        <v>63.834898071269372</v>
      </c>
      <c r="AL155">
        <v>6</v>
      </c>
      <c r="AM155">
        <f t="shared" si="66"/>
        <v>129.6</v>
      </c>
      <c r="AN155">
        <f t="shared" si="67"/>
        <v>12.96</v>
      </c>
      <c r="AO155">
        <f t="shared" si="68"/>
        <v>1920.0000000000002</v>
      </c>
      <c r="AP155">
        <f t="shared" si="69"/>
        <v>192.00000000000003</v>
      </c>
      <c r="AQ155">
        <f t="shared" si="58"/>
        <v>43.199999999999996</v>
      </c>
      <c r="AR155">
        <f t="shared" si="59"/>
        <v>4.3199999999999994</v>
      </c>
      <c r="AS155">
        <f t="shared" si="60"/>
        <v>1.5</v>
      </c>
      <c r="AT155">
        <f t="shared" si="61"/>
        <v>2</v>
      </c>
      <c r="AU155">
        <f t="shared" si="62"/>
        <v>6</v>
      </c>
      <c r="AV155">
        <f t="shared" si="52"/>
        <v>6013</v>
      </c>
      <c r="AW155" s="1">
        <v>1</v>
      </c>
      <c r="AX155">
        <v>3</v>
      </c>
      <c r="AY155">
        <v>0</v>
      </c>
      <c r="CE155" t="str">
        <f t="shared" si="70"/>
        <v>DATA_Class_Base21</v>
      </c>
      <c r="CF155" s="6" t="s">
        <v>342</v>
      </c>
    </row>
    <row r="156" spans="1:84">
      <c r="A156">
        <f t="shared" si="64"/>
        <v>3064501</v>
      </c>
      <c r="B156" s="6" t="s">
        <v>332</v>
      </c>
      <c r="C156">
        <v>6</v>
      </c>
      <c r="D156">
        <v>5</v>
      </c>
      <c r="E156">
        <v>4</v>
      </c>
      <c r="F156" s="3" t="s">
        <v>1598</v>
      </c>
      <c r="G156" s="3" t="s">
        <v>1598</v>
      </c>
      <c r="H156">
        <v>0</v>
      </c>
      <c r="I156">
        <v>0</v>
      </c>
      <c r="J156">
        <v>0</v>
      </c>
      <c r="K156" s="2" t="s">
        <v>334</v>
      </c>
      <c r="L156" s="2">
        <f t="shared" si="65"/>
        <v>6</v>
      </c>
      <c r="M156" s="2">
        <f t="shared" si="63"/>
        <v>1.6</v>
      </c>
      <c r="N156" s="2">
        <f t="shared" si="63"/>
        <v>2</v>
      </c>
      <c r="O156" s="2">
        <v>10</v>
      </c>
      <c r="P156" s="2">
        <f t="shared" si="56"/>
        <v>199.68</v>
      </c>
      <c r="Q156" s="2">
        <f t="shared" si="56"/>
        <v>19.97</v>
      </c>
      <c r="R156" s="2">
        <f t="shared" si="56"/>
        <v>1329.23</v>
      </c>
      <c r="S156" s="2">
        <f t="shared" si="56"/>
        <v>132.91999999999999</v>
      </c>
      <c r="T156" s="2">
        <f t="shared" si="56"/>
        <v>22.19</v>
      </c>
      <c r="U156" s="2">
        <f t="shared" si="56"/>
        <v>2.2200000000000002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345012</v>
      </c>
      <c r="AB156" s="14" t="s">
        <v>395</v>
      </c>
      <c r="AC156" s="15" t="s">
        <v>889</v>
      </c>
      <c r="AD156">
        <v>3074501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57"/>
        <v>63.538346103219546</v>
      </c>
      <c r="AL156">
        <v>6</v>
      </c>
      <c r="AM156">
        <f t="shared" si="66"/>
        <v>199.68</v>
      </c>
      <c r="AN156">
        <f t="shared" si="67"/>
        <v>19.968000000000004</v>
      </c>
      <c r="AO156">
        <f t="shared" si="68"/>
        <v>1329.2307692307691</v>
      </c>
      <c r="AP156">
        <f t="shared" si="69"/>
        <v>132.92307692307691</v>
      </c>
      <c r="AQ156">
        <f t="shared" si="58"/>
        <v>22.186666666666667</v>
      </c>
      <c r="AR156">
        <f t="shared" si="59"/>
        <v>2.218666666666667</v>
      </c>
      <c r="AS156">
        <f t="shared" si="60"/>
        <v>1.6</v>
      </c>
      <c r="AT156">
        <f t="shared" si="61"/>
        <v>2</v>
      </c>
      <c r="AU156">
        <f t="shared" si="62"/>
        <v>6</v>
      </c>
      <c r="AV156">
        <f t="shared" si="52"/>
        <v>5014</v>
      </c>
      <c r="AW156" s="1">
        <v>1</v>
      </c>
      <c r="AX156">
        <v>3</v>
      </c>
      <c r="AY156">
        <v>0</v>
      </c>
      <c r="CE156" t="str">
        <f t="shared" si="70"/>
        <v>DATA_Class_Base22</v>
      </c>
      <c r="CF156" s="6" t="s">
        <v>349</v>
      </c>
    </row>
    <row r="157" spans="1:84">
      <c r="A157">
        <f t="shared" si="64"/>
        <v>3064600</v>
      </c>
      <c r="B157" s="6" t="s">
        <v>337</v>
      </c>
      <c r="C157">
        <v>6</v>
      </c>
      <c r="D157">
        <v>6</v>
      </c>
      <c r="E157">
        <v>4</v>
      </c>
      <c r="F157" s="3" t="s">
        <v>1599</v>
      </c>
      <c r="G157" s="3" t="s">
        <v>1599</v>
      </c>
      <c r="H157">
        <v>0</v>
      </c>
      <c r="I157">
        <v>0</v>
      </c>
      <c r="J157" s="2">
        <v>0</v>
      </c>
      <c r="K157" s="2" t="s">
        <v>339</v>
      </c>
      <c r="L157" s="2">
        <f t="shared" si="65"/>
        <v>3</v>
      </c>
      <c r="M157" s="2">
        <f t="shared" si="63"/>
        <v>1.4000000000000001</v>
      </c>
      <c r="N157" s="2">
        <f t="shared" si="63"/>
        <v>1.9000000000000001</v>
      </c>
      <c r="O157" s="2">
        <v>10</v>
      </c>
      <c r="P157" s="2">
        <f t="shared" si="56"/>
        <v>147.84</v>
      </c>
      <c r="Q157" s="2">
        <f t="shared" si="56"/>
        <v>14.78</v>
      </c>
      <c r="R157" s="2">
        <f t="shared" si="56"/>
        <v>1570.91</v>
      </c>
      <c r="S157" s="2">
        <f t="shared" si="56"/>
        <v>157.09</v>
      </c>
      <c r="T157" s="2">
        <f t="shared" si="56"/>
        <v>36.96</v>
      </c>
      <c r="U157" s="2">
        <f t="shared" si="56"/>
        <v>3.7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346002</v>
      </c>
      <c r="AB157" s="14" t="s">
        <v>397</v>
      </c>
      <c r="AC157" s="15" t="s">
        <v>889</v>
      </c>
      <c r="AD157">
        <v>3074600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57"/>
        <v>63.746547123974459</v>
      </c>
      <c r="AL157">
        <v>6</v>
      </c>
      <c r="AM157">
        <f t="shared" si="66"/>
        <v>147.84</v>
      </c>
      <c r="AN157">
        <f t="shared" si="67"/>
        <v>14.784000000000001</v>
      </c>
      <c r="AO157">
        <f t="shared" si="68"/>
        <v>1570.909090909091</v>
      </c>
      <c r="AP157">
        <f t="shared" si="69"/>
        <v>157.09090909090912</v>
      </c>
      <c r="AQ157">
        <f t="shared" si="58"/>
        <v>36.96</v>
      </c>
      <c r="AR157">
        <f t="shared" si="59"/>
        <v>3.6960000000000002</v>
      </c>
      <c r="AS157">
        <f t="shared" si="60"/>
        <v>1.4</v>
      </c>
      <c r="AT157">
        <f t="shared" si="61"/>
        <v>1.9</v>
      </c>
      <c r="AU157">
        <f t="shared" si="62"/>
        <v>3</v>
      </c>
      <c r="AV157">
        <f t="shared" si="52"/>
        <v>6004</v>
      </c>
      <c r="AW157" s="1">
        <v>0</v>
      </c>
      <c r="AX157">
        <v>3</v>
      </c>
      <c r="AY157">
        <v>0</v>
      </c>
      <c r="CE157" t="str">
        <f t="shared" si="70"/>
        <v>DATA_Class_Base23</v>
      </c>
      <c r="CF157" s="6" t="s">
        <v>355</v>
      </c>
    </row>
    <row r="158" spans="1:84">
      <c r="A158">
        <f t="shared" si="64"/>
        <v>3064602</v>
      </c>
      <c r="B158" s="6" t="s">
        <v>343</v>
      </c>
      <c r="C158">
        <v>6</v>
      </c>
      <c r="D158">
        <v>6</v>
      </c>
      <c r="E158">
        <v>4</v>
      </c>
      <c r="F158" s="3" t="s">
        <v>1600</v>
      </c>
      <c r="G158" s="3" t="s">
        <v>1600</v>
      </c>
      <c r="H158">
        <v>0</v>
      </c>
      <c r="I158">
        <v>0</v>
      </c>
      <c r="J158" t="s">
        <v>345</v>
      </c>
      <c r="K158" s="2" t="s">
        <v>346</v>
      </c>
      <c r="L158" s="2">
        <f t="shared" si="65"/>
        <v>6</v>
      </c>
      <c r="M158" s="2">
        <f t="shared" si="63"/>
        <v>1.8</v>
      </c>
      <c r="N158" s="2">
        <f t="shared" si="63"/>
        <v>2</v>
      </c>
      <c r="O158" s="2">
        <v>10</v>
      </c>
      <c r="P158" s="2">
        <f t="shared" si="56"/>
        <v>172.8</v>
      </c>
      <c r="Q158" s="2">
        <f t="shared" si="56"/>
        <v>17.28</v>
      </c>
      <c r="R158" s="2">
        <f t="shared" si="56"/>
        <v>1728</v>
      </c>
      <c r="S158" s="2">
        <f t="shared" ref="S158:U221" si="71">ROUND(AP158*(1+$AY158),2)</f>
        <v>172.8</v>
      </c>
      <c r="T158" s="2">
        <f t="shared" si="71"/>
        <v>34.56</v>
      </c>
      <c r="U158" s="2">
        <f t="shared" si="71"/>
        <v>3.46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346022</v>
      </c>
      <c r="AB158" s="14" t="s">
        <v>399</v>
      </c>
      <c r="AC158" s="15" t="s">
        <v>889</v>
      </c>
      <c r="AD158">
        <v>3074602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57"/>
        <v>63.712631076601618</v>
      </c>
      <c r="AL158">
        <v>6</v>
      </c>
      <c r="AM158">
        <f t="shared" si="66"/>
        <v>172.8</v>
      </c>
      <c r="AN158">
        <f t="shared" si="67"/>
        <v>17.28</v>
      </c>
      <c r="AO158">
        <f t="shared" si="68"/>
        <v>1728</v>
      </c>
      <c r="AP158">
        <f t="shared" si="69"/>
        <v>172.8</v>
      </c>
      <c r="AQ158">
        <f t="shared" si="58"/>
        <v>34.56</v>
      </c>
      <c r="AR158">
        <f t="shared" si="59"/>
        <v>3.4560000000000004</v>
      </c>
      <c r="AS158">
        <f t="shared" si="60"/>
        <v>1.8</v>
      </c>
      <c r="AT158">
        <f t="shared" si="61"/>
        <v>2</v>
      </c>
      <c r="AU158">
        <f t="shared" si="62"/>
        <v>6</v>
      </c>
      <c r="AV158">
        <f t="shared" ref="AV158:AV221" si="72">D158*1000+AW158*10+E158</f>
        <v>6024</v>
      </c>
      <c r="AW158" s="1">
        <v>2</v>
      </c>
      <c r="AX158">
        <v>3</v>
      </c>
      <c r="AY158">
        <v>0</v>
      </c>
      <c r="CE158" t="str">
        <f t="shared" si="70"/>
        <v>DATA_Class_Base24</v>
      </c>
      <c r="CF158" s="6" t="s">
        <v>361</v>
      </c>
    </row>
    <row r="159" spans="1:84">
      <c r="A159">
        <f t="shared" si="64"/>
        <v>3065300</v>
      </c>
      <c r="B159" s="6" t="s">
        <v>350</v>
      </c>
      <c r="C159">
        <v>6</v>
      </c>
      <c r="D159">
        <v>3</v>
      </c>
      <c r="E159">
        <v>5</v>
      </c>
      <c r="F159" s="3" t="s">
        <v>1601</v>
      </c>
      <c r="G159" s="3" t="s">
        <v>1601</v>
      </c>
      <c r="H159">
        <v>0</v>
      </c>
      <c r="I159">
        <v>0</v>
      </c>
      <c r="J159" s="2">
        <v>0</v>
      </c>
      <c r="K159" s="2" t="s">
        <v>352</v>
      </c>
      <c r="L159" s="2">
        <f t="shared" si="65"/>
        <v>6</v>
      </c>
      <c r="M159" s="2">
        <f t="shared" si="63"/>
        <v>1.3</v>
      </c>
      <c r="N159" s="2">
        <f t="shared" si="63"/>
        <v>2</v>
      </c>
      <c r="O159" s="2">
        <v>10</v>
      </c>
      <c r="P159" s="2">
        <f t="shared" ref="P159:U222" si="73">ROUND(AM159*(1+$AY159),2)</f>
        <v>143.52000000000001</v>
      </c>
      <c r="Q159" s="2">
        <f t="shared" si="73"/>
        <v>14.35</v>
      </c>
      <c r="R159" s="2">
        <f t="shared" si="73"/>
        <v>1502.61</v>
      </c>
      <c r="S159" s="2">
        <f t="shared" si="71"/>
        <v>150.26</v>
      </c>
      <c r="T159" s="2">
        <f t="shared" si="71"/>
        <v>17.940000000000001</v>
      </c>
      <c r="U159" s="2">
        <f t="shared" si="71"/>
        <v>1.79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353002</v>
      </c>
      <c r="AB159" s="14" t="s">
        <v>403</v>
      </c>
      <c r="AC159" s="15" t="s">
        <v>889</v>
      </c>
      <c r="AD159">
        <v>3075300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57"/>
        <v>63.478749127054655</v>
      </c>
      <c r="AL159">
        <v>6</v>
      </c>
      <c r="AM159">
        <f t="shared" si="66"/>
        <v>143.51999999999998</v>
      </c>
      <c r="AN159">
        <f t="shared" si="67"/>
        <v>14.351999999999999</v>
      </c>
      <c r="AO159">
        <f t="shared" si="68"/>
        <v>1502.608695652174</v>
      </c>
      <c r="AP159">
        <f t="shared" si="69"/>
        <v>150.2608695652174</v>
      </c>
      <c r="AQ159">
        <f t="shared" si="58"/>
        <v>17.939999999999998</v>
      </c>
      <c r="AR159">
        <f t="shared" si="59"/>
        <v>1.7939999999999998</v>
      </c>
      <c r="AS159">
        <f t="shared" si="60"/>
        <v>1.3</v>
      </c>
      <c r="AT159">
        <f t="shared" si="61"/>
        <v>2</v>
      </c>
      <c r="AU159">
        <f t="shared" si="62"/>
        <v>6</v>
      </c>
      <c r="AV159">
        <f t="shared" si="72"/>
        <v>3005</v>
      </c>
      <c r="AW159" s="1">
        <v>0</v>
      </c>
      <c r="AX159">
        <v>3</v>
      </c>
      <c r="AY159">
        <v>0</v>
      </c>
      <c r="CE159" t="str">
        <f t="shared" si="70"/>
        <v>DATA_Class_Base25</v>
      </c>
      <c r="CF159" s="6" t="s">
        <v>366</v>
      </c>
    </row>
    <row r="160" spans="1:84">
      <c r="A160">
        <f t="shared" si="64"/>
        <v>3065302</v>
      </c>
      <c r="B160" s="6" t="s">
        <v>356</v>
      </c>
      <c r="C160">
        <v>6</v>
      </c>
      <c r="D160">
        <v>3</v>
      </c>
      <c r="E160">
        <v>5</v>
      </c>
      <c r="F160" s="3" t="s">
        <v>1602</v>
      </c>
      <c r="G160" s="3" t="s">
        <v>1602</v>
      </c>
      <c r="H160">
        <v>0</v>
      </c>
      <c r="I160">
        <v>0</v>
      </c>
      <c r="J160" s="2">
        <v>0</v>
      </c>
      <c r="K160" s="2" t="s">
        <v>358</v>
      </c>
      <c r="L160" s="2">
        <f t="shared" si="65"/>
        <v>3</v>
      </c>
      <c r="M160" s="2">
        <f t="shared" si="63"/>
        <v>1.4000000000000001</v>
      </c>
      <c r="N160" s="2">
        <f t="shared" si="63"/>
        <v>2</v>
      </c>
      <c r="O160" s="2">
        <v>10</v>
      </c>
      <c r="P160" s="2">
        <f t="shared" si="73"/>
        <v>161.28</v>
      </c>
      <c r="Q160" s="2">
        <f t="shared" si="73"/>
        <v>16.13</v>
      </c>
      <c r="R160" s="2">
        <f t="shared" si="73"/>
        <v>1440</v>
      </c>
      <c r="S160" s="2">
        <f t="shared" si="71"/>
        <v>144</v>
      </c>
      <c r="T160" s="2">
        <f t="shared" si="71"/>
        <v>23.04</v>
      </c>
      <c r="U160" s="2">
        <f t="shared" si="71"/>
        <v>2.2999999999999998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353022</v>
      </c>
      <c r="AB160" s="14" t="s">
        <v>405</v>
      </c>
      <c r="AC160" s="15" t="s">
        <v>889</v>
      </c>
      <c r="AD160">
        <v>3075302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57"/>
        <v>63.550335138751301</v>
      </c>
      <c r="AL160">
        <v>6</v>
      </c>
      <c r="AM160">
        <f t="shared" si="66"/>
        <v>161.28</v>
      </c>
      <c r="AN160">
        <f t="shared" si="67"/>
        <v>16.128</v>
      </c>
      <c r="AO160">
        <f t="shared" si="68"/>
        <v>1440</v>
      </c>
      <c r="AP160">
        <f t="shared" si="69"/>
        <v>144</v>
      </c>
      <c r="AQ160">
        <f t="shared" si="58"/>
        <v>23.04</v>
      </c>
      <c r="AR160">
        <f t="shared" si="59"/>
        <v>2.3039999999999998</v>
      </c>
      <c r="AS160">
        <f t="shared" si="60"/>
        <v>1.4</v>
      </c>
      <c r="AT160">
        <f t="shared" si="61"/>
        <v>2</v>
      </c>
      <c r="AU160">
        <f t="shared" si="62"/>
        <v>3</v>
      </c>
      <c r="AV160">
        <f t="shared" si="72"/>
        <v>3025</v>
      </c>
      <c r="AW160" s="1">
        <v>2</v>
      </c>
      <c r="AX160">
        <v>3</v>
      </c>
      <c r="AY160">
        <v>0</v>
      </c>
      <c r="CE160" t="str">
        <f t="shared" si="70"/>
        <v>DATA_Class_Base26</v>
      </c>
      <c r="CF160" s="6" t="s">
        <v>369</v>
      </c>
    </row>
    <row r="161" spans="1:84">
      <c r="A161">
        <f t="shared" si="64"/>
        <v>3065400</v>
      </c>
      <c r="B161" s="6" t="s">
        <v>362</v>
      </c>
      <c r="C161">
        <v>6</v>
      </c>
      <c r="D161">
        <v>4</v>
      </c>
      <c r="E161">
        <v>5</v>
      </c>
      <c r="F161" s="3" t="s">
        <v>1603</v>
      </c>
      <c r="G161" s="3" t="s">
        <v>1603</v>
      </c>
      <c r="H161">
        <v>0</v>
      </c>
      <c r="I161">
        <v>0</v>
      </c>
      <c r="J161">
        <v>0</v>
      </c>
      <c r="K161" s="2" t="s">
        <v>364</v>
      </c>
      <c r="L161" s="2">
        <f t="shared" si="65"/>
        <v>6</v>
      </c>
      <c r="M161" s="2">
        <f t="shared" si="63"/>
        <v>1.4000000000000001</v>
      </c>
      <c r="N161" s="2">
        <f t="shared" si="63"/>
        <v>2</v>
      </c>
      <c r="O161" s="2">
        <v>10</v>
      </c>
      <c r="P161" s="2">
        <f t="shared" si="73"/>
        <v>168</v>
      </c>
      <c r="Q161" s="2">
        <f t="shared" si="73"/>
        <v>16.8</v>
      </c>
      <c r="R161" s="2">
        <f t="shared" si="73"/>
        <v>1382.4</v>
      </c>
      <c r="S161" s="2">
        <f t="shared" si="71"/>
        <v>138.24</v>
      </c>
      <c r="T161" s="2">
        <f t="shared" si="71"/>
        <v>28</v>
      </c>
      <c r="U161" s="2">
        <f t="shared" si="71"/>
        <v>2.8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354002</v>
      </c>
      <c r="AB161" s="14" t="s">
        <v>408</v>
      </c>
      <c r="AC161" s="15" t="s">
        <v>889</v>
      </c>
      <c r="AD161">
        <v>3075400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57"/>
        <v>63.620111084279188</v>
      </c>
      <c r="AL161">
        <v>6</v>
      </c>
      <c r="AM161">
        <f t="shared" si="66"/>
        <v>168.00000000000003</v>
      </c>
      <c r="AN161">
        <f t="shared" si="67"/>
        <v>16.800000000000004</v>
      </c>
      <c r="AO161">
        <f t="shared" si="68"/>
        <v>1382.4</v>
      </c>
      <c r="AP161">
        <f t="shared" si="69"/>
        <v>138.24</v>
      </c>
      <c r="AQ161">
        <f t="shared" si="58"/>
        <v>28.000000000000004</v>
      </c>
      <c r="AR161">
        <f t="shared" si="59"/>
        <v>2.8000000000000007</v>
      </c>
      <c r="AS161">
        <f t="shared" si="60"/>
        <v>1.4</v>
      </c>
      <c r="AT161">
        <f t="shared" si="61"/>
        <v>2</v>
      </c>
      <c r="AU161">
        <f t="shared" si="62"/>
        <v>6</v>
      </c>
      <c r="AV161">
        <f t="shared" si="72"/>
        <v>4005</v>
      </c>
      <c r="AW161" s="1">
        <v>0</v>
      </c>
      <c r="AX161">
        <v>3</v>
      </c>
      <c r="AY161">
        <v>0</v>
      </c>
      <c r="CE161" t="str">
        <f t="shared" si="70"/>
        <v>DATA_Class_Base27</v>
      </c>
      <c r="CF161" s="6" t="s">
        <v>371</v>
      </c>
    </row>
    <row r="162" spans="1:84">
      <c r="A162">
        <f t="shared" si="64"/>
        <v>3071200</v>
      </c>
      <c r="B162" s="6" t="s">
        <v>294</v>
      </c>
      <c r="C162">
        <v>7</v>
      </c>
      <c r="D162">
        <v>2</v>
      </c>
      <c r="E162">
        <v>1</v>
      </c>
      <c r="F162" s="3" t="s">
        <v>1571</v>
      </c>
      <c r="G162" s="3" t="s">
        <v>1571</v>
      </c>
      <c r="H162">
        <v>0</v>
      </c>
      <c r="I162">
        <v>0</v>
      </c>
      <c r="J162" s="2">
        <v>0</v>
      </c>
      <c r="K162" s="2" t="s">
        <v>314</v>
      </c>
      <c r="L162" s="2">
        <f t="shared" si="65"/>
        <v>3</v>
      </c>
      <c r="M162" s="2">
        <f t="shared" si="63"/>
        <v>1.5</v>
      </c>
      <c r="N162" s="2">
        <f t="shared" si="63"/>
        <v>1.2</v>
      </c>
      <c r="O162" s="2">
        <v>10</v>
      </c>
      <c r="P162" s="2">
        <f t="shared" si="73"/>
        <v>128</v>
      </c>
      <c r="Q162" s="2">
        <f t="shared" si="73"/>
        <v>12.8</v>
      </c>
      <c r="R162" s="2">
        <f t="shared" si="73"/>
        <v>2400</v>
      </c>
      <c r="S162" s="2">
        <f t="shared" si="71"/>
        <v>240</v>
      </c>
      <c r="T162" s="2">
        <f t="shared" si="71"/>
        <v>42.67</v>
      </c>
      <c r="U162" s="2">
        <f t="shared" si="71"/>
        <v>4.2699999999999996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312002</v>
      </c>
      <c r="AB162" s="14" t="s">
        <v>1604</v>
      </c>
      <c r="AC162" s="15" t="s">
        <v>889</v>
      </c>
      <c r="AD162" s="2">
        <v>3081200</v>
      </c>
      <c r="AE162" s="2">
        <v>0</v>
      </c>
      <c r="AF162" s="2">
        <v>1</v>
      </c>
      <c r="AG162" s="2">
        <f>A129</f>
        <v>3061200</v>
      </c>
      <c r="AH162" s="2">
        <v>1</v>
      </c>
      <c r="AI162" s="2"/>
      <c r="AJ162">
        <v>1</v>
      </c>
      <c r="AK162" s="1">
        <f t="shared" si="57"/>
        <v>78.79918165177132</v>
      </c>
      <c r="AL162">
        <v>7</v>
      </c>
      <c r="AM162">
        <f t="shared" si="66"/>
        <v>128.00000000000003</v>
      </c>
      <c r="AN162">
        <f t="shared" si="67"/>
        <v>12.800000000000004</v>
      </c>
      <c r="AO162">
        <f t="shared" si="68"/>
        <v>2400</v>
      </c>
      <c r="AP162">
        <f t="shared" si="69"/>
        <v>240</v>
      </c>
      <c r="AQ162">
        <f t="shared" si="58"/>
        <v>42.666666666666679</v>
      </c>
      <c r="AR162">
        <f t="shared" si="59"/>
        <v>4.2666666666666684</v>
      </c>
      <c r="AS162">
        <f t="shared" si="60"/>
        <v>1.5</v>
      </c>
      <c r="AT162">
        <f t="shared" si="61"/>
        <v>1.2</v>
      </c>
      <c r="AU162">
        <f t="shared" si="62"/>
        <v>3</v>
      </c>
      <c r="AV162">
        <f t="shared" si="72"/>
        <v>2001</v>
      </c>
      <c r="AW162" s="1">
        <v>0</v>
      </c>
      <c r="AX162">
        <v>3</v>
      </c>
      <c r="AY162">
        <v>0</v>
      </c>
      <c r="CE162" t="str">
        <f t="shared" si="70"/>
        <v>DATA_Class_Base13</v>
      </c>
      <c r="CF162" s="6" t="s">
        <v>295</v>
      </c>
    </row>
    <row r="163" spans="1:84">
      <c r="A163">
        <f t="shared" si="64"/>
        <v>3071201</v>
      </c>
      <c r="B163" s="6" t="s">
        <v>296</v>
      </c>
      <c r="C163">
        <v>7</v>
      </c>
      <c r="D163">
        <v>2</v>
      </c>
      <c r="E163">
        <v>1</v>
      </c>
      <c r="F163" s="3" t="s">
        <v>1572</v>
      </c>
      <c r="G163" s="3" t="s">
        <v>1572</v>
      </c>
      <c r="H163">
        <v>0</v>
      </c>
      <c r="I163">
        <v>0</v>
      </c>
      <c r="J163" s="2">
        <v>0</v>
      </c>
      <c r="K163" s="8" t="s">
        <v>298</v>
      </c>
      <c r="L163" s="2">
        <f t="shared" si="65"/>
        <v>3</v>
      </c>
      <c r="M163" s="2">
        <f t="shared" si="63"/>
        <v>1.8</v>
      </c>
      <c r="N163" s="2">
        <f t="shared" si="63"/>
        <v>1.8</v>
      </c>
      <c r="O163" s="2">
        <v>10</v>
      </c>
      <c r="P163" s="2">
        <f t="shared" si="73"/>
        <v>96</v>
      </c>
      <c r="Q163" s="2">
        <f t="shared" si="73"/>
        <v>9.6</v>
      </c>
      <c r="R163" s="2">
        <f t="shared" si="73"/>
        <v>3840</v>
      </c>
      <c r="S163" s="2">
        <f t="shared" si="71"/>
        <v>384</v>
      </c>
      <c r="T163" s="2">
        <f t="shared" si="71"/>
        <v>48</v>
      </c>
      <c r="U163" s="2">
        <f t="shared" si="71"/>
        <v>4.8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312012</v>
      </c>
      <c r="AB163" s="14" t="s">
        <v>1605</v>
      </c>
      <c r="AC163" s="15" t="s">
        <v>889</v>
      </c>
      <c r="AD163" s="2">
        <v>3081201</v>
      </c>
      <c r="AE163" s="2">
        <v>0</v>
      </c>
      <c r="AF163" s="2">
        <v>1</v>
      </c>
      <c r="AG163" s="2">
        <f t="shared" ref="AG163:AG194" si="74">A130</f>
        <v>3061201</v>
      </c>
      <c r="AH163" s="2">
        <v>1</v>
      </c>
      <c r="AI163" s="2"/>
      <c r="AJ163">
        <v>1</v>
      </c>
      <c r="AK163" s="1">
        <f t="shared" si="57"/>
        <v>78.892626131953435</v>
      </c>
      <c r="AL163">
        <v>7</v>
      </c>
      <c r="AM163">
        <f t="shared" si="66"/>
        <v>96</v>
      </c>
      <c r="AN163">
        <f t="shared" si="67"/>
        <v>9.6000000000000014</v>
      </c>
      <c r="AO163">
        <f t="shared" si="68"/>
        <v>3840</v>
      </c>
      <c r="AP163">
        <f t="shared" si="69"/>
        <v>384</v>
      </c>
      <c r="AQ163">
        <f t="shared" si="58"/>
        <v>48</v>
      </c>
      <c r="AR163">
        <f t="shared" si="59"/>
        <v>4.8000000000000007</v>
      </c>
      <c r="AS163">
        <f t="shared" si="60"/>
        <v>1.8</v>
      </c>
      <c r="AT163">
        <f t="shared" si="61"/>
        <v>1.8</v>
      </c>
      <c r="AU163">
        <f t="shared" si="62"/>
        <v>3</v>
      </c>
      <c r="AV163">
        <f t="shared" si="72"/>
        <v>2011</v>
      </c>
      <c r="AW163" s="1">
        <v>1</v>
      </c>
      <c r="AX163">
        <v>3</v>
      </c>
      <c r="AY163">
        <v>0</v>
      </c>
      <c r="CE163" t="str">
        <f t="shared" si="70"/>
        <v>DATA_Class_Base14</v>
      </c>
      <c r="CF163" s="6" t="s">
        <v>300</v>
      </c>
    </row>
    <row r="164" spans="1:84">
      <c r="A164">
        <f t="shared" si="64"/>
        <v>3071202</v>
      </c>
      <c r="B164" s="6" t="s">
        <v>278</v>
      </c>
      <c r="C164">
        <v>7</v>
      </c>
      <c r="D164">
        <v>2</v>
      </c>
      <c r="E164">
        <v>1</v>
      </c>
      <c r="F164" s="3" t="s">
        <v>1573</v>
      </c>
      <c r="G164" s="3" t="s">
        <v>1573</v>
      </c>
      <c r="H164">
        <v>0</v>
      </c>
      <c r="I164">
        <v>0</v>
      </c>
      <c r="J164">
        <v>0</v>
      </c>
      <c r="K164" s="2" t="s">
        <v>280</v>
      </c>
      <c r="L164" s="2">
        <f t="shared" si="65"/>
        <v>3</v>
      </c>
      <c r="M164" s="2">
        <f t="shared" si="63"/>
        <v>1.8</v>
      </c>
      <c r="N164" s="2">
        <f t="shared" si="63"/>
        <v>2</v>
      </c>
      <c r="O164" s="2">
        <v>10</v>
      </c>
      <c r="P164" s="2">
        <f t="shared" si="73"/>
        <v>153.6</v>
      </c>
      <c r="Q164" s="2">
        <f t="shared" si="73"/>
        <v>15.36</v>
      </c>
      <c r="R164" s="2">
        <f t="shared" si="73"/>
        <v>2400</v>
      </c>
      <c r="S164" s="2">
        <f t="shared" si="71"/>
        <v>240</v>
      </c>
      <c r="T164" s="2">
        <f t="shared" si="71"/>
        <v>38.4</v>
      </c>
      <c r="U164" s="2">
        <f t="shared" si="71"/>
        <v>3.84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312022</v>
      </c>
      <c r="AB164" s="14" t="s">
        <v>434</v>
      </c>
      <c r="AC164" s="15" t="s">
        <v>889</v>
      </c>
      <c r="AD164" s="2">
        <v>3081202</v>
      </c>
      <c r="AE164" s="2">
        <v>0</v>
      </c>
      <c r="AF164" s="2">
        <v>1</v>
      </c>
      <c r="AG164" s="2">
        <f t="shared" si="74"/>
        <v>3061202</v>
      </c>
      <c r="AH164" s="2">
        <v>1</v>
      </c>
      <c r="AI164" s="2"/>
      <c r="AJ164">
        <v>1</v>
      </c>
      <c r="AK164" s="1">
        <f t="shared" si="57"/>
        <v>78.724585296585573</v>
      </c>
      <c r="AL164">
        <v>7</v>
      </c>
      <c r="AM164">
        <f t="shared" si="66"/>
        <v>153.60000000000002</v>
      </c>
      <c r="AN164">
        <f t="shared" si="67"/>
        <v>15.360000000000003</v>
      </c>
      <c r="AO164">
        <f t="shared" si="68"/>
        <v>2400</v>
      </c>
      <c r="AP164">
        <f t="shared" si="69"/>
        <v>240</v>
      </c>
      <c r="AQ164">
        <f t="shared" si="58"/>
        <v>38.400000000000006</v>
      </c>
      <c r="AR164">
        <f t="shared" si="59"/>
        <v>3.8400000000000007</v>
      </c>
      <c r="AS164">
        <f t="shared" si="60"/>
        <v>1.8</v>
      </c>
      <c r="AT164">
        <f t="shared" si="61"/>
        <v>2</v>
      </c>
      <c r="AU164">
        <f t="shared" si="62"/>
        <v>3</v>
      </c>
      <c r="AV164">
        <f t="shared" si="72"/>
        <v>2021</v>
      </c>
      <c r="AW164" s="1">
        <v>2</v>
      </c>
      <c r="AX164">
        <v>3</v>
      </c>
      <c r="AY164">
        <v>0</v>
      </c>
      <c r="CE164" t="str">
        <f t="shared" si="70"/>
        <v>DATA_Class_Base15</v>
      </c>
      <c r="CF164" s="6" t="s">
        <v>306</v>
      </c>
    </row>
    <row r="165" spans="1:84">
      <c r="A165">
        <f t="shared" si="64"/>
        <v>3071301</v>
      </c>
      <c r="B165" s="6" t="s">
        <v>283</v>
      </c>
      <c r="C165">
        <v>7</v>
      </c>
      <c r="D165">
        <v>3</v>
      </c>
      <c r="E165">
        <v>1</v>
      </c>
      <c r="F165" s="3" t="s">
        <v>1574</v>
      </c>
      <c r="G165" s="3" t="s">
        <v>1574</v>
      </c>
      <c r="H165">
        <v>0</v>
      </c>
      <c r="I165">
        <v>0</v>
      </c>
      <c r="J165" s="2">
        <v>0</v>
      </c>
      <c r="K165" s="2" t="s">
        <v>285</v>
      </c>
      <c r="L165" s="2">
        <f t="shared" si="65"/>
        <v>3</v>
      </c>
      <c r="M165" s="2">
        <f t="shared" si="63"/>
        <v>1.2</v>
      </c>
      <c r="N165" s="2">
        <f t="shared" si="63"/>
        <v>2</v>
      </c>
      <c r="O165" s="2">
        <v>10</v>
      </c>
      <c r="P165" s="2">
        <f t="shared" si="73"/>
        <v>140.80000000000001</v>
      </c>
      <c r="Q165" s="2">
        <f t="shared" si="73"/>
        <v>14.08</v>
      </c>
      <c r="R165" s="2">
        <f t="shared" si="73"/>
        <v>1745.45</v>
      </c>
      <c r="S165" s="2">
        <f t="shared" si="71"/>
        <v>174.55</v>
      </c>
      <c r="T165" s="2">
        <f t="shared" si="71"/>
        <v>23.47</v>
      </c>
      <c r="U165" s="2">
        <f t="shared" si="71"/>
        <v>2.35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313012</v>
      </c>
      <c r="AB165" s="14" t="s">
        <v>435</v>
      </c>
      <c r="AC165" s="15" t="s">
        <v>889</v>
      </c>
      <c r="AD165" s="2">
        <v>3081301</v>
      </c>
      <c r="AE165" s="2">
        <v>0</v>
      </c>
      <c r="AF165" s="2">
        <v>1</v>
      </c>
      <c r="AG165" s="2">
        <f t="shared" si="74"/>
        <v>3061301</v>
      </c>
      <c r="AH165" s="2">
        <v>1</v>
      </c>
      <c r="AI165" s="2"/>
      <c r="AJ165">
        <v>1</v>
      </c>
      <c r="AK165" s="1">
        <f t="shared" si="57"/>
        <v>78.464606609053703</v>
      </c>
      <c r="AL165">
        <v>7</v>
      </c>
      <c r="AM165">
        <f t="shared" si="66"/>
        <v>140.80000000000001</v>
      </c>
      <c r="AN165">
        <f t="shared" si="67"/>
        <v>14.080000000000002</v>
      </c>
      <c r="AO165">
        <f t="shared" si="68"/>
        <v>1745.4545454545455</v>
      </c>
      <c r="AP165">
        <f t="shared" si="69"/>
        <v>174.54545454545456</v>
      </c>
      <c r="AQ165">
        <f t="shared" si="58"/>
        <v>23.466666666666669</v>
      </c>
      <c r="AR165">
        <f t="shared" si="59"/>
        <v>2.3466666666666671</v>
      </c>
      <c r="AS165">
        <f t="shared" si="60"/>
        <v>1.2</v>
      </c>
      <c r="AT165">
        <f t="shared" si="61"/>
        <v>2</v>
      </c>
      <c r="AU165">
        <f t="shared" si="62"/>
        <v>3</v>
      </c>
      <c r="AV165">
        <f t="shared" si="72"/>
        <v>3011</v>
      </c>
      <c r="AW165" s="1">
        <v>1</v>
      </c>
      <c r="AX165">
        <v>3</v>
      </c>
      <c r="AY165">
        <v>0</v>
      </c>
      <c r="CE165" t="str">
        <f t="shared" si="70"/>
        <v>DATA_Class_Base16</v>
      </c>
      <c r="CF165" s="6" t="s">
        <v>312</v>
      </c>
    </row>
    <row r="166" spans="1:84">
      <c r="A166">
        <f t="shared" si="64"/>
        <v>3071401</v>
      </c>
      <c r="B166" s="6" t="s">
        <v>317</v>
      </c>
      <c r="C166">
        <v>7</v>
      </c>
      <c r="D166">
        <v>4</v>
      </c>
      <c r="E166">
        <v>1</v>
      </c>
      <c r="F166" s="3" t="s">
        <v>1575</v>
      </c>
      <c r="G166" s="3" t="s">
        <v>1575</v>
      </c>
      <c r="H166">
        <v>0</v>
      </c>
      <c r="I166">
        <v>0</v>
      </c>
      <c r="J166" s="2">
        <v>0</v>
      </c>
      <c r="K166" s="2" t="s">
        <v>161</v>
      </c>
      <c r="L166" s="2">
        <f t="shared" si="65"/>
        <v>6</v>
      </c>
      <c r="M166" s="2">
        <f t="shared" si="63"/>
        <v>1.6</v>
      </c>
      <c r="N166" s="2">
        <f t="shared" si="63"/>
        <v>2</v>
      </c>
      <c r="O166" s="2">
        <v>10</v>
      </c>
      <c r="P166" s="2">
        <f t="shared" si="73"/>
        <v>187.73</v>
      </c>
      <c r="Q166" s="2">
        <f t="shared" si="73"/>
        <v>18.77</v>
      </c>
      <c r="R166" s="2">
        <f t="shared" si="73"/>
        <v>1745.45</v>
      </c>
      <c r="S166" s="2">
        <f t="shared" si="71"/>
        <v>174.55</v>
      </c>
      <c r="T166" s="2">
        <f t="shared" si="71"/>
        <v>37.549999999999997</v>
      </c>
      <c r="U166" s="2">
        <f t="shared" si="71"/>
        <v>3.75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314012</v>
      </c>
      <c r="AB166" s="14" t="s">
        <v>1606</v>
      </c>
      <c r="AC166" s="15" t="s">
        <v>889</v>
      </c>
      <c r="AD166" s="2">
        <v>3081401</v>
      </c>
      <c r="AE166" s="2">
        <v>0</v>
      </c>
      <c r="AF166" s="2">
        <v>1</v>
      </c>
      <c r="AG166" s="2">
        <f t="shared" si="74"/>
        <v>3061401</v>
      </c>
      <c r="AH166" s="2">
        <v>1</v>
      </c>
      <c r="AI166" s="2"/>
      <c r="AJ166">
        <v>1</v>
      </c>
      <c r="AK166" s="1">
        <f t="shared" si="57"/>
        <v>78.70968297058586</v>
      </c>
      <c r="AL166">
        <v>7</v>
      </c>
      <c r="AM166">
        <f t="shared" si="66"/>
        <v>187.73333333333338</v>
      </c>
      <c r="AN166">
        <f t="shared" si="67"/>
        <v>18.773333333333337</v>
      </c>
      <c r="AO166">
        <f t="shared" si="68"/>
        <v>1745.4545454545455</v>
      </c>
      <c r="AP166">
        <f t="shared" si="69"/>
        <v>174.54545454545456</v>
      </c>
      <c r="AQ166">
        <f t="shared" si="58"/>
        <v>37.546666666666674</v>
      </c>
      <c r="AR166">
        <f t="shared" si="59"/>
        <v>3.7546666666666675</v>
      </c>
      <c r="AS166">
        <f t="shared" si="60"/>
        <v>1.6</v>
      </c>
      <c r="AT166">
        <f t="shared" si="61"/>
        <v>2</v>
      </c>
      <c r="AU166">
        <f t="shared" si="62"/>
        <v>6</v>
      </c>
      <c r="AV166">
        <f t="shared" si="72"/>
        <v>4011</v>
      </c>
      <c r="AW166" s="1">
        <v>1</v>
      </c>
      <c r="AX166">
        <v>3</v>
      </c>
      <c r="AY166">
        <v>0</v>
      </c>
      <c r="CE166" t="str">
        <f t="shared" si="70"/>
        <v>DATA_Class_Base17</v>
      </c>
      <c r="CF166" s="6" t="s">
        <v>318</v>
      </c>
    </row>
    <row r="167" spans="1:84">
      <c r="A167">
        <f t="shared" si="64"/>
        <v>3071402</v>
      </c>
      <c r="B167" s="6" t="s">
        <v>323</v>
      </c>
      <c r="C167">
        <v>7</v>
      </c>
      <c r="D167">
        <v>4</v>
      </c>
      <c r="E167">
        <v>1</v>
      </c>
      <c r="F167" s="3" t="s">
        <v>1576</v>
      </c>
      <c r="G167" s="3" t="s">
        <v>1576</v>
      </c>
      <c r="H167">
        <v>0</v>
      </c>
      <c r="I167">
        <v>0</v>
      </c>
      <c r="J167">
        <v>0</v>
      </c>
      <c r="K167" s="2" t="s">
        <v>250</v>
      </c>
      <c r="L167" s="2">
        <f t="shared" si="65"/>
        <v>6</v>
      </c>
      <c r="M167" s="2">
        <f t="shared" si="63"/>
        <v>1.5</v>
      </c>
      <c r="N167" s="2">
        <f t="shared" si="63"/>
        <v>1.5</v>
      </c>
      <c r="O167" s="2">
        <v>10</v>
      </c>
      <c r="P167" s="2">
        <f t="shared" si="73"/>
        <v>192</v>
      </c>
      <c r="Q167" s="2">
        <f t="shared" si="73"/>
        <v>19.2</v>
      </c>
      <c r="R167" s="2">
        <f t="shared" si="73"/>
        <v>1600</v>
      </c>
      <c r="S167" s="2">
        <f t="shared" si="71"/>
        <v>160</v>
      </c>
      <c r="T167" s="2">
        <f t="shared" si="71"/>
        <v>32</v>
      </c>
      <c r="U167" s="2">
        <f t="shared" si="71"/>
        <v>3.2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314022</v>
      </c>
      <c r="AB167" s="14" t="s">
        <v>1607</v>
      </c>
      <c r="AC167" s="15" t="s">
        <v>889</v>
      </c>
      <c r="AD167" s="2">
        <v>3081402</v>
      </c>
      <c r="AE167" s="2">
        <v>0</v>
      </c>
      <c r="AF167" s="2">
        <v>1</v>
      </c>
      <c r="AG167" s="2">
        <f t="shared" si="74"/>
        <v>3061402</v>
      </c>
      <c r="AH167" s="2">
        <v>1</v>
      </c>
      <c r="AI167" s="2"/>
      <c r="AJ167">
        <v>1</v>
      </c>
      <c r="AK167" s="1">
        <f t="shared" si="57"/>
        <v>78.612955204640684</v>
      </c>
      <c r="AL167">
        <v>7</v>
      </c>
      <c r="AM167">
        <f t="shared" si="66"/>
        <v>192</v>
      </c>
      <c r="AN167">
        <f t="shared" si="67"/>
        <v>19.200000000000003</v>
      </c>
      <c r="AO167">
        <f t="shared" si="68"/>
        <v>1600</v>
      </c>
      <c r="AP167">
        <f t="shared" si="69"/>
        <v>160</v>
      </c>
      <c r="AQ167">
        <f t="shared" si="58"/>
        <v>32</v>
      </c>
      <c r="AR167">
        <f t="shared" si="59"/>
        <v>3.2</v>
      </c>
      <c r="AS167">
        <f t="shared" si="60"/>
        <v>1.5</v>
      </c>
      <c r="AT167">
        <f t="shared" si="61"/>
        <v>1.5</v>
      </c>
      <c r="AU167">
        <f t="shared" si="62"/>
        <v>6</v>
      </c>
      <c r="AV167">
        <f t="shared" si="72"/>
        <v>4021</v>
      </c>
      <c r="AW167" s="1">
        <v>2</v>
      </c>
      <c r="AX167">
        <v>3</v>
      </c>
      <c r="AY167">
        <v>0</v>
      </c>
      <c r="CE167" t="str">
        <f t="shared" si="70"/>
        <v>DATA_Class_Base18</v>
      </c>
      <c r="CF167" s="6" t="s">
        <v>324</v>
      </c>
    </row>
    <row r="168" spans="1:84">
      <c r="A168">
        <f t="shared" si="64"/>
        <v>3071500</v>
      </c>
      <c r="B168" s="6" t="s">
        <v>301</v>
      </c>
      <c r="C168">
        <v>7</v>
      </c>
      <c r="D168">
        <v>5</v>
      </c>
      <c r="E168">
        <v>1</v>
      </c>
      <c r="F168" s="3" t="s">
        <v>1577</v>
      </c>
      <c r="G168" s="3" t="s">
        <v>1577</v>
      </c>
      <c r="H168">
        <v>0</v>
      </c>
      <c r="I168">
        <v>0</v>
      </c>
      <c r="J168">
        <v>0</v>
      </c>
      <c r="K168" s="2" t="s">
        <v>303</v>
      </c>
      <c r="L168" s="2">
        <f t="shared" si="65"/>
        <v>6</v>
      </c>
      <c r="M168" s="2">
        <f t="shared" si="63"/>
        <v>1.5</v>
      </c>
      <c r="N168" s="2">
        <f t="shared" si="63"/>
        <v>1.5</v>
      </c>
      <c r="O168" s="2">
        <v>10</v>
      </c>
      <c r="P168" s="2">
        <f t="shared" si="73"/>
        <v>224</v>
      </c>
      <c r="Q168" s="2">
        <f t="shared" si="73"/>
        <v>22.4</v>
      </c>
      <c r="R168" s="2">
        <f t="shared" si="73"/>
        <v>1371.43</v>
      </c>
      <c r="S168" s="2">
        <f t="shared" si="71"/>
        <v>137.13999999999999</v>
      </c>
      <c r="T168" s="2">
        <f t="shared" si="71"/>
        <v>32</v>
      </c>
      <c r="U168" s="2">
        <f t="shared" si="71"/>
        <v>3.2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315002</v>
      </c>
      <c r="AB168" s="14" t="s">
        <v>1608</v>
      </c>
      <c r="AC168" s="15" t="s">
        <v>889</v>
      </c>
      <c r="AD168" s="2">
        <v>3081500</v>
      </c>
      <c r="AE168" s="2">
        <v>0</v>
      </c>
      <c r="AF168" s="2">
        <v>1</v>
      </c>
      <c r="AG168" s="2">
        <f t="shared" si="74"/>
        <v>3061500</v>
      </c>
      <c r="AH168" s="2">
        <v>1</v>
      </c>
      <c r="AI168" s="2"/>
      <c r="AJ168">
        <v>1</v>
      </c>
      <c r="AK168" s="1">
        <f t="shared" si="57"/>
        <v>78.61295520464067</v>
      </c>
      <c r="AL168">
        <v>7</v>
      </c>
      <c r="AM168">
        <f t="shared" si="66"/>
        <v>223.99999999999994</v>
      </c>
      <c r="AN168">
        <f t="shared" si="67"/>
        <v>22.399999999999995</v>
      </c>
      <c r="AO168">
        <f t="shared" si="68"/>
        <v>1371.4285714285716</v>
      </c>
      <c r="AP168">
        <f t="shared" si="69"/>
        <v>137.14285714285717</v>
      </c>
      <c r="AQ168">
        <f t="shared" si="58"/>
        <v>31.999999999999993</v>
      </c>
      <c r="AR168">
        <f t="shared" si="59"/>
        <v>3.1999999999999993</v>
      </c>
      <c r="AS168">
        <f t="shared" si="60"/>
        <v>1.5</v>
      </c>
      <c r="AT168">
        <f t="shared" si="61"/>
        <v>1.5</v>
      </c>
      <c r="AU168">
        <f t="shared" si="62"/>
        <v>6</v>
      </c>
      <c r="AV168">
        <f t="shared" si="72"/>
        <v>5001</v>
      </c>
      <c r="AW168" s="1">
        <v>0</v>
      </c>
      <c r="AX168">
        <v>3</v>
      </c>
      <c r="AY168">
        <v>0</v>
      </c>
      <c r="CE168" t="str">
        <f t="shared" si="70"/>
        <v>DATA_Class_Base19</v>
      </c>
      <c r="CF168" s="6" t="s">
        <v>331</v>
      </c>
    </row>
    <row r="169" spans="1:84" ht="14.25" customHeight="1">
      <c r="A169">
        <f t="shared" si="64"/>
        <v>3071502</v>
      </c>
      <c r="B169" s="6" t="s">
        <v>289</v>
      </c>
      <c r="C169">
        <v>7</v>
      </c>
      <c r="D169">
        <v>5</v>
      </c>
      <c r="E169">
        <v>1</v>
      </c>
      <c r="F169" s="3" t="s">
        <v>1578</v>
      </c>
      <c r="G169" s="3" t="s">
        <v>1578</v>
      </c>
      <c r="H169">
        <v>0</v>
      </c>
      <c r="I169">
        <v>0</v>
      </c>
      <c r="J169" s="2">
        <v>0</v>
      </c>
      <c r="K169" s="2" t="s">
        <v>291</v>
      </c>
      <c r="L169" s="2">
        <f t="shared" si="65"/>
        <v>6</v>
      </c>
      <c r="M169" s="2">
        <f t="shared" si="63"/>
        <v>1.4000000000000001</v>
      </c>
      <c r="N169" s="2">
        <f t="shared" si="63"/>
        <v>2</v>
      </c>
      <c r="O169" s="2">
        <v>10</v>
      </c>
      <c r="P169" s="2">
        <f t="shared" si="73"/>
        <v>194.13</v>
      </c>
      <c r="Q169" s="2">
        <f t="shared" si="73"/>
        <v>19.41</v>
      </c>
      <c r="R169" s="2">
        <f t="shared" si="73"/>
        <v>1476.92</v>
      </c>
      <c r="S169" s="2">
        <f t="shared" si="71"/>
        <v>147.69</v>
      </c>
      <c r="T169" s="2">
        <f t="shared" si="71"/>
        <v>29.87</v>
      </c>
      <c r="U169" s="2">
        <f t="shared" si="71"/>
        <v>2.99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315022</v>
      </c>
      <c r="AB169" s="14" t="s">
        <v>436</v>
      </c>
      <c r="AC169" s="15" t="s">
        <v>889</v>
      </c>
      <c r="AD169" s="2">
        <v>3081502</v>
      </c>
      <c r="AE169" s="2">
        <v>0</v>
      </c>
      <c r="AF169" s="2">
        <v>1</v>
      </c>
      <c r="AG169" s="2">
        <f t="shared" si="74"/>
        <v>3061502</v>
      </c>
      <c r="AH169" s="2">
        <v>1</v>
      </c>
      <c r="AI169" s="2"/>
      <c r="AJ169">
        <v>1</v>
      </c>
      <c r="AK169" s="1">
        <f t="shared" si="57"/>
        <v>78.575815491657167</v>
      </c>
      <c r="AL169">
        <v>7</v>
      </c>
      <c r="AM169">
        <f t="shared" si="66"/>
        <v>194.1333333333333</v>
      </c>
      <c r="AN169">
        <f t="shared" si="67"/>
        <v>19.41333333333333</v>
      </c>
      <c r="AO169">
        <f t="shared" si="68"/>
        <v>1476.9230769230767</v>
      </c>
      <c r="AP169">
        <f t="shared" si="69"/>
        <v>147.69230769230768</v>
      </c>
      <c r="AQ169">
        <f t="shared" si="58"/>
        <v>29.86666666666666</v>
      </c>
      <c r="AR169">
        <f t="shared" si="59"/>
        <v>2.9866666666666664</v>
      </c>
      <c r="AS169">
        <f t="shared" si="60"/>
        <v>1.4</v>
      </c>
      <c r="AT169">
        <f t="shared" si="61"/>
        <v>2</v>
      </c>
      <c r="AU169">
        <f t="shared" si="62"/>
        <v>6</v>
      </c>
      <c r="AV169">
        <f t="shared" si="72"/>
        <v>5021</v>
      </c>
      <c r="AW169" s="1">
        <v>2</v>
      </c>
      <c r="AX169">
        <v>3</v>
      </c>
      <c r="AY169">
        <v>0</v>
      </c>
      <c r="CE169" t="str">
        <f t="shared" si="70"/>
        <v>DATA_Class_Base20</v>
      </c>
      <c r="CF169" s="6" t="s">
        <v>336</v>
      </c>
    </row>
    <row r="170" spans="1:84">
      <c r="A170">
        <f t="shared" si="64"/>
        <v>3071601</v>
      </c>
      <c r="B170" s="6" t="s">
        <v>307</v>
      </c>
      <c r="C170">
        <v>7</v>
      </c>
      <c r="D170">
        <v>6</v>
      </c>
      <c r="E170">
        <v>1</v>
      </c>
      <c r="F170" s="3" t="s">
        <v>1579</v>
      </c>
      <c r="G170" s="3" t="s">
        <v>1579</v>
      </c>
      <c r="H170">
        <v>0</v>
      </c>
      <c r="I170">
        <v>0</v>
      </c>
      <c r="J170">
        <v>0</v>
      </c>
      <c r="K170" s="2" t="s">
        <v>309</v>
      </c>
      <c r="L170" s="2">
        <f t="shared" si="65"/>
        <v>6</v>
      </c>
      <c r="M170" s="2">
        <f t="shared" si="63"/>
        <v>1.5</v>
      </c>
      <c r="N170" s="2">
        <f t="shared" si="63"/>
        <v>2</v>
      </c>
      <c r="O170" s="2">
        <v>10</v>
      </c>
      <c r="P170" s="2">
        <f t="shared" si="73"/>
        <v>160</v>
      </c>
      <c r="Q170" s="2">
        <f t="shared" si="73"/>
        <v>16</v>
      </c>
      <c r="R170" s="2">
        <f t="shared" si="73"/>
        <v>1920</v>
      </c>
      <c r="S170" s="2">
        <f t="shared" si="71"/>
        <v>192</v>
      </c>
      <c r="T170" s="2">
        <f t="shared" si="71"/>
        <v>40</v>
      </c>
      <c r="U170" s="2">
        <f t="shared" si="71"/>
        <v>4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316012</v>
      </c>
      <c r="AB170" s="14" t="s">
        <v>1609</v>
      </c>
      <c r="AC170" s="15" t="s">
        <v>889</v>
      </c>
      <c r="AD170" s="2">
        <v>3081601</v>
      </c>
      <c r="AE170" s="2">
        <v>0</v>
      </c>
      <c r="AF170" s="2">
        <v>1</v>
      </c>
      <c r="AG170" s="2">
        <f t="shared" si="74"/>
        <v>3061601</v>
      </c>
      <c r="AH170" s="2">
        <v>1</v>
      </c>
      <c r="AI170" s="2"/>
      <c r="AJ170">
        <v>1</v>
      </c>
      <c r="AK170" s="1">
        <f t="shared" si="57"/>
        <v>78.752542372881365</v>
      </c>
      <c r="AL170">
        <v>7</v>
      </c>
      <c r="AM170">
        <f t="shared" si="66"/>
        <v>160</v>
      </c>
      <c r="AN170">
        <f t="shared" si="67"/>
        <v>16</v>
      </c>
      <c r="AO170">
        <f t="shared" si="68"/>
        <v>1920</v>
      </c>
      <c r="AP170">
        <f t="shared" si="69"/>
        <v>192</v>
      </c>
      <c r="AQ170">
        <f t="shared" si="58"/>
        <v>40</v>
      </c>
      <c r="AR170">
        <f t="shared" si="59"/>
        <v>4</v>
      </c>
      <c r="AS170">
        <f t="shared" si="60"/>
        <v>1.5</v>
      </c>
      <c r="AT170">
        <f t="shared" si="61"/>
        <v>2</v>
      </c>
      <c r="AU170">
        <f t="shared" si="62"/>
        <v>6</v>
      </c>
      <c r="AV170">
        <f t="shared" si="72"/>
        <v>6011</v>
      </c>
      <c r="AW170" s="1">
        <v>1</v>
      </c>
      <c r="AX170">
        <v>3</v>
      </c>
      <c r="AY170">
        <v>0</v>
      </c>
      <c r="CE170" t="str">
        <f t="shared" si="70"/>
        <v>DATA_Class_Base21</v>
      </c>
      <c r="CF170" s="6" t="s">
        <v>342</v>
      </c>
    </row>
    <row r="171" spans="1:84">
      <c r="A171">
        <f t="shared" si="64"/>
        <v>3072200</v>
      </c>
      <c r="B171" s="6" t="s">
        <v>294</v>
      </c>
      <c r="C171">
        <v>7</v>
      </c>
      <c r="D171">
        <v>2</v>
      </c>
      <c r="E171">
        <v>2</v>
      </c>
      <c r="F171" s="3" t="s">
        <v>1580</v>
      </c>
      <c r="G171" s="3" t="s">
        <v>1580</v>
      </c>
      <c r="H171">
        <v>0</v>
      </c>
      <c r="I171">
        <v>0</v>
      </c>
      <c r="J171">
        <v>0</v>
      </c>
      <c r="K171" s="2" t="s">
        <v>314</v>
      </c>
      <c r="L171" s="2">
        <f t="shared" si="65"/>
        <v>3</v>
      </c>
      <c r="M171" s="2">
        <f t="shared" si="63"/>
        <v>1.5</v>
      </c>
      <c r="N171" s="2">
        <f t="shared" si="63"/>
        <v>1.2</v>
      </c>
      <c r="O171" s="2">
        <v>10</v>
      </c>
      <c r="P171" s="2">
        <f t="shared" si="73"/>
        <v>160</v>
      </c>
      <c r="Q171" s="2">
        <f t="shared" si="73"/>
        <v>16</v>
      </c>
      <c r="R171" s="2">
        <f t="shared" si="73"/>
        <v>1920</v>
      </c>
      <c r="S171" s="2">
        <f t="shared" si="71"/>
        <v>192</v>
      </c>
      <c r="T171" s="2">
        <f t="shared" si="71"/>
        <v>40</v>
      </c>
      <c r="U171" s="2">
        <f t="shared" si="71"/>
        <v>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322002</v>
      </c>
      <c r="AB171" s="14" t="s">
        <v>1610</v>
      </c>
      <c r="AC171" s="15" t="s">
        <v>889</v>
      </c>
      <c r="AD171" s="2">
        <v>3082200</v>
      </c>
      <c r="AE171" s="2">
        <v>0</v>
      </c>
      <c r="AF171" s="2">
        <v>1</v>
      </c>
      <c r="AG171" s="2">
        <f t="shared" si="74"/>
        <v>3062200</v>
      </c>
      <c r="AH171" s="2">
        <v>1</v>
      </c>
      <c r="AI171" s="2"/>
      <c r="AJ171">
        <v>1</v>
      </c>
      <c r="AK171" s="1">
        <f t="shared" si="57"/>
        <v>78.752542372881365</v>
      </c>
      <c r="AL171">
        <v>7</v>
      </c>
      <c r="AM171">
        <f t="shared" si="66"/>
        <v>160</v>
      </c>
      <c r="AN171">
        <f t="shared" si="67"/>
        <v>16</v>
      </c>
      <c r="AO171">
        <f t="shared" si="68"/>
        <v>1920</v>
      </c>
      <c r="AP171">
        <f t="shared" si="69"/>
        <v>192</v>
      </c>
      <c r="AQ171">
        <f t="shared" si="58"/>
        <v>40</v>
      </c>
      <c r="AR171">
        <f t="shared" si="59"/>
        <v>4</v>
      </c>
      <c r="AS171">
        <f t="shared" si="60"/>
        <v>1.5</v>
      </c>
      <c r="AT171">
        <f t="shared" si="61"/>
        <v>1.2</v>
      </c>
      <c r="AU171">
        <f t="shared" si="62"/>
        <v>3</v>
      </c>
      <c r="AV171">
        <f t="shared" si="72"/>
        <v>2002</v>
      </c>
      <c r="AW171" s="1">
        <v>0</v>
      </c>
      <c r="AX171">
        <v>3</v>
      </c>
      <c r="AY171">
        <v>0</v>
      </c>
      <c r="CE171" t="str">
        <f t="shared" si="70"/>
        <v>DATA_Class_Base13</v>
      </c>
      <c r="CF171" s="6" t="s">
        <v>295</v>
      </c>
    </row>
    <row r="172" spans="1:84">
      <c r="A172">
        <f t="shared" si="64"/>
        <v>3072201</v>
      </c>
      <c r="B172" s="6" t="s">
        <v>296</v>
      </c>
      <c r="C172">
        <v>7</v>
      </c>
      <c r="D172">
        <v>2</v>
      </c>
      <c r="E172">
        <v>2</v>
      </c>
      <c r="F172" s="3" t="s">
        <v>1581</v>
      </c>
      <c r="G172" s="3" t="s">
        <v>1581</v>
      </c>
      <c r="H172">
        <v>0</v>
      </c>
      <c r="I172">
        <v>0</v>
      </c>
      <c r="J172">
        <v>0</v>
      </c>
      <c r="K172" s="8" t="s">
        <v>298</v>
      </c>
      <c r="L172" s="2">
        <f t="shared" si="65"/>
        <v>3</v>
      </c>
      <c r="M172" s="2">
        <f t="shared" si="63"/>
        <v>1.8</v>
      </c>
      <c r="N172" s="2">
        <f t="shared" si="63"/>
        <v>1.8</v>
      </c>
      <c r="O172" s="2">
        <v>10</v>
      </c>
      <c r="P172" s="2">
        <f t="shared" si="73"/>
        <v>134.4</v>
      </c>
      <c r="Q172" s="2">
        <f t="shared" si="73"/>
        <v>13.44</v>
      </c>
      <c r="R172" s="2">
        <f t="shared" si="73"/>
        <v>2742.86</v>
      </c>
      <c r="S172" s="2">
        <f t="shared" si="71"/>
        <v>274.29000000000002</v>
      </c>
      <c r="T172" s="2">
        <f t="shared" si="71"/>
        <v>44.8</v>
      </c>
      <c r="U172" s="2">
        <f t="shared" si="71"/>
        <v>4.4800000000000004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322012</v>
      </c>
      <c r="AB172" s="14" t="s">
        <v>437</v>
      </c>
      <c r="AC172" s="15" t="s">
        <v>889</v>
      </c>
      <c r="AD172" s="2">
        <v>3082201</v>
      </c>
      <c r="AE172" s="2">
        <v>0</v>
      </c>
      <c r="AF172" s="2">
        <v>1</v>
      </c>
      <c r="AG172" s="2">
        <f t="shared" si="74"/>
        <v>3062201</v>
      </c>
      <c r="AH172" s="2">
        <v>1</v>
      </c>
      <c r="AI172" s="2"/>
      <c r="AJ172">
        <v>1</v>
      </c>
      <c r="AK172" s="1">
        <f t="shared" si="57"/>
        <v>78.836532867946488</v>
      </c>
      <c r="AL172">
        <v>7</v>
      </c>
      <c r="AM172">
        <f t="shared" si="66"/>
        <v>134.4</v>
      </c>
      <c r="AN172">
        <f t="shared" si="67"/>
        <v>13.440000000000001</v>
      </c>
      <c r="AO172">
        <f t="shared" si="68"/>
        <v>2742.8571428571431</v>
      </c>
      <c r="AP172">
        <f t="shared" si="69"/>
        <v>274.28571428571433</v>
      </c>
      <c r="AQ172">
        <f t="shared" si="58"/>
        <v>44.800000000000004</v>
      </c>
      <c r="AR172">
        <f t="shared" si="59"/>
        <v>4.4800000000000004</v>
      </c>
      <c r="AS172">
        <f t="shared" si="60"/>
        <v>1.8</v>
      </c>
      <c r="AT172">
        <f t="shared" si="61"/>
        <v>1.8</v>
      </c>
      <c r="AU172">
        <f t="shared" si="62"/>
        <v>3</v>
      </c>
      <c r="AV172">
        <f t="shared" si="72"/>
        <v>2012</v>
      </c>
      <c r="AW172" s="1">
        <v>1</v>
      </c>
      <c r="AX172">
        <v>3</v>
      </c>
      <c r="AY172">
        <v>0</v>
      </c>
      <c r="CE172" t="str">
        <f t="shared" si="70"/>
        <v>DATA_Class_Base14</v>
      </c>
      <c r="CF172" s="6" t="s">
        <v>300</v>
      </c>
    </row>
    <row r="173" spans="1:84">
      <c r="A173">
        <f t="shared" si="64"/>
        <v>3072202</v>
      </c>
      <c r="B173" s="6" t="s">
        <v>278</v>
      </c>
      <c r="C173">
        <v>7</v>
      </c>
      <c r="D173">
        <v>2</v>
      </c>
      <c r="E173">
        <v>2</v>
      </c>
      <c r="F173" s="3" t="s">
        <v>1582</v>
      </c>
      <c r="G173" s="3" t="s">
        <v>1582</v>
      </c>
      <c r="H173">
        <v>0</v>
      </c>
      <c r="I173">
        <v>0</v>
      </c>
      <c r="J173" s="2">
        <v>0</v>
      </c>
      <c r="K173" s="2" t="s">
        <v>280</v>
      </c>
      <c r="L173" s="2">
        <f t="shared" si="65"/>
        <v>3</v>
      </c>
      <c r="M173" s="2">
        <f t="shared" si="63"/>
        <v>1.8</v>
      </c>
      <c r="N173" s="2">
        <f t="shared" si="63"/>
        <v>2</v>
      </c>
      <c r="O173" s="2">
        <v>10</v>
      </c>
      <c r="P173" s="2">
        <f t="shared" si="73"/>
        <v>220.8</v>
      </c>
      <c r="Q173" s="2">
        <f t="shared" si="73"/>
        <v>22.08</v>
      </c>
      <c r="R173" s="2">
        <f t="shared" si="73"/>
        <v>1669.57</v>
      </c>
      <c r="S173" s="2">
        <f t="shared" si="71"/>
        <v>166.96</v>
      </c>
      <c r="T173" s="2">
        <f t="shared" si="71"/>
        <v>44.16</v>
      </c>
      <c r="U173" s="2">
        <f t="shared" si="71"/>
        <v>4.42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322022</v>
      </c>
      <c r="AB173" s="14" t="s">
        <v>1611</v>
      </c>
      <c r="AC173" s="15" t="s">
        <v>889</v>
      </c>
      <c r="AD173" s="2">
        <v>3082202</v>
      </c>
      <c r="AE173" s="2">
        <v>0</v>
      </c>
      <c r="AF173" s="2">
        <v>1</v>
      </c>
      <c r="AG173" s="2">
        <f t="shared" si="74"/>
        <v>3062202</v>
      </c>
      <c r="AH173" s="2">
        <v>1</v>
      </c>
      <c r="AI173" s="2"/>
      <c r="AJ173">
        <v>1</v>
      </c>
      <c r="AK173" s="1">
        <f t="shared" si="57"/>
        <v>78.825323785642283</v>
      </c>
      <c r="AL173">
        <v>7</v>
      </c>
      <c r="AM173">
        <f t="shared" si="66"/>
        <v>220.79999999999998</v>
      </c>
      <c r="AN173">
        <f t="shared" si="67"/>
        <v>22.08</v>
      </c>
      <c r="AO173">
        <f t="shared" si="68"/>
        <v>1669.5652173913045</v>
      </c>
      <c r="AP173">
        <f t="shared" si="69"/>
        <v>166.95652173913047</v>
      </c>
      <c r="AQ173">
        <f t="shared" si="58"/>
        <v>44.16</v>
      </c>
      <c r="AR173">
        <f t="shared" si="59"/>
        <v>4.4159999999999995</v>
      </c>
      <c r="AS173">
        <f t="shared" si="60"/>
        <v>1.8</v>
      </c>
      <c r="AT173">
        <f t="shared" si="61"/>
        <v>2</v>
      </c>
      <c r="AU173">
        <f t="shared" si="62"/>
        <v>3</v>
      </c>
      <c r="AV173">
        <f t="shared" si="72"/>
        <v>2022</v>
      </c>
      <c r="AW173" s="1">
        <v>2</v>
      </c>
      <c r="AX173">
        <v>3</v>
      </c>
      <c r="AY173">
        <v>0</v>
      </c>
      <c r="CE173" t="str">
        <f t="shared" si="70"/>
        <v>DATA_Class_Base15</v>
      </c>
      <c r="CF173" s="6" t="s">
        <v>306</v>
      </c>
    </row>
    <row r="174" spans="1:84">
      <c r="A174">
        <f t="shared" si="64"/>
        <v>3072301</v>
      </c>
      <c r="B174" s="6" t="s">
        <v>283</v>
      </c>
      <c r="C174">
        <v>7</v>
      </c>
      <c r="D174">
        <v>3</v>
      </c>
      <c r="E174">
        <v>2</v>
      </c>
      <c r="F174" s="3" t="s">
        <v>1583</v>
      </c>
      <c r="G174" s="3" t="s">
        <v>1583</v>
      </c>
      <c r="H174">
        <v>0</v>
      </c>
      <c r="I174">
        <v>0</v>
      </c>
      <c r="J174">
        <v>0</v>
      </c>
      <c r="K174" s="2" t="s">
        <v>285</v>
      </c>
      <c r="L174" s="2">
        <f t="shared" si="65"/>
        <v>3</v>
      </c>
      <c r="M174" s="2">
        <f t="shared" si="63"/>
        <v>1.2</v>
      </c>
      <c r="N174" s="2">
        <f t="shared" si="63"/>
        <v>1.7</v>
      </c>
      <c r="O174" s="2">
        <v>10</v>
      </c>
      <c r="P174" s="2">
        <f t="shared" si="73"/>
        <v>166.4</v>
      </c>
      <c r="Q174" s="2">
        <f t="shared" si="73"/>
        <v>16.64</v>
      </c>
      <c r="R174" s="2">
        <f t="shared" si="73"/>
        <v>1476.92</v>
      </c>
      <c r="S174" s="2">
        <f t="shared" si="71"/>
        <v>147.69</v>
      </c>
      <c r="T174" s="2">
        <f t="shared" si="71"/>
        <v>27.73</v>
      </c>
      <c r="U174" s="2">
        <f t="shared" si="71"/>
        <v>2.77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323012</v>
      </c>
      <c r="AB174" s="14" t="s">
        <v>1612</v>
      </c>
      <c r="AC174" s="15" t="s">
        <v>889</v>
      </c>
      <c r="AD174" s="2">
        <v>3082301</v>
      </c>
      <c r="AE174" s="2">
        <v>0</v>
      </c>
      <c r="AF174" s="2">
        <v>1</v>
      </c>
      <c r="AG174" s="2">
        <f t="shared" si="74"/>
        <v>3062301</v>
      </c>
      <c r="AH174" s="2">
        <v>1</v>
      </c>
      <c r="AI174" s="2"/>
      <c r="AJ174">
        <v>1</v>
      </c>
      <c r="AK174" s="1">
        <f t="shared" si="57"/>
        <v>78.538710854493559</v>
      </c>
      <c r="AL174">
        <v>7</v>
      </c>
      <c r="AM174">
        <f t="shared" si="66"/>
        <v>166.4</v>
      </c>
      <c r="AN174">
        <f t="shared" si="67"/>
        <v>16.64</v>
      </c>
      <c r="AO174">
        <f t="shared" si="68"/>
        <v>1476.9230769230767</v>
      </c>
      <c r="AP174">
        <f t="shared" si="69"/>
        <v>147.69230769230768</v>
      </c>
      <c r="AQ174">
        <f t="shared" si="58"/>
        <v>27.733333333333334</v>
      </c>
      <c r="AR174">
        <f t="shared" si="59"/>
        <v>2.7733333333333334</v>
      </c>
      <c r="AS174">
        <f t="shared" si="60"/>
        <v>1.2</v>
      </c>
      <c r="AT174">
        <f t="shared" si="61"/>
        <v>1.7</v>
      </c>
      <c r="AU174">
        <f t="shared" si="62"/>
        <v>3</v>
      </c>
      <c r="AV174">
        <f t="shared" si="72"/>
        <v>3012</v>
      </c>
      <c r="AW174" s="1">
        <v>1</v>
      </c>
      <c r="AX174">
        <v>3</v>
      </c>
      <c r="AY174">
        <v>0</v>
      </c>
      <c r="CE174" t="str">
        <f t="shared" si="70"/>
        <v>DATA_Class_Base16</v>
      </c>
      <c r="CF174" s="6" t="s">
        <v>312</v>
      </c>
    </row>
    <row r="175" spans="1:84">
      <c r="A175">
        <f t="shared" si="64"/>
        <v>3072401</v>
      </c>
      <c r="B175" s="6" t="s">
        <v>317</v>
      </c>
      <c r="C175">
        <v>7</v>
      </c>
      <c r="D175">
        <v>4</v>
      </c>
      <c r="E175">
        <v>2</v>
      </c>
      <c r="F175" s="3" t="s">
        <v>1584</v>
      </c>
      <c r="G175" s="3" t="s">
        <v>1584</v>
      </c>
      <c r="H175">
        <v>0</v>
      </c>
      <c r="I175">
        <v>0</v>
      </c>
      <c r="J175" s="2">
        <v>0</v>
      </c>
      <c r="K175" s="2" t="s">
        <v>161</v>
      </c>
      <c r="L175" s="2">
        <f t="shared" si="65"/>
        <v>6</v>
      </c>
      <c r="M175" s="2">
        <f t="shared" si="63"/>
        <v>1.6</v>
      </c>
      <c r="N175" s="2">
        <f t="shared" si="63"/>
        <v>1.5</v>
      </c>
      <c r="O175" s="2">
        <v>10</v>
      </c>
      <c r="P175" s="2">
        <f t="shared" si="73"/>
        <v>221.87</v>
      </c>
      <c r="Q175" s="2">
        <f t="shared" si="73"/>
        <v>22.19</v>
      </c>
      <c r="R175" s="2">
        <f t="shared" si="73"/>
        <v>1476.92</v>
      </c>
      <c r="S175" s="2">
        <f t="shared" si="71"/>
        <v>147.69</v>
      </c>
      <c r="T175" s="2">
        <f t="shared" si="71"/>
        <v>24.65</v>
      </c>
      <c r="U175" s="2">
        <f t="shared" si="71"/>
        <v>2.4700000000000002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324012</v>
      </c>
      <c r="AB175" s="14" t="s">
        <v>1613</v>
      </c>
      <c r="AC175" s="15" t="s">
        <v>889</v>
      </c>
      <c r="AD175" s="2">
        <v>3082401</v>
      </c>
      <c r="AE175" s="2">
        <v>0</v>
      </c>
      <c r="AF175" s="2">
        <v>1</v>
      </c>
      <c r="AG175" s="2">
        <f t="shared" si="74"/>
        <v>3062401</v>
      </c>
      <c r="AH175" s="2">
        <v>1</v>
      </c>
      <c r="AI175" s="2"/>
      <c r="AJ175">
        <v>1</v>
      </c>
      <c r="AK175" s="1">
        <f t="shared" si="57"/>
        <v>78.485177090805962</v>
      </c>
      <c r="AL175">
        <v>7</v>
      </c>
      <c r="AM175">
        <f t="shared" si="66"/>
        <v>221.86666666666667</v>
      </c>
      <c r="AN175">
        <f t="shared" si="67"/>
        <v>22.186666666666667</v>
      </c>
      <c r="AO175">
        <f t="shared" si="68"/>
        <v>1476.9230769230767</v>
      </c>
      <c r="AP175">
        <f t="shared" si="69"/>
        <v>147.69230769230768</v>
      </c>
      <c r="AQ175">
        <f t="shared" si="58"/>
        <v>24.651851851851852</v>
      </c>
      <c r="AR175">
        <f t="shared" si="59"/>
        <v>2.4651851851851854</v>
      </c>
      <c r="AS175">
        <f t="shared" si="60"/>
        <v>1.6</v>
      </c>
      <c r="AT175">
        <f t="shared" si="61"/>
        <v>1.5</v>
      </c>
      <c r="AU175">
        <f t="shared" si="62"/>
        <v>6</v>
      </c>
      <c r="AV175">
        <f t="shared" si="72"/>
        <v>4012</v>
      </c>
      <c r="AW175" s="1">
        <v>1</v>
      </c>
      <c r="AX175">
        <v>3</v>
      </c>
      <c r="AY175">
        <v>0</v>
      </c>
      <c r="CE175" t="str">
        <f t="shared" si="70"/>
        <v>DATA_Class_Base17</v>
      </c>
      <c r="CF175" s="6" t="s">
        <v>318</v>
      </c>
    </row>
    <row r="176" spans="1:84">
      <c r="A176">
        <f t="shared" si="64"/>
        <v>3072402</v>
      </c>
      <c r="B176" s="6" t="s">
        <v>323</v>
      </c>
      <c r="C176">
        <v>7</v>
      </c>
      <c r="D176">
        <v>4</v>
      </c>
      <c r="E176">
        <v>2</v>
      </c>
      <c r="F176" s="3" t="s">
        <v>1585</v>
      </c>
      <c r="G176" s="3" t="s">
        <v>1585</v>
      </c>
      <c r="H176">
        <v>0</v>
      </c>
      <c r="I176">
        <v>0</v>
      </c>
      <c r="J176">
        <v>0</v>
      </c>
      <c r="K176" s="2" t="s">
        <v>250</v>
      </c>
      <c r="L176" s="2">
        <f t="shared" si="65"/>
        <v>6</v>
      </c>
      <c r="M176" s="2">
        <f t="shared" si="63"/>
        <v>1.5</v>
      </c>
      <c r="N176" s="2">
        <f t="shared" si="63"/>
        <v>1.5</v>
      </c>
      <c r="O176" s="2">
        <v>10</v>
      </c>
      <c r="P176" s="2">
        <f t="shared" si="73"/>
        <v>224</v>
      </c>
      <c r="Q176" s="2">
        <f t="shared" si="73"/>
        <v>22.4</v>
      </c>
      <c r="R176" s="2">
        <f t="shared" si="73"/>
        <v>1371.43</v>
      </c>
      <c r="S176" s="2">
        <f t="shared" si="71"/>
        <v>137.13999999999999</v>
      </c>
      <c r="T176" s="2">
        <f t="shared" si="71"/>
        <v>28</v>
      </c>
      <c r="U176" s="2">
        <f t="shared" si="71"/>
        <v>2.8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324022</v>
      </c>
      <c r="AB176" s="14" t="s">
        <v>1614</v>
      </c>
      <c r="AC176" s="15" t="s">
        <v>889</v>
      </c>
      <c r="AD176" s="2">
        <v>3082402</v>
      </c>
      <c r="AE176" s="2">
        <v>0</v>
      </c>
      <c r="AF176" s="2">
        <v>1</v>
      </c>
      <c r="AG176" s="2">
        <f t="shared" si="74"/>
        <v>3062402</v>
      </c>
      <c r="AH176" s="2">
        <v>1</v>
      </c>
      <c r="AI176" s="2"/>
      <c r="AJ176">
        <v>1</v>
      </c>
      <c r="AK176" s="1">
        <f t="shared" si="57"/>
        <v>78.543347017628591</v>
      </c>
      <c r="AL176">
        <v>7</v>
      </c>
      <c r="AM176">
        <f t="shared" si="66"/>
        <v>223.99999999999994</v>
      </c>
      <c r="AN176">
        <f t="shared" si="67"/>
        <v>22.399999999999995</v>
      </c>
      <c r="AO176">
        <f t="shared" si="68"/>
        <v>1371.4285714285716</v>
      </c>
      <c r="AP176">
        <f t="shared" si="69"/>
        <v>137.14285714285717</v>
      </c>
      <c r="AQ176">
        <f t="shared" si="58"/>
        <v>27.999999999999993</v>
      </c>
      <c r="AR176">
        <f t="shared" si="59"/>
        <v>2.7999999999999994</v>
      </c>
      <c r="AS176">
        <f t="shared" si="60"/>
        <v>1.5</v>
      </c>
      <c r="AT176">
        <f t="shared" si="61"/>
        <v>1.5</v>
      </c>
      <c r="AU176">
        <f t="shared" si="62"/>
        <v>6</v>
      </c>
      <c r="AV176">
        <f t="shared" si="72"/>
        <v>4022</v>
      </c>
      <c r="AW176" s="1">
        <v>2</v>
      </c>
      <c r="AX176">
        <v>3</v>
      </c>
      <c r="AY176">
        <v>0</v>
      </c>
      <c r="CE176" t="str">
        <f t="shared" si="70"/>
        <v>DATA_Class_Base18</v>
      </c>
      <c r="CF176" s="6" t="s">
        <v>324</v>
      </c>
    </row>
    <row r="177" spans="1:84">
      <c r="A177">
        <f t="shared" si="64"/>
        <v>3072500</v>
      </c>
      <c r="B177" s="6" t="s">
        <v>301</v>
      </c>
      <c r="C177">
        <v>7</v>
      </c>
      <c r="D177">
        <v>5</v>
      </c>
      <c r="E177">
        <v>2</v>
      </c>
      <c r="F177" s="3" t="s">
        <v>1586</v>
      </c>
      <c r="G177" s="3" t="s">
        <v>1586</v>
      </c>
      <c r="H177">
        <v>0</v>
      </c>
      <c r="I177">
        <v>0</v>
      </c>
      <c r="J177" s="2">
        <v>0</v>
      </c>
      <c r="K177" s="2" t="s">
        <v>303</v>
      </c>
      <c r="L177" s="2">
        <f t="shared" si="65"/>
        <v>6</v>
      </c>
      <c r="M177" s="2">
        <f t="shared" si="63"/>
        <v>1.5</v>
      </c>
      <c r="N177" s="2">
        <f t="shared" si="63"/>
        <v>2</v>
      </c>
      <c r="O177" s="2">
        <v>10</v>
      </c>
      <c r="P177" s="2">
        <f t="shared" si="73"/>
        <v>240</v>
      </c>
      <c r="Q177" s="2">
        <f t="shared" si="73"/>
        <v>24</v>
      </c>
      <c r="R177" s="2">
        <f t="shared" si="73"/>
        <v>1280</v>
      </c>
      <c r="S177" s="2">
        <f t="shared" si="71"/>
        <v>128</v>
      </c>
      <c r="T177" s="2">
        <f t="shared" si="71"/>
        <v>26.67</v>
      </c>
      <c r="U177" s="2">
        <f t="shared" si="71"/>
        <v>2.67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325002</v>
      </c>
      <c r="AB177" s="14" t="s">
        <v>438</v>
      </c>
      <c r="AC177" s="15" t="s">
        <v>889</v>
      </c>
      <c r="AD177" s="2">
        <v>3082500</v>
      </c>
      <c r="AE177" s="2">
        <v>0</v>
      </c>
      <c r="AF177" s="2">
        <v>1</v>
      </c>
      <c r="AG177" s="2">
        <f t="shared" si="74"/>
        <v>3062500</v>
      </c>
      <c r="AH177" s="2">
        <v>1</v>
      </c>
      <c r="AI177" s="2"/>
      <c r="AJ177">
        <v>1</v>
      </c>
      <c r="AK177" s="1">
        <f t="shared" si="57"/>
        <v>78.520171673819746</v>
      </c>
      <c r="AL177">
        <v>7</v>
      </c>
      <c r="AM177">
        <f t="shared" si="66"/>
        <v>240</v>
      </c>
      <c r="AN177">
        <f t="shared" si="67"/>
        <v>24</v>
      </c>
      <c r="AO177">
        <f t="shared" si="68"/>
        <v>1280</v>
      </c>
      <c r="AP177">
        <f t="shared" si="69"/>
        <v>128</v>
      </c>
      <c r="AQ177">
        <f t="shared" si="58"/>
        <v>26.666666666666668</v>
      </c>
      <c r="AR177">
        <f t="shared" si="59"/>
        <v>2.666666666666667</v>
      </c>
      <c r="AS177">
        <f t="shared" si="60"/>
        <v>1.5</v>
      </c>
      <c r="AT177">
        <f t="shared" si="61"/>
        <v>2</v>
      </c>
      <c r="AU177">
        <f t="shared" si="62"/>
        <v>6</v>
      </c>
      <c r="AV177">
        <f t="shared" si="72"/>
        <v>5002</v>
      </c>
      <c r="AW177" s="1">
        <v>0</v>
      </c>
      <c r="AX177">
        <v>3</v>
      </c>
      <c r="AY177">
        <v>0</v>
      </c>
      <c r="CE177" t="str">
        <f t="shared" si="70"/>
        <v>DATA_Class_Base19</v>
      </c>
      <c r="CF177" s="6" t="s">
        <v>331</v>
      </c>
    </row>
    <row r="178" spans="1:84">
      <c r="A178">
        <f t="shared" si="64"/>
        <v>3072502</v>
      </c>
      <c r="B178" s="6" t="s">
        <v>289</v>
      </c>
      <c r="C178">
        <v>7</v>
      </c>
      <c r="D178">
        <v>5</v>
      </c>
      <c r="E178">
        <v>2</v>
      </c>
      <c r="F178" s="3" t="s">
        <v>1587</v>
      </c>
      <c r="G178" s="3" t="s">
        <v>1587</v>
      </c>
      <c r="H178">
        <v>0</v>
      </c>
      <c r="I178">
        <v>0</v>
      </c>
      <c r="J178" s="2">
        <v>0</v>
      </c>
      <c r="K178" s="2" t="s">
        <v>291</v>
      </c>
      <c r="L178" s="2">
        <f t="shared" si="65"/>
        <v>6</v>
      </c>
      <c r="M178" s="2">
        <f t="shared" si="63"/>
        <v>1.4000000000000001</v>
      </c>
      <c r="N178" s="2">
        <f t="shared" si="63"/>
        <v>2</v>
      </c>
      <c r="O178" s="2">
        <v>10</v>
      </c>
      <c r="P178" s="2">
        <f t="shared" si="73"/>
        <v>231.47</v>
      </c>
      <c r="Q178" s="2">
        <f t="shared" si="73"/>
        <v>23.15</v>
      </c>
      <c r="R178" s="2">
        <f t="shared" si="73"/>
        <v>1238.71</v>
      </c>
      <c r="S178" s="2">
        <f t="shared" si="71"/>
        <v>123.87</v>
      </c>
      <c r="T178" s="2">
        <f t="shared" si="71"/>
        <v>23.15</v>
      </c>
      <c r="U178" s="2">
        <f t="shared" si="71"/>
        <v>2.31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325022</v>
      </c>
      <c r="AB178" s="14" t="s">
        <v>1615</v>
      </c>
      <c r="AC178" s="15" t="s">
        <v>889</v>
      </c>
      <c r="AD178" s="2">
        <v>3082502</v>
      </c>
      <c r="AE178" s="2">
        <v>0</v>
      </c>
      <c r="AF178" s="2">
        <v>1</v>
      </c>
      <c r="AG178" s="2">
        <f t="shared" si="74"/>
        <v>3062502</v>
      </c>
      <c r="AH178" s="2">
        <v>1</v>
      </c>
      <c r="AI178" s="2"/>
      <c r="AJ178">
        <v>1</v>
      </c>
      <c r="AK178" s="1">
        <f t="shared" si="57"/>
        <v>78.459054427559636</v>
      </c>
      <c r="AL178">
        <v>7</v>
      </c>
      <c r="AM178">
        <f t="shared" si="66"/>
        <v>231.46666666666664</v>
      </c>
      <c r="AN178">
        <f t="shared" si="67"/>
        <v>23.146666666666665</v>
      </c>
      <c r="AO178">
        <f t="shared" si="68"/>
        <v>1238.7096774193549</v>
      </c>
      <c r="AP178">
        <f t="shared" si="69"/>
        <v>123.87096774193549</v>
      </c>
      <c r="AQ178">
        <f t="shared" si="58"/>
        <v>23.146666666666665</v>
      </c>
      <c r="AR178">
        <f t="shared" si="59"/>
        <v>2.3146666666666667</v>
      </c>
      <c r="AS178">
        <f t="shared" si="60"/>
        <v>1.4</v>
      </c>
      <c r="AT178">
        <f t="shared" si="61"/>
        <v>2</v>
      </c>
      <c r="AU178">
        <f t="shared" si="62"/>
        <v>6</v>
      </c>
      <c r="AV178">
        <f t="shared" si="72"/>
        <v>5022</v>
      </c>
      <c r="AW178" s="1">
        <v>2</v>
      </c>
      <c r="AX178">
        <v>3</v>
      </c>
      <c r="AY178">
        <v>0</v>
      </c>
      <c r="CE178" t="str">
        <f t="shared" si="70"/>
        <v>DATA_Class_Base20</v>
      </c>
      <c r="CF178" s="6" t="s">
        <v>336</v>
      </c>
    </row>
    <row r="179" spans="1:84">
      <c r="A179">
        <f t="shared" si="64"/>
        <v>3072601</v>
      </c>
      <c r="B179" s="6" t="s">
        <v>307</v>
      </c>
      <c r="C179">
        <v>7</v>
      </c>
      <c r="D179">
        <v>6</v>
      </c>
      <c r="E179">
        <v>2</v>
      </c>
      <c r="F179" s="3" t="s">
        <v>1588</v>
      </c>
      <c r="G179" s="3" t="s">
        <v>1588</v>
      </c>
      <c r="H179">
        <v>0</v>
      </c>
      <c r="I179">
        <v>0</v>
      </c>
      <c r="J179" s="2">
        <v>0</v>
      </c>
      <c r="K179" s="2" t="s">
        <v>309</v>
      </c>
      <c r="L179" s="2">
        <f t="shared" si="65"/>
        <v>6</v>
      </c>
      <c r="M179" s="2">
        <f t="shared" si="63"/>
        <v>1.5</v>
      </c>
      <c r="N179" s="2">
        <f t="shared" si="63"/>
        <v>2</v>
      </c>
      <c r="O179" s="2">
        <v>10</v>
      </c>
      <c r="P179" s="2">
        <f t="shared" si="73"/>
        <v>176</v>
      </c>
      <c r="Q179" s="2">
        <f t="shared" si="73"/>
        <v>17.600000000000001</v>
      </c>
      <c r="R179" s="2">
        <f t="shared" si="73"/>
        <v>1745.45</v>
      </c>
      <c r="S179" s="2">
        <f t="shared" si="71"/>
        <v>174.55</v>
      </c>
      <c r="T179" s="2">
        <f t="shared" si="71"/>
        <v>35.200000000000003</v>
      </c>
      <c r="U179" s="2">
        <f t="shared" si="71"/>
        <v>3.52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326012</v>
      </c>
      <c r="AB179" s="14" t="s">
        <v>439</v>
      </c>
      <c r="AC179" s="15" t="s">
        <v>889</v>
      </c>
      <c r="AD179" s="2">
        <v>3082601</v>
      </c>
      <c r="AE179" s="2">
        <v>0</v>
      </c>
      <c r="AF179" s="2">
        <v>1</v>
      </c>
      <c r="AG179" s="2">
        <f t="shared" si="74"/>
        <v>3062601</v>
      </c>
      <c r="AH179" s="2">
        <v>1</v>
      </c>
      <c r="AI179" s="2"/>
      <c r="AJ179">
        <v>1</v>
      </c>
      <c r="AK179" s="1">
        <f t="shared" si="57"/>
        <v>78.668730650154799</v>
      </c>
      <c r="AL179">
        <v>7</v>
      </c>
      <c r="AM179">
        <f t="shared" si="66"/>
        <v>176</v>
      </c>
      <c r="AN179">
        <f t="shared" si="67"/>
        <v>17.600000000000001</v>
      </c>
      <c r="AO179">
        <f t="shared" si="68"/>
        <v>1745.4545454545455</v>
      </c>
      <c r="AP179">
        <f t="shared" si="69"/>
        <v>174.54545454545456</v>
      </c>
      <c r="AQ179">
        <f t="shared" si="58"/>
        <v>35.200000000000003</v>
      </c>
      <c r="AR179">
        <f t="shared" si="59"/>
        <v>3.5200000000000005</v>
      </c>
      <c r="AS179">
        <f t="shared" si="60"/>
        <v>1.5</v>
      </c>
      <c r="AT179">
        <f t="shared" si="61"/>
        <v>2</v>
      </c>
      <c r="AU179">
        <f t="shared" si="62"/>
        <v>6</v>
      </c>
      <c r="AV179">
        <f t="shared" si="72"/>
        <v>6012</v>
      </c>
      <c r="AW179" s="1">
        <v>1</v>
      </c>
      <c r="AX179">
        <v>3</v>
      </c>
      <c r="AY179">
        <v>0</v>
      </c>
      <c r="CE179" t="str">
        <f t="shared" si="70"/>
        <v>DATA_Class_Base21</v>
      </c>
      <c r="CF179" s="6" t="s">
        <v>342</v>
      </c>
    </row>
    <row r="180" spans="1:84">
      <c r="A180">
        <f t="shared" si="64"/>
        <v>3073200</v>
      </c>
      <c r="B180" s="6" t="s">
        <v>294</v>
      </c>
      <c r="C180">
        <v>7</v>
      </c>
      <c r="D180">
        <v>2</v>
      </c>
      <c r="E180">
        <v>3</v>
      </c>
      <c r="F180" s="3" t="s">
        <v>1589</v>
      </c>
      <c r="G180" s="3" t="s">
        <v>1589</v>
      </c>
      <c r="H180">
        <v>0</v>
      </c>
      <c r="I180">
        <v>0</v>
      </c>
      <c r="J180">
        <v>0</v>
      </c>
      <c r="K180" s="2" t="s">
        <v>314</v>
      </c>
      <c r="L180" s="2">
        <f t="shared" si="65"/>
        <v>3</v>
      </c>
      <c r="M180" s="2">
        <f t="shared" si="63"/>
        <v>1.5</v>
      </c>
      <c r="N180" s="2">
        <f t="shared" si="63"/>
        <v>1.2</v>
      </c>
      <c r="O180" s="2">
        <v>10</v>
      </c>
      <c r="P180" s="2">
        <f t="shared" si="73"/>
        <v>112</v>
      </c>
      <c r="Q180" s="2">
        <f t="shared" si="73"/>
        <v>11.2</v>
      </c>
      <c r="R180" s="2">
        <f t="shared" si="73"/>
        <v>2742.86</v>
      </c>
      <c r="S180" s="2">
        <f t="shared" si="71"/>
        <v>274.29000000000002</v>
      </c>
      <c r="T180" s="2">
        <f t="shared" si="71"/>
        <v>56</v>
      </c>
      <c r="U180" s="2">
        <f t="shared" si="71"/>
        <v>5.6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332002</v>
      </c>
      <c r="AB180" s="14" t="s">
        <v>440</v>
      </c>
      <c r="AC180" s="15" t="s">
        <v>889</v>
      </c>
      <c r="AD180" s="2">
        <v>3083200</v>
      </c>
      <c r="AE180" s="2">
        <v>0</v>
      </c>
      <c r="AF180" s="2">
        <v>1</v>
      </c>
      <c r="AG180" s="2">
        <f t="shared" si="74"/>
        <v>3063200</v>
      </c>
      <c r="AH180" s="2">
        <v>1</v>
      </c>
      <c r="AI180" s="2"/>
      <c r="AJ180">
        <v>1</v>
      </c>
      <c r="AK180" s="1">
        <f t="shared" si="57"/>
        <v>79.033209136562448</v>
      </c>
      <c r="AL180">
        <v>7</v>
      </c>
      <c r="AM180">
        <f t="shared" si="66"/>
        <v>111.99999999999997</v>
      </c>
      <c r="AN180">
        <f t="shared" si="67"/>
        <v>11.199999999999998</v>
      </c>
      <c r="AO180">
        <f t="shared" si="68"/>
        <v>2742.8571428571431</v>
      </c>
      <c r="AP180">
        <f t="shared" si="69"/>
        <v>274.28571428571433</v>
      </c>
      <c r="AQ180">
        <f t="shared" si="58"/>
        <v>55.999999999999986</v>
      </c>
      <c r="AR180">
        <f t="shared" si="59"/>
        <v>5.5999999999999988</v>
      </c>
      <c r="AS180">
        <f t="shared" si="60"/>
        <v>1.5</v>
      </c>
      <c r="AT180">
        <f t="shared" si="61"/>
        <v>1.2</v>
      </c>
      <c r="AU180">
        <f t="shared" si="62"/>
        <v>3</v>
      </c>
      <c r="AV180">
        <f t="shared" si="72"/>
        <v>2003</v>
      </c>
      <c r="AW180" s="1">
        <v>0</v>
      </c>
      <c r="AX180">
        <v>3</v>
      </c>
      <c r="AY180">
        <v>0</v>
      </c>
      <c r="CE180" t="str">
        <f t="shared" si="70"/>
        <v>DATA_Class_Base13</v>
      </c>
      <c r="CF180" s="6" t="s">
        <v>295</v>
      </c>
    </row>
    <row r="181" spans="1:84">
      <c r="A181">
        <f t="shared" si="64"/>
        <v>3073201</v>
      </c>
      <c r="B181" s="6" t="s">
        <v>296</v>
      </c>
      <c r="C181">
        <v>7</v>
      </c>
      <c r="D181">
        <v>2</v>
      </c>
      <c r="E181">
        <v>3</v>
      </c>
      <c r="F181" s="3" t="s">
        <v>1590</v>
      </c>
      <c r="G181" s="3" t="s">
        <v>1590</v>
      </c>
      <c r="H181">
        <v>0</v>
      </c>
      <c r="I181">
        <v>0</v>
      </c>
      <c r="J181" s="2">
        <v>0</v>
      </c>
      <c r="K181" s="8" t="s">
        <v>298</v>
      </c>
      <c r="L181" s="2">
        <f t="shared" si="65"/>
        <v>3</v>
      </c>
      <c r="M181" s="2">
        <f t="shared" si="63"/>
        <v>1.8</v>
      </c>
      <c r="N181" s="2">
        <f t="shared" si="63"/>
        <v>1.8</v>
      </c>
      <c r="O181" s="2">
        <v>10</v>
      </c>
      <c r="P181" s="2">
        <f t="shared" si="73"/>
        <v>115.2</v>
      </c>
      <c r="Q181" s="2">
        <f t="shared" si="73"/>
        <v>11.52</v>
      </c>
      <c r="R181" s="2">
        <f t="shared" si="73"/>
        <v>3200</v>
      </c>
      <c r="S181" s="2">
        <f t="shared" si="71"/>
        <v>320</v>
      </c>
      <c r="T181" s="2">
        <f t="shared" si="71"/>
        <v>64</v>
      </c>
      <c r="U181" s="2">
        <f t="shared" si="71"/>
        <v>6.4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332012</v>
      </c>
      <c r="AB181" s="14" t="s">
        <v>1616</v>
      </c>
      <c r="AC181" s="15" t="s">
        <v>889</v>
      </c>
      <c r="AD181" s="2">
        <v>3083201</v>
      </c>
      <c r="AE181" s="2">
        <v>0</v>
      </c>
      <c r="AF181" s="2">
        <v>1</v>
      </c>
      <c r="AG181" s="2">
        <f t="shared" si="74"/>
        <v>3063201</v>
      </c>
      <c r="AH181" s="2">
        <v>1</v>
      </c>
      <c r="AI181" s="2"/>
      <c r="AJ181">
        <v>1</v>
      </c>
      <c r="AK181" s="1">
        <f t="shared" si="57"/>
        <v>79.17429406037003</v>
      </c>
      <c r="AL181">
        <v>7</v>
      </c>
      <c r="AM181">
        <f t="shared" si="66"/>
        <v>115.20000000000002</v>
      </c>
      <c r="AN181">
        <f t="shared" si="67"/>
        <v>11.520000000000003</v>
      </c>
      <c r="AO181">
        <f t="shared" si="68"/>
        <v>3200</v>
      </c>
      <c r="AP181">
        <f t="shared" si="69"/>
        <v>320</v>
      </c>
      <c r="AQ181">
        <f t="shared" si="58"/>
        <v>64.000000000000014</v>
      </c>
      <c r="AR181">
        <f t="shared" si="59"/>
        <v>6.4000000000000021</v>
      </c>
      <c r="AS181">
        <f t="shared" si="60"/>
        <v>1.8</v>
      </c>
      <c r="AT181">
        <f t="shared" si="61"/>
        <v>1.8</v>
      </c>
      <c r="AU181">
        <f t="shared" si="62"/>
        <v>3</v>
      </c>
      <c r="AV181">
        <f t="shared" si="72"/>
        <v>2013</v>
      </c>
      <c r="AW181" s="1">
        <v>1</v>
      </c>
      <c r="AX181">
        <v>3</v>
      </c>
      <c r="AY181">
        <v>0</v>
      </c>
      <c r="CE181" t="str">
        <f t="shared" si="70"/>
        <v>DATA_Class_Base14</v>
      </c>
      <c r="CF181" s="6" t="s">
        <v>300</v>
      </c>
    </row>
    <row r="182" spans="1:84">
      <c r="A182">
        <f t="shared" si="64"/>
        <v>3073202</v>
      </c>
      <c r="B182" s="6" t="s">
        <v>278</v>
      </c>
      <c r="C182">
        <v>7</v>
      </c>
      <c r="D182">
        <v>2</v>
      </c>
      <c r="E182">
        <v>3</v>
      </c>
      <c r="F182" s="3" t="s">
        <v>1591</v>
      </c>
      <c r="G182" s="3" t="s">
        <v>1591</v>
      </c>
      <c r="H182">
        <v>0</v>
      </c>
      <c r="I182">
        <v>0</v>
      </c>
      <c r="J182">
        <v>0</v>
      </c>
      <c r="K182" s="2" t="s">
        <v>280</v>
      </c>
      <c r="L182" s="2">
        <f t="shared" si="65"/>
        <v>3</v>
      </c>
      <c r="M182" s="2">
        <f t="shared" si="63"/>
        <v>1.8</v>
      </c>
      <c r="N182" s="2">
        <f t="shared" si="63"/>
        <v>2</v>
      </c>
      <c r="O182" s="2">
        <v>10</v>
      </c>
      <c r="P182" s="2">
        <f t="shared" si="73"/>
        <v>172.8</v>
      </c>
      <c r="Q182" s="2">
        <f t="shared" si="73"/>
        <v>17.28</v>
      </c>
      <c r="R182" s="2">
        <f t="shared" si="73"/>
        <v>2133.33</v>
      </c>
      <c r="S182" s="2">
        <f t="shared" si="71"/>
        <v>213.33</v>
      </c>
      <c r="T182" s="2">
        <f t="shared" si="71"/>
        <v>57.6</v>
      </c>
      <c r="U182" s="2">
        <f t="shared" si="71"/>
        <v>5.76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332022</v>
      </c>
      <c r="AB182" s="14" t="s">
        <v>1617</v>
      </c>
      <c r="AC182" s="15" t="s">
        <v>889</v>
      </c>
      <c r="AD182" s="2">
        <v>3083202</v>
      </c>
      <c r="AE182" s="2">
        <v>0</v>
      </c>
      <c r="AF182" s="2">
        <v>1</v>
      </c>
      <c r="AG182" s="2">
        <f t="shared" si="74"/>
        <v>3063202</v>
      </c>
      <c r="AH182" s="2">
        <v>1</v>
      </c>
      <c r="AI182" s="2"/>
      <c r="AJ182">
        <v>1</v>
      </c>
      <c r="AK182" s="1">
        <f t="shared" si="57"/>
        <v>79.061385881895404</v>
      </c>
      <c r="AL182">
        <v>7</v>
      </c>
      <c r="AM182">
        <f t="shared" si="66"/>
        <v>172.8</v>
      </c>
      <c r="AN182">
        <f t="shared" si="67"/>
        <v>17.28</v>
      </c>
      <c r="AO182">
        <f t="shared" si="68"/>
        <v>2133.3333333333335</v>
      </c>
      <c r="AP182">
        <f t="shared" si="69"/>
        <v>213.33333333333337</v>
      </c>
      <c r="AQ182">
        <f t="shared" si="58"/>
        <v>57.6</v>
      </c>
      <c r="AR182">
        <f t="shared" si="59"/>
        <v>5.7600000000000007</v>
      </c>
      <c r="AS182">
        <f t="shared" si="60"/>
        <v>1.8</v>
      </c>
      <c r="AT182">
        <f t="shared" si="61"/>
        <v>2</v>
      </c>
      <c r="AU182">
        <f t="shared" si="62"/>
        <v>3</v>
      </c>
      <c r="AV182">
        <f t="shared" si="72"/>
        <v>2023</v>
      </c>
      <c r="AW182" s="1">
        <v>2</v>
      </c>
      <c r="AX182">
        <v>3</v>
      </c>
      <c r="AY182">
        <v>0</v>
      </c>
      <c r="CE182" t="str">
        <f t="shared" si="70"/>
        <v>DATA_Class_Base15</v>
      </c>
      <c r="CF182" s="6" t="s">
        <v>306</v>
      </c>
    </row>
    <row r="183" spans="1:84">
      <c r="A183">
        <f t="shared" si="64"/>
        <v>3073301</v>
      </c>
      <c r="B183" s="6" t="s">
        <v>283</v>
      </c>
      <c r="C183">
        <v>7</v>
      </c>
      <c r="D183">
        <v>3</v>
      </c>
      <c r="E183">
        <v>3</v>
      </c>
      <c r="F183" s="3" t="s">
        <v>1592</v>
      </c>
      <c r="G183" s="3" t="s">
        <v>1592</v>
      </c>
      <c r="H183">
        <v>0</v>
      </c>
      <c r="I183">
        <v>0</v>
      </c>
      <c r="J183" s="2">
        <v>0</v>
      </c>
      <c r="K183" s="2" t="s">
        <v>285</v>
      </c>
      <c r="L183" s="2">
        <f t="shared" si="65"/>
        <v>3</v>
      </c>
      <c r="M183" s="2">
        <f t="shared" si="63"/>
        <v>1.2</v>
      </c>
      <c r="N183" s="2">
        <f t="shared" si="63"/>
        <v>1.4000000000000001</v>
      </c>
      <c r="O183" s="2">
        <v>10</v>
      </c>
      <c r="P183" s="2">
        <f t="shared" si="73"/>
        <v>153.6</v>
      </c>
      <c r="Q183" s="2">
        <f t="shared" si="73"/>
        <v>15.36</v>
      </c>
      <c r="R183" s="2">
        <f t="shared" si="73"/>
        <v>1600</v>
      </c>
      <c r="S183" s="2">
        <f t="shared" si="71"/>
        <v>160</v>
      </c>
      <c r="T183" s="2">
        <f t="shared" si="71"/>
        <v>30.72</v>
      </c>
      <c r="U183" s="2">
        <f t="shared" si="71"/>
        <v>3.07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333012</v>
      </c>
      <c r="AB183" s="14" t="s">
        <v>1618</v>
      </c>
      <c r="AC183" s="15" t="s">
        <v>889</v>
      </c>
      <c r="AD183" s="2">
        <v>3083301</v>
      </c>
      <c r="AE183" s="2">
        <v>0</v>
      </c>
      <c r="AF183" s="2">
        <v>1</v>
      </c>
      <c r="AG183" s="2">
        <f t="shared" si="74"/>
        <v>3063301</v>
      </c>
      <c r="AH183" s="2">
        <v>1</v>
      </c>
      <c r="AI183" s="2"/>
      <c r="AJ183">
        <v>1</v>
      </c>
      <c r="AK183" s="1">
        <f t="shared" si="57"/>
        <v>78.590667164967741</v>
      </c>
      <c r="AL183">
        <v>7</v>
      </c>
      <c r="AM183">
        <f t="shared" si="66"/>
        <v>153.6</v>
      </c>
      <c r="AN183">
        <f t="shared" si="67"/>
        <v>15.36</v>
      </c>
      <c r="AO183">
        <f t="shared" si="68"/>
        <v>1600</v>
      </c>
      <c r="AP183">
        <f t="shared" si="69"/>
        <v>160</v>
      </c>
      <c r="AQ183">
        <f t="shared" si="58"/>
        <v>30.72</v>
      </c>
      <c r="AR183">
        <f t="shared" si="59"/>
        <v>3.0720000000000001</v>
      </c>
      <c r="AS183">
        <f t="shared" si="60"/>
        <v>1.2</v>
      </c>
      <c r="AT183">
        <f t="shared" si="61"/>
        <v>1.4</v>
      </c>
      <c r="AU183">
        <f t="shared" si="62"/>
        <v>3</v>
      </c>
      <c r="AV183">
        <f t="shared" si="72"/>
        <v>3013</v>
      </c>
      <c r="AW183" s="1">
        <v>1</v>
      </c>
      <c r="AX183">
        <v>3</v>
      </c>
      <c r="AY183">
        <v>0</v>
      </c>
      <c r="CE183" t="str">
        <f t="shared" si="70"/>
        <v>DATA_Class_Base16</v>
      </c>
      <c r="CF183" s="6" t="s">
        <v>312</v>
      </c>
    </row>
    <row r="184" spans="1:84">
      <c r="A184">
        <f t="shared" si="64"/>
        <v>3073401</v>
      </c>
      <c r="B184" s="6" t="s">
        <v>317</v>
      </c>
      <c r="C184">
        <v>7</v>
      </c>
      <c r="D184">
        <v>4</v>
      </c>
      <c r="E184">
        <v>3</v>
      </c>
      <c r="F184" s="3" t="s">
        <v>1593</v>
      </c>
      <c r="G184" s="3" t="s">
        <v>1593</v>
      </c>
      <c r="H184">
        <v>0</v>
      </c>
      <c r="I184">
        <v>0</v>
      </c>
      <c r="J184">
        <v>0</v>
      </c>
      <c r="K184" s="2" t="s">
        <v>161</v>
      </c>
      <c r="L184" s="2">
        <f t="shared" si="65"/>
        <v>6</v>
      </c>
      <c r="M184" s="2">
        <f t="shared" si="63"/>
        <v>1.6</v>
      </c>
      <c r="N184" s="2">
        <f t="shared" si="63"/>
        <v>1.5</v>
      </c>
      <c r="O184" s="2">
        <v>10</v>
      </c>
      <c r="P184" s="2">
        <f t="shared" si="73"/>
        <v>204.8</v>
      </c>
      <c r="Q184" s="2">
        <f t="shared" si="73"/>
        <v>20.48</v>
      </c>
      <c r="R184" s="2">
        <f t="shared" si="73"/>
        <v>1600</v>
      </c>
      <c r="S184" s="2">
        <f t="shared" si="71"/>
        <v>160</v>
      </c>
      <c r="T184" s="2">
        <f t="shared" si="71"/>
        <v>34.130000000000003</v>
      </c>
      <c r="U184" s="2">
        <f t="shared" si="71"/>
        <v>3.41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334012</v>
      </c>
      <c r="AB184" s="14" t="s">
        <v>441</v>
      </c>
      <c r="AC184" s="15" t="s">
        <v>889</v>
      </c>
      <c r="AD184" s="2">
        <v>3083401</v>
      </c>
      <c r="AE184" s="2">
        <v>0</v>
      </c>
      <c r="AF184" s="2">
        <v>1</v>
      </c>
      <c r="AG184" s="2">
        <f t="shared" si="74"/>
        <v>3063401</v>
      </c>
      <c r="AH184" s="2">
        <v>1</v>
      </c>
      <c r="AI184" s="2"/>
      <c r="AJ184">
        <v>1</v>
      </c>
      <c r="AK184" s="1">
        <f t="shared" si="57"/>
        <v>78.650130043204456</v>
      </c>
      <c r="AL184">
        <v>7</v>
      </c>
      <c r="AM184">
        <f t="shared" si="66"/>
        <v>204.8</v>
      </c>
      <c r="AN184">
        <f t="shared" si="67"/>
        <v>20.480000000000004</v>
      </c>
      <c r="AO184">
        <f t="shared" si="68"/>
        <v>1600</v>
      </c>
      <c r="AP184">
        <f t="shared" si="69"/>
        <v>160</v>
      </c>
      <c r="AQ184">
        <f t="shared" si="58"/>
        <v>34.133333333333333</v>
      </c>
      <c r="AR184">
        <f t="shared" si="59"/>
        <v>3.4133333333333336</v>
      </c>
      <c r="AS184">
        <f t="shared" si="60"/>
        <v>1.6</v>
      </c>
      <c r="AT184">
        <f t="shared" si="61"/>
        <v>1.5</v>
      </c>
      <c r="AU184">
        <f t="shared" si="62"/>
        <v>6</v>
      </c>
      <c r="AV184">
        <f t="shared" si="72"/>
        <v>4013</v>
      </c>
      <c r="AW184" s="1">
        <v>1</v>
      </c>
      <c r="AX184">
        <v>3</v>
      </c>
      <c r="AY184">
        <v>0</v>
      </c>
      <c r="CE184" t="str">
        <f t="shared" si="70"/>
        <v>DATA_Class_Base17</v>
      </c>
      <c r="CF184" s="6" t="s">
        <v>318</v>
      </c>
    </row>
    <row r="185" spans="1:84">
      <c r="A185">
        <f t="shared" si="64"/>
        <v>3073402</v>
      </c>
      <c r="B185" s="6" t="s">
        <v>323</v>
      </c>
      <c r="C185">
        <v>7</v>
      </c>
      <c r="D185">
        <v>4</v>
      </c>
      <c r="E185">
        <v>3</v>
      </c>
      <c r="F185" s="3" t="s">
        <v>1594</v>
      </c>
      <c r="G185" s="3" t="s">
        <v>1594</v>
      </c>
      <c r="H185">
        <v>0</v>
      </c>
      <c r="I185">
        <v>0</v>
      </c>
      <c r="J185" s="2">
        <v>0</v>
      </c>
      <c r="K185" s="2" t="s">
        <v>250</v>
      </c>
      <c r="L185" s="2">
        <f t="shared" si="65"/>
        <v>6</v>
      </c>
      <c r="M185" s="2">
        <f t="shared" si="63"/>
        <v>1.5</v>
      </c>
      <c r="N185" s="2">
        <f t="shared" si="63"/>
        <v>1.5</v>
      </c>
      <c r="O185" s="2">
        <v>10</v>
      </c>
      <c r="P185" s="2">
        <f t="shared" si="73"/>
        <v>208</v>
      </c>
      <c r="Q185" s="2">
        <f t="shared" si="73"/>
        <v>20.8</v>
      </c>
      <c r="R185" s="2">
        <f t="shared" si="73"/>
        <v>1476.92</v>
      </c>
      <c r="S185" s="2">
        <f t="shared" si="71"/>
        <v>147.69</v>
      </c>
      <c r="T185" s="2">
        <f t="shared" si="71"/>
        <v>29.71</v>
      </c>
      <c r="U185" s="2">
        <f t="shared" si="71"/>
        <v>2.97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334022</v>
      </c>
      <c r="AB185" s="14" t="s">
        <v>442</v>
      </c>
      <c r="AC185" s="15" t="s">
        <v>889</v>
      </c>
      <c r="AD185" s="2">
        <v>3083402</v>
      </c>
      <c r="AE185" s="2">
        <v>0</v>
      </c>
      <c r="AF185" s="2">
        <v>1</v>
      </c>
      <c r="AG185" s="2">
        <f t="shared" si="74"/>
        <v>3063402</v>
      </c>
      <c r="AH185" s="2">
        <v>1</v>
      </c>
      <c r="AI185" s="2"/>
      <c r="AJ185">
        <v>1</v>
      </c>
      <c r="AK185" s="1">
        <f t="shared" si="57"/>
        <v>78.573163997791283</v>
      </c>
      <c r="AL185">
        <v>7</v>
      </c>
      <c r="AM185">
        <f t="shared" si="66"/>
        <v>208</v>
      </c>
      <c r="AN185">
        <f t="shared" si="67"/>
        <v>20.8</v>
      </c>
      <c r="AO185">
        <f t="shared" si="68"/>
        <v>1476.9230769230767</v>
      </c>
      <c r="AP185">
        <f t="shared" si="69"/>
        <v>147.69230769230768</v>
      </c>
      <c r="AQ185">
        <f t="shared" si="58"/>
        <v>29.714285714285715</v>
      </c>
      <c r="AR185">
        <f t="shared" si="59"/>
        <v>2.9714285714285715</v>
      </c>
      <c r="AS185">
        <f t="shared" si="60"/>
        <v>1.5</v>
      </c>
      <c r="AT185">
        <f t="shared" si="61"/>
        <v>1.5</v>
      </c>
      <c r="AU185">
        <f t="shared" si="62"/>
        <v>6</v>
      </c>
      <c r="AV185">
        <f t="shared" si="72"/>
        <v>4023</v>
      </c>
      <c r="AW185" s="1">
        <v>2</v>
      </c>
      <c r="AX185">
        <v>3</v>
      </c>
      <c r="AY185">
        <v>0</v>
      </c>
      <c r="CE185" t="str">
        <f t="shared" si="70"/>
        <v>DATA_Class_Base18</v>
      </c>
      <c r="CF185" s="6" t="s">
        <v>324</v>
      </c>
    </row>
    <row r="186" spans="1:84">
      <c r="A186">
        <f t="shared" si="64"/>
        <v>3073500</v>
      </c>
      <c r="B186" s="6" t="s">
        <v>301</v>
      </c>
      <c r="C186">
        <v>7</v>
      </c>
      <c r="D186">
        <v>5</v>
      </c>
      <c r="E186">
        <v>3</v>
      </c>
      <c r="F186" s="3" t="s">
        <v>1595</v>
      </c>
      <c r="G186" s="3" t="s">
        <v>1595</v>
      </c>
      <c r="H186">
        <v>0</v>
      </c>
      <c r="I186">
        <v>0</v>
      </c>
      <c r="J186" s="2">
        <v>0</v>
      </c>
      <c r="K186" s="2" t="s">
        <v>303</v>
      </c>
      <c r="L186" s="2">
        <f t="shared" si="65"/>
        <v>6</v>
      </c>
      <c r="M186" s="2">
        <f t="shared" si="63"/>
        <v>1.5</v>
      </c>
      <c r="N186" s="2">
        <f t="shared" si="63"/>
        <v>2</v>
      </c>
      <c r="O186" s="2">
        <v>10</v>
      </c>
      <c r="P186" s="2">
        <f t="shared" si="73"/>
        <v>208</v>
      </c>
      <c r="Q186" s="2">
        <f t="shared" si="73"/>
        <v>20.8</v>
      </c>
      <c r="R186" s="2">
        <f t="shared" si="73"/>
        <v>1476.92</v>
      </c>
      <c r="S186" s="2">
        <f t="shared" si="71"/>
        <v>147.69</v>
      </c>
      <c r="T186" s="2">
        <f t="shared" si="71"/>
        <v>34.67</v>
      </c>
      <c r="U186" s="2">
        <f t="shared" si="71"/>
        <v>3.47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335002</v>
      </c>
      <c r="AB186" s="14" t="s">
        <v>1619</v>
      </c>
      <c r="AC186" s="15" t="s">
        <v>889</v>
      </c>
      <c r="AD186" s="2">
        <v>3083500</v>
      </c>
      <c r="AE186" s="2">
        <v>0</v>
      </c>
      <c r="AF186" s="2">
        <v>1</v>
      </c>
      <c r="AG186" s="2">
        <f t="shared" si="74"/>
        <v>3063500</v>
      </c>
      <c r="AH186" s="2">
        <v>1</v>
      </c>
      <c r="AI186" s="2"/>
      <c r="AJ186">
        <v>1</v>
      </c>
      <c r="AK186" s="1">
        <f t="shared" si="57"/>
        <v>78.65942924705756</v>
      </c>
      <c r="AL186">
        <v>7</v>
      </c>
      <c r="AM186">
        <f t="shared" si="66"/>
        <v>208</v>
      </c>
      <c r="AN186">
        <f t="shared" si="67"/>
        <v>20.8</v>
      </c>
      <c r="AO186">
        <f t="shared" si="68"/>
        <v>1476.9230769230767</v>
      </c>
      <c r="AP186">
        <f t="shared" si="69"/>
        <v>147.69230769230768</v>
      </c>
      <c r="AQ186">
        <f t="shared" si="58"/>
        <v>34.666666666666664</v>
      </c>
      <c r="AR186">
        <f t="shared" si="59"/>
        <v>3.4666666666666668</v>
      </c>
      <c r="AS186">
        <f t="shared" si="60"/>
        <v>1.5</v>
      </c>
      <c r="AT186">
        <f t="shared" si="61"/>
        <v>2</v>
      </c>
      <c r="AU186">
        <f t="shared" si="62"/>
        <v>6</v>
      </c>
      <c r="AV186">
        <f t="shared" si="72"/>
        <v>5003</v>
      </c>
      <c r="AW186" s="1">
        <v>0</v>
      </c>
      <c r="AX186">
        <v>3</v>
      </c>
      <c r="AY186">
        <v>0</v>
      </c>
      <c r="CE186" t="str">
        <f t="shared" si="70"/>
        <v>DATA_Class_Base19</v>
      </c>
      <c r="CF186" s="6" t="s">
        <v>331</v>
      </c>
    </row>
    <row r="187" spans="1:84">
      <c r="A187">
        <f t="shared" si="64"/>
        <v>3073502</v>
      </c>
      <c r="B187" s="6" t="s">
        <v>289</v>
      </c>
      <c r="C187">
        <v>7</v>
      </c>
      <c r="D187">
        <v>5</v>
      </c>
      <c r="E187">
        <v>3</v>
      </c>
      <c r="F187" s="3" t="s">
        <v>1596</v>
      </c>
      <c r="G187" s="3" t="s">
        <v>1596</v>
      </c>
      <c r="H187">
        <v>0</v>
      </c>
      <c r="I187">
        <v>0</v>
      </c>
      <c r="J187" s="2">
        <v>0</v>
      </c>
      <c r="K187" s="2" t="s">
        <v>291</v>
      </c>
      <c r="L187" s="2">
        <f t="shared" si="65"/>
        <v>6</v>
      </c>
      <c r="M187" s="2">
        <f t="shared" si="63"/>
        <v>1.4000000000000001</v>
      </c>
      <c r="N187" s="2">
        <f t="shared" si="63"/>
        <v>2</v>
      </c>
      <c r="O187" s="2">
        <v>10</v>
      </c>
      <c r="P187" s="2">
        <f t="shared" si="73"/>
        <v>201.6</v>
      </c>
      <c r="Q187" s="2">
        <f t="shared" si="73"/>
        <v>20.16</v>
      </c>
      <c r="R187" s="2">
        <f t="shared" si="73"/>
        <v>1422.22</v>
      </c>
      <c r="S187" s="2">
        <f t="shared" si="71"/>
        <v>142.22</v>
      </c>
      <c r="T187" s="2">
        <f t="shared" si="71"/>
        <v>28.8</v>
      </c>
      <c r="U187" s="2">
        <f t="shared" si="71"/>
        <v>2.88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335022</v>
      </c>
      <c r="AB187" s="14" t="s">
        <v>1620</v>
      </c>
      <c r="AC187" s="15" t="s">
        <v>889</v>
      </c>
      <c r="AD187">
        <v>3083502</v>
      </c>
      <c r="AE187" s="2">
        <v>0</v>
      </c>
      <c r="AF187" s="2">
        <v>1</v>
      </c>
      <c r="AG187" s="2">
        <f t="shared" si="74"/>
        <v>3063502</v>
      </c>
      <c r="AH187" s="2">
        <v>1</v>
      </c>
      <c r="AI187" s="2"/>
      <c r="AJ187">
        <v>1</v>
      </c>
      <c r="AK187" s="1">
        <f t="shared" si="57"/>
        <v>78.557258791704228</v>
      </c>
      <c r="AL187">
        <v>7</v>
      </c>
      <c r="AM187">
        <f t="shared" si="66"/>
        <v>201.6</v>
      </c>
      <c r="AN187">
        <f t="shared" si="67"/>
        <v>20.16</v>
      </c>
      <c r="AO187">
        <f t="shared" si="68"/>
        <v>1422.2222222222222</v>
      </c>
      <c r="AP187">
        <f t="shared" si="69"/>
        <v>142.22222222222223</v>
      </c>
      <c r="AQ187">
        <f t="shared" si="58"/>
        <v>28.8</v>
      </c>
      <c r="AR187">
        <f t="shared" si="59"/>
        <v>2.8800000000000003</v>
      </c>
      <c r="AS187">
        <f t="shared" si="60"/>
        <v>1.4</v>
      </c>
      <c r="AT187">
        <f t="shared" si="61"/>
        <v>2</v>
      </c>
      <c r="AU187">
        <f t="shared" si="62"/>
        <v>6</v>
      </c>
      <c r="AV187">
        <f t="shared" si="72"/>
        <v>5023</v>
      </c>
      <c r="AW187" s="1">
        <v>2</v>
      </c>
      <c r="AX187">
        <v>3</v>
      </c>
      <c r="AY187">
        <v>0</v>
      </c>
      <c r="CE187" t="str">
        <f t="shared" si="70"/>
        <v>DATA_Class_Base20</v>
      </c>
      <c r="CF187" s="6" t="s">
        <v>336</v>
      </c>
    </row>
    <row r="188" spans="1:84">
      <c r="A188">
        <f t="shared" si="64"/>
        <v>3073601</v>
      </c>
      <c r="B188" s="6" t="s">
        <v>307</v>
      </c>
      <c r="C188">
        <v>7</v>
      </c>
      <c r="D188">
        <v>6</v>
      </c>
      <c r="E188">
        <v>3</v>
      </c>
      <c r="F188" s="3" t="s">
        <v>1597</v>
      </c>
      <c r="G188" s="3" t="s">
        <v>1597</v>
      </c>
      <c r="H188">
        <v>0</v>
      </c>
      <c r="I188">
        <v>0</v>
      </c>
      <c r="J188">
        <v>0</v>
      </c>
      <c r="K188" s="2" t="s">
        <v>309</v>
      </c>
      <c r="L188" s="2">
        <f t="shared" si="65"/>
        <v>6</v>
      </c>
      <c r="M188" s="2">
        <f t="shared" si="63"/>
        <v>1.5</v>
      </c>
      <c r="N188" s="2">
        <f t="shared" si="63"/>
        <v>2</v>
      </c>
      <c r="O188" s="2">
        <v>10</v>
      </c>
      <c r="P188" s="2">
        <f t="shared" si="73"/>
        <v>144</v>
      </c>
      <c r="Q188" s="2">
        <f t="shared" si="73"/>
        <v>14.4</v>
      </c>
      <c r="R188" s="2">
        <f t="shared" si="73"/>
        <v>2133.33</v>
      </c>
      <c r="S188" s="2">
        <f t="shared" si="71"/>
        <v>213.33</v>
      </c>
      <c r="T188" s="2">
        <f t="shared" si="71"/>
        <v>48</v>
      </c>
      <c r="U188" s="2">
        <f t="shared" si="71"/>
        <v>4.8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336012</v>
      </c>
      <c r="AB188" s="14" t="s">
        <v>1621</v>
      </c>
      <c r="AC188" s="15" t="s">
        <v>889</v>
      </c>
      <c r="AD188">
        <v>3083601</v>
      </c>
      <c r="AE188" s="2">
        <v>0</v>
      </c>
      <c r="AF188" s="2">
        <v>1</v>
      </c>
      <c r="AG188" s="2">
        <f t="shared" si="74"/>
        <v>3063601</v>
      </c>
      <c r="AH188" s="2">
        <v>1</v>
      </c>
      <c r="AI188" s="2"/>
      <c r="AJ188">
        <v>1</v>
      </c>
      <c r="AK188" s="1">
        <f t="shared" si="57"/>
        <v>78.892626131953449</v>
      </c>
      <c r="AL188">
        <v>7</v>
      </c>
      <c r="AM188">
        <f t="shared" si="66"/>
        <v>144</v>
      </c>
      <c r="AN188">
        <f t="shared" si="67"/>
        <v>14.4</v>
      </c>
      <c r="AO188">
        <f t="shared" si="68"/>
        <v>2133.3333333333335</v>
      </c>
      <c r="AP188">
        <f t="shared" si="69"/>
        <v>213.33333333333337</v>
      </c>
      <c r="AQ188">
        <f t="shared" si="58"/>
        <v>48</v>
      </c>
      <c r="AR188">
        <f t="shared" si="59"/>
        <v>4.8000000000000007</v>
      </c>
      <c r="AS188">
        <f t="shared" si="60"/>
        <v>1.5</v>
      </c>
      <c r="AT188">
        <f t="shared" si="61"/>
        <v>2</v>
      </c>
      <c r="AU188">
        <f t="shared" si="62"/>
        <v>6</v>
      </c>
      <c r="AV188">
        <f t="shared" si="72"/>
        <v>6013</v>
      </c>
      <c r="AW188" s="1">
        <v>1</v>
      </c>
      <c r="AX188">
        <v>3</v>
      </c>
      <c r="AY188">
        <v>0</v>
      </c>
      <c r="CE188" t="str">
        <f t="shared" si="70"/>
        <v>DATA_Class_Base21</v>
      </c>
      <c r="CF188" s="6" t="s">
        <v>342</v>
      </c>
    </row>
    <row r="189" spans="1:84">
      <c r="A189">
        <f t="shared" si="64"/>
        <v>3074501</v>
      </c>
      <c r="B189" s="6" t="s">
        <v>332</v>
      </c>
      <c r="C189">
        <v>7</v>
      </c>
      <c r="D189">
        <v>5</v>
      </c>
      <c r="E189">
        <v>4</v>
      </c>
      <c r="F189" s="3" t="s">
        <v>1598</v>
      </c>
      <c r="G189" s="3" t="s">
        <v>1598</v>
      </c>
      <c r="H189">
        <v>0</v>
      </c>
      <c r="I189">
        <v>0</v>
      </c>
      <c r="J189">
        <v>0</v>
      </c>
      <c r="K189" s="2" t="s">
        <v>334</v>
      </c>
      <c r="L189" s="2">
        <f t="shared" si="65"/>
        <v>6</v>
      </c>
      <c r="M189" s="2">
        <f t="shared" si="63"/>
        <v>1.6</v>
      </c>
      <c r="N189" s="2">
        <f t="shared" si="63"/>
        <v>2</v>
      </c>
      <c r="O189" s="2">
        <v>10</v>
      </c>
      <c r="P189" s="2">
        <f t="shared" si="73"/>
        <v>221.87</v>
      </c>
      <c r="Q189" s="2">
        <f t="shared" si="73"/>
        <v>22.19</v>
      </c>
      <c r="R189" s="2">
        <f t="shared" si="73"/>
        <v>1476.92</v>
      </c>
      <c r="S189" s="2">
        <f t="shared" si="71"/>
        <v>147.69</v>
      </c>
      <c r="T189" s="2">
        <f t="shared" si="71"/>
        <v>24.65</v>
      </c>
      <c r="U189" s="2">
        <f t="shared" si="71"/>
        <v>2.4700000000000002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345012</v>
      </c>
      <c r="AB189" s="14" t="s">
        <v>443</v>
      </c>
      <c r="AC189" s="15" t="s">
        <v>889</v>
      </c>
      <c r="AD189">
        <v>3084501</v>
      </c>
      <c r="AE189" s="2">
        <v>0</v>
      </c>
      <c r="AF189" s="2">
        <v>1</v>
      </c>
      <c r="AG189" s="2">
        <f t="shared" si="74"/>
        <v>3064501</v>
      </c>
      <c r="AH189" s="2">
        <v>1</v>
      </c>
      <c r="AI189" s="2"/>
      <c r="AJ189">
        <v>1</v>
      </c>
      <c r="AK189" s="1">
        <f t="shared" si="57"/>
        <v>78.485177090805962</v>
      </c>
      <c r="AL189">
        <v>7</v>
      </c>
      <c r="AM189">
        <f t="shared" si="66"/>
        <v>221.86666666666667</v>
      </c>
      <c r="AN189">
        <f t="shared" si="67"/>
        <v>22.186666666666667</v>
      </c>
      <c r="AO189">
        <f t="shared" si="68"/>
        <v>1476.9230769230767</v>
      </c>
      <c r="AP189">
        <f t="shared" si="69"/>
        <v>147.69230769230768</v>
      </c>
      <c r="AQ189">
        <f t="shared" si="58"/>
        <v>24.651851851851852</v>
      </c>
      <c r="AR189">
        <f t="shared" si="59"/>
        <v>2.4651851851851854</v>
      </c>
      <c r="AS189">
        <f t="shared" si="60"/>
        <v>1.6</v>
      </c>
      <c r="AT189">
        <f t="shared" si="61"/>
        <v>2</v>
      </c>
      <c r="AU189">
        <f t="shared" si="62"/>
        <v>6</v>
      </c>
      <c r="AV189">
        <f t="shared" si="72"/>
        <v>5014</v>
      </c>
      <c r="AW189" s="1">
        <v>1</v>
      </c>
      <c r="AX189">
        <v>3</v>
      </c>
      <c r="AY189">
        <v>0</v>
      </c>
      <c r="CE189" t="str">
        <f t="shared" si="70"/>
        <v>DATA_Class_Base22</v>
      </c>
      <c r="CF189" s="6" t="s">
        <v>349</v>
      </c>
    </row>
    <row r="190" spans="1:84">
      <c r="A190">
        <f t="shared" si="64"/>
        <v>3074600</v>
      </c>
      <c r="B190" s="6" t="s">
        <v>337</v>
      </c>
      <c r="C190">
        <v>7</v>
      </c>
      <c r="D190">
        <v>6</v>
      </c>
      <c r="E190">
        <v>4</v>
      </c>
      <c r="F190" s="3" t="s">
        <v>1599</v>
      </c>
      <c r="G190" s="3" t="s">
        <v>1599</v>
      </c>
      <c r="H190">
        <v>0</v>
      </c>
      <c r="I190">
        <v>0</v>
      </c>
      <c r="J190" s="2">
        <v>0</v>
      </c>
      <c r="K190" s="2" t="s">
        <v>339</v>
      </c>
      <c r="L190" s="2">
        <f t="shared" si="65"/>
        <v>3</v>
      </c>
      <c r="M190" s="2">
        <f t="shared" si="63"/>
        <v>1.4000000000000001</v>
      </c>
      <c r="N190" s="2">
        <f t="shared" si="63"/>
        <v>1.9000000000000001</v>
      </c>
      <c r="O190" s="2">
        <v>10</v>
      </c>
      <c r="P190" s="2">
        <f t="shared" si="73"/>
        <v>164.27</v>
      </c>
      <c r="Q190" s="2">
        <f t="shared" si="73"/>
        <v>16.43</v>
      </c>
      <c r="R190" s="2">
        <f t="shared" si="73"/>
        <v>1745.45</v>
      </c>
      <c r="S190" s="2">
        <f t="shared" si="71"/>
        <v>174.55</v>
      </c>
      <c r="T190" s="2">
        <f t="shared" si="71"/>
        <v>41.07</v>
      </c>
      <c r="U190" s="2">
        <f t="shared" si="71"/>
        <v>4.1100000000000003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346002</v>
      </c>
      <c r="AB190" s="14" t="s">
        <v>444</v>
      </c>
      <c r="AC190" s="15" t="s">
        <v>889</v>
      </c>
      <c r="AD190">
        <v>3084600</v>
      </c>
      <c r="AE190" s="2">
        <v>0</v>
      </c>
      <c r="AF190" s="2">
        <v>1</v>
      </c>
      <c r="AG190" s="2">
        <f t="shared" si="74"/>
        <v>3064600</v>
      </c>
      <c r="AH190" s="2">
        <v>1</v>
      </c>
      <c r="AI190" s="2"/>
      <c r="AJ190">
        <v>1</v>
      </c>
      <c r="AK190" s="1">
        <f t="shared" si="57"/>
        <v>78.771191457757027</v>
      </c>
      <c r="AL190">
        <v>7</v>
      </c>
      <c r="AM190">
        <f t="shared" si="66"/>
        <v>164.26666666666665</v>
      </c>
      <c r="AN190">
        <f t="shared" si="67"/>
        <v>16.426666666666666</v>
      </c>
      <c r="AO190">
        <f t="shared" si="68"/>
        <v>1745.4545454545455</v>
      </c>
      <c r="AP190">
        <f t="shared" si="69"/>
        <v>174.54545454545456</v>
      </c>
      <c r="AQ190">
        <f t="shared" si="58"/>
        <v>41.066666666666663</v>
      </c>
      <c r="AR190">
        <f t="shared" si="59"/>
        <v>4.1066666666666665</v>
      </c>
      <c r="AS190">
        <f t="shared" si="60"/>
        <v>1.4</v>
      </c>
      <c r="AT190">
        <f t="shared" si="61"/>
        <v>1.9</v>
      </c>
      <c r="AU190">
        <f t="shared" si="62"/>
        <v>3</v>
      </c>
      <c r="AV190">
        <f t="shared" si="72"/>
        <v>6004</v>
      </c>
      <c r="AW190" s="1">
        <v>0</v>
      </c>
      <c r="AX190">
        <v>3</v>
      </c>
      <c r="AY190">
        <v>0</v>
      </c>
      <c r="CE190" t="str">
        <f t="shared" si="70"/>
        <v>DATA_Class_Base23</v>
      </c>
      <c r="CF190" s="6" t="s">
        <v>355</v>
      </c>
    </row>
    <row r="191" spans="1:84">
      <c r="A191">
        <f t="shared" si="64"/>
        <v>3074602</v>
      </c>
      <c r="B191" s="6" t="s">
        <v>343</v>
      </c>
      <c r="C191">
        <v>7</v>
      </c>
      <c r="D191">
        <v>6</v>
      </c>
      <c r="E191">
        <v>4</v>
      </c>
      <c r="F191" s="3" t="s">
        <v>1600</v>
      </c>
      <c r="G191" s="3" t="s">
        <v>1600</v>
      </c>
      <c r="H191">
        <v>0</v>
      </c>
      <c r="I191">
        <v>0</v>
      </c>
      <c r="J191" t="s">
        <v>345</v>
      </c>
      <c r="K191" s="2" t="s">
        <v>346</v>
      </c>
      <c r="L191" s="2">
        <f t="shared" si="65"/>
        <v>6</v>
      </c>
      <c r="M191" s="2">
        <f t="shared" si="63"/>
        <v>1.8</v>
      </c>
      <c r="N191" s="2">
        <f t="shared" si="63"/>
        <v>2</v>
      </c>
      <c r="O191" s="2">
        <v>10</v>
      </c>
      <c r="P191" s="2">
        <f t="shared" si="73"/>
        <v>192</v>
      </c>
      <c r="Q191" s="2">
        <f t="shared" si="73"/>
        <v>19.2</v>
      </c>
      <c r="R191" s="2">
        <f t="shared" si="73"/>
        <v>1920</v>
      </c>
      <c r="S191" s="2">
        <f t="shared" si="71"/>
        <v>192</v>
      </c>
      <c r="T191" s="2">
        <f t="shared" si="71"/>
        <v>38.4</v>
      </c>
      <c r="U191" s="2">
        <f t="shared" si="71"/>
        <v>3.84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346022</v>
      </c>
      <c r="AB191" s="14" t="s">
        <v>445</v>
      </c>
      <c r="AC191" s="15" t="s">
        <v>889</v>
      </c>
      <c r="AD191">
        <v>3084602</v>
      </c>
      <c r="AE191" s="2">
        <v>0</v>
      </c>
      <c r="AF191" s="2">
        <v>1</v>
      </c>
      <c r="AG191" s="2">
        <f t="shared" si="74"/>
        <v>3064602</v>
      </c>
      <c r="AH191" s="2">
        <v>1</v>
      </c>
      <c r="AI191" s="2"/>
      <c r="AJ191">
        <v>1</v>
      </c>
      <c r="AK191" s="1">
        <f t="shared" si="57"/>
        <v>78.724585296585559</v>
      </c>
      <c r="AL191">
        <v>7</v>
      </c>
      <c r="AM191">
        <f t="shared" si="66"/>
        <v>192</v>
      </c>
      <c r="AN191">
        <f t="shared" si="67"/>
        <v>19.200000000000003</v>
      </c>
      <c r="AO191">
        <f t="shared" si="68"/>
        <v>1920</v>
      </c>
      <c r="AP191">
        <f t="shared" si="69"/>
        <v>192</v>
      </c>
      <c r="AQ191">
        <f t="shared" si="58"/>
        <v>38.4</v>
      </c>
      <c r="AR191">
        <f t="shared" si="59"/>
        <v>3.84</v>
      </c>
      <c r="AS191">
        <f t="shared" si="60"/>
        <v>1.8</v>
      </c>
      <c r="AT191">
        <f t="shared" si="61"/>
        <v>2</v>
      </c>
      <c r="AU191">
        <f t="shared" si="62"/>
        <v>6</v>
      </c>
      <c r="AV191">
        <f t="shared" si="72"/>
        <v>6024</v>
      </c>
      <c r="AW191" s="1">
        <v>2</v>
      </c>
      <c r="AX191">
        <v>3</v>
      </c>
      <c r="AY191">
        <v>0</v>
      </c>
      <c r="CE191" t="str">
        <f t="shared" si="70"/>
        <v>DATA_Class_Base24</v>
      </c>
      <c r="CF191" s="6" t="s">
        <v>361</v>
      </c>
    </row>
    <row r="192" spans="1:84">
      <c r="A192">
        <f t="shared" si="64"/>
        <v>3075300</v>
      </c>
      <c r="B192" s="6" t="s">
        <v>350</v>
      </c>
      <c r="C192">
        <v>7</v>
      </c>
      <c r="D192">
        <v>3</v>
      </c>
      <c r="E192">
        <v>5</v>
      </c>
      <c r="F192" s="3" t="s">
        <v>1601</v>
      </c>
      <c r="G192" s="3" t="s">
        <v>1601</v>
      </c>
      <c r="H192">
        <v>0</v>
      </c>
      <c r="I192">
        <v>0</v>
      </c>
      <c r="J192" s="2">
        <v>0</v>
      </c>
      <c r="K192" s="2" t="s">
        <v>352</v>
      </c>
      <c r="L192" s="2">
        <f t="shared" si="65"/>
        <v>6</v>
      </c>
      <c r="M192" s="2">
        <f t="shared" si="63"/>
        <v>1.3</v>
      </c>
      <c r="N192" s="2">
        <f t="shared" si="63"/>
        <v>2</v>
      </c>
      <c r="O192" s="2">
        <v>10</v>
      </c>
      <c r="P192" s="2">
        <f t="shared" si="73"/>
        <v>159.47</v>
      </c>
      <c r="Q192" s="2">
        <f t="shared" si="73"/>
        <v>15.95</v>
      </c>
      <c r="R192" s="2">
        <f t="shared" si="73"/>
        <v>1669.57</v>
      </c>
      <c r="S192" s="2">
        <f t="shared" si="71"/>
        <v>166.96</v>
      </c>
      <c r="T192" s="2">
        <f t="shared" si="71"/>
        <v>19.93</v>
      </c>
      <c r="U192" s="2">
        <f t="shared" si="71"/>
        <v>1.99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353002</v>
      </c>
      <c r="AB192" s="14" t="s">
        <v>446</v>
      </c>
      <c r="AC192" s="15" t="s">
        <v>889</v>
      </c>
      <c r="AD192">
        <v>3085300</v>
      </c>
      <c r="AE192" s="2">
        <v>0</v>
      </c>
      <c r="AF192" s="2">
        <v>1</v>
      </c>
      <c r="AG192" s="2">
        <f t="shared" si="74"/>
        <v>3065300</v>
      </c>
      <c r="AH192" s="2">
        <v>1</v>
      </c>
      <c r="AI192" s="2"/>
      <c r="AJ192">
        <v>1</v>
      </c>
      <c r="AK192" s="1">
        <f t="shared" si="57"/>
        <v>78.403344801402412</v>
      </c>
      <c r="AL192">
        <v>7</v>
      </c>
      <c r="AM192">
        <f t="shared" si="66"/>
        <v>159.46666666666664</v>
      </c>
      <c r="AN192">
        <f t="shared" si="67"/>
        <v>15.946666666666665</v>
      </c>
      <c r="AO192">
        <f t="shared" si="68"/>
        <v>1669.5652173913045</v>
      </c>
      <c r="AP192">
        <f t="shared" si="69"/>
        <v>166.95652173913047</v>
      </c>
      <c r="AQ192">
        <f t="shared" si="58"/>
        <v>19.93333333333333</v>
      </c>
      <c r="AR192">
        <f t="shared" si="59"/>
        <v>1.9933333333333332</v>
      </c>
      <c r="AS192">
        <f t="shared" si="60"/>
        <v>1.3</v>
      </c>
      <c r="AT192">
        <f t="shared" si="61"/>
        <v>2</v>
      </c>
      <c r="AU192">
        <f t="shared" si="62"/>
        <v>6</v>
      </c>
      <c r="AV192">
        <f t="shared" si="72"/>
        <v>3005</v>
      </c>
      <c r="AW192" s="1">
        <v>0</v>
      </c>
      <c r="AX192">
        <v>3</v>
      </c>
      <c r="AY192">
        <v>0</v>
      </c>
      <c r="CE192" t="str">
        <f t="shared" si="70"/>
        <v>DATA_Class_Base25</v>
      </c>
      <c r="CF192" s="6" t="s">
        <v>366</v>
      </c>
    </row>
    <row r="193" spans="1:84">
      <c r="A193">
        <f t="shared" si="64"/>
        <v>3075302</v>
      </c>
      <c r="B193" s="6" t="s">
        <v>356</v>
      </c>
      <c r="C193">
        <v>7</v>
      </c>
      <c r="D193">
        <v>3</v>
      </c>
      <c r="E193">
        <v>5</v>
      </c>
      <c r="F193" s="3" t="s">
        <v>1602</v>
      </c>
      <c r="G193" s="3" t="s">
        <v>1602</v>
      </c>
      <c r="H193">
        <v>0</v>
      </c>
      <c r="I193">
        <v>0</v>
      </c>
      <c r="J193" s="2">
        <v>0</v>
      </c>
      <c r="K193" s="2" t="s">
        <v>358</v>
      </c>
      <c r="L193" s="2">
        <f t="shared" si="65"/>
        <v>3</v>
      </c>
      <c r="M193" s="2">
        <f t="shared" si="63"/>
        <v>1.4000000000000001</v>
      </c>
      <c r="N193" s="2">
        <f t="shared" si="63"/>
        <v>2</v>
      </c>
      <c r="O193" s="2">
        <v>10</v>
      </c>
      <c r="P193" s="2">
        <f t="shared" si="73"/>
        <v>179.2</v>
      </c>
      <c r="Q193" s="2">
        <f t="shared" si="73"/>
        <v>17.920000000000002</v>
      </c>
      <c r="R193" s="2">
        <f t="shared" si="73"/>
        <v>1600</v>
      </c>
      <c r="S193" s="2">
        <f t="shared" si="71"/>
        <v>160</v>
      </c>
      <c r="T193" s="2">
        <f t="shared" si="71"/>
        <v>25.6</v>
      </c>
      <c r="U193" s="2">
        <f t="shared" si="71"/>
        <v>2.56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353022</v>
      </c>
      <c r="AB193" s="14" t="s">
        <v>447</v>
      </c>
      <c r="AC193" s="15" t="s">
        <v>889</v>
      </c>
      <c r="AD193">
        <v>3085302</v>
      </c>
      <c r="AE193" s="2">
        <v>0</v>
      </c>
      <c r="AF193" s="2">
        <v>1</v>
      </c>
      <c r="AG193" s="2">
        <f t="shared" si="74"/>
        <v>3065302</v>
      </c>
      <c r="AH193" s="2">
        <v>1</v>
      </c>
      <c r="AI193" s="2"/>
      <c r="AJ193">
        <v>1</v>
      </c>
      <c r="AK193" s="1">
        <f t="shared" si="57"/>
        <v>78.501641243483306</v>
      </c>
      <c r="AL193">
        <v>7</v>
      </c>
      <c r="AM193">
        <f t="shared" si="66"/>
        <v>179.2</v>
      </c>
      <c r="AN193">
        <f t="shared" si="67"/>
        <v>17.919999999999998</v>
      </c>
      <c r="AO193">
        <f t="shared" si="68"/>
        <v>1600</v>
      </c>
      <c r="AP193">
        <f t="shared" si="69"/>
        <v>160</v>
      </c>
      <c r="AQ193">
        <f t="shared" si="58"/>
        <v>25.599999999999998</v>
      </c>
      <c r="AR193">
        <f t="shared" si="59"/>
        <v>2.56</v>
      </c>
      <c r="AS193">
        <f t="shared" si="60"/>
        <v>1.4</v>
      </c>
      <c r="AT193">
        <f t="shared" si="61"/>
        <v>2</v>
      </c>
      <c r="AU193">
        <f t="shared" si="62"/>
        <v>3</v>
      </c>
      <c r="AV193">
        <f t="shared" si="72"/>
        <v>3025</v>
      </c>
      <c r="AW193" s="1">
        <v>2</v>
      </c>
      <c r="AX193">
        <v>3</v>
      </c>
      <c r="AY193">
        <v>0</v>
      </c>
      <c r="CE193" t="str">
        <f t="shared" si="70"/>
        <v>DATA_Class_Base26</v>
      </c>
      <c r="CF193" s="6" t="s">
        <v>369</v>
      </c>
    </row>
    <row r="194" spans="1:84">
      <c r="A194">
        <f t="shared" si="64"/>
        <v>3075400</v>
      </c>
      <c r="B194" s="6" t="s">
        <v>362</v>
      </c>
      <c r="C194">
        <v>7</v>
      </c>
      <c r="D194">
        <v>4</v>
      </c>
      <c r="E194">
        <v>5</v>
      </c>
      <c r="F194" s="3" t="s">
        <v>1603</v>
      </c>
      <c r="G194" s="3" t="s">
        <v>1603</v>
      </c>
      <c r="H194">
        <v>0</v>
      </c>
      <c r="I194">
        <v>0</v>
      </c>
      <c r="J194">
        <v>0</v>
      </c>
      <c r="K194" s="2" t="s">
        <v>364</v>
      </c>
      <c r="L194" s="2">
        <f t="shared" si="65"/>
        <v>6</v>
      </c>
      <c r="M194" s="2">
        <f t="shared" si="63"/>
        <v>1.4000000000000001</v>
      </c>
      <c r="N194" s="2">
        <f t="shared" si="63"/>
        <v>2</v>
      </c>
      <c r="O194" s="2">
        <v>10</v>
      </c>
      <c r="P194" s="2">
        <f t="shared" si="73"/>
        <v>186.67</v>
      </c>
      <c r="Q194" s="2">
        <f t="shared" si="73"/>
        <v>18.670000000000002</v>
      </c>
      <c r="R194" s="2">
        <f t="shared" si="73"/>
        <v>1536</v>
      </c>
      <c r="S194" s="2">
        <f t="shared" si="71"/>
        <v>153.6</v>
      </c>
      <c r="T194" s="2">
        <f t="shared" si="71"/>
        <v>31.11</v>
      </c>
      <c r="U194" s="2">
        <f t="shared" si="71"/>
        <v>3.11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354002</v>
      </c>
      <c r="AB194" s="14" t="s">
        <v>448</v>
      </c>
      <c r="AC194" s="15" t="s">
        <v>889</v>
      </c>
      <c r="AD194">
        <v>3085400</v>
      </c>
      <c r="AE194" s="2">
        <v>0</v>
      </c>
      <c r="AF194" s="2">
        <v>1</v>
      </c>
      <c r="AG194" s="2">
        <f t="shared" si="74"/>
        <v>3065400</v>
      </c>
      <c r="AH194" s="2">
        <v>1</v>
      </c>
      <c r="AI194" s="2"/>
      <c r="AJ194">
        <v>1</v>
      </c>
      <c r="AK194" s="1">
        <f t="shared" si="57"/>
        <v>78.597476058354985</v>
      </c>
      <c r="AL194">
        <v>7</v>
      </c>
      <c r="AM194">
        <f t="shared" si="66"/>
        <v>186.66666666666669</v>
      </c>
      <c r="AN194">
        <f t="shared" si="67"/>
        <v>18.666666666666668</v>
      </c>
      <c r="AO194">
        <f t="shared" si="68"/>
        <v>1536</v>
      </c>
      <c r="AP194">
        <f t="shared" si="69"/>
        <v>153.60000000000002</v>
      </c>
      <c r="AQ194">
        <f t="shared" si="58"/>
        <v>31.111111111111114</v>
      </c>
      <c r="AR194">
        <f t="shared" si="59"/>
        <v>3.1111111111111116</v>
      </c>
      <c r="AS194">
        <f t="shared" si="60"/>
        <v>1.4</v>
      </c>
      <c r="AT194">
        <f t="shared" si="61"/>
        <v>2</v>
      </c>
      <c r="AU194">
        <f t="shared" si="62"/>
        <v>6</v>
      </c>
      <c r="AV194">
        <f t="shared" si="72"/>
        <v>4005</v>
      </c>
      <c r="AW194" s="1">
        <v>0</v>
      </c>
      <c r="AX194">
        <v>3</v>
      </c>
      <c r="AY194">
        <v>0</v>
      </c>
      <c r="CB194" s="13"/>
      <c r="CC194" s="13"/>
      <c r="CE194" t="str">
        <f t="shared" si="70"/>
        <v>DATA_Class_Base27</v>
      </c>
      <c r="CF194" s="6" t="s">
        <v>371</v>
      </c>
    </row>
    <row r="195" spans="1:84">
      <c r="A195">
        <f t="shared" si="64"/>
        <v>3081200</v>
      </c>
      <c r="B195" s="6" t="s">
        <v>294</v>
      </c>
      <c r="C195">
        <v>8</v>
      </c>
      <c r="D195">
        <v>2</v>
      </c>
      <c r="E195">
        <v>1</v>
      </c>
      <c r="F195" s="3" t="s">
        <v>1571</v>
      </c>
      <c r="G195" s="3" t="s">
        <v>1571</v>
      </c>
      <c r="H195" s="3">
        <v>0</v>
      </c>
      <c r="I195">
        <v>55</v>
      </c>
      <c r="J195" s="2">
        <v>0</v>
      </c>
      <c r="K195" s="2" t="s">
        <v>314</v>
      </c>
      <c r="L195" s="2">
        <f t="shared" si="65"/>
        <v>3</v>
      </c>
      <c r="M195" s="2">
        <f t="shared" si="63"/>
        <v>1.5</v>
      </c>
      <c r="N195" s="2">
        <f t="shared" si="63"/>
        <v>1.2</v>
      </c>
      <c r="O195" s="2">
        <v>10</v>
      </c>
      <c r="P195" s="2">
        <f t="shared" si="73"/>
        <v>140.80000000000001</v>
      </c>
      <c r="Q195" s="2">
        <f t="shared" si="73"/>
        <v>14.08</v>
      </c>
      <c r="R195" s="2">
        <f t="shared" si="73"/>
        <v>2640</v>
      </c>
      <c r="S195" s="2">
        <f t="shared" si="71"/>
        <v>264</v>
      </c>
      <c r="T195" s="2">
        <f t="shared" si="71"/>
        <v>46.93</v>
      </c>
      <c r="U195" s="2">
        <f t="shared" si="71"/>
        <v>4.6900000000000004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312002</v>
      </c>
      <c r="AB195" s="14" t="s">
        <v>1622</v>
      </c>
      <c r="AC195" s="15" t="s">
        <v>889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/>
      <c r="AJ195">
        <v>1</v>
      </c>
      <c r="AK195" s="1">
        <f t="shared" si="57"/>
        <v>95.43744260740236</v>
      </c>
      <c r="AL195">
        <v>8</v>
      </c>
      <c r="AM195">
        <f t="shared" si="66"/>
        <v>140.80000000000004</v>
      </c>
      <c r="AN195">
        <f t="shared" si="67"/>
        <v>14.080000000000005</v>
      </c>
      <c r="AO195">
        <f t="shared" si="68"/>
        <v>2640</v>
      </c>
      <c r="AP195">
        <f t="shared" si="69"/>
        <v>264</v>
      </c>
      <c r="AQ195">
        <f t="shared" si="58"/>
        <v>46.933333333333344</v>
      </c>
      <c r="AR195">
        <f t="shared" si="59"/>
        <v>4.6933333333333342</v>
      </c>
      <c r="AS195">
        <f t="shared" si="60"/>
        <v>1.5</v>
      </c>
      <c r="AT195">
        <f t="shared" si="61"/>
        <v>1.2</v>
      </c>
      <c r="AU195">
        <f t="shared" si="62"/>
        <v>3</v>
      </c>
      <c r="AV195">
        <f t="shared" si="72"/>
        <v>2001</v>
      </c>
      <c r="AW195" s="1">
        <v>0</v>
      </c>
      <c r="AX195">
        <v>3</v>
      </c>
      <c r="AY195">
        <v>0</v>
      </c>
      <c r="BX195" t="str">
        <f>BY195&amp;","&amp;BZ195</f>
        <v>1312002,2312001</v>
      </c>
      <c r="BY195">
        <v>1312002</v>
      </c>
      <c r="BZ195">
        <v>2312001</v>
      </c>
      <c r="CB195" s="13"/>
      <c r="CC195" s="13"/>
      <c r="CE195" t="str">
        <f t="shared" si="70"/>
        <v>DATA_Class_Base13</v>
      </c>
      <c r="CF195" s="6" t="s">
        <v>295</v>
      </c>
    </row>
    <row r="196" spans="1:84">
      <c r="A196">
        <f t="shared" si="64"/>
        <v>3081201</v>
      </c>
      <c r="B196" s="6" t="s">
        <v>296</v>
      </c>
      <c r="C196">
        <v>8</v>
      </c>
      <c r="D196">
        <v>2</v>
      </c>
      <c r="E196">
        <v>1</v>
      </c>
      <c r="F196" s="3" t="s">
        <v>1572</v>
      </c>
      <c r="G196" s="3" t="s">
        <v>1572</v>
      </c>
      <c r="H196" s="3">
        <v>0</v>
      </c>
      <c r="I196">
        <v>40</v>
      </c>
      <c r="J196" s="2">
        <v>0</v>
      </c>
      <c r="K196" s="8" t="s">
        <v>298</v>
      </c>
      <c r="L196" s="2">
        <f t="shared" si="65"/>
        <v>3</v>
      </c>
      <c r="M196" s="2">
        <f t="shared" si="63"/>
        <v>1.8</v>
      </c>
      <c r="N196" s="2">
        <f t="shared" si="63"/>
        <v>1.8</v>
      </c>
      <c r="O196" s="2">
        <v>10</v>
      </c>
      <c r="P196" s="2">
        <f t="shared" si="73"/>
        <v>105.6</v>
      </c>
      <c r="Q196" s="2">
        <f t="shared" si="73"/>
        <v>10.56</v>
      </c>
      <c r="R196" s="2">
        <f t="shared" si="73"/>
        <v>4224</v>
      </c>
      <c r="S196" s="2">
        <f t="shared" si="71"/>
        <v>422.4</v>
      </c>
      <c r="T196" s="2">
        <f t="shared" si="71"/>
        <v>52.8</v>
      </c>
      <c r="U196" s="2">
        <f t="shared" si="71"/>
        <v>5.28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312012</v>
      </c>
      <c r="AB196" s="14" t="s">
        <v>1623</v>
      </c>
      <c r="AC196" s="15" t="s">
        <v>889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/>
      <c r="AJ196">
        <v>1</v>
      </c>
      <c r="AK196" s="1">
        <f t="shared" ref="AK196:AK259" si="75">(AO196+AP196*AJ196)*(AM196+AN196*AJ196)/AS196*(0.9)*(1+0.5*0.1)*1/1/(1-(AQ196+AR196*AJ196)*0.0002)/3000</f>
        <v>95.562068184025648</v>
      </c>
      <c r="AL196">
        <v>8</v>
      </c>
      <c r="AM196">
        <f t="shared" si="66"/>
        <v>105.60000000000001</v>
      </c>
      <c r="AN196">
        <f t="shared" si="67"/>
        <v>10.560000000000002</v>
      </c>
      <c r="AO196">
        <f t="shared" si="68"/>
        <v>4224</v>
      </c>
      <c r="AP196">
        <f t="shared" si="69"/>
        <v>422.40000000000003</v>
      </c>
      <c r="AQ196">
        <f t="shared" ref="AQ196:AQ259" si="76">$AM196/INDEX($BD$5:$BD$58,MATCH($AV196,$AZ$5:$AZ$58,0))</f>
        <v>52.800000000000004</v>
      </c>
      <c r="AR196">
        <f t="shared" ref="AR196:AR259" si="77">AQ196*0.1</f>
        <v>5.2800000000000011</v>
      </c>
      <c r="AS196">
        <f t="shared" ref="AS196:AS259" si="78">INDEX($BE$5:$BE$58,MATCH($AV196,$AZ$5:$AZ$58,0))</f>
        <v>1.8</v>
      </c>
      <c r="AT196">
        <f t="shared" ref="AT196:AT259" si="79">ROUND(IF(INDEX($BM$5:$BM$58,MATCH($AV196,$AZ$5:$AZ$58,0))&lt;2,INDEX($BM$5:$BM$58,MATCH($AV196,$AZ$5:$AZ$58,0))+0.2,2),1)</f>
        <v>1.8</v>
      </c>
      <c r="AU196">
        <f t="shared" ref="AU196:AU259" si="80">INDEX($BI$5:$BI$58,MATCH($AV196,$AZ$5:$AZ$58,0))</f>
        <v>3</v>
      </c>
      <c r="AV196">
        <f t="shared" si="72"/>
        <v>2011</v>
      </c>
      <c r="AW196" s="1">
        <v>1</v>
      </c>
      <c r="AX196">
        <v>3</v>
      </c>
      <c r="AY196">
        <v>0</v>
      </c>
      <c r="BX196" t="str">
        <f t="shared" ref="BX196:BX227" si="81">BY196&amp;","&amp;BZ196</f>
        <v>1312012,2312011</v>
      </c>
      <c r="BY196">
        <v>1312012</v>
      </c>
      <c r="BZ196">
        <v>2312011</v>
      </c>
      <c r="CB196" s="13"/>
      <c r="CC196" s="13"/>
      <c r="CE196" t="str">
        <f t="shared" si="70"/>
        <v>DATA_Class_Base14</v>
      </c>
      <c r="CF196" s="6" t="s">
        <v>300</v>
      </c>
    </row>
    <row r="197" spans="1:84">
      <c r="A197">
        <f t="shared" si="64"/>
        <v>3081202</v>
      </c>
      <c r="B197" s="6" t="s">
        <v>278</v>
      </c>
      <c r="C197">
        <v>8</v>
      </c>
      <c r="D197">
        <v>2</v>
      </c>
      <c r="E197">
        <v>1</v>
      </c>
      <c r="F197" s="3" t="s">
        <v>1573</v>
      </c>
      <c r="G197" s="3" t="s">
        <v>1573</v>
      </c>
      <c r="H197" s="3">
        <v>0</v>
      </c>
      <c r="I197">
        <v>45</v>
      </c>
      <c r="J197">
        <v>0</v>
      </c>
      <c r="K197" s="2" t="s">
        <v>280</v>
      </c>
      <c r="L197" s="2">
        <f t="shared" si="65"/>
        <v>3</v>
      </c>
      <c r="M197" s="2">
        <f t="shared" si="63"/>
        <v>1.8</v>
      </c>
      <c r="N197" s="2">
        <f t="shared" si="63"/>
        <v>2</v>
      </c>
      <c r="O197" s="2">
        <v>10</v>
      </c>
      <c r="P197" s="2">
        <f t="shared" si="73"/>
        <v>168.96</v>
      </c>
      <c r="Q197" s="2">
        <f t="shared" si="73"/>
        <v>16.899999999999999</v>
      </c>
      <c r="R197" s="2">
        <f t="shared" si="73"/>
        <v>2640</v>
      </c>
      <c r="S197" s="2">
        <f t="shared" si="71"/>
        <v>264</v>
      </c>
      <c r="T197" s="2">
        <f t="shared" si="71"/>
        <v>42.24</v>
      </c>
      <c r="U197" s="2">
        <f t="shared" si="71"/>
        <v>4.22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312022</v>
      </c>
      <c r="AB197" s="14" t="s">
        <v>449</v>
      </c>
      <c r="AC197" s="15" t="s">
        <v>889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/>
      <c r="AJ197">
        <v>1</v>
      </c>
      <c r="AK197" s="1">
        <f t="shared" si="75"/>
        <v>95.337975942841652</v>
      </c>
      <c r="AL197">
        <v>8</v>
      </c>
      <c r="AM197">
        <f t="shared" si="66"/>
        <v>168.96000000000004</v>
      </c>
      <c r="AN197">
        <f t="shared" si="67"/>
        <v>16.896000000000004</v>
      </c>
      <c r="AO197">
        <f t="shared" si="68"/>
        <v>2640</v>
      </c>
      <c r="AP197">
        <f t="shared" si="69"/>
        <v>264</v>
      </c>
      <c r="AQ197">
        <f t="shared" si="76"/>
        <v>42.240000000000009</v>
      </c>
      <c r="AR197">
        <f t="shared" si="77"/>
        <v>4.2240000000000011</v>
      </c>
      <c r="AS197">
        <f t="shared" si="78"/>
        <v>1.8</v>
      </c>
      <c r="AT197">
        <f t="shared" si="79"/>
        <v>2</v>
      </c>
      <c r="AU197">
        <f t="shared" si="80"/>
        <v>3</v>
      </c>
      <c r="AV197">
        <f t="shared" si="72"/>
        <v>2021</v>
      </c>
      <c r="AW197" s="1">
        <v>2</v>
      </c>
      <c r="AX197">
        <v>3</v>
      </c>
      <c r="AY197">
        <v>0</v>
      </c>
      <c r="BX197" t="str">
        <f t="shared" si="81"/>
        <v>1312022,2312021</v>
      </c>
      <c r="BY197">
        <v>1312022</v>
      </c>
      <c r="BZ197">
        <v>2312021</v>
      </c>
      <c r="CB197" s="13"/>
      <c r="CC197" s="13"/>
      <c r="CE197" t="str">
        <f t="shared" si="70"/>
        <v>DATA_Class_Base15</v>
      </c>
      <c r="CF197" s="6" t="s">
        <v>306</v>
      </c>
    </row>
    <row r="198" spans="1:84">
      <c r="A198">
        <f t="shared" si="64"/>
        <v>3081301</v>
      </c>
      <c r="B198" s="6" t="s">
        <v>283</v>
      </c>
      <c r="C198">
        <v>8</v>
      </c>
      <c r="D198">
        <v>3</v>
      </c>
      <c r="E198">
        <v>1</v>
      </c>
      <c r="F198" s="3" t="s">
        <v>1574</v>
      </c>
      <c r="G198" s="3" t="s">
        <v>1574</v>
      </c>
      <c r="H198" s="3">
        <v>0</v>
      </c>
      <c r="I198">
        <v>55</v>
      </c>
      <c r="J198" s="2">
        <v>0</v>
      </c>
      <c r="K198" s="2" t="s">
        <v>285</v>
      </c>
      <c r="L198" s="2">
        <f t="shared" si="65"/>
        <v>3</v>
      </c>
      <c r="M198" s="2">
        <f t="shared" si="63"/>
        <v>1.2</v>
      </c>
      <c r="N198" s="2">
        <f t="shared" si="63"/>
        <v>2</v>
      </c>
      <c r="O198" s="2">
        <v>10</v>
      </c>
      <c r="P198" s="2">
        <f t="shared" si="73"/>
        <v>154.88</v>
      </c>
      <c r="Q198" s="2">
        <f t="shared" si="73"/>
        <v>15.49</v>
      </c>
      <c r="R198" s="2">
        <f t="shared" si="73"/>
        <v>1920</v>
      </c>
      <c r="S198" s="2">
        <f t="shared" si="71"/>
        <v>192</v>
      </c>
      <c r="T198" s="2">
        <f t="shared" si="71"/>
        <v>25.81</v>
      </c>
      <c r="U198" s="2">
        <f t="shared" si="71"/>
        <v>2.58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313012</v>
      </c>
      <c r="AB198" s="14" t="s">
        <v>450</v>
      </c>
      <c r="AC198" s="15" t="s">
        <v>889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/>
      <c r="AJ198">
        <v>1</v>
      </c>
      <c r="AK198" s="1">
        <f t="shared" si="75"/>
        <v>94.991469422083441</v>
      </c>
      <c r="AL198">
        <v>8</v>
      </c>
      <c r="AM198">
        <f t="shared" si="66"/>
        <v>154.88000000000002</v>
      </c>
      <c r="AN198">
        <f t="shared" si="67"/>
        <v>15.488000000000003</v>
      </c>
      <c r="AO198">
        <f t="shared" si="68"/>
        <v>1920.0000000000002</v>
      </c>
      <c r="AP198">
        <f t="shared" si="69"/>
        <v>192.00000000000003</v>
      </c>
      <c r="AQ198">
        <f t="shared" si="76"/>
        <v>25.813333333333336</v>
      </c>
      <c r="AR198">
        <f t="shared" si="77"/>
        <v>2.5813333333333337</v>
      </c>
      <c r="AS198">
        <f t="shared" si="78"/>
        <v>1.2</v>
      </c>
      <c r="AT198">
        <f t="shared" si="79"/>
        <v>2</v>
      </c>
      <c r="AU198">
        <f t="shared" si="80"/>
        <v>3</v>
      </c>
      <c r="AV198">
        <f t="shared" si="72"/>
        <v>3011</v>
      </c>
      <c r="AW198" s="1">
        <v>1</v>
      </c>
      <c r="AX198">
        <v>3</v>
      </c>
      <c r="AY198">
        <v>0</v>
      </c>
      <c r="BX198" t="str">
        <f t="shared" si="81"/>
        <v>1313012,2313011</v>
      </c>
      <c r="BY198">
        <v>1313012</v>
      </c>
      <c r="BZ198">
        <v>2313011</v>
      </c>
      <c r="CB198" s="13"/>
      <c r="CC198" s="13"/>
      <c r="CE198" t="str">
        <f t="shared" si="70"/>
        <v>DATA_Class_Base16</v>
      </c>
      <c r="CF198" s="6" t="s">
        <v>312</v>
      </c>
    </row>
    <row r="199" spans="1:84">
      <c r="A199">
        <f t="shared" si="64"/>
        <v>3081401</v>
      </c>
      <c r="B199" s="6" t="s">
        <v>317</v>
      </c>
      <c r="C199">
        <v>8</v>
      </c>
      <c r="D199">
        <v>4</v>
      </c>
      <c r="E199">
        <v>1</v>
      </c>
      <c r="F199" s="3" t="s">
        <v>1575</v>
      </c>
      <c r="G199" s="3" t="s">
        <v>1575</v>
      </c>
      <c r="H199" s="3">
        <v>10</v>
      </c>
      <c r="I199">
        <v>45</v>
      </c>
      <c r="J199" s="2">
        <v>0</v>
      </c>
      <c r="K199" s="2" t="s">
        <v>161</v>
      </c>
      <c r="L199" s="2">
        <f t="shared" si="65"/>
        <v>6</v>
      </c>
      <c r="M199" s="2">
        <f t="shared" si="63"/>
        <v>1.6</v>
      </c>
      <c r="N199" s="2">
        <f t="shared" si="63"/>
        <v>2</v>
      </c>
      <c r="O199" s="2">
        <v>10</v>
      </c>
      <c r="P199" s="2">
        <f t="shared" si="73"/>
        <v>206.51</v>
      </c>
      <c r="Q199" s="2">
        <f t="shared" si="73"/>
        <v>20.65</v>
      </c>
      <c r="R199" s="2">
        <f t="shared" si="73"/>
        <v>1920</v>
      </c>
      <c r="S199" s="2">
        <f t="shared" si="71"/>
        <v>192</v>
      </c>
      <c r="T199" s="2">
        <f t="shared" si="71"/>
        <v>41.3</v>
      </c>
      <c r="U199" s="2">
        <f t="shared" si="71"/>
        <v>4.13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314012</v>
      </c>
      <c r="AB199" s="14" t="s">
        <v>1624</v>
      </c>
      <c r="AC199" s="15" t="s">
        <v>889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/>
      <c r="AJ199">
        <v>1</v>
      </c>
      <c r="AK199" s="1">
        <f t="shared" si="75"/>
        <v>95.31810748458318</v>
      </c>
      <c r="AL199">
        <v>8</v>
      </c>
      <c r="AM199">
        <f t="shared" si="66"/>
        <v>206.50666666666672</v>
      </c>
      <c r="AN199">
        <f t="shared" si="67"/>
        <v>20.650666666666673</v>
      </c>
      <c r="AO199">
        <f t="shared" si="68"/>
        <v>1920.0000000000002</v>
      </c>
      <c r="AP199">
        <f t="shared" si="69"/>
        <v>192.00000000000003</v>
      </c>
      <c r="AQ199">
        <f t="shared" si="76"/>
        <v>41.301333333333346</v>
      </c>
      <c r="AR199">
        <f t="shared" si="77"/>
        <v>4.130133333333335</v>
      </c>
      <c r="AS199">
        <f t="shared" si="78"/>
        <v>1.6</v>
      </c>
      <c r="AT199">
        <f t="shared" si="79"/>
        <v>2</v>
      </c>
      <c r="AU199">
        <f t="shared" si="80"/>
        <v>6</v>
      </c>
      <c r="AV199">
        <f t="shared" si="72"/>
        <v>4011</v>
      </c>
      <c r="AW199" s="1">
        <v>1</v>
      </c>
      <c r="AX199">
        <v>3</v>
      </c>
      <c r="AY199">
        <v>0</v>
      </c>
      <c r="BX199" t="str">
        <f t="shared" si="81"/>
        <v>1314012,2314011</v>
      </c>
      <c r="BY199">
        <v>1314012</v>
      </c>
      <c r="BZ199">
        <v>2314011</v>
      </c>
      <c r="CB199" s="13"/>
      <c r="CC199" s="13"/>
      <c r="CE199" t="str">
        <f t="shared" si="70"/>
        <v>DATA_Class_Base17</v>
      </c>
      <c r="CF199" s="6" t="s">
        <v>318</v>
      </c>
    </row>
    <row r="200" spans="1:84">
      <c r="A200">
        <f t="shared" si="64"/>
        <v>3081402</v>
      </c>
      <c r="B200" s="6" t="s">
        <v>323</v>
      </c>
      <c r="C200">
        <v>8</v>
      </c>
      <c r="D200">
        <v>4</v>
      </c>
      <c r="E200">
        <v>1</v>
      </c>
      <c r="F200" s="3" t="s">
        <v>1576</v>
      </c>
      <c r="G200" s="3" t="s">
        <v>1576</v>
      </c>
      <c r="H200" s="3">
        <v>10</v>
      </c>
      <c r="I200">
        <v>50</v>
      </c>
      <c r="J200">
        <v>0</v>
      </c>
      <c r="K200" s="2" t="s">
        <v>250</v>
      </c>
      <c r="L200" s="2">
        <f t="shared" si="65"/>
        <v>6</v>
      </c>
      <c r="M200" s="2">
        <f t="shared" si="63"/>
        <v>1.5</v>
      </c>
      <c r="N200" s="2">
        <f t="shared" si="63"/>
        <v>1.5</v>
      </c>
      <c r="O200" s="2">
        <v>10</v>
      </c>
      <c r="P200" s="2">
        <f t="shared" si="73"/>
        <v>211.2</v>
      </c>
      <c r="Q200" s="2">
        <f t="shared" si="73"/>
        <v>21.12</v>
      </c>
      <c r="R200" s="2">
        <f t="shared" si="73"/>
        <v>1760</v>
      </c>
      <c r="S200" s="2">
        <f t="shared" si="71"/>
        <v>176</v>
      </c>
      <c r="T200" s="2">
        <f t="shared" si="71"/>
        <v>35.200000000000003</v>
      </c>
      <c r="U200" s="2">
        <f t="shared" si="71"/>
        <v>3.52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314022</v>
      </c>
      <c r="AB200" s="14" t="s">
        <v>1625</v>
      </c>
      <c r="AC200" s="15" t="s">
        <v>889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/>
      <c r="AJ200">
        <v>1</v>
      </c>
      <c r="AK200" s="1">
        <f t="shared" si="75"/>
        <v>95.189164086687327</v>
      </c>
      <c r="AL200">
        <v>8</v>
      </c>
      <c r="AM200">
        <f t="shared" si="66"/>
        <v>211.20000000000002</v>
      </c>
      <c r="AN200">
        <f t="shared" si="67"/>
        <v>21.120000000000005</v>
      </c>
      <c r="AO200">
        <f t="shared" si="68"/>
        <v>1760.0000000000002</v>
      </c>
      <c r="AP200">
        <f t="shared" si="69"/>
        <v>176.00000000000003</v>
      </c>
      <c r="AQ200">
        <f t="shared" si="76"/>
        <v>35.200000000000003</v>
      </c>
      <c r="AR200">
        <f t="shared" si="77"/>
        <v>3.5200000000000005</v>
      </c>
      <c r="AS200">
        <f t="shared" si="78"/>
        <v>1.5</v>
      </c>
      <c r="AT200">
        <f t="shared" si="79"/>
        <v>1.5</v>
      </c>
      <c r="AU200">
        <f t="shared" si="80"/>
        <v>6</v>
      </c>
      <c r="AV200">
        <f t="shared" si="72"/>
        <v>4021</v>
      </c>
      <c r="AW200" s="1">
        <v>2</v>
      </c>
      <c r="AX200">
        <v>3</v>
      </c>
      <c r="AY200">
        <v>0</v>
      </c>
      <c r="BX200" t="str">
        <f t="shared" si="81"/>
        <v>1314022,2314021</v>
      </c>
      <c r="BY200">
        <v>1314022</v>
      </c>
      <c r="BZ200">
        <v>2314021</v>
      </c>
      <c r="CB200" s="13"/>
      <c r="CC200" s="13"/>
      <c r="CE200" t="str">
        <f t="shared" si="70"/>
        <v>DATA_Class_Base18</v>
      </c>
      <c r="CF200" s="6" t="s">
        <v>324</v>
      </c>
    </row>
    <row r="201" spans="1:84">
      <c r="A201">
        <f t="shared" si="64"/>
        <v>3081500</v>
      </c>
      <c r="B201" s="6" t="s">
        <v>301</v>
      </c>
      <c r="C201">
        <v>8</v>
      </c>
      <c r="D201">
        <v>5</v>
      </c>
      <c r="E201">
        <v>1</v>
      </c>
      <c r="F201" s="3" t="s">
        <v>1577</v>
      </c>
      <c r="G201" s="3" t="s">
        <v>1577</v>
      </c>
      <c r="H201" s="3">
        <v>0</v>
      </c>
      <c r="I201">
        <v>45</v>
      </c>
      <c r="J201">
        <v>0</v>
      </c>
      <c r="K201" s="2" t="s">
        <v>303</v>
      </c>
      <c r="L201" s="2">
        <f t="shared" si="65"/>
        <v>6</v>
      </c>
      <c r="M201" s="2">
        <f t="shared" ref="M201:N268" si="82">FLOOR(AS201/1,0.01)</f>
        <v>1.5</v>
      </c>
      <c r="N201" s="2">
        <f t="shared" si="82"/>
        <v>1.5</v>
      </c>
      <c r="O201" s="2">
        <v>10</v>
      </c>
      <c r="P201" s="2">
        <f t="shared" si="73"/>
        <v>246.4</v>
      </c>
      <c r="Q201" s="2">
        <f t="shared" si="73"/>
        <v>24.64</v>
      </c>
      <c r="R201" s="2">
        <f t="shared" si="73"/>
        <v>1508.57</v>
      </c>
      <c r="S201" s="2">
        <f t="shared" si="71"/>
        <v>150.86000000000001</v>
      </c>
      <c r="T201" s="2">
        <f t="shared" si="71"/>
        <v>35.200000000000003</v>
      </c>
      <c r="U201" s="2">
        <f t="shared" si="71"/>
        <v>3.52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315002</v>
      </c>
      <c r="AB201" s="14" t="s">
        <v>1626</v>
      </c>
      <c r="AC201" s="15" t="s">
        <v>889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/>
      <c r="AJ201">
        <v>1</v>
      </c>
      <c r="AK201" s="1">
        <f t="shared" si="75"/>
        <v>95.189164086687299</v>
      </c>
      <c r="AL201">
        <v>8</v>
      </c>
      <c r="AM201">
        <f t="shared" si="66"/>
        <v>246.39999999999995</v>
      </c>
      <c r="AN201">
        <f t="shared" si="67"/>
        <v>24.639999999999997</v>
      </c>
      <c r="AO201">
        <f t="shared" si="68"/>
        <v>1508.5714285714289</v>
      </c>
      <c r="AP201">
        <f t="shared" si="69"/>
        <v>150.85714285714289</v>
      </c>
      <c r="AQ201">
        <f t="shared" si="76"/>
        <v>35.199999999999996</v>
      </c>
      <c r="AR201">
        <f t="shared" si="77"/>
        <v>3.5199999999999996</v>
      </c>
      <c r="AS201">
        <f t="shared" si="78"/>
        <v>1.5</v>
      </c>
      <c r="AT201">
        <f t="shared" si="79"/>
        <v>1.5</v>
      </c>
      <c r="AU201">
        <f t="shared" si="80"/>
        <v>6</v>
      </c>
      <c r="AV201">
        <f t="shared" si="72"/>
        <v>5001</v>
      </c>
      <c r="AW201" s="1">
        <v>0</v>
      </c>
      <c r="AX201">
        <v>3</v>
      </c>
      <c r="AY201">
        <v>0</v>
      </c>
      <c r="BX201" t="str">
        <f t="shared" si="81"/>
        <v>1315002,2315001</v>
      </c>
      <c r="BY201">
        <v>1315002</v>
      </c>
      <c r="BZ201">
        <v>2315001</v>
      </c>
      <c r="CB201" s="13"/>
      <c r="CC201" s="13"/>
      <c r="CE201" t="str">
        <f t="shared" si="70"/>
        <v>DATA_Class_Base19</v>
      </c>
      <c r="CF201" s="6" t="s">
        <v>331</v>
      </c>
    </row>
    <row r="202" spans="1:84">
      <c r="A202">
        <f t="shared" si="64"/>
        <v>3081502</v>
      </c>
      <c r="B202" s="6" t="s">
        <v>289</v>
      </c>
      <c r="C202">
        <v>8</v>
      </c>
      <c r="D202">
        <v>5</v>
      </c>
      <c r="E202">
        <v>1</v>
      </c>
      <c r="F202" s="3" t="s">
        <v>1578</v>
      </c>
      <c r="G202" s="3" t="s">
        <v>1578</v>
      </c>
      <c r="H202" s="3">
        <v>-10</v>
      </c>
      <c r="I202">
        <v>40</v>
      </c>
      <c r="J202" s="2">
        <v>0</v>
      </c>
      <c r="K202" s="2" t="s">
        <v>291</v>
      </c>
      <c r="L202" s="2">
        <f t="shared" si="65"/>
        <v>6</v>
      </c>
      <c r="M202" s="2">
        <f t="shared" si="82"/>
        <v>1.4000000000000001</v>
      </c>
      <c r="N202" s="2">
        <f t="shared" si="82"/>
        <v>2</v>
      </c>
      <c r="O202" s="2">
        <v>10</v>
      </c>
      <c r="P202" s="2">
        <f t="shared" si="73"/>
        <v>213.55</v>
      </c>
      <c r="Q202" s="2">
        <f t="shared" si="73"/>
        <v>21.35</v>
      </c>
      <c r="R202" s="2">
        <f t="shared" si="73"/>
        <v>1624.62</v>
      </c>
      <c r="S202" s="2">
        <f t="shared" si="71"/>
        <v>162.46</v>
      </c>
      <c r="T202" s="2">
        <f t="shared" si="71"/>
        <v>32.85</v>
      </c>
      <c r="U202" s="2">
        <f t="shared" si="71"/>
        <v>3.29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315022</v>
      </c>
      <c r="AB202" s="14" t="s">
        <v>451</v>
      </c>
      <c r="AC202" s="15" t="s">
        <v>889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/>
      <c r="AJ202">
        <v>1</v>
      </c>
      <c r="AK202" s="1">
        <f t="shared" si="75"/>
        <v>95.139663315870223</v>
      </c>
      <c r="AL202">
        <v>8</v>
      </c>
      <c r="AM202">
        <f t="shared" si="66"/>
        <v>213.54666666666665</v>
      </c>
      <c r="AN202">
        <f t="shared" si="67"/>
        <v>21.354666666666667</v>
      </c>
      <c r="AO202">
        <f t="shared" si="68"/>
        <v>1624.6153846153845</v>
      </c>
      <c r="AP202">
        <f t="shared" si="69"/>
        <v>162.46153846153845</v>
      </c>
      <c r="AQ202">
        <f t="shared" si="76"/>
        <v>32.853333333333332</v>
      </c>
      <c r="AR202">
        <f t="shared" si="77"/>
        <v>3.2853333333333334</v>
      </c>
      <c r="AS202">
        <f t="shared" si="78"/>
        <v>1.4</v>
      </c>
      <c r="AT202">
        <f t="shared" si="79"/>
        <v>2</v>
      </c>
      <c r="AU202">
        <f t="shared" si="80"/>
        <v>6</v>
      </c>
      <c r="AV202">
        <f t="shared" si="72"/>
        <v>5021</v>
      </c>
      <c r="AW202" s="1">
        <v>2</v>
      </c>
      <c r="AX202">
        <v>3</v>
      </c>
      <c r="AY202">
        <v>0</v>
      </c>
      <c r="BX202" t="str">
        <f t="shared" si="81"/>
        <v>1315022,2315021</v>
      </c>
      <c r="BY202">
        <v>1315022</v>
      </c>
      <c r="BZ202">
        <v>2315021</v>
      </c>
      <c r="CB202" s="13"/>
      <c r="CC202" s="13"/>
      <c r="CE202" t="str">
        <f t="shared" si="70"/>
        <v>DATA_Class_Base20</v>
      </c>
      <c r="CF202" s="6" t="s">
        <v>336</v>
      </c>
    </row>
    <row r="203" spans="1:84">
      <c r="A203">
        <f t="shared" si="64"/>
        <v>3081601</v>
      </c>
      <c r="B203" s="6" t="s">
        <v>307</v>
      </c>
      <c r="C203">
        <v>8</v>
      </c>
      <c r="D203">
        <v>6</v>
      </c>
      <c r="E203">
        <v>1</v>
      </c>
      <c r="F203" s="3" t="s">
        <v>1579</v>
      </c>
      <c r="G203" s="3" t="s">
        <v>1579</v>
      </c>
      <c r="H203" s="3">
        <v>-10</v>
      </c>
      <c r="I203">
        <v>50</v>
      </c>
      <c r="J203">
        <v>0</v>
      </c>
      <c r="K203" s="2" t="s">
        <v>309</v>
      </c>
      <c r="L203" s="2">
        <f t="shared" si="65"/>
        <v>6</v>
      </c>
      <c r="M203" s="2">
        <f t="shared" si="82"/>
        <v>1.5</v>
      </c>
      <c r="N203" s="2">
        <f t="shared" si="82"/>
        <v>2</v>
      </c>
      <c r="O203" s="2">
        <v>10</v>
      </c>
      <c r="P203" s="2">
        <f t="shared" si="73"/>
        <v>176</v>
      </c>
      <c r="Q203" s="2">
        <f t="shared" si="73"/>
        <v>17.600000000000001</v>
      </c>
      <c r="R203" s="2">
        <f t="shared" si="73"/>
        <v>2112</v>
      </c>
      <c r="S203" s="2">
        <f t="shared" si="71"/>
        <v>211.2</v>
      </c>
      <c r="T203" s="2">
        <f t="shared" si="71"/>
        <v>44</v>
      </c>
      <c r="U203" s="2">
        <f t="shared" si="71"/>
        <v>4.4000000000000004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316012</v>
      </c>
      <c r="AB203" s="14" t="s">
        <v>1627</v>
      </c>
      <c r="AC203" s="15" t="s">
        <v>889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/>
      <c r="AJ203">
        <v>1</v>
      </c>
      <c r="AK203" s="1">
        <f t="shared" si="75"/>
        <v>95.375251635834886</v>
      </c>
      <c r="AL203">
        <v>8</v>
      </c>
      <c r="AM203">
        <f t="shared" si="66"/>
        <v>176</v>
      </c>
      <c r="AN203">
        <f t="shared" si="67"/>
        <v>17.600000000000001</v>
      </c>
      <c r="AO203">
        <f t="shared" si="68"/>
        <v>2112</v>
      </c>
      <c r="AP203">
        <f t="shared" si="69"/>
        <v>211.20000000000002</v>
      </c>
      <c r="AQ203">
        <f t="shared" si="76"/>
        <v>44</v>
      </c>
      <c r="AR203">
        <f t="shared" si="77"/>
        <v>4.4000000000000004</v>
      </c>
      <c r="AS203">
        <f t="shared" si="78"/>
        <v>1.5</v>
      </c>
      <c r="AT203">
        <f t="shared" si="79"/>
        <v>2</v>
      </c>
      <c r="AU203">
        <f t="shared" si="80"/>
        <v>6</v>
      </c>
      <c r="AV203">
        <f t="shared" si="72"/>
        <v>6011</v>
      </c>
      <c r="AW203" s="1">
        <v>1</v>
      </c>
      <c r="AX203">
        <v>3</v>
      </c>
      <c r="AY203">
        <v>0</v>
      </c>
      <c r="BX203" t="str">
        <f t="shared" si="81"/>
        <v>1316012,2316011</v>
      </c>
      <c r="BY203">
        <v>1316012</v>
      </c>
      <c r="BZ203">
        <v>2316011</v>
      </c>
      <c r="CB203" s="13"/>
      <c r="CC203" s="13"/>
      <c r="CE203" t="str">
        <f t="shared" si="70"/>
        <v>DATA_Class_Base21</v>
      </c>
      <c r="CF203" s="6" t="s">
        <v>342</v>
      </c>
    </row>
    <row r="204" spans="1:84">
      <c r="A204">
        <f t="shared" si="64"/>
        <v>3082200</v>
      </c>
      <c r="B204" s="6" t="s">
        <v>294</v>
      </c>
      <c r="C204">
        <v>8</v>
      </c>
      <c r="D204">
        <v>2</v>
      </c>
      <c r="E204">
        <v>2</v>
      </c>
      <c r="F204" s="3" t="s">
        <v>1580</v>
      </c>
      <c r="G204" s="3" t="s">
        <v>1580</v>
      </c>
      <c r="H204" s="3">
        <v>0</v>
      </c>
      <c r="I204">
        <v>55</v>
      </c>
      <c r="J204">
        <v>0</v>
      </c>
      <c r="K204" s="2" t="s">
        <v>314</v>
      </c>
      <c r="L204" s="2">
        <f t="shared" si="65"/>
        <v>3</v>
      </c>
      <c r="M204" s="2">
        <f t="shared" si="82"/>
        <v>1.5</v>
      </c>
      <c r="N204" s="2">
        <f t="shared" si="82"/>
        <v>1.2</v>
      </c>
      <c r="O204" s="2">
        <v>10</v>
      </c>
      <c r="P204" s="2">
        <f t="shared" si="73"/>
        <v>176</v>
      </c>
      <c r="Q204" s="2">
        <f t="shared" si="73"/>
        <v>17.600000000000001</v>
      </c>
      <c r="R204" s="2">
        <f t="shared" si="73"/>
        <v>2112</v>
      </c>
      <c r="S204" s="2">
        <f t="shared" si="71"/>
        <v>211.2</v>
      </c>
      <c r="T204" s="2">
        <f t="shared" si="71"/>
        <v>44</v>
      </c>
      <c r="U204" s="2">
        <f t="shared" si="71"/>
        <v>4.4000000000000004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322002</v>
      </c>
      <c r="AB204" s="14" t="s">
        <v>1628</v>
      </c>
      <c r="AC204" s="15" t="s">
        <v>889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/>
      <c r="AJ204">
        <v>1</v>
      </c>
      <c r="AK204" s="1">
        <f t="shared" si="75"/>
        <v>95.375251635834886</v>
      </c>
      <c r="AL204">
        <v>8</v>
      </c>
      <c r="AM204">
        <f t="shared" si="66"/>
        <v>176</v>
      </c>
      <c r="AN204">
        <f t="shared" si="67"/>
        <v>17.600000000000001</v>
      </c>
      <c r="AO204">
        <f t="shared" si="68"/>
        <v>2112</v>
      </c>
      <c r="AP204">
        <f t="shared" si="69"/>
        <v>211.20000000000002</v>
      </c>
      <c r="AQ204">
        <f t="shared" si="76"/>
        <v>44</v>
      </c>
      <c r="AR204">
        <f t="shared" si="77"/>
        <v>4.4000000000000004</v>
      </c>
      <c r="AS204">
        <f t="shared" si="78"/>
        <v>1.5</v>
      </c>
      <c r="AT204">
        <f t="shared" si="79"/>
        <v>1.2</v>
      </c>
      <c r="AU204">
        <f t="shared" si="80"/>
        <v>3</v>
      </c>
      <c r="AV204">
        <f t="shared" si="72"/>
        <v>2002</v>
      </c>
      <c r="AW204" s="1">
        <v>0</v>
      </c>
      <c r="AX204">
        <v>3</v>
      </c>
      <c r="AY204">
        <v>0</v>
      </c>
      <c r="BX204" t="str">
        <f t="shared" si="81"/>
        <v>1322002,2322001</v>
      </c>
      <c r="BY204">
        <v>1322002</v>
      </c>
      <c r="BZ204">
        <v>2322001</v>
      </c>
      <c r="CB204" s="13"/>
      <c r="CC204" s="13"/>
      <c r="CE204" t="str">
        <f t="shared" si="70"/>
        <v>DATA_Class_Base13</v>
      </c>
      <c r="CF204" s="6" t="s">
        <v>295</v>
      </c>
    </row>
    <row r="205" spans="1:84">
      <c r="A205">
        <f t="shared" si="64"/>
        <v>3082201</v>
      </c>
      <c r="B205" s="6" t="s">
        <v>296</v>
      </c>
      <c r="C205">
        <v>8</v>
      </c>
      <c r="D205">
        <v>2</v>
      </c>
      <c r="E205">
        <v>2</v>
      </c>
      <c r="F205" s="3" t="s">
        <v>1581</v>
      </c>
      <c r="G205" s="3" t="s">
        <v>1581</v>
      </c>
      <c r="H205" s="3">
        <v>0</v>
      </c>
      <c r="I205">
        <v>40</v>
      </c>
      <c r="J205">
        <v>0</v>
      </c>
      <c r="K205" s="8" t="s">
        <v>298</v>
      </c>
      <c r="L205" s="2">
        <f t="shared" si="65"/>
        <v>3</v>
      </c>
      <c r="M205" s="2">
        <f t="shared" si="82"/>
        <v>1.8</v>
      </c>
      <c r="N205" s="2">
        <f t="shared" si="82"/>
        <v>1.8</v>
      </c>
      <c r="O205" s="2">
        <v>10</v>
      </c>
      <c r="P205" s="2">
        <f t="shared" si="73"/>
        <v>147.84</v>
      </c>
      <c r="Q205" s="2">
        <f t="shared" si="73"/>
        <v>14.78</v>
      </c>
      <c r="R205" s="2">
        <f t="shared" si="73"/>
        <v>3017.14</v>
      </c>
      <c r="S205" s="2">
        <f t="shared" si="71"/>
        <v>301.70999999999998</v>
      </c>
      <c r="T205" s="2">
        <f t="shared" si="71"/>
        <v>49.28</v>
      </c>
      <c r="U205" s="2">
        <f t="shared" si="71"/>
        <v>4.93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322012</v>
      </c>
      <c r="AB205" s="14" t="s">
        <v>452</v>
      </c>
      <c r="AC205" s="15" t="s">
        <v>889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/>
      <c r="AJ205">
        <v>1</v>
      </c>
      <c r="AK205" s="1">
        <f t="shared" si="75"/>
        <v>95.487253810916442</v>
      </c>
      <c r="AL205">
        <v>8</v>
      </c>
      <c r="AM205">
        <f t="shared" si="66"/>
        <v>147.84000000000003</v>
      </c>
      <c r="AN205">
        <f t="shared" si="67"/>
        <v>14.784000000000004</v>
      </c>
      <c r="AO205">
        <f t="shared" si="68"/>
        <v>3017.1428571428578</v>
      </c>
      <c r="AP205">
        <f t="shared" si="69"/>
        <v>301.71428571428578</v>
      </c>
      <c r="AQ205">
        <f t="shared" si="76"/>
        <v>49.280000000000008</v>
      </c>
      <c r="AR205">
        <f t="shared" si="77"/>
        <v>4.9280000000000008</v>
      </c>
      <c r="AS205">
        <f t="shared" si="78"/>
        <v>1.8</v>
      </c>
      <c r="AT205">
        <f t="shared" si="79"/>
        <v>1.8</v>
      </c>
      <c r="AU205">
        <f t="shared" si="80"/>
        <v>3</v>
      </c>
      <c r="AV205">
        <f t="shared" si="72"/>
        <v>2012</v>
      </c>
      <c r="AW205" s="1">
        <v>1</v>
      </c>
      <c r="AX205">
        <v>3</v>
      </c>
      <c r="AY205">
        <v>0</v>
      </c>
      <c r="BX205" t="str">
        <f t="shared" si="81"/>
        <v>1322012,2322011</v>
      </c>
      <c r="BY205">
        <v>1322012</v>
      </c>
      <c r="BZ205">
        <v>2322011</v>
      </c>
      <c r="CB205" s="13"/>
      <c r="CC205" s="13"/>
      <c r="CE205" t="str">
        <f t="shared" si="70"/>
        <v>DATA_Class_Base14</v>
      </c>
      <c r="CF205" s="6" t="s">
        <v>300</v>
      </c>
    </row>
    <row r="206" spans="1:84">
      <c r="A206">
        <f t="shared" si="64"/>
        <v>3082202</v>
      </c>
      <c r="B206" s="6" t="s">
        <v>278</v>
      </c>
      <c r="C206">
        <v>8</v>
      </c>
      <c r="D206">
        <v>2</v>
      </c>
      <c r="E206">
        <v>2</v>
      </c>
      <c r="F206" s="3" t="s">
        <v>1582</v>
      </c>
      <c r="G206" s="3" t="s">
        <v>1582</v>
      </c>
      <c r="H206" s="3">
        <v>0</v>
      </c>
      <c r="I206">
        <v>45</v>
      </c>
      <c r="J206" s="2">
        <v>0</v>
      </c>
      <c r="K206" s="2" t="s">
        <v>280</v>
      </c>
      <c r="L206" s="2">
        <f t="shared" si="65"/>
        <v>3</v>
      </c>
      <c r="M206" s="2">
        <f t="shared" si="82"/>
        <v>1.8</v>
      </c>
      <c r="N206" s="2">
        <f t="shared" si="82"/>
        <v>2</v>
      </c>
      <c r="O206" s="2">
        <v>10</v>
      </c>
      <c r="P206" s="2">
        <f t="shared" si="73"/>
        <v>242.88</v>
      </c>
      <c r="Q206" s="2">
        <f t="shared" si="73"/>
        <v>24.29</v>
      </c>
      <c r="R206" s="2">
        <f t="shared" si="73"/>
        <v>1836.52</v>
      </c>
      <c r="S206" s="2">
        <f t="shared" si="71"/>
        <v>183.65</v>
      </c>
      <c r="T206" s="2">
        <f t="shared" si="71"/>
        <v>48.58</v>
      </c>
      <c r="U206" s="2">
        <f t="shared" si="71"/>
        <v>4.8600000000000003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322022</v>
      </c>
      <c r="AB206" s="14" t="s">
        <v>1629</v>
      </c>
      <c r="AC206" s="15" t="s">
        <v>889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/>
      <c r="AJ206">
        <v>1</v>
      </c>
      <c r="AK206" s="1">
        <f t="shared" si="75"/>
        <v>95.472304991195529</v>
      </c>
      <c r="AL206">
        <v>8</v>
      </c>
      <c r="AM206">
        <f t="shared" si="66"/>
        <v>242.88</v>
      </c>
      <c r="AN206">
        <f t="shared" si="67"/>
        <v>24.288</v>
      </c>
      <c r="AO206">
        <f t="shared" si="68"/>
        <v>1836.521739130435</v>
      </c>
      <c r="AP206">
        <f t="shared" si="69"/>
        <v>183.6521739130435</v>
      </c>
      <c r="AQ206">
        <f t="shared" si="76"/>
        <v>48.576000000000001</v>
      </c>
      <c r="AR206">
        <f t="shared" si="77"/>
        <v>4.8576000000000006</v>
      </c>
      <c r="AS206">
        <f t="shared" si="78"/>
        <v>1.8</v>
      </c>
      <c r="AT206">
        <f t="shared" si="79"/>
        <v>2</v>
      </c>
      <c r="AU206">
        <f t="shared" si="80"/>
        <v>3</v>
      </c>
      <c r="AV206">
        <f t="shared" si="72"/>
        <v>2022</v>
      </c>
      <c r="AW206" s="1">
        <v>2</v>
      </c>
      <c r="AX206">
        <v>3</v>
      </c>
      <c r="AY206">
        <v>0</v>
      </c>
      <c r="BX206" t="str">
        <f t="shared" si="81"/>
        <v>1322022,2322021</v>
      </c>
      <c r="BY206">
        <v>1322022</v>
      </c>
      <c r="BZ206">
        <v>2322021</v>
      </c>
      <c r="CB206" s="13"/>
      <c r="CC206" s="13"/>
      <c r="CE206" t="str">
        <f t="shared" si="70"/>
        <v>DATA_Class_Base15</v>
      </c>
      <c r="CF206" s="6" t="s">
        <v>306</v>
      </c>
    </row>
    <row r="207" spans="1:84">
      <c r="A207">
        <f t="shared" si="64"/>
        <v>3082301</v>
      </c>
      <c r="B207" s="6" t="s">
        <v>283</v>
      </c>
      <c r="C207">
        <v>8</v>
      </c>
      <c r="D207">
        <v>3</v>
      </c>
      <c r="E207">
        <v>2</v>
      </c>
      <c r="F207" s="3" t="s">
        <v>1583</v>
      </c>
      <c r="G207" s="3" t="s">
        <v>1583</v>
      </c>
      <c r="H207" s="3">
        <v>0</v>
      </c>
      <c r="I207">
        <v>55</v>
      </c>
      <c r="J207">
        <v>0</v>
      </c>
      <c r="K207" s="2" t="s">
        <v>285</v>
      </c>
      <c r="L207" s="2">
        <f t="shared" si="65"/>
        <v>3</v>
      </c>
      <c r="M207" s="2">
        <f t="shared" si="82"/>
        <v>1.2</v>
      </c>
      <c r="N207" s="2">
        <f t="shared" si="82"/>
        <v>1.7</v>
      </c>
      <c r="O207" s="2">
        <v>10</v>
      </c>
      <c r="P207" s="2">
        <f t="shared" si="73"/>
        <v>183.04</v>
      </c>
      <c r="Q207" s="2">
        <f t="shared" si="73"/>
        <v>18.3</v>
      </c>
      <c r="R207" s="2">
        <f t="shared" si="73"/>
        <v>1624.62</v>
      </c>
      <c r="S207" s="2">
        <f t="shared" si="71"/>
        <v>162.46</v>
      </c>
      <c r="T207" s="2">
        <f t="shared" si="71"/>
        <v>30.51</v>
      </c>
      <c r="U207" s="2">
        <f t="shared" si="71"/>
        <v>3.05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323012</v>
      </c>
      <c r="AB207" s="14" t="s">
        <v>1630</v>
      </c>
      <c r="AC207" s="15" t="s">
        <v>889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/>
      <c r="AJ207">
        <v>1</v>
      </c>
      <c r="AK207" s="1">
        <f t="shared" si="75"/>
        <v>95.090214001597957</v>
      </c>
      <c r="AL207">
        <v>8</v>
      </c>
      <c r="AM207">
        <f t="shared" si="66"/>
        <v>183.04000000000002</v>
      </c>
      <c r="AN207">
        <f t="shared" si="67"/>
        <v>18.304000000000002</v>
      </c>
      <c r="AO207">
        <f t="shared" si="68"/>
        <v>1624.6153846153845</v>
      </c>
      <c r="AP207">
        <f t="shared" si="69"/>
        <v>162.46153846153845</v>
      </c>
      <c r="AQ207">
        <f t="shared" si="76"/>
        <v>30.506666666666671</v>
      </c>
      <c r="AR207">
        <f t="shared" si="77"/>
        <v>3.0506666666666673</v>
      </c>
      <c r="AS207">
        <f t="shared" si="78"/>
        <v>1.2</v>
      </c>
      <c r="AT207">
        <f t="shared" si="79"/>
        <v>1.7</v>
      </c>
      <c r="AU207">
        <f t="shared" si="80"/>
        <v>3</v>
      </c>
      <c r="AV207">
        <f t="shared" si="72"/>
        <v>3012</v>
      </c>
      <c r="AW207" s="1">
        <v>1</v>
      </c>
      <c r="AX207">
        <v>3</v>
      </c>
      <c r="AY207">
        <v>0</v>
      </c>
      <c r="BX207" t="str">
        <f t="shared" si="81"/>
        <v>1323012,2323011</v>
      </c>
      <c r="BY207">
        <v>1323012</v>
      </c>
      <c r="BZ207">
        <v>2323011</v>
      </c>
      <c r="CB207" s="13"/>
      <c r="CC207" s="13"/>
      <c r="CE207" t="str">
        <f t="shared" si="70"/>
        <v>DATA_Class_Base16</v>
      </c>
      <c r="CF207" s="6" t="s">
        <v>312</v>
      </c>
    </row>
    <row r="208" spans="1:84">
      <c r="A208">
        <f t="shared" si="64"/>
        <v>3082401</v>
      </c>
      <c r="B208" s="6" t="s">
        <v>317</v>
      </c>
      <c r="C208">
        <v>8</v>
      </c>
      <c r="D208">
        <v>4</v>
      </c>
      <c r="E208">
        <v>2</v>
      </c>
      <c r="F208" s="3" t="s">
        <v>1584</v>
      </c>
      <c r="G208" s="3" t="s">
        <v>1584</v>
      </c>
      <c r="H208" s="3">
        <v>10</v>
      </c>
      <c r="I208">
        <v>45</v>
      </c>
      <c r="J208" s="2">
        <v>0</v>
      </c>
      <c r="K208" s="2" t="s">
        <v>161</v>
      </c>
      <c r="L208" s="2">
        <f t="shared" si="65"/>
        <v>6</v>
      </c>
      <c r="M208" s="2">
        <f t="shared" si="82"/>
        <v>1.6</v>
      </c>
      <c r="N208" s="2">
        <f t="shared" si="82"/>
        <v>1.5</v>
      </c>
      <c r="O208" s="2">
        <v>10</v>
      </c>
      <c r="P208" s="2">
        <f t="shared" si="73"/>
        <v>244.05</v>
      </c>
      <c r="Q208" s="2">
        <f t="shared" si="73"/>
        <v>24.41</v>
      </c>
      <c r="R208" s="2">
        <f t="shared" si="73"/>
        <v>1624.62</v>
      </c>
      <c r="S208" s="2">
        <f t="shared" si="71"/>
        <v>162.46</v>
      </c>
      <c r="T208" s="2">
        <f t="shared" si="71"/>
        <v>27.12</v>
      </c>
      <c r="U208" s="2">
        <f t="shared" si="71"/>
        <v>2.71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324012</v>
      </c>
      <c r="AB208" s="14" t="s">
        <v>1631</v>
      </c>
      <c r="AC208" s="15" t="s">
        <v>889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/>
      <c r="AJ208">
        <v>1</v>
      </c>
      <c r="AK208" s="1">
        <f t="shared" si="75"/>
        <v>95.018877894840259</v>
      </c>
      <c r="AL208">
        <v>8</v>
      </c>
      <c r="AM208">
        <f t="shared" si="66"/>
        <v>244.05333333333337</v>
      </c>
      <c r="AN208">
        <f t="shared" si="67"/>
        <v>24.405333333333338</v>
      </c>
      <c r="AO208">
        <f t="shared" si="68"/>
        <v>1624.6153846153845</v>
      </c>
      <c r="AP208">
        <f t="shared" si="69"/>
        <v>162.46153846153845</v>
      </c>
      <c r="AQ208">
        <f t="shared" si="76"/>
        <v>27.11703703703704</v>
      </c>
      <c r="AR208">
        <f t="shared" si="77"/>
        <v>2.7117037037037042</v>
      </c>
      <c r="AS208">
        <f t="shared" si="78"/>
        <v>1.6</v>
      </c>
      <c r="AT208">
        <f t="shared" si="79"/>
        <v>1.5</v>
      </c>
      <c r="AU208">
        <f t="shared" si="80"/>
        <v>6</v>
      </c>
      <c r="AV208">
        <f t="shared" si="72"/>
        <v>4012</v>
      </c>
      <c r="AW208" s="1">
        <v>1</v>
      </c>
      <c r="AX208">
        <v>3</v>
      </c>
      <c r="AY208">
        <v>0</v>
      </c>
      <c r="BX208" t="str">
        <f t="shared" si="81"/>
        <v>1324012,2324011</v>
      </c>
      <c r="BY208">
        <v>1324012</v>
      </c>
      <c r="BZ208">
        <v>2324011</v>
      </c>
      <c r="CB208" s="13"/>
      <c r="CC208" s="13"/>
      <c r="CE208" t="str">
        <f t="shared" si="70"/>
        <v>DATA_Class_Base17</v>
      </c>
      <c r="CF208" s="6" t="s">
        <v>318</v>
      </c>
    </row>
    <row r="209" spans="1:84">
      <c r="A209">
        <f t="shared" si="64"/>
        <v>3082402</v>
      </c>
      <c r="B209" s="6" t="s">
        <v>323</v>
      </c>
      <c r="C209">
        <v>8</v>
      </c>
      <c r="D209">
        <v>4</v>
      </c>
      <c r="E209">
        <v>2</v>
      </c>
      <c r="F209" s="3" t="s">
        <v>1585</v>
      </c>
      <c r="G209" s="3" t="s">
        <v>1585</v>
      </c>
      <c r="H209" s="3">
        <v>10</v>
      </c>
      <c r="I209">
        <v>50</v>
      </c>
      <c r="J209">
        <v>0</v>
      </c>
      <c r="K209" s="2" t="s">
        <v>250</v>
      </c>
      <c r="L209" s="2">
        <f t="shared" si="65"/>
        <v>6</v>
      </c>
      <c r="M209" s="2">
        <f t="shared" si="82"/>
        <v>1.5</v>
      </c>
      <c r="N209" s="2">
        <f t="shared" si="82"/>
        <v>1.5</v>
      </c>
      <c r="O209" s="2">
        <v>10</v>
      </c>
      <c r="P209" s="2">
        <f t="shared" si="73"/>
        <v>246.4</v>
      </c>
      <c r="Q209" s="2">
        <f t="shared" si="73"/>
        <v>24.64</v>
      </c>
      <c r="R209" s="2">
        <f t="shared" si="73"/>
        <v>1508.57</v>
      </c>
      <c r="S209" s="2">
        <f t="shared" si="71"/>
        <v>150.86000000000001</v>
      </c>
      <c r="T209" s="2">
        <f t="shared" si="71"/>
        <v>30.8</v>
      </c>
      <c r="U209" s="2">
        <f t="shared" si="71"/>
        <v>3.08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324022</v>
      </c>
      <c r="AB209" s="14" t="s">
        <v>1632</v>
      </c>
      <c r="AC209" s="15" t="s">
        <v>889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/>
      <c r="AJ209">
        <v>1</v>
      </c>
      <c r="AK209" s="1">
        <f t="shared" si="75"/>
        <v>95.096392354594741</v>
      </c>
      <c r="AL209">
        <v>8</v>
      </c>
      <c r="AM209">
        <f t="shared" si="66"/>
        <v>246.39999999999995</v>
      </c>
      <c r="AN209">
        <f t="shared" si="67"/>
        <v>24.639999999999997</v>
      </c>
      <c r="AO209">
        <f t="shared" si="68"/>
        <v>1508.5714285714289</v>
      </c>
      <c r="AP209">
        <f t="shared" si="69"/>
        <v>150.85714285714289</v>
      </c>
      <c r="AQ209">
        <f t="shared" si="76"/>
        <v>30.799999999999994</v>
      </c>
      <c r="AR209">
        <f t="shared" si="77"/>
        <v>3.0799999999999996</v>
      </c>
      <c r="AS209">
        <f t="shared" si="78"/>
        <v>1.5</v>
      </c>
      <c r="AT209">
        <f t="shared" si="79"/>
        <v>1.5</v>
      </c>
      <c r="AU209">
        <f t="shared" si="80"/>
        <v>6</v>
      </c>
      <c r="AV209">
        <f t="shared" si="72"/>
        <v>4022</v>
      </c>
      <c r="AW209" s="1">
        <v>2</v>
      </c>
      <c r="AX209">
        <v>3</v>
      </c>
      <c r="AY209">
        <v>0</v>
      </c>
      <c r="BX209" t="str">
        <f t="shared" si="81"/>
        <v>1324022,2324021</v>
      </c>
      <c r="BY209">
        <v>1324022</v>
      </c>
      <c r="BZ209">
        <v>2324021</v>
      </c>
      <c r="CB209" s="13"/>
      <c r="CC209" s="13"/>
      <c r="CE209" t="str">
        <f t="shared" si="70"/>
        <v>DATA_Class_Base18</v>
      </c>
      <c r="CF209" s="6" t="s">
        <v>324</v>
      </c>
    </row>
    <row r="210" spans="1:84">
      <c r="A210">
        <f t="shared" ref="A210:A277" si="83">AX210*1000000+C210*10000+E210*1000+D210*100+AW210</f>
        <v>3082500</v>
      </c>
      <c r="B210" s="6" t="s">
        <v>301</v>
      </c>
      <c r="C210">
        <v>8</v>
      </c>
      <c r="D210">
        <v>5</v>
      </c>
      <c r="E210">
        <v>2</v>
      </c>
      <c r="F210" s="3" t="s">
        <v>1586</v>
      </c>
      <c r="G210" s="3" t="s">
        <v>1586</v>
      </c>
      <c r="H210" s="3">
        <v>0</v>
      </c>
      <c r="I210">
        <v>45</v>
      </c>
      <c r="J210" s="2">
        <v>0</v>
      </c>
      <c r="K210" s="2" t="s">
        <v>303</v>
      </c>
      <c r="L210" s="2">
        <f t="shared" ref="L210:L277" si="84">AU210</f>
        <v>6</v>
      </c>
      <c r="M210" s="2">
        <f t="shared" si="82"/>
        <v>1.5</v>
      </c>
      <c r="N210" s="2">
        <f t="shared" si="82"/>
        <v>2</v>
      </c>
      <c r="O210" s="2">
        <v>10</v>
      </c>
      <c r="P210" s="2">
        <f t="shared" si="73"/>
        <v>264</v>
      </c>
      <c r="Q210" s="2">
        <f t="shared" si="73"/>
        <v>26.4</v>
      </c>
      <c r="R210" s="2">
        <f t="shared" si="73"/>
        <v>1408</v>
      </c>
      <c r="S210" s="2">
        <f t="shared" si="71"/>
        <v>140.80000000000001</v>
      </c>
      <c r="T210" s="2">
        <f t="shared" si="71"/>
        <v>29.33</v>
      </c>
      <c r="U210" s="2">
        <f t="shared" si="71"/>
        <v>2.93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325002</v>
      </c>
      <c r="AB210" s="14" t="s">
        <v>453</v>
      </c>
      <c r="AC210" s="15" t="s">
        <v>889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/>
      <c r="AJ210">
        <v>1</v>
      </c>
      <c r="AK210" s="1">
        <f t="shared" si="75"/>
        <v>95.065508615599327</v>
      </c>
      <c r="AL210">
        <v>8</v>
      </c>
      <c r="AM210">
        <f t="shared" ref="AM210:AM273" si="85">INDEX($BB$5:$BB$58,MATCH($AV210,$AZ$5:$AZ$58,0))*$AS210/1.5*$BF$4*INDEX($BB$109:$BO$109,MATCH($AL210,$BB$108:$BO$108,0))</f>
        <v>264</v>
      </c>
      <c r="AN210">
        <f t="shared" ref="AN210:AN273" si="86">(INDEX($BB$5:$BB$58,MATCH($AV210,$AZ$5:$AZ$58,0))*$AS210/1.5*$BF$4*INDEX($BB$109:$BO$109,MATCH($AL210,$BB$108:$BO$108,0)))*0.1</f>
        <v>26.400000000000002</v>
      </c>
      <c r="AO210">
        <f t="shared" ref="AO210:AO273" si="87">INDEX($BC$5:$BC$58,MATCH($AV210,$AZ$5:$AZ$58,0))*$BG$4*INDEX($BB$109:$BO$109,MATCH($AL210,$BB$108:$BO$108,0))</f>
        <v>1408</v>
      </c>
      <c r="AP210">
        <f t="shared" ref="AP210:AP273" si="88">(INDEX($BC$5:$BC$58,MATCH($AV210,$AZ$5:$AZ$58,0))*$BG$4*INDEX($BB$109:$BO$109,MATCH($AL210,$BB$108:$BO$108,0)))*0.1</f>
        <v>140.80000000000001</v>
      </c>
      <c r="AQ210">
        <f t="shared" si="76"/>
        <v>29.333333333333332</v>
      </c>
      <c r="AR210">
        <f t="shared" si="77"/>
        <v>2.9333333333333336</v>
      </c>
      <c r="AS210">
        <f t="shared" si="78"/>
        <v>1.5</v>
      </c>
      <c r="AT210">
        <f t="shared" si="79"/>
        <v>2</v>
      </c>
      <c r="AU210">
        <f t="shared" si="80"/>
        <v>6</v>
      </c>
      <c r="AV210">
        <f t="shared" si="72"/>
        <v>5002</v>
      </c>
      <c r="AW210" s="1">
        <v>0</v>
      </c>
      <c r="AX210">
        <v>3</v>
      </c>
      <c r="AY210">
        <v>0</v>
      </c>
      <c r="BX210" t="str">
        <f t="shared" si="81"/>
        <v>1325002,2325001</v>
      </c>
      <c r="BY210">
        <v>1325002</v>
      </c>
      <c r="BZ210">
        <v>2325001</v>
      </c>
      <c r="CB210" s="13"/>
      <c r="CC210" s="13"/>
      <c r="CE210" t="str">
        <f t="shared" si="70"/>
        <v>DATA_Class_Base19</v>
      </c>
      <c r="CF210" s="6" t="s">
        <v>331</v>
      </c>
    </row>
    <row r="211" spans="1:84">
      <c r="A211">
        <f t="shared" si="83"/>
        <v>3082502</v>
      </c>
      <c r="B211" s="6" t="s">
        <v>289</v>
      </c>
      <c r="C211">
        <v>8</v>
      </c>
      <c r="D211">
        <v>5</v>
      </c>
      <c r="E211">
        <v>2</v>
      </c>
      <c r="F211" s="3" t="s">
        <v>1587</v>
      </c>
      <c r="G211" s="3" t="s">
        <v>1587</v>
      </c>
      <c r="H211" s="3">
        <v>-10</v>
      </c>
      <c r="I211">
        <v>40</v>
      </c>
      <c r="J211" s="2">
        <v>0</v>
      </c>
      <c r="K211" s="2" t="s">
        <v>291</v>
      </c>
      <c r="L211" s="2">
        <f t="shared" si="84"/>
        <v>6</v>
      </c>
      <c r="M211" s="2">
        <f t="shared" si="82"/>
        <v>1.4000000000000001</v>
      </c>
      <c r="N211" s="2">
        <f t="shared" si="82"/>
        <v>2</v>
      </c>
      <c r="O211" s="2">
        <v>10</v>
      </c>
      <c r="P211" s="2">
        <f t="shared" si="73"/>
        <v>254.61</v>
      </c>
      <c r="Q211" s="2">
        <f t="shared" si="73"/>
        <v>25.46</v>
      </c>
      <c r="R211" s="2">
        <f t="shared" si="73"/>
        <v>1362.58</v>
      </c>
      <c r="S211" s="2">
        <f t="shared" si="71"/>
        <v>136.26</v>
      </c>
      <c r="T211" s="2">
        <f t="shared" si="71"/>
        <v>25.46</v>
      </c>
      <c r="U211" s="2">
        <f t="shared" si="71"/>
        <v>2.5499999999999998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325022</v>
      </c>
      <c r="AB211" s="14" t="s">
        <v>1633</v>
      </c>
      <c r="AC211" s="15" t="s">
        <v>889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/>
      <c r="AJ211">
        <v>1</v>
      </c>
      <c r="AK211" s="1">
        <f t="shared" si="75"/>
        <v>94.984071845213819</v>
      </c>
      <c r="AL211">
        <v>8</v>
      </c>
      <c r="AM211">
        <f t="shared" si="85"/>
        <v>254.61333333333332</v>
      </c>
      <c r="AN211">
        <f t="shared" si="86"/>
        <v>25.461333333333332</v>
      </c>
      <c r="AO211">
        <f t="shared" si="87"/>
        <v>1362.5806451612905</v>
      </c>
      <c r="AP211">
        <f t="shared" si="88"/>
        <v>136.25806451612905</v>
      </c>
      <c r="AQ211">
        <f t="shared" si="76"/>
        <v>25.461333333333332</v>
      </c>
      <c r="AR211">
        <f t="shared" si="77"/>
        <v>2.5461333333333336</v>
      </c>
      <c r="AS211">
        <f t="shared" si="78"/>
        <v>1.4</v>
      </c>
      <c r="AT211">
        <f t="shared" si="79"/>
        <v>2</v>
      </c>
      <c r="AU211">
        <f t="shared" si="80"/>
        <v>6</v>
      </c>
      <c r="AV211">
        <f t="shared" si="72"/>
        <v>5022</v>
      </c>
      <c r="AW211" s="1">
        <v>2</v>
      </c>
      <c r="AX211">
        <v>3</v>
      </c>
      <c r="AY211">
        <v>0</v>
      </c>
      <c r="BX211" t="str">
        <f t="shared" si="81"/>
        <v>1325022,2325021</v>
      </c>
      <c r="BY211">
        <v>1325022</v>
      </c>
      <c r="BZ211">
        <v>2325021</v>
      </c>
      <c r="CB211" s="13"/>
      <c r="CC211" s="13"/>
      <c r="CE211" t="str">
        <f t="shared" ref="CE211:CE278" si="89">INDEX($CB$18:$CB$59,MATCH($CF211,$CC$18:$CC$59,0))</f>
        <v>DATA_Class_Base20</v>
      </c>
      <c r="CF211" s="6" t="s">
        <v>336</v>
      </c>
    </row>
    <row r="212" spans="1:84">
      <c r="A212">
        <f t="shared" si="83"/>
        <v>3082601</v>
      </c>
      <c r="B212" s="6" t="s">
        <v>307</v>
      </c>
      <c r="C212">
        <v>8</v>
      </c>
      <c r="D212">
        <v>6</v>
      </c>
      <c r="E212">
        <v>2</v>
      </c>
      <c r="F212" s="3" t="s">
        <v>1588</v>
      </c>
      <c r="G212" s="3" t="s">
        <v>1588</v>
      </c>
      <c r="H212" s="3">
        <v>-10</v>
      </c>
      <c r="I212">
        <v>50</v>
      </c>
      <c r="J212" s="2">
        <v>0</v>
      </c>
      <c r="K212" s="2" t="s">
        <v>309</v>
      </c>
      <c r="L212" s="2">
        <f t="shared" si="84"/>
        <v>6</v>
      </c>
      <c r="M212" s="2">
        <f t="shared" si="82"/>
        <v>1.5</v>
      </c>
      <c r="N212" s="2">
        <f t="shared" si="82"/>
        <v>2</v>
      </c>
      <c r="O212" s="2">
        <v>10</v>
      </c>
      <c r="P212" s="2">
        <f t="shared" si="73"/>
        <v>193.6</v>
      </c>
      <c r="Q212" s="2">
        <f t="shared" si="73"/>
        <v>19.36</v>
      </c>
      <c r="R212" s="2">
        <f t="shared" si="73"/>
        <v>1920</v>
      </c>
      <c r="S212" s="2">
        <f t="shared" si="71"/>
        <v>192</v>
      </c>
      <c r="T212" s="2">
        <f t="shared" si="71"/>
        <v>38.72</v>
      </c>
      <c r="U212" s="2">
        <f t="shared" si="71"/>
        <v>3.87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326012</v>
      </c>
      <c r="AB212" s="14" t="s">
        <v>454</v>
      </c>
      <c r="AC212" s="15" t="s">
        <v>889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/>
      <c r="AJ212">
        <v>1</v>
      </c>
      <c r="AK212" s="1">
        <f t="shared" si="75"/>
        <v>95.263511899767039</v>
      </c>
      <c r="AL212">
        <v>8</v>
      </c>
      <c r="AM212">
        <f t="shared" si="85"/>
        <v>193.60000000000002</v>
      </c>
      <c r="AN212">
        <f t="shared" si="86"/>
        <v>19.360000000000003</v>
      </c>
      <c r="AO212">
        <f t="shared" si="87"/>
        <v>1920.0000000000002</v>
      </c>
      <c r="AP212">
        <f t="shared" si="88"/>
        <v>192.00000000000003</v>
      </c>
      <c r="AQ212">
        <f t="shared" si="76"/>
        <v>38.720000000000006</v>
      </c>
      <c r="AR212">
        <f t="shared" si="77"/>
        <v>3.8720000000000008</v>
      </c>
      <c r="AS212">
        <f t="shared" si="78"/>
        <v>1.5</v>
      </c>
      <c r="AT212">
        <f t="shared" si="79"/>
        <v>2</v>
      </c>
      <c r="AU212">
        <f t="shared" si="80"/>
        <v>6</v>
      </c>
      <c r="AV212">
        <f t="shared" si="72"/>
        <v>6012</v>
      </c>
      <c r="AW212" s="1">
        <v>1</v>
      </c>
      <c r="AX212">
        <v>3</v>
      </c>
      <c r="AY212">
        <v>0</v>
      </c>
      <c r="BX212" t="str">
        <f t="shared" si="81"/>
        <v>1326012,2326011</v>
      </c>
      <c r="BY212">
        <v>1326012</v>
      </c>
      <c r="BZ212">
        <v>2326011</v>
      </c>
      <c r="CB212" s="13"/>
      <c r="CC212" s="13"/>
      <c r="CE212" t="str">
        <f t="shared" si="89"/>
        <v>DATA_Class_Base21</v>
      </c>
      <c r="CF212" s="6" t="s">
        <v>342</v>
      </c>
    </row>
    <row r="213" spans="1:84">
      <c r="A213">
        <f t="shared" si="83"/>
        <v>3083200</v>
      </c>
      <c r="B213" s="6" t="s">
        <v>294</v>
      </c>
      <c r="C213">
        <v>8</v>
      </c>
      <c r="D213">
        <v>2</v>
      </c>
      <c r="E213">
        <v>3</v>
      </c>
      <c r="F213" s="3" t="s">
        <v>1589</v>
      </c>
      <c r="G213" s="3" t="s">
        <v>1589</v>
      </c>
      <c r="H213" s="3">
        <v>0</v>
      </c>
      <c r="I213">
        <v>55</v>
      </c>
      <c r="J213">
        <v>0</v>
      </c>
      <c r="K213" s="2" t="s">
        <v>314</v>
      </c>
      <c r="L213" s="2">
        <f t="shared" si="84"/>
        <v>3</v>
      </c>
      <c r="M213" s="2">
        <f t="shared" si="82"/>
        <v>1.5</v>
      </c>
      <c r="N213" s="2">
        <f t="shared" si="82"/>
        <v>1.2</v>
      </c>
      <c r="O213" s="2">
        <v>10</v>
      </c>
      <c r="P213" s="2">
        <f t="shared" si="73"/>
        <v>123.2</v>
      </c>
      <c r="Q213" s="2">
        <f t="shared" si="73"/>
        <v>12.32</v>
      </c>
      <c r="R213" s="2">
        <f t="shared" si="73"/>
        <v>3017.14</v>
      </c>
      <c r="S213" s="2">
        <f t="shared" si="71"/>
        <v>301.70999999999998</v>
      </c>
      <c r="T213" s="2">
        <f t="shared" si="71"/>
        <v>61.6</v>
      </c>
      <c r="U213" s="2">
        <f t="shared" si="71"/>
        <v>6.16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332002</v>
      </c>
      <c r="AB213" s="14" t="s">
        <v>455</v>
      </c>
      <c r="AC213" s="15" t="s">
        <v>889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/>
      <c r="AJ213">
        <v>1</v>
      </c>
      <c r="AK213" s="1">
        <f t="shared" si="75"/>
        <v>95.749618023453849</v>
      </c>
      <c r="AL213">
        <v>8</v>
      </c>
      <c r="AM213">
        <f t="shared" si="85"/>
        <v>123.19999999999997</v>
      </c>
      <c r="AN213">
        <f t="shared" si="86"/>
        <v>12.319999999999999</v>
      </c>
      <c r="AO213">
        <f t="shared" si="87"/>
        <v>3017.1428571428578</v>
      </c>
      <c r="AP213">
        <f t="shared" si="88"/>
        <v>301.71428571428578</v>
      </c>
      <c r="AQ213">
        <f t="shared" si="76"/>
        <v>61.599999999999987</v>
      </c>
      <c r="AR213">
        <f t="shared" si="77"/>
        <v>6.1599999999999993</v>
      </c>
      <c r="AS213">
        <f t="shared" si="78"/>
        <v>1.5</v>
      </c>
      <c r="AT213">
        <f t="shared" si="79"/>
        <v>1.2</v>
      </c>
      <c r="AU213">
        <f t="shared" si="80"/>
        <v>3</v>
      </c>
      <c r="AV213">
        <f t="shared" si="72"/>
        <v>2003</v>
      </c>
      <c r="AW213" s="1">
        <v>0</v>
      </c>
      <c r="AX213">
        <v>3</v>
      </c>
      <c r="AY213">
        <v>0</v>
      </c>
      <c r="BX213" t="str">
        <f t="shared" si="81"/>
        <v>1332002,2332001</v>
      </c>
      <c r="BY213">
        <v>1332002</v>
      </c>
      <c r="BZ213">
        <v>2332001</v>
      </c>
      <c r="CB213" s="13"/>
      <c r="CC213" s="13"/>
      <c r="CE213" t="str">
        <f t="shared" si="89"/>
        <v>DATA_Class_Base13</v>
      </c>
      <c r="CF213" s="6" t="s">
        <v>295</v>
      </c>
    </row>
    <row r="214" spans="1:84">
      <c r="A214">
        <f t="shared" si="83"/>
        <v>3083201</v>
      </c>
      <c r="B214" s="6" t="s">
        <v>296</v>
      </c>
      <c r="C214">
        <v>8</v>
      </c>
      <c r="D214">
        <v>2</v>
      </c>
      <c r="E214">
        <v>3</v>
      </c>
      <c r="F214" s="3" t="s">
        <v>1590</v>
      </c>
      <c r="G214" s="3" t="s">
        <v>1590</v>
      </c>
      <c r="H214" s="3">
        <v>0</v>
      </c>
      <c r="I214">
        <v>40</v>
      </c>
      <c r="J214" s="2">
        <v>0</v>
      </c>
      <c r="K214" s="8" t="s">
        <v>298</v>
      </c>
      <c r="L214" s="2">
        <f t="shared" si="84"/>
        <v>3</v>
      </c>
      <c r="M214" s="2">
        <f t="shared" si="82"/>
        <v>1.8</v>
      </c>
      <c r="N214" s="2">
        <f t="shared" si="82"/>
        <v>1.8</v>
      </c>
      <c r="O214" s="2">
        <v>10</v>
      </c>
      <c r="P214" s="2">
        <f t="shared" si="73"/>
        <v>126.72</v>
      </c>
      <c r="Q214" s="2">
        <f t="shared" si="73"/>
        <v>12.67</v>
      </c>
      <c r="R214" s="2">
        <f t="shared" si="73"/>
        <v>3520</v>
      </c>
      <c r="S214" s="2">
        <f t="shared" si="71"/>
        <v>352</v>
      </c>
      <c r="T214" s="2">
        <f t="shared" si="71"/>
        <v>70.400000000000006</v>
      </c>
      <c r="U214" s="2">
        <f t="shared" si="71"/>
        <v>7.04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332012</v>
      </c>
      <c r="AB214" s="14" t="s">
        <v>1634</v>
      </c>
      <c r="AC214" s="15" t="s">
        <v>889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/>
      <c r="AJ214">
        <v>1</v>
      </c>
      <c r="AK214" s="1">
        <f t="shared" si="75"/>
        <v>95.937905480075429</v>
      </c>
      <c r="AL214">
        <v>8</v>
      </c>
      <c r="AM214">
        <f t="shared" si="85"/>
        <v>126.72000000000003</v>
      </c>
      <c r="AN214">
        <f t="shared" si="86"/>
        <v>12.672000000000004</v>
      </c>
      <c r="AO214">
        <f t="shared" si="87"/>
        <v>3520.0000000000005</v>
      </c>
      <c r="AP214">
        <f t="shared" si="88"/>
        <v>352.00000000000006</v>
      </c>
      <c r="AQ214">
        <f t="shared" si="76"/>
        <v>70.40000000000002</v>
      </c>
      <c r="AR214">
        <f t="shared" si="77"/>
        <v>7.0400000000000027</v>
      </c>
      <c r="AS214">
        <f t="shared" si="78"/>
        <v>1.8</v>
      </c>
      <c r="AT214">
        <f t="shared" si="79"/>
        <v>1.8</v>
      </c>
      <c r="AU214">
        <f t="shared" si="80"/>
        <v>3</v>
      </c>
      <c r="AV214">
        <f t="shared" si="72"/>
        <v>2013</v>
      </c>
      <c r="AW214" s="1">
        <v>1</v>
      </c>
      <c r="AX214">
        <v>3</v>
      </c>
      <c r="AY214">
        <v>0</v>
      </c>
      <c r="BX214" t="str">
        <f t="shared" si="81"/>
        <v>1332012,2332011</v>
      </c>
      <c r="BY214">
        <v>1332012</v>
      </c>
      <c r="BZ214">
        <v>2332011</v>
      </c>
      <c r="CB214" s="13"/>
      <c r="CC214" s="13"/>
      <c r="CE214" t="str">
        <f t="shared" si="89"/>
        <v>DATA_Class_Base14</v>
      </c>
      <c r="CF214" s="6" t="s">
        <v>300</v>
      </c>
    </row>
    <row r="215" spans="1:84">
      <c r="A215">
        <f t="shared" si="83"/>
        <v>3083202</v>
      </c>
      <c r="B215" s="6" t="s">
        <v>278</v>
      </c>
      <c r="C215">
        <v>8</v>
      </c>
      <c r="D215">
        <v>2</v>
      </c>
      <c r="E215">
        <v>3</v>
      </c>
      <c r="F215" s="3" t="s">
        <v>1591</v>
      </c>
      <c r="G215" s="3" t="s">
        <v>1591</v>
      </c>
      <c r="H215" s="3">
        <v>0</v>
      </c>
      <c r="I215">
        <v>45</v>
      </c>
      <c r="J215">
        <v>0</v>
      </c>
      <c r="K215" s="2" t="s">
        <v>280</v>
      </c>
      <c r="L215" s="2">
        <f t="shared" si="84"/>
        <v>3</v>
      </c>
      <c r="M215" s="2">
        <f t="shared" si="82"/>
        <v>1.8</v>
      </c>
      <c r="N215" s="2">
        <f t="shared" si="82"/>
        <v>2</v>
      </c>
      <c r="O215" s="2">
        <v>10</v>
      </c>
      <c r="P215" s="2">
        <f t="shared" si="73"/>
        <v>190.08</v>
      </c>
      <c r="Q215" s="2">
        <f t="shared" si="73"/>
        <v>19.010000000000002</v>
      </c>
      <c r="R215" s="2">
        <f t="shared" si="73"/>
        <v>2346.67</v>
      </c>
      <c r="S215" s="2">
        <f t="shared" si="71"/>
        <v>234.67</v>
      </c>
      <c r="T215" s="2">
        <f t="shared" si="71"/>
        <v>63.36</v>
      </c>
      <c r="U215" s="2">
        <f t="shared" si="71"/>
        <v>6.34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332022</v>
      </c>
      <c r="AB215" s="14" t="s">
        <v>1635</v>
      </c>
      <c r="AC215" s="15" t="s">
        <v>889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/>
      <c r="AJ215">
        <v>1</v>
      </c>
      <c r="AK215" s="1">
        <f t="shared" si="75"/>
        <v>95.787216366374182</v>
      </c>
      <c r="AL215">
        <v>8</v>
      </c>
      <c r="AM215">
        <f t="shared" si="85"/>
        <v>190.08000000000004</v>
      </c>
      <c r="AN215">
        <f t="shared" si="86"/>
        <v>19.008000000000006</v>
      </c>
      <c r="AO215">
        <f t="shared" si="87"/>
        <v>2346.666666666667</v>
      </c>
      <c r="AP215">
        <f t="shared" si="88"/>
        <v>234.66666666666671</v>
      </c>
      <c r="AQ215">
        <f t="shared" si="76"/>
        <v>63.360000000000014</v>
      </c>
      <c r="AR215">
        <f t="shared" si="77"/>
        <v>6.3360000000000021</v>
      </c>
      <c r="AS215">
        <f t="shared" si="78"/>
        <v>1.8</v>
      </c>
      <c r="AT215">
        <f t="shared" si="79"/>
        <v>2</v>
      </c>
      <c r="AU215">
        <f t="shared" si="80"/>
        <v>3</v>
      </c>
      <c r="AV215">
        <f t="shared" si="72"/>
        <v>2023</v>
      </c>
      <c r="AW215" s="1">
        <v>2</v>
      </c>
      <c r="AX215">
        <v>3</v>
      </c>
      <c r="AY215">
        <v>0</v>
      </c>
      <c r="BX215" t="str">
        <f t="shared" si="81"/>
        <v>1332022,2332021</v>
      </c>
      <c r="BY215">
        <v>1332022</v>
      </c>
      <c r="BZ215">
        <v>2332021</v>
      </c>
      <c r="CB215" s="13"/>
      <c r="CC215" s="13"/>
      <c r="CE215" t="str">
        <f t="shared" si="89"/>
        <v>DATA_Class_Base15</v>
      </c>
      <c r="CF215" s="6" t="s">
        <v>306</v>
      </c>
    </row>
    <row r="216" spans="1:84">
      <c r="A216">
        <f t="shared" si="83"/>
        <v>3083301</v>
      </c>
      <c r="B216" s="6" t="s">
        <v>283</v>
      </c>
      <c r="C216">
        <v>8</v>
      </c>
      <c r="D216">
        <v>3</v>
      </c>
      <c r="E216">
        <v>3</v>
      </c>
      <c r="F216" s="3" t="s">
        <v>1592</v>
      </c>
      <c r="G216" s="3" t="s">
        <v>1592</v>
      </c>
      <c r="H216" s="3">
        <v>0</v>
      </c>
      <c r="I216">
        <v>55</v>
      </c>
      <c r="J216" s="2">
        <v>0</v>
      </c>
      <c r="K216" s="2" t="s">
        <v>285</v>
      </c>
      <c r="L216" s="2">
        <f t="shared" si="84"/>
        <v>3</v>
      </c>
      <c r="M216" s="2">
        <f t="shared" si="82"/>
        <v>1.2</v>
      </c>
      <c r="N216" s="2">
        <f t="shared" si="82"/>
        <v>1.4000000000000001</v>
      </c>
      <c r="O216" s="2">
        <v>10</v>
      </c>
      <c r="P216" s="2">
        <f t="shared" si="73"/>
        <v>168.96</v>
      </c>
      <c r="Q216" s="2">
        <f t="shared" si="73"/>
        <v>16.899999999999999</v>
      </c>
      <c r="R216" s="2">
        <f t="shared" si="73"/>
        <v>1760</v>
      </c>
      <c r="S216" s="2">
        <f t="shared" si="71"/>
        <v>176</v>
      </c>
      <c r="T216" s="2">
        <f t="shared" si="71"/>
        <v>33.79</v>
      </c>
      <c r="U216" s="2">
        <f t="shared" si="71"/>
        <v>3.38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333012</v>
      </c>
      <c r="AB216" s="14" t="s">
        <v>1636</v>
      </c>
      <c r="AC216" s="15" t="s">
        <v>889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/>
      <c r="AJ216">
        <v>1</v>
      </c>
      <c r="AK216" s="1">
        <f t="shared" si="75"/>
        <v>95.159457444915319</v>
      </c>
      <c r="AL216">
        <v>8</v>
      </c>
      <c r="AM216">
        <f t="shared" si="85"/>
        <v>168.96</v>
      </c>
      <c r="AN216">
        <f t="shared" si="86"/>
        <v>16.896000000000001</v>
      </c>
      <c r="AO216">
        <f t="shared" si="87"/>
        <v>1760.0000000000002</v>
      </c>
      <c r="AP216">
        <f t="shared" si="88"/>
        <v>176.00000000000003</v>
      </c>
      <c r="AQ216">
        <f t="shared" si="76"/>
        <v>33.792000000000002</v>
      </c>
      <c r="AR216">
        <f t="shared" si="77"/>
        <v>3.3792000000000004</v>
      </c>
      <c r="AS216">
        <f t="shared" si="78"/>
        <v>1.2</v>
      </c>
      <c r="AT216">
        <f t="shared" si="79"/>
        <v>1.4</v>
      </c>
      <c r="AU216">
        <f t="shared" si="80"/>
        <v>3</v>
      </c>
      <c r="AV216">
        <f t="shared" si="72"/>
        <v>3013</v>
      </c>
      <c r="AW216" s="1">
        <v>1</v>
      </c>
      <c r="AX216">
        <v>3</v>
      </c>
      <c r="AY216">
        <v>0</v>
      </c>
      <c r="BX216" t="str">
        <f t="shared" si="81"/>
        <v>1333012,2333011</v>
      </c>
      <c r="BY216">
        <v>1333012</v>
      </c>
      <c r="BZ216">
        <v>2333011</v>
      </c>
      <c r="CB216" s="13"/>
      <c r="CC216" s="13"/>
      <c r="CE216" t="str">
        <f t="shared" si="89"/>
        <v>DATA_Class_Base16</v>
      </c>
      <c r="CF216" s="6" t="s">
        <v>312</v>
      </c>
    </row>
    <row r="217" spans="1:84">
      <c r="A217">
        <f t="shared" si="83"/>
        <v>3083401</v>
      </c>
      <c r="B217" s="6" t="s">
        <v>317</v>
      </c>
      <c r="C217">
        <v>8</v>
      </c>
      <c r="D217">
        <v>4</v>
      </c>
      <c r="E217">
        <v>3</v>
      </c>
      <c r="F217" s="3" t="s">
        <v>1593</v>
      </c>
      <c r="G217" s="3" t="s">
        <v>1593</v>
      </c>
      <c r="H217" s="3">
        <v>10</v>
      </c>
      <c r="I217">
        <v>45</v>
      </c>
      <c r="J217">
        <v>0</v>
      </c>
      <c r="K217" s="2" t="s">
        <v>161</v>
      </c>
      <c r="L217" s="2">
        <f t="shared" si="84"/>
        <v>6</v>
      </c>
      <c r="M217" s="2">
        <f t="shared" si="82"/>
        <v>1.6</v>
      </c>
      <c r="N217" s="2">
        <f t="shared" si="82"/>
        <v>1.5</v>
      </c>
      <c r="O217" s="2">
        <v>10</v>
      </c>
      <c r="P217" s="2">
        <f t="shared" si="73"/>
        <v>225.28</v>
      </c>
      <c r="Q217" s="2">
        <f t="shared" si="73"/>
        <v>22.53</v>
      </c>
      <c r="R217" s="2">
        <f t="shared" si="73"/>
        <v>1760</v>
      </c>
      <c r="S217" s="2">
        <f t="shared" si="71"/>
        <v>176</v>
      </c>
      <c r="T217" s="2">
        <f t="shared" si="71"/>
        <v>37.549999999999997</v>
      </c>
      <c r="U217" s="2">
        <f t="shared" si="71"/>
        <v>3.75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334012</v>
      </c>
      <c r="AB217" s="14" t="s">
        <v>456</v>
      </c>
      <c r="AC217" s="15" t="s">
        <v>889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/>
      <c r="AJ217">
        <v>1</v>
      </c>
      <c r="AK217" s="1">
        <f t="shared" si="75"/>
        <v>95.238716394408911</v>
      </c>
      <c r="AL217">
        <v>8</v>
      </c>
      <c r="AM217">
        <f t="shared" si="85"/>
        <v>225.28000000000003</v>
      </c>
      <c r="AN217">
        <f t="shared" si="86"/>
        <v>22.528000000000006</v>
      </c>
      <c r="AO217">
        <f t="shared" si="87"/>
        <v>1760.0000000000002</v>
      </c>
      <c r="AP217">
        <f t="shared" si="88"/>
        <v>176.00000000000003</v>
      </c>
      <c r="AQ217">
        <f t="shared" si="76"/>
        <v>37.546666666666674</v>
      </c>
      <c r="AR217">
        <f t="shared" si="77"/>
        <v>3.7546666666666675</v>
      </c>
      <c r="AS217">
        <f t="shared" si="78"/>
        <v>1.6</v>
      </c>
      <c r="AT217">
        <f t="shared" si="79"/>
        <v>1.5</v>
      </c>
      <c r="AU217">
        <f t="shared" si="80"/>
        <v>6</v>
      </c>
      <c r="AV217">
        <f t="shared" si="72"/>
        <v>4013</v>
      </c>
      <c r="AW217" s="1">
        <v>1</v>
      </c>
      <c r="AX217">
        <v>3</v>
      </c>
      <c r="AY217">
        <v>0</v>
      </c>
      <c r="BX217" t="str">
        <f t="shared" si="81"/>
        <v>1334012,2334011</v>
      </c>
      <c r="BY217">
        <v>1334012</v>
      </c>
      <c r="BZ217">
        <v>2334011</v>
      </c>
      <c r="CB217" s="13"/>
      <c r="CC217" s="13"/>
      <c r="CE217" t="str">
        <f t="shared" si="89"/>
        <v>DATA_Class_Base17</v>
      </c>
      <c r="CF217" s="6" t="s">
        <v>318</v>
      </c>
    </row>
    <row r="218" spans="1:84">
      <c r="A218">
        <f t="shared" si="83"/>
        <v>3083402</v>
      </c>
      <c r="B218" s="6" t="s">
        <v>323</v>
      </c>
      <c r="C218">
        <v>8</v>
      </c>
      <c r="D218">
        <v>4</v>
      </c>
      <c r="E218">
        <v>3</v>
      </c>
      <c r="F218" s="3" t="s">
        <v>1594</v>
      </c>
      <c r="G218" s="3" t="s">
        <v>1594</v>
      </c>
      <c r="H218" s="3">
        <v>10</v>
      </c>
      <c r="I218">
        <v>50</v>
      </c>
      <c r="J218" s="2">
        <v>0</v>
      </c>
      <c r="K218" s="2" t="s">
        <v>250</v>
      </c>
      <c r="L218" s="2">
        <f t="shared" si="84"/>
        <v>6</v>
      </c>
      <c r="M218" s="2">
        <f t="shared" si="82"/>
        <v>1.5</v>
      </c>
      <c r="N218" s="2">
        <f t="shared" si="82"/>
        <v>1.5</v>
      </c>
      <c r="O218" s="2">
        <v>10</v>
      </c>
      <c r="P218" s="2">
        <f t="shared" si="73"/>
        <v>228.8</v>
      </c>
      <c r="Q218" s="2">
        <f t="shared" si="73"/>
        <v>22.88</v>
      </c>
      <c r="R218" s="2">
        <f t="shared" si="73"/>
        <v>1624.62</v>
      </c>
      <c r="S218" s="2">
        <f t="shared" si="71"/>
        <v>162.46</v>
      </c>
      <c r="T218" s="2">
        <f t="shared" si="71"/>
        <v>32.69</v>
      </c>
      <c r="U218" s="2">
        <f t="shared" si="71"/>
        <v>3.27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334022</v>
      </c>
      <c r="AB218" s="14" t="s">
        <v>457</v>
      </c>
      <c r="AC218" s="15" t="s">
        <v>889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/>
      <c r="AJ218">
        <v>1</v>
      </c>
      <c r="AK218" s="1">
        <f t="shared" si="75"/>
        <v>95.136129516477354</v>
      </c>
      <c r="AL218">
        <v>8</v>
      </c>
      <c r="AM218">
        <f t="shared" si="85"/>
        <v>228.8</v>
      </c>
      <c r="AN218">
        <f t="shared" si="86"/>
        <v>22.880000000000003</v>
      </c>
      <c r="AO218">
        <f t="shared" si="87"/>
        <v>1624.6153846153845</v>
      </c>
      <c r="AP218">
        <f t="shared" si="88"/>
        <v>162.46153846153845</v>
      </c>
      <c r="AQ218">
        <f t="shared" si="76"/>
        <v>32.68571428571429</v>
      </c>
      <c r="AR218">
        <f t="shared" si="77"/>
        <v>3.2685714285714291</v>
      </c>
      <c r="AS218">
        <f t="shared" si="78"/>
        <v>1.5</v>
      </c>
      <c r="AT218">
        <f t="shared" si="79"/>
        <v>1.5</v>
      </c>
      <c r="AU218">
        <f t="shared" si="80"/>
        <v>6</v>
      </c>
      <c r="AV218">
        <f t="shared" si="72"/>
        <v>4023</v>
      </c>
      <c r="AW218" s="1">
        <v>2</v>
      </c>
      <c r="AX218">
        <v>3</v>
      </c>
      <c r="AY218">
        <v>0</v>
      </c>
      <c r="BX218" t="str">
        <f t="shared" si="81"/>
        <v>1334022,2334021</v>
      </c>
      <c r="BY218">
        <v>1334022</v>
      </c>
      <c r="BZ218">
        <v>2334021</v>
      </c>
      <c r="CB218" s="13"/>
      <c r="CC218" s="13"/>
      <c r="CE218" t="str">
        <f t="shared" si="89"/>
        <v>DATA_Class_Base18</v>
      </c>
      <c r="CF218" s="6" t="s">
        <v>324</v>
      </c>
    </row>
    <row r="219" spans="1:84" ht="14.25" customHeight="1">
      <c r="A219">
        <f t="shared" si="83"/>
        <v>3083500</v>
      </c>
      <c r="B219" s="6" t="s">
        <v>301</v>
      </c>
      <c r="C219">
        <v>8</v>
      </c>
      <c r="D219">
        <v>5</v>
      </c>
      <c r="E219">
        <v>3</v>
      </c>
      <c r="F219" s="3" t="s">
        <v>1595</v>
      </c>
      <c r="G219" s="3" t="s">
        <v>1595</v>
      </c>
      <c r="H219" s="3">
        <v>0</v>
      </c>
      <c r="I219">
        <v>45</v>
      </c>
      <c r="J219" s="2">
        <v>0</v>
      </c>
      <c r="K219" s="2" t="s">
        <v>303</v>
      </c>
      <c r="L219" s="2">
        <f t="shared" si="84"/>
        <v>6</v>
      </c>
      <c r="M219" s="2">
        <f t="shared" si="82"/>
        <v>1.5</v>
      </c>
      <c r="N219" s="2">
        <f t="shared" si="82"/>
        <v>2</v>
      </c>
      <c r="O219" s="2">
        <v>10</v>
      </c>
      <c r="P219" s="2">
        <f t="shared" si="73"/>
        <v>228.8</v>
      </c>
      <c r="Q219" s="2">
        <f t="shared" si="73"/>
        <v>22.88</v>
      </c>
      <c r="R219" s="2">
        <f t="shared" si="73"/>
        <v>1624.62</v>
      </c>
      <c r="S219" s="2">
        <f t="shared" si="71"/>
        <v>162.46</v>
      </c>
      <c r="T219" s="2">
        <f t="shared" si="71"/>
        <v>38.130000000000003</v>
      </c>
      <c r="U219" s="2">
        <f t="shared" si="71"/>
        <v>3.81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335002</v>
      </c>
      <c r="AB219" s="14" t="s">
        <v>1637</v>
      </c>
      <c r="AC219" s="15" t="s">
        <v>889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/>
      <c r="AJ219">
        <v>1</v>
      </c>
      <c r="AK219" s="1">
        <f t="shared" si="75"/>
        <v>95.251112533413647</v>
      </c>
      <c r="AL219">
        <v>8</v>
      </c>
      <c r="AM219">
        <f t="shared" si="85"/>
        <v>228.8</v>
      </c>
      <c r="AN219">
        <f t="shared" si="86"/>
        <v>22.880000000000003</v>
      </c>
      <c r="AO219">
        <f t="shared" si="87"/>
        <v>1624.6153846153845</v>
      </c>
      <c r="AP219">
        <f t="shared" si="88"/>
        <v>162.46153846153845</v>
      </c>
      <c r="AQ219">
        <f t="shared" si="76"/>
        <v>38.133333333333333</v>
      </c>
      <c r="AR219">
        <f t="shared" si="77"/>
        <v>3.8133333333333335</v>
      </c>
      <c r="AS219">
        <f t="shared" si="78"/>
        <v>1.5</v>
      </c>
      <c r="AT219">
        <f t="shared" si="79"/>
        <v>2</v>
      </c>
      <c r="AU219">
        <f t="shared" si="80"/>
        <v>6</v>
      </c>
      <c r="AV219">
        <f t="shared" si="72"/>
        <v>5003</v>
      </c>
      <c r="AW219" s="1">
        <v>0</v>
      </c>
      <c r="AX219">
        <v>3</v>
      </c>
      <c r="AY219">
        <v>0</v>
      </c>
      <c r="BX219" t="str">
        <f t="shared" si="81"/>
        <v>1335002,2335001</v>
      </c>
      <c r="BY219">
        <v>1335002</v>
      </c>
      <c r="BZ219">
        <v>2335001</v>
      </c>
      <c r="CB219" s="13"/>
      <c r="CC219" s="13"/>
      <c r="CE219" t="str">
        <f t="shared" si="89"/>
        <v>DATA_Class_Base19</v>
      </c>
      <c r="CF219" s="6" t="s">
        <v>331</v>
      </c>
    </row>
    <row r="220" spans="1:84">
      <c r="A220">
        <f t="shared" si="83"/>
        <v>3083502</v>
      </c>
      <c r="B220" s="6" t="s">
        <v>289</v>
      </c>
      <c r="C220">
        <v>8</v>
      </c>
      <c r="D220">
        <v>5</v>
      </c>
      <c r="E220">
        <v>3</v>
      </c>
      <c r="F220" s="3" t="s">
        <v>1596</v>
      </c>
      <c r="G220" s="3" t="s">
        <v>1596</v>
      </c>
      <c r="H220" s="3">
        <v>-10</v>
      </c>
      <c r="I220">
        <v>40</v>
      </c>
      <c r="J220" s="2">
        <v>0</v>
      </c>
      <c r="K220" s="2" t="s">
        <v>291</v>
      </c>
      <c r="L220" s="2">
        <f t="shared" si="84"/>
        <v>6</v>
      </c>
      <c r="M220" s="2">
        <f t="shared" si="82"/>
        <v>1.4000000000000001</v>
      </c>
      <c r="N220" s="2">
        <f t="shared" si="82"/>
        <v>2</v>
      </c>
      <c r="O220" s="2">
        <v>10</v>
      </c>
      <c r="P220" s="2">
        <f t="shared" si="73"/>
        <v>221.76</v>
      </c>
      <c r="Q220" s="2">
        <f t="shared" si="73"/>
        <v>22.18</v>
      </c>
      <c r="R220" s="2">
        <f t="shared" si="73"/>
        <v>1564.44</v>
      </c>
      <c r="S220" s="2">
        <f t="shared" si="71"/>
        <v>156.44</v>
      </c>
      <c r="T220" s="2">
        <f t="shared" si="71"/>
        <v>31.68</v>
      </c>
      <c r="U220" s="2">
        <f t="shared" si="71"/>
        <v>3.17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335022</v>
      </c>
      <c r="AB220" s="14" t="s">
        <v>1638</v>
      </c>
      <c r="AC220" s="15" t="s">
        <v>889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/>
      <c r="AJ220">
        <v>1</v>
      </c>
      <c r="AK220" s="1">
        <f t="shared" si="75"/>
        <v>95.114932231681991</v>
      </c>
      <c r="AL220">
        <v>8</v>
      </c>
      <c r="AM220">
        <f t="shared" si="85"/>
        <v>221.76000000000002</v>
      </c>
      <c r="AN220">
        <f t="shared" si="86"/>
        <v>22.176000000000002</v>
      </c>
      <c r="AO220">
        <f t="shared" si="87"/>
        <v>1564.4444444444446</v>
      </c>
      <c r="AP220">
        <f t="shared" si="88"/>
        <v>156.44444444444446</v>
      </c>
      <c r="AQ220">
        <f t="shared" si="76"/>
        <v>31.680000000000003</v>
      </c>
      <c r="AR220">
        <f t="shared" si="77"/>
        <v>3.1680000000000006</v>
      </c>
      <c r="AS220">
        <f t="shared" si="78"/>
        <v>1.4</v>
      </c>
      <c r="AT220">
        <f t="shared" si="79"/>
        <v>2</v>
      </c>
      <c r="AU220">
        <f t="shared" si="80"/>
        <v>6</v>
      </c>
      <c r="AV220">
        <f t="shared" si="72"/>
        <v>5023</v>
      </c>
      <c r="AW220" s="1">
        <v>2</v>
      </c>
      <c r="AX220">
        <v>3</v>
      </c>
      <c r="AY220">
        <v>0</v>
      </c>
      <c r="BX220" t="str">
        <f t="shared" si="81"/>
        <v>1335022,2335021</v>
      </c>
      <c r="BY220">
        <v>1335022</v>
      </c>
      <c r="BZ220">
        <v>2335021</v>
      </c>
      <c r="CB220" s="13"/>
      <c r="CC220" s="13"/>
      <c r="CE220" t="str">
        <f t="shared" si="89"/>
        <v>DATA_Class_Base20</v>
      </c>
      <c r="CF220" s="6" t="s">
        <v>336</v>
      </c>
    </row>
    <row r="221" spans="1:84">
      <c r="A221">
        <f t="shared" si="83"/>
        <v>3083601</v>
      </c>
      <c r="B221" s="6" t="s">
        <v>307</v>
      </c>
      <c r="C221">
        <v>8</v>
      </c>
      <c r="D221">
        <v>6</v>
      </c>
      <c r="E221">
        <v>3</v>
      </c>
      <c r="F221" s="3" t="s">
        <v>1597</v>
      </c>
      <c r="G221" s="3" t="s">
        <v>1597</v>
      </c>
      <c r="H221" s="3">
        <v>-10</v>
      </c>
      <c r="I221">
        <v>50</v>
      </c>
      <c r="J221">
        <v>0</v>
      </c>
      <c r="K221" s="2" t="s">
        <v>309</v>
      </c>
      <c r="L221" s="2">
        <f t="shared" si="84"/>
        <v>6</v>
      </c>
      <c r="M221" s="2">
        <f t="shared" si="82"/>
        <v>1.5</v>
      </c>
      <c r="N221" s="2">
        <f t="shared" si="82"/>
        <v>2</v>
      </c>
      <c r="O221" s="2">
        <v>10</v>
      </c>
      <c r="P221" s="2">
        <f t="shared" si="73"/>
        <v>158.4</v>
      </c>
      <c r="Q221" s="2">
        <f t="shared" si="73"/>
        <v>15.84</v>
      </c>
      <c r="R221" s="2">
        <f t="shared" si="73"/>
        <v>2346.67</v>
      </c>
      <c r="S221" s="2">
        <f t="shared" si="71"/>
        <v>234.67</v>
      </c>
      <c r="T221" s="2">
        <f t="shared" si="71"/>
        <v>52.8</v>
      </c>
      <c r="U221" s="2">
        <f t="shared" si="71"/>
        <v>5.28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336012</v>
      </c>
      <c r="AB221" s="14" t="s">
        <v>1639</v>
      </c>
      <c r="AC221" s="15" t="s">
        <v>889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/>
      <c r="AJ221">
        <v>1</v>
      </c>
      <c r="AK221" s="1">
        <f t="shared" si="75"/>
        <v>95.562068184025662</v>
      </c>
      <c r="AL221">
        <v>8</v>
      </c>
      <c r="AM221">
        <f t="shared" si="85"/>
        <v>158.4</v>
      </c>
      <c r="AN221">
        <f t="shared" si="86"/>
        <v>15.840000000000002</v>
      </c>
      <c r="AO221">
        <f t="shared" si="87"/>
        <v>2346.666666666667</v>
      </c>
      <c r="AP221">
        <f t="shared" si="88"/>
        <v>234.66666666666671</v>
      </c>
      <c r="AQ221">
        <f t="shared" si="76"/>
        <v>52.800000000000004</v>
      </c>
      <c r="AR221">
        <f t="shared" si="77"/>
        <v>5.2800000000000011</v>
      </c>
      <c r="AS221">
        <f t="shared" si="78"/>
        <v>1.5</v>
      </c>
      <c r="AT221">
        <f t="shared" si="79"/>
        <v>2</v>
      </c>
      <c r="AU221">
        <f t="shared" si="80"/>
        <v>6</v>
      </c>
      <c r="AV221">
        <f t="shared" si="72"/>
        <v>6013</v>
      </c>
      <c r="AW221" s="1">
        <v>1</v>
      </c>
      <c r="AX221">
        <v>3</v>
      </c>
      <c r="AY221">
        <v>0</v>
      </c>
      <c r="BX221" t="str">
        <f t="shared" si="81"/>
        <v>1336012,2336011</v>
      </c>
      <c r="BY221">
        <v>1336012</v>
      </c>
      <c r="BZ221">
        <v>2336011</v>
      </c>
      <c r="CB221" s="13"/>
      <c r="CC221" s="13"/>
      <c r="CE221" t="str">
        <f t="shared" si="89"/>
        <v>DATA_Class_Base21</v>
      </c>
      <c r="CF221" s="6" t="s">
        <v>342</v>
      </c>
    </row>
    <row r="222" spans="1:84">
      <c r="A222">
        <f t="shared" si="83"/>
        <v>3084501</v>
      </c>
      <c r="B222" s="6" t="s">
        <v>332</v>
      </c>
      <c r="C222">
        <v>8</v>
      </c>
      <c r="D222">
        <v>5</v>
      </c>
      <c r="E222">
        <v>4</v>
      </c>
      <c r="F222" s="3" t="s">
        <v>1598</v>
      </c>
      <c r="G222" s="3" t="s">
        <v>1598</v>
      </c>
      <c r="H222" s="3">
        <v>0</v>
      </c>
      <c r="I222">
        <v>45</v>
      </c>
      <c r="J222">
        <v>0</v>
      </c>
      <c r="K222" s="2" t="s">
        <v>334</v>
      </c>
      <c r="L222" s="2">
        <f t="shared" si="84"/>
        <v>6</v>
      </c>
      <c r="M222" s="2">
        <f t="shared" si="82"/>
        <v>1.6</v>
      </c>
      <c r="N222" s="2">
        <f t="shared" si="82"/>
        <v>2</v>
      </c>
      <c r="O222" s="2">
        <v>10</v>
      </c>
      <c r="P222" s="2">
        <f t="shared" si="73"/>
        <v>244.05</v>
      </c>
      <c r="Q222" s="2">
        <f t="shared" si="73"/>
        <v>24.41</v>
      </c>
      <c r="R222" s="2">
        <f t="shared" si="73"/>
        <v>1624.62</v>
      </c>
      <c r="S222" s="2">
        <f t="shared" si="73"/>
        <v>162.46</v>
      </c>
      <c r="T222" s="2">
        <f t="shared" si="73"/>
        <v>27.12</v>
      </c>
      <c r="U222" s="2">
        <f t="shared" si="73"/>
        <v>2.71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345012</v>
      </c>
      <c r="AB222" s="14" t="s">
        <v>458</v>
      </c>
      <c r="AC222" s="15" t="s">
        <v>889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/>
      <c r="AJ222">
        <v>1</v>
      </c>
      <c r="AK222" s="1">
        <f t="shared" si="75"/>
        <v>95.018877894840259</v>
      </c>
      <c r="AL222">
        <v>8</v>
      </c>
      <c r="AM222">
        <f t="shared" si="85"/>
        <v>244.05333333333337</v>
      </c>
      <c r="AN222">
        <f t="shared" si="86"/>
        <v>24.405333333333338</v>
      </c>
      <c r="AO222">
        <f t="shared" si="87"/>
        <v>1624.6153846153845</v>
      </c>
      <c r="AP222">
        <f t="shared" si="88"/>
        <v>162.46153846153845</v>
      </c>
      <c r="AQ222">
        <f t="shared" si="76"/>
        <v>27.11703703703704</v>
      </c>
      <c r="AR222">
        <f t="shared" si="77"/>
        <v>2.7117037037037042</v>
      </c>
      <c r="AS222">
        <f t="shared" si="78"/>
        <v>1.6</v>
      </c>
      <c r="AT222">
        <f t="shared" si="79"/>
        <v>2</v>
      </c>
      <c r="AU222">
        <f t="shared" si="80"/>
        <v>6</v>
      </c>
      <c r="AV222">
        <f t="shared" ref="AV222:AV289" si="90">D222*1000+AW222*10+E222</f>
        <v>5014</v>
      </c>
      <c r="AW222" s="1">
        <v>1</v>
      </c>
      <c r="AX222">
        <v>3</v>
      </c>
      <c r="AY222">
        <v>0</v>
      </c>
      <c r="BX222" t="str">
        <f t="shared" si="81"/>
        <v>1345012,2345011</v>
      </c>
      <c r="BY222">
        <v>1345012</v>
      </c>
      <c r="BZ222">
        <v>2345011</v>
      </c>
      <c r="CB222" s="13"/>
      <c r="CC222" s="13"/>
      <c r="CE222" t="str">
        <f t="shared" si="89"/>
        <v>DATA_Class_Base22</v>
      </c>
      <c r="CF222" s="6" t="s">
        <v>349</v>
      </c>
    </row>
    <row r="223" spans="1:84">
      <c r="A223">
        <f t="shared" si="83"/>
        <v>3084600</v>
      </c>
      <c r="B223" s="6" t="s">
        <v>337</v>
      </c>
      <c r="C223">
        <v>8</v>
      </c>
      <c r="D223">
        <v>6</v>
      </c>
      <c r="E223">
        <v>4</v>
      </c>
      <c r="F223" s="3" t="s">
        <v>1599</v>
      </c>
      <c r="G223" s="3" t="s">
        <v>1599</v>
      </c>
      <c r="H223" s="3">
        <v>0</v>
      </c>
      <c r="I223">
        <v>35</v>
      </c>
      <c r="J223" s="2">
        <v>0</v>
      </c>
      <c r="K223" s="2" t="s">
        <v>339</v>
      </c>
      <c r="L223" s="2">
        <f t="shared" si="84"/>
        <v>3</v>
      </c>
      <c r="M223" s="2">
        <f t="shared" si="82"/>
        <v>1.4000000000000001</v>
      </c>
      <c r="N223" s="2">
        <f t="shared" si="82"/>
        <v>1.9000000000000001</v>
      </c>
      <c r="O223" s="2">
        <v>10</v>
      </c>
      <c r="P223" s="2">
        <f t="shared" ref="P223:U265" si="91">ROUND(AM223*(1+$AY223),2)</f>
        <v>180.69</v>
      </c>
      <c r="Q223" s="2">
        <f t="shared" si="91"/>
        <v>18.07</v>
      </c>
      <c r="R223" s="2">
        <f t="shared" si="91"/>
        <v>1920</v>
      </c>
      <c r="S223" s="2">
        <f t="shared" si="91"/>
        <v>192</v>
      </c>
      <c r="T223" s="2">
        <f t="shared" si="91"/>
        <v>45.17</v>
      </c>
      <c r="U223" s="2">
        <f t="shared" si="91"/>
        <v>4.5199999999999996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346002</v>
      </c>
      <c r="AB223" s="14" t="s">
        <v>459</v>
      </c>
      <c r="AC223" s="15" t="s">
        <v>889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/>
      <c r="AJ223">
        <v>1</v>
      </c>
      <c r="AK223" s="1">
        <f t="shared" si="75"/>
        <v>95.400118295637895</v>
      </c>
      <c r="AL223">
        <v>8</v>
      </c>
      <c r="AM223">
        <f t="shared" si="85"/>
        <v>180.69333333333333</v>
      </c>
      <c r="AN223">
        <f t="shared" si="86"/>
        <v>18.069333333333333</v>
      </c>
      <c r="AO223">
        <f t="shared" si="87"/>
        <v>1920.0000000000002</v>
      </c>
      <c r="AP223">
        <f t="shared" si="88"/>
        <v>192.00000000000003</v>
      </c>
      <c r="AQ223">
        <f t="shared" si="76"/>
        <v>45.173333333333332</v>
      </c>
      <c r="AR223">
        <f t="shared" si="77"/>
        <v>4.5173333333333332</v>
      </c>
      <c r="AS223">
        <f t="shared" si="78"/>
        <v>1.4</v>
      </c>
      <c r="AT223">
        <f t="shared" si="79"/>
        <v>1.9</v>
      </c>
      <c r="AU223">
        <f t="shared" si="80"/>
        <v>3</v>
      </c>
      <c r="AV223">
        <f t="shared" si="90"/>
        <v>6004</v>
      </c>
      <c r="AW223" s="1">
        <v>0</v>
      </c>
      <c r="AX223">
        <v>3</v>
      </c>
      <c r="AY223">
        <v>0</v>
      </c>
      <c r="BX223" t="str">
        <f t="shared" si="81"/>
        <v>1346002,2346001</v>
      </c>
      <c r="BY223">
        <v>1346002</v>
      </c>
      <c r="BZ223">
        <v>2346001</v>
      </c>
      <c r="CB223" s="13"/>
      <c r="CC223" s="13"/>
      <c r="CE223" t="str">
        <f t="shared" si="89"/>
        <v>DATA_Class_Base23</v>
      </c>
      <c r="CF223" s="6" t="s">
        <v>355</v>
      </c>
    </row>
    <row r="224" spans="1:84">
      <c r="A224">
        <f t="shared" si="83"/>
        <v>3084602</v>
      </c>
      <c r="B224" s="6" t="s">
        <v>343</v>
      </c>
      <c r="C224">
        <v>8</v>
      </c>
      <c r="D224">
        <v>6</v>
      </c>
      <c r="E224">
        <v>4</v>
      </c>
      <c r="F224" s="3" t="s">
        <v>1600</v>
      </c>
      <c r="G224" s="3" t="s">
        <v>1600</v>
      </c>
      <c r="H224" s="3">
        <v>0</v>
      </c>
      <c r="I224">
        <v>50</v>
      </c>
      <c r="J224" t="s">
        <v>345</v>
      </c>
      <c r="K224" s="2" t="s">
        <v>346</v>
      </c>
      <c r="L224" s="2">
        <f t="shared" si="84"/>
        <v>6</v>
      </c>
      <c r="M224" s="2">
        <f t="shared" si="82"/>
        <v>1.8</v>
      </c>
      <c r="N224" s="2">
        <f t="shared" si="82"/>
        <v>2</v>
      </c>
      <c r="O224" s="2">
        <v>10</v>
      </c>
      <c r="P224" s="2">
        <f t="shared" si="91"/>
        <v>211.2</v>
      </c>
      <c r="Q224" s="2">
        <f t="shared" si="91"/>
        <v>21.12</v>
      </c>
      <c r="R224" s="2">
        <f t="shared" si="91"/>
        <v>2112</v>
      </c>
      <c r="S224" s="2">
        <f t="shared" si="91"/>
        <v>211.2</v>
      </c>
      <c r="T224" s="2">
        <f t="shared" si="91"/>
        <v>42.24</v>
      </c>
      <c r="U224" s="2">
        <f t="shared" si="91"/>
        <v>4.22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346022</v>
      </c>
      <c r="AB224" s="14" t="s">
        <v>460</v>
      </c>
      <c r="AC224" s="15" t="s">
        <v>889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/>
      <c r="AJ224">
        <v>1</v>
      </c>
      <c r="AK224" s="1">
        <f t="shared" si="75"/>
        <v>95.337975942841638</v>
      </c>
      <c r="AL224">
        <v>8</v>
      </c>
      <c r="AM224">
        <f t="shared" si="85"/>
        <v>211.20000000000002</v>
      </c>
      <c r="AN224">
        <f t="shared" si="86"/>
        <v>21.120000000000005</v>
      </c>
      <c r="AO224">
        <f t="shared" si="87"/>
        <v>2112</v>
      </c>
      <c r="AP224">
        <f t="shared" si="88"/>
        <v>211.20000000000002</v>
      </c>
      <c r="AQ224">
        <f t="shared" si="76"/>
        <v>42.24</v>
      </c>
      <c r="AR224">
        <f t="shared" si="77"/>
        <v>4.2240000000000002</v>
      </c>
      <c r="AS224">
        <f t="shared" si="78"/>
        <v>1.8</v>
      </c>
      <c r="AT224">
        <f t="shared" si="79"/>
        <v>2</v>
      </c>
      <c r="AU224">
        <f t="shared" si="80"/>
        <v>6</v>
      </c>
      <c r="AV224">
        <f t="shared" si="90"/>
        <v>6024</v>
      </c>
      <c r="AW224" s="1">
        <v>2</v>
      </c>
      <c r="AX224">
        <v>3</v>
      </c>
      <c r="AY224">
        <v>0</v>
      </c>
      <c r="BX224" t="str">
        <f t="shared" si="81"/>
        <v>1346022,2346021</v>
      </c>
      <c r="BY224">
        <v>1346022</v>
      </c>
      <c r="BZ224">
        <v>2346021</v>
      </c>
      <c r="CB224" s="13"/>
      <c r="CC224" s="13"/>
      <c r="CE224" t="str">
        <f t="shared" si="89"/>
        <v>DATA_Class_Base24</v>
      </c>
      <c r="CF224" s="6" t="s">
        <v>361</v>
      </c>
    </row>
    <row r="225" spans="1:84">
      <c r="A225">
        <f t="shared" si="83"/>
        <v>3085300</v>
      </c>
      <c r="B225" s="6" t="s">
        <v>350</v>
      </c>
      <c r="C225">
        <v>8</v>
      </c>
      <c r="D225">
        <v>3</v>
      </c>
      <c r="E225">
        <v>5</v>
      </c>
      <c r="F225" s="3" t="s">
        <v>1601</v>
      </c>
      <c r="G225" s="3" t="s">
        <v>1601</v>
      </c>
      <c r="H225" s="3">
        <v>20</v>
      </c>
      <c r="I225">
        <v>35</v>
      </c>
      <c r="J225" s="2">
        <v>0</v>
      </c>
      <c r="K225" s="2" t="s">
        <v>352</v>
      </c>
      <c r="L225" s="2">
        <f t="shared" si="84"/>
        <v>6</v>
      </c>
      <c r="M225" s="2">
        <f t="shared" si="82"/>
        <v>1.3</v>
      </c>
      <c r="N225" s="2">
        <f t="shared" si="82"/>
        <v>2</v>
      </c>
      <c r="O225" s="2">
        <v>10</v>
      </c>
      <c r="P225" s="2">
        <f t="shared" si="91"/>
        <v>175.41</v>
      </c>
      <c r="Q225" s="2">
        <f t="shared" si="91"/>
        <v>17.54</v>
      </c>
      <c r="R225" s="2">
        <f t="shared" si="91"/>
        <v>1836.52</v>
      </c>
      <c r="S225" s="2">
        <f t="shared" si="91"/>
        <v>183.65</v>
      </c>
      <c r="T225" s="2">
        <f t="shared" si="91"/>
        <v>21.93</v>
      </c>
      <c r="U225" s="2">
        <f t="shared" si="91"/>
        <v>2.19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353002</v>
      </c>
      <c r="AB225" s="14" t="s">
        <v>461</v>
      </c>
      <c r="AC225" s="15" t="s">
        <v>889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/>
      <c r="AJ225">
        <v>1</v>
      </c>
      <c r="AK225" s="1">
        <f t="shared" si="75"/>
        <v>94.90985166980829</v>
      </c>
      <c r="AL225">
        <v>8</v>
      </c>
      <c r="AM225">
        <f t="shared" si="85"/>
        <v>175.41333333333333</v>
      </c>
      <c r="AN225">
        <f t="shared" si="86"/>
        <v>17.541333333333334</v>
      </c>
      <c r="AO225">
        <f t="shared" si="87"/>
        <v>1836.521739130435</v>
      </c>
      <c r="AP225">
        <f t="shared" si="88"/>
        <v>183.6521739130435</v>
      </c>
      <c r="AQ225">
        <f t="shared" si="76"/>
        <v>21.926666666666666</v>
      </c>
      <c r="AR225">
        <f t="shared" si="77"/>
        <v>2.1926666666666668</v>
      </c>
      <c r="AS225">
        <f t="shared" si="78"/>
        <v>1.3</v>
      </c>
      <c r="AT225">
        <f t="shared" si="79"/>
        <v>2</v>
      </c>
      <c r="AU225">
        <f t="shared" si="80"/>
        <v>6</v>
      </c>
      <c r="AV225">
        <f t="shared" si="90"/>
        <v>3005</v>
      </c>
      <c r="AW225" s="1">
        <v>0</v>
      </c>
      <c r="AX225">
        <v>3</v>
      </c>
      <c r="AY225">
        <v>0</v>
      </c>
      <c r="BX225" t="str">
        <f t="shared" si="81"/>
        <v>1353002,2353001</v>
      </c>
      <c r="BY225">
        <v>1353002</v>
      </c>
      <c r="BZ225">
        <v>2353001</v>
      </c>
      <c r="CB225" s="13"/>
      <c r="CC225" s="13"/>
      <c r="CE225" t="str">
        <f t="shared" si="89"/>
        <v>DATA_Class_Base25</v>
      </c>
      <c r="CF225" s="6" t="s">
        <v>366</v>
      </c>
    </row>
    <row r="226" spans="1:84">
      <c r="A226">
        <f t="shared" si="83"/>
        <v>3085302</v>
      </c>
      <c r="B226" s="6" t="s">
        <v>356</v>
      </c>
      <c r="C226">
        <v>8</v>
      </c>
      <c r="D226">
        <v>3</v>
      </c>
      <c r="E226">
        <v>5</v>
      </c>
      <c r="F226" s="3" t="s">
        <v>1602</v>
      </c>
      <c r="G226" s="3" t="s">
        <v>1602</v>
      </c>
      <c r="H226" s="3">
        <v>0</v>
      </c>
      <c r="I226">
        <v>40</v>
      </c>
      <c r="J226" s="2">
        <v>0</v>
      </c>
      <c r="K226" s="2" t="s">
        <v>358</v>
      </c>
      <c r="L226" s="2">
        <f t="shared" si="84"/>
        <v>3</v>
      </c>
      <c r="M226" s="2">
        <f t="shared" si="82"/>
        <v>1.4000000000000001</v>
      </c>
      <c r="N226" s="2">
        <f t="shared" si="82"/>
        <v>2</v>
      </c>
      <c r="O226" s="2">
        <v>10</v>
      </c>
      <c r="P226" s="2">
        <f t="shared" si="91"/>
        <v>197.12</v>
      </c>
      <c r="Q226" s="2">
        <f t="shared" si="91"/>
        <v>19.71</v>
      </c>
      <c r="R226" s="2">
        <f t="shared" si="91"/>
        <v>1760</v>
      </c>
      <c r="S226" s="2">
        <f t="shared" si="91"/>
        <v>176</v>
      </c>
      <c r="T226" s="2">
        <f t="shared" si="91"/>
        <v>28.16</v>
      </c>
      <c r="U226" s="2">
        <f t="shared" si="91"/>
        <v>2.82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353022</v>
      </c>
      <c r="AB226" s="14" t="s">
        <v>462</v>
      </c>
      <c r="AC226" s="15" t="s">
        <v>889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/>
      <c r="AJ226">
        <v>1</v>
      </c>
      <c r="AK226" s="1">
        <f t="shared" si="75"/>
        <v>95.040816063677724</v>
      </c>
      <c r="AL226">
        <v>8</v>
      </c>
      <c r="AM226">
        <f t="shared" si="85"/>
        <v>197.12</v>
      </c>
      <c r="AN226">
        <f t="shared" si="86"/>
        <v>19.712000000000003</v>
      </c>
      <c r="AO226">
        <f t="shared" si="87"/>
        <v>1760.0000000000002</v>
      </c>
      <c r="AP226">
        <f t="shared" si="88"/>
        <v>176.00000000000003</v>
      </c>
      <c r="AQ226">
        <f t="shared" si="76"/>
        <v>28.16</v>
      </c>
      <c r="AR226">
        <f t="shared" si="77"/>
        <v>2.8160000000000003</v>
      </c>
      <c r="AS226">
        <f t="shared" si="78"/>
        <v>1.4</v>
      </c>
      <c r="AT226">
        <f t="shared" si="79"/>
        <v>2</v>
      </c>
      <c r="AU226">
        <f t="shared" si="80"/>
        <v>3</v>
      </c>
      <c r="AV226">
        <f t="shared" si="90"/>
        <v>3025</v>
      </c>
      <c r="AW226" s="1">
        <v>2</v>
      </c>
      <c r="AX226">
        <v>3</v>
      </c>
      <c r="AY226">
        <v>0</v>
      </c>
      <c r="BX226" t="str">
        <f t="shared" si="81"/>
        <v>1353022,2353021</v>
      </c>
      <c r="BY226">
        <v>1353022</v>
      </c>
      <c r="BZ226">
        <v>2353021</v>
      </c>
      <c r="CB226" s="13"/>
      <c r="CC226" s="13"/>
      <c r="CE226" t="str">
        <f t="shared" si="89"/>
        <v>DATA_Class_Base26</v>
      </c>
      <c r="CF226" s="6" t="s">
        <v>369</v>
      </c>
    </row>
    <row r="227" spans="1:84">
      <c r="A227">
        <f t="shared" si="83"/>
        <v>3085400</v>
      </c>
      <c r="B227" s="6" t="s">
        <v>362</v>
      </c>
      <c r="C227">
        <v>8</v>
      </c>
      <c r="D227">
        <v>4</v>
      </c>
      <c r="E227">
        <v>5</v>
      </c>
      <c r="F227" s="3" t="s">
        <v>1603</v>
      </c>
      <c r="G227" s="3" t="s">
        <v>1603</v>
      </c>
      <c r="H227" s="3">
        <v>0</v>
      </c>
      <c r="I227">
        <v>50</v>
      </c>
      <c r="J227">
        <v>0</v>
      </c>
      <c r="K227" s="2" t="s">
        <v>364</v>
      </c>
      <c r="L227" s="2">
        <f t="shared" si="84"/>
        <v>6</v>
      </c>
      <c r="M227" s="2">
        <f t="shared" si="82"/>
        <v>1.4000000000000001</v>
      </c>
      <c r="N227" s="2">
        <f t="shared" si="82"/>
        <v>2</v>
      </c>
      <c r="O227" s="2">
        <v>10</v>
      </c>
      <c r="P227" s="2">
        <f t="shared" si="91"/>
        <v>205.33</v>
      </c>
      <c r="Q227" s="2">
        <f t="shared" si="91"/>
        <v>20.53</v>
      </c>
      <c r="R227" s="2">
        <f t="shared" si="91"/>
        <v>1689.6</v>
      </c>
      <c r="S227" s="2">
        <f t="shared" si="91"/>
        <v>168.96</v>
      </c>
      <c r="T227" s="2">
        <f t="shared" si="91"/>
        <v>34.22</v>
      </c>
      <c r="U227" s="2">
        <f t="shared" si="91"/>
        <v>3.42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354002</v>
      </c>
      <c r="AB227" s="14" t="s">
        <v>463</v>
      </c>
      <c r="AC227" s="15" t="s">
        <v>889</v>
      </c>
      <c r="AD227" s="2">
        <v>0</v>
      </c>
      <c r="AE227" s="8">
        <v>0</v>
      </c>
      <c r="AF227" s="2">
        <v>0</v>
      </c>
      <c r="AG227" s="2">
        <v>0</v>
      </c>
      <c r="AH227" s="2">
        <v>0</v>
      </c>
      <c r="AI227" s="2"/>
      <c r="AJ227">
        <v>1</v>
      </c>
      <c r="AK227" s="1">
        <f t="shared" si="75"/>
        <v>95.168532506963601</v>
      </c>
      <c r="AL227">
        <v>8</v>
      </c>
      <c r="AM227">
        <f t="shared" si="85"/>
        <v>205.33333333333337</v>
      </c>
      <c r="AN227">
        <f t="shared" si="86"/>
        <v>20.533333333333339</v>
      </c>
      <c r="AO227">
        <f t="shared" si="87"/>
        <v>1689.6000000000001</v>
      </c>
      <c r="AP227">
        <f t="shared" si="88"/>
        <v>168.96000000000004</v>
      </c>
      <c r="AQ227">
        <f t="shared" si="76"/>
        <v>34.222222222222229</v>
      </c>
      <c r="AR227">
        <f t="shared" si="77"/>
        <v>3.4222222222222229</v>
      </c>
      <c r="AS227">
        <f t="shared" si="78"/>
        <v>1.4</v>
      </c>
      <c r="AT227">
        <f t="shared" si="79"/>
        <v>2</v>
      </c>
      <c r="AU227">
        <f t="shared" si="80"/>
        <v>6</v>
      </c>
      <c r="AV227">
        <f t="shared" si="90"/>
        <v>4005</v>
      </c>
      <c r="AW227" s="1">
        <v>0</v>
      </c>
      <c r="AX227">
        <v>3</v>
      </c>
      <c r="AY227">
        <v>0</v>
      </c>
      <c r="BX227" t="str">
        <f t="shared" si="81"/>
        <v>1354002,2354001</v>
      </c>
      <c r="BY227">
        <v>1354002</v>
      </c>
      <c r="BZ227">
        <v>2354001</v>
      </c>
      <c r="CE227" t="str">
        <f t="shared" si="89"/>
        <v>DATA_Class_Base27</v>
      </c>
      <c r="CF227" s="6" t="s">
        <v>371</v>
      </c>
    </row>
    <row r="228" spans="1:84">
      <c r="A228">
        <f t="shared" si="83"/>
        <v>5051200</v>
      </c>
      <c r="B228" t="s">
        <v>373</v>
      </c>
      <c r="C228">
        <v>5</v>
      </c>
      <c r="D228">
        <v>2</v>
      </c>
      <c r="E228">
        <v>1</v>
      </c>
      <c r="F228" s="3" t="s">
        <v>466</v>
      </c>
      <c r="G228" s="3" t="s">
        <v>466</v>
      </c>
      <c r="H228">
        <v>0</v>
      </c>
      <c r="I228">
        <v>0</v>
      </c>
      <c r="J228" s="2">
        <v>0</v>
      </c>
      <c r="K228" s="2" t="s">
        <v>314</v>
      </c>
      <c r="L228" s="2">
        <f t="shared" si="84"/>
        <v>3</v>
      </c>
      <c r="M228" s="2">
        <f t="shared" si="82"/>
        <v>1.5</v>
      </c>
      <c r="N228" s="2">
        <f t="shared" si="82"/>
        <v>1.2</v>
      </c>
      <c r="O228" s="2">
        <v>10</v>
      </c>
      <c r="P228" s="2">
        <f t="shared" si="91"/>
        <v>112.64</v>
      </c>
      <c r="Q228" s="2">
        <f t="shared" si="91"/>
        <v>11.26</v>
      </c>
      <c r="R228" s="2">
        <f t="shared" si="91"/>
        <v>2112</v>
      </c>
      <c r="S228" s="2">
        <f t="shared" si="91"/>
        <v>211.2</v>
      </c>
      <c r="T228" s="2">
        <f t="shared" si="91"/>
        <v>37.549999999999997</v>
      </c>
      <c r="U228" s="2">
        <f t="shared" si="91"/>
        <v>3.75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6">
        <v>512001</v>
      </c>
      <c r="AB228" s="14" t="s">
        <v>468</v>
      </c>
      <c r="AC228" s="15" t="s">
        <v>890</v>
      </c>
      <c r="AD228" s="2">
        <v>5061200</v>
      </c>
      <c r="AE228" s="2">
        <v>3</v>
      </c>
      <c r="AF228" s="2">
        <v>1</v>
      </c>
      <c r="AG228" s="2">
        <f>A228</f>
        <v>5051200</v>
      </c>
      <c r="AH228" s="2">
        <v>1</v>
      </c>
      <c r="AI228" s="2"/>
      <c r="AJ228">
        <v>1</v>
      </c>
      <c r="AK228" s="1">
        <f t="shared" si="75"/>
        <v>50.336083227650867</v>
      </c>
      <c r="AL228">
        <v>5</v>
      </c>
      <c r="AM228">
        <f t="shared" si="85"/>
        <v>102.40000000000003</v>
      </c>
      <c r="AN228">
        <f t="shared" si="86"/>
        <v>10.240000000000004</v>
      </c>
      <c r="AO228">
        <f t="shared" si="87"/>
        <v>1920</v>
      </c>
      <c r="AP228">
        <f t="shared" si="88"/>
        <v>192</v>
      </c>
      <c r="AQ228">
        <f t="shared" si="76"/>
        <v>34.133333333333347</v>
      </c>
      <c r="AR228">
        <f t="shared" si="77"/>
        <v>3.4133333333333349</v>
      </c>
      <c r="AS228">
        <f t="shared" si="78"/>
        <v>1.5</v>
      </c>
      <c r="AT228">
        <f t="shared" si="79"/>
        <v>1.2</v>
      </c>
      <c r="AU228">
        <f t="shared" si="80"/>
        <v>3</v>
      </c>
      <c r="AV228">
        <f t="shared" si="90"/>
        <v>2001</v>
      </c>
      <c r="AW228" s="1">
        <v>0</v>
      </c>
      <c r="AX228">
        <v>5</v>
      </c>
      <c r="AY228">
        <v>0.1</v>
      </c>
      <c r="BV228">
        <v>1</v>
      </c>
      <c r="BX228" t="str">
        <f t="shared" ref="BX228:BX264" si="92">BY228&amp;","&amp;BZ228&amp;","&amp;CA228</f>
        <v>1512003,2512003,3512003</v>
      </c>
      <c r="BY228">
        <v>1512003</v>
      </c>
      <c r="BZ228">
        <v>2512003</v>
      </c>
      <c r="CA228">
        <v>3512003</v>
      </c>
      <c r="CE228" t="str">
        <f t="shared" si="89"/>
        <v>DATA_Class_Base28</v>
      </c>
      <c r="CF228" s="3" t="s">
        <v>374</v>
      </c>
    </row>
    <row r="229" spans="1:84">
      <c r="A229">
        <f t="shared" si="83"/>
        <v>5051201</v>
      </c>
      <c r="B229" t="s">
        <v>377</v>
      </c>
      <c r="C229">
        <v>5</v>
      </c>
      <c r="D229">
        <v>2</v>
      </c>
      <c r="E229">
        <v>1</v>
      </c>
      <c r="F229" s="3" t="s">
        <v>472</v>
      </c>
      <c r="G229" s="3" t="s">
        <v>472</v>
      </c>
      <c r="H229">
        <v>0</v>
      </c>
      <c r="I229">
        <v>0</v>
      </c>
      <c r="J229" s="2">
        <v>0</v>
      </c>
      <c r="K229" s="8" t="s">
        <v>298</v>
      </c>
      <c r="L229" s="2">
        <f t="shared" si="84"/>
        <v>3</v>
      </c>
      <c r="M229" s="2">
        <f t="shared" si="82"/>
        <v>1.8</v>
      </c>
      <c r="N229" s="2">
        <f t="shared" si="82"/>
        <v>1.8</v>
      </c>
      <c r="O229" s="2">
        <v>10</v>
      </c>
      <c r="P229" s="2">
        <f t="shared" si="91"/>
        <v>84.48</v>
      </c>
      <c r="Q229" s="2">
        <f t="shared" si="91"/>
        <v>8.4499999999999993</v>
      </c>
      <c r="R229" s="2">
        <f t="shared" si="91"/>
        <v>3379.2</v>
      </c>
      <c r="S229" s="2">
        <f t="shared" si="91"/>
        <v>337.92</v>
      </c>
      <c r="T229" s="2">
        <f t="shared" si="91"/>
        <v>42.24</v>
      </c>
      <c r="U229" s="2">
        <f t="shared" si="91"/>
        <v>4.22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6">
        <v>512011</v>
      </c>
      <c r="AB229" s="14" t="s">
        <v>473</v>
      </c>
      <c r="AC229" s="15" t="s">
        <v>890</v>
      </c>
      <c r="AD229" s="2">
        <v>5061201</v>
      </c>
      <c r="AE229" s="2">
        <v>1</v>
      </c>
      <c r="AF229" s="2">
        <v>1</v>
      </c>
      <c r="AG229" s="2">
        <f t="shared" ref="AG229:AG264" si="93">A229</f>
        <v>5051201</v>
      </c>
      <c r="AH229" s="2">
        <v>1</v>
      </c>
      <c r="AI229" s="2"/>
      <c r="AJ229">
        <v>1</v>
      </c>
      <c r="AK229" s="1">
        <f t="shared" si="75"/>
        <v>50.383734589814772</v>
      </c>
      <c r="AL229">
        <v>5</v>
      </c>
      <c r="AM229">
        <f t="shared" si="85"/>
        <v>76.800000000000011</v>
      </c>
      <c r="AN229">
        <f t="shared" si="86"/>
        <v>7.6800000000000015</v>
      </c>
      <c r="AO229">
        <f t="shared" si="87"/>
        <v>3072</v>
      </c>
      <c r="AP229">
        <f t="shared" si="88"/>
        <v>307.20000000000005</v>
      </c>
      <c r="AQ229">
        <f t="shared" si="76"/>
        <v>38.400000000000006</v>
      </c>
      <c r="AR229">
        <f t="shared" si="77"/>
        <v>3.8400000000000007</v>
      </c>
      <c r="AS229">
        <f t="shared" si="78"/>
        <v>1.8</v>
      </c>
      <c r="AT229">
        <f t="shared" si="79"/>
        <v>1.8</v>
      </c>
      <c r="AU229">
        <f t="shared" si="80"/>
        <v>3</v>
      </c>
      <c r="AV229">
        <f t="shared" si="90"/>
        <v>2011</v>
      </c>
      <c r="AW229" s="1">
        <v>1</v>
      </c>
      <c r="AX229">
        <v>5</v>
      </c>
      <c r="AY229">
        <v>0.1</v>
      </c>
      <c r="BX229" t="str">
        <f t="shared" si="92"/>
        <v>1512013,2512013,3512013</v>
      </c>
      <c r="BY229">
        <v>1512013</v>
      </c>
      <c r="BZ229">
        <v>2512013</v>
      </c>
      <c r="CA229">
        <v>3512013</v>
      </c>
      <c r="CE229" t="str">
        <f t="shared" si="89"/>
        <v>DATA_Class_Base29</v>
      </c>
      <c r="CF229" s="3" t="s">
        <v>378</v>
      </c>
    </row>
    <row r="230" spans="1:84">
      <c r="A230">
        <f t="shared" si="83"/>
        <v>5051202</v>
      </c>
      <c r="B230" t="s">
        <v>380</v>
      </c>
      <c r="C230">
        <v>5</v>
      </c>
      <c r="D230">
        <v>2</v>
      </c>
      <c r="E230">
        <v>1</v>
      </c>
      <c r="F230" s="3" t="s">
        <v>476</v>
      </c>
      <c r="G230" s="3" t="s">
        <v>476</v>
      </c>
      <c r="H230">
        <v>0</v>
      </c>
      <c r="I230">
        <v>0</v>
      </c>
      <c r="J230">
        <v>0</v>
      </c>
      <c r="K230" s="2" t="s">
        <v>280</v>
      </c>
      <c r="L230" s="2">
        <f t="shared" si="84"/>
        <v>3</v>
      </c>
      <c r="M230" s="2">
        <f t="shared" si="82"/>
        <v>1.8</v>
      </c>
      <c r="N230" s="2">
        <f t="shared" si="82"/>
        <v>2</v>
      </c>
      <c r="O230" s="2">
        <v>10</v>
      </c>
      <c r="P230" s="2">
        <f t="shared" si="91"/>
        <v>135.16999999999999</v>
      </c>
      <c r="Q230" s="2">
        <f t="shared" si="91"/>
        <v>13.52</v>
      </c>
      <c r="R230" s="2">
        <f t="shared" si="91"/>
        <v>2112</v>
      </c>
      <c r="S230" s="2">
        <f t="shared" si="91"/>
        <v>211.2</v>
      </c>
      <c r="T230" s="2">
        <f t="shared" si="91"/>
        <v>33.79</v>
      </c>
      <c r="U230" s="2">
        <f t="shared" si="91"/>
        <v>3.38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6">
        <v>512021</v>
      </c>
      <c r="AB230" s="14" t="s">
        <v>478</v>
      </c>
      <c r="AC230" s="15" t="s">
        <v>890</v>
      </c>
      <c r="AD230" s="2">
        <v>5061202</v>
      </c>
      <c r="AE230" s="2">
        <v>3</v>
      </c>
      <c r="AF230" s="2">
        <v>1</v>
      </c>
      <c r="AG230" s="2">
        <f t="shared" si="93"/>
        <v>5051202</v>
      </c>
      <c r="AH230" s="2">
        <v>1</v>
      </c>
      <c r="AI230" s="2"/>
      <c r="AJ230">
        <v>1</v>
      </c>
      <c r="AK230" s="1">
        <f t="shared" si="75"/>
        <v>50.298026985579355</v>
      </c>
      <c r="AL230">
        <v>5</v>
      </c>
      <c r="AM230">
        <f t="shared" si="85"/>
        <v>122.88000000000002</v>
      </c>
      <c r="AN230">
        <f t="shared" si="86"/>
        <v>12.288000000000004</v>
      </c>
      <c r="AO230">
        <f t="shared" si="87"/>
        <v>1920</v>
      </c>
      <c r="AP230">
        <f t="shared" si="88"/>
        <v>192</v>
      </c>
      <c r="AQ230">
        <f t="shared" si="76"/>
        <v>30.720000000000006</v>
      </c>
      <c r="AR230">
        <f t="shared" si="77"/>
        <v>3.072000000000001</v>
      </c>
      <c r="AS230">
        <f t="shared" si="78"/>
        <v>1.8</v>
      </c>
      <c r="AT230">
        <f t="shared" si="79"/>
        <v>2</v>
      </c>
      <c r="AU230">
        <f t="shared" si="80"/>
        <v>3</v>
      </c>
      <c r="AV230">
        <f t="shared" si="90"/>
        <v>2021</v>
      </c>
      <c r="AW230" s="1">
        <v>2</v>
      </c>
      <c r="AX230">
        <v>5</v>
      </c>
      <c r="AY230">
        <v>0.1</v>
      </c>
      <c r="BX230" t="str">
        <f t="shared" si="92"/>
        <v>1512023,2512023,3512023</v>
      </c>
      <c r="BY230">
        <v>1512023</v>
      </c>
      <c r="BZ230">
        <v>2512023</v>
      </c>
      <c r="CA230">
        <v>3512023</v>
      </c>
      <c r="CE230" t="str">
        <f t="shared" si="89"/>
        <v>DATA_Class_Base30</v>
      </c>
      <c r="CF230" s="3" t="s">
        <v>381</v>
      </c>
    </row>
    <row r="231" spans="1:84">
      <c r="A231">
        <f t="shared" si="83"/>
        <v>5051301</v>
      </c>
      <c r="B231" t="s">
        <v>383</v>
      </c>
      <c r="C231">
        <v>5</v>
      </c>
      <c r="D231">
        <v>3</v>
      </c>
      <c r="E231">
        <v>1</v>
      </c>
      <c r="F231" s="3" t="s">
        <v>481</v>
      </c>
      <c r="G231" s="3" t="s">
        <v>481</v>
      </c>
      <c r="H231">
        <v>0</v>
      </c>
      <c r="I231">
        <v>0</v>
      </c>
      <c r="J231" s="2">
        <v>0</v>
      </c>
      <c r="K231" s="2" t="s">
        <v>285</v>
      </c>
      <c r="L231" s="2">
        <f t="shared" si="84"/>
        <v>3</v>
      </c>
      <c r="M231" s="2">
        <f t="shared" si="82"/>
        <v>1.2</v>
      </c>
      <c r="N231" s="2">
        <f t="shared" si="82"/>
        <v>2</v>
      </c>
      <c r="O231" s="2">
        <v>10</v>
      </c>
      <c r="P231" s="2">
        <f t="shared" si="91"/>
        <v>123.9</v>
      </c>
      <c r="Q231" s="2">
        <f t="shared" si="91"/>
        <v>12.39</v>
      </c>
      <c r="R231" s="2">
        <f t="shared" si="91"/>
        <v>1536</v>
      </c>
      <c r="S231" s="2">
        <f t="shared" si="91"/>
        <v>153.6</v>
      </c>
      <c r="T231" s="2">
        <f t="shared" si="91"/>
        <v>20.65</v>
      </c>
      <c r="U231" s="2">
        <f t="shared" si="91"/>
        <v>2.0699999999999998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6">
        <v>513011</v>
      </c>
      <c r="AB231" s="14" t="s">
        <v>483</v>
      </c>
      <c r="AC231" s="15" t="s">
        <v>890</v>
      </c>
      <c r="AD231" s="2">
        <v>5061301</v>
      </c>
      <c r="AE231" s="2">
        <v>3</v>
      </c>
      <c r="AF231" s="2">
        <v>1</v>
      </c>
      <c r="AG231" s="2">
        <f t="shared" si="93"/>
        <v>5051301</v>
      </c>
      <c r="AH231" s="2">
        <v>1</v>
      </c>
      <c r="AI231" s="2"/>
      <c r="AJ231">
        <v>1</v>
      </c>
      <c r="AK231" s="1">
        <f t="shared" si="75"/>
        <v>50.165282103792968</v>
      </c>
      <c r="AL231">
        <v>5</v>
      </c>
      <c r="AM231">
        <f t="shared" si="85"/>
        <v>112.64000000000001</v>
      </c>
      <c r="AN231">
        <f t="shared" si="86"/>
        <v>11.264000000000003</v>
      </c>
      <c r="AO231">
        <f t="shared" si="87"/>
        <v>1396.3636363636365</v>
      </c>
      <c r="AP231">
        <f t="shared" si="88"/>
        <v>139.63636363636365</v>
      </c>
      <c r="AQ231">
        <f t="shared" si="76"/>
        <v>18.773333333333337</v>
      </c>
      <c r="AR231">
        <f t="shared" si="77"/>
        <v>1.8773333333333337</v>
      </c>
      <c r="AS231">
        <f t="shared" si="78"/>
        <v>1.2</v>
      </c>
      <c r="AT231">
        <f t="shared" si="79"/>
        <v>2</v>
      </c>
      <c r="AU231">
        <f t="shared" si="80"/>
        <v>3</v>
      </c>
      <c r="AV231">
        <f t="shared" si="90"/>
        <v>3011</v>
      </c>
      <c r="AW231" s="1">
        <v>1</v>
      </c>
      <c r="AX231">
        <v>5</v>
      </c>
      <c r="AY231">
        <v>0.1</v>
      </c>
      <c r="BX231" t="str">
        <f t="shared" si="92"/>
        <v>1513013,2513013,3513013</v>
      </c>
      <c r="BY231">
        <v>1513013</v>
      </c>
      <c r="BZ231">
        <v>2513013</v>
      </c>
      <c r="CA231">
        <v>3513013</v>
      </c>
      <c r="CE231" t="str">
        <f t="shared" si="89"/>
        <v>DATA_Class_Base31</v>
      </c>
      <c r="CF231" s="3" t="s">
        <v>384</v>
      </c>
    </row>
    <row r="232" spans="1:84">
      <c r="A232">
        <f t="shared" si="83"/>
        <v>5051401</v>
      </c>
      <c r="B232" t="s">
        <v>387</v>
      </c>
      <c r="C232">
        <v>5</v>
      </c>
      <c r="D232">
        <v>4</v>
      </c>
      <c r="E232">
        <v>1</v>
      </c>
      <c r="F232" s="3" t="s">
        <v>486</v>
      </c>
      <c r="G232" s="3" t="s">
        <v>486</v>
      </c>
      <c r="H232">
        <v>0</v>
      </c>
      <c r="I232">
        <v>0</v>
      </c>
      <c r="J232" s="2">
        <v>0</v>
      </c>
      <c r="K232" s="2" t="s">
        <v>161</v>
      </c>
      <c r="L232" s="2">
        <f t="shared" si="84"/>
        <v>6</v>
      </c>
      <c r="M232" s="2">
        <f t="shared" si="82"/>
        <v>1.6</v>
      </c>
      <c r="N232" s="2">
        <f t="shared" si="82"/>
        <v>2</v>
      </c>
      <c r="O232" s="2">
        <v>10</v>
      </c>
      <c r="P232" s="2">
        <f t="shared" si="91"/>
        <v>165.21</v>
      </c>
      <c r="Q232" s="2">
        <f t="shared" si="91"/>
        <v>16.52</v>
      </c>
      <c r="R232" s="2">
        <f t="shared" si="91"/>
        <v>1536</v>
      </c>
      <c r="S232" s="2">
        <f t="shared" si="91"/>
        <v>153.6</v>
      </c>
      <c r="T232" s="2">
        <f t="shared" si="91"/>
        <v>33.04</v>
      </c>
      <c r="U232" s="2">
        <f t="shared" si="91"/>
        <v>3.3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6">
        <v>514011</v>
      </c>
      <c r="AB232" s="14" t="s">
        <v>487</v>
      </c>
      <c r="AC232" s="15" t="s">
        <v>890</v>
      </c>
      <c r="AD232" s="2">
        <v>5061401</v>
      </c>
      <c r="AE232" s="2">
        <v>3</v>
      </c>
      <c r="AF232" s="2">
        <v>1</v>
      </c>
      <c r="AG232" s="2">
        <f t="shared" si="93"/>
        <v>5051401</v>
      </c>
      <c r="AH232" s="2">
        <v>1</v>
      </c>
      <c r="AI232" s="2"/>
      <c r="AJ232">
        <v>1</v>
      </c>
      <c r="AK232" s="1">
        <f t="shared" si="75"/>
        <v>50.290422641438141</v>
      </c>
      <c r="AL232">
        <v>5</v>
      </c>
      <c r="AM232">
        <f t="shared" si="85"/>
        <v>150.1866666666667</v>
      </c>
      <c r="AN232">
        <f t="shared" si="86"/>
        <v>15.01866666666667</v>
      </c>
      <c r="AO232">
        <f t="shared" si="87"/>
        <v>1396.3636363636365</v>
      </c>
      <c r="AP232">
        <f t="shared" si="88"/>
        <v>139.63636363636365</v>
      </c>
      <c r="AQ232">
        <f t="shared" si="76"/>
        <v>30.03733333333334</v>
      </c>
      <c r="AR232">
        <f t="shared" si="77"/>
        <v>3.0037333333333343</v>
      </c>
      <c r="AS232">
        <f t="shared" si="78"/>
        <v>1.6</v>
      </c>
      <c r="AT232">
        <f t="shared" si="79"/>
        <v>2</v>
      </c>
      <c r="AU232">
        <f t="shared" si="80"/>
        <v>6</v>
      </c>
      <c r="AV232">
        <f t="shared" si="90"/>
        <v>4011</v>
      </c>
      <c r="AW232" s="1">
        <v>1</v>
      </c>
      <c r="AX232">
        <v>5</v>
      </c>
      <c r="AY232">
        <v>0.1</v>
      </c>
      <c r="BX232" t="str">
        <f t="shared" si="92"/>
        <v>1514013,2514013,3514013</v>
      </c>
      <c r="BY232">
        <v>1514013</v>
      </c>
      <c r="BZ232">
        <v>2514013</v>
      </c>
      <c r="CA232">
        <v>3514013</v>
      </c>
      <c r="CE232" t="str">
        <f t="shared" si="89"/>
        <v>DATA_Class_Base32</v>
      </c>
      <c r="CF232" s="3" t="s">
        <v>388</v>
      </c>
    </row>
    <row r="233" spans="1:84">
      <c r="A233">
        <f t="shared" si="83"/>
        <v>5051402</v>
      </c>
      <c r="B233" t="s">
        <v>390</v>
      </c>
      <c r="C233">
        <v>5</v>
      </c>
      <c r="D233">
        <v>4</v>
      </c>
      <c r="E233">
        <v>1</v>
      </c>
      <c r="F233" s="3" t="s">
        <v>490</v>
      </c>
      <c r="G233" s="3" t="s">
        <v>490</v>
      </c>
      <c r="H233">
        <v>0</v>
      </c>
      <c r="I233">
        <v>0</v>
      </c>
      <c r="J233">
        <v>0</v>
      </c>
      <c r="K233" s="2" t="s">
        <v>250</v>
      </c>
      <c r="L233" s="2">
        <f t="shared" si="84"/>
        <v>6</v>
      </c>
      <c r="M233" s="2">
        <f t="shared" si="82"/>
        <v>1.5</v>
      </c>
      <c r="N233" s="2">
        <f t="shared" si="82"/>
        <v>1.5</v>
      </c>
      <c r="O233" s="2">
        <v>10</v>
      </c>
      <c r="P233" s="2">
        <f t="shared" si="91"/>
        <v>168.96</v>
      </c>
      <c r="Q233" s="2">
        <f t="shared" si="91"/>
        <v>16.899999999999999</v>
      </c>
      <c r="R233" s="2">
        <f t="shared" si="91"/>
        <v>1408</v>
      </c>
      <c r="S233" s="2">
        <f t="shared" si="91"/>
        <v>140.80000000000001</v>
      </c>
      <c r="T233" s="2">
        <f t="shared" si="91"/>
        <v>28.16</v>
      </c>
      <c r="U233" s="2">
        <f t="shared" si="91"/>
        <v>2.82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6">
        <v>514021</v>
      </c>
      <c r="AB233" s="14" t="s">
        <v>491</v>
      </c>
      <c r="AC233" s="15" t="s">
        <v>890</v>
      </c>
      <c r="AD233" s="2">
        <v>5061402</v>
      </c>
      <c r="AE233" s="2">
        <v>1</v>
      </c>
      <c r="AF233" s="2">
        <v>1</v>
      </c>
      <c r="AG233" s="2">
        <f t="shared" si="93"/>
        <v>5051402</v>
      </c>
      <c r="AH233" s="2">
        <v>1</v>
      </c>
      <c r="AI233" s="2"/>
      <c r="AJ233">
        <v>1</v>
      </c>
      <c r="AK233" s="1">
        <f t="shared" si="75"/>
        <v>50.241050395829319</v>
      </c>
      <c r="AL233">
        <v>5</v>
      </c>
      <c r="AM233">
        <f t="shared" si="85"/>
        <v>153.60000000000002</v>
      </c>
      <c r="AN233">
        <f t="shared" si="86"/>
        <v>15.360000000000003</v>
      </c>
      <c r="AO233">
        <f t="shared" si="87"/>
        <v>1280</v>
      </c>
      <c r="AP233">
        <f t="shared" si="88"/>
        <v>128</v>
      </c>
      <c r="AQ233">
        <f t="shared" si="76"/>
        <v>25.600000000000005</v>
      </c>
      <c r="AR233">
        <f t="shared" si="77"/>
        <v>2.5600000000000005</v>
      </c>
      <c r="AS233">
        <f t="shared" si="78"/>
        <v>1.5</v>
      </c>
      <c r="AT233">
        <f t="shared" si="79"/>
        <v>1.5</v>
      </c>
      <c r="AU233">
        <f t="shared" si="80"/>
        <v>6</v>
      </c>
      <c r="AV233">
        <f t="shared" si="90"/>
        <v>4021</v>
      </c>
      <c r="AW233" s="1">
        <v>2</v>
      </c>
      <c r="AX233">
        <v>5</v>
      </c>
      <c r="AY233">
        <v>0.1</v>
      </c>
      <c r="BX233" t="str">
        <f t="shared" si="92"/>
        <v>1514023,2514023,3514023</v>
      </c>
      <c r="BY233">
        <v>1514023</v>
      </c>
      <c r="BZ233">
        <v>2514023</v>
      </c>
      <c r="CA233">
        <v>3514023</v>
      </c>
      <c r="CE233" t="str">
        <f t="shared" si="89"/>
        <v>DATA_Class_Base33</v>
      </c>
      <c r="CF233" s="3" t="s">
        <v>391</v>
      </c>
    </row>
    <row r="234" spans="1:84" ht="14.25" customHeight="1">
      <c r="A234">
        <f t="shared" si="83"/>
        <v>5051500</v>
      </c>
      <c r="B234" t="s">
        <v>394</v>
      </c>
      <c r="C234">
        <v>5</v>
      </c>
      <c r="D234">
        <v>5</v>
      </c>
      <c r="E234">
        <v>1</v>
      </c>
      <c r="F234" s="3" t="s">
        <v>494</v>
      </c>
      <c r="G234" s="3" t="s">
        <v>494</v>
      </c>
      <c r="H234">
        <v>0</v>
      </c>
      <c r="I234">
        <v>0</v>
      </c>
      <c r="J234">
        <v>0</v>
      </c>
      <c r="K234" s="2" t="s">
        <v>303</v>
      </c>
      <c r="L234" s="2">
        <f t="shared" si="84"/>
        <v>6</v>
      </c>
      <c r="M234" s="2">
        <f t="shared" si="82"/>
        <v>1.5</v>
      </c>
      <c r="N234" s="2">
        <f t="shared" si="82"/>
        <v>1.5</v>
      </c>
      <c r="O234" s="2">
        <v>10</v>
      </c>
      <c r="P234" s="2">
        <f t="shared" si="91"/>
        <v>197.12</v>
      </c>
      <c r="Q234" s="2">
        <f t="shared" si="91"/>
        <v>19.71</v>
      </c>
      <c r="R234" s="2">
        <f t="shared" si="91"/>
        <v>1206.8599999999999</v>
      </c>
      <c r="S234" s="2">
        <f t="shared" si="91"/>
        <v>120.69</v>
      </c>
      <c r="T234" s="2">
        <f t="shared" si="91"/>
        <v>28.16</v>
      </c>
      <c r="U234" s="2">
        <f t="shared" si="91"/>
        <v>2.82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6">
        <v>515001</v>
      </c>
      <c r="AB234" s="14" t="s">
        <v>495</v>
      </c>
      <c r="AC234" s="15" t="s">
        <v>890</v>
      </c>
      <c r="AD234" s="2">
        <v>5061500</v>
      </c>
      <c r="AE234" s="2">
        <v>3</v>
      </c>
      <c r="AF234" s="2">
        <v>1</v>
      </c>
      <c r="AG234" s="2">
        <f t="shared" si="93"/>
        <v>5051500</v>
      </c>
      <c r="AH234" s="2">
        <v>1</v>
      </c>
      <c r="AI234" s="2"/>
      <c r="AJ234">
        <v>1</v>
      </c>
      <c r="AK234" s="1">
        <f t="shared" si="75"/>
        <v>50.241050395829312</v>
      </c>
      <c r="AL234">
        <v>5</v>
      </c>
      <c r="AM234">
        <f t="shared" si="85"/>
        <v>179.19999999999996</v>
      </c>
      <c r="AN234">
        <f t="shared" si="86"/>
        <v>17.919999999999998</v>
      </c>
      <c r="AO234">
        <f t="shared" si="87"/>
        <v>1097.1428571428573</v>
      </c>
      <c r="AP234">
        <f t="shared" si="88"/>
        <v>109.71428571428574</v>
      </c>
      <c r="AQ234">
        <f t="shared" si="76"/>
        <v>25.599999999999994</v>
      </c>
      <c r="AR234">
        <f t="shared" si="77"/>
        <v>2.5599999999999996</v>
      </c>
      <c r="AS234">
        <f t="shared" si="78"/>
        <v>1.5</v>
      </c>
      <c r="AT234">
        <f t="shared" si="79"/>
        <v>1.5</v>
      </c>
      <c r="AU234">
        <f t="shared" si="80"/>
        <v>6</v>
      </c>
      <c r="AV234">
        <f t="shared" si="90"/>
        <v>5001</v>
      </c>
      <c r="AW234" s="1">
        <v>0</v>
      </c>
      <c r="AX234">
        <v>5</v>
      </c>
      <c r="AY234">
        <v>0.1</v>
      </c>
      <c r="BX234" t="str">
        <f t="shared" si="92"/>
        <v>1515003,2515003,3515003</v>
      </c>
      <c r="BY234">
        <v>1515003</v>
      </c>
      <c r="BZ234">
        <v>2515003</v>
      </c>
      <c r="CA234">
        <v>3515003</v>
      </c>
      <c r="CE234" t="str">
        <f t="shared" si="89"/>
        <v>DATA_Class_Base34</v>
      </c>
      <c r="CF234" s="3" t="s">
        <v>184</v>
      </c>
    </row>
    <row r="235" spans="1:84">
      <c r="A235">
        <f t="shared" si="83"/>
        <v>5051502</v>
      </c>
      <c r="B235" t="s">
        <v>396</v>
      </c>
      <c r="C235">
        <v>5</v>
      </c>
      <c r="D235">
        <v>5</v>
      </c>
      <c r="E235">
        <v>1</v>
      </c>
      <c r="F235" s="3" t="s">
        <v>498</v>
      </c>
      <c r="G235" s="3" t="s">
        <v>498</v>
      </c>
      <c r="H235">
        <v>0</v>
      </c>
      <c r="I235">
        <v>0</v>
      </c>
      <c r="J235" s="2">
        <v>0</v>
      </c>
      <c r="K235" s="2" t="s">
        <v>291</v>
      </c>
      <c r="L235" s="2">
        <f t="shared" si="84"/>
        <v>6</v>
      </c>
      <c r="M235" s="2">
        <f t="shared" si="82"/>
        <v>1.4000000000000001</v>
      </c>
      <c r="N235" s="2">
        <f t="shared" si="82"/>
        <v>2</v>
      </c>
      <c r="O235" s="2">
        <v>10</v>
      </c>
      <c r="P235" s="2">
        <f t="shared" si="91"/>
        <v>170.84</v>
      </c>
      <c r="Q235" s="2">
        <f t="shared" si="91"/>
        <v>17.079999999999998</v>
      </c>
      <c r="R235" s="2">
        <f t="shared" si="91"/>
        <v>1299.69</v>
      </c>
      <c r="S235" s="2">
        <f t="shared" si="91"/>
        <v>129.97</v>
      </c>
      <c r="T235" s="2">
        <f t="shared" si="91"/>
        <v>26.28</v>
      </c>
      <c r="U235" s="2">
        <f t="shared" si="91"/>
        <v>2.63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6">
        <v>515021</v>
      </c>
      <c r="AB235" s="14" t="s">
        <v>499</v>
      </c>
      <c r="AC235" s="15" t="s">
        <v>890</v>
      </c>
      <c r="AD235" s="2">
        <v>5061502</v>
      </c>
      <c r="AE235" s="2">
        <v>3</v>
      </c>
      <c r="AF235" s="2">
        <v>1</v>
      </c>
      <c r="AG235" s="2">
        <f t="shared" si="93"/>
        <v>5051502</v>
      </c>
      <c r="AH235" s="2">
        <v>1</v>
      </c>
      <c r="AI235" s="2"/>
      <c r="AJ235">
        <v>1</v>
      </c>
      <c r="AK235" s="1">
        <f t="shared" si="75"/>
        <v>50.222086873721281</v>
      </c>
      <c r="AL235">
        <v>5</v>
      </c>
      <c r="AM235">
        <f t="shared" si="85"/>
        <v>155.30666666666664</v>
      </c>
      <c r="AN235">
        <f t="shared" si="86"/>
        <v>15.530666666666665</v>
      </c>
      <c r="AO235">
        <f t="shared" si="87"/>
        <v>1181.5384615384614</v>
      </c>
      <c r="AP235">
        <f t="shared" si="88"/>
        <v>118.15384615384615</v>
      </c>
      <c r="AQ235">
        <f t="shared" si="76"/>
        <v>23.893333333333331</v>
      </c>
      <c r="AR235">
        <f t="shared" si="77"/>
        <v>2.3893333333333331</v>
      </c>
      <c r="AS235">
        <f t="shared" si="78"/>
        <v>1.4</v>
      </c>
      <c r="AT235">
        <f t="shared" si="79"/>
        <v>2</v>
      </c>
      <c r="AU235">
        <f t="shared" si="80"/>
        <v>6</v>
      </c>
      <c r="AV235">
        <f t="shared" si="90"/>
        <v>5021</v>
      </c>
      <c r="AW235" s="1">
        <v>2</v>
      </c>
      <c r="AX235">
        <v>5</v>
      </c>
      <c r="AY235">
        <v>0.1</v>
      </c>
      <c r="BX235" t="str">
        <f t="shared" si="92"/>
        <v>1515023,2515023,3515023</v>
      </c>
      <c r="BY235">
        <v>1515023</v>
      </c>
      <c r="BZ235">
        <v>2515023</v>
      </c>
      <c r="CA235">
        <v>3515023</v>
      </c>
      <c r="CE235" t="str">
        <f t="shared" si="89"/>
        <v>DATA_Class_Base35</v>
      </c>
      <c r="CF235" s="3" t="s">
        <v>195</v>
      </c>
    </row>
    <row r="236" spans="1:84">
      <c r="A236">
        <f t="shared" si="83"/>
        <v>5051601</v>
      </c>
      <c r="B236" t="s">
        <v>398</v>
      </c>
      <c r="C236">
        <v>5</v>
      </c>
      <c r="D236">
        <v>6</v>
      </c>
      <c r="E236">
        <v>1</v>
      </c>
      <c r="F236" s="3" t="s">
        <v>502</v>
      </c>
      <c r="G236" s="3" t="s">
        <v>502</v>
      </c>
      <c r="H236">
        <v>0</v>
      </c>
      <c r="I236">
        <v>0</v>
      </c>
      <c r="J236">
        <v>0</v>
      </c>
      <c r="K236" s="2" t="s">
        <v>309</v>
      </c>
      <c r="L236" s="2">
        <f t="shared" si="84"/>
        <v>6</v>
      </c>
      <c r="M236" s="2">
        <f t="shared" si="82"/>
        <v>1.5</v>
      </c>
      <c r="N236" s="2">
        <f t="shared" si="82"/>
        <v>2</v>
      </c>
      <c r="O236" s="2">
        <v>10</v>
      </c>
      <c r="P236" s="2">
        <f t="shared" si="91"/>
        <v>140.80000000000001</v>
      </c>
      <c r="Q236" s="2">
        <f t="shared" si="91"/>
        <v>14.08</v>
      </c>
      <c r="R236" s="2">
        <f t="shared" si="91"/>
        <v>1689.6</v>
      </c>
      <c r="S236" s="2">
        <f t="shared" si="91"/>
        <v>168.96</v>
      </c>
      <c r="T236" s="2">
        <f t="shared" si="91"/>
        <v>35.200000000000003</v>
      </c>
      <c r="U236" s="2">
        <f t="shared" si="91"/>
        <v>3.52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6">
        <v>516011</v>
      </c>
      <c r="AB236" s="14" t="s">
        <v>503</v>
      </c>
      <c r="AC236" s="15" t="s">
        <v>890</v>
      </c>
      <c r="AD236" s="2">
        <v>5061601</v>
      </c>
      <c r="AE236" s="2">
        <v>3</v>
      </c>
      <c r="AF236" s="2">
        <v>1</v>
      </c>
      <c r="AG236" s="2">
        <f t="shared" si="93"/>
        <v>5051601</v>
      </c>
      <c r="AH236" s="2">
        <v>1</v>
      </c>
      <c r="AI236" s="2"/>
      <c r="AJ236">
        <v>1</v>
      </c>
      <c r="AK236" s="1">
        <f t="shared" si="75"/>
        <v>50.312291330970041</v>
      </c>
      <c r="AL236">
        <v>5</v>
      </c>
      <c r="AM236">
        <f t="shared" si="85"/>
        <v>128</v>
      </c>
      <c r="AN236">
        <f t="shared" si="86"/>
        <v>12.8</v>
      </c>
      <c r="AO236">
        <f t="shared" si="87"/>
        <v>1536</v>
      </c>
      <c r="AP236">
        <f t="shared" si="88"/>
        <v>153.60000000000002</v>
      </c>
      <c r="AQ236">
        <f t="shared" si="76"/>
        <v>32</v>
      </c>
      <c r="AR236">
        <f t="shared" si="77"/>
        <v>3.2</v>
      </c>
      <c r="AS236">
        <f t="shared" si="78"/>
        <v>1.5</v>
      </c>
      <c r="AT236">
        <f t="shared" si="79"/>
        <v>2</v>
      </c>
      <c r="AU236">
        <f t="shared" si="80"/>
        <v>6</v>
      </c>
      <c r="AV236">
        <f t="shared" si="90"/>
        <v>6011</v>
      </c>
      <c r="AW236" s="1">
        <v>1</v>
      </c>
      <c r="AX236">
        <v>5</v>
      </c>
      <c r="AY236">
        <v>0.1</v>
      </c>
      <c r="BX236" t="str">
        <f t="shared" si="92"/>
        <v>1516013,2516013,3516013</v>
      </c>
      <c r="BY236">
        <v>1516013</v>
      </c>
      <c r="BZ236">
        <v>2516013</v>
      </c>
      <c r="CA236">
        <v>3516013</v>
      </c>
      <c r="CE236" t="str">
        <f t="shared" si="89"/>
        <v>DATA_Class_Base36</v>
      </c>
      <c r="CF236" s="3" t="s">
        <v>201</v>
      </c>
    </row>
    <row r="237" spans="1:84">
      <c r="A237">
        <f t="shared" si="83"/>
        <v>5052200</v>
      </c>
      <c r="B237" t="s">
        <v>373</v>
      </c>
      <c r="C237">
        <v>5</v>
      </c>
      <c r="D237">
        <v>2</v>
      </c>
      <c r="E237">
        <v>2</v>
      </c>
      <c r="F237" s="3" t="s">
        <v>506</v>
      </c>
      <c r="G237" s="3" t="s">
        <v>506</v>
      </c>
      <c r="H237">
        <v>0</v>
      </c>
      <c r="I237">
        <v>0</v>
      </c>
      <c r="J237">
        <v>0</v>
      </c>
      <c r="K237" s="2" t="s">
        <v>314</v>
      </c>
      <c r="L237" s="2">
        <f t="shared" si="84"/>
        <v>3</v>
      </c>
      <c r="M237" s="2">
        <f t="shared" si="82"/>
        <v>1.5</v>
      </c>
      <c r="N237" s="2">
        <f t="shared" si="82"/>
        <v>1.2</v>
      </c>
      <c r="O237" s="2">
        <v>10</v>
      </c>
      <c r="P237" s="2">
        <f t="shared" si="91"/>
        <v>140.80000000000001</v>
      </c>
      <c r="Q237" s="2">
        <f t="shared" si="91"/>
        <v>14.08</v>
      </c>
      <c r="R237" s="2">
        <f t="shared" si="91"/>
        <v>1689.6</v>
      </c>
      <c r="S237" s="2">
        <f t="shared" si="91"/>
        <v>168.96</v>
      </c>
      <c r="T237" s="2">
        <f t="shared" si="91"/>
        <v>35.200000000000003</v>
      </c>
      <c r="U237" s="2">
        <f t="shared" si="91"/>
        <v>3.52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6">
        <v>522001</v>
      </c>
      <c r="AB237" s="14" t="s">
        <v>508</v>
      </c>
      <c r="AC237" s="15" t="s">
        <v>890</v>
      </c>
      <c r="AD237" s="2">
        <v>5062200</v>
      </c>
      <c r="AE237" s="2">
        <v>3</v>
      </c>
      <c r="AF237" s="2">
        <v>1</v>
      </c>
      <c r="AG237" s="2">
        <f t="shared" si="93"/>
        <v>5052200</v>
      </c>
      <c r="AH237" s="2">
        <v>1</v>
      </c>
      <c r="AI237" s="2"/>
      <c r="AJ237">
        <v>1</v>
      </c>
      <c r="AK237" s="1">
        <f t="shared" si="75"/>
        <v>50.312291330970041</v>
      </c>
      <c r="AL237">
        <v>5</v>
      </c>
      <c r="AM237">
        <f t="shared" si="85"/>
        <v>128</v>
      </c>
      <c r="AN237">
        <f t="shared" si="86"/>
        <v>12.8</v>
      </c>
      <c r="AO237">
        <f t="shared" si="87"/>
        <v>1536</v>
      </c>
      <c r="AP237">
        <f t="shared" si="88"/>
        <v>153.60000000000002</v>
      </c>
      <c r="AQ237">
        <f t="shared" si="76"/>
        <v>32</v>
      </c>
      <c r="AR237">
        <f t="shared" si="77"/>
        <v>3.2</v>
      </c>
      <c r="AS237">
        <f t="shared" si="78"/>
        <v>1.5</v>
      </c>
      <c r="AT237">
        <f t="shared" si="79"/>
        <v>1.2</v>
      </c>
      <c r="AU237">
        <f t="shared" si="80"/>
        <v>3</v>
      </c>
      <c r="AV237">
        <f t="shared" si="90"/>
        <v>2002</v>
      </c>
      <c r="AW237" s="1">
        <v>0</v>
      </c>
      <c r="AX237">
        <v>5</v>
      </c>
      <c r="AY237">
        <v>0.1</v>
      </c>
      <c r="BX237" t="str">
        <f t="shared" si="92"/>
        <v>1522003,2522003,3522003</v>
      </c>
      <c r="BY237">
        <v>1522003</v>
      </c>
      <c r="BZ237">
        <v>2522003</v>
      </c>
      <c r="CA237">
        <v>3522003</v>
      </c>
      <c r="CE237" t="str">
        <f t="shared" si="89"/>
        <v>DATA_Class_Base28</v>
      </c>
      <c r="CF237" s="3" t="s">
        <v>374</v>
      </c>
    </row>
    <row r="238" spans="1:84">
      <c r="A238">
        <f t="shared" si="83"/>
        <v>5052201</v>
      </c>
      <c r="B238" t="s">
        <v>377</v>
      </c>
      <c r="C238">
        <v>5</v>
      </c>
      <c r="D238">
        <v>2</v>
      </c>
      <c r="E238">
        <v>2</v>
      </c>
      <c r="F238" s="3" t="s">
        <v>511</v>
      </c>
      <c r="G238" s="3" t="s">
        <v>511</v>
      </c>
      <c r="H238">
        <v>0</v>
      </c>
      <c r="I238">
        <v>0</v>
      </c>
      <c r="J238">
        <v>0</v>
      </c>
      <c r="K238" s="8" t="s">
        <v>298</v>
      </c>
      <c r="L238" s="2">
        <f t="shared" si="84"/>
        <v>3</v>
      </c>
      <c r="M238" s="2">
        <f t="shared" si="82"/>
        <v>1.8</v>
      </c>
      <c r="N238" s="2">
        <f t="shared" si="82"/>
        <v>1.8</v>
      </c>
      <c r="O238" s="2">
        <v>10</v>
      </c>
      <c r="P238" s="2">
        <f t="shared" si="91"/>
        <v>118.27</v>
      </c>
      <c r="Q238" s="2">
        <f t="shared" si="91"/>
        <v>11.83</v>
      </c>
      <c r="R238" s="2">
        <f t="shared" si="91"/>
        <v>2413.71</v>
      </c>
      <c r="S238" s="2">
        <f t="shared" si="91"/>
        <v>241.37</v>
      </c>
      <c r="T238" s="2">
        <f t="shared" si="91"/>
        <v>39.42</v>
      </c>
      <c r="U238" s="2">
        <f t="shared" si="91"/>
        <v>3.94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6">
        <v>522011</v>
      </c>
      <c r="AB238" s="14" t="s">
        <v>513</v>
      </c>
      <c r="AC238" s="15" t="s">
        <v>890</v>
      </c>
      <c r="AD238" s="2">
        <v>5062201</v>
      </c>
      <c r="AE238" s="2">
        <v>3</v>
      </c>
      <c r="AF238" s="2">
        <v>1</v>
      </c>
      <c r="AG238" s="2">
        <f t="shared" si="93"/>
        <v>5052201</v>
      </c>
      <c r="AH238" s="2">
        <v>1</v>
      </c>
      <c r="AI238" s="2"/>
      <c r="AJ238">
        <v>1</v>
      </c>
      <c r="AK238" s="1">
        <f t="shared" si="75"/>
        <v>50.355132952302334</v>
      </c>
      <c r="AL238">
        <v>5</v>
      </c>
      <c r="AM238">
        <f t="shared" si="85"/>
        <v>107.52000000000001</v>
      </c>
      <c r="AN238">
        <f t="shared" si="86"/>
        <v>10.752000000000002</v>
      </c>
      <c r="AO238">
        <f t="shared" si="87"/>
        <v>2194.2857142857147</v>
      </c>
      <c r="AP238">
        <f t="shared" si="88"/>
        <v>219.42857142857147</v>
      </c>
      <c r="AQ238">
        <f t="shared" si="76"/>
        <v>35.840000000000003</v>
      </c>
      <c r="AR238">
        <f t="shared" si="77"/>
        <v>3.5840000000000005</v>
      </c>
      <c r="AS238">
        <f t="shared" si="78"/>
        <v>1.8</v>
      </c>
      <c r="AT238">
        <f t="shared" si="79"/>
        <v>1.8</v>
      </c>
      <c r="AU238">
        <f t="shared" si="80"/>
        <v>3</v>
      </c>
      <c r="AV238">
        <f t="shared" si="90"/>
        <v>2012</v>
      </c>
      <c r="AW238" s="1">
        <v>1</v>
      </c>
      <c r="AX238">
        <v>5</v>
      </c>
      <c r="AY238">
        <v>0.1</v>
      </c>
      <c r="BX238" t="str">
        <f t="shared" si="92"/>
        <v>1522013,2522013,3522013</v>
      </c>
      <c r="BY238">
        <v>1522013</v>
      </c>
      <c r="BZ238">
        <v>2522013</v>
      </c>
      <c r="CA238">
        <v>3522013</v>
      </c>
      <c r="CE238" t="str">
        <f t="shared" si="89"/>
        <v>DATA_Class_Base29</v>
      </c>
      <c r="CF238" s="3" t="s">
        <v>378</v>
      </c>
    </row>
    <row r="239" spans="1:84">
      <c r="A239">
        <f t="shared" si="83"/>
        <v>5052202</v>
      </c>
      <c r="B239" t="s">
        <v>380</v>
      </c>
      <c r="C239">
        <v>5</v>
      </c>
      <c r="D239">
        <v>2</v>
      </c>
      <c r="E239">
        <v>2</v>
      </c>
      <c r="F239" s="3" t="s">
        <v>516</v>
      </c>
      <c r="G239" s="3" t="s">
        <v>516</v>
      </c>
      <c r="H239">
        <v>0</v>
      </c>
      <c r="I239">
        <v>0</v>
      </c>
      <c r="J239" s="2">
        <v>0</v>
      </c>
      <c r="K239" s="2" t="s">
        <v>280</v>
      </c>
      <c r="L239" s="2">
        <f t="shared" si="84"/>
        <v>3</v>
      </c>
      <c r="M239" s="2">
        <f t="shared" si="82"/>
        <v>1.8</v>
      </c>
      <c r="N239" s="2">
        <f t="shared" si="82"/>
        <v>2</v>
      </c>
      <c r="O239" s="2">
        <v>10</v>
      </c>
      <c r="P239" s="2">
        <f t="shared" si="91"/>
        <v>194.3</v>
      </c>
      <c r="Q239" s="2">
        <f t="shared" si="91"/>
        <v>19.43</v>
      </c>
      <c r="R239" s="2">
        <f t="shared" si="91"/>
        <v>1469.22</v>
      </c>
      <c r="S239" s="2">
        <f t="shared" si="91"/>
        <v>146.91999999999999</v>
      </c>
      <c r="T239" s="2">
        <f t="shared" si="91"/>
        <v>38.86</v>
      </c>
      <c r="U239" s="2">
        <f t="shared" si="91"/>
        <v>3.89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6">
        <v>522021</v>
      </c>
      <c r="AB239" s="14" t="s">
        <v>517</v>
      </c>
      <c r="AC239" s="15" t="s">
        <v>890</v>
      </c>
      <c r="AD239" s="2">
        <v>5062202</v>
      </c>
      <c r="AE239" s="2">
        <v>3</v>
      </c>
      <c r="AF239" s="2">
        <v>1</v>
      </c>
      <c r="AG239" s="2">
        <f t="shared" si="93"/>
        <v>5052202</v>
      </c>
      <c r="AH239" s="2">
        <v>1</v>
      </c>
      <c r="AI239" s="2"/>
      <c r="AJ239">
        <v>1</v>
      </c>
      <c r="AK239" s="1">
        <f t="shared" si="75"/>
        <v>50.349416521108708</v>
      </c>
      <c r="AL239">
        <v>5</v>
      </c>
      <c r="AM239">
        <f t="shared" si="85"/>
        <v>176.64</v>
      </c>
      <c r="AN239">
        <f t="shared" si="86"/>
        <v>17.663999999999998</v>
      </c>
      <c r="AO239">
        <f t="shared" si="87"/>
        <v>1335.6521739130437</v>
      </c>
      <c r="AP239">
        <f t="shared" si="88"/>
        <v>133.56521739130437</v>
      </c>
      <c r="AQ239">
        <f t="shared" si="76"/>
        <v>35.327999999999996</v>
      </c>
      <c r="AR239">
        <f t="shared" si="77"/>
        <v>3.5327999999999999</v>
      </c>
      <c r="AS239">
        <f t="shared" si="78"/>
        <v>1.8</v>
      </c>
      <c r="AT239">
        <f t="shared" si="79"/>
        <v>2</v>
      </c>
      <c r="AU239">
        <f t="shared" si="80"/>
        <v>3</v>
      </c>
      <c r="AV239">
        <f t="shared" si="90"/>
        <v>2022</v>
      </c>
      <c r="AW239" s="1">
        <v>2</v>
      </c>
      <c r="AX239">
        <v>5</v>
      </c>
      <c r="AY239">
        <v>0.1</v>
      </c>
      <c r="BX239" t="str">
        <f t="shared" si="92"/>
        <v>1522023,2522023,3522023</v>
      </c>
      <c r="BY239">
        <v>1522023</v>
      </c>
      <c r="BZ239">
        <v>2522023</v>
      </c>
      <c r="CA239">
        <v>3522023</v>
      </c>
      <c r="CE239" t="str">
        <f t="shared" si="89"/>
        <v>DATA_Class_Base30</v>
      </c>
      <c r="CF239" s="3" t="s">
        <v>381</v>
      </c>
    </row>
    <row r="240" spans="1:84">
      <c r="A240">
        <f t="shared" si="83"/>
        <v>5052301</v>
      </c>
      <c r="B240" t="s">
        <v>383</v>
      </c>
      <c r="C240">
        <v>5</v>
      </c>
      <c r="D240">
        <v>3</v>
      </c>
      <c r="E240">
        <v>2</v>
      </c>
      <c r="F240" s="3" t="s">
        <v>520</v>
      </c>
      <c r="G240" s="3" t="s">
        <v>520</v>
      </c>
      <c r="H240">
        <v>0</v>
      </c>
      <c r="I240">
        <v>0</v>
      </c>
      <c r="J240">
        <v>0</v>
      </c>
      <c r="K240" s="2" t="s">
        <v>285</v>
      </c>
      <c r="L240" s="2">
        <f t="shared" si="84"/>
        <v>3</v>
      </c>
      <c r="M240" s="2">
        <f t="shared" si="82"/>
        <v>1.2</v>
      </c>
      <c r="N240" s="2">
        <f t="shared" si="82"/>
        <v>1.7</v>
      </c>
      <c r="O240" s="2">
        <v>10</v>
      </c>
      <c r="P240" s="2">
        <f t="shared" si="91"/>
        <v>146.43</v>
      </c>
      <c r="Q240" s="2">
        <f t="shared" si="91"/>
        <v>14.64</v>
      </c>
      <c r="R240" s="2">
        <f t="shared" si="91"/>
        <v>1299.69</v>
      </c>
      <c r="S240" s="2">
        <f t="shared" si="91"/>
        <v>129.97</v>
      </c>
      <c r="T240" s="2">
        <f t="shared" si="91"/>
        <v>24.41</v>
      </c>
      <c r="U240" s="2">
        <f t="shared" si="91"/>
        <v>2.44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6">
        <v>523011</v>
      </c>
      <c r="AB240" s="14" t="s">
        <v>521</v>
      </c>
      <c r="AC240" s="15" t="s">
        <v>890</v>
      </c>
      <c r="AD240" s="2">
        <v>5062301</v>
      </c>
      <c r="AE240" s="2">
        <v>3</v>
      </c>
      <c r="AF240" s="2">
        <v>1</v>
      </c>
      <c r="AG240" s="2">
        <f t="shared" si="93"/>
        <v>5052301</v>
      </c>
      <c r="AH240" s="2">
        <v>1</v>
      </c>
      <c r="AI240" s="2"/>
      <c r="AJ240">
        <v>1</v>
      </c>
      <c r="AK240" s="1">
        <f t="shared" si="75"/>
        <v>50.203137661803119</v>
      </c>
      <c r="AL240">
        <v>5</v>
      </c>
      <c r="AM240">
        <f t="shared" si="85"/>
        <v>133.12</v>
      </c>
      <c r="AN240">
        <f t="shared" si="86"/>
        <v>13.312000000000001</v>
      </c>
      <c r="AO240">
        <f t="shared" si="87"/>
        <v>1181.5384615384614</v>
      </c>
      <c r="AP240">
        <f t="shared" si="88"/>
        <v>118.15384615384615</v>
      </c>
      <c r="AQ240">
        <f t="shared" si="76"/>
        <v>22.186666666666667</v>
      </c>
      <c r="AR240">
        <f t="shared" si="77"/>
        <v>2.218666666666667</v>
      </c>
      <c r="AS240">
        <f t="shared" si="78"/>
        <v>1.2</v>
      </c>
      <c r="AT240">
        <f t="shared" si="79"/>
        <v>1.7</v>
      </c>
      <c r="AU240">
        <f t="shared" si="80"/>
        <v>3</v>
      </c>
      <c r="AV240">
        <f t="shared" si="90"/>
        <v>3012</v>
      </c>
      <c r="AW240" s="1">
        <v>1</v>
      </c>
      <c r="AX240">
        <v>5</v>
      </c>
      <c r="AY240">
        <v>0.1</v>
      </c>
      <c r="BX240" t="str">
        <f t="shared" si="92"/>
        <v>1523013,2523013,3523013</v>
      </c>
      <c r="BY240">
        <v>1523013</v>
      </c>
      <c r="BZ240">
        <v>2523013</v>
      </c>
      <c r="CA240">
        <v>3523013</v>
      </c>
      <c r="CE240" t="str">
        <f t="shared" si="89"/>
        <v>DATA_Class_Base31</v>
      </c>
      <c r="CF240" s="3" t="s">
        <v>384</v>
      </c>
    </row>
    <row r="241" spans="1:84">
      <c r="A241">
        <f t="shared" si="83"/>
        <v>5052401</v>
      </c>
      <c r="B241" t="s">
        <v>387</v>
      </c>
      <c r="C241">
        <v>5</v>
      </c>
      <c r="D241">
        <v>4</v>
      </c>
      <c r="E241">
        <v>2</v>
      </c>
      <c r="F241" s="3" t="s">
        <v>524</v>
      </c>
      <c r="G241" s="3" t="s">
        <v>524</v>
      </c>
      <c r="H241">
        <v>0</v>
      </c>
      <c r="I241">
        <v>0</v>
      </c>
      <c r="J241" s="2">
        <v>0</v>
      </c>
      <c r="K241" s="2" t="s">
        <v>161</v>
      </c>
      <c r="L241" s="2">
        <f t="shared" si="84"/>
        <v>6</v>
      </c>
      <c r="M241" s="2">
        <f t="shared" si="82"/>
        <v>1.6</v>
      </c>
      <c r="N241" s="2">
        <f t="shared" si="82"/>
        <v>1.5</v>
      </c>
      <c r="O241" s="2">
        <v>10</v>
      </c>
      <c r="P241" s="2">
        <f t="shared" si="91"/>
        <v>195.24</v>
      </c>
      <c r="Q241" s="2">
        <f t="shared" si="91"/>
        <v>19.52</v>
      </c>
      <c r="R241" s="2">
        <f t="shared" si="91"/>
        <v>1299.69</v>
      </c>
      <c r="S241" s="2">
        <f t="shared" si="91"/>
        <v>129.97</v>
      </c>
      <c r="T241" s="2">
        <f t="shared" si="91"/>
        <v>21.69</v>
      </c>
      <c r="U241" s="2">
        <f t="shared" si="91"/>
        <v>2.17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6">
        <v>524011</v>
      </c>
      <c r="AB241" s="14" t="s">
        <v>525</v>
      </c>
      <c r="AC241" s="15" t="s">
        <v>890</v>
      </c>
      <c r="AD241" s="2">
        <v>5062401</v>
      </c>
      <c r="AE241" s="2">
        <v>3</v>
      </c>
      <c r="AF241" s="2">
        <v>1</v>
      </c>
      <c r="AG241" s="2">
        <f t="shared" si="93"/>
        <v>5052401</v>
      </c>
      <c r="AH241" s="2">
        <v>1</v>
      </c>
      <c r="AI241" s="2"/>
      <c r="AJ241">
        <v>1</v>
      </c>
      <c r="AK241" s="1">
        <f t="shared" si="75"/>
        <v>50.175791808774598</v>
      </c>
      <c r="AL241">
        <v>5</v>
      </c>
      <c r="AM241">
        <f t="shared" si="85"/>
        <v>177.49333333333334</v>
      </c>
      <c r="AN241">
        <f t="shared" si="86"/>
        <v>17.749333333333336</v>
      </c>
      <c r="AO241">
        <f t="shared" si="87"/>
        <v>1181.5384615384614</v>
      </c>
      <c r="AP241">
        <f t="shared" si="88"/>
        <v>118.15384615384615</v>
      </c>
      <c r="AQ241">
        <f t="shared" si="76"/>
        <v>19.721481481481483</v>
      </c>
      <c r="AR241">
        <f t="shared" si="77"/>
        <v>1.9721481481481484</v>
      </c>
      <c r="AS241">
        <f t="shared" si="78"/>
        <v>1.6</v>
      </c>
      <c r="AT241">
        <f t="shared" si="79"/>
        <v>1.5</v>
      </c>
      <c r="AU241">
        <f t="shared" si="80"/>
        <v>6</v>
      </c>
      <c r="AV241">
        <f t="shared" si="90"/>
        <v>4012</v>
      </c>
      <c r="AW241" s="1">
        <v>1</v>
      </c>
      <c r="AX241">
        <v>5</v>
      </c>
      <c r="AY241">
        <v>0.1</v>
      </c>
      <c r="BX241" t="str">
        <f t="shared" si="92"/>
        <v>1524013,2524013,3524013</v>
      </c>
      <c r="BY241">
        <v>1524013</v>
      </c>
      <c r="BZ241">
        <v>2524013</v>
      </c>
      <c r="CA241">
        <v>3524013</v>
      </c>
      <c r="CE241" t="str">
        <f t="shared" si="89"/>
        <v>DATA_Class_Base32</v>
      </c>
      <c r="CF241" s="3" t="s">
        <v>388</v>
      </c>
    </row>
    <row r="242" spans="1:84">
      <c r="A242">
        <f t="shared" si="83"/>
        <v>5052402</v>
      </c>
      <c r="B242" t="s">
        <v>390</v>
      </c>
      <c r="C242">
        <v>5</v>
      </c>
      <c r="D242">
        <v>4</v>
      </c>
      <c r="E242">
        <v>2</v>
      </c>
      <c r="F242" s="3" t="s">
        <v>528</v>
      </c>
      <c r="G242" s="3" t="s">
        <v>528</v>
      </c>
      <c r="H242">
        <v>0</v>
      </c>
      <c r="I242">
        <v>0</v>
      </c>
      <c r="J242">
        <v>0</v>
      </c>
      <c r="K242" s="2" t="s">
        <v>250</v>
      </c>
      <c r="L242" s="2">
        <f t="shared" si="84"/>
        <v>6</v>
      </c>
      <c r="M242" s="2">
        <f t="shared" si="82"/>
        <v>1.5</v>
      </c>
      <c r="N242" s="2">
        <f t="shared" si="82"/>
        <v>1.5</v>
      </c>
      <c r="O242" s="2">
        <v>10</v>
      </c>
      <c r="P242" s="2">
        <f t="shared" si="91"/>
        <v>197.12</v>
      </c>
      <c r="Q242" s="2">
        <f t="shared" si="91"/>
        <v>19.71</v>
      </c>
      <c r="R242" s="2">
        <f t="shared" si="91"/>
        <v>1206.8599999999999</v>
      </c>
      <c r="S242" s="2">
        <f t="shared" si="91"/>
        <v>120.69</v>
      </c>
      <c r="T242" s="2">
        <f t="shared" si="91"/>
        <v>24.64</v>
      </c>
      <c r="U242" s="2">
        <f t="shared" si="91"/>
        <v>2.46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6">
        <v>524021</v>
      </c>
      <c r="AB242" s="14" t="s">
        <v>529</v>
      </c>
      <c r="AC242" s="15" t="s">
        <v>890</v>
      </c>
      <c r="AD242" s="2">
        <v>5062402</v>
      </c>
      <c r="AE242" s="2">
        <v>3</v>
      </c>
      <c r="AF242" s="2">
        <v>1</v>
      </c>
      <c r="AG242" s="2">
        <f t="shared" si="93"/>
        <v>5052402</v>
      </c>
      <c r="AH242" s="2">
        <v>1</v>
      </c>
      <c r="AI242" s="2"/>
      <c r="AJ242">
        <v>1</v>
      </c>
      <c r="AK242" s="1">
        <f t="shared" si="75"/>
        <v>50.205505531258048</v>
      </c>
      <c r="AL242">
        <v>5</v>
      </c>
      <c r="AM242">
        <f t="shared" si="85"/>
        <v>179.19999999999996</v>
      </c>
      <c r="AN242">
        <f t="shared" si="86"/>
        <v>17.919999999999998</v>
      </c>
      <c r="AO242">
        <f t="shared" si="87"/>
        <v>1097.1428571428573</v>
      </c>
      <c r="AP242">
        <f t="shared" si="88"/>
        <v>109.71428571428574</v>
      </c>
      <c r="AQ242">
        <f t="shared" si="76"/>
        <v>22.399999999999995</v>
      </c>
      <c r="AR242">
        <f t="shared" si="77"/>
        <v>2.2399999999999998</v>
      </c>
      <c r="AS242">
        <f t="shared" si="78"/>
        <v>1.5</v>
      </c>
      <c r="AT242">
        <f t="shared" si="79"/>
        <v>1.5</v>
      </c>
      <c r="AU242">
        <f t="shared" si="80"/>
        <v>6</v>
      </c>
      <c r="AV242">
        <f t="shared" si="90"/>
        <v>4022</v>
      </c>
      <c r="AW242" s="1">
        <v>2</v>
      </c>
      <c r="AX242">
        <v>5</v>
      </c>
      <c r="AY242">
        <v>0.1</v>
      </c>
      <c r="BX242" t="str">
        <f t="shared" si="92"/>
        <v>1524023,2524023,3524023</v>
      </c>
      <c r="BY242">
        <v>1524023</v>
      </c>
      <c r="BZ242">
        <v>2524023</v>
      </c>
      <c r="CA242">
        <v>3524023</v>
      </c>
      <c r="CE242" t="str">
        <f t="shared" si="89"/>
        <v>DATA_Class_Base33</v>
      </c>
      <c r="CF242" s="3" t="s">
        <v>391</v>
      </c>
    </row>
    <row r="243" spans="1:84">
      <c r="A243">
        <f t="shared" si="83"/>
        <v>5052500</v>
      </c>
      <c r="B243" t="s">
        <v>394</v>
      </c>
      <c r="C243">
        <v>5</v>
      </c>
      <c r="D243">
        <v>5</v>
      </c>
      <c r="E243">
        <v>2</v>
      </c>
      <c r="F243" s="3" t="s">
        <v>532</v>
      </c>
      <c r="G243" s="3" t="s">
        <v>532</v>
      </c>
      <c r="H243">
        <v>0</v>
      </c>
      <c r="I243">
        <v>0</v>
      </c>
      <c r="J243" s="2">
        <v>0</v>
      </c>
      <c r="K243" s="2" t="s">
        <v>303</v>
      </c>
      <c r="L243" s="2">
        <f t="shared" si="84"/>
        <v>6</v>
      </c>
      <c r="M243" s="2">
        <f t="shared" si="82"/>
        <v>1.5</v>
      </c>
      <c r="N243" s="2">
        <f t="shared" si="82"/>
        <v>2</v>
      </c>
      <c r="O243" s="2">
        <v>10</v>
      </c>
      <c r="P243" s="2">
        <f t="shared" si="91"/>
        <v>211.2</v>
      </c>
      <c r="Q243" s="2">
        <f t="shared" si="91"/>
        <v>21.12</v>
      </c>
      <c r="R243" s="2">
        <f t="shared" si="91"/>
        <v>1126.4000000000001</v>
      </c>
      <c r="S243" s="2">
        <f t="shared" si="91"/>
        <v>112.64</v>
      </c>
      <c r="T243" s="2">
        <f t="shared" si="91"/>
        <v>23.47</v>
      </c>
      <c r="U243" s="2">
        <f t="shared" si="91"/>
        <v>2.35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6">
        <v>525001</v>
      </c>
      <c r="AB243" s="14" t="s">
        <v>534</v>
      </c>
      <c r="AC243" s="15" t="s">
        <v>890</v>
      </c>
      <c r="AD243" s="2">
        <v>5062500</v>
      </c>
      <c r="AE243" s="2">
        <v>3</v>
      </c>
      <c r="AF243" s="2">
        <v>1</v>
      </c>
      <c r="AG243" s="2">
        <f t="shared" si="93"/>
        <v>5052500</v>
      </c>
      <c r="AH243" s="2">
        <v>1</v>
      </c>
      <c r="AI243" s="2"/>
      <c r="AJ243">
        <v>1</v>
      </c>
      <c r="AK243" s="1">
        <f t="shared" si="75"/>
        <v>50.193668417104277</v>
      </c>
      <c r="AL243">
        <v>5</v>
      </c>
      <c r="AM243">
        <f t="shared" si="85"/>
        <v>192</v>
      </c>
      <c r="AN243">
        <f t="shared" si="86"/>
        <v>19.200000000000003</v>
      </c>
      <c r="AO243">
        <f t="shared" si="87"/>
        <v>1024</v>
      </c>
      <c r="AP243">
        <f t="shared" si="88"/>
        <v>102.4</v>
      </c>
      <c r="AQ243">
        <f t="shared" si="76"/>
        <v>21.333333333333332</v>
      </c>
      <c r="AR243">
        <f t="shared" si="77"/>
        <v>2.1333333333333333</v>
      </c>
      <c r="AS243">
        <f t="shared" si="78"/>
        <v>1.5</v>
      </c>
      <c r="AT243">
        <f t="shared" si="79"/>
        <v>2</v>
      </c>
      <c r="AU243">
        <f t="shared" si="80"/>
        <v>6</v>
      </c>
      <c r="AV243">
        <f t="shared" si="90"/>
        <v>5002</v>
      </c>
      <c r="AW243" s="1">
        <v>0</v>
      </c>
      <c r="AX243">
        <v>5</v>
      </c>
      <c r="AY243">
        <v>0.1</v>
      </c>
      <c r="BX243" t="str">
        <f t="shared" si="92"/>
        <v>1525003,2525003,3525003</v>
      </c>
      <c r="BY243">
        <v>1525003</v>
      </c>
      <c r="BZ243">
        <v>2525003</v>
      </c>
      <c r="CA243">
        <v>3525003</v>
      </c>
      <c r="CE243" t="str">
        <f t="shared" si="89"/>
        <v>DATA_Class_Base34</v>
      </c>
      <c r="CF243" s="3" t="s">
        <v>184</v>
      </c>
    </row>
    <row r="244" spans="1:84">
      <c r="A244">
        <f t="shared" si="83"/>
        <v>5052502</v>
      </c>
      <c r="B244" t="s">
        <v>396</v>
      </c>
      <c r="C244">
        <v>5</v>
      </c>
      <c r="D244">
        <v>5</v>
      </c>
      <c r="E244">
        <v>2</v>
      </c>
      <c r="F244" s="3" t="s">
        <v>537</v>
      </c>
      <c r="G244" s="3" t="s">
        <v>537</v>
      </c>
      <c r="H244">
        <v>0</v>
      </c>
      <c r="I244">
        <v>0</v>
      </c>
      <c r="J244" s="2">
        <v>0</v>
      </c>
      <c r="K244" s="2" t="s">
        <v>291</v>
      </c>
      <c r="L244" s="2">
        <f t="shared" si="84"/>
        <v>6</v>
      </c>
      <c r="M244" s="2">
        <f t="shared" si="82"/>
        <v>1.4000000000000001</v>
      </c>
      <c r="N244" s="2">
        <f t="shared" si="82"/>
        <v>2</v>
      </c>
      <c r="O244" s="2">
        <v>10</v>
      </c>
      <c r="P244" s="2">
        <f t="shared" si="91"/>
        <v>203.69</v>
      </c>
      <c r="Q244" s="2">
        <f t="shared" si="91"/>
        <v>20.37</v>
      </c>
      <c r="R244" s="2">
        <f t="shared" si="91"/>
        <v>1090.06</v>
      </c>
      <c r="S244" s="2">
        <f t="shared" si="91"/>
        <v>109.01</v>
      </c>
      <c r="T244" s="2">
        <f t="shared" si="91"/>
        <v>20.37</v>
      </c>
      <c r="U244" s="2">
        <f t="shared" si="91"/>
        <v>2.04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6">
        <v>525021</v>
      </c>
      <c r="AB244" s="14" t="s">
        <v>538</v>
      </c>
      <c r="AC244" s="15" t="s">
        <v>890</v>
      </c>
      <c r="AD244" s="2">
        <v>5062502</v>
      </c>
      <c r="AE244" s="2">
        <v>1</v>
      </c>
      <c r="AF244" s="2">
        <v>1</v>
      </c>
      <c r="AG244" s="2">
        <f t="shared" si="93"/>
        <v>5052502</v>
      </c>
      <c r="AH244" s="2">
        <v>1</v>
      </c>
      <c r="AI244" s="2"/>
      <c r="AJ244">
        <v>1</v>
      </c>
      <c r="AK244" s="1">
        <f t="shared" si="75"/>
        <v>50.162445238244167</v>
      </c>
      <c r="AL244">
        <v>5</v>
      </c>
      <c r="AM244">
        <f t="shared" si="85"/>
        <v>185.17333333333332</v>
      </c>
      <c r="AN244">
        <f t="shared" si="86"/>
        <v>18.517333333333333</v>
      </c>
      <c r="AO244">
        <f t="shared" si="87"/>
        <v>990.9677419354839</v>
      </c>
      <c r="AP244">
        <f t="shared" si="88"/>
        <v>99.096774193548399</v>
      </c>
      <c r="AQ244">
        <f t="shared" si="76"/>
        <v>18.517333333333333</v>
      </c>
      <c r="AR244">
        <f t="shared" si="77"/>
        <v>1.8517333333333335</v>
      </c>
      <c r="AS244">
        <f t="shared" si="78"/>
        <v>1.4</v>
      </c>
      <c r="AT244">
        <f t="shared" si="79"/>
        <v>2</v>
      </c>
      <c r="AU244">
        <f t="shared" si="80"/>
        <v>6</v>
      </c>
      <c r="AV244">
        <f t="shared" si="90"/>
        <v>5022</v>
      </c>
      <c r="AW244" s="1">
        <v>2</v>
      </c>
      <c r="AX244">
        <v>5</v>
      </c>
      <c r="AY244">
        <v>0.1</v>
      </c>
      <c r="BX244" t="str">
        <f t="shared" si="92"/>
        <v>1525023,2525023,3525023</v>
      </c>
      <c r="BY244">
        <v>1525023</v>
      </c>
      <c r="BZ244">
        <v>2525023</v>
      </c>
      <c r="CA244">
        <v>3525023</v>
      </c>
      <c r="CE244" t="str">
        <f t="shared" si="89"/>
        <v>DATA_Class_Base35</v>
      </c>
      <c r="CF244" s="3" t="s">
        <v>195</v>
      </c>
    </row>
    <row r="245" spans="1:84">
      <c r="A245">
        <f t="shared" si="83"/>
        <v>5052601</v>
      </c>
      <c r="B245" t="s">
        <v>398</v>
      </c>
      <c r="C245">
        <v>5</v>
      </c>
      <c r="D245">
        <v>6</v>
      </c>
      <c r="E245">
        <v>2</v>
      </c>
      <c r="F245" s="3" t="s">
        <v>541</v>
      </c>
      <c r="G245" s="3" t="s">
        <v>541</v>
      </c>
      <c r="H245">
        <v>0</v>
      </c>
      <c r="I245">
        <v>0</v>
      </c>
      <c r="J245" s="2">
        <v>0</v>
      </c>
      <c r="K245" s="2" t="s">
        <v>309</v>
      </c>
      <c r="L245" s="2">
        <f t="shared" si="84"/>
        <v>6</v>
      </c>
      <c r="M245" s="2">
        <f t="shared" si="82"/>
        <v>1.5</v>
      </c>
      <c r="N245" s="2">
        <f t="shared" si="82"/>
        <v>2</v>
      </c>
      <c r="O245" s="2">
        <v>10</v>
      </c>
      <c r="P245" s="2">
        <f t="shared" si="91"/>
        <v>154.88</v>
      </c>
      <c r="Q245" s="2">
        <f t="shared" si="91"/>
        <v>15.49</v>
      </c>
      <c r="R245" s="2">
        <f t="shared" si="91"/>
        <v>1536</v>
      </c>
      <c r="S245" s="2">
        <f t="shared" si="91"/>
        <v>153.6</v>
      </c>
      <c r="T245" s="2">
        <f t="shared" si="91"/>
        <v>30.98</v>
      </c>
      <c r="U245" s="2">
        <f t="shared" si="91"/>
        <v>3.1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6">
        <v>526011</v>
      </c>
      <c r="AB245" s="14" t="s">
        <v>543</v>
      </c>
      <c r="AC245" s="15" t="s">
        <v>890</v>
      </c>
      <c r="AD245" s="2">
        <v>5062601</v>
      </c>
      <c r="AE245" s="2">
        <v>1</v>
      </c>
      <c r="AF245" s="2">
        <v>1</v>
      </c>
      <c r="AG245" s="2">
        <f t="shared" si="93"/>
        <v>5052601</v>
      </c>
      <c r="AH245" s="2">
        <v>1</v>
      </c>
      <c r="AI245" s="2"/>
      <c r="AJ245">
        <v>1</v>
      </c>
      <c r="AK245" s="1">
        <f t="shared" si="75"/>
        <v>50.269522546077475</v>
      </c>
      <c r="AL245">
        <v>5</v>
      </c>
      <c r="AM245">
        <f t="shared" si="85"/>
        <v>140.80000000000001</v>
      </c>
      <c r="AN245">
        <f t="shared" si="86"/>
        <v>14.080000000000002</v>
      </c>
      <c r="AO245">
        <f t="shared" si="87"/>
        <v>1396.3636363636365</v>
      </c>
      <c r="AP245">
        <f t="shared" si="88"/>
        <v>139.63636363636365</v>
      </c>
      <c r="AQ245">
        <f t="shared" si="76"/>
        <v>28.160000000000004</v>
      </c>
      <c r="AR245">
        <f t="shared" si="77"/>
        <v>2.8160000000000007</v>
      </c>
      <c r="AS245">
        <f t="shared" si="78"/>
        <v>1.5</v>
      </c>
      <c r="AT245">
        <f t="shared" si="79"/>
        <v>2</v>
      </c>
      <c r="AU245">
        <f t="shared" si="80"/>
        <v>6</v>
      </c>
      <c r="AV245">
        <f t="shared" si="90"/>
        <v>6012</v>
      </c>
      <c r="AW245" s="1">
        <v>1</v>
      </c>
      <c r="AX245">
        <v>5</v>
      </c>
      <c r="AY245">
        <v>0.1</v>
      </c>
      <c r="BX245" t="str">
        <f t="shared" si="92"/>
        <v>1526013,2526013,3526013</v>
      </c>
      <c r="BY245">
        <v>1526013</v>
      </c>
      <c r="BZ245">
        <v>2526013</v>
      </c>
      <c r="CA245">
        <v>3526013</v>
      </c>
      <c r="CE245" t="str">
        <f t="shared" si="89"/>
        <v>DATA_Class_Base36</v>
      </c>
      <c r="CF245" s="3" t="s">
        <v>201</v>
      </c>
    </row>
    <row r="246" spans="1:84">
      <c r="A246">
        <f t="shared" si="83"/>
        <v>5053200</v>
      </c>
      <c r="B246" t="s">
        <v>373</v>
      </c>
      <c r="C246">
        <v>5</v>
      </c>
      <c r="D246">
        <v>2</v>
      </c>
      <c r="E246">
        <v>3</v>
      </c>
      <c r="F246" s="3" t="s">
        <v>546</v>
      </c>
      <c r="G246" s="3" t="s">
        <v>546</v>
      </c>
      <c r="H246">
        <v>0</v>
      </c>
      <c r="I246">
        <v>0</v>
      </c>
      <c r="J246">
        <v>0</v>
      </c>
      <c r="K246" s="2" t="s">
        <v>314</v>
      </c>
      <c r="L246" s="2">
        <f t="shared" si="84"/>
        <v>3</v>
      </c>
      <c r="M246" s="2">
        <f t="shared" si="82"/>
        <v>1.5</v>
      </c>
      <c r="N246" s="2">
        <f t="shared" si="82"/>
        <v>1.2</v>
      </c>
      <c r="O246" s="2">
        <v>10</v>
      </c>
      <c r="P246" s="2">
        <f t="shared" si="91"/>
        <v>98.56</v>
      </c>
      <c r="Q246" s="2">
        <f t="shared" si="91"/>
        <v>9.86</v>
      </c>
      <c r="R246" s="2">
        <f t="shared" si="91"/>
        <v>2413.71</v>
      </c>
      <c r="S246" s="2">
        <f t="shared" si="91"/>
        <v>241.37</v>
      </c>
      <c r="T246" s="2">
        <f t="shared" si="91"/>
        <v>49.28</v>
      </c>
      <c r="U246" s="2">
        <f t="shared" si="91"/>
        <v>4.93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6">
        <v>532001</v>
      </c>
      <c r="AB246" s="14" t="s">
        <v>547</v>
      </c>
      <c r="AC246" s="15" t="s">
        <v>890</v>
      </c>
      <c r="AD246" s="2">
        <v>5063200</v>
      </c>
      <c r="AE246" s="2">
        <v>1</v>
      </c>
      <c r="AF246" s="2">
        <v>1</v>
      </c>
      <c r="AG246" s="2">
        <f t="shared" si="93"/>
        <v>5053200</v>
      </c>
      <c r="AH246" s="2">
        <v>1</v>
      </c>
      <c r="AI246" s="2"/>
      <c r="AJ246">
        <v>1</v>
      </c>
      <c r="AK246" s="1">
        <f t="shared" si="75"/>
        <v>50.45538103548575</v>
      </c>
      <c r="AL246">
        <v>5</v>
      </c>
      <c r="AM246">
        <f t="shared" si="85"/>
        <v>89.59999999999998</v>
      </c>
      <c r="AN246">
        <f t="shared" si="86"/>
        <v>8.9599999999999991</v>
      </c>
      <c r="AO246">
        <f t="shared" si="87"/>
        <v>2194.2857142857147</v>
      </c>
      <c r="AP246">
        <f t="shared" si="88"/>
        <v>219.42857142857147</v>
      </c>
      <c r="AQ246">
        <f t="shared" si="76"/>
        <v>44.79999999999999</v>
      </c>
      <c r="AR246">
        <f t="shared" si="77"/>
        <v>4.4799999999999995</v>
      </c>
      <c r="AS246">
        <f t="shared" si="78"/>
        <v>1.5</v>
      </c>
      <c r="AT246">
        <f t="shared" si="79"/>
        <v>1.2</v>
      </c>
      <c r="AU246">
        <f t="shared" si="80"/>
        <v>3</v>
      </c>
      <c r="AV246">
        <f t="shared" si="90"/>
        <v>2003</v>
      </c>
      <c r="AW246" s="1">
        <v>0</v>
      </c>
      <c r="AX246">
        <v>5</v>
      </c>
      <c r="AY246">
        <v>0.1</v>
      </c>
      <c r="BX246" t="str">
        <f t="shared" si="92"/>
        <v>1532003,2532003,3532003</v>
      </c>
      <c r="BY246">
        <v>1532003</v>
      </c>
      <c r="BZ246">
        <v>2532003</v>
      </c>
      <c r="CA246">
        <v>3532003</v>
      </c>
      <c r="CE246" t="str">
        <f t="shared" si="89"/>
        <v>DATA_Class_Base28</v>
      </c>
      <c r="CF246" s="3" t="s">
        <v>374</v>
      </c>
    </row>
    <row r="247" spans="1:84">
      <c r="A247">
        <f t="shared" si="83"/>
        <v>5053201</v>
      </c>
      <c r="B247" t="s">
        <v>377</v>
      </c>
      <c r="C247">
        <v>5</v>
      </c>
      <c r="D247">
        <v>2</v>
      </c>
      <c r="E247">
        <v>3</v>
      </c>
      <c r="F247" s="3" t="s">
        <v>550</v>
      </c>
      <c r="G247" s="3" t="s">
        <v>550</v>
      </c>
      <c r="H247">
        <v>0</v>
      </c>
      <c r="I247">
        <v>0</v>
      </c>
      <c r="J247" s="2">
        <v>0</v>
      </c>
      <c r="K247" s="8" t="s">
        <v>298</v>
      </c>
      <c r="L247" s="2">
        <f t="shared" si="84"/>
        <v>3</v>
      </c>
      <c r="M247" s="2">
        <f t="shared" si="82"/>
        <v>1.8</v>
      </c>
      <c r="N247" s="2">
        <f t="shared" si="82"/>
        <v>1.8</v>
      </c>
      <c r="O247" s="2">
        <v>10</v>
      </c>
      <c r="P247" s="2">
        <f t="shared" si="91"/>
        <v>101.38</v>
      </c>
      <c r="Q247" s="2">
        <f t="shared" si="91"/>
        <v>10.14</v>
      </c>
      <c r="R247" s="2">
        <f t="shared" si="91"/>
        <v>2816</v>
      </c>
      <c r="S247" s="2">
        <f t="shared" si="91"/>
        <v>281.60000000000002</v>
      </c>
      <c r="T247" s="2">
        <f t="shared" si="91"/>
        <v>56.32</v>
      </c>
      <c r="U247" s="2">
        <f t="shared" si="91"/>
        <v>5.63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6">
        <v>532011</v>
      </c>
      <c r="AB247" s="14" t="s">
        <v>551</v>
      </c>
      <c r="AC247" s="15" t="s">
        <v>890</v>
      </c>
      <c r="AD247" s="2">
        <v>5063201</v>
      </c>
      <c r="AE247" s="2">
        <v>3</v>
      </c>
      <c r="AF247" s="2">
        <v>1</v>
      </c>
      <c r="AG247" s="2">
        <f t="shared" si="93"/>
        <v>5053201</v>
      </c>
      <c r="AH247" s="2">
        <v>1</v>
      </c>
      <c r="AI247" s="2"/>
      <c r="AJ247">
        <v>1</v>
      </c>
      <c r="AK247" s="1">
        <f t="shared" si="75"/>
        <v>50.527231536021773</v>
      </c>
      <c r="AL247">
        <v>5</v>
      </c>
      <c r="AM247">
        <f t="shared" si="85"/>
        <v>92.160000000000025</v>
      </c>
      <c r="AN247">
        <f t="shared" si="86"/>
        <v>9.2160000000000029</v>
      </c>
      <c r="AO247">
        <f t="shared" si="87"/>
        <v>2560</v>
      </c>
      <c r="AP247">
        <f t="shared" si="88"/>
        <v>256</v>
      </c>
      <c r="AQ247">
        <f t="shared" si="76"/>
        <v>51.20000000000001</v>
      </c>
      <c r="AR247">
        <f t="shared" si="77"/>
        <v>5.120000000000001</v>
      </c>
      <c r="AS247">
        <f t="shared" si="78"/>
        <v>1.8</v>
      </c>
      <c r="AT247">
        <f t="shared" si="79"/>
        <v>1.8</v>
      </c>
      <c r="AU247">
        <f t="shared" si="80"/>
        <v>3</v>
      </c>
      <c r="AV247">
        <f t="shared" si="90"/>
        <v>2013</v>
      </c>
      <c r="AW247" s="1">
        <v>1</v>
      </c>
      <c r="AX247">
        <v>5</v>
      </c>
      <c r="AY247">
        <v>0.1</v>
      </c>
      <c r="BX247" t="str">
        <f t="shared" si="92"/>
        <v>1532013,2532013,3532013</v>
      </c>
      <c r="BY247">
        <v>1532013</v>
      </c>
      <c r="BZ247">
        <v>2532013</v>
      </c>
      <c r="CA247">
        <v>3532013</v>
      </c>
      <c r="CE247" t="str">
        <f t="shared" si="89"/>
        <v>DATA_Class_Base29</v>
      </c>
      <c r="CF247" s="3" t="s">
        <v>378</v>
      </c>
    </row>
    <row r="248" spans="1:84">
      <c r="A248">
        <f t="shared" si="83"/>
        <v>5053202</v>
      </c>
      <c r="B248" t="s">
        <v>380</v>
      </c>
      <c r="C248">
        <v>5</v>
      </c>
      <c r="D248">
        <v>2</v>
      </c>
      <c r="E248">
        <v>3</v>
      </c>
      <c r="F248" s="3" t="s">
        <v>554</v>
      </c>
      <c r="G248" s="3" t="s">
        <v>554</v>
      </c>
      <c r="H248">
        <v>0</v>
      </c>
      <c r="I248">
        <v>0</v>
      </c>
      <c r="J248">
        <v>0</v>
      </c>
      <c r="K248" s="2" t="s">
        <v>280</v>
      </c>
      <c r="L248" s="2">
        <f t="shared" si="84"/>
        <v>3</v>
      </c>
      <c r="M248" s="2">
        <f t="shared" si="82"/>
        <v>1.8</v>
      </c>
      <c r="N248" s="2">
        <f t="shared" si="82"/>
        <v>2</v>
      </c>
      <c r="O248" s="2">
        <v>10</v>
      </c>
      <c r="P248" s="2">
        <f t="shared" si="91"/>
        <v>152.06</v>
      </c>
      <c r="Q248" s="2">
        <f t="shared" si="91"/>
        <v>15.21</v>
      </c>
      <c r="R248" s="2">
        <f t="shared" si="91"/>
        <v>1877.33</v>
      </c>
      <c r="S248" s="2">
        <f t="shared" si="91"/>
        <v>187.73</v>
      </c>
      <c r="T248" s="2">
        <f t="shared" si="91"/>
        <v>50.69</v>
      </c>
      <c r="U248" s="2">
        <f t="shared" si="91"/>
        <v>5.07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6">
        <v>532021</v>
      </c>
      <c r="AB248" s="14" t="s">
        <v>556</v>
      </c>
      <c r="AC248" s="15" t="s">
        <v>890</v>
      </c>
      <c r="AD248" s="2">
        <v>5063202</v>
      </c>
      <c r="AE248" s="2">
        <v>3</v>
      </c>
      <c r="AF248" s="2">
        <v>1</v>
      </c>
      <c r="AG248" s="2">
        <f t="shared" si="93"/>
        <v>5053202</v>
      </c>
      <c r="AH248" s="2">
        <v>1</v>
      </c>
      <c r="AI248" s="2"/>
      <c r="AJ248">
        <v>1</v>
      </c>
      <c r="AK248" s="1">
        <f t="shared" si="75"/>
        <v>50.469734783339604</v>
      </c>
      <c r="AL248">
        <v>5</v>
      </c>
      <c r="AM248">
        <f t="shared" si="85"/>
        <v>138.24</v>
      </c>
      <c r="AN248">
        <f t="shared" si="86"/>
        <v>13.824000000000002</v>
      </c>
      <c r="AO248">
        <f t="shared" si="87"/>
        <v>1706.666666666667</v>
      </c>
      <c r="AP248">
        <f t="shared" si="88"/>
        <v>170.66666666666671</v>
      </c>
      <c r="AQ248">
        <f t="shared" si="76"/>
        <v>46.080000000000005</v>
      </c>
      <c r="AR248">
        <f t="shared" si="77"/>
        <v>4.6080000000000005</v>
      </c>
      <c r="AS248">
        <f t="shared" si="78"/>
        <v>1.8</v>
      </c>
      <c r="AT248">
        <f t="shared" si="79"/>
        <v>2</v>
      </c>
      <c r="AU248">
        <f t="shared" si="80"/>
        <v>3</v>
      </c>
      <c r="AV248">
        <f t="shared" si="90"/>
        <v>2023</v>
      </c>
      <c r="AW248" s="1">
        <v>2</v>
      </c>
      <c r="AX248">
        <v>5</v>
      </c>
      <c r="AY248">
        <v>0.1</v>
      </c>
      <c r="BX248" t="str">
        <f t="shared" si="92"/>
        <v>1532023,2532023,3532023</v>
      </c>
      <c r="BY248">
        <v>1532023</v>
      </c>
      <c r="BZ248">
        <v>2532023</v>
      </c>
      <c r="CA248">
        <v>3532023</v>
      </c>
      <c r="CE248" t="str">
        <f t="shared" si="89"/>
        <v>DATA_Class_Base30</v>
      </c>
      <c r="CF248" s="3" t="s">
        <v>381</v>
      </c>
    </row>
    <row r="249" spans="1:84">
      <c r="A249">
        <f t="shared" si="83"/>
        <v>5053301</v>
      </c>
      <c r="B249" t="s">
        <v>383</v>
      </c>
      <c r="C249">
        <v>5</v>
      </c>
      <c r="D249">
        <v>3</v>
      </c>
      <c r="E249">
        <v>3</v>
      </c>
      <c r="F249" s="3" t="s">
        <v>559</v>
      </c>
      <c r="G249" s="3" t="s">
        <v>559</v>
      </c>
      <c r="H249">
        <v>0</v>
      </c>
      <c r="I249">
        <v>0</v>
      </c>
      <c r="J249" s="2">
        <v>0</v>
      </c>
      <c r="K249" s="2" t="s">
        <v>285</v>
      </c>
      <c r="L249" s="2">
        <f t="shared" si="84"/>
        <v>3</v>
      </c>
      <c r="M249" s="2">
        <f t="shared" si="82"/>
        <v>1.2</v>
      </c>
      <c r="N249" s="2">
        <f t="shared" si="82"/>
        <v>1.4000000000000001</v>
      </c>
      <c r="O249" s="2">
        <v>10</v>
      </c>
      <c r="P249" s="2">
        <f t="shared" si="91"/>
        <v>135.16999999999999</v>
      </c>
      <c r="Q249" s="2">
        <f t="shared" si="91"/>
        <v>13.52</v>
      </c>
      <c r="R249" s="2">
        <f t="shared" si="91"/>
        <v>1408</v>
      </c>
      <c r="S249" s="2">
        <f t="shared" si="91"/>
        <v>140.80000000000001</v>
      </c>
      <c r="T249" s="2">
        <f t="shared" si="91"/>
        <v>27.03</v>
      </c>
      <c r="U249" s="2">
        <f t="shared" si="91"/>
        <v>2.7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6">
        <v>533011</v>
      </c>
      <c r="AB249" s="14" t="s">
        <v>560</v>
      </c>
      <c r="AC249" s="15" t="s">
        <v>890</v>
      </c>
      <c r="AD249" s="2">
        <v>5063301</v>
      </c>
      <c r="AE249" s="2">
        <v>1</v>
      </c>
      <c r="AF249" s="2">
        <v>1</v>
      </c>
      <c r="AG249" s="2">
        <f t="shared" si="93"/>
        <v>5053301</v>
      </c>
      <c r="AH249" s="2">
        <v>1</v>
      </c>
      <c r="AI249" s="2"/>
      <c r="AJ249">
        <v>1</v>
      </c>
      <c r="AK249" s="1">
        <f t="shared" si="75"/>
        <v>50.229670564434144</v>
      </c>
      <c r="AL249">
        <v>5</v>
      </c>
      <c r="AM249">
        <f t="shared" si="85"/>
        <v>122.88</v>
      </c>
      <c r="AN249">
        <f t="shared" si="86"/>
        <v>12.288</v>
      </c>
      <c r="AO249">
        <f t="shared" si="87"/>
        <v>1280</v>
      </c>
      <c r="AP249">
        <f t="shared" si="88"/>
        <v>128</v>
      </c>
      <c r="AQ249">
        <f t="shared" si="76"/>
        <v>24.576000000000001</v>
      </c>
      <c r="AR249">
        <f t="shared" si="77"/>
        <v>2.4576000000000002</v>
      </c>
      <c r="AS249">
        <f t="shared" si="78"/>
        <v>1.2</v>
      </c>
      <c r="AT249">
        <f t="shared" si="79"/>
        <v>1.4</v>
      </c>
      <c r="AU249">
        <f t="shared" si="80"/>
        <v>3</v>
      </c>
      <c r="AV249">
        <f t="shared" si="90"/>
        <v>3013</v>
      </c>
      <c r="AW249" s="1">
        <v>1</v>
      </c>
      <c r="AX249">
        <v>5</v>
      </c>
      <c r="AY249">
        <v>0.1</v>
      </c>
      <c r="BX249" t="str">
        <f t="shared" si="92"/>
        <v>1533013,2533013,3533013</v>
      </c>
      <c r="BY249">
        <v>1533013</v>
      </c>
      <c r="BZ249">
        <v>2533013</v>
      </c>
      <c r="CA249">
        <v>3533013</v>
      </c>
      <c r="CE249" t="str">
        <f t="shared" si="89"/>
        <v>DATA_Class_Base31</v>
      </c>
      <c r="CF249" s="3" t="s">
        <v>384</v>
      </c>
    </row>
    <row r="250" spans="1:84">
      <c r="A250">
        <f t="shared" si="83"/>
        <v>5053401</v>
      </c>
      <c r="B250" t="s">
        <v>387</v>
      </c>
      <c r="C250">
        <v>5</v>
      </c>
      <c r="D250">
        <v>4</v>
      </c>
      <c r="E250">
        <v>3</v>
      </c>
      <c r="F250" s="3" t="s">
        <v>563</v>
      </c>
      <c r="G250" s="3" t="s">
        <v>563</v>
      </c>
      <c r="H250">
        <v>0</v>
      </c>
      <c r="I250">
        <v>0</v>
      </c>
      <c r="J250">
        <v>0</v>
      </c>
      <c r="K250" s="2" t="s">
        <v>161</v>
      </c>
      <c r="L250" s="2">
        <f t="shared" si="84"/>
        <v>6</v>
      </c>
      <c r="M250" s="2">
        <f t="shared" si="82"/>
        <v>1.6</v>
      </c>
      <c r="N250" s="2">
        <f t="shared" si="82"/>
        <v>1.5</v>
      </c>
      <c r="O250" s="2">
        <v>10</v>
      </c>
      <c r="P250" s="2">
        <f t="shared" si="91"/>
        <v>180.22</v>
      </c>
      <c r="Q250" s="2">
        <f t="shared" si="91"/>
        <v>18.02</v>
      </c>
      <c r="R250" s="2">
        <f t="shared" si="91"/>
        <v>1408</v>
      </c>
      <c r="S250" s="2">
        <f t="shared" si="91"/>
        <v>140.80000000000001</v>
      </c>
      <c r="T250" s="2">
        <f t="shared" si="91"/>
        <v>30.04</v>
      </c>
      <c r="U250" s="2">
        <f t="shared" si="91"/>
        <v>3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6">
        <v>534011</v>
      </c>
      <c r="AB250" s="14" t="s">
        <v>564</v>
      </c>
      <c r="AC250" s="15" t="s">
        <v>890</v>
      </c>
      <c r="AD250" s="2">
        <v>5063401</v>
      </c>
      <c r="AE250" s="2">
        <v>3</v>
      </c>
      <c r="AF250" s="2">
        <v>1</v>
      </c>
      <c r="AG250" s="2">
        <f t="shared" si="93"/>
        <v>5053401</v>
      </c>
      <c r="AH250" s="2">
        <v>1</v>
      </c>
      <c r="AI250" s="2"/>
      <c r="AJ250">
        <v>1</v>
      </c>
      <c r="AK250" s="1">
        <f t="shared" si="75"/>
        <v>50.260028244343637</v>
      </c>
      <c r="AL250">
        <v>5</v>
      </c>
      <c r="AM250">
        <f t="shared" si="85"/>
        <v>163.84000000000003</v>
      </c>
      <c r="AN250">
        <f t="shared" si="86"/>
        <v>16.384000000000004</v>
      </c>
      <c r="AO250">
        <f t="shared" si="87"/>
        <v>1280</v>
      </c>
      <c r="AP250">
        <f t="shared" si="88"/>
        <v>128</v>
      </c>
      <c r="AQ250">
        <f t="shared" si="76"/>
        <v>27.306666666666672</v>
      </c>
      <c r="AR250">
        <f t="shared" si="77"/>
        <v>2.7306666666666675</v>
      </c>
      <c r="AS250">
        <f t="shared" si="78"/>
        <v>1.6</v>
      </c>
      <c r="AT250">
        <f t="shared" si="79"/>
        <v>1.5</v>
      </c>
      <c r="AU250">
        <f t="shared" si="80"/>
        <v>6</v>
      </c>
      <c r="AV250">
        <f t="shared" si="90"/>
        <v>4013</v>
      </c>
      <c r="AW250" s="1">
        <v>1</v>
      </c>
      <c r="AX250">
        <v>5</v>
      </c>
      <c r="AY250">
        <v>0.1</v>
      </c>
      <c r="BX250" t="str">
        <f t="shared" si="92"/>
        <v>1534013,2534013,3534013</v>
      </c>
      <c r="BY250">
        <v>1534013</v>
      </c>
      <c r="BZ250">
        <v>2534013</v>
      </c>
      <c r="CA250">
        <v>3534013</v>
      </c>
      <c r="CE250" t="str">
        <f t="shared" si="89"/>
        <v>DATA_Class_Base32</v>
      </c>
      <c r="CF250" s="3" t="s">
        <v>388</v>
      </c>
    </row>
    <row r="251" spans="1:84">
      <c r="A251">
        <f t="shared" si="83"/>
        <v>5053402</v>
      </c>
      <c r="B251" t="s">
        <v>390</v>
      </c>
      <c r="C251">
        <v>5</v>
      </c>
      <c r="D251">
        <v>4</v>
      </c>
      <c r="E251">
        <v>3</v>
      </c>
      <c r="F251" s="3" t="s">
        <v>567</v>
      </c>
      <c r="G251" s="3" t="s">
        <v>567</v>
      </c>
      <c r="H251">
        <v>0</v>
      </c>
      <c r="I251">
        <v>0</v>
      </c>
      <c r="J251" s="2">
        <v>0</v>
      </c>
      <c r="K251" s="2" t="s">
        <v>250</v>
      </c>
      <c r="L251" s="2">
        <f t="shared" si="84"/>
        <v>6</v>
      </c>
      <c r="M251" s="2">
        <f t="shared" si="82"/>
        <v>1.5</v>
      </c>
      <c r="N251" s="2">
        <f t="shared" si="82"/>
        <v>1.5</v>
      </c>
      <c r="O251" s="2">
        <v>10</v>
      </c>
      <c r="P251" s="2">
        <f t="shared" si="91"/>
        <v>183.04</v>
      </c>
      <c r="Q251" s="2">
        <f t="shared" si="91"/>
        <v>18.3</v>
      </c>
      <c r="R251" s="2">
        <f t="shared" si="91"/>
        <v>1299.69</v>
      </c>
      <c r="S251" s="2">
        <f t="shared" si="91"/>
        <v>129.97</v>
      </c>
      <c r="T251" s="2">
        <f t="shared" si="91"/>
        <v>26.15</v>
      </c>
      <c r="U251" s="2">
        <f t="shared" si="91"/>
        <v>2.61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6">
        <v>534021</v>
      </c>
      <c r="AB251" s="14" t="s">
        <v>569</v>
      </c>
      <c r="AC251" s="15" t="s">
        <v>890</v>
      </c>
      <c r="AD251" s="2">
        <v>5063402</v>
      </c>
      <c r="AE251" s="2">
        <v>3</v>
      </c>
      <c r="AF251" s="2">
        <v>1</v>
      </c>
      <c r="AG251" s="2">
        <f t="shared" si="93"/>
        <v>5053402</v>
      </c>
      <c r="AH251" s="2">
        <v>1</v>
      </c>
      <c r="AI251" s="2"/>
      <c r="AJ251">
        <v>1</v>
      </c>
      <c r="AK251" s="1">
        <f t="shared" si="75"/>
        <v>50.220732884203571</v>
      </c>
      <c r="AL251">
        <v>5</v>
      </c>
      <c r="AM251">
        <f t="shared" si="85"/>
        <v>166.4</v>
      </c>
      <c r="AN251">
        <f t="shared" si="86"/>
        <v>16.64</v>
      </c>
      <c r="AO251">
        <f t="shared" si="87"/>
        <v>1181.5384615384614</v>
      </c>
      <c r="AP251">
        <f t="shared" si="88"/>
        <v>118.15384615384615</v>
      </c>
      <c r="AQ251">
        <f t="shared" si="76"/>
        <v>23.771428571428572</v>
      </c>
      <c r="AR251">
        <f t="shared" si="77"/>
        <v>2.3771428571428572</v>
      </c>
      <c r="AS251">
        <f t="shared" si="78"/>
        <v>1.5</v>
      </c>
      <c r="AT251">
        <f t="shared" si="79"/>
        <v>1.5</v>
      </c>
      <c r="AU251">
        <f t="shared" si="80"/>
        <v>6</v>
      </c>
      <c r="AV251">
        <f t="shared" si="90"/>
        <v>4023</v>
      </c>
      <c r="AW251" s="1">
        <v>2</v>
      </c>
      <c r="AX251">
        <v>5</v>
      </c>
      <c r="AY251">
        <v>0.1</v>
      </c>
      <c r="BX251" t="str">
        <f t="shared" si="92"/>
        <v>1534023,2534023,3534023</v>
      </c>
      <c r="BY251">
        <v>1534023</v>
      </c>
      <c r="BZ251">
        <v>2534023</v>
      </c>
      <c r="CA251">
        <v>3534023</v>
      </c>
      <c r="CE251" t="str">
        <f t="shared" si="89"/>
        <v>DATA_Class_Base33</v>
      </c>
      <c r="CF251" s="3" t="s">
        <v>391</v>
      </c>
    </row>
    <row r="252" spans="1:84">
      <c r="A252">
        <f t="shared" si="83"/>
        <v>5053500</v>
      </c>
      <c r="B252" t="s">
        <v>394</v>
      </c>
      <c r="C252">
        <v>5</v>
      </c>
      <c r="D252">
        <v>5</v>
      </c>
      <c r="E252">
        <v>3</v>
      </c>
      <c r="F252" s="3" t="s">
        <v>572</v>
      </c>
      <c r="G252" s="3" t="s">
        <v>572</v>
      </c>
      <c r="H252">
        <v>0</v>
      </c>
      <c r="I252">
        <v>0</v>
      </c>
      <c r="J252" s="2">
        <v>0</v>
      </c>
      <c r="K252" s="2" t="s">
        <v>303</v>
      </c>
      <c r="L252" s="2">
        <f t="shared" si="84"/>
        <v>6</v>
      </c>
      <c r="M252" s="2">
        <f t="shared" si="82"/>
        <v>1.5</v>
      </c>
      <c r="N252" s="2">
        <f t="shared" si="82"/>
        <v>2</v>
      </c>
      <c r="O252" s="2">
        <v>10</v>
      </c>
      <c r="P252" s="2">
        <f t="shared" si="91"/>
        <v>183.04</v>
      </c>
      <c r="Q252" s="2">
        <f t="shared" si="91"/>
        <v>18.3</v>
      </c>
      <c r="R252" s="2">
        <f t="shared" si="91"/>
        <v>1299.69</v>
      </c>
      <c r="S252" s="2">
        <f t="shared" si="91"/>
        <v>129.97</v>
      </c>
      <c r="T252" s="2">
        <f t="shared" si="91"/>
        <v>30.51</v>
      </c>
      <c r="U252" s="2">
        <f t="shared" si="91"/>
        <v>3.05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6">
        <v>535001</v>
      </c>
      <c r="AB252" s="14" t="s">
        <v>573</v>
      </c>
      <c r="AC252" s="15" t="s">
        <v>890</v>
      </c>
      <c r="AD252" s="2">
        <v>5063500</v>
      </c>
      <c r="AE252" s="2">
        <v>3</v>
      </c>
      <c r="AF252" s="2">
        <v>1</v>
      </c>
      <c r="AG252" s="2">
        <f t="shared" si="93"/>
        <v>5053500</v>
      </c>
      <c r="AH252" s="2">
        <v>1</v>
      </c>
      <c r="AI252" s="2"/>
      <c r="AJ252">
        <v>1</v>
      </c>
      <c r="AK252" s="1">
        <f t="shared" si="75"/>
        <v>50.264774946875882</v>
      </c>
      <c r="AL252">
        <v>5</v>
      </c>
      <c r="AM252">
        <f t="shared" si="85"/>
        <v>166.4</v>
      </c>
      <c r="AN252">
        <f t="shared" si="86"/>
        <v>16.64</v>
      </c>
      <c r="AO252">
        <f t="shared" si="87"/>
        <v>1181.5384615384614</v>
      </c>
      <c r="AP252">
        <f t="shared" si="88"/>
        <v>118.15384615384615</v>
      </c>
      <c r="AQ252">
        <f t="shared" si="76"/>
        <v>27.733333333333334</v>
      </c>
      <c r="AR252">
        <f t="shared" si="77"/>
        <v>2.7733333333333334</v>
      </c>
      <c r="AS252">
        <f t="shared" si="78"/>
        <v>1.5</v>
      </c>
      <c r="AT252">
        <f t="shared" si="79"/>
        <v>2</v>
      </c>
      <c r="AU252">
        <f t="shared" si="80"/>
        <v>6</v>
      </c>
      <c r="AV252">
        <f t="shared" si="90"/>
        <v>5003</v>
      </c>
      <c r="AW252" s="1">
        <v>0</v>
      </c>
      <c r="AX252">
        <v>5</v>
      </c>
      <c r="AY252">
        <v>0.1</v>
      </c>
      <c r="BX252" t="str">
        <f t="shared" si="92"/>
        <v>1535003,2535003,3535003</v>
      </c>
      <c r="BY252">
        <v>1535003</v>
      </c>
      <c r="BZ252">
        <v>2535003</v>
      </c>
      <c r="CA252">
        <v>3535003</v>
      </c>
      <c r="CE252" t="str">
        <f t="shared" si="89"/>
        <v>DATA_Class_Base34</v>
      </c>
      <c r="CF252" s="3" t="s">
        <v>184</v>
      </c>
    </row>
    <row r="253" spans="1:84">
      <c r="A253">
        <f t="shared" si="83"/>
        <v>5053502</v>
      </c>
      <c r="B253" t="s">
        <v>396</v>
      </c>
      <c r="C253">
        <v>5</v>
      </c>
      <c r="D253">
        <v>5</v>
      </c>
      <c r="E253">
        <v>3</v>
      </c>
      <c r="F253" s="3" t="s">
        <v>576</v>
      </c>
      <c r="G253" s="3" t="s">
        <v>576</v>
      </c>
      <c r="H253">
        <v>0</v>
      </c>
      <c r="I253">
        <v>0</v>
      </c>
      <c r="J253" s="2">
        <v>0</v>
      </c>
      <c r="K253" s="2" t="s">
        <v>291</v>
      </c>
      <c r="L253" s="2">
        <f t="shared" si="84"/>
        <v>6</v>
      </c>
      <c r="M253" s="2">
        <f t="shared" si="82"/>
        <v>1.4000000000000001</v>
      </c>
      <c r="N253" s="2">
        <f t="shared" si="82"/>
        <v>2</v>
      </c>
      <c r="O253" s="2">
        <v>10</v>
      </c>
      <c r="P253" s="2">
        <f t="shared" si="91"/>
        <v>177.41</v>
      </c>
      <c r="Q253" s="2">
        <f t="shared" si="91"/>
        <v>17.739999999999998</v>
      </c>
      <c r="R253" s="2">
        <f t="shared" si="91"/>
        <v>1251.56</v>
      </c>
      <c r="S253" s="2">
        <f t="shared" si="91"/>
        <v>125.16</v>
      </c>
      <c r="T253" s="2">
        <f t="shared" si="91"/>
        <v>25.34</v>
      </c>
      <c r="U253" s="2">
        <f t="shared" si="91"/>
        <v>2.5299999999999998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6">
        <v>535021</v>
      </c>
      <c r="AB253" s="14" t="s">
        <v>578</v>
      </c>
      <c r="AC253" s="15" t="s">
        <v>890</v>
      </c>
      <c r="AD253" s="2">
        <v>5063502</v>
      </c>
      <c r="AE253" s="2">
        <v>3</v>
      </c>
      <c r="AF253" s="2">
        <v>1</v>
      </c>
      <c r="AG253" s="2">
        <f t="shared" si="93"/>
        <v>5053502</v>
      </c>
      <c r="AH253" s="2">
        <v>1</v>
      </c>
      <c r="AI253" s="2"/>
      <c r="AJ253">
        <v>1</v>
      </c>
      <c r="AK253" s="1">
        <f t="shared" si="75"/>
        <v>50.212610480001054</v>
      </c>
      <c r="AL253">
        <v>5</v>
      </c>
      <c r="AM253">
        <f t="shared" si="85"/>
        <v>161.28</v>
      </c>
      <c r="AN253">
        <f t="shared" si="86"/>
        <v>16.128</v>
      </c>
      <c r="AO253">
        <f t="shared" si="87"/>
        <v>1137.7777777777778</v>
      </c>
      <c r="AP253">
        <f t="shared" si="88"/>
        <v>113.77777777777779</v>
      </c>
      <c r="AQ253">
        <f t="shared" si="76"/>
        <v>23.04</v>
      </c>
      <c r="AR253">
        <f t="shared" si="77"/>
        <v>2.3039999999999998</v>
      </c>
      <c r="AS253">
        <f t="shared" si="78"/>
        <v>1.4</v>
      </c>
      <c r="AT253">
        <f t="shared" si="79"/>
        <v>2</v>
      </c>
      <c r="AU253">
        <f t="shared" si="80"/>
        <v>6</v>
      </c>
      <c r="AV253">
        <f t="shared" si="90"/>
        <v>5023</v>
      </c>
      <c r="AW253" s="1">
        <v>2</v>
      </c>
      <c r="AX253">
        <v>5</v>
      </c>
      <c r="AY253">
        <v>0.1</v>
      </c>
      <c r="BX253" t="str">
        <f t="shared" si="92"/>
        <v>1535023,2535023,3535023</v>
      </c>
      <c r="BY253">
        <v>1535023</v>
      </c>
      <c r="BZ253">
        <v>2535023</v>
      </c>
      <c r="CA253">
        <v>3535023</v>
      </c>
      <c r="CE253" t="str">
        <f t="shared" si="89"/>
        <v>DATA_Class_Base35</v>
      </c>
      <c r="CF253" s="3" t="s">
        <v>195</v>
      </c>
    </row>
    <row r="254" spans="1:84">
      <c r="A254">
        <f t="shared" si="83"/>
        <v>5053601</v>
      </c>
      <c r="B254" t="s">
        <v>398</v>
      </c>
      <c r="C254">
        <v>5</v>
      </c>
      <c r="D254">
        <v>6</v>
      </c>
      <c r="E254">
        <v>3</v>
      </c>
      <c r="F254" s="3" t="s">
        <v>581</v>
      </c>
      <c r="G254" s="3" t="s">
        <v>581</v>
      </c>
      <c r="H254">
        <v>0</v>
      </c>
      <c r="I254">
        <v>0</v>
      </c>
      <c r="J254">
        <v>0</v>
      </c>
      <c r="K254" s="2" t="s">
        <v>309</v>
      </c>
      <c r="L254" s="2">
        <f t="shared" si="84"/>
        <v>6</v>
      </c>
      <c r="M254" s="2">
        <f t="shared" si="82"/>
        <v>1.5</v>
      </c>
      <c r="N254" s="2">
        <f t="shared" si="82"/>
        <v>2</v>
      </c>
      <c r="O254" s="2">
        <v>10</v>
      </c>
      <c r="P254" s="2">
        <f t="shared" si="91"/>
        <v>126.72</v>
      </c>
      <c r="Q254" s="2">
        <f t="shared" si="91"/>
        <v>12.67</v>
      </c>
      <c r="R254" s="2">
        <f t="shared" si="91"/>
        <v>1877.33</v>
      </c>
      <c r="S254" s="2">
        <f t="shared" si="91"/>
        <v>187.73</v>
      </c>
      <c r="T254" s="2">
        <f t="shared" si="91"/>
        <v>42.24</v>
      </c>
      <c r="U254" s="2">
        <f t="shared" si="91"/>
        <v>4.22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6">
        <v>536011</v>
      </c>
      <c r="AB254" s="15" t="s">
        <v>582</v>
      </c>
      <c r="AC254" s="15" t="s">
        <v>890</v>
      </c>
      <c r="AD254" s="2">
        <v>5063601</v>
      </c>
      <c r="AE254" s="2">
        <v>3</v>
      </c>
      <c r="AF254" s="2">
        <v>1</v>
      </c>
      <c r="AG254" s="2">
        <f t="shared" si="93"/>
        <v>5053601</v>
      </c>
      <c r="AH254" s="2">
        <v>1</v>
      </c>
      <c r="AI254" s="2"/>
      <c r="AJ254">
        <v>1</v>
      </c>
      <c r="AK254" s="1">
        <f t="shared" si="75"/>
        <v>50.383734589814772</v>
      </c>
      <c r="AL254">
        <v>5</v>
      </c>
      <c r="AM254">
        <f t="shared" si="85"/>
        <v>115.2</v>
      </c>
      <c r="AN254">
        <f t="shared" si="86"/>
        <v>11.520000000000001</v>
      </c>
      <c r="AO254">
        <f t="shared" si="87"/>
        <v>1706.666666666667</v>
      </c>
      <c r="AP254">
        <f t="shared" si="88"/>
        <v>170.66666666666671</v>
      </c>
      <c r="AQ254">
        <f t="shared" si="76"/>
        <v>38.4</v>
      </c>
      <c r="AR254">
        <f t="shared" si="77"/>
        <v>3.84</v>
      </c>
      <c r="AS254">
        <f t="shared" si="78"/>
        <v>1.5</v>
      </c>
      <c r="AT254">
        <f t="shared" si="79"/>
        <v>2</v>
      </c>
      <c r="AU254">
        <f t="shared" si="80"/>
        <v>6</v>
      </c>
      <c r="AV254">
        <f t="shared" si="90"/>
        <v>6013</v>
      </c>
      <c r="AW254" s="1">
        <v>1</v>
      </c>
      <c r="AX254">
        <v>5</v>
      </c>
      <c r="AY254">
        <v>0.1</v>
      </c>
      <c r="BX254" t="str">
        <f t="shared" si="92"/>
        <v>1536013,2536013,3536013</v>
      </c>
      <c r="BY254">
        <v>1536013</v>
      </c>
      <c r="BZ254">
        <v>2536013</v>
      </c>
      <c r="CA254">
        <v>3536013</v>
      </c>
      <c r="CE254" t="str">
        <f t="shared" si="89"/>
        <v>DATA_Class_Base36</v>
      </c>
      <c r="CF254" s="3" t="s">
        <v>201</v>
      </c>
    </row>
    <row r="255" spans="1:84">
      <c r="A255">
        <f t="shared" si="83"/>
        <v>5054201</v>
      </c>
      <c r="B255" t="s">
        <v>377</v>
      </c>
      <c r="C255">
        <v>5</v>
      </c>
      <c r="D255">
        <v>2</v>
      </c>
      <c r="E255">
        <v>4</v>
      </c>
      <c r="F255" s="3" t="s">
        <v>585</v>
      </c>
      <c r="G255" s="3" t="s">
        <v>585</v>
      </c>
      <c r="H255">
        <v>0</v>
      </c>
      <c r="I255">
        <v>0</v>
      </c>
      <c r="J255" s="30">
        <v>0</v>
      </c>
      <c r="K255" s="8" t="s">
        <v>298</v>
      </c>
      <c r="L255" s="2">
        <f t="shared" si="84"/>
        <v>3</v>
      </c>
      <c r="M255" s="2">
        <f t="shared" si="82"/>
        <v>1.8</v>
      </c>
      <c r="N255" s="2">
        <f t="shared" si="82"/>
        <v>1.8</v>
      </c>
      <c r="O255" s="2">
        <v>10</v>
      </c>
      <c r="P255" s="2">
        <f t="shared" si="91"/>
        <v>135.16999999999999</v>
      </c>
      <c r="Q255" s="2">
        <f t="shared" si="91"/>
        <v>13.52</v>
      </c>
      <c r="R255" s="2">
        <f t="shared" si="91"/>
        <v>2112</v>
      </c>
      <c r="S255" s="2">
        <f t="shared" si="91"/>
        <v>211.2</v>
      </c>
      <c r="T255" s="2">
        <f t="shared" si="91"/>
        <v>51.99</v>
      </c>
      <c r="U255" s="2">
        <f t="shared" si="91"/>
        <v>5.2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6">
        <v>542011</v>
      </c>
      <c r="AB255" s="15" t="s">
        <v>586</v>
      </c>
      <c r="AC255" s="15" t="s">
        <v>890</v>
      </c>
      <c r="AD255" s="2">
        <v>5064201</v>
      </c>
      <c r="AE255" s="2">
        <v>2</v>
      </c>
      <c r="AF255" s="2">
        <v>1</v>
      </c>
      <c r="AG255" s="2">
        <f t="shared" si="93"/>
        <v>5054201</v>
      </c>
      <c r="AH255" s="2">
        <v>1</v>
      </c>
      <c r="AI255" s="2"/>
      <c r="AJ255">
        <v>1</v>
      </c>
      <c r="AK255" s="1">
        <f t="shared" si="75"/>
        <v>50.482991647306406</v>
      </c>
      <c r="AL255">
        <v>5</v>
      </c>
      <c r="AM255">
        <f t="shared" si="85"/>
        <v>122.88000000000002</v>
      </c>
      <c r="AN255">
        <f t="shared" si="86"/>
        <v>12.288000000000004</v>
      </c>
      <c r="AO255">
        <f t="shared" si="87"/>
        <v>1920</v>
      </c>
      <c r="AP255">
        <f t="shared" si="88"/>
        <v>192</v>
      </c>
      <c r="AQ255">
        <f t="shared" si="76"/>
        <v>47.261538461538471</v>
      </c>
      <c r="AR255">
        <f t="shared" si="77"/>
        <v>4.7261538461538475</v>
      </c>
      <c r="AS255">
        <f t="shared" si="78"/>
        <v>1.8</v>
      </c>
      <c r="AT255">
        <f t="shared" si="79"/>
        <v>1.8</v>
      </c>
      <c r="AU255">
        <f t="shared" si="80"/>
        <v>3</v>
      </c>
      <c r="AV255">
        <f t="shared" si="90"/>
        <v>2014</v>
      </c>
      <c r="AW255" s="1">
        <v>1</v>
      </c>
      <c r="AX255">
        <v>5</v>
      </c>
      <c r="AY255">
        <v>0.1</v>
      </c>
      <c r="BX255" t="str">
        <f t="shared" si="92"/>
        <v>1542013,2542013,3542013</v>
      </c>
      <c r="BY255">
        <v>1542013</v>
      </c>
      <c r="BZ255">
        <v>2542013</v>
      </c>
      <c r="CA255">
        <v>3542013</v>
      </c>
      <c r="CE255" t="str">
        <f t="shared" si="89"/>
        <v>DATA_Class_Base29</v>
      </c>
      <c r="CF255" s="3" t="s">
        <v>378</v>
      </c>
    </row>
    <row r="256" spans="1:84">
      <c r="A256">
        <f t="shared" si="83"/>
        <v>5054302</v>
      </c>
      <c r="B256" t="s">
        <v>412</v>
      </c>
      <c r="C256">
        <v>5</v>
      </c>
      <c r="D256">
        <v>3</v>
      </c>
      <c r="E256">
        <v>4</v>
      </c>
      <c r="F256" s="3" t="s">
        <v>589</v>
      </c>
      <c r="G256" s="3" t="s">
        <v>589</v>
      </c>
      <c r="H256">
        <v>0</v>
      </c>
      <c r="I256">
        <v>0</v>
      </c>
      <c r="J256" s="30">
        <v>0</v>
      </c>
      <c r="K256" s="2" t="s">
        <v>358</v>
      </c>
      <c r="L256" s="2">
        <f t="shared" si="84"/>
        <v>3</v>
      </c>
      <c r="M256" s="2">
        <f t="shared" si="82"/>
        <v>1.4000000000000001</v>
      </c>
      <c r="N256" s="2">
        <f t="shared" si="82"/>
        <v>2</v>
      </c>
      <c r="O256" s="2">
        <v>10</v>
      </c>
      <c r="P256" s="2">
        <f t="shared" si="91"/>
        <v>144.55000000000001</v>
      </c>
      <c r="Q256" s="2">
        <f t="shared" si="91"/>
        <v>14.46</v>
      </c>
      <c r="R256" s="2">
        <f t="shared" si="91"/>
        <v>1536</v>
      </c>
      <c r="S256" s="2">
        <f t="shared" si="91"/>
        <v>153.6</v>
      </c>
      <c r="T256" s="2">
        <f t="shared" si="91"/>
        <v>22.24</v>
      </c>
      <c r="U256" s="2">
        <f t="shared" si="91"/>
        <v>2.2200000000000002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6">
        <v>543021</v>
      </c>
      <c r="AB256" s="15" t="s">
        <v>591</v>
      </c>
      <c r="AC256" s="15" t="s">
        <v>890</v>
      </c>
      <c r="AD256" s="2">
        <v>5064302</v>
      </c>
      <c r="AE256" s="2">
        <v>2</v>
      </c>
      <c r="AF256" s="2">
        <v>1</v>
      </c>
      <c r="AG256" s="2">
        <f t="shared" si="93"/>
        <v>5054302</v>
      </c>
      <c r="AH256" s="2">
        <v>1</v>
      </c>
      <c r="AI256" s="2"/>
      <c r="AJ256">
        <v>1</v>
      </c>
      <c r="AK256" s="1">
        <f t="shared" si="75"/>
        <v>50.181290947254894</v>
      </c>
      <c r="AL256">
        <v>5</v>
      </c>
      <c r="AM256">
        <f t="shared" si="85"/>
        <v>131.41333333333333</v>
      </c>
      <c r="AN256">
        <f t="shared" si="86"/>
        <v>13.141333333333334</v>
      </c>
      <c r="AO256">
        <f t="shared" si="87"/>
        <v>1396.3636363636365</v>
      </c>
      <c r="AP256">
        <f t="shared" si="88"/>
        <v>139.63636363636365</v>
      </c>
      <c r="AQ256">
        <f t="shared" si="76"/>
        <v>20.217435897435898</v>
      </c>
      <c r="AR256">
        <f t="shared" si="77"/>
        <v>2.0217435897435898</v>
      </c>
      <c r="AS256">
        <f t="shared" si="78"/>
        <v>1.4</v>
      </c>
      <c r="AT256">
        <f t="shared" si="79"/>
        <v>2</v>
      </c>
      <c r="AU256">
        <f t="shared" si="80"/>
        <v>3</v>
      </c>
      <c r="AV256">
        <f t="shared" si="90"/>
        <v>3024</v>
      </c>
      <c r="AW256" s="1">
        <v>2</v>
      </c>
      <c r="AX256">
        <v>5</v>
      </c>
      <c r="AY256">
        <v>0.1</v>
      </c>
      <c r="BX256" t="str">
        <f t="shared" si="92"/>
        <v>1543023,2543023,3543023</v>
      </c>
      <c r="BY256">
        <v>1543023</v>
      </c>
      <c r="BZ256">
        <v>2543023</v>
      </c>
      <c r="CA256">
        <v>3543023</v>
      </c>
      <c r="CE256" t="str">
        <f t="shared" si="89"/>
        <v>DATA_Class_Base41</v>
      </c>
      <c r="CF256" s="3" t="s">
        <v>413</v>
      </c>
    </row>
    <row r="257" spans="1:84">
      <c r="A257">
        <f t="shared" si="83"/>
        <v>5054501</v>
      </c>
      <c r="B257" t="s">
        <v>401</v>
      </c>
      <c r="C257">
        <v>5</v>
      </c>
      <c r="D257">
        <v>5</v>
      </c>
      <c r="E257">
        <v>4</v>
      </c>
      <c r="F257" s="3" t="s">
        <v>594</v>
      </c>
      <c r="G257" s="3" t="s">
        <v>594</v>
      </c>
      <c r="H257">
        <v>0</v>
      </c>
      <c r="I257">
        <v>0</v>
      </c>
      <c r="J257">
        <v>0</v>
      </c>
      <c r="K257" s="2" t="s">
        <v>334</v>
      </c>
      <c r="L257" s="2">
        <f t="shared" si="84"/>
        <v>6</v>
      </c>
      <c r="M257" s="2">
        <f t="shared" si="82"/>
        <v>1.6</v>
      </c>
      <c r="N257" s="2">
        <f t="shared" si="82"/>
        <v>2</v>
      </c>
      <c r="O257" s="2">
        <v>10</v>
      </c>
      <c r="P257" s="2">
        <f t="shared" si="91"/>
        <v>195.24</v>
      </c>
      <c r="Q257" s="2">
        <f t="shared" si="91"/>
        <v>19.52</v>
      </c>
      <c r="R257" s="2">
        <f t="shared" si="91"/>
        <v>1299.69</v>
      </c>
      <c r="S257" s="2">
        <f t="shared" si="91"/>
        <v>129.97</v>
      </c>
      <c r="T257" s="2">
        <f t="shared" si="91"/>
        <v>21.69</v>
      </c>
      <c r="U257" s="2">
        <f t="shared" si="91"/>
        <v>2.17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6">
        <v>545011</v>
      </c>
      <c r="AB257" s="14" t="s">
        <v>595</v>
      </c>
      <c r="AC257" s="15" t="s">
        <v>890</v>
      </c>
      <c r="AD257" s="2">
        <v>5064501</v>
      </c>
      <c r="AE257" s="2">
        <v>1</v>
      </c>
      <c r="AF257" s="2">
        <v>1</v>
      </c>
      <c r="AG257" s="2">
        <f t="shared" si="93"/>
        <v>5054501</v>
      </c>
      <c r="AH257" s="2">
        <v>1</v>
      </c>
      <c r="AI257" s="2"/>
      <c r="AJ257">
        <v>1</v>
      </c>
      <c r="AK257" s="1">
        <f t="shared" si="75"/>
        <v>50.175791808774598</v>
      </c>
      <c r="AL257">
        <v>5</v>
      </c>
      <c r="AM257">
        <f t="shared" si="85"/>
        <v>177.49333333333334</v>
      </c>
      <c r="AN257">
        <f t="shared" si="86"/>
        <v>17.749333333333336</v>
      </c>
      <c r="AO257">
        <f t="shared" si="87"/>
        <v>1181.5384615384614</v>
      </c>
      <c r="AP257">
        <f t="shared" si="88"/>
        <v>118.15384615384615</v>
      </c>
      <c r="AQ257">
        <f t="shared" si="76"/>
        <v>19.721481481481483</v>
      </c>
      <c r="AR257">
        <f t="shared" si="77"/>
        <v>1.9721481481481484</v>
      </c>
      <c r="AS257">
        <f t="shared" si="78"/>
        <v>1.6</v>
      </c>
      <c r="AT257">
        <f t="shared" si="79"/>
        <v>2</v>
      </c>
      <c r="AU257">
        <f t="shared" si="80"/>
        <v>6</v>
      </c>
      <c r="AV257">
        <f t="shared" si="90"/>
        <v>5014</v>
      </c>
      <c r="AW257" s="1">
        <v>1</v>
      </c>
      <c r="AX257">
        <v>5</v>
      </c>
      <c r="AY257">
        <v>0.1</v>
      </c>
      <c r="BX257" t="str">
        <f t="shared" si="92"/>
        <v>1545013,2545013,3545013</v>
      </c>
      <c r="BY257">
        <v>1545013</v>
      </c>
      <c r="BZ257">
        <v>2545013</v>
      </c>
      <c r="CA257">
        <v>3545013</v>
      </c>
      <c r="CE257" t="str">
        <f t="shared" si="89"/>
        <v>DATA_Class_Base37</v>
      </c>
      <c r="CF257" s="3" t="s">
        <v>402</v>
      </c>
    </row>
    <row r="258" spans="1:84">
      <c r="A258">
        <f t="shared" si="83"/>
        <v>5054600</v>
      </c>
      <c r="B258" t="s">
        <v>404</v>
      </c>
      <c r="C258">
        <v>5</v>
      </c>
      <c r="D258">
        <v>6</v>
      </c>
      <c r="E258">
        <v>4</v>
      </c>
      <c r="F258" s="3" t="s">
        <v>598</v>
      </c>
      <c r="G258" s="3" t="s">
        <v>598</v>
      </c>
      <c r="H258">
        <v>0</v>
      </c>
      <c r="I258">
        <v>0</v>
      </c>
      <c r="J258" s="2">
        <v>0</v>
      </c>
      <c r="K258" s="2" t="s">
        <v>339</v>
      </c>
      <c r="L258" s="2">
        <f t="shared" si="84"/>
        <v>3</v>
      </c>
      <c r="M258" s="2">
        <f t="shared" si="82"/>
        <v>1.4000000000000001</v>
      </c>
      <c r="N258" s="2">
        <f t="shared" si="82"/>
        <v>1.9000000000000001</v>
      </c>
      <c r="O258" s="2">
        <v>10</v>
      </c>
      <c r="P258" s="2">
        <f t="shared" si="91"/>
        <v>144.55000000000001</v>
      </c>
      <c r="Q258" s="2">
        <f t="shared" si="91"/>
        <v>14.46</v>
      </c>
      <c r="R258" s="2">
        <f t="shared" si="91"/>
        <v>1536</v>
      </c>
      <c r="S258" s="2">
        <f t="shared" si="91"/>
        <v>153.6</v>
      </c>
      <c r="T258" s="2">
        <f t="shared" si="91"/>
        <v>36.14</v>
      </c>
      <c r="U258" s="2">
        <f t="shared" si="91"/>
        <v>3.61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6">
        <v>546001</v>
      </c>
      <c r="AB258" s="14" t="s">
        <v>599</v>
      </c>
      <c r="AC258" s="15" t="s">
        <v>890</v>
      </c>
      <c r="AD258" s="2">
        <v>5064600</v>
      </c>
      <c r="AE258" s="2">
        <v>1</v>
      </c>
      <c r="AF258" s="2">
        <v>1</v>
      </c>
      <c r="AG258" s="2">
        <f t="shared" si="93"/>
        <v>5054600</v>
      </c>
      <c r="AH258" s="2">
        <v>1</v>
      </c>
      <c r="AI258" s="2"/>
      <c r="AJ258">
        <v>1</v>
      </c>
      <c r="AK258" s="1">
        <f t="shared" si="75"/>
        <v>50.321805390212361</v>
      </c>
      <c r="AL258">
        <v>5</v>
      </c>
      <c r="AM258">
        <f t="shared" si="85"/>
        <v>131.41333333333333</v>
      </c>
      <c r="AN258">
        <f t="shared" si="86"/>
        <v>13.141333333333334</v>
      </c>
      <c r="AO258">
        <f t="shared" si="87"/>
        <v>1396.3636363636365</v>
      </c>
      <c r="AP258">
        <f t="shared" si="88"/>
        <v>139.63636363636365</v>
      </c>
      <c r="AQ258">
        <f t="shared" si="76"/>
        <v>32.853333333333332</v>
      </c>
      <c r="AR258">
        <f t="shared" si="77"/>
        <v>3.2853333333333334</v>
      </c>
      <c r="AS258">
        <f t="shared" si="78"/>
        <v>1.4</v>
      </c>
      <c r="AT258">
        <f t="shared" si="79"/>
        <v>1.9</v>
      </c>
      <c r="AU258">
        <f t="shared" si="80"/>
        <v>3</v>
      </c>
      <c r="AV258">
        <f t="shared" si="90"/>
        <v>6004</v>
      </c>
      <c r="AW258" s="1">
        <v>0</v>
      </c>
      <c r="AX258">
        <v>5</v>
      </c>
      <c r="AY258">
        <v>0.1</v>
      </c>
      <c r="BX258" t="str">
        <f t="shared" si="92"/>
        <v>1546003,2546003,3546003</v>
      </c>
      <c r="BY258">
        <v>1546003</v>
      </c>
      <c r="BZ258">
        <v>2546003</v>
      </c>
      <c r="CA258">
        <v>3546003</v>
      </c>
      <c r="CE258" t="str">
        <f t="shared" si="89"/>
        <v>DATA_Class_Base38</v>
      </c>
      <c r="CF258" s="3" t="s">
        <v>198</v>
      </c>
    </row>
    <row r="259" spans="1:84">
      <c r="A259">
        <f t="shared" si="83"/>
        <v>5054602</v>
      </c>
      <c r="B259" t="s">
        <v>406</v>
      </c>
      <c r="C259">
        <v>5</v>
      </c>
      <c r="D259">
        <v>6</v>
      </c>
      <c r="E259">
        <v>4</v>
      </c>
      <c r="F259" s="3" t="s">
        <v>602</v>
      </c>
      <c r="G259" s="3" t="s">
        <v>602</v>
      </c>
      <c r="H259">
        <v>0</v>
      </c>
      <c r="I259">
        <v>0</v>
      </c>
      <c r="J259" t="s">
        <v>345</v>
      </c>
      <c r="K259" s="2" t="s">
        <v>346</v>
      </c>
      <c r="L259" s="2">
        <f t="shared" si="84"/>
        <v>6</v>
      </c>
      <c r="M259" s="2">
        <f t="shared" si="82"/>
        <v>1.8</v>
      </c>
      <c r="N259" s="2">
        <f t="shared" si="82"/>
        <v>2</v>
      </c>
      <c r="O259" s="2">
        <v>10</v>
      </c>
      <c r="P259" s="2">
        <f t="shared" si="91"/>
        <v>168.96</v>
      </c>
      <c r="Q259" s="2">
        <f t="shared" si="91"/>
        <v>16.899999999999999</v>
      </c>
      <c r="R259" s="2">
        <f t="shared" si="91"/>
        <v>1689.6</v>
      </c>
      <c r="S259" s="2">
        <f t="shared" si="91"/>
        <v>168.96</v>
      </c>
      <c r="T259" s="2">
        <f t="shared" si="91"/>
        <v>33.79</v>
      </c>
      <c r="U259" s="2">
        <f t="shared" si="91"/>
        <v>3.38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6">
        <v>546021</v>
      </c>
      <c r="AB259" s="14" t="s">
        <v>603</v>
      </c>
      <c r="AC259" s="15" t="s">
        <v>890</v>
      </c>
      <c r="AD259" s="2">
        <v>5064602</v>
      </c>
      <c r="AE259" s="2">
        <v>2</v>
      </c>
      <c r="AF259" s="2">
        <v>1</v>
      </c>
      <c r="AG259" s="2">
        <f t="shared" si="93"/>
        <v>5054602</v>
      </c>
      <c r="AH259" s="2">
        <v>1</v>
      </c>
      <c r="AI259" s="2"/>
      <c r="AJ259">
        <v>1</v>
      </c>
      <c r="AK259" s="1">
        <f t="shared" si="75"/>
        <v>50.298026985579355</v>
      </c>
      <c r="AL259">
        <v>5</v>
      </c>
      <c r="AM259">
        <f t="shared" si="85"/>
        <v>153.60000000000002</v>
      </c>
      <c r="AN259">
        <f t="shared" si="86"/>
        <v>15.360000000000003</v>
      </c>
      <c r="AO259">
        <f t="shared" si="87"/>
        <v>1536</v>
      </c>
      <c r="AP259">
        <f t="shared" si="88"/>
        <v>153.60000000000002</v>
      </c>
      <c r="AQ259">
        <f t="shared" si="76"/>
        <v>30.720000000000006</v>
      </c>
      <c r="AR259">
        <f t="shared" si="77"/>
        <v>3.072000000000001</v>
      </c>
      <c r="AS259">
        <f t="shared" si="78"/>
        <v>1.8</v>
      </c>
      <c r="AT259">
        <f t="shared" si="79"/>
        <v>2</v>
      </c>
      <c r="AU259">
        <f t="shared" si="80"/>
        <v>6</v>
      </c>
      <c r="AV259">
        <f t="shared" si="90"/>
        <v>6024</v>
      </c>
      <c r="AW259" s="1">
        <v>2</v>
      </c>
      <c r="AX259">
        <v>5</v>
      </c>
      <c r="AY259">
        <v>0.1</v>
      </c>
      <c r="BX259" t="str">
        <f t="shared" si="92"/>
        <v>1546023,2546023,3546023</v>
      </c>
      <c r="BY259">
        <v>1546023</v>
      </c>
      <c r="BZ259">
        <v>2546023</v>
      </c>
      <c r="CA259">
        <v>3546023</v>
      </c>
      <c r="CE259" t="str">
        <f t="shared" si="89"/>
        <v>DATA_Class_Base39</v>
      </c>
      <c r="CF259" s="3" t="s">
        <v>407</v>
      </c>
    </row>
    <row r="260" spans="1:84">
      <c r="A260">
        <f t="shared" si="83"/>
        <v>5055202</v>
      </c>
      <c r="B260" t="s">
        <v>380</v>
      </c>
      <c r="C260">
        <v>5</v>
      </c>
      <c r="D260">
        <v>2</v>
      </c>
      <c r="E260">
        <v>5</v>
      </c>
      <c r="F260" s="3" t="s">
        <v>606</v>
      </c>
      <c r="G260" s="3" t="s">
        <v>606</v>
      </c>
      <c r="H260">
        <v>0</v>
      </c>
      <c r="I260">
        <v>0</v>
      </c>
      <c r="J260" s="3">
        <v>0</v>
      </c>
      <c r="K260" s="2" t="s">
        <v>280</v>
      </c>
      <c r="L260" s="2">
        <f t="shared" si="84"/>
        <v>3</v>
      </c>
      <c r="M260" s="2">
        <f t="shared" si="82"/>
        <v>1.8</v>
      </c>
      <c r="N260" s="2">
        <f t="shared" si="82"/>
        <v>2</v>
      </c>
      <c r="O260" s="2">
        <v>10</v>
      </c>
      <c r="P260" s="2">
        <f t="shared" si="91"/>
        <v>152.06</v>
      </c>
      <c r="Q260" s="2">
        <f t="shared" si="91"/>
        <v>15.21</v>
      </c>
      <c r="R260" s="2">
        <f t="shared" si="91"/>
        <v>1877.33</v>
      </c>
      <c r="S260" s="2">
        <f t="shared" si="91"/>
        <v>187.73</v>
      </c>
      <c r="T260" s="2">
        <f t="shared" si="91"/>
        <v>50.69</v>
      </c>
      <c r="U260" s="2">
        <f t="shared" si="91"/>
        <v>5.07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6">
        <v>552021</v>
      </c>
      <c r="AB260" s="15" t="s">
        <v>608</v>
      </c>
      <c r="AC260" s="15" t="s">
        <v>890</v>
      </c>
      <c r="AD260" s="2">
        <v>5065202</v>
      </c>
      <c r="AE260" s="2">
        <v>2</v>
      </c>
      <c r="AF260" s="2">
        <v>1</v>
      </c>
      <c r="AG260" s="2">
        <f t="shared" si="93"/>
        <v>5055202</v>
      </c>
      <c r="AH260" s="2">
        <v>1</v>
      </c>
      <c r="AI260" s="2"/>
      <c r="AJ260">
        <v>1</v>
      </c>
      <c r="AK260" s="1">
        <f t="shared" ref="AK260:AK327" si="94">(AO260+AP260*AJ260)*(AM260+AN260*AJ260)/AS260*(0.9)*(1+0.5*0.1)*1/1/(1-(AQ260+AR260*AJ260)*0.0002)/3000</f>
        <v>50.469734783339604</v>
      </c>
      <c r="AL260">
        <v>5</v>
      </c>
      <c r="AM260">
        <f t="shared" si="85"/>
        <v>138.24</v>
      </c>
      <c r="AN260">
        <f t="shared" si="86"/>
        <v>13.824000000000002</v>
      </c>
      <c r="AO260">
        <f t="shared" si="87"/>
        <v>1706.666666666667</v>
      </c>
      <c r="AP260">
        <f t="shared" si="88"/>
        <v>170.66666666666671</v>
      </c>
      <c r="AQ260">
        <f t="shared" ref="AQ260:AQ331" si="95">$AM260/INDEX($BD$5:$BD$58,MATCH($AV260,$AZ$5:$AZ$58,0))</f>
        <v>46.080000000000005</v>
      </c>
      <c r="AR260">
        <f t="shared" ref="AR260:AR323" si="96">AQ260*0.1</f>
        <v>4.6080000000000005</v>
      </c>
      <c r="AS260">
        <f t="shared" ref="AS260:AS331" si="97">INDEX($BE$5:$BE$58,MATCH($AV260,$AZ$5:$AZ$58,0))</f>
        <v>1.8</v>
      </c>
      <c r="AT260">
        <f t="shared" ref="AT260:AT331" si="98">ROUND(IF(INDEX($BM$5:$BM$58,MATCH($AV260,$AZ$5:$AZ$58,0))&lt;2,INDEX($BM$5:$BM$58,MATCH($AV260,$AZ$5:$AZ$58,0))+0.2,2),1)</f>
        <v>2</v>
      </c>
      <c r="AU260">
        <f t="shared" ref="AU260:AU331" si="99">INDEX($BI$5:$BI$58,MATCH($AV260,$AZ$5:$AZ$58,0))</f>
        <v>3</v>
      </c>
      <c r="AV260">
        <f t="shared" si="90"/>
        <v>2025</v>
      </c>
      <c r="AW260" s="1">
        <v>2</v>
      </c>
      <c r="AX260">
        <v>5</v>
      </c>
      <c r="AY260">
        <v>0.1</v>
      </c>
      <c r="BX260" t="str">
        <f t="shared" si="92"/>
        <v>1552023,2552023,3552023</v>
      </c>
      <c r="BY260">
        <v>1552023</v>
      </c>
      <c r="BZ260">
        <v>2552023</v>
      </c>
      <c r="CA260">
        <v>3552023</v>
      </c>
      <c r="CE260" t="str">
        <f t="shared" si="89"/>
        <v>DATA_Class_Base30</v>
      </c>
      <c r="CF260" s="3" t="s">
        <v>381</v>
      </c>
    </row>
    <row r="261" spans="1:84">
      <c r="A261">
        <f t="shared" si="83"/>
        <v>5055300</v>
      </c>
      <c r="B261" t="s">
        <v>410</v>
      </c>
      <c r="C261">
        <v>5</v>
      </c>
      <c r="D261">
        <v>3</v>
      </c>
      <c r="E261">
        <v>5</v>
      </c>
      <c r="F261" s="3" t="s">
        <v>611</v>
      </c>
      <c r="G261" s="3" t="s">
        <v>611</v>
      </c>
      <c r="H261">
        <v>0</v>
      </c>
      <c r="I261">
        <v>0</v>
      </c>
      <c r="J261" s="2">
        <v>0</v>
      </c>
      <c r="K261" s="2" t="s">
        <v>352</v>
      </c>
      <c r="L261" s="2">
        <f t="shared" si="84"/>
        <v>6</v>
      </c>
      <c r="M261" s="2">
        <f t="shared" si="82"/>
        <v>1.3</v>
      </c>
      <c r="N261" s="2">
        <f t="shared" si="82"/>
        <v>2</v>
      </c>
      <c r="O261" s="2">
        <v>10</v>
      </c>
      <c r="P261" s="2">
        <f t="shared" si="91"/>
        <v>140.33000000000001</v>
      </c>
      <c r="Q261" s="2">
        <f t="shared" si="91"/>
        <v>14.03</v>
      </c>
      <c r="R261" s="2">
        <f t="shared" si="91"/>
        <v>1469.22</v>
      </c>
      <c r="S261" s="2">
        <f t="shared" si="91"/>
        <v>146.91999999999999</v>
      </c>
      <c r="T261" s="2">
        <f t="shared" si="91"/>
        <v>17.54</v>
      </c>
      <c r="U261" s="2">
        <f t="shared" si="91"/>
        <v>1.75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6">
        <v>553001</v>
      </c>
      <c r="AB261" s="14" t="s">
        <v>613</v>
      </c>
      <c r="AC261" s="15" t="s">
        <v>890</v>
      </c>
      <c r="AD261" s="2">
        <v>5065300</v>
      </c>
      <c r="AE261" s="2">
        <v>1</v>
      </c>
      <c r="AF261" s="2">
        <v>1</v>
      </c>
      <c r="AG261" s="2">
        <f t="shared" si="93"/>
        <v>5055300</v>
      </c>
      <c r="AH261" s="2">
        <v>1</v>
      </c>
      <c r="AI261" s="2"/>
      <c r="AJ261">
        <v>1</v>
      </c>
      <c r="AK261" s="1">
        <f t="shared" si="94"/>
        <v>50.133976157420548</v>
      </c>
      <c r="AL261">
        <v>5</v>
      </c>
      <c r="AM261">
        <f t="shared" si="85"/>
        <v>127.57333333333332</v>
      </c>
      <c r="AN261">
        <f t="shared" si="86"/>
        <v>12.757333333333333</v>
      </c>
      <c r="AO261">
        <f t="shared" si="87"/>
        <v>1335.6521739130437</v>
      </c>
      <c r="AP261">
        <f t="shared" si="88"/>
        <v>133.56521739130437</v>
      </c>
      <c r="AQ261">
        <f t="shared" si="95"/>
        <v>15.946666666666665</v>
      </c>
      <c r="AR261">
        <f t="shared" si="96"/>
        <v>1.5946666666666667</v>
      </c>
      <c r="AS261">
        <f t="shared" si="97"/>
        <v>1.3</v>
      </c>
      <c r="AT261">
        <f t="shared" si="98"/>
        <v>2</v>
      </c>
      <c r="AU261">
        <f t="shared" si="99"/>
        <v>6</v>
      </c>
      <c r="AV261">
        <f t="shared" si="90"/>
        <v>3005</v>
      </c>
      <c r="AW261" s="1">
        <v>0</v>
      </c>
      <c r="AX261">
        <v>5</v>
      </c>
      <c r="AY261">
        <v>0.1</v>
      </c>
      <c r="BX261" t="str">
        <f t="shared" si="92"/>
        <v>1553003,2553003,3553003</v>
      </c>
      <c r="BY261">
        <v>1553003</v>
      </c>
      <c r="BZ261">
        <v>2553003</v>
      </c>
      <c r="CA261">
        <v>3553003</v>
      </c>
      <c r="CE261" t="str">
        <f t="shared" si="89"/>
        <v>DATA_Class_Base40</v>
      </c>
      <c r="CF261" s="3" t="s">
        <v>411</v>
      </c>
    </row>
    <row r="262" spans="1:84">
      <c r="A262">
        <f t="shared" si="83"/>
        <v>5055302</v>
      </c>
      <c r="B262" t="s">
        <v>412</v>
      </c>
      <c r="C262">
        <v>5</v>
      </c>
      <c r="D262">
        <v>3</v>
      </c>
      <c r="E262">
        <v>5</v>
      </c>
      <c r="F262" s="3" t="s">
        <v>616</v>
      </c>
      <c r="G262" s="3" t="s">
        <v>616</v>
      </c>
      <c r="H262">
        <v>0</v>
      </c>
      <c r="I262">
        <v>0</v>
      </c>
      <c r="J262" s="2">
        <v>0</v>
      </c>
      <c r="K262" s="2" t="s">
        <v>358</v>
      </c>
      <c r="L262" s="2">
        <f t="shared" si="84"/>
        <v>3</v>
      </c>
      <c r="M262" s="2">
        <f t="shared" si="82"/>
        <v>1.4000000000000001</v>
      </c>
      <c r="N262" s="2">
        <f t="shared" si="82"/>
        <v>2</v>
      </c>
      <c r="O262" s="2">
        <v>10</v>
      </c>
      <c r="P262" s="2">
        <f t="shared" si="91"/>
        <v>157.69999999999999</v>
      </c>
      <c r="Q262" s="2">
        <f t="shared" si="91"/>
        <v>15.77</v>
      </c>
      <c r="R262" s="2">
        <f t="shared" si="91"/>
        <v>1408</v>
      </c>
      <c r="S262" s="2">
        <f t="shared" si="91"/>
        <v>140.80000000000001</v>
      </c>
      <c r="T262" s="2">
        <f t="shared" si="91"/>
        <v>22.53</v>
      </c>
      <c r="U262" s="2">
        <f t="shared" si="91"/>
        <v>2.25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6">
        <v>553021</v>
      </c>
      <c r="AB262" s="14" t="s">
        <v>617</v>
      </c>
      <c r="AC262" s="15" t="s">
        <v>890</v>
      </c>
      <c r="AD262" s="2">
        <v>5065302</v>
      </c>
      <c r="AE262" s="2">
        <v>2</v>
      </c>
      <c r="AF262" s="2">
        <v>1</v>
      </c>
      <c r="AG262" s="2">
        <f t="shared" si="93"/>
        <v>5055302</v>
      </c>
      <c r="AH262" s="2">
        <v>1</v>
      </c>
      <c r="AI262" s="2"/>
      <c r="AJ262">
        <v>1</v>
      </c>
      <c r="AK262" s="1">
        <f t="shared" si="94"/>
        <v>50.184202743882835</v>
      </c>
      <c r="AL262">
        <v>5</v>
      </c>
      <c r="AM262">
        <f t="shared" si="85"/>
        <v>143.35999999999999</v>
      </c>
      <c r="AN262">
        <f t="shared" si="86"/>
        <v>14.335999999999999</v>
      </c>
      <c r="AO262">
        <f t="shared" si="87"/>
        <v>1280</v>
      </c>
      <c r="AP262">
        <f t="shared" si="88"/>
        <v>128</v>
      </c>
      <c r="AQ262">
        <f t="shared" si="95"/>
        <v>20.479999999999997</v>
      </c>
      <c r="AR262">
        <f t="shared" si="96"/>
        <v>2.0479999999999996</v>
      </c>
      <c r="AS262">
        <f t="shared" si="97"/>
        <v>1.4</v>
      </c>
      <c r="AT262">
        <f t="shared" si="98"/>
        <v>2</v>
      </c>
      <c r="AU262">
        <f t="shared" si="99"/>
        <v>3</v>
      </c>
      <c r="AV262">
        <f t="shared" si="90"/>
        <v>3025</v>
      </c>
      <c r="AW262" s="1">
        <v>2</v>
      </c>
      <c r="AX262">
        <v>5</v>
      </c>
      <c r="AY262">
        <v>0.1</v>
      </c>
      <c r="BX262" t="str">
        <f t="shared" si="92"/>
        <v>1553023,2553023,3553023</v>
      </c>
      <c r="BY262">
        <v>1553023</v>
      </c>
      <c r="BZ262">
        <v>2553023</v>
      </c>
      <c r="CA262">
        <v>3553023</v>
      </c>
      <c r="CE262" t="str">
        <f t="shared" si="89"/>
        <v>DATA_Class_Base41</v>
      </c>
      <c r="CF262" s="3" t="s">
        <v>413</v>
      </c>
    </row>
    <row r="263" spans="1:84">
      <c r="A263">
        <f t="shared" si="83"/>
        <v>5055400</v>
      </c>
      <c r="B263" t="s">
        <v>414</v>
      </c>
      <c r="C263">
        <v>5</v>
      </c>
      <c r="D263">
        <v>4</v>
      </c>
      <c r="E263">
        <v>5</v>
      </c>
      <c r="F263" s="3" t="s">
        <v>620</v>
      </c>
      <c r="G263" s="3" t="s">
        <v>620</v>
      </c>
      <c r="H263">
        <v>0</v>
      </c>
      <c r="I263">
        <v>0</v>
      </c>
      <c r="J263">
        <v>0</v>
      </c>
      <c r="K263" s="2" t="s">
        <v>364</v>
      </c>
      <c r="L263" s="2">
        <f t="shared" si="84"/>
        <v>6</v>
      </c>
      <c r="M263" s="2">
        <f t="shared" si="82"/>
        <v>1.4000000000000001</v>
      </c>
      <c r="N263" s="2">
        <f t="shared" si="82"/>
        <v>2</v>
      </c>
      <c r="O263" s="2">
        <v>10</v>
      </c>
      <c r="P263" s="2">
        <f t="shared" si="91"/>
        <v>164.27</v>
      </c>
      <c r="Q263" s="2">
        <f t="shared" si="91"/>
        <v>16.43</v>
      </c>
      <c r="R263" s="2">
        <f t="shared" si="91"/>
        <v>1351.68</v>
      </c>
      <c r="S263" s="2">
        <f t="shared" si="91"/>
        <v>135.16999999999999</v>
      </c>
      <c r="T263" s="2">
        <f t="shared" si="91"/>
        <v>27.38</v>
      </c>
      <c r="U263" s="2">
        <f t="shared" si="91"/>
        <v>2.74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6">
        <v>554001</v>
      </c>
      <c r="AB263" s="14" t="s">
        <v>621</v>
      </c>
      <c r="AC263" s="15" t="s">
        <v>890</v>
      </c>
      <c r="AD263" s="2">
        <v>5065400</v>
      </c>
      <c r="AE263" s="2">
        <v>1</v>
      </c>
      <c r="AF263" s="2">
        <v>1</v>
      </c>
      <c r="AG263" s="2">
        <f t="shared" si="93"/>
        <v>5055400</v>
      </c>
      <c r="AH263" s="2">
        <v>1</v>
      </c>
      <c r="AI263" s="2"/>
      <c r="AJ263">
        <v>1</v>
      </c>
      <c r="AK263" s="1">
        <f t="shared" si="94"/>
        <v>50.233147188159194</v>
      </c>
      <c r="AL263">
        <v>5</v>
      </c>
      <c r="AM263">
        <f t="shared" si="85"/>
        <v>149.33333333333334</v>
      </c>
      <c r="AN263">
        <f t="shared" si="86"/>
        <v>14.933333333333335</v>
      </c>
      <c r="AO263">
        <f t="shared" si="87"/>
        <v>1228.8000000000002</v>
      </c>
      <c r="AP263">
        <f t="shared" si="88"/>
        <v>122.88000000000002</v>
      </c>
      <c r="AQ263">
        <f t="shared" si="95"/>
        <v>24.888888888888889</v>
      </c>
      <c r="AR263">
        <f t="shared" si="96"/>
        <v>2.4888888888888889</v>
      </c>
      <c r="AS263">
        <f t="shared" si="97"/>
        <v>1.4</v>
      </c>
      <c r="AT263">
        <f t="shared" si="98"/>
        <v>2</v>
      </c>
      <c r="AU263">
        <f t="shared" si="99"/>
        <v>6</v>
      </c>
      <c r="AV263">
        <f t="shared" si="90"/>
        <v>4005</v>
      </c>
      <c r="AW263" s="1">
        <v>0</v>
      </c>
      <c r="AX263">
        <v>5</v>
      </c>
      <c r="AY263">
        <v>0.1</v>
      </c>
      <c r="BX263" t="str">
        <f t="shared" si="92"/>
        <v>1554003,2554003,3554003</v>
      </c>
      <c r="BY263">
        <v>1554003</v>
      </c>
      <c r="BZ263">
        <v>2554003</v>
      </c>
      <c r="CA263">
        <v>3554003</v>
      </c>
      <c r="CE263" t="str">
        <f t="shared" si="89"/>
        <v>DATA_Class_Base42</v>
      </c>
      <c r="CF263" s="3" t="s">
        <v>174</v>
      </c>
    </row>
    <row r="264" spans="1:84">
      <c r="A264">
        <f t="shared" si="83"/>
        <v>5055501</v>
      </c>
      <c r="B264" t="s">
        <v>401</v>
      </c>
      <c r="C264">
        <v>5</v>
      </c>
      <c r="D264">
        <v>5</v>
      </c>
      <c r="E264">
        <v>5</v>
      </c>
      <c r="F264" s="3" t="s">
        <v>624</v>
      </c>
      <c r="G264" s="3" t="s">
        <v>624</v>
      </c>
      <c r="H264">
        <v>0</v>
      </c>
      <c r="I264">
        <v>0</v>
      </c>
      <c r="J264" s="3">
        <v>0</v>
      </c>
      <c r="K264" s="2" t="s">
        <v>334</v>
      </c>
      <c r="L264" s="2">
        <f t="shared" si="84"/>
        <v>6</v>
      </c>
      <c r="M264" s="2">
        <f t="shared" si="82"/>
        <v>1.6</v>
      </c>
      <c r="N264" s="2">
        <f t="shared" si="82"/>
        <v>2</v>
      </c>
      <c r="O264" s="2">
        <v>10</v>
      </c>
      <c r="P264" s="2">
        <f t="shared" si="91"/>
        <v>217.77</v>
      </c>
      <c r="Q264" s="2">
        <f t="shared" si="91"/>
        <v>21.78</v>
      </c>
      <c r="R264" s="2">
        <f t="shared" si="91"/>
        <v>1165.24</v>
      </c>
      <c r="S264" s="2">
        <f t="shared" si="91"/>
        <v>116.52</v>
      </c>
      <c r="T264" s="2">
        <f t="shared" si="91"/>
        <v>24.2</v>
      </c>
      <c r="U264" s="2">
        <f t="shared" si="91"/>
        <v>2.42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6">
        <v>555011</v>
      </c>
      <c r="AB264" s="15" t="s">
        <v>626</v>
      </c>
      <c r="AC264" s="15" t="s">
        <v>890</v>
      </c>
      <c r="AD264" s="2">
        <v>5065501</v>
      </c>
      <c r="AE264" s="2">
        <v>2</v>
      </c>
      <c r="AF264" s="2">
        <v>1</v>
      </c>
      <c r="AG264" s="2">
        <f t="shared" si="93"/>
        <v>5055501</v>
      </c>
      <c r="AH264" s="2">
        <v>1</v>
      </c>
      <c r="AI264" s="2"/>
      <c r="AJ264">
        <v>1</v>
      </c>
      <c r="AK264" s="1">
        <f t="shared" si="94"/>
        <v>50.201033076453676</v>
      </c>
      <c r="AL264">
        <v>5</v>
      </c>
      <c r="AM264">
        <f t="shared" si="85"/>
        <v>197.97333333333336</v>
      </c>
      <c r="AN264">
        <f t="shared" si="86"/>
        <v>19.797333333333338</v>
      </c>
      <c r="AO264">
        <f t="shared" si="87"/>
        <v>1059.3103448275863</v>
      </c>
      <c r="AP264">
        <f t="shared" si="88"/>
        <v>105.93103448275863</v>
      </c>
      <c r="AQ264">
        <f t="shared" si="95"/>
        <v>21.997037037037039</v>
      </c>
      <c r="AR264">
        <f t="shared" si="96"/>
        <v>2.1997037037037042</v>
      </c>
      <c r="AS264">
        <f t="shared" si="97"/>
        <v>1.6</v>
      </c>
      <c r="AT264">
        <f t="shared" si="98"/>
        <v>2</v>
      </c>
      <c r="AU264">
        <f t="shared" si="99"/>
        <v>6</v>
      </c>
      <c r="AV264">
        <f t="shared" si="90"/>
        <v>5015</v>
      </c>
      <c r="AW264" s="1">
        <v>1</v>
      </c>
      <c r="AX264">
        <v>5</v>
      </c>
      <c r="AY264">
        <v>0.1</v>
      </c>
      <c r="BX264" t="str">
        <f t="shared" si="92"/>
        <v>1555013,2555013,3555013</v>
      </c>
      <c r="BY264">
        <v>1555013</v>
      </c>
      <c r="BZ264">
        <v>2555013</v>
      </c>
      <c r="CA264">
        <v>3555013</v>
      </c>
      <c r="CE264" t="str">
        <f t="shared" si="89"/>
        <v>DATA_Class_Base37</v>
      </c>
      <c r="CF264" s="3" t="s">
        <v>402</v>
      </c>
    </row>
    <row r="265" spans="1:84">
      <c r="A265">
        <f t="shared" si="83"/>
        <v>5061200</v>
      </c>
      <c r="B265" t="s">
        <v>373</v>
      </c>
      <c r="C265">
        <v>6</v>
      </c>
      <c r="D265">
        <v>2</v>
      </c>
      <c r="E265">
        <v>1</v>
      </c>
      <c r="F265" s="3" t="s">
        <v>466</v>
      </c>
      <c r="G265" s="3" t="s">
        <v>466</v>
      </c>
      <c r="H265">
        <v>0</v>
      </c>
      <c r="I265">
        <v>0</v>
      </c>
      <c r="J265" s="2">
        <v>0</v>
      </c>
      <c r="K265" s="2" t="s">
        <v>314</v>
      </c>
      <c r="L265" s="2">
        <f t="shared" si="84"/>
        <v>3</v>
      </c>
      <c r="M265" s="2">
        <f t="shared" si="82"/>
        <v>1.5</v>
      </c>
      <c r="N265" s="2">
        <f t="shared" si="82"/>
        <v>1.2</v>
      </c>
      <c r="O265" s="2">
        <v>10</v>
      </c>
      <c r="P265" s="2">
        <f t="shared" si="91"/>
        <v>126.72</v>
      </c>
      <c r="Q265" s="2">
        <f t="shared" si="91"/>
        <v>12.67</v>
      </c>
      <c r="R265" s="2">
        <f t="shared" si="91"/>
        <v>2376</v>
      </c>
      <c r="S265" s="2">
        <f t="shared" ref="S265:U332" si="100">ROUND(AP265*(1+$AY265),2)</f>
        <v>237.6</v>
      </c>
      <c r="T265" s="2">
        <f t="shared" si="100"/>
        <v>42.24</v>
      </c>
      <c r="U265" s="2">
        <f t="shared" si="100"/>
        <v>4.22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512002</v>
      </c>
      <c r="AB265" s="14" t="s">
        <v>468</v>
      </c>
      <c r="AC265" s="15" t="s">
        <v>890</v>
      </c>
      <c r="AD265" s="2">
        <v>5071200</v>
      </c>
      <c r="AE265" s="2">
        <v>0</v>
      </c>
      <c r="AF265" s="2">
        <v>2</v>
      </c>
      <c r="AG265" s="2">
        <v>6</v>
      </c>
      <c r="AH265" s="2">
        <v>2</v>
      </c>
      <c r="AI265" s="2"/>
      <c r="AJ265">
        <v>1</v>
      </c>
      <c r="AK265" s="1">
        <f t="shared" si="94"/>
        <v>63.76691409023433</v>
      </c>
      <c r="AL265">
        <v>6</v>
      </c>
      <c r="AM265">
        <f t="shared" si="85"/>
        <v>115.20000000000003</v>
      </c>
      <c r="AN265">
        <f t="shared" si="86"/>
        <v>11.520000000000003</v>
      </c>
      <c r="AO265">
        <f t="shared" si="87"/>
        <v>2160</v>
      </c>
      <c r="AP265">
        <f t="shared" si="88"/>
        <v>216</v>
      </c>
      <c r="AQ265">
        <f t="shared" si="95"/>
        <v>38.400000000000013</v>
      </c>
      <c r="AR265">
        <f t="shared" si="96"/>
        <v>3.8400000000000016</v>
      </c>
      <c r="AS265">
        <f t="shared" si="97"/>
        <v>1.5</v>
      </c>
      <c r="AT265">
        <f t="shared" si="98"/>
        <v>1.2</v>
      </c>
      <c r="AU265">
        <f t="shared" si="99"/>
        <v>3</v>
      </c>
      <c r="AV265">
        <f t="shared" si="90"/>
        <v>2001</v>
      </c>
      <c r="AW265" s="1">
        <v>0</v>
      </c>
      <c r="AX265">
        <v>5</v>
      </c>
      <c r="AY265">
        <v>0.1</v>
      </c>
      <c r="CE265" t="str">
        <f t="shared" si="89"/>
        <v>DATA_Class_Base28</v>
      </c>
      <c r="CF265" s="3" t="s">
        <v>374</v>
      </c>
    </row>
    <row r="266" spans="1:84">
      <c r="A266">
        <f t="shared" si="83"/>
        <v>5061201</v>
      </c>
      <c r="B266" t="s">
        <v>377</v>
      </c>
      <c r="C266">
        <v>6</v>
      </c>
      <c r="D266">
        <v>2</v>
      </c>
      <c r="E266">
        <v>1</v>
      </c>
      <c r="F266" s="3" t="s">
        <v>472</v>
      </c>
      <c r="G266" s="3" t="s">
        <v>472</v>
      </c>
      <c r="H266">
        <v>0</v>
      </c>
      <c r="I266">
        <v>0</v>
      </c>
      <c r="J266" s="2">
        <v>0</v>
      </c>
      <c r="K266" s="8" t="s">
        <v>298</v>
      </c>
      <c r="L266" s="2">
        <f t="shared" si="84"/>
        <v>3</v>
      </c>
      <c r="M266" s="2">
        <f t="shared" si="82"/>
        <v>1.8</v>
      </c>
      <c r="N266" s="2">
        <f t="shared" si="82"/>
        <v>1.8</v>
      </c>
      <c r="O266" s="2">
        <v>10</v>
      </c>
      <c r="P266" s="2">
        <f t="shared" ref="P266:U333" si="101">ROUND(AM266*(1+$AY266),2)</f>
        <v>95.04</v>
      </c>
      <c r="Q266" s="2">
        <f t="shared" si="101"/>
        <v>9.5</v>
      </c>
      <c r="R266" s="2">
        <f t="shared" si="101"/>
        <v>3801.6</v>
      </c>
      <c r="S266" s="2">
        <f t="shared" si="100"/>
        <v>380.16</v>
      </c>
      <c r="T266" s="2">
        <f t="shared" si="100"/>
        <v>47.52</v>
      </c>
      <c r="U266" s="2">
        <f t="shared" si="100"/>
        <v>4.75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512012</v>
      </c>
      <c r="AB266" s="14" t="s">
        <v>473</v>
      </c>
      <c r="AC266" s="15" t="s">
        <v>890</v>
      </c>
      <c r="AD266" s="2">
        <v>5071201</v>
      </c>
      <c r="AE266" s="2">
        <v>0</v>
      </c>
      <c r="AF266" s="2">
        <v>2</v>
      </c>
      <c r="AG266" s="2">
        <v>6</v>
      </c>
      <c r="AH266" s="2">
        <v>2</v>
      </c>
      <c r="AI266" s="2"/>
      <c r="AJ266">
        <v>1</v>
      </c>
      <c r="AK266" s="1">
        <f t="shared" si="94"/>
        <v>63.834898071269343</v>
      </c>
      <c r="AL266">
        <v>6</v>
      </c>
      <c r="AM266">
        <f t="shared" si="85"/>
        <v>86.4</v>
      </c>
      <c r="AN266">
        <f t="shared" si="86"/>
        <v>8.64</v>
      </c>
      <c r="AO266">
        <f t="shared" si="87"/>
        <v>3456</v>
      </c>
      <c r="AP266">
        <f t="shared" si="88"/>
        <v>345.6</v>
      </c>
      <c r="AQ266">
        <f t="shared" si="95"/>
        <v>43.2</v>
      </c>
      <c r="AR266">
        <f t="shared" si="96"/>
        <v>4.32</v>
      </c>
      <c r="AS266">
        <f t="shared" si="97"/>
        <v>1.8</v>
      </c>
      <c r="AT266">
        <f t="shared" si="98"/>
        <v>1.8</v>
      </c>
      <c r="AU266">
        <f t="shared" si="99"/>
        <v>3</v>
      </c>
      <c r="AV266">
        <f t="shared" si="90"/>
        <v>2011</v>
      </c>
      <c r="AW266" s="1">
        <v>1</v>
      </c>
      <c r="AX266">
        <v>5</v>
      </c>
      <c r="AY266">
        <v>0.1</v>
      </c>
      <c r="CE266" t="str">
        <f t="shared" si="89"/>
        <v>DATA_Class_Base29</v>
      </c>
      <c r="CF266" s="3" t="s">
        <v>378</v>
      </c>
    </row>
    <row r="267" spans="1:84">
      <c r="A267">
        <f t="shared" si="83"/>
        <v>5061202</v>
      </c>
      <c r="B267" t="s">
        <v>380</v>
      </c>
      <c r="C267">
        <v>6</v>
      </c>
      <c r="D267">
        <v>2</v>
      </c>
      <c r="E267">
        <v>1</v>
      </c>
      <c r="F267" s="3" t="s">
        <v>476</v>
      </c>
      <c r="G267" s="3" t="s">
        <v>476</v>
      </c>
      <c r="H267">
        <v>0</v>
      </c>
      <c r="I267">
        <v>0</v>
      </c>
      <c r="J267">
        <v>0</v>
      </c>
      <c r="K267" s="2" t="s">
        <v>280</v>
      </c>
      <c r="L267" s="2">
        <f t="shared" si="84"/>
        <v>3</v>
      </c>
      <c r="M267" s="2">
        <f t="shared" si="82"/>
        <v>1.8</v>
      </c>
      <c r="N267" s="2">
        <f t="shared" si="82"/>
        <v>2</v>
      </c>
      <c r="O267" s="2">
        <v>10</v>
      </c>
      <c r="P267" s="2">
        <f t="shared" si="101"/>
        <v>152.06</v>
      </c>
      <c r="Q267" s="2">
        <f t="shared" si="101"/>
        <v>15.21</v>
      </c>
      <c r="R267" s="2">
        <f t="shared" si="101"/>
        <v>2376</v>
      </c>
      <c r="S267" s="2">
        <f t="shared" si="100"/>
        <v>237.6</v>
      </c>
      <c r="T267" s="2">
        <f t="shared" si="100"/>
        <v>38.020000000000003</v>
      </c>
      <c r="U267" s="2">
        <f t="shared" si="100"/>
        <v>3.8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512022</v>
      </c>
      <c r="AB267" s="14" t="s">
        <v>478</v>
      </c>
      <c r="AC267" s="15" t="s">
        <v>890</v>
      </c>
      <c r="AD267" s="2">
        <v>5071202</v>
      </c>
      <c r="AE267" s="2">
        <v>0</v>
      </c>
      <c r="AF267" s="2">
        <v>2</v>
      </c>
      <c r="AG267" s="2">
        <v>6</v>
      </c>
      <c r="AH267" s="2">
        <v>2</v>
      </c>
      <c r="AI267" s="2"/>
      <c r="AJ267">
        <v>1</v>
      </c>
      <c r="AK267" s="1">
        <f t="shared" si="94"/>
        <v>63.712631076601646</v>
      </c>
      <c r="AL267">
        <v>6</v>
      </c>
      <c r="AM267">
        <f t="shared" si="85"/>
        <v>138.24000000000004</v>
      </c>
      <c r="AN267">
        <f t="shared" si="86"/>
        <v>13.824000000000005</v>
      </c>
      <c r="AO267">
        <f t="shared" si="87"/>
        <v>2160</v>
      </c>
      <c r="AP267">
        <f t="shared" si="88"/>
        <v>216</v>
      </c>
      <c r="AQ267">
        <f t="shared" si="95"/>
        <v>34.560000000000009</v>
      </c>
      <c r="AR267">
        <f t="shared" si="96"/>
        <v>3.4560000000000013</v>
      </c>
      <c r="AS267">
        <f t="shared" si="97"/>
        <v>1.8</v>
      </c>
      <c r="AT267">
        <f t="shared" si="98"/>
        <v>2</v>
      </c>
      <c r="AU267">
        <f t="shared" si="99"/>
        <v>3</v>
      </c>
      <c r="AV267">
        <f t="shared" si="90"/>
        <v>2021</v>
      </c>
      <c r="AW267" s="1">
        <v>2</v>
      </c>
      <c r="AX267">
        <v>5</v>
      </c>
      <c r="AY267">
        <v>0.1</v>
      </c>
      <c r="CE267" t="str">
        <f t="shared" si="89"/>
        <v>DATA_Class_Base30</v>
      </c>
      <c r="CF267" s="3" t="s">
        <v>381</v>
      </c>
    </row>
    <row r="268" spans="1:84">
      <c r="A268">
        <f t="shared" si="83"/>
        <v>5061301</v>
      </c>
      <c r="B268" t="s">
        <v>383</v>
      </c>
      <c r="C268">
        <v>6</v>
      </c>
      <c r="D268">
        <v>3</v>
      </c>
      <c r="E268">
        <v>1</v>
      </c>
      <c r="F268" s="3" t="s">
        <v>481</v>
      </c>
      <c r="G268" s="3" t="s">
        <v>481</v>
      </c>
      <c r="H268">
        <v>0</v>
      </c>
      <c r="I268">
        <v>0</v>
      </c>
      <c r="J268" s="2">
        <v>0</v>
      </c>
      <c r="K268" s="2" t="s">
        <v>285</v>
      </c>
      <c r="L268" s="2">
        <f t="shared" si="84"/>
        <v>3</v>
      </c>
      <c r="M268" s="2">
        <f t="shared" si="82"/>
        <v>1.2</v>
      </c>
      <c r="N268" s="2">
        <f t="shared" si="82"/>
        <v>2</v>
      </c>
      <c r="O268" s="2">
        <v>10</v>
      </c>
      <c r="P268" s="2">
        <f t="shared" si="101"/>
        <v>139.38999999999999</v>
      </c>
      <c r="Q268" s="2">
        <f t="shared" si="101"/>
        <v>13.94</v>
      </c>
      <c r="R268" s="2">
        <f t="shared" si="101"/>
        <v>1728</v>
      </c>
      <c r="S268" s="2">
        <f t="shared" si="100"/>
        <v>172.8</v>
      </c>
      <c r="T268" s="2">
        <f t="shared" si="100"/>
        <v>23.23</v>
      </c>
      <c r="U268" s="2">
        <f t="shared" si="100"/>
        <v>2.3199999999999998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513012</v>
      </c>
      <c r="AB268" s="14" t="s">
        <v>483</v>
      </c>
      <c r="AC268" s="15" t="s">
        <v>890</v>
      </c>
      <c r="AD268" s="2">
        <v>5071301</v>
      </c>
      <c r="AE268" s="2">
        <v>0</v>
      </c>
      <c r="AF268" s="2">
        <v>2</v>
      </c>
      <c r="AG268" s="2">
        <v>6</v>
      </c>
      <c r="AH268" s="2">
        <v>2</v>
      </c>
      <c r="AI268" s="2"/>
      <c r="AJ268">
        <v>1</v>
      </c>
      <c r="AK268" s="1">
        <f t="shared" si="94"/>
        <v>63.523366168565651</v>
      </c>
      <c r="AL268">
        <v>6</v>
      </c>
      <c r="AM268">
        <f t="shared" si="85"/>
        <v>126.72000000000001</v>
      </c>
      <c r="AN268">
        <f t="shared" si="86"/>
        <v>12.672000000000002</v>
      </c>
      <c r="AO268">
        <f t="shared" si="87"/>
        <v>1570.909090909091</v>
      </c>
      <c r="AP268">
        <f t="shared" si="88"/>
        <v>157.09090909090912</v>
      </c>
      <c r="AQ268">
        <f t="shared" si="95"/>
        <v>21.12</v>
      </c>
      <c r="AR268">
        <f t="shared" si="96"/>
        <v>2.1120000000000001</v>
      </c>
      <c r="AS268">
        <f t="shared" si="97"/>
        <v>1.2</v>
      </c>
      <c r="AT268">
        <f t="shared" si="98"/>
        <v>2</v>
      </c>
      <c r="AU268">
        <f t="shared" si="99"/>
        <v>3</v>
      </c>
      <c r="AV268">
        <f t="shared" si="90"/>
        <v>3011</v>
      </c>
      <c r="AW268" s="1">
        <v>1</v>
      </c>
      <c r="AX268">
        <v>5</v>
      </c>
      <c r="AY268">
        <v>0.1</v>
      </c>
      <c r="CE268" t="str">
        <f t="shared" si="89"/>
        <v>DATA_Class_Base31</v>
      </c>
      <c r="CF268" s="3" t="s">
        <v>384</v>
      </c>
    </row>
    <row r="269" spans="1:84">
      <c r="A269">
        <f t="shared" si="83"/>
        <v>5061401</v>
      </c>
      <c r="B269" t="s">
        <v>387</v>
      </c>
      <c r="C269">
        <v>6</v>
      </c>
      <c r="D269">
        <v>4</v>
      </c>
      <c r="E269">
        <v>1</v>
      </c>
      <c r="F269" s="3" t="s">
        <v>486</v>
      </c>
      <c r="G269" s="3" t="s">
        <v>486</v>
      </c>
      <c r="H269">
        <v>0</v>
      </c>
      <c r="I269">
        <v>0</v>
      </c>
      <c r="J269" s="2">
        <v>0</v>
      </c>
      <c r="K269" s="2" t="s">
        <v>161</v>
      </c>
      <c r="L269" s="2">
        <f t="shared" si="84"/>
        <v>6</v>
      </c>
      <c r="M269" s="2">
        <f t="shared" ref="M269:N330" si="102">FLOOR(AS269/1,0.01)</f>
        <v>1.6</v>
      </c>
      <c r="N269" s="2">
        <f t="shared" si="102"/>
        <v>2</v>
      </c>
      <c r="O269" s="2">
        <v>10</v>
      </c>
      <c r="P269" s="2">
        <f t="shared" si="101"/>
        <v>185.86</v>
      </c>
      <c r="Q269" s="2">
        <f t="shared" si="101"/>
        <v>18.59</v>
      </c>
      <c r="R269" s="2">
        <f t="shared" si="101"/>
        <v>1728</v>
      </c>
      <c r="S269" s="2">
        <f t="shared" si="100"/>
        <v>172.8</v>
      </c>
      <c r="T269" s="2">
        <f t="shared" si="100"/>
        <v>37.17</v>
      </c>
      <c r="U269" s="2">
        <f t="shared" si="100"/>
        <v>3.72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514012</v>
      </c>
      <c r="AB269" s="14" t="s">
        <v>487</v>
      </c>
      <c r="AC269" s="15" t="s">
        <v>890</v>
      </c>
      <c r="AD269" s="2">
        <v>5071401</v>
      </c>
      <c r="AE269" s="2">
        <v>0</v>
      </c>
      <c r="AF269" s="2">
        <v>2</v>
      </c>
      <c r="AG269" s="2">
        <v>6</v>
      </c>
      <c r="AH269" s="2">
        <v>2</v>
      </c>
      <c r="AI269" s="2"/>
      <c r="AJ269">
        <v>1</v>
      </c>
      <c r="AK269" s="1">
        <f t="shared" si="94"/>
        <v>63.701785562298689</v>
      </c>
      <c r="AL269">
        <v>6</v>
      </c>
      <c r="AM269">
        <f t="shared" si="85"/>
        <v>168.96000000000004</v>
      </c>
      <c r="AN269">
        <f t="shared" si="86"/>
        <v>16.896000000000004</v>
      </c>
      <c r="AO269">
        <f t="shared" si="87"/>
        <v>1570.909090909091</v>
      </c>
      <c r="AP269">
        <f t="shared" si="88"/>
        <v>157.09090909090912</v>
      </c>
      <c r="AQ269">
        <f t="shared" si="95"/>
        <v>33.792000000000009</v>
      </c>
      <c r="AR269">
        <f t="shared" si="96"/>
        <v>3.3792000000000009</v>
      </c>
      <c r="AS269">
        <f t="shared" si="97"/>
        <v>1.6</v>
      </c>
      <c r="AT269">
        <f t="shared" si="98"/>
        <v>2</v>
      </c>
      <c r="AU269">
        <f t="shared" si="99"/>
        <v>6</v>
      </c>
      <c r="AV269">
        <f t="shared" si="90"/>
        <v>4011</v>
      </c>
      <c r="AW269" s="1">
        <v>1</v>
      </c>
      <c r="AX269">
        <v>5</v>
      </c>
      <c r="AY269">
        <v>0.1</v>
      </c>
      <c r="CE269" t="str">
        <f t="shared" si="89"/>
        <v>DATA_Class_Base32</v>
      </c>
      <c r="CF269" s="3" t="s">
        <v>388</v>
      </c>
    </row>
    <row r="270" spans="1:84">
      <c r="A270">
        <f t="shared" si="83"/>
        <v>5061402</v>
      </c>
      <c r="B270" t="s">
        <v>390</v>
      </c>
      <c r="C270">
        <v>6</v>
      </c>
      <c r="D270">
        <v>4</v>
      </c>
      <c r="E270">
        <v>1</v>
      </c>
      <c r="F270" s="3" t="s">
        <v>490</v>
      </c>
      <c r="G270" s="3" t="s">
        <v>490</v>
      </c>
      <c r="H270">
        <v>0</v>
      </c>
      <c r="I270">
        <v>0</v>
      </c>
      <c r="J270">
        <v>0</v>
      </c>
      <c r="K270" s="2" t="s">
        <v>250</v>
      </c>
      <c r="L270" s="2">
        <f t="shared" si="84"/>
        <v>6</v>
      </c>
      <c r="M270" s="2">
        <f t="shared" si="102"/>
        <v>1.5</v>
      </c>
      <c r="N270" s="2">
        <f t="shared" si="102"/>
        <v>1.5</v>
      </c>
      <c r="O270" s="2">
        <v>10</v>
      </c>
      <c r="P270" s="2">
        <f t="shared" si="101"/>
        <v>190.08</v>
      </c>
      <c r="Q270" s="2">
        <f t="shared" si="101"/>
        <v>19.010000000000002</v>
      </c>
      <c r="R270" s="2">
        <f t="shared" si="101"/>
        <v>1584</v>
      </c>
      <c r="S270" s="2">
        <f t="shared" si="100"/>
        <v>158.4</v>
      </c>
      <c r="T270" s="2">
        <f t="shared" si="100"/>
        <v>31.68</v>
      </c>
      <c r="U270" s="2">
        <f t="shared" si="100"/>
        <v>3.17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514022</v>
      </c>
      <c r="AB270" s="14" t="s">
        <v>491</v>
      </c>
      <c r="AC270" s="15" t="s">
        <v>890</v>
      </c>
      <c r="AD270" s="2">
        <v>5071402</v>
      </c>
      <c r="AE270" s="2">
        <v>0</v>
      </c>
      <c r="AF270" s="2">
        <v>2</v>
      </c>
      <c r="AG270" s="2">
        <v>6</v>
      </c>
      <c r="AH270" s="2">
        <v>2</v>
      </c>
      <c r="AI270" s="2"/>
      <c r="AJ270">
        <v>1</v>
      </c>
      <c r="AK270" s="1">
        <f t="shared" si="94"/>
        <v>63.631379621280438</v>
      </c>
      <c r="AL270">
        <v>6</v>
      </c>
      <c r="AM270">
        <f t="shared" si="85"/>
        <v>172.8</v>
      </c>
      <c r="AN270">
        <f t="shared" si="86"/>
        <v>17.28</v>
      </c>
      <c r="AO270">
        <f t="shared" si="87"/>
        <v>1440</v>
      </c>
      <c r="AP270">
        <f t="shared" si="88"/>
        <v>144</v>
      </c>
      <c r="AQ270">
        <f t="shared" si="95"/>
        <v>28.8</v>
      </c>
      <c r="AR270">
        <f t="shared" si="96"/>
        <v>2.8800000000000003</v>
      </c>
      <c r="AS270">
        <f t="shared" si="97"/>
        <v>1.5</v>
      </c>
      <c r="AT270">
        <f t="shared" si="98"/>
        <v>1.5</v>
      </c>
      <c r="AU270">
        <f t="shared" si="99"/>
        <v>6</v>
      </c>
      <c r="AV270">
        <f t="shared" si="90"/>
        <v>4021</v>
      </c>
      <c r="AW270" s="1">
        <v>2</v>
      </c>
      <c r="AX270">
        <v>5</v>
      </c>
      <c r="AY270">
        <v>0.1</v>
      </c>
      <c r="CE270" t="str">
        <f t="shared" si="89"/>
        <v>DATA_Class_Base33</v>
      </c>
      <c r="CF270" s="3" t="s">
        <v>391</v>
      </c>
    </row>
    <row r="271" spans="1:84">
      <c r="A271">
        <f t="shared" si="83"/>
        <v>5061500</v>
      </c>
      <c r="B271" t="s">
        <v>394</v>
      </c>
      <c r="C271">
        <v>6</v>
      </c>
      <c r="D271">
        <v>5</v>
      </c>
      <c r="E271">
        <v>1</v>
      </c>
      <c r="F271" s="3" t="s">
        <v>494</v>
      </c>
      <c r="G271" s="3" t="s">
        <v>494</v>
      </c>
      <c r="H271">
        <v>0</v>
      </c>
      <c r="I271">
        <v>0</v>
      </c>
      <c r="J271">
        <v>0</v>
      </c>
      <c r="K271" s="2" t="s">
        <v>303</v>
      </c>
      <c r="L271" s="2">
        <f t="shared" si="84"/>
        <v>6</v>
      </c>
      <c r="M271" s="2">
        <f t="shared" si="102"/>
        <v>1.5</v>
      </c>
      <c r="N271" s="2">
        <f t="shared" si="102"/>
        <v>1.5</v>
      </c>
      <c r="O271" s="2">
        <v>10</v>
      </c>
      <c r="P271" s="2">
        <f t="shared" si="101"/>
        <v>221.76</v>
      </c>
      <c r="Q271" s="2">
        <f t="shared" si="101"/>
        <v>22.18</v>
      </c>
      <c r="R271" s="2">
        <f t="shared" si="101"/>
        <v>1357.71</v>
      </c>
      <c r="S271" s="2">
        <f t="shared" si="100"/>
        <v>135.77000000000001</v>
      </c>
      <c r="T271" s="2">
        <f t="shared" si="100"/>
        <v>31.68</v>
      </c>
      <c r="U271" s="2">
        <f t="shared" si="100"/>
        <v>3.17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515002</v>
      </c>
      <c r="AB271" s="14" t="s">
        <v>495</v>
      </c>
      <c r="AC271" s="15" t="s">
        <v>890</v>
      </c>
      <c r="AD271" s="2">
        <v>5071500</v>
      </c>
      <c r="AE271" s="2">
        <v>0</v>
      </c>
      <c r="AF271" s="2">
        <v>2</v>
      </c>
      <c r="AG271" s="2">
        <v>6</v>
      </c>
      <c r="AH271" s="2">
        <v>2</v>
      </c>
      <c r="AI271" s="2"/>
      <c r="AJ271">
        <v>1</v>
      </c>
      <c r="AK271" s="1">
        <f t="shared" si="94"/>
        <v>63.631379621280423</v>
      </c>
      <c r="AL271">
        <v>6</v>
      </c>
      <c r="AM271">
        <f t="shared" si="85"/>
        <v>201.59999999999997</v>
      </c>
      <c r="AN271">
        <f t="shared" si="86"/>
        <v>20.159999999999997</v>
      </c>
      <c r="AO271">
        <f t="shared" si="87"/>
        <v>1234.2857142857144</v>
      </c>
      <c r="AP271">
        <f t="shared" si="88"/>
        <v>123.42857142857144</v>
      </c>
      <c r="AQ271">
        <f t="shared" si="95"/>
        <v>28.799999999999994</v>
      </c>
      <c r="AR271">
        <f t="shared" si="96"/>
        <v>2.8799999999999994</v>
      </c>
      <c r="AS271">
        <f t="shared" si="97"/>
        <v>1.5</v>
      </c>
      <c r="AT271">
        <f t="shared" si="98"/>
        <v>1.5</v>
      </c>
      <c r="AU271">
        <f t="shared" si="99"/>
        <v>6</v>
      </c>
      <c r="AV271">
        <f t="shared" si="90"/>
        <v>5001</v>
      </c>
      <c r="AW271" s="1">
        <v>0</v>
      </c>
      <c r="AX271">
        <v>5</v>
      </c>
      <c r="AY271">
        <v>0.1</v>
      </c>
      <c r="CE271" t="str">
        <f t="shared" si="89"/>
        <v>DATA_Class_Base34</v>
      </c>
      <c r="CF271" s="3" t="s">
        <v>184</v>
      </c>
    </row>
    <row r="272" spans="1:84">
      <c r="A272">
        <f t="shared" si="83"/>
        <v>5061502</v>
      </c>
      <c r="B272" t="s">
        <v>396</v>
      </c>
      <c r="C272">
        <v>6</v>
      </c>
      <c r="D272">
        <v>5</v>
      </c>
      <c r="E272">
        <v>1</v>
      </c>
      <c r="F272" s="3" t="s">
        <v>498</v>
      </c>
      <c r="G272" s="3" t="s">
        <v>498</v>
      </c>
      <c r="H272">
        <v>0</v>
      </c>
      <c r="I272">
        <v>0</v>
      </c>
      <c r="J272" s="2">
        <v>0</v>
      </c>
      <c r="K272" s="2" t="s">
        <v>291</v>
      </c>
      <c r="L272" s="2">
        <f t="shared" si="84"/>
        <v>6</v>
      </c>
      <c r="M272" s="2">
        <f t="shared" si="102"/>
        <v>1.4000000000000001</v>
      </c>
      <c r="N272" s="2">
        <f t="shared" si="102"/>
        <v>2</v>
      </c>
      <c r="O272" s="2">
        <v>10</v>
      </c>
      <c r="P272" s="2">
        <f t="shared" si="101"/>
        <v>192.19</v>
      </c>
      <c r="Q272" s="2">
        <f t="shared" si="101"/>
        <v>19.22</v>
      </c>
      <c r="R272" s="2">
        <f t="shared" si="101"/>
        <v>1462.15</v>
      </c>
      <c r="S272" s="2">
        <f t="shared" si="100"/>
        <v>146.22</v>
      </c>
      <c r="T272" s="2">
        <f t="shared" si="100"/>
        <v>29.57</v>
      </c>
      <c r="U272" s="2">
        <f t="shared" si="100"/>
        <v>2.96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515022</v>
      </c>
      <c r="AB272" s="14" t="s">
        <v>499</v>
      </c>
      <c r="AC272" s="15" t="s">
        <v>890</v>
      </c>
      <c r="AD272" s="2">
        <v>5071502</v>
      </c>
      <c r="AE272" s="2">
        <v>0</v>
      </c>
      <c r="AF272" s="2">
        <v>2</v>
      </c>
      <c r="AG272" s="2">
        <v>6</v>
      </c>
      <c r="AH272" s="2">
        <v>2</v>
      </c>
      <c r="AI272" s="2"/>
      <c r="AJ272">
        <v>1</v>
      </c>
      <c r="AK272" s="1">
        <f t="shared" si="94"/>
        <v>63.604341835880653</v>
      </c>
      <c r="AL272">
        <v>6</v>
      </c>
      <c r="AM272">
        <f t="shared" si="85"/>
        <v>174.71999999999997</v>
      </c>
      <c r="AN272">
        <f t="shared" si="86"/>
        <v>17.471999999999998</v>
      </c>
      <c r="AO272">
        <f t="shared" si="87"/>
        <v>1329.2307692307691</v>
      </c>
      <c r="AP272">
        <f t="shared" si="88"/>
        <v>132.92307692307691</v>
      </c>
      <c r="AQ272">
        <f t="shared" si="95"/>
        <v>26.879999999999995</v>
      </c>
      <c r="AR272">
        <f t="shared" si="96"/>
        <v>2.6879999999999997</v>
      </c>
      <c r="AS272">
        <f t="shared" si="97"/>
        <v>1.4</v>
      </c>
      <c r="AT272">
        <f t="shared" si="98"/>
        <v>2</v>
      </c>
      <c r="AU272">
        <f t="shared" si="99"/>
        <v>6</v>
      </c>
      <c r="AV272">
        <f t="shared" si="90"/>
        <v>5021</v>
      </c>
      <c r="AW272" s="1">
        <v>2</v>
      </c>
      <c r="AX272">
        <v>5</v>
      </c>
      <c r="AY272">
        <v>0.1</v>
      </c>
      <c r="CE272" t="str">
        <f t="shared" si="89"/>
        <v>DATA_Class_Base35</v>
      </c>
      <c r="CF272" s="3" t="s">
        <v>195</v>
      </c>
    </row>
    <row r="273" spans="1:84" ht="14.25" customHeight="1">
      <c r="A273">
        <f t="shared" si="83"/>
        <v>5061601</v>
      </c>
      <c r="B273" t="s">
        <v>398</v>
      </c>
      <c r="C273">
        <v>6</v>
      </c>
      <c r="D273">
        <v>6</v>
      </c>
      <c r="E273">
        <v>1</v>
      </c>
      <c r="F273" s="3" t="s">
        <v>502</v>
      </c>
      <c r="G273" s="3" t="s">
        <v>502</v>
      </c>
      <c r="H273">
        <v>0</v>
      </c>
      <c r="I273">
        <v>0</v>
      </c>
      <c r="J273">
        <v>0</v>
      </c>
      <c r="K273" s="2" t="s">
        <v>309</v>
      </c>
      <c r="L273" s="2">
        <f t="shared" si="84"/>
        <v>6</v>
      </c>
      <c r="M273" s="2">
        <f t="shared" si="102"/>
        <v>1.5</v>
      </c>
      <c r="N273" s="2">
        <f t="shared" si="102"/>
        <v>2</v>
      </c>
      <c r="O273" s="2">
        <v>10</v>
      </c>
      <c r="P273" s="2">
        <f t="shared" si="101"/>
        <v>158.4</v>
      </c>
      <c r="Q273" s="2">
        <f t="shared" si="101"/>
        <v>15.84</v>
      </c>
      <c r="R273" s="2">
        <f t="shared" si="101"/>
        <v>1900.8</v>
      </c>
      <c r="S273" s="2">
        <f t="shared" si="100"/>
        <v>190.08</v>
      </c>
      <c r="T273" s="2">
        <f t="shared" si="100"/>
        <v>39.6</v>
      </c>
      <c r="U273" s="2">
        <f t="shared" si="100"/>
        <v>3.96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516012</v>
      </c>
      <c r="AB273" s="14" t="s">
        <v>503</v>
      </c>
      <c r="AC273" s="15" t="s">
        <v>890</v>
      </c>
      <c r="AD273" s="2">
        <v>5071601</v>
      </c>
      <c r="AE273" s="2">
        <v>0</v>
      </c>
      <c r="AF273" s="2">
        <v>2</v>
      </c>
      <c r="AG273" s="2">
        <v>6</v>
      </c>
      <c r="AH273" s="2">
        <v>2</v>
      </c>
      <c r="AI273" s="2"/>
      <c r="AJ273">
        <v>1</v>
      </c>
      <c r="AK273" s="1">
        <f t="shared" si="94"/>
        <v>63.732976372873161</v>
      </c>
      <c r="AL273">
        <v>6</v>
      </c>
      <c r="AM273">
        <f t="shared" si="85"/>
        <v>144</v>
      </c>
      <c r="AN273">
        <f t="shared" si="86"/>
        <v>14.4</v>
      </c>
      <c r="AO273">
        <f t="shared" si="87"/>
        <v>1728</v>
      </c>
      <c r="AP273">
        <f t="shared" si="88"/>
        <v>172.8</v>
      </c>
      <c r="AQ273">
        <f t="shared" si="95"/>
        <v>36</v>
      </c>
      <c r="AR273">
        <f t="shared" si="96"/>
        <v>3.6</v>
      </c>
      <c r="AS273">
        <f t="shared" si="97"/>
        <v>1.5</v>
      </c>
      <c r="AT273">
        <f t="shared" si="98"/>
        <v>2</v>
      </c>
      <c r="AU273">
        <f t="shared" si="99"/>
        <v>6</v>
      </c>
      <c r="AV273">
        <f t="shared" si="90"/>
        <v>6011</v>
      </c>
      <c r="AW273" s="1">
        <v>1</v>
      </c>
      <c r="AX273">
        <v>5</v>
      </c>
      <c r="AY273">
        <v>0.1</v>
      </c>
      <c r="CE273" t="str">
        <f t="shared" si="89"/>
        <v>DATA_Class_Base36</v>
      </c>
      <c r="CF273" s="3" t="s">
        <v>201</v>
      </c>
    </row>
    <row r="274" spans="1:84">
      <c r="A274">
        <f t="shared" si="83"/>
        <v>5062200</v>
      </c>
      <c r="B274" t="s">
        <v>373</v>
      </c>
      <c r="C274">
        <v>6</v>
      </c>
      <c r="D274">
        <v>2</v>
      </c>
      <c r="E274">
        <v>2</v>
      </c>
      <c r="F274" s="3" t="s">
        <v>506</v>
      </c>
      <c r="G274" s="3" t="s">
        <v>506</v>
      </c>
      <c r="H274">
        <v>0</v>
      </c>
      <c r="I274">
        <v>0</v>
      </c>
      <c r="J274">
        <v>0</v>
      </c>
      <c r="K274" s="2" t="s">
        <v>314</v>
      </c>
      <c r="L274" s="2">
        <f t="shared" si="84"/>
        <v>3</v>
      </c>
      <c r="M274" s="2">
        <f t="shared" si="102"/>
        <v>1.5</v>
      </c>
      <c r="N274" s="2">
        <f t="shared" si="102"/>
        <v>1.2</v>
      </c>
      <c r="O274" s="2">
        <v>10</v>
      </c>
      <c r="P274" s="2">
        <f t="shared" si="101"/>
        <v>158.4</v>
      </c>
      <c r="Q274" s="2">
        <f t="shared" si="101"/>
        <v>15.84</v>
      </c>
      <c r="R274" s="2">
        <f t="shared" si="101"/>
        <v>1900.8</v>
      </c>
      <c r="S274" s="2">
        <f t="shared" si="100"/>
        <v>190.08</v>
      </c>
      <c r="T274" s="2">
        <f t="shared" si="100"/>
        <v>39.6</v>
      </c>
      <c r="U274" s="2">
        <f t="shared" si="100"/>
        <v>3.96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522002</v>
      </c>
      <c r="AB274" s="14" t="s">
        <v>508</v>
      </c>
      <c r="AC274" s="15" t="s">
        <v>890</v>
      </c>
      <c r="AD274" s="2">
        <v>5072200</v>
      </c>
      <c r="AE274" s="2">
        <v>0</v>
      </c>
      <c r="AF274" s="2">
        <v>2</v>
      </c>
      <c r="AG274" s="2">
        <v>6</v>
      </c>
      <c r="AH274" s="2">
        <v>2</v>
      </c>
      <c r="AI274" s="2"/>
      <c r="AJ274">
        <v>1</v>
      </c>
      <c r="AK274" s="1">
        <f t="shared" si="94"/>
        <v>63.732976372873161</v>
      </c>
      <c r="AL274">
        <v>6</v>
      </c>
      <c r="AM274">
        <f t="shared" ref="AM274:AM345" si="103">INDEX($BB$5:$BB$58,MATCH($AV274,$AZ$5:$AZ$58,0))*$AS274/1.5*$BF$4*INDEX($BB$109:$BO$109,MATCH($AL274,$BB$108:$BO$108,0))</f>
        <v>144</v>
      </c>
      <c r="AN274">
        <f t="shared" ref="AN274:AN345" si="104">(INDEX($BB$5:$BB$58,MATCH($AV274,$AZ$5:$AZ$58,0))*$AS274/1.5*$BF$4*INDEX($BB$109:$BO$109,MATCH($AL274,$BB$108:$BO$108,0)))*0.1</f>
        <v>14.4</v>
      </c>
      <c r="AO274">
        <f t="shared" ref="AO274:AO345" si="105">INDEX($BC$5:$BC$58,MATCH($AV274,$AZ$5:$AZ$58,0))*$BG$4*INDEX($BB$109:$BO$109,MATCH($AL274,$BB$108:$BO$108,0))</f>
        <v>1728</v>
      </c>
      <c r="AP274">
        <f t="shared" ref="AP274:AP345" si="106">(INDEX($BC$5:$BC$58,MATCH($AV274,$AZ$5:$AZ$58,0))*$BG$4*INDEX($BB$109:$BO$109,MATCH($AL274,$BB$108:$BO$108,0)))*0.1</f>
        <v>172.8</v>
      </c>
      <c r="AQ274">
        <f t="shared" si="95"/>
        <v>36</v>
      </c>
      <c r="AR274">
        <f t="shared" si="96"/>
        <v>3.6</v>
      </c>
      <c r="AS274">
        <f t="shared" si="97"/>
        <v>1.5</v>
      </c>
      <c r="AT274">
        <f t="shared" si="98"/>
        <v>1.2</v>
      </c>
      <c r="AU274">
        <f t="shared" si="99"/>
        <v>3</v>
      </c>
      <c r="AV274">
        <f t="shared" si="90"/>
        <v>2002</v>
      </c>
      <c r="AW274" s="1">
        <v>0</v>
      </c>
      <c r="AX274">
        <v>5</v>
      </c>
      <c r="AY274">
        <v>0.1</v>
      </c>
      <c r="CE274" t="str">
        <f t="shared" si="89"/>
        <v>DATA_Class_Base28</v>
      </c>
      <c r="CF274" s="3" t="s">
        <v>374</v>
      </c>
    </row>
    <row r="275" spans="1:84">
      <c r="A275">
        <f t="shared" si="83"/>
        <v>5062201</v>
      </c>
      <c r="B275" t="s">
        <v>377</v>
      </c>
      <c r="C275">
        <v>6</v>
      </c>
      <c r="D275">
        <v>2</v>
      </c>
      <c r="E275">
        <v>2</v>
      </c>
      <c r="F275" s="3" t="s">
        <v>511</v>
      </c>
      <c r="G275" s="3" t="s">
        <v>511</v>
      </c>
      <c r="H275">
        <v>0</v>
      </c>
      <c r="I275">
        <v>0</v>
      </c>
      <c r="J275">
        <v>0</v>
      </c>
      <c r="K275" s="8" t="s">
        <v>298</v>
      </c>
      <c r="L275" s="2">
        <f t="shared" si="84"/>
        <v>3</v>
      </c>
      <c r="M275" s="2">
        <f t="shared" si="102"/>
        <v>1.8</v>
      </c>
      <c r="N275" s="2">
        <f t="shared" si="102"/>
        <v>1.8</v>
      </c>
      <c r="O275" s="2">
        <v>10</v>
      </c>
      <c r="P275" s="2">
        <f t="shared" si="101"/>
        <v>133.06</v>
      </c>
      <c r="Q275" s="2">
        <f t="shared" si="101"/>
        <v>13.31</v>
      </c>
      <c r="R275" s="2">
        <f t="shared" si="101"/>
        <v>2715.43</v>
      </c>
      <c r="S275" s="2">
        <f t="shared" si="100"/>
        <v>271.54000000000002</v>
      </c>
      <c r="T275" s="2">
        <f t="shared" si="100"/>
        <v>44.35</v>
      </c>
      <c r="U275" s="2">
        <f t="shared" si="100"/>
        <v>4.4400000000000004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522012</v>
      </c>
      <c r="AB275" s="14" t="s">
        <v>513</v>
      </c>
      <c r="AC275" s="15" t="s">
        <v>890</v>
      </c>
      <c r="AD275" s="2">
        <v>5072201</v>
      </c>
      <c r="AE275" s="2">
        <v>0</v>
      </c>
      <c r="AF275" s="2">
        <v>2</v>
      </c>
      <c r="AG275" s="2">
        <v>6</v>
      </c>
      <c r="AH275" s="2">
        <v>2</v>
      </c>
      <c r="AI275" s="2"/>
      <c r="AJ275">
        <v>1</v>
      </c>
      <c r="AK275" s="1">
        <f t="shared" si="94"/>
        <v>63.794090298584585</v>
      </c>
      <c r="AL275">
        <v>6</v>
      </c>
      <c r="AM275">
        <f t="shared" si="103"/>
        <v>120.96000000000001</v>
      </c>
      <c r="AN275">
        <f t="shared" si="104"/>
        <v>12.096000000000002</v>
      </c>
      <c r="AO275">
        <f t="shared" si="105"/>
        <v>2468.5714285714289</v>
      </c>
      <c r="AP275">
        <f t="shared" si="106"/>
        <v>246.85714285714289</v>
      </c>
      <c r="AQ275">
        <f t="shared" si="95"/>
        <v>40.32</v>
      </c>
      <c r="AR275">
        <f t="shared" si="96"/>
        <v>4.032</v>
      </c>
      <c r="AS275">
        <f t="shared" si="97"/>
        <v>1.8</v>
      </c>
      <c r="AT275">
        <f t="shared" si="98"/>
        <v>1.8</v>
      </c>
      <c r="AU275">
        <f t="shared" si="99"/>
        <v>3</v>
      </c>
      <c r="AV275">
        <f t="shared" si="90"/>
        <v>2012</v>
      </c>
      <c r="AW275" s="1">
        <v>1</v>
      </c>
      <c r="AX275">
        <v>5</v>
      </c>
      <c r="AY275">
        <v>0.1</v>
      </c>
      <c r="CE275" t="str">
        <f t="shared" si="89"/>
        <v>DATA_Class_Base29</v>
      </c>
      <c r="CF275" s="3" t="s">
        <v>378</v>
      </c>
    </row>
    <row r="276" spans="1:84">
      <c r="A276">
        <f t="shared" si="83"/>
        <v>5062202</v>
      </c>
      <c r="B276" t="s">
        <v>380</v>
      </c>
      <c r="C276">
        <v>6</v>
      </c>
      <c r="D276">
        <v>2</v>
      </c>
      <c r="E276">
        <v>2</v>
      </c>
      <c r="F276" s="3" t="s">
        <v>516</v>
      </c>
      <c r="G276" s="3" t="s">
        <v>516</v>
      </c>
      <c r="H276">
        <v>0</v>
      </c>
      <c r="I276">
        <v>0</v>
      </c>
      <c r="J276" s="2">
        <v>0</v>
      </c>
      <c r="K276" s="2" t="s">
        <v>280</v>
      </c>
      <c r="L276" s="2">
        <f t="shared" si="84"/>
        <v>3</v>
      </c>
      <c r="M276" s="2">
        <f t="shared" si="102"/>
        <v>1.8</v>
      </c>
      <c r="N276" s="2">
        <f t="shared" si="102"/>
        <v>2</v>
      </c>
      <c r="O276" s="2">
        <v>10</v>
      </c>
      <c r="P276" s="2">
        <f t="shared" si="101"/>
        <v>218.59</v>
      </c>
      <c r="Q276" s="2">
        <f t="shared" si="101"/>
        <v>21.86</v>
      </c>
      <c r="R276" s="2">
        <f t="shared" si="101"/>
        <v>1652.87</v>
      </c>
      <c r="S276" s="2">
        <f t="shared" si="100"/>
        <v>165.29</v>
      </c>
      <c r="T276" s="2">
        <f t="shared" si="100"/>
        <v>43.72</v>
      </c>
      <c r="U276" s="2">
        <f t="shared" si="100"/>
        <v>4.37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522022</v>
      </c>
      <c r="AB276" s="14" t="s">
        <v>517</v>
      </c>
      <c r="AC276" s="15" t="s">
        <v>890</v>
      </c>
      <c r="AD276" s="2">
        <v>5072202</v>
      </c>
      <c r="AE276" s="2">
        <v>0</v>
      </c>
      <c r="AF276" s="2">
        <v>2</v>
      </c>
      <c r="AG276" s="2">
        <v>6</v>
      </c>
      <c r="AH276" s="2">
        <v>2</v>
      </c>
      <c r="AI276" s="2"/>
      <c r="AJ276">
        <v>1</v>
      </c>
      <c r="AK276" s="1">
        <f t="shared" si="94"/>
        <v>63.785935004177325</v>
      </c>
      <c r="AL276">
        <v>6</v>
      </c>
      <c r="AM276">
        <f t="shared" si="103"/>
        <v>198.72</v>
      </c>
      <c r="AN276">
        <f t="shared" si="104"/>
        <v>19.872</v>
      </c>
      <c r="AO276">
        <f t="shared" si="105"/>
        <v>1502.608695652174</v>
      </c>
      <c r="AP276">
        <f t="shared" si="106"/>
        <v>150.2608695652174</v>
      </c>
      <c r="AQ276">
        <f t="shared" si="95"/>
        <v>39.744</v>
      </c>
      <c r="AR276">
        <f t="shared" si="96"/>
        <v>3.9744000000000002</v>
      </c>
      <c r="AS276">
        <f t="shared" si="97"/>
        <v>1.8</v>
      </c>
      <c r="AT276">
        <f t="shared" si="98"/>
        <v>2</v>
      </c>
      <c r="AU276">
        <f t="shared" si="99"/>
        <v>3</v>
      </c>
      <c r="AV276">
        <f t="shared" si="90"/>
        <v>2022</v>
      </c>
      <c r="AW276" s="1">
        <v>2</v>
      </c>
      <c r="AX276">
        <v>5</v>
      </c>
      <c r="AY276">
        <v>0.1</v>
      </c>
      <c r="CE276" t="str">
        <f t="shared" si="89"/>
        <v>DATA_Class_Base30</v>
      </c>
      <c r="CF276" s="3" t="s">
        <v>381</v>
      </c>
    </row>
    <row r="277" spans="1:84">
      <c r="A277">
        <f t="shared" si="83"/>
        <v>5062301</v>
      </c>
      <c r="B277" t="s">
        <v>383</v>
      </c>
      <c r="C277">
        <v>6</v>
      </c>
      <c r="D277">
        <v>3</v>
      </c>
      <c r="E277">
        <v>2</v>
      </c>
      <c r="F277" s="3" t="s">
        <v>520</v>
      </c>
      <c r="G277" s="3" t="s">
        <v>520</v>
      </c>
      <c r="H277">
        <v>0</v>
      </c>
      <c r="I277">
        <v>0</v>
      </c>
      <c r="J277">
        <v>0</v>
      </c>
      <c r="K277" s="2" t="s">
        <v>285</v>
      </c>
      <c r="L277" s="2">
        <f t="shared" si="84"/>
        <v>3</v>
      </c>
      <c r="M277" s="2">
        <f t="shared" si="102"/>
        <v>1.2</v>
      </c>
      <c r="N277" s="2">
        <f t="shared" si="102"/>
        <v>1.7</v>
      </c>
      <c r="O277" s="2">
        <v>10</v>
      </c>
      <c r="P277" s="2">
        <f t="shared" si="101"/>
        <v>164.74</v>
      </c>
      <c r="Q277" s="2">
        <f t="shared" si="101"/>
        <v>16.47</v>
      </c>
      <c r="R277" s="2">
        <f t="shared" si="101"/>
        <v>1462.15</v>
      </c>
      <c r="S277" s="2">
        <f t="shared" si="100"/>
        <v>146.22</v>
      </c>
      <c r="T277" s="2">
        <f t="shared" si="100"/>
        <v>27.46</v>
      </c>
      <c r="U277" s="2">
        <f t="shared" si="100"/>
        <v>2.75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523012</v>
      </c>
      <c r="AB277" s="14" t="s">
        <v>521</v>
      </c>
      <c r="AC277" s="15" t="s">
        <v>890</v>
      </c>
      <c r="AD277" s="2">
        <v>5072301</v>
      </c>
      <c r="AE277" s="2">
        <v>0</v>
      </c>
      <c r="AF277" s="2">
        <v>2</v>
      </c>
      <c r="AG277" s="2">
        <v>6</v>
      </c>
      <c r="AH277" s="2">
        <v>2</v>
      </c>
      <c r="AI277" s="2"/>
      <c r="AJ277">
        <v>1</v>
      </c>
      <c r="AK277" s="1">
        <f t="shared" si="94"/>
        <v>63.57732701812192</v>
      </c>
      <c r="AL277">
        <v>6</v>
      </c>
      <c r="AM277">
        <f t="shared" si="103"/>
        <v>149.76000000000002</v>
      </c>
      <c r="AN277">
        <f t="shared" si="104"/>
        <v>14.976000000000003</v>
      </c>
      <c r="AO277">
        <f t="shared" si="105"/>
        <v>1329.2307692307691</v>
      </c>
      <c r="AP277">
        <f t="shared" si="106"/>
        <v>132.92307692307691</v>
      </c>
      <c r="AQ277">
        <f t="shared" si="95"/>
        <v>24.960000000000004</v>
      </c>
      <c r="AR277">
        <f t="shared" si="96"/>
        <v>2.4960000000000004</v>
      </c>
      <c r="AS277">
        <f t="shared" si="97"/>
        <v>1.2</v>
      </c>
      <c r="AT277">
        <f t="shared" si="98"/>
        <v>1.7</v>
      </c>
      <c r="AU277">
        <f t="shared" si="99"/>
        <v>3</v>
      </c>
      <c r="AV277">
        <f t="shared" si="90"/>
        <v>3012</v>
      </c>
      <c r="AW277" s="1">
        <v>1</v>
      </c>
      <c r="AX277">
        <v>5</v>
      </c>
      <c r="AY277">
        <v>0.1</v>
      </c>
      <c r="CE277" t="str">
        <f t="shared" si="89"/>
        <v>DATA_Class_Base31</v>
      </c>
      <c r="CF277" s="3" t="s">
        <v>384</v>
      </c>
    </row>
    <row r="278" spans="1:84">
      <c r="A278">
        <f t="shared" ref="A278:A349" si="107">AX278*1000000+C278*10000+E278*1000+D278*100+AW278</f>
        <v>5062401</v>
      </c>
      <c r="B278" t="s">
        <v>387</v>
      </c>
      <c r="C278">
        <v>6</v>
      </c>
      <c r="D278">
        <v>4</v>
      </c>
      <c r="E278">
        <v>2</v>
      </c>
      <c r="F278" s="3" t="s">
        <v>524</v>
      </c>
      <c r="G278" s="3" t="s">
        <v>524</v>
      </c>
      <c r="H278">
        <v>0</v>
      </c>
      <c r="I278">
        <v>0</v>
      </c>
      <c r="J278" s="2">
        <v>0</v>
      </c>
      <c r="K278" s="2" t="s">
        <v>161</v>
      </c>
      <c r="L278" s="2">
        <f t="shared" ref="L278:L349" si="108">AU278</f>
        <v>6</v>
      </c>
      <c r="M278" s="2">
        <f t="shared" si="102"/>
        <v>1.6</v>
      </c>
      <c r="N278" s="2">
        <f t="shared" si="102"/>
        <v>1.5</v>
      </c>
      <c r="O278" s="2">
        <v>10</v>
      </c>
      <c r="P278" s="2">
        <f t="shared" si="101"/>
        <v>219.65</v>
      </c>
      <c r="Q278" s="2">
        <f t="shared" si="101"/>
        <v>21.96</v>
      </c>
      <c r="R278" s="2">
        <f t="shared" si="101"/>
        <v>1462.15</v>
      </c>
      <c r="S278" s="2">
        <f t="shared" si="100"/>
        <v>146.22</v>
      </c>
      <c r="T278" s="2">
        <f t="shared" si="100"/>
        <v>24.41</v>
      </c>
      <c r="U278" s="2">
        <f t="shared" si="100"/>
        <v>2.44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524012</v>
      </c>
      <c r="AB278" s="14" t="s">
        <v>525</v>
      </c>
      <c r="AC278" s="15" t="s">
        <v>890</v>
      </c>
      <c r="AD278" s="2">
        <v>5072401</v>
      </c>
      <c r="AE278" s="2">
        <v>0</v>
      </c>
      <c r="AF278" s="2">
        <v>2</v>
      </c>
      <c r="AG278" s="2">
        <v>6</v>
      </c>
      <c r="AH278" s="2">
        <v>2</v>
      </c>
      <c r="AI278" s="2"/>
      <c r="AJ278">
        <v>1</v>
      </c>
      <c r="AK278" s="1">
        <f t="shared" si="94"/>
        <v>63.538346103219546</v>
      </c>
      <c r="AL278">
        <v>6</v>
      </c>
      <c r="AM278">
        <f t="shared" si="103"/>
        <v>199.68</v>
      </c>
      <c r="AN278">
        <f t="shared" si="104"/>
        <v>19.968000000000004</v>
      </c>
      <c r="AO278">
        <f t="shared" si="105"/>
        <v>1329.2307692307691</v>
      </c>
      <c r="AP278">
        <f t="shared" si="106"/>
        <v>132.92307692307691</v>
      </c>
      <c r="AQ278">
        <f t="shared" si="95"/>
        <v>22.186666666666667</v>
      </c>
      <c r="AR278">
        <f t="shared" si="96"/>
        <v>2.218666666666667</v>
      </c>
      <c r="AS278">
        <f t="shared" si="97"/>
        <v>1.6</v>
      </c>
      <c r="AT278">
        <f t="shared" si="98"/>
        <v>1.5</v>
      </c>
      <c r="AU278">
        <f t="shared" si="99"/>
        <v>6</v>
      </c>
      <c r="AV278">
        <f t="shared" si="90"/>
        <v>4012</v>
      </c>
      <c r="AW278" s="1">
        <v>1</v>
      </c>
      <c r="AX278">
        <v>5</v>
      </c>
      <c r="AY278">
        <v>0.1</v>
      </c>
      <c r="CE278" t="str">
        <f t="shared" si="89"/>
        <v>DATA_Class_Base32</v>
      </c>
      <c r="CF278" s="3" t="s">
        <v>388</v>
      </c>
    </row>
    <row r="279" spans="1:84">
      <c r="A279">
        <f t="shared" si="107"/>
        <v>5062402</v>
      </c>
      <c r="B279" t="s">
        <v>390</v>
      </c>
      <c r="C279">
        <v>6</v>
      </c>
      <c r="D279">
        <v>4</v>
      </c>
      <c r="E279">
        <v>2</v>
      </c>
      <c r="F279" s="3" t="s">
        <v>528</v>
      </c>
      <c r="G279" s="3" t="s">
        <v>528</v>
      </c>
      <c r="H279">
        <v>0</v>
      </c>
      <c r="I279">
        <v>0</v>
      </c>
      <c r="J279">
        <v>0</v>
      </c>
      <c r="K279" s="2" t="s">
        <v>250</v>
      </c>
      <c r="L279" s="2">
        <f t="shared" si="108"/>
        <v>6</v>
      </c>
      <c r="M279" s="2">
        <f t="shared" si="102"/>
        <v>1.5</v>
      </c>
      <c r="N279" s="2">
        <f t="shared" si="102"/>
        <v>1.5</v>
      </c>
      <c r="O279" s="2">
        <v>10</v>
      </c>
      <c r="P279" s="2">
        <f t="shared" si="101"/>
        <v>221.76</v>
      </c>
      <c r="Q279" s="2">
        <f t="shared" si="101"/>
        <v>22.18</v>
      </c>
      <c r="R279" s="2">
        <f t="shared" si="101"/>
        <v>1357.71</v>
      </c>
      <c r="S279" s="2">
        <f t="shared" si="100"/>
        <v>135.77000000000001</v>
      </c>
      <c r="T279" s="2">
        <f t="shared" si="100"/>
        <v>27.72</v>
      </c>
      <c r="U279" s="2">
        <f t="shared" si="100"/>
        <v>2.77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524022</v>
      </c>
      <c r="AB279" s="14" t="s">
        <v>529</v>
      </c>
      <c r="AC279" s="15" t="s">
        <v>890</v>
      </c>
      <c r="AD279" s="2">
        <v>5072402</v>
      </c>
      <c r="AE279" s="2">
        <v>0</v>
      </c>
      <c r="AF279" s="2">
        <v>2</v>
      </c>
      <c r="AG279" s="2">
        <v>6</v>
      </c>
      <c r="AH279" s="2">
        <v>2</v>
      </c>
      <c r="AI279" s="2"/>
      <c r="AJ279">
        <v>1</v>
      </c>
      <c r="AK279" s="1">
        <f t="shared" si="94"/>
        <v>63.580702615299217</v>
      </c>
      <c r="AL279">
        <v>6</v>
      </c>
      <c r="AM279">
        <f t="shared" si="103"/>
        <v>201.59999999999997</v>
      </c>
      <c r="AN279">
        <f t="shared" si="104"/>
        <v>20.159999999999997</v>
      </c>
      <c r="AO279">
        <f t="shared" si="105"/>
        <v>1234.2857142857144</v>
      </c>
      <c r="AP279">
        <f t="shared" si="106"/>
        <v>123.42857142857144</v>
      </c>
      <c r="AQ279">
        <f t="shared" si="95"/>
        <v>25.199999999999996</v>
      </c>
      <c r="AR279">
        <f t="shared" si="96"/>
        <v>2.5199999999999996</v>
      </c>
      <c r="AS279">
        <f t="shared" si="97"/>
        <v>1.5</v>
      </c>
      <c r="AT279">
        <f t="shared" si="98"/>
        <v>1.5</v>
      </c>
      <c r="AU279">
        <f t="shared" si="99"/>
        <v>6</v>
      </c>
      <c r="AV279">
        <f t="shared" si="90"/>
        <v>4022</v>
      </c>
      <c r="AW279" s="1">
        <v>2</v>
      </c>
      <c r="AX279">
        <v>5</v>
      </c>
      <c r="AY279">
        <v>0.1</v>
      </c>
      <c r="CE279" t="str">
        <f t="shared" ref="CE279:CE350" si="109">INDEX($CB$18:$CB$59,MATCH($CF279,$CC$18:$CC$59,0))</f>
        <v>DATA_Class_Base33</v>
      </c>
      <c r="CF279" s="3" t="s">
        <v>391</v>
      </c>
    </row>
    <row r="280" spans="1:84">
      <c r="A280">
        <f t="shared" si="107"/>
        <v>5062500</v>
      </c>
      <c r="B280" t="s">
        <v>394</v>
      </c>
      <c r="C280">
        <v>6</v>
      </c>
      <c r="D280">
        <v>5</v>
      </c>
      <c r="E280">
        <v>2</v>
      </c>
      <c r="F280" s="3" t="s">
        <v>532</v>
      </c>
      <c r="G280" s="3" t="s">
        <v>532</v>
      </c>
      <c r="H280">
        <v>0</v>
      </c>
      <c r="I280">
        <v>0</v>
      </c>
      <c r="J280" s="2">
        <v>0</v>
      </c>
      <c r="K280" s="2" t="s">
        <v>303</v>
      </c>
      <c r="L280" s="2">
        <f t="shared" si="108"/>
        <v>6</v>
      </c>
      <c r="M280" s="2">
        <f t="shared" si="102"/>
        <v>1.5</v>
      </c>
      <c r="N280" s="2">
        <f t="shared" si="102"/>
        <v>2</v>
      </c>
      <c r="O280" s="2">
        <v>10</v>
      </c>
      <c r="P280" s="2">
        <f t="shared" si="101"/>
        <v>237.6</v>
      </c>
      <c r="Q280" s="2">
        <f t="shared" si="101"/>
        <v>23.76</v>
      </c>
      <c r="R280" s="2">
        <f t="shared" si="101"/>
        <v>1267.2</v>
      </c>
      <c r="S280" s="2">
        <f t="shared" si="100"/>
        <v>126.72</v>
      </c>
      <c r="T280" s="2">
        <f t="shared" si="100"/>
        <v>26.4</v>
      </c>
      <c r="U280" s="2">
        <f t="shared" si="100"/>
        <v>2.64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525002</v>
      </c>
      <c r="AB280" s="14" t="s">
        <v>534</v>
      </c>
      <c r="AC280" s="15" t="s">
        <v>890</v>
      </c>
      <c r="AD280" s="2">
        <v>5072500</v>
      </c>
      <c r="AE280" s="2">
        <v>0</v>
      </c>
      <c r="AF280" s="2">
        <v>2</v>
      </c>
      <c r="AG280" s="2">
        <v>6</v>
      </c>
      <c r="AH280" s="2">
        <v>2</v>
      </c>
      <c r="AI280" s="2"/>
      <c r="AJ280">
        <v>1</v>
      </c>
      <c r="AK280" s="1">
        <f t="shared" si="94"/>
        <v>63.563828212964445</v>
      </c>
      <c r="AL280">
        <v>6</v>
      </c>
      <c r="AM280">
        <f t="shared" si="103"/>
        <v>216</v>
      </c>
      <c r="AN280">
        <f t="shared" si="104"/>
        <v>21.6</v>
      </c>
      <c r="AO280">
        <f t="shared" si="105"/>
        <v>1152</v>
      </c>
      <c r="AP280">
        <f t="shared" si="106"/>
        <v>115.2</v>
      </c>
      <c r="AQ280">
        <f t="shared" si="95"/>
        <v>24</v>
      </c>
      <c r="AR280">
        <f t="shared" si="96"/>
        <v>2.4000000000000004</v>
      </c>
      <c r="AS280">
        <f t="shared" si="97"/>
        <v>1.5</v>
      </c>
      <c r="AT280">
        <f t="shared" si="98"/>
        <v>2</v>
      </c>
      <c r="AU280">
        <f t="shared" si="99"/>
        <v>6</v>
      </c>
      <c r="AV280">
        <f t="shared" si="90"/>
        <v>5002</v>
      </c>
      <c r="AW280" s="1">
        <v>0</v>
      </c>
      <c r="AX280">
        <v>5</v>
      </c>
      <c r="AY280">
        <v>0.1</v>
      </c>
      <c r="CE280" t="str">
        <f t="shared" si="109"/>
        <v>DATA_Class_Base34</v>
      </c>
      <c r="CF280" s="3" t="s">
        <v>184</v>
      </c>
    </row>
    <row r="281" spans="1:84">
      <c r="A281">
        <f t="shared" si="107"/>
        <v>5062502</v>
      </c>
      <c r="B281" t="s">
        <v>396</v>
      </c>
      <c r="C281">
        <v>6</v>
      </c>
      <c r="D281">
        <v>5</v>
      </c>
      <c r="E281">
        <v>2</v>
      </c>
      <c r="F281" s="3" t="s">
        <v>537</v>
      </c>
      <c r="G281" s="3" t="s">
        <v>537</v>
      </c>
      <c r="H281">
        <v>0</v>
      </c>
      <c r="I281">
        <v>0</v>
      </c>
      <c r="J281" s="2">
        <v>0</v>
      </c>
      <c r="K281" s="2" t="s">
        <v>291</v>
      </c>
      <c r="L281" s="2">
        <f t="shared" si="108"/>
        <v>6</v>
      </c>
      <c r="M281" s="2">
        <f t="shared" si="102"/>
        <v>1.4000000000000001</v>
      </c>
      <c r="N281" s="2">
        <f t="shared" si="102"/>
        <v>2</v>
      </c>
      <c r="O281" s="2">
        <v>10</v>
      </c>
      <c r="P281" s="2">
        <f t="shared" si="101"/>
        <v>229.15</v>
      </c>
      <c r="Q281" s="2">
        <f t="shared" si="101"/>
        <v>22.92</v>
      </c>
      <c r="R281" s="2">
        <f t="shared" si="101"/>
        <v>1226.32</v>
      </c>
      <c r="S281" s="2">
        <f t="shared" si="100"/>
        <v>122.63</v>
      </c>
      <c r="T281" s="2">
        <f t="shared" si="100"/>
        <v>22.92</v>
      </c>
      <c r="U281" s="2">
        <f t="shared" si="100"/>
        <v>2.29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525022</v>
      </c>
      <c r="AB281" s="14" t="s">
        <v>538</v>
      </c>
      <c r="AC281" s="15" t="s">
        <v>890</v>
      </c>
      <c r="AD281" s="2">
        <v>5072502</v>
      </c>
      <c r="AE281" s="2">
        <v>0</v>
      </c>
      <c r="AF281" s="2">
        <v>2</v>
      </c>
      <c r="AG281" s="2">
        <v>6</v>
      </c>
      <c r="AH281" s="2">
        <v>2</v>
      </c>
      <c r="AI281" s="2"/>
      <c r="AJ281">
        <v>1</v>
      </c>
      <c r="AK281" s="1">
        <f t="shared" si="94"/>
        <v>63.519322797152263</v>
      </c>
      <c r="AL281">
        <v>6</v>
      </c>
      <c r="AM281">
        <f t="shared" si="103"/>
        <v>208.32</v>
      </c>
      <c r="AN281">
        <f t="shared" si="104"/>
        <v>20.832000000000001</v>
      </c>
      <c r="AO281">
        <f t="shared" si="105"/>
        <v>1114.8387096774195</v>
      </c>
      <c r="AP281">
        <f t="shared" si="106"/>
        <v>111.48387096774195</v>
      </c>
      <c r="AQ281">
        <f t="shared" si="95"/>
        <v>20.832000000000001</v>
      </c>
      <c r="AR281">
        <f t="shared" si="96"/>
        <v>2.0832000000000002</v>
      </c>
      <c r="AS281">
        <f t="shared" si="97"/>
        <v>1.4</v>
      </c>
      <c r="AT281">
        <f t="shared" si="98"/>
        <v>2</v>
      </c>
      <c r="AU281">
        <f t="shared" si="99"/>
        <v>6</v>
      </c>
      <c r="AV281">
        <f t="shared" si="90"/>
        <v>5022</v>
      </c>
      <c r="AW281" s="1">
        <v>2</v>
      </c>
      <c r="AX281">
        <v>5</v>
      </c>
      <c r="AY281">
        <v>0.1</v>
      </c>
      <c r="CE281" t="str">
        <f t="shared" si="109"/>
        <v>DATA_Class_Base35</v>
      </c>
      <c r="CF281" s="3" t="s">
        <v>195</v>
      </c>
    </row>
    <row r="282" spans="1:84">
      <c r="A282">
        <f t="shared" si="107"/>
        <v>5062601</v>
      </c>
      <c r="B282" t="s">
        <v>398</v>
      </c>
      <c r="C282">
        <v>6</v>
      </c>
      <c r="D282">
        <v>6</v>
      </c>
      <c r="E282">
        <v>2</v>
      </c>
      <c r="F282" s="3" t="s">
        <v>541</v>
      </c>
      <c r="G282" s="3" t="s">
        <v>541</v>
      </c>
      <c r="H282">
        <v>0</v>
      </c>
      <c r="I282">
        <v>0</v>
      </c>
      <c r="J282" s="2">
        <v>0</v>
      </c>
      <c r="K282" s="2" t="s">
        <v>309</v>
      </c>
      <c r="L282" s="2">
        <f t="shared" si="108"/>
        <v>6</v>
      </c>
      <c r="M282" s="2">
        <f t="shared" si="102"/>
        <v>1.5</v>
      </c>
      <c r="N282" s="2">
        <f t="shared" si="102"/>
        <v>2</v>
      </c>
      <c r="O282" s="2">
        <v>10</v>
      </c>
      <c r="P282" s="2">
        <f t="shared" si="101"/>
        <v>174.24</v>
      </c>
      <c r="Q282" s="2">
        <f t="shared" si="101"/>
        <v>17.420000000000002</v>
      </c>
      <c r="R282" s="2">
        <f t="shared" si="101"/>
        <v>1728</v>
      </c>
      <c r="S282" s="2">
        <f t="shared" si="100"/>
        <v>172.8</v>
      </c>
      <c r="T282" s="2">
        <f t="shared" si="100"/>
        <v>34.85</v>
      </c>
      <c r="U282" s="2">
        <f t="shared" si="100"/>
        <v>3.48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526012</v>
      </c>
      <c r="AB282" s="14" t="s">
        <v>543</v>
      </c>
      <c r="AC282" s="15" t="s">
        <v>890</v>
      </c>
      <c r="AD282" s="2">
        <v>5072601</v>
      </c>
      <c r="AE282" s="2">
        <v>0</v>
      </c>
      <c r="AF282" s="2">
        <v>2</v>
      </c>
      <c r="AG282" s="2">
        <v>6</v>
      </c>
      <c r="AH282" s="2">
        <v>2</v>
      </c>
      <c r="AI282" s="2"/>
      <c r="AJ282">
        <v>1</v>
      </c>
      <c r="AK282" s="1">
        <f t="shared" si="94"/>
        <v>63.671979427820141</v>
      </c>
      <c r="AL282">
        <v>6</v>
      </c>
      <c r="AM282">
        <f t="shared" si="103"/>
        <v>158.4</v>
      </c>
      <c r="AN282">
        <f t="shared" si="104"/>
        <v>15.840000000000002</v>
      </c>
      <c r="AO282">
        <f t="shared" si="105"/>
        <v>1570.909090909091</v>
      </c>
      <c r="AP282">
        <f t="shared" si="106"/>
        <v>157.09090909090912</v>
      </c>
      <c r="AQ282">
        <f t="shared" si="95"/>
        <v>31.68</v>
      </c>
      <c r="AR282">
        <f t="shared" si="96"/>
        <v>3.1680000000000001</v>
      </c>
      <c r="AS282">
        <f t="shared" si="97"/>
        <v>1.5</v>
      </c>
      <c r="AT282">
        <f t="shared" si="98"/>
        <v>2</v>
      </c>
      <c r="AU282">
        <f t="shared" si="99"/>
        <v>6</v>
      </c>
      <c r="AV282">
        <f t="shared" si="90"/>
        <v>6012</v>
      </c>
      <c r="AW282" s="1">
        <v>1</v>
      </c>
      <c r="AX282">
        <v>5</v>
      </c>
      <c r="AY282">
        <v>0.1</v>
      </c>
      <c r="CE282" t="str">
        <f t="shared" si="109"/>
        <v>DATA_Class_Base36</v>
      </c>
      <c r="CF282" s="3" t="s">
        <v>201</v>
      </c>
    </row>
    <row r="283" spans="1:84">
      <c r="A283">
        <f t="shared" si="107"/>
        <v>5063200</v>
      </c>
      <c r="B283" t="s">
        <v>373</v>
      </c>
      <c r="C283">
        <v>6</v>
      </c>
      <c r="D283">
        <v>2</v>
      </c>
      <c r="E283">
        <v>3</v>
      </c>
      <c r="F283" s="3" t="s">
        <v>546</v>
      </c>
      <c r="G283" s="3" t="s">
        <v>546</v>
      </c>
      <c r="H283">
        <v>0</v>
      </c>
      <c r="I283">
        <v>0</v>
      </c>
      <c r="J283">
        <v>0</v>
      </c>
      <c r="K283" s="2" t="s">
        <v>314</v>
      </c>
      <c r="L283" s="2">
        <f t="shared" si="108"/>
        <v>3</v>
      </c>
      <c r="M283" s="2">
        <f t="shared" si="102"/>
        <v>1.5</v>
      </c>
      <c r="N283" s="2">
        <f t="shared" si="102"/>
        <v>1.2</v>
      </c>
      <c r="O283" s="2">
        <v>10</v>
      </c>
      <c r="P283" s="2">
        <f t="shared" si="101"/>
        <v>110.88</v>
      </c>
      <c r="Q283" s="2">
        <f t="shared" si="101"/>
        <v>11.09</v>
      </c>
      <c r="R283" s="2">
        <f t="shared" si="101"/>
        <v>2715.43</v>
      </c>
      <c r="S283" s="2">
        <f t="shared" si="100"/>
        <v>271.54000000000002</v>
      </c>
      <c r="T283" s="2">
        <f t="shared" si="100"/>
        <v>55.44</v>
      </c>
      <c r="U283" s="2">
        <f t="shared" si="100"/>
        <v>5.54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532002</v>
      </c>
      <c r="AB283" s="14" t="s">
        <v>547</v>
      </c>
      <c r="AC283" s="15" t="s">
        <v>890</v>
      </c>
      <c r="AD283" s="2">
        <v>5073200</v>
      </c>
      <c r="AE283" s="2">
        <v>0</v>
      </c>
      <c r="AF283" s="2">
        <v>2</v>
      </c>
      <c r="AG283" s="2">
        <v>6</v>
      </c>
      <c r="AH283" s="2">
        <v>2</v>
      </c>
      <c r="AI283" s="2"/>
      <c r="AJ283">
        <v>1</v>
      </c>
      <c r="AK283" s="1">
        <f t="shared" si="94"/>
        <v>63.937146277929678</v>
      </c>
      <c r="AL283">
        <v>6</v>
      </c>
      <c r="AM283">
        <f t="shared" si="103"/>
        <v>100.79999999999998</v>
      </c>
      <c r="AN283">
        <f t="shared" si="104"/>
        <v>10.079999999999998</v>
      </c>
      <c r="AO283">
        <f t="shared" si="105"/>
        <v>2468.5714285714289</v>
      </c>
      <c r="AP283">
        <f t="shared" si="106"/>
        <v>246.85714285714289</v>
      </c>
      <c r="AQ283">
        <f t="shared" si="95"/>
        <v>50.399999999999991</v>
      </c>
      <c r="AR283">
        <f t="shared" si="96"/>
        <v>5.0399999999999991</v>
      </c>
      <c r="AS283">
        <f t="shared" si="97"/>
        <v>1.5</v>
      </c>
      <c r="AT283">
        <f t="shared" si="98"/>
        <v>1.2</v>
      </c>
      <c r="AU283">
        <f t="shared" si="99"/>
        <v>3</v>
      </c>
      <c r="AV283">
        <f t="shared" si="90"/>
        <v>2003</v>
      </c>
      <c r="AW283" s="1">
        <v>0</v>
      </c>
      <c r="AX283">
        <v>5</v>
      </c>
      <c r="AY283">
        <v>0.1</v>
      </c>
      <c r="CE283" t="str">
        <f t="shared" si="109"/>
        <v>DATA_Class_Base28</v>
      </c>
      <c r="CF283" s="3" t="s">
        <v>374</v>
      </c>
    </row>
    <row r="284" spans="1:84">
      <c r="A284">
        <f t="shared" si="107"/>
        <v>5063201</v>
      </c>
      <c r="B284" t="s">
        <v>377</v>
      </c>
      <c r="C284">
        <v>6</v>
      </c>
      <c r="D284">
        <v>2</v>
      </c>
      <c r="E284">
        <v>3</v>
      </c>
      <c r="F284" s="3" t="s">
        <v>550</v>
      </c>
      <c r="G284" s="3" t="s">
        <v>550</v>
      </c>
      <c r="H284">
        <v>0</v>
      </c>
      <c r="I284">
        <v>0</v>
      </c>
      <c r="J284" s="2">
        <v>0</v>
      </c>
      <c r="K284" s="8" t="s">
        <v>298</v>
      </c>
      <c r="L284" s="2">
        <f t="shared" si="108"/>
        <v>3</v>
      </c>
      <c r="M284" s="2">
        <f t="shared" si="102"/>
        <v>1.8</v>
      </c>
      <c r="N284" s="2">
        <f t="shared" si="102"/>
        <v>1.8</v>
      </c>
      <c r="O284" s="2">
        <v>10</v>
      </c>
      <c r="P284" s="2">
        <f t="shared" si="101"/>
        <v>114.05</v>
      </c>
      <c r="Q284" s="2">
        <f t="shared" si="101"/>
        <v>11.4</v>
      </c>
      <c r="R284" s="2">
        <f t="shared" si="101"/>
        <v>3168</v>
      </c>
      <c r="S284" s="2">
        <f t="shared" si="100"/>
        <v>316.8</v>
      </c>
      <c r="T284" s="2">
        <f t="shared" si="100"/>
        <v>63.36</v>
      </c>
      <c r="U284" s="2">
        <f t="shared" si="100"/>
        <v>6.34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532012</v>
      </c>
      <c r="AB284" s="14" t="s">
        <v>551</v>
      </c>
      <c r="AC284" s="15" t="s">
        <v>890</v>
      </c>
      <c r="AD284" s="2">
        <v>5073201</v>
      </c>
      <c r="AE284" s="2">
        <v>0</v>
      </c>
      <c r="AF284" s="2">
        <v>2</v>
      </c>
      <c r="AG284" s="2">
        <v>6</v>
      </c>
      <c r="AH284" s="2">
        <v>2</v>
      </c>
      <c r="AI284" s="2"/>
      <c r="AJ284">
        <v>1</v>
      </c>
      <c r="AK284" s="1">
        <f t="shared" si="94"/>
        <v>64.039722564335278</v>
      </c>
      <c r="AL284">
        <v>6</v>
      </c>
      <c r="AM284">
        <f t="shared" si="103"/>
        <v>103.68000000000002</v>
      </c>
      <c r="AN284">
        <f t="shared" si="104"/>
        <v>10.368000000000002</v>
      </c>
      <c r="AO284">
        <f t="shared" si="105"/>
        <v>2880</v>
      </c>
      <c r="AP284">
        <f t="shared" si="106"/>
        <v>288</v>
      </c>
      <c r="AQ284">
        <f t="shared" si="95"/>
        <v>57.600000000000009</v>
      </c>
      <c r="AR284">
        <f t="shared" si="96"/>
        <v>5.7600000000000016</v>
      </c>
      <c r="AS284">
        <f t="shared" si="97"/>
        <v>1.8</v>
      </c>
      <c r="AT284">
        <f t="shared" si="98"/>
        <v>1.8</v>
      </c>
      <c r="AU284">
        <f t="shared" si="99"/>
        <v>3</v>
      </c>
      <c r="AV284">
        <f t="shared" si="90"/>
        <v>2013</v>
      </c>
      <c r="AW284" s="1">
        <v>1</v>
      </c>
      <c r="AX284">
        <v>5</v>
      </c>
      <c r="AY284">
        <v>0.1</v>
      </c>
      <c r="CE284" t="str">
        <f t="shared" si="109"/>
        <v>DATA_Class_Base29</v>
      </c>
      <c r="CF284" s="3" t="s">
        <v>378</v>
      </c>
    </row>
    <row r="285" spans="1:84">
      <c r="A285">
        <f t="shared" si="107"/>
        <v>5063202</v>
      </c>
      <c r="B285" t="s">
        <v>380</v>
      </c>
      <c r="C285">
        <v>6</v>
      </c>
      <c r="D285">
        <v>2</v>
      </c>
      <c r="E285">
        <v>3</v>
      </c>
      <c r="F285" s="3" t="s">
        <v>554</v>
      </c>
      <c r="G285" s="3" t="s">
        <v>554</v>
      </c>
      <c r="H285">
        <v>0</v>
      </c>
      <c r="I285">
        <v>0</v>
      </c>
      <c r="J285">
        <v>0</v>
      </c>
      <c r="K285" s="2" t="s">
        <v>280</v>
      </c>
      <c r="L285" s="2">
        <f t="shared" si="108"/>
        <v>3</v>
      </c>
      <c r="M285" s="2">
        <f t="shared" si="102"/>
        <v>1.8</v>
      </c>
      <c r="N285" s="2">
        <f t="shared" si="102"/>
        <v>2</v>
      </c>
      <c r="O285" s="2">
        <v>10</v>
      </c>
      <c r="P285" s="2">
        <f t="shared" si="101"/>
        <v>171.07</v>
      </c>
      <c r="Q285" s="2">
        <f t="shared" si="101"/>
        <v>17.11</v>
      </c>
      <c r="R285" s="2">
        <f t="shared" si="101"/>
        <v>2112</v>
      </c>
      <c r="S285" s="2">
        <f t="shared" si="100"/>
        <v>211.2</v>
      </c>
      <c r="T285" s="2">
        <f t="shared" si="100"/>
        <v>57.02</v>
      </c>
      <c r="U285" s="2">
        <f t="shared" si="100"/>
        <v>5.7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532022</v>
      </c>
      <c r="AB285" s="14" t="s">
        <v>556</v>
      </c>
      <c r="AC285" s="15" t="s">
        <v>890</v>
      </c>
      <c r="AD285" s="2">
        <v>5073202</v>
      </c>
      <c r="AE285" s="2">
        <v>0</v>
      </c>
      <c r="AF285" s="2">
        <v>2</v>
      </c>
      <c r="AG285" s="2">
        <v>6</v>
      </c>
      <c r="AH285" s="2">
        <v>2</v>
      </c>
      <c r="AI285" s="2"/>
      <c r="AJ285">
        <v>1</v>
      </c>
      <c r="AK285" s="1">
        <f t="shared" si="94"/>
        <v>63.957635238366542</v>
      </c>
      <c r="AL285">
        <v>6</v>
      </c>
      <c r="AM285">
        <f t="shared" si="103"/>
        <v>155.52000000000001</v>
      </c>
      <c r="AN285">
        <f t="shared" si="104"/>
        <v>15.552000000000001</v>
      </c>
      <c r="AO285">
        <f t="shared" si="105"/>
        <v>1920.0000000000002</v>
      </c>
      <c r="AP285">
        <f t="shared" si="106"/>
        <v>192.00000000000003</v>
      </c>
      <c r="AQ285">
        <f t="shared" si="95"/>
        <v>51.84</v>
      </c>
      <c r="AR285">
        <f t="shared" si="96"/>
        <v>5.1840000000000011</v>
      </c>
      <c r="AS285">
        <f t="shared" si="97"/>
        <v>1.8</v>
      </c>
      <c r="AT285">
        <f t="shared" si="98"/>
        <v>2</v>
      </c>
      <c r="AU285">
        <f t="shared" si="99"/>
        <v>3</v>
      </c>
      <c r="AV285">
        <f t="shared" si="90"/>
        <v>2023</v>
      </c>
      <c r="AW285" s="1">
        <v>2</v>
      </c>
      <c r="AX285">
        <v>5</v>
      </c>
      <c r="AY285">
        <v>0.1</v>
      </c>
      <c r="CE285" t="str">
        <f t="shared" si="109"/>
        <v>DATA_Class_Base30</v>
      </c>
      <c r="CF285" s="3" t="s">
        <v>381</v>
      </c>
    </row>
    <row r="286" spans="1:84">
      <c r="A286">
        <f t="shared" si="107"/>
        <v>5063301</v>
      </c>
      <c r="B286" t="s">
        <v>383</v>
      </c>
      <c r="C286">
        <v>6</v>
      </c>
      <c r="D286">
        <v>3</v>
      </c>
      <c r="E286">
        <v>3</v>
      </c>
      <c r="F286" s="3" t="s">
        <v>559</v>
      </c>
      <c r="G286" s="3" t="s">
        <v>559</v>
      </c>
      <c r="H286">
        <v>0</v>
      </c>
      <c r="I286">
        <v>0</v>
      </c>
      <c r="J286" s="2">
        <v>0</v>
      </c>
      <c r="K286" s="2" t="s">
        <v>285</v>
      </c>
      <c r="L286" s="2">
        <f t="shared" si="108"/>
        <v>3</v>
      </c>
      <c r="M286" s="2">
        <f t="shared" si="102"/>
        <v>1.2</v>
      </c>
      <c r="N286" s="2">
        <f t="shared" si="102"/>
        <v>1.4000000000000001</v>
      </c>
      <c r="O286" s="2">
        <v>10</v>
      </c>
      <c r="P286" s="2">
        <f t="shared" si="101"/>
        <v>152.06</v>
      </c>
      <c r="Q286" s="2">
        <f t="shared" si="101"/>
        <v>15.21</v>
      </c>
      <c r="R286" s="2">
        <f t="shared" si="101"/>
        <v>1584</v>
      </c>
      <c r="S286" s="2">
        <f t="shared" si="100"/>
        <v>158.4</v>
      </c>
      <c r="T286" s="2">
        <f t="shared" si="100"/>
        <v>30.41</v>
      </c>
      <c r="U286" s="2">
        <f t="shared" si="100"/>
        <v>3.04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533012</v>
      </c>
      <c r="AB286" s="14" t="s">
        <v>560</v>
      </c>
      <c r="AC286" s="15" t="s">
        <v>890</v>
      </c>
      <c r="AD286" s="2">
        <v>5073301</v>
      </c>
      <c r="AE286" s="2">
        <v>0</v>
      </c>
      <c r="AF286" s="2">
        <v>2</v>
      </c>
      <c r="AG286" s="2">
        <v>6</v>
      </c>
      <c r="AH286" s="2">
        <v>2</v>
      </c>
      <c r="AI286" s="2"/>
      <c r="AJ286">
        <v>1</v>
      </c>
      <c r="AK286" s="1">
        <f t="shared" si="94"/>
        <v>63.615154192283839</v>
      </c>
      <c r="AL286">
        <v>6</v>
      </c>
      <c r="AM286">
        <f t="shared" si="103"/>
        <v>138.24</v>
      </c>
      <c r="AN286">
        <f t="shared" si="104"/>
        <v>13.824000000000002</v>
      </c>
      <c r="AO286">
        <f t="shared" si="105"/>
        <v>1440</v>
      </c>
      <c r="AP286">
        <f t="shared" si="106"/>
        <v>144</v>
      </c>
      <c r="AQ286">
        <f t="shared" si="95"/>
        <v>27.648000000000003</v>
      </c>
      <c r="AR286">
        <f t="shared" si="96"/>
        <v>2.7648000000000006</v>
      </c>
      <c r="AS286">
        <f t="shared" si="97"/>
        <v>1.2</v>
      </c>
      <c r="AT286">
        <f t="shared" si="98"/>
        <v>1.4</v>
      </c>
      <c r="AU286">
        <f t="shared" si="99"/>
        <v>3</v>
      </c>
      <c r="AV286">
        <f t="shared" si="90"/>
        <v>3013</v>
      </c>
      <c r="AW286" s="1">
        <v>1</v>
      </c>
      <c r="AX286">
        <v>5</v>
      </c>
      <c r="AY286">
        <v>0.1</v>
      </c>
      <c r="CE286" t="str">
        <f t="shared" si="109"/>
        <v>DATA_Class_Base31</v>
      </c>
      <c r="CF286" s="3" t="s">
        <v>384</v>
      </c>
    </row>
    <row r="287" spans="1:84">
      <c r="A287">
        <f t="shared" si="107"/>
        <v>5063401</v>
      </c>
      <c r="B287" t="s">
        <v>387</v>
      </c>
      <c r="C287">
        <v>6</v>
      </c>
      <c r="D287">
        <v>4</v>
      </c>
      <c r="E287">
        <v>3</v>
      </c>
      <c r="F287" s="3" t="s">
        <v>563</v>
      </c>
      <c r="G287" s="3" t="s">
        <v>563</v>
      </c>
      <c r="H287">
        <v>0</v>
      </c>
      <c r="I287">
        <v>0</v>
      </c>
      <c r="J287">
        <v>0</v>
      </c>
      <c r="K287" s="2" t="s">
        <v>161</v>
      </c>
      <c r="L287" s="2">
        <f t="shared" si="108"/>
        <v>6</v>
      </c>
      <c r="M287" s="2">
        <f t="shared" si="102"/>
        <v>1.6</v>
      </c>
      <c r="N287" s="2">
        <f t="shared" si="102"/>
        <v>1.5</v>
      </c>
      <c r="O287" s="2">
        <v>10</v>
      </c>
      <c r="P287" s="2">
        <f t="shared" si="101"/>
        <v>202.75</v>
      </c>
      <c r="Q287" s="2">
        <f t="shared" si="101"/>
        <v>20.28</v>
      </c>
      <c r="R287" s="2">
        <f t="shared" si="101"/>
        <v>1584</v>
      </c>
      <c r="S287" s="2">
        <f t="shared" si="100"/>
        <v>158.4</v>
      </c>
      <c r="T287" s="2">
        <f t="shared" si="100"/>
        <v>33.79</v>
      </c>
      <c r="U287" s="2">
        <f t="shared" si="100"/>
        <v>3.38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534012</v>
      </c>
      <c r="AB287" s="14" t="s">
        <v>564</v>
      </c>
      <c r="AC287" s="15" t="s">
        <v>890</v>
      </c>
      <c r="AD287" s="2">
        <v>5073401</v>
      </c>
      <c r="AE287" s="2">
        <v>0</v>
      </c>
      <c r="AF287" s="2">
        <v>2</v>
      </c>
      <c r="AG287" s="2">
        <v>6</v>
      </c>
      <c r="AH287" s="2">
        <v>2</v>
      </c>
      <c r="AI287" s="2"/>
      <c r="AJ287">
        <v>1</v>
      </c>
      <c r="AK287" s="1">
        <f t="shared" si="94"/>
        <v>63.658440403623842</v>
      </c>
      <c r="AL287">
        <v>6</v>
      </c>
      <c r="AM287">
        <f t="shared" si="103"/>
        <v>184.32000000000002</v>
      </c>
      <c r="AN287">
        <f t="shared" si="104"/>
        <v>18.432000000000002</v>
      </c>
      <c r="AO287">
        <f t="shared" si="105"/>
        <v>1440</v>
      </c>
      <c r="AP287">
        <f t="shared" si="106"/>
        <v>144</v>
      </c>
      <c r="AQ287">
        <f t="shared" si="95"/>
        <v>30.720000000000002</v>
      </c>
      <c r="AR287">
        <f t="shared" si="96"/>
        <v>3.0720000000000005</v>
      </c>
      <c r="AS287">
        <f t="shared" si="97"/>
        <v>1.6</v>
      </c>
      <c r="AT287">
        <f t="shared" si="98"/>
        <v>1.5</v>
      </c>
      <c r="AU287">
        <f t="shared" si="99"/>
        <v>6</v>
      </c>
      <c r="AV287">
        <f t="shared" si="90"/>
        <v>4013</v>
      </c>
      <c r="AW287" s="1">
        <v>1</v>
      </c>
      <c r="AX287">
        <v>5</v>
      </c>
      <c r="AY287">
        <v>0.1</v>
      </c>
      <c r="CE287" t="str">
        <f t="shared" si="109"/>
        <v>DATA_Class_Base32</v>
      </c>
      <c r="CF287" s="3" t="s">
        <v>388</v>
      </c>
    </row>
    <row r="288" spans="1:84">
      <c r="A288">
        <f t="shared" si="107"/>
        <v>5063402</v>
      </c>
      <c r="B288" t="s">
        <v>390</v>
      </c>
      <c r="C288">
        <v>6</v>
      </c>
      <c r="D288">
        <v>4</v>
      </c>
      <c r="E288">
        <v>3</v>
      </c>
      <c r="F288" s="3" t="s">
        <v>567</v>
      </c>
      <c r="G288" s="3" t="s">
        <v>567</v>
      </c>
      <c r="H288">
        <v>0</v>
      </c>
      <c r="I288">
        <v>0</v>
      </c>
      <c r="J288" s="2">
        <v>0</v>
      </c>
      <c r="K288" s="2" t="s">
        <v>250</v>
      </c>
      <c r="L288" s="2">
        <f t="shared" si="108"/>
        <v>6</v>
      </c>
      <c r="M288" s="2">
        <f t="shared" si="102"/>
        <v>1.5</v>
      </c>
      <c r="N288" s="2">
        <f t="shared" si="102"/>
        <v>1.5</v>
      </c>
      <c r="O288" s="2">
        <v>10</v>
      </c>
      <c r="P288" s="2">
        <f t="shared" si="101"/>
        <v>205.92</v>
      </c>
      <c r="Q288" s="2">
        <f t="shared" si="101"/>
        <v>20.59</v>
      </c>
      <c r="R288" s="2">
        <f t="shared" si="101"/>
        <v>1462.15</v>
      </c>
      <c r="S288" s="2">
        <f t="shared" si="100"/>
        <v>146.22</v>
      </c>
      <c r="T288" s="2">
        <f t="shared" si="100"/>
        <v>29.42</v>
      </c>
      <c r="U288" s="2">
        <f t="shared" si="100"/>
        <v>2.94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534022</v>
      </c>
      <c r="AB288" s="14" t="s">
        <v>569</v>
      </c>
      <c r="AC288" s="15" t="s">
        <v>890</v>
      </c>
      <c r="AD288" s="2">
        <v>5073402</v>
      </c>
      <c r="AE288" s="2">
        <v>0</v>
      </c>
      <c r="AF288" s="2">
        <v>2</v>
      </c>
      <c r="AG288" s="2">
        <v>6</v>
      </c>
      <c r="AH288" s="2">
        <v>2</v>
      </c>
      <c r="AI288" s="2"/>
      <c r="AJ288">
        <v>1</v>
      </c>
      <c r="AK288" s="1">
        <f t="shared" si="94"/>
        <v>63.602411444705524</v>
      </c>
      <c r="AL288">
        <v>6</v>
      </c>
      <c r="AM288">
        <f t="shared" si="103"/>
        <v>187.20000000000002</v>
      </c>
      <c r="AN288">
        <f t="shared" si="104"/>
        <v>18.720000000000002</v>
      </c>
      <c r="AO288">
        <f t="shared" si="105"/>
        <v>1329.2307692307691</v>
      </c>
      <c r="AP288">
        <f t="shared" si="106"/>
        <v>132.92307692307691</v>
      </c>
      <c r="AQ288">
        <f t="shared" si="95"/>
        <v>26.742857142857144</v>
      </c>
      <c r="AR288">
        <f t="shared" si="96"/>
        <v>2.6742857142857144</v>
      </c>
      <c r="AS288">
        <f t="shared" si="97"/>
        <v>1.5</v>
      </c>
      <c r="AT288">
        <f t="shared" si="98"/>
        <v>1.5</v>
      </c>
      <c r="AU288">
        <f t="shared" si="99"/>
        <v>6</v>
      </c>
      <c r="AV288">
        <f t="shared" si="90"/>
        <v>4023</v>
      </c>
      <c r="AW288" s="1">
        <v>2</v>
      </c>
      <c r="AX288">
        <v>5</v>
      </c>
      <c r="AY288">
        <v>0.1</v>
      </c>
      <c r="CE288" t="str">
        <f t="shared" si="109"/>
        <v>DATA_Class_Base33</v>
      </c>
      <c r="CF288" s="3" t="s">
        <v>391</v>
      </c>
    </row>
    <row r="289" spans="1:84">
      <c r="A289">
        <f t="shared" si="107"/>
        <v>5063500</v>
      </c>
      <c r="B289" t="s">
        <v>394</v>
      </c>
      <c r="C289">
        <v>6</v>
      </c>
      <c r="D289">
        <v>5</v>
      </c>
      <c r="E289">
        <v>3</v>
      </c>
      <c r="F289" s="3" t="s">
        <v>572</v>
      </c>
      <c r="G289" s="3" t="s">
        <v>572</v>
      </c>
      <c r="H289">
        <v>0</v>
      </c>
      <c r="I289">
        <v>0</v>
      </c>
      <c r="J289" s="2">
        <v>0</v>
      </c>
      <c r="K289" s="2" t="s">
        <v>303</v>
      </c>
      <c r="L289" s="2">
        <f t="shared" si="108"/>
        <v>6</v>
      </c>
      <c r="M289" s="2">
        <f t="shared" si="102"/>
        <v>1.5</v>
      </c>
      <c r="N289" s="2">
        <f t="shared" si="102"/>
        <v>2</v>
      </c>
      <c r="O289" s="2">
        <v>10</v>
      </c>
      <c r="P289" s="2">
        <f t="shared" si="101"/>
        <v>205.92</v>
      </c>
      <c r="Q289" s="2">
        <f t="shared" si="101"/>
        <v>20.59</v>
      </c>
      <c r="R289" s="2">
        <f t="shared" si="101"/>
        <v>1462.15</v>
      </c>
      <c r="S289" s="2">
        <f t="shared" si="100"/>
        <v>146.22</v>
      </c>
      <c r="T289" s="2">
        <f t="shared" si="100"/>
        <v>34.32</v>
      </c>
      <c r="U289" s="2">
        <f t="shared" si="100"/>
        <v>3.43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535002</v>
      </c>
      <c r="AB289" s="14" t="s">
        <v>573</v>
      </c>
      <c r="AC289" s="15" t="s">
        <v>890</v>
      </c>
      <c r="AD289" s="2">
        <v>5073500</v>
      </c>
      <c r="AE289" s="2">
        <v>0</v>
      </c>
      <c r="AF289" s="2">
        <v>2</v>
      </c>
      <c r="AG289" s="2">
        <v>6</v>
      </c>
      <c r="AH289" s="2">
        <v>2</v>
      </c>
      <c r="AI289" s="2"/>
      <c r="AJ289">
        <v>1</v>
      </c>
      <c r="AK289" s="1">
        <f t="shared" si="94"/>
        <v>63.665209195920788</v>
      </c>
      <c r="AL289">
        <v>6</v>
      </c>
      <c r="AM289">
        <f t="shared" si="103"/>
        <v>187.20000000000002</v>
      </c>
      <c r="AN289">
        <f t="shared" si="104"/>
        <v>18.720000000000002</v>
      </c>
      <c r="AO289">
        <f t="shared" si="105"/>
        <v>1329.2307692307691</v>
      </c>
      <c r="AP289">
        <f t="shared" si="106"/>
        <v>132.92307692307691</v>
      </c>
      <c r="AQ289">
        <f t="shared" si="95"/>
        <v>31.200000000000003</v>
      </c>
      <c r="AR289">
        <f t="shared" si="96"/>
        <v>3.1200000000000006</v>
      </c>
      <c r="AS289">
        <f t="shared" si="97"/>
        <v>1.5</v>
      </c>
      <c r="AT289">
        <f t="shared" si="98"/>
        <v>2</v>
      </c>
      <c r="AU289">
        <f t="shared" si="99"/>
        <v>6</v>
      </c>
      <c r="AV289">
        <f t="shared" si="90"/>
        <v>5003</v>
      </c>
      <c r="AW289" s="1">
        <v>0</v>
      </c>
      <c r="AX289">
        <v>5</v>
      </c>
      <c r="AY289">
        <v>0.1</v>
      </c>
      <c r="CE289" t="str">
        <f t="shared" si="109"/>
        <v>DATA_Class_Base34</v>
      </c>
      <c r="CF289" s="3" t="s">
        <v>184</v>
      </c>
    </row>
    <row r="290" spans="1:84">
      <c r="A290">
        <f t="shared" si="107"/>
        <v>5063502</v>
      </c>
      <c r="B290" t="s">
        <v>396</v>
      </c>
      <c r="C290">
        <v>6</v>
      </c>
      <c r="D290">
        <v>5</v>
      </c>
      <c r="E290">
        <v>3</v>
      </c>
      <c r="F290" s="3" t="s">
        <v>576</v>
      </c>
      <c r="G290" s="3" t="s">
        <v>576</v>
      </c>
      <c r="H290">
        <v>0</v>
      </c>
      <c r="I290">
        <v>0</v>
      </c>
      <c r="J290" s="2">
        <v>0</v>
      </c>
      <c r="K290" s="2" t="s">
        <v>291</v>
      </c>
      <c r="L290" s="2">
        <f t="shared" si="108"/>
        <v>6</v>
      </c>
      <c r="M290" s="2">
        <f t="shared" si="102"/>
        <v>1.4000000000000001</v>
      </c>
      <c r="N290" s="2">
        <f t="shared" si="102"/>
        <v>2</v>
      </c>
      <c r="O290" s="2">
        <v>10</v>
      </c>
      <c r="P290" s="2">
        <f t="shared" si="101"/>
        <v>199.58</v>
      </c>
      <c r="Q290" s="2">
        <f t="shared" si="101"/>
        <v>19.96</v>
      </c>
      <c r="R290" s="2">
        <f t="shared" si="101"/>
        <v>1408</v>
      </c>
      <c r="S290" s="2">
        <f t="shared" si="100"/>
        <v>140.80000000000001</v>
      </c>
      <c r="T290" s="2">
        <f t="shared" si="100"/>
        <v>28.51</v>
      </c>
      <c r="U290" s="2">
        <f t="shared" si="100"/>
        <v>2.85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535022</v>
      </c>
      <c r="AB290" s="14" t="s">
        <v>578</v>
      </c>
      <c r="AC290" s="15" t="s">
        <v>890</v>
      </c>
      <c r="AD290" s="2">
        <v>5073502</v>
      </c>
      <c r="AE290" s="2">
        <v>0</v>
      </c>
      <c r="AF290" s="2">
        <v>2</v>
      </c>
      <c r="AG290" s="2">
        <v>6</v>
      </c>
      <c r="AH290" s="2">
        <v>2</v>
      </c>
      <c r="AI290" s="2"/>
      <c r="AJ290">
        <v>1</v>
      </c>
      <c r="AK290" s="1">
        <f t="shared" si="94"/>
        <v>63.590831557875632</v>
      </c>
      <c r="AL290">
        <v>6</v>
      </c>
      <c r="AM290">
        <f t="shared" si="103"/>
        <v>181.44</v>
      </c>
      <c r="AN290">
        <f t="shared" si="104"/>
        <v>18.144000000000002</v>
      </c>
      <c r="AO290">
        <f t="shared" si="105"/>
        <v>1280</v>
      </c>
      <c r="AP290">
        <f t="shared" si="106"/>
        <v>128</v>
      </c>
      <c r="AQ290">
        <f t="shared" si="95"/>
        <v>25.919999999999998</v>
      </c>
      <c r="AR290">
        <f t="shared" si="96"/>
        <v>2.5920000000000001</v>
      </c>
      <c r="AS290">
        <f t="shared" si="97"/>
        <v>1.4</v>
      </c>
      <c r="AT290">
        <f t="shared" si="98"/>
        <v>2</v>
      </c>
      <c r="AU290">
        <f t="shared" si="99"/>
        <v>6</v>
      </c>
      <c r="AV290">
        <f t="shared" ref="AV290:AV361" si="110">D290*1000+AW290*10+E290</f>
        <v>5023</v>
      </c>
      <c r="AW290" s="1">
        <v>2</v>
      </c>
      <c r="AX290">
        <v>5</v>
      </c>
      <c r="AY290">
        <v>0.1</v>
      </c>
      <c r="CE290" t="str">
        <f t="shared" si="109"/>
        <v>DATA_Class_Base35</v>
      </c>
      <c r="CF290" s="3" t="s">
        <v>195</v>
      </c>
    </row>
    <row r="291" spans="1:84">
      <c r="A291">
        <f t="shared" si="107"/>
        <v>5063601</v>
      </c>
      <c r="B291" t="s">
        <v>398</v>
      </c>
      <c r="C291">
        <v>6</v>
      </c>
      <c r="D291">
        <v>6</v>
      </c>
      <c r="E291">
        <v>3</v>
      </c>
      <c r="F291" s="3" t="s">
        <v>581</v>
      </c>
      <c r="G291" s="3" t="s">
        <v>581</v>
      </c>
      <c r="H291">
        <v>0</v>
      </c>
      <c r="I291">
        <v>0</v>
      </c>
      <c r="J291">
        <v>0</v>
      </c>
      <c r="K291" s="2" t="s">
        <v>309</v>
      </c>
      <c r="L291" s="2">
        <f t="shared" si="108"/>
        <v>6</v>
      </c>
      <c r="M291" s="2">
        <f t="shared" si="102"/>
        <v>1.5</v>
      </c>
      <c r="N291" s="2">
        <f t="shared" si="102"/>
        <v>2</v>
      </c>
      <c r="O291" s="2">
        <v>10</v>
      </c>
      <c r="P291" s="2">
        <f t="shared" si="101"/>
        <v>142.56</v>
      </c>
      <c r="Q291" s="2">
        <f t="shared" si="101"/>
        <v>14.26</v>
      </c>
      <c r="R291" s="2">
        <f t="shared" si="101"/>
        <v>2112</v>
      </c>
      <c r="S291" s="2">
        <f t="shared" si="100"/>
        <v>211.2</v>
      </c>
      <c r="T291" s="2">
        <f t="shared" si="100"/>
        <v>47.52</v>
      </c>
      <c r="U291" s="2">
        <f t="shared" si="100"/>
        <v>4.75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536012</v>
      </c>
      <c r="AB291" s="14" t="s">
        <v>582</v>
      </c>
      <c r="AC291" s="15" t="s">
        <v>890</v>
      </c>
      <c r="AD291" s="2">
        <v>5073601</v>
      </c>
      <c r="AE291" s="2">
        <v>0</v>
      </c>
      <c r="AF291" s="2">
        <v>2</v>
      </c>
      <c r="AG291" s="2">
        <v>6</v>
      </c>
      <c r="AH291" s="2">
        <v>2</v>
      </c>
      <c r="AI291" s="2"/>
      <c r="AJ291">
        <v>1</v>
      </c>
      <c r="AK291" s="1">
        <f t="shared" si="94"/>
        <v>63.834898071269372</v>
      </c>
      <c r="AL291">
        <v>6</v>
      </c>
      <c r="AM291">
        <f t="shared" si="103"/>
        <v>129.6</v>
      </c>
      <c r="AN291">
        <f t="shared" si="104"/>
        <v>12.96</v>
      </c>
      <c r="AO291">
        <f t="shared" si="105"/>
        <v>1920.0000000000002</v>
      </c>
      <c r="AP291">
        <f t="shared" si="106"/>
        <v>192.00000000000003</v>
      </c>
      <c r="AQ291">
        <f t="shared" si="95"/>
        <v>43.199999999999996</v>
      </c>
      <c r="AR291">
        <f t="shared" si="96"/>
        <v>4.3199999999999994</v>
      </c>
      <c r="AS291">
        <f t="shared" si="97"/>
        <v>1.5</v>
      </c>
      <c r="AT291">
        <f t="shared" si="98"/>
        <v>2</v>
      </c>
      <c r="AU291">
        <f t="shared" si="99"/>
        <v>6</v>
      </c>
      <c r="AV291">
        <f t="shared" si="110"/>
        <v>6013</v>
      </c>
      <c r="AW291" s="1">
        <v>1</v>
      </c>
      <c r="AX291">
        <v>5</v>
      </c>
      <c r="AY291">
        <v>0.1</v>
      </c>
      <c r="CE291" t="str">
        <f t="shared" si="109"/>
        <v>DATA_Class_Base36</v>
      </c>
      <c r="CF291" s="3" t="s">
        <v>201</v>
      </c>
    </row>
    <row r="292" spans="1:84">
      <c r="A292">
        <f t="shared" si="107"/>
        <v>5064201</v>
      </c>
      <c r="B292" t="s">
        <v>377</v>
      </c>
      <c r="C292">
        <v>6</v>
      </c>
      <c r="D292">
        <v>2</v>
      </c>
      <c r="E292">
        <v>4</v>
      </c>
      <c r="F292" s="3" t="s">
        <v>585</v>
      </c>
      <c r="G292" s="3" t="s">
        <v>585</v>
      </c>
      <c r="H292">
        <v>0</v>
      </c>
      <c r="I292">
        <v>0</v>
      </c>
      <c r="J292" s="30">
        <v>0</v>
      </c>
      <c r="K292" s="8" t="s">
        <v>298</v>
      </c>
      <c r="L292" s="2">
        <f t="shared" si="108"/>
        <v>3</v>
      </c>
      <c r="M292" s="2">
        <f t="shared" si="102"/>
        <v>1.8</v>
      </c>
      <c r="N292" s="2">
        <f t="shared" si="102"/>
        <v>1.8</v>
      </c>
      <c r="O292" s="2">
        <v>10</v>
      </c>
      <c r="P292" s="2">
        <f t="shared" si="101"/>
        <v>152.06</v>
      </c>
      <c r="Q292" s="2">
        <f t="shared" si="101"/>
        <v>15.21</v>
      </c>
      <c r="R292" s="2">
        <f t="shared" si="101"/>
        <v>2376</v>
      </c>
      <c r="S292" s="2">
        <f t="shared" si="100"/>
        <v>237.6</v>
      </c>
      <c r="T292" s="2">
        <f t="shared" si="100"/>
        <v>58.49</v>
      </c>
      <c r="U292" s="2">
        <f t="shared" si="100"/>
        <v>5.85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542012</v>
      </c>
      <c r="AB292" s="15" t="s">
        <v>586</v>
      </c>
      <c r="AC292" s="15" t="s">
        <v>890</v>
      </c>
      <c r="AD292" s="2">
        <v>5074201</v>
      </c>
      <c r="AE292" s="2">
        <v>0</v>
      </c>
      <c r="AF292" s="2">
        <v>2</v>
      </c>
      <c r="AG292" s="2">
        <v>6</v>
      </c>
      <c r="AH292" s="2">
        <v>2</v>
      </c>
      <c r="AI292" s="2"/>
      <c r="AJ292">
        <v>1</v>
      </c>
      <c r="AK292" s="1">
        <f t="shared" si="94"/>
        <v>63.976559783610412</v>
      </c>
      <c r="AL292">
        <v>6</v>
      </c>
      <c r="AM292">
        <f t="shared" si="103"/>
        <v>138.24000000000004</v>
      </c>
      <c r="AN292">
        <f t="shared" si="104"/>
        <v>13.824000000000005</v>
      </c>
      <c r="AO292">
        <f t="shared" si="105"/>
        <v>2160</v>
      </c>
      <c r="AP292">
        <f t="shared" si="106"/>
        <v>216</v>
      </c>
      <c r="AQ292">
        <f t="shared" si="95"/>
        <v>53.169230769230779</v>
      </c>
      <c r="AR292">
        <f t="shared" si="96"/>
        <v>5.3169230769230786</v>
      </c>
      <c r="AS292">
        <f t="shared" si="97"/>
        <v>1.8</v>
      </c>
      <c r="AT292">
        <f t="shared" si="98"/>
        <v>1.8</v>
      </c>
      <c r="AU292">
        <f t="shared" si="99"/>
        <v>3</v>
      </c>
      <c r="AV292">
        <f t="shared" si="110"/>
        <v>2014</v>
      </c>
      <c r="AW292" s="1">
        <v>1</v>
      </c>
      <c r="AX292">
        <v>5</v>
      </c>
      <c r="AY292">
        <v>0.1</v>
      </c>
      <c r="BY292" s="13"/>
      <c r="BZ292" s="13"/>
      <c r="CA292" s="13"/>
      <c r="CE292" t="str">
        <f t="shared" si="109"/>
        <v>DATA_Class_Base29</v>
      </c>
      <c r="CF292" s="3" t="s">
        <v>378</v>
      </c>
    </row>
    <row r="293" spans="1:84">
      <c r="A293">
        <f t="shared" si="107"/>
        <v>5064302</v>
      </c>
      <c r="B293" t="s">
        <v>412</v>
      </c>
      <c r="C293">
        <v>6</v>
      </c>
      <c r="D293">
        <v>3</v>
      </c>
      <c r="E293">
        <v>4</v>
      </c>
      <c r="F293" s="3" t="s">
        <v>589</v>
      </c>
      <c r="G293" s="3" t="s">
        <v>589</v>
      </c>
      <c r="H293">
        <v>0</v>
      </c>
      <c r="I293">
        <v>0</v>
      </c>
      <c r="J293" s="30">
        <v>0</v>
      </c>
      <c r="K293" s="2" t="s">
        <v>358</v>
      </c>
      <c r="L293" s="2">
        <f t="shared" si="108"/>
        <v>3</v>
      </c>
      <c r="M293" s="2">
        <f t="shared" si="102"/>
        <v>1.4000000000000001</v>
      </c>
      <c r="N293" s="2">
        <f t="shared" si="102"/>
        <v>2</v>
      </c>
      <c r="O293" s="2">
        <v>10</v>
      </c>
      <c r="P293" s="2">
        <f t="shared" si="101"/>
        <v>162.62</v>
      </c>
      <c r="Q293" s="2">
        <f t="shared" si="101"/>
        <v>16.260000000000002</v>
      </c>
      <c r="R293" s="2">
        <f t="shared" si="101"/>
        <v>1728</v>
      </c>
      <c r="S293" s="2">
        <f t="shared" si="100"/>
        <v>172.8</v>
      </c>
      <c r="T293" s="2">
        <f t="shared" si="100"/>
        <v>25.02</v>
      </c>
      <c r="U293" s="2">
        <f t="shared" si="100"/>
        <v>2.5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543022</v>
      </c>
      <c r="AB293" s="15" t="s">
        <v>591</v>
      </c>
      <c r="AC293" s="15" t="s">
        <v>890</v>
      </c>
      <c r="AD293" s="2">
        <v>5074302</v>
      </c>
      <c r="AE293" s="2">
        <v>0</v>
      </c>
      <c r="AF293" s="2">
        <v>2</v>
      </c>
      <c r="AG293" s="2">
        <v>6</v>
      </c>
      <c r="AH293" s="2">
        <v>2</v>
      </c>
      <c r="AI293" s="2"/>
      <c r="AJ293">
        <v>1</v>
      </c>
      <c r="AK293" s="1">
        <f t="shared" si="94"/>
        <v>63.546184576015072</v>
      </c>
      <c r="AL293">
        <v>6</v>
      </c>
      <c r="AM293">
        <f t="shared" si="103"/>
        <v>147.84</v>
      </c>
      <c r="AN293">
        <f t="shared" si="104"/>
        <v>14.784000000000001</v>
      </c>
      <c r="AO293">
        <f t="shared" si="105"/>
        <v>1570.909090909091</v>
      </c>
      <c r="AP293">
        <f t="shared" si="106"/>
        <v>157.09090909090912</v>
      </c>
      <c r="AQ293">
        <f t="shared" si="95"/>
        <v>22.744615384615386</v>
      </c>
      <c r="AR293">
        <f t="shared" si="96"/>
        <v>2.2744615384615385</v>
      </c>
      <c r="AS293">
        <f t="shared" si="97"/>
        <v>1.4</v>
      </c>
      <c r="AT293">
        <f t="shared" si="98"/>
        <v>2</v>
      </c>
      <c r="AU293">
        <f t="shared" si="99"/>
        <v>3</v>
      </c>
      <c r="AV293">
        <f t="shared" si="110"/>
        <v>3024</v>
      </c>
      <c r="AW293" s="1">
        <v>2</v>
      </c>
      <c r="AX293">
        <v>5</v>
      </c>
      <c r="AY293">
        <v>0.1</v>
      </c>
      <c r="BY293" s="13"/>
      <c r="BZ293" s="13"/>
      <c r="CA293" s="13"/>
      <c r="CE293" t="str">
        <f t="shared" si="109"/>
        <v>DATA_Class_Base41</v>
      </c>
      <c r="CF293" s="3" t="s">
        <v>413</v>
      </c>
    </row>
    <row r="294" spans="1:84">
      <c r="A294">
        <f t="shared" si="107"/>
        <v>5064501</v>
      </c>
      <c r="B294" t="s">
        <v>401</v>
      </c>
      <c r="C294">
        <v>6</v>
      </c>
      <c r="D294">
        <v>5</v>
      </c>
      <c r="E294">
        <v>4</v>
      </c>
      <c r="F294" s="3" t="s">
        <v>594</v>
      </c>
      <c r="G294" s="3" t="s">
        <v>594</v>
      </c>
      <c r="H294">
        <v>0</v>
      </c>
      <c r="I294">
        <v>0</v>
      </c>
      <c r="J294">
        <v>0</v>
      </c>
      <c r="K294" s="2" t="s">
        <v>334</v>
      </c>
      <c r="L294" s="2">
        <f t="shared" si="108"/>
        <v>6</v>
      </c>
      <c r="M294" s="2">
        <f t="shared" si="102"/>
        <v>1.6</v>
      </c>
      <c r="N294" s="2">
        <f t="shared" si="102"/>
        <v>2</v>
      </c>
      <c r="O294" s="2">
        <v>10</v>
      </c>
      <c r="P294" s="2">
        <f t="shared" si="101"/>
        <v>219.65</v>
      </c>
      <c r="Q294" s="2">
        <f t="shared" si="101"/>
        <v>21.96</v>
      </c>
      <c r="R294" s="2">
        <f t="shared" si="101"/>
        <v>1462.15</v>
      </c>
      <c r="S294" s="2">
        <f t="shared" si="100"/>
        <v>146.22</v>
      </c>
      <c r="T294" s="2">
        <f t="shared" si="100"/>
        <v>24.41</v>
      </c>
      <c r="U294" s="2">
        <f t="shared" si="100"/>
        <v>2.44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545012</v>
      </c>
      <c r="AB294" s="14" t="s">
        <v>595</v>
      </c>
      <c r="AC294" s="15" t="s">
        <v>890</v>
      </c>
      <c r="AD294" s="2">
        <v>5074501</v>
      </c>
      <c r="AE294" s="2">
        <v>0</v>
      </c>
      <c r="AF294" s="2">
        <v>2</v>
      </c>
      <c r="AG294" s="2">
        <v>6</v>
      </c>
      <c r="AH294" s="2">
        <v>2</v>
      </c>
      <c r="AI294" s="2"/>
      <c r="AJ294">
        <v>1</v>
      </c>
      <c r="AK294" s="1">
        <f t="shared" si="94"/>
        <v>63.538346103219546</v>
      </c>
      <c r="AL294">
        <v>6</v>
      </c>
      <c r="AM294">
        <f t="shared" si="103"/>
        <v>199.68</v>
      </c>
      <c r="AN294">
        <f t="shared" si="104"/>
        <v>19.968000000000004</v>
      </c>
      <c r="AO294">
        <f t="shared" si="105"/>
        <v>1329.2307692307691</v>
      </c>
      <c r="AP294">
        <f t="shared" si="106"/>
        <v>132.92307692307691</v>
      </c>
      <c r="AQ294">
        <f t="shared" si="95"/>
        <v>22.186666666666667</v>
      </c>
      <c r="AR294">
        <f t="shared" si="96"/>
        <v>2.218666666666667</v>
      </c>
      <c r="AS294">
        <f t="shared" si="97"/>
        <v>1.6</v>
      </c>
      <c r="AT294">
        <f t="shared" si="98"/>
        <v>2</v>
      </c>
      <c r="AU294">
        <f t="shared" si="99"/>
        <v>6</v>
      </c>
      <c r="AV294">
        <f t="shared" si="110"/>
        <v>5014</v>
      </c>
      <c r="AW294" s="1">
        <v>1</v>
      </c>
      <c r="AX294">
        <v>5</v>
      </c>
      <c r="AY294">
        <v>0.1</v>
      </c>
      <c r="BX294" t="str">
        <f t="shared" ref="BX294:BX296" si="111">BY294&amp;","&amp;BZ294&amp;","&amp;CA294</f>
        <v>1545011,2545011,3545011</v>
      </c>
      <c r="BY294" s="13">
        <v>1545011</v>
      </c>
      <c r="BZ294" s="13">
        <v>2545011</v>
      </c>
      <c r="CA294" s="13">
        <v>3545011</v>
      </c>
      <c r="CE294" t="str">
        <f t="shared" si="109"/>
        <v>DATA_Class_Base37</v>
      </c>
      <c r="CF294" s="3" t="s">
        <v>402</v>
      </c>
    </row>
    <row r="295" spans="1:84">
      <c r="A295">
        <f t="shared" si="107"/>
        <v>5064600</v>
      </c>
      <c r="B295" t="s">
        <v>404</v>
      </c>
      <c r="C295">
        <v>6</v>
      </c>
      <c r="D295">
        <v>6</v>
      </c>
      <c r="E295">
        <v>4</v>
      </c>
      <c r="F295" s="3" t="s">
        <v>598</v>
      </c>
      <c r="G295" s="3" t="s">
        <v>598</v>
      </c>
      <c r="H295">
        <v>0</v>
      </c>
      <c r="I295">
        <v>0</v>
      </c>
      <c r="J295" s="2">
        <v>0</v>
      </c>
      <c r="K295" s="2" t="s">
        <v>339</v>
      </c>
      <c r="L295" s="2">
        <f t="shared" si="108"/>
        <v>3</v>
      </c>
      <c r="M295" s="2">
        <f t="shared" si="102"/>
        <v>1.4000000000000001</v>
      </c>
      <c r="N295" s="2">
        <f t="shared" si="102"/>
        <v>1.9000000000000001</v>
      </c>
      <c r="O295" s="2">
        <v>10</v>
      </c>
      <c r="P295" s="2">
        <f t="shared" si="101"/>
        <v>162.62</v>
      </c>
      <c r="Q295" s="2">
        <f t="shared" si="101"/>
        <v>16.260000000000002</v>
      </c>
      <c r="R295" s="2">
        <f t="shared" si="101"/>
        <v>1728</v>
      </c>
      <c r="S295" s="2">
        <f t="shared" si="100"/>
        <v>172.8</v>
      </c>
      <c r="T295" s="2">
        <f t="shared" si="100"/>
        <v>40.659999999999997</v>
      </c>
      <c r="U295" s="2">
        <f t="shared" si="100"/>
        <v>4.07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546002</v>
      </c>
      <c r="AB295" s="14" t="s">
        <v>599</v>
      </c>
      <c r="AC295" s="15" t="s">
        <v>890</v>
      </c>
      <c r="AD295" s="2">
        <v>5074600</v>
      </c>
      <c r="AE295" s="2">
        <v>0</v>
      </c>
      <c r="AF295" s="2">
        <v>2</v>
      </c>
      <c r="AG295" s="2">
        <v>6</v>
      </c>
      <c r="AH295" s="2">
        <v>2</v>
      </c>
      <c r="AI295" s="2"/>
      <c r="AJ295">
        <v>1</v>
      </c>
      <c r="AK295" s="1">
        <f t="shared" si="94"/>
        <v>63.746547123974459</v>
      </c>
      <c r="AL295">
        <v>6</v>
      </c>
      <c r="AM295">
        <f t="shared" si="103"/>
        <v>147.84</v>
      </c>
      <c r="AN295">
        <f t="shared" si="104"/>
        <v>14.784000000000001</v>
      </c>
      <c r="AO295">
        <f t="shared" si="105"/>
        <v>1570.909090909091</v>
      </c>
      <c r="AP295">
        <f t="shared" si="106"/>
        <v>157.09090909090912</v>
      </c>
      <c r="AQ295">
        <f t="shared" si="95"/>
        <v>36.96</v>
      </c>
      <c r="AR295">
        <f t="shared" si="96"/>
        <v>3.6960000000000002</v>
      </c>
      <c r="AS295">
        <f t="shared" si="97"/>
        <v>1.4</v>
      </c>
      <c r="AT295">
        <f t="shared" si="98"/>
        <v>1.9</v>
      </c>
      <c r="AU295">
        <f t="shared" si="99"/>
        <v>3</v>
      </c>
      <c r="AV295">
        <f t="shared" si="110"/>
        <v>6004</v>
      </c>
      <c r="AW295" s="1">
        <v>0</v>
      </c>
      <c r="AX295">
        <v>5</v>
      </c>
      <c r="AY295">
        <v>0.1</v>
      </c>
      <c r="BX295" t="str">
        <f t="shared" si="111"/>
        <v>1546001,2546001,3546001</v>
      </c>
      <c r="BY295" s="13">
        <v>1546001</v>
      </c>
      <c r="BZ295" s="13">
        <v>2546001</v>
      </c>
      <c r="CA295" s="13">
        <v>3546001</v>
      </c>
      <c r="CE295" t="str">
        <f t="shared" si="109"/>
        <v>DATA_Class_Base38</v>
      </c>
      <c r="CF295" s="3" t="s">
        <v>198</v>
      </c>
    </row>
    <row r="296" spans="1:84">
      <c r="A296">
        <f t="shared" si="107"/>
        <v>5064602</v>
      </c>
      <c r="B296" t="s">
        <v>406</v>
      </c>
      <c r="C296">
        <v>6</v>
      </c>
      <c r="D296">
        <v>6</v>
      </c>
      <c r="E296">
        <v>4</v>
      </c>
      <c r="F296" s="3" t="s">
        <v>602</v>
      </c>
      <c r="G296" s="3" t="s">
        <v>602</v>
      </c>
      <c r="H296">
        <v>0</v>
      </c>
      <c r="I296">
        <v>0</v>
      </c>
      <c r="J296" t="s">
        <v>345</v>
      </c>
      <c r="K296" s="2" t="s">
        <v>346</v>
      </c>
      <c r="L296" s="2">
        <f t="shared" si="108"/>
        <v>6</v>
      </c>
      <c r="M296" s="2">
        <f t="shared" si="102"/>
        <v>1.8</v>
      </c>
      <c r="N296" s="2">
        <f t="shared" si="102"/>
        <v>2</v>
      </c>
      <c r="O296" s="2">
        <v>10</v>
      </c>
      <c r="P296" s="2">
        <f t="shared" si="101"/>
        <v>190.08</v>
      </c>
      <c r="Q296" s="2">
        <f t="shared" si="101"/>
        <v>19.010000000000002</v>
      </c>
      <c r="R296" s="2">
        <f t="shared" si="101"/>
        <v>1900.8</v>
      </c>
      <c r="S296" s="2">
        <f t="shared" si="100"/>
        <v>190.08</v>
      </c>
      <c r="T296" s="2">
        <f t="shared" si="100"/>
        <v>38.020000000000003</v>
      </c>
      <c r="U296" s="2">
        <f t="shared" si="100"/>
        <v>3.8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546022</v>
      </c>
      <c r="AB296" s="14" t="s">
        <v>603</v>
      </c>
      <c r="AC296" s="15" t="s">
        <v>890</v>
      </c>
      <c r="AD296" s="2">
        <v>5074602</v>
      </c>
      <c r="AE296" s="2">
        <v>0</v>
      </c>
      <c r="AF296" s="2">
        <v>2</v>
      </c>
      <c r="AG296" s="2">
        <v>6</v>
      </c>
      <c r="AH296" s="2">
        <v>2</v>
      </c>
      <c r="AI296" s="2"/>
      <c r="AJ296">
        <v>1</v>
      </c>
      <c r="AK296" s="1">
        <f t="shared" si="94"/>
        <v>63.712631076601618</v>
      </c>
      <c r="AL296">
        <v>6</v>
      </c>
      <c r="AM296">
        <f t="shared" si="103"/>
        <v>172.8</v>
      </c>
      <c r="AN296">
        <f t="shared" si="104"/>
        <v>17.28</v>
      </c>
      <c r="AO296">
        <f t="shared" si="105"/>
        <v>1728</v>
      </c>
      <c r="AP296">
        <f t="shared" si="106"/>
        <v>172.8</v>
      </c>
      <c r="AQ296">
        <f t="shared" si="95"/>
        <v>34.56</v>
      </c>
      <c r="AR296">
        <f t="shared" si="96"/>
        <v>3.4560000000000004</v>
      </c>
      <c r="AS296">
        <f t="shared" si="97"/>
        <v>1.8</v>
      </c>
      <c r="AT296">
        <f t="shared" si="98"/>
        <v>2</v>
      </c>
      <c r="AU296">
        <f t="shared" si="99"/>
        <v>6</v>
      </c>
      <c r="AV296">
        <f t="shared" si="110"/>
        <v>6024</v>
      </c>
      <c r="AW296" s="1">
        <v>2</v>
      </c>
      <c r="AX296">
        <v>5</v>
      </c>
      <c r="AY296">
        <v>0.1</v>
      </c>
      <c r="BX296" t="str">
        <f t="shared" si="111"/>
        <v>1546021,2546021,3546021</v>
      </c>
      <c r="BY296" s="13">
        <v>1546021</v>
      </c>
      <c r="BZ296" s="13">
        <v>2546021</v>
      </c>
      <c r="CA296" s="13">
        <v>3546021</v>
      </c>
      <c r="CE296" t="str">
        <f t="shared" si="109"/>
        <v>DATA_Class_Base39</v>
      </c>
      <c r="CF296" s="3" t="s">
        <v>407</v>
      </c>
    </row>
    <row r="297" spans="1:84">
      <c r="A297">
        <f t="shared" si="107"/>
        <v>5065202</v>
      </c>
      <c r="B297" t="s">
        <v>380</v>
      </c>
      <c r="C297">
        <v>6</v>
      </c>
      <c r="D297">
        <v>2</v>
      </c>
      <c r="E297">
        <v>5</v>
      </c>
      <c r="F297" s="3" t="s">
        <v>606</v>
      </c>
      <c r="G297" s="3" t="s">
        <v>606</v>
      </c>
      <c r="H297">
        <v>0</v>
      </c>
      <c r="I297">
        <v>0</v>
      </c>
      <c r="J297" s="3">
        <v>0</v>
      </c>
      <c r="K297" s="2" t="s">
        <v>280</v>
      </c>
      <c r="L297" s="2">
        <f t="shared" si="108"/>
        <v>3</v>
      </c>
      <c r="M297" s="2">
        <f t="shared" si="102"/>
        <v>1.8</v>
      </c>
      <c r="N297" s="2">
        <f t="shared" si="102"/>
        <v>2</v>
      </c>
      <c r="O297" s="2">
        <v>10</v>
      </c>
      <c r="P297" s="2">
        <f t="shared" si="101"/>
        <v>171.07</v>
      </c>
      <c r="Q297" s="2">
        <f t="shared" si="101"/>
        <v>17.11</v>
      </c>
      <c r="R297" s="2">
        <f t="shared" si="101"/>
        <v>2112</v>
      </c>
      <c r="S297" s="2">
        <f t="shared" si="100"/>
        <v>211.2</v>
      </c>
      <c r="T297" s="2">
        <f t="shared" si="100"/>
        <v>57.02</v>
      </c>
      <c r="U297" s="2">
        <f t="shared" si="100"/>
        <v>5.7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552022</v>
      </c>
      <c r="AB297" s="15" t="s">
        <v>608</v>
      </c>
      <c r="AC297" s="15" t="s">
        <v>890</v>
      </c>
      <c r="AD297" s="2">
        <v>5075202</v>
      </c>
      <c r="AE297" s="2">
        <v>0</v>
      </c>
      <c r="AF297" s="2">
        <v>2</v>
      </c>
      <c r="AG297" s="2">
        <v>6</v>
      </c>
      <c r="AH297" s="2">
        <v>2</v>
      </c>
      <c r="AI297" s="2"/>
      <c r="AJ297">
        <v>1</v>
      </c>
      <c r="AK297" s="1">
        <f t="shared" si="94"/>
        <v>63.957635238366542</v>
      </c>
      <c r="AL297">
        <v>6</v>
      </c>
      <c r="AM297">
        <f t="shared" si="103"/>
        <v>155.52000000000001</v>
      </c>
      <c r="AN297">
        <f t="shared" si="104"/>
        <v>15.552000000000001</v>
      </c>
      <c r="AO297">
        <f t="shared" si="105"/>
        <v>1920.0000000000002</v>
      </c>
      <c r="AP297">
        <f t="shared" si="106"/>
        <v>192.00000000000003</v>
      </c>
      <c r="AQ297">
        <f t="shared" si="95"/>
        <v>51.84</v>
      </c>
      <c r="AR297">
        <f t="shared" si="96"/>
        <v>5.1840000000000011</v>
      </c>
      <c r="AS297">
        <f t="shared" si="97"/>
        <v>1.8</v>
      </c>
      <c r="AT297">
        <f t="shared" si="98"/>
        <v>2</v>
      </c>
      <c r="AU297">
        <f t="shared" si="99"/>
        <v>3</v>
      </c>
      <c r="AV297">
        <f t="shared" si="110"/>
        <v>2025</v>
      </c>
      <c r="AW297" s="1">
        <v>2</v>
      </c>
      <c r="AX297">
        <v>5</v>
      </c>
      <c r="AY297">
        <v>0.1</v>
      </c>
      <c r="BY297" s="13"/>
      <c r="BZ297" s="13"/>
      <c r="CA297" s="13"/>
      <c r="CE297" t="str">
        <f t="shared" si="109"/>
        <v>DATA_Class_Base30</v>
      </c>
      <c r="CF297" s="3" t="s">
        <v>381</v>
      </c>
    </row>
    <row r="298" spans="1:84">
      <c r="A298">
        <f t="shared" si="107"/>
        <v>5065300</v>
      </c>
      <c r="B298" t="s">
        <v>410</v>
      </c>
      <c r="C298">
        <v>6</v>
      </c>
      <c r="D298">
        <v>3</v>
      </c>
      <c r="E298">
        <v>5</v>
      </c>
      <c r="F298" s="3" t="s">
        <v>611</v>
      </c>
      <c r="G298" s="3" t="s">
        <v>611</v>
      </c>
      <c r="H298">
        <v>0</v>
      </c>
      <c r="I298">
        <v>0</v>
      </c>
      <c r="J298" s="2">
        <v>0</v>
      </c>
      <c r="K298" s="2" t="s">
        <v>352</v>
      </c>
      <c r="L298" s="2">
        <f t="shared" si="108"/>
        <v>6</v>
      </c>
      <c r="M298" s="2">
        <f t="shared" si="102"/>
        <v>1.3</v>
      </c>
      <c r="N298" s="2">
        <f t="shared" si="102"/>
        <v>2</v>
      </c>
      <c r="O298" s="2">
        <v>10</v>
      </c>
      <c r="P298" s="2">
        <f t="shared" si="101"/>
        <v>157.87</v>
      </c>
      <c r="Q298" s="2">
        <f t="shared" si="101"/>
        <v>15.79</v>
      </c>
      <c r="R298" s="2">
        <f t="shared" si="101"/>
        <v>1652.87</v>
      </c>
      <c r="S298" s="2">
        <f t="shared" si="100"/>
        <v>165.29</v>
      </c>
      <c r="T298" s="2">
        <f t="shared" si="100"/>
        <v>19.73</v>
      </c>
      <c r="U298" s="2">
        <f t="shared" si="100"/>
        <v>1.97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553002</v>
      </c>
      <c r="AB298" s="14" t="s">
        <v>613</v>
      </c>
      <c r="AC298" s="15" t="s">
        <v>890</v>
      </c>
      <c r="AD298" s="2">
        <v>5075300</v>
      </c>
      <c r="AE298" s="2">
        <v>0</v>
      </c>
      <c r="AF298" s="2">
        <v>2</v>
      </c>
      <c r="AG298" s="2">
        <v>6</v>
      </c>
      <c r="AH298" s="2">
        <v>2</v>
      </c>
      <c r="AI298" s="2"/>
      <c r="AJ298">
        <v>1</v>
      </c>
      <c r="AK298" s="1">
        <f t="shared" si="94"/>
        <v>63.478749127054655</v>
      </c>
      <c r="AL298">
        <v>6</v>
      </c>
      <c r="AM298">
        <f t="shared" si="103"/>
        <v>143.51999999999998</v>
      </c>
      <c r="AN298">
        <f t="shared" si="104"/>
        <v>14.351999999999999</v>
      </c>
      <c r="AO298">
        <f t="shared" si="105"/>
        <v>1502.608695652174</v>
      </c>
      <c r="AP298">
        <f t="shared" si="106"/>
        <v>150.2608695652174</v>
      </c>
      <c r="AQ298">
        <f t="shared" si="95"/>
        <v>17.939999999999998</v>
      </c>
      <c r="AR298">
        <f t="shared" si="96"/>
        <v>1.7939999999999998</v>
      </c>
      <c r="AS298">
        <f t="shared" si="97"/>
        <v>1.3</v>
      </c>
      <c r="AT298">
        <f t="shared" si="98"/>
        <v>2</v>
      </c>
      <c r="AU298">
        <f t="shared" si="99"/>
        <v>6</v>
      </c>
      <c r="AV298">
        <f t="shared" si="110"/>
        <v>3005</v>
      </c>
      <c r="AW298" s="1">
        <v>0</v>
      </c>
      <c r="AX298">
        <v>5</v>
      </c>
      <c r="AY298">
        <v>0.1</v>
      </c>
      <c r="BX298" t="str">
        <f t="shared" ref="BX298:BX300" si="112">BY298&amp;","&amp;BZ298&amp;","&amp;CA298</f>
        <v>1553001,2553001,3553001</v>
      </c>
      <c r="BY298" s="13">
        <v>1553001</v>
      </c>
      <c r="BZ298" s="13">
        <v>2553001</v>
      </c>
      <c r="CA298" s="13">
        <v>3553001</v>
      </c>
      <c r="CE298" t="str">
        <f t="shared" si="109"/>
        <v>DATA_Class_Base40</v>
      </c>
      <c r="CF298" s="3" t="s">
        <v>411</v>
      </c>
    </row>
    <row r="299" spans="1:84">
      <c r="A299">
        <f t="shared" si="107"/>
        <v>5065302</v>
      </c>
      <c r="B299" t="s">
        <v>412</v>
      </c>
      <c r="C299">
        <v>6</v>
      </c>
      <c r="D299">
        <v>3</v>
      </c>
      <c r="E299">
        <v>5</v>
      </c>
      <c r="F299" s="3" t="s">
        <v>616</v>
      </c>
      <c r="G299" s="3" t="s">
        <v>616</v>
      </c>
      <c r="H299">
        <v>0</v>
      </c>
      <c r="I299">
        <v>0</v>
      </c>
      <c r="J299" s="2">
        <v>0</v>
      </c>
      <c r="K299" s="2" t="s">
        <v>358</v>
      </c>
      <c r="L299" s="2">
        <f t="shared" si="108"/>
        <v>3</v>
      </c>
      <c r="M299" s="2">
        <f t="shared" si="102"/>
        <v>1.4000000000000001</v>
      </c>
      <c r="N299" s="2">
        <f t="shared" si="102"/>
        <v>2</v>
      </c>
      <c r="O299" s="2">
        <v>10</v>
      </c>
      <c r="P299" s="2">
        <f t="shared" si="101"/>
        <v>177.41</v>
      </c>
      <c r="Q299" s="2">
        <f t="shared" si="101"/>
        <v>17.739999999999998</v>
      </c>
      <c r="R299" s="2">
        <f t="shared" si="101"/>
        <v>1584</v>
      </c>
      <c r="S299" s="2">
        <f t="shared" si="100"/>
        <v>158.4</v>
      </c>
      <c r="T299" s="2">
        <f t="shared" si="100"/>
        <v>25.34</v>
      </c>
      <c r="U299" s="2">
        <f t="shared" si="100"/>
        <v>2.5299999999999998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553022</v>
      </c>
      <c r="AB299" s="14" t="s">
        <v>617</v>
      </c>
      <c r="AC299" s="15" t="s">
        <v>890</v>
      </c>
      <c r="AD299" s="2">
        <v>5075302</v>
      </c>
      <c r="AE299" s="2">
        <v>0</v>
      </c>
      <c r="AF299" s="2">
        <v>2</v>
      </c>
      <c r="AG299" s="2">
        <v>6</v>
      </c>
      <c r="AH299" s="2">
        <v>2</v>
      </c>
      <c r="AI299" s="2"/>
      <c r="AJ299">
        <v>1</v>
      </c>
      <c r="AK299" s="1">
        <f t="shared" si="94"/>
        <v>63.550335138751301</v>
      </c>
      <c r="AL299">
        <v>6</v>
      </c>
      <c r="AM299">
        <f t="shared" si="103"/>
        <v>161.28</v>
      </c>
      <c r="AN299">
        <f t="shared" si="104"/>
        <v>16.128</v>
      </c>
      <c r="AO299">
        <f t="shared" si="105"/>
        <v>1440</v>
      </c>
      <c r="AP299">
        <f t="shared" si="106"/>
        <v>144</v>
      </c>
      <c r="AQ299">
        <f t="shared" si="95"/>
        <v>23.04</v>
      </c>
      <c r="AR299">
        <f t="shared" si="96"/>
        <v>2.3039999999999998</v>
      </c>
      <c r="AS299">
        <f t="shared" si="97"/>
        <v>1.4</v>
      </c>
      <c r="AT299">
        <f t="shared" si="98"/>
        <v>2</v>
      </c>
      <c r="AU299">
        <f t="shared" si="99"/>
        <v>3</v>
      </c>
      <c r="AV299">
        <f t="shared" si="110"/>
        <v>3025</v>
      </c>
      <c r="AW299" s="1">
        <v>2</v>
      </c>
      <c r="AX299">
        <v>5</v>
      </c>
      <c r="AY299">
        <v>0.1</v>
      </c>
      <c r="BX299" t="str">
        <f t="shared" si="112"/>
        <v>1553021,2553021,3553021</v>
      </c>
      <c r="BY299" s="13">
        <v>1553021</v>
      </c>
      <c r="BZ299" s="13">
        <v>2553021</v>
      </c>
      <c r="CA299" s="13">
        <v>3553021</v>
      </c>
      <c r="CE299" t="str">
        <f t="shared" si="109"/>
        <v>DATA_Class_Base41</v>
      </c>
      <c r="CF299" s="3" t="s">
        <v>413</v>
      </c>
    </row>
    <row r="300" spans="1:84">
      <c r="A300">
        <f t="shared" si="107"/>
        <v>5065400</v>
      </c>
      <c r="B300" t="s">
        <v>414</v>
      </c>
      <c r="C300">
        <v>6</v>
      </c>
      <c r="D300">
        <v>4</v>
      </c>
      <c r="E300">
        <v>5</v>
      </c>
      <c r="F300" s="3" t="s">
        <v>620</v>
      </c>
      <c r="G300" s="3" t="s">
        <v>620</v>
      </c>
      <c r="H300">
        <v>0</v>
      </c>
      <c r="I300">
        <v>0</v>
      </c>
      <c r="J300">
        <v>0</v>
      </c>
      <c r="K300" s="2" t="s">
        <v>364</v>
      </c>
      <c r="L300" s="2">
        <f t="shared" si="108"/>
        <v>6</v>
      </c>
      <c r="M300" s="2">
        <f t="shared" si="102"/>
        <v>1.4000000000000001</v>
      </c>
      <c r="N300" s="2">
        <f t="shared" si="102"/>
        <v>2</v>
      </c>
      <c r="O300" s="2">
        <v>10</v>
      </c>
      <c r="P300" s="2">
        <f t="shared" si="101"/>
        <v>184.8</v>
      </c>
      <c r="Q300" s="2">
        <f t="shared" si="101"/>
        <v>18.48</v>
      </c>
      <c r="R300" s="2">
        <f t="shared" si="101"/>
        <v>1520.64</v>
      </c>
      <c r="S300" s="2">
        <f t="shared" si="100"/>
        <v>152.06</v>
      </c>
      <c r="T300" s="2">
        <f t="shared" si="100"/>
        <v>30.8</v>
      </c>
      <c r="U300" s="2">
        <f t="shared" si="100"/>
        <v>3.08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554002</v>
      </c>
      <c r="AB300" s="14" t="s">
        <v>621</v>
      </c>
      <c r="AC300" s="15" t="s">
        <v>890</v>
      </c>
      <c r="AD300" s="2">
        <v>5075400</v>
      </c>
      <c r="AE300" s="2">
        <v>0</v>
      </c>
      <c r="AF300" s="2">
        <v>2</v>
      </c>
      <c r="AG300" s="2">
        <v>6</v>
      </c>
      <c r="AH300" s="2">
        <v>2</v>
      </c>
      <c r="AI300" s="2"/>
      <c r="AJ300">
        <v>1</v>
      </c>
      <c r="AK300" s="1">
        <f t="shared" si="94"/>
        <v>63.620111084279188</v>
      </c>
      <c r="AL300">
        <v>6</v>
      </c>
      <c r="AM300">
        <f t="shared" si="103"/>
        <v>168.00000000000003</v>
      </c>
      <c r="AN300">
        <f t="shared" si="104"/>
        <v>16.800000000000004</v>
      </c>
      <c r="AO300">
        <f t="shared" si="105"/>
        <v>1382.4</v>
      </c>
      <c r="AP300">
        <f t="shared" si="106"/>
        <v>138.24</v>
      </c>
      <c r="AQ300">
        <f t="shared" si="95"/>
        <v>28.000000000000004</v>
      </c>
      <c r="AR300">
        <f t="shared" si="96"/>
        <v>2.8000000000000007</v>
      </c>
      <c r="AS300">
        <f t="shared" si="97"/>
        <v>1.4</v>
      </c>
      <c r="AT300">
        <f t="shared" si="98"/>
        <v>2</v>
      </c>
      <c r="AU300">
        <f t="shared" si="99"/>
        <v>6</v>
      </c>
      <c r="AV300">
        <f t="shared" si="110"/>
        <v>4005</v>
      </c>
      <c r="AW300" s="1">
        <v>0</v>
      </c>
      <c r="AX300">
        <v>5</v>
      </c>
      <c r="AY300">
        <v>0.1</v>
      </c>
      <c r="BX300" t="str">
        <f t="shared" si="112"/>
        <v>1554001,2554001,3554001</v>
      </c>
      <c r="BY300" s="13">
        <v>1554001</v>
      </c>
      <c r="BZ300" s="13">
        <v>2554001</v>
      </c>
      <c r="CA300" s="13">
        <v>3554001</v>
      </c>
      <c r="CE300" t="str">
        <f t="shared" si="109"/>
        <v>DATA_Class_Base42</v>
      </c>
      <c r="CF300" s="3" t="s">
        <v>174</v>
      </c>
    </row>
    <row r="301" spans="1:84">
      <c r="A301">
        <f t="shared" si="107"/>
        <v>5065501</v>
      </c>
      <c r="B301" t="s">
        <v>401</v>
      </c>
      <c r="C301">
        <v>6</v>
      </c>
      <c r="D301">
        <v>5</v>
      </c>
      <c r="E301">
        <v>5</v>
      </c>
      <c r="F301" s="3" t="s">
        <v>624</v>
      </c>
      <c r="G301" s="3" t="s">
        <v>624</v>
      </c>
      <c r="H301">
        <v>0</v>
      </c>
      <c r="I301">
        <v>0</v>
      </c>
      <c r="J301" s="3">
        <v>0</v>
      </c>
      <c r="K301" s="2" t="s">
        <v>334</v>
      </c>
      <c r="L301" s="2">
        <f t="shared" si="108"/>
        <v>6</v>
      </c>
      <c r="M301" s="2">
        <f t="shared" si="102"/>
        <v>1.6</v>
      </c>
      <c r="N301" s="2">
        <f t="shared" si="102"/>
        <v>2</v>
      </c>
      <c r="O301" s="2">
        <v>10</v>
      </c>
      <c r="P301" s="2">
        <f t="shared" si="101"/>
        <v>244.99</v>
      </c>
      <c r="Q301" s="2">
        <f t="shared" si="101"/>
        <v>24.5</v>
      </c>
      <c r="R301" s="2">
        <f t="shared" si="101"/>
        <v>1310.9</v>
      </c>
      <c r="S301" s="2">
        <f t="shared" si="100"/>
        <v>131.09</v>
      </c>
      <c r="T301" s="2">
        <f t="shared" si="100"/>
        <v>27.22</v>
      </c>
      <c r="U301" s="2">
        <f t="shared" si="100"/>
        <v>2.72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555012</v>
      </c>
      <c r="AB301" s="15" t="s">
        <v>626</v>
      </c>
      <c r="AC301" s="15" t="s">
        <v>890</v>
      </c>
      <c r="AD301" s="2">
        <v>5075501</v>
      </c>
      <c r="AE301" s="2">
        <v>0</v>
      </c>
      <c r="AF301" s="2">
        <v>2</v>
      </c>
      <c r="AG301" s="2">
        <v>6</v>
      </c>
      <c r="AH301" s="2">
        <v>2</v>
      </c>
      <c r="AI301" s="2"/>
      <c r="AJ301">
        <v>1</v>
      </c>
      <c r="AK301" s="1">
        <f t="shared" si="94"/>
        <v>63.574326788188728</v>
      </c>
      <c r="AL301">
        <v>6</v>
      </c>
      <c r="AM301">
        <f t="shared" si="103"/>
        <v>222.72</v>
      </c>
      <c r="AN301">
        <f t="shared" si="104"/>
        <v>22.272000000000002</v>
      </c>
      <c r="AO301">
        <f t="shared" si="105"/>
        <v>1191.7241379310346</v>
      </c>
      <c r="AP301">
        <f t="shared" si="106"/>
        <v>119.17241379310347</v>
      </c>
      <c r="AQ301">
        <f t="shared" si="95"/>
        <v>24.746666666666666</v>
      </c>
      <c r="AR301">
        <f t="shared" si="96"/>
        <v>2.4746666666666668</v>
      </c>
      <c r="AS301">
        <f t="shared" si="97"/>
        <v>1.6</v>
      </c>
      <c r="AT301">
        <f t="shared" si="98"/>
        <v>2</v>
      </c>
      <c r="AU301">
        <f t="shared" si="99"/>
        <v>6</v>
      </c>
      <c r="AV301">
        <f t="shared" si="110"/>
        <v>5015</v>
      </c>
      <c r="AW301" s="1">
        <v>1</v>
      </c>
      <c r="AX301">
        <v>5</v>
      </c>
      <c r="AY301">
        <v>0.1</v>
      </c>
      <c r="BY301" s="13"/>
      <c r="BZ301" s="13"/>
      <c r="CA301" s="13"/>
      <c r="CE301" t="str">
        <f t="shared" si="109"/>
        <v>DATA_Class_Base37</v>
      </c>
      <c r="CF301" s="3" t="s">
        <v>402</v>
      </c>
    </row>
    <row r="302" spans="1:84">
      <c r="A302">
        <f t="shared" si="107"/>
        <v>5071200</v>
      </c>
      <c r="B302" t="s">
        <v>373</v>
      </c>
      <c r="C302">
        <v>7</v>
      </c>
      <c r="D302">
        <v>2</v>
      </c>
      <c r="E302">
        <v>1</v>
      </c>
      <c r="F302" s="3" t="s">
        <v>1640</v>
      </c>
      <c r="G302" s="3" t="s">
        <v>1640</v>
      </c>
      <c r="H302">
        <v>0</v>
      </c>
      <c r="I302">
        <v>0</v>
      </c>
      <c r="J302" s="2">
        <v>0</v>
      </c>
      <c r="K302" s="2" t="s">
        <v>314</v>
      </c>
      <c r="L302" s="2">
        <f t="shared" si="108"/>
        <v>3</v>
      </c>
      <c r="M302" s="2">
        <f t="shared" si="102"/>
        <v>1.5</v>
      </c>
      <c r="N302" s="2">
        <f t="shared" si="102"/>
        <v>1.2</v>
      </c>
      <c r="O302" s="2">
        <v>10</v>
      </c>
      <c r="P302" s="2">
        <f t="shared" si="101"/>
        <v>140.80000000000001</v>
      </c>
      <c r="Q302" s="2">
        <f t="shared" si="101"/>
        <v>14.08</v>
      </c>
      <c r="R302" s="2">
        <f t="shared" si="101"/>
        <v>2640</v>
      </c>
      <c r="S302" s="2">
        <f t="shared" si="100"/>
        <v>264</v>
      </c>
      <c r="T302" s="2">
        <f t="shared" si="100"/>
        <v>46.93</v>
      </c>
      <c r="U302" s="2">
        <f t="shared" si="100"/>
        <v>4.6900000000000004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512002</v>
      </c>
      <c r="AB302" s="14" t="s">
        <v>627</v>
      </c>
      <c r="AC302" s="15" t="s">
        <v>890</v>
      </c>
      <c r="AD302" s="2">
        <v>5081200</v>
      </c>
      <c r="AE302" s="2">
        <v>0</v>
      </c>
      <c r="AF302" s="2">
        <v>1</v>
      </c>
      <c r="AG302" s="2">
        <f t="shared" ref="AG302:AG338" si="113">A265</f>
        <v>5061200</v>
      </c>
      <c r="AH302" s="2">
        <v>1</v>
      </c>
      <c r="AI302" s="2"/>
      <c r="AJ302">
        <v>1</v>
      </c>
      <c r="AK302" s="1">
        <f t="shared" si="94"/>
        <v>78.79918165177132</v>
      </c>
      <c r="AL302">
        <v>7</v>
      </c>
      <c r="AM302">
        <f t="shared" si="103"/>
        <v>128.00000000000003</v>
      </c>
      <c r="AN302">
        <f t="shared" si="104"/>
        <v>12.800000000000004</v>
      </c>
      <c r="AO302">
        <f t="shared" si="105"/>
        <v>2400</v>
      </c>
      <c r="AP302">
        <f t="shared" si="106"/>
        <v>240</v>
      </c>
      <c r="AQ302">
        <f t="shared" si="95"/>
        <v>42.666666666666679</v>
      </c>
      <c r="AR302">
        <f t="shared" si="96"/>
        <v>4.2666666666666684</v>
      </c>
      <c r="AS302">
        <f t="shared" si="97"/>
        <v>1.5</v>
      </c>
      <c r="AT302">
        <f t="shared" si="98"/>
        <v>1.2</v>
      </c>
      <c r="AU302">
        <f t="shared" si="99"/>
        <v>3</v>
      </c>
      <c r="AV302">
        <f t="shared" si="110"/>
        <v>2001</v>
      </c>
      <c r="AW302" s="1">
        <v>0</v>
      </c>
      <c r="AX302">
        <v>5</v>
      </c>
      <c r="AY302">
        <v>0.1</v>
      </c>
      <c r="CE302" t="str">
        <f t="shared" si="109"/>
        <v>DATA_Class_Base28</v>
      </c>
      <c r="CF302" s="3" t="s">
        <v>374</v>
      </c>
    </row>
    <row r="303" spans="1:84">
      <c r="A303">
        <f t="shared" si="107"/>
        <v>5071201</v>
      </c>
      <c r="B303" t="s">
        <v>377</v>
      </c>
      <c r="C303">
        <v>7</v>
      </c>
      <c r="D303">
        <v>2</v>
      </c>
      <c r="E303">
        <v>1</v>
      </c>
      <c r="F303" s="3" t="s">
        <v>1641</v>
      </c>
      <c r="G303" s="3" t="s">
        <v>1641</v>
      </c>
      <c r="H303">
        <v>0</v>
      </c>
      <c r="I303">
        <v>0</v>
      </c>
      <c r="J303" s="2">
        <v>0</v>
      </c>
      <c r="K303" s="8" t="s">
        <v>298</v>
      </c>
      <c r="L303" s="2">
        <f t="shared" si="108"/>
        <v>3</v>
      </c>
      <c r="M303" s="2">
        <f t="shared" si="102"/>
        <v>1.8</v>
      </c>
      <c r="N303" s="2">
        <f t="shared" si="102"/>
        <v>1.8</v>
      </c>
      <c r="O303" s="2">
        <v>10</v>
      </c>
      <c r="P303" s="2">
        <f t="shared" si="101"/>
        <v>105.6</v>
      </c>
      <c r="Q303" s="2">
        <f t="shared" si="101"/>
        <v>10.56</v>
      </c>
      <c r="R303" s="2">
        <f t="shared" si="101"/>
        <v>4224</v>
      </c>
      <c r="S303" s="2">
        <f t="shared" si="100"/>
        <v>422.4</v>
      </c>
      <c r="T303" s="2">
        <f t="shared" si="100"/>
        <v>52.8</v>
      </c>
      <c r="U303" s="2">
        <f t="shared" si="100"/>
        <v>5.28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512012</v>
      </c>
      <c r="AB303" s="14" t="s">
        <v>628</v>
      </c>
      <c r="AC303" s="15" t="s">
        <v>890</v>
      </c>
      <c r="AD303" s="2">
        <v>5081201</v>
      </c>
      <c r="AE303" s="2">
        <v>0</v>
      </c>
      <c r="AF303" s="2">
        <v>1</v>
      </c>
      <c r="AG303" s="2">
        <f t="shared" si="113"/>
        <v>5061201</v>
      </c>
      <c r="AH303" s="2">
        <v>1</v>
      </c>
      <c r="AI303" s="2"/>
      <c r="AJ303">
        <v>1</v>
      </c>
      <c r="AK303" s="1">
        <f t="shared" si="94"/>
        <v>78.892626131953435</v>
      </c>
      <c r="AL303">
        <v>7</v>
      </c>
      <c r="AM303">
        <f t="shared" si="103"/>
        <v>96</v>
      </c>
      <c r="AN303">
        <f t="shared" si="104"/>
        <v>9.6000000000000014</v>
      </c>
      <c r="AO303">
        <f t="shared" si="105"/>
        <v>3840</v>
      </c>
      <c r="AP303">
        <f t="shared" si="106"/>
        <v>384</v>
      </c>
      <c r="AQ303">
        <f t="shared" si="95"/>
        <v>48</v>
      </c>
      <c r="AR303">
        <f t="shared" si="96"/>
        <v>4.8000000000000007</v>
      </c>
      <c r="AS303">
        <f t="shared" si="97"/>
        <v>1.8</v>
      </c>
      <c r="AT303">
        <f t="shared" si="98"/>
        <v>1.8</v>
      </c>
      <c r="AU303">
        <f t="shared" si="99"/>
        <v>3</v>
      </c>
      <c r="AV303">
        <f t="shared" si="110"/>
        <v>2011</v>
      </c>
      <c r="AW303" s="1">
        <v>1</v>
      </c>
      <c r="AX303">
        <v>5</v>
      </c>
      <c r="AY303">
        <v>0.1</v>
      </c>
      <c r="CE303" t="str">
        <f t="shared" si="109"/>
        <v>DATA_Class_Base29</v>
      </c>
      <c r="CF303" s="3" t="s">
        <v>378</v>
      </c>
    </row>
    <row r="304" spans="1:84">
      <c r="A304">
        <f t="shared" si="107"/>
        <v>5071202</v>
      </c>
      <c r="B304" t="s">
        <v>380</v>
      </c>
      <c r="C304">
        <v>7</v>
      </c>
      <c r="D304">
        <v>2</v>
      </c>
      <c r="E304">
        <v>1</v>
      </c>
      <c r="F304" s="3" t="s">
        <v>1642</v>
      </c>
      <c r="G304" s="3" t="s">
        <v>1642</v>
      </c>
      <c r="H304">
        <v>0</v>
      </c>
      <c r="I304">
        <v>0</v>
      </c>
      <c r="J304">
        <v>0</v>
      </c>
      <c r="K304" s="2" t="s">
        <v>280</v>
      </c>
      <c r="L304" s="2">
        <f t="shared" si="108"/>
        <v>3</v>
      </c>
      <c r="M304" s="2">
        <f t="shared" si="102"/>
        <v>1.8</v>
      </c>
      <c r="N304" s="2">
        <f t="shared" si="102"/>
        <v>2</v>
      </c>
      <c r="O304" s="2">
        <v>10</v>
      </c>
      <c r="P304" s="2">
        <f t="shared" si="101"/>
        <v>168.96</v>
      </c>
      <c r="Q304" s="2">
        <f t="shared" si="101"/>
        <v>16.899999999999999</v>
      </c>
      <c r="R304" s="2">
        <f t="shared" si="101"/>
        <v>2640</v>
      </c>
      <c r="S304" s="2">
        <f t="shared" si="100"/>
        <v>264</v>
      </c>
      <c r="T304" s="2">
        <f t="shared" si="100"/>
        <v>42.24</v>
      </c>
      <c r="U304" s="2">
        <f t="shared" si="100"/>
        <v>4.22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512022</v>
      </c>
      <c r="AB304" s="14" t="s">
        <v>629</v>
      </c>
      <c r="AC304" s="15" t="s">
        <v>890</v>
      </c>
      <c r="AD304" s="2">
        <v>5081202</v>
      </c>
      <c r="AE304" s="2">
        <v>0</v>
      </c>
      <c r="AF304" s="2">
        <v>1</v>
      </c>
      <c r="AG304" s="2">
        <f t="shared" si="113"/>
        <v>5061202</v>
      </c>
      <c r="AH304" s="2">
        <v>1</v>
      </c>
      <c r="AI304" s="2"/>
      <c r="AJ304">
        <v>1</v>
      </c>
      <c r="AK304" s="1">
        <f t="shared" si="94"/>
        <v>78.724585296585573</v>
      </c>
      <c r="AL304">
        <v>7</v>
      </c>
      <c r="AM304">
        <f t="shared" si="103"/>
        <v>153.60000000000002</v>
      </c>
      <c r="AN304">
        <f t="shared" si="104"/>
        <v>15.360000000000003</v>
      </c>
      <c r="AO304">
        <f t="shared" si="105"/>
        <v>2400</v>
      </c>
      <c r="AP304">
        <f t="shared" si="106"/>
        <v>240</v>
      </c>
      <c r="AQ304">
        <f t="shared" si="95"/>
        <v>38.400000000000006</v>
      </c>
      <c r="AR304">
        <f t="shared" si="96"/>
        <v>3.8400000000000007</v>
      </c>
      <c r="AS304">
        <f t="shared" si="97"/>
        <v>1.8</v>
      </c>
      <c r="AT304">
        <f t="shared" si="98"/>
        <v>2</v>
      </c>
      <c r="AU304">
        <f t="shared" si="99"/>
        <v>3</v>
      </c>
      <c r="AV304">
        <f t="shared" si="110"/>
        <v>2021</v>
      </c>
      <c r="AW304" s="1">
        <v>2</v>
      </c>
      <c r="AX304">
        <v>5</v>
      </c>
      <c r="AY304">
        <v>0.1</v>
      </c>
      <c r="CE304" t="str">
        <f t="shared" si="109"/>
        <v>DATA_Class_Base30</v>
      </c>
      <c r="CF304" s="3" t="s">
        <v>381</v>
      </c>
    </row>
    <row r="305" spans="1:84">
      <c r="A305">
        <f t="shared" si="107"/>
        <v>5071301</v>
      </c>
      <c r="B305" t="s">
        <v>383</v>
      </c>
      <c r="C305">
        <v>7</v>
      </c>
      <c r="D305">
        <v>3</v>
      </c>
      <c r="E305">
        <v>1</v>
      </c>
      <c r="F305" s="3" t="s">
        <v>1643</v>
      </c>
      <c r="G305" s="3" t="s">
        <v>1643</v>
      </c>
      <c r="H305">
        <v>0</v>
      </c>
      <c r="I305">
        <v>0</v>
      </c>
      <c r="J305" s="2">
        <v>0</v>
      </c>
      <c r="K305" s="2" t="s">
        <v>285</v>
      </c>
      <c r="L305" s="2">
        <f t="shared" si="108"/>
        <v>3</v>
      </c>
      <c r="M305" s="2">
        <f t="shared" si="102"/>
        <v>1.2</v>
      </c>
      <c r="N305" s="2">
        <f t="shared" si="102"/>
        <v>2</v>
      </c>
      <c r="O305" s="2">
        <v>10</v>
      </c>
      <c r="P305" s="2">
        <f t="shared" si="101"/>
        <v>154.88</v>
      </c>
      <c r="Q305" s="2">
        <f t="shared" si="101"/>
        <v>15.49</v>
      </c>
      <c r="R305" s="2">
        <f t="shared" si="101"/>
        <v>1920</v>
      </c>
      <c r="S305" s="2">
        <f t="shared" si="100"/>
        <v>192</v>
      </c>
      <c r="T305" s="2">
        <f t="shared" si="100"/>
        <v>25.81</v>
      </c>
      <c r="U305" s="2">
        <f t="shared" si="100"/>
        <v>2.58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513012</v>
      </c>
      <c r="AB305" s="14" t="s">
        <v>630</v>
      </c>
      <c r="AC305" s="15" t="s">
        <v>890</v>
      </c>
      <c r="AD305" s="2">
        <v>5081301</v>
      </c>
      <c r="AE305" s="2">
        <v>0</v>
      </c>
      <c r="AF305" s="2">
        <v>1</v>
      </c>
      <c r="AG305" s="2">
        <f t="shared" si="113"/>
        <v>5061301</v>
      </c>
      <c r="AH305" s="2">
        <v>1</v>
      </c>
      <c r="AI305" s="2"/>
      <c r="AJ305">
        <v>1</v>
      </c>
      <c r="AK305" s="1">
        <f t="shared" si="94"/>
        <v>78.464606609053703</v>
      </c>
      <c r="AL305">
        <v>7</v>
      </c>
      <c r="AM305">
        <f t="shared" si="103"/>
        <v>140.80000000000001</v>
      </c>
      <c r="AN305">
        <f t="shared" si="104"/>
        <v>14.080000000000002</v>
      </c>
      <c r="AO305">
        <f t="shared" si="105"/>
        <v>1745.4545454545455</v>
      </c>
      <c r="AP305">
        <f t="shared" si="106"/>
        <v>174.54545454545456</v>
      </c>
      <c r="AQ305">
        <f t="shared" si="95"/>
        <v>23.466666666666669</v>
      </c>
      <c r="AR305">
        <f t="shared" si="96"/>
        <v>2.3466666666666671</v>
      </c>
      <c r="AS305">
        <f t="shared" si="97"/>
        <v>1.2</v>
      </c>
      <c r="AT305">
        <f t="shared" si="98"/>
        <v>2</v>
      </c>
      <c r="AU305">
        <f t="shared" si="99"/>
        <v>3</v>
      </c>
      <c r="AV305">
        <f t="shared" si="110"/>
        <v>3011</v>
      </c>
      <c r="AW305" s="1">
        <v>1</v>
      </c>
      <c r="AX305">
        <v>5</v>
      </c>
      <c r="AY305">
        <v>0.1</v>
      </c>
      <c r="CE305" t="str">
        <f t="shared" si="109"/>
        <v>DATA_Class_Base31</v>
      </c>
      <c r="CF305" s="3" t="s">
        <v>384</v>
      </c>
    </row>
    <row r="306" spans="1:84">
      <c r="A306">
        <f t="shared" si="107"/>
        <v>5071401</v>
      </c>
      <c r="B306" t="s">
        <v>387</v>
      </c>
      <c r="C306">
        <v>7</v>
      </c>
      <c r="D306">
        <v>4</v>
      </c>
      <c r="E306">
        <v>1</v>
      </c>
      <c r="F306" s="3" t="s">
        <v>1644</v>
      </c>
      <c r="G306" s="3" t="s">
        <v>1644</v>
      </c>
      <c r="H306">
        <v>0</v>
      </c>
      <c r="I306">
        <v>0</v>
      </c>
      <c r="J306" s="2">
        <v>0</v>
      </c>
      <c r="K306" s="2" t="s">
        <v>161</v>
      </c>
      <c r="L306" s="2">
        <f t="shared" si="108"/>
        <v>6</v>
      </c>
      <c r="M306" s="2">
        <f t="shared" si="102"/>
        <v>1.6</v>
      </c>
      <c r="N306" s="2">
        <f t="shared" si="102"/>
        <v>2</v>
      </c>
      <c r="O306" s="2">
        <v>10</v>
      </c>
      <c r="P306" s="2">
        <f t="shared" si="101"/>
        <v>206.51</v>
      </c>
      <c r="Q306" s="2">
        <f t="shared" si="101"/>
        <v>20.65</v>
      </c>
      <c r="R306" s="2">
        <f t="shared" si="101"/>
        <v>1920</v>
      </c>
      <c r="S306" s="2">
        <f t="shared" si="100"/>
        <v>192</v>
      </c>
      <c r="T306" s="2">
        <f t="shared" si="100"/>
        <v>41.3</v>
      </c>
      <c r="U306" s="2">
        <f t="shared" si="100"/>
        <v>4.13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514012</v>
      </c>
      <c r="AB306" s="14" t="s">
        <v>631</v>
      </c>
      <c r="AC306" s="15" t="s">
        <v>890</v>
      </c>
      <c r="AD306" s="2">
        <v>5081401</v>
      </c>
      <c r="AE306" s="2">
        <v>0</v>
      </c>
      <c r="AF306" s="2">
        <v>1</v>
      </c>
      <c r="AG306" s="2">
        <f t="shared" si="113"/>
        <v>5061401</v>
      </c>
      <c r="AH306" s="2">
        <v>1</v>
      </c>
      <c r="AI306" s="2"/>
      <c r="AJ306">
        <v>1</v>
      </c>
      <c r="AK306" s="1">
        <f t="shared" si="94"/>
        <v>78.70968297058586</v>
      </c>
      <c r="AL306">
        <v>7</v>
      </c>
      <c r="AM306">
        <f t="shared" si="103"/>
        <v>187.73333333333338</v>
      </c>
      <c r="AN306">
        <f t="shared" si="104"/>
        <v>18.773333333333337</v>
      </c>
      <c r="AO306">
        <f t="shared" si="105"/>
        <v>1745.4545454545455</v>
      </c>
      <c r="AP306">
        <f t="shared" si="106"/>
        <v>174.54545454545456</v>
      </c>
      <c r="AQ306">
        <f t="shared" si="95"/>
        <v>37.546666666666674</v>
      </c>
      <c r="AR306">
        <f t="shared" si="96"/>
        <v>3.7546666666666675</v>
      </c>
      <c r="AS306">
        <f t="shared" si="97"/>
        <v>1.6</v>
      </c>
      <c r="AT306">
        <f t="shared" si="98"/>
        <v>2</v>
      </c>
      <c r="AU306">
        <f t="shared" si="99"/>
        <v>6</v>
      </c>
      <c r="AV306">
        <f t="shared" si="110"/>
        <v>4011</v>
      </c>
      <c r="AW306" s="1">
        <v>1</v>
      </c>
      <c r="AX306">
        <v>5</v>
      </c>
      <c r="AY306">
        <v>0.1</v>
      </c>
      <c r="CE306" t="str">
        <f t="shared" si="109"/>
        <v>DATA_Class_Base32</v>
      </c>
      <c r="CF306" s="3" t="s">
        <v>388</v>
      </c>
    </row>
    <row r="307" spans="1:84">
      <c r="A307">
        <f t="shared" si="107"/>
        <v>5071402</v>
      </c>
      <c r="B307" t="s">
        <v>390</v>
      </c>
      <c r="C307">
        <v>7</v>
      </c>
      <c r="D307">
        <v>4</v>
      </c>
      <c r="E307">
        <v>1</v>
      </c>
      <c r="F307" s="3" t="s">
        <v>1645</v>
      </c>
      <c r="G307" s="3" t="s">
        <v>1645</v>
      </c>
      <c r="H307">
        <v>0</v>
      </c>
      <c r="I307">
        <v>0</v>
      </c>
      <c r="J307">
        <v>0</v>
      </c>
      <c r="K307" s="2" t="s">
        <v>250</v>
      </c>
      <c r="L307" s="2">
        <f t="shared" si="108"/>
        <v>6</v>
      </c>
      <c r="M307" s="2">
        <f t="shared" si="102"/>
        <v>1.5</v>
      </c>
      <c r="N307" s="2">
        <f t="shared" si="102"/>
        <v>1.5</v>
      </c>
      <c r="O307" s="2">
        <v>10</v>
      </c>
      <c r="P307" s="2">
        <f t="shared" si="101"/>
        <v>211.2</v>
      </c>
      <c r="Q307" s="2">
        <f t="shared" si="101"/>
        <v>21.12</v>
      </c>
      <c r="R307" s="2">
        <f t="shared" si="101"/>
        <v>1760</v>
      </c>
      <c r="S307" s="2">
        <f t="shared" si="100"/>
        <v>176</v>
      </c>
      <c r="T307" s="2">
        <f t="shared" si="100"/>
        <v>35.200000000000003</v>
      </c>
      <c r="U307" s="2">
        <f t="shared" si="100"/>
        <v>3.52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514022</v>
      </c>
      <c r="AB307" s="14" t="s">
        <v>632</v>
      </c>
      <c r="AC307" s="15" t="s">
        <v>890</v>
      </c>
      <c r="AD307" s="2">
        <v>5081402</v>
      </c>
      <c r="AE307" s="2">
        <v>0</v>
      </c>
      <c r="AF307" s="2">
        <v>1</v>
      </c>
      <c r="AG307" s="2">
        <f t="shared" si="113"/>
        <v>5061402</v>
      </c>
      <c r="AH307" s="2">
        <v>1</v>
      </c>
      <c r="AI307" s="2"/>
      <c r="AJ307">
        <v>1</v>
      </c>
      <c r="AK307" s="1">
        <f t="shared" si="94"/>
        <v>78.612955204640684</v>
      </c>
      <c r="AL307">
        <v>7</v>
      </c>
      <c r="AM307">
        <f t="shared" si="103"/>
        <v>192</v>
      </c>
      <c r="AN307">
        <f t="shared" si="104"/>
        <v>19.200000000000003</v>
      </c>
      <c r="AO307">
        <f t="shared" si="105"/>
        <v>1600</v>
      </c>
      <c r="AP307">
        <f t="shared" si="106"/>
        <v>160</v>
      </c>
      <c r="AQ307">
        <f t="shared" si="95"/>
        <v>32</v>
      </c>
      <c r="AR307">
        <f t="shared" si="96"/>
        <v>3.2</v>
      </c>
      <c r="AS307">
        <f t="shared" si="97"/>
        <v>1.5</v>
      </c>
      <c r="AT307">
        <f t="shared" si="98"/>
        <v>1.5</v>
      </c>
      <c r="AU307">
        <f t="shared" si="99"/>
        <v>6</v>
      </c>
      <c r="AV307">
        <f t="shared" si="110"/>
        <v>4021</v>
      </c>
      <c r="AW307" s="1">
        <v>2</v>
      </c>
      <c r="AX307">
        <v>5</v>
      </c>
      <c r="AY307">
        <v>0.1</v>
      </c>
      <c r="CE307" t="str">
        <f t="shared" si="109"/>
        <v>DATA_Class_Base33</v>
      </c>
      <c r="CF307" s="3" t="s">
        <v>391</v>
      </c>
    </row>
    <row r="308" spans="1:84">
      <c r="A308">
        <f t="shared" si="107"/>
        <v>5071500</v>
      </c>
      <c r="B308" t="s">
        <v>394</v>
      </c>
      <c r="C308">
        <v>7</v>
      </c>
      <c r="D308">
        <v>5</v>
      </c>
      <c r="E308">
        <v>1</v>
      </c>
      <c r="F308" s="3" t="s">
        <v>1646</v>
      </c>
      <c r="G308" s="3" t="s">
        <v>1646</v>
      </c>
      <c r="H308">
        <v>0</v>
      </c>
      <c r="I308">
        <v>0</v>
      </c>
      <c r="J308">
        <v>0</v>
      </c>
      <c r="K308" s="2" t="s">
        <v>303</v>
      </c>
      <c r="L308" s="2">
        <f t="shared" si="108"/>
        <v>6</v>
      </c>
      <c r="M308" s="2">
        <f t="shared" si="102"/>
        <v>1.5</v>
      </c>
      <c r="N308" s="2">
        <f t="shared" si="102"/>
        <v>1.5</v>
      </c>
      <c r="O308" s="2">
        <v>10</v>
      </c>
      <c r="P308" s="2">
        <f t="shared" si="101"/>
        <v>246.4</v>
      </c>
      <c r="Q308" s="2">
        <f t="shared" si="101"/>
        <v>24.64</v>
      </c>
      <c r="R308" s="2">
        <f t="shared" si="101"/>
        <v>1508.57</v>
      </c>
      <c r="S308" s="2">
        <f t="shared" si="100"/>
        <v>150.86000000000001</v>
      </c>
      <c r="T308" s="2">
        <f t="shared" si="100"/>
        <v>35.200000000000003</v>
      </c>
      <c r="U308" s="2">
        <f t="shared" si="100"/>
        <v>3.52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515002</v>
      </c>
      <c r="AB308" s="14" t="s">
        <v>633</v>
      </c>
      <c r="AC308" s="15" t="s">
        <v>890</v>
      </c>
      <c r="AD308" s="2">
        <v>5081500</v>
      </c>
      <c r="AE308" s="2">
        <v>0</v>
      </c>
      <c r="AF308" s="2">
        <v>1</v>
      </c>
      <c r="AG308" s="2">
        <f t="shared" si="113"/>
        <v>5061500</v>
      </c>
      <c r="AH308" s="2">
        <v>1</v>
      </c>
      <c r="AI308" s="2"/>
      <c r="AJ308">
        <v>1</v>
      </c>
      <c r="AK308" s="1">
        <f t="shared" si="94"/>
        <v>78.61295520464067</v>
      </c>
      <c r="AL308">
        <v>7</v>
      </c>
      <c r="AM308">
        <f t="shared" si="103"/>
        <v>223.99999999999994</v>
      </c>
      <c r="AN308">
        <f t="shared" si="104"/>
        <v>22.399999999999995</v>
      </c>
      <c r="AO308">
        <f t="shared" si="105"/>
        <v>1371.4285714285716</v>
      </c>
      <c r="AP308">
        <f t="shared" si="106"/>
        <v>137.14285714285717</v>
      </c>
      <c r="AQ308">
        <f t="shared" si="95"/>
        <v>31.999999999999993</v>
      </c>
      <c r="AR308">
        <f t="shared" si="96"/>
        <v>3.1999999999999993</v>
      </c>
      <c r="AS308">
        <f t="shared" si="97"/>
        <v>1.5</v>
      </c>
      <c r="AT308">
        <f t="shared" si="98"/>
        <v>1.5</v>
      </c>
      <c r="AU308">
        <f t="shared" si="99"/>
        <v>6</v>
      </c>
      <c r="AV308">
        <f t="shared" si="110"/>
        <v>5001</v>
      </c>
      <c r="AW308" s="1">
        <v>0</v>
      </c>
      <c r="AX308">
        <v>5</v>
      </c>
      <c r="AY308">
        <v>0.1</v>
      </c>
      <c r="CE308" t="str">
        <f t="shared" si="109"/>
        <v>DATA_Class_Base34</v>
      </c>
      <c r="CF308" s="3" t="s">
        <v>184</v>
      </c>
    </row>
    <row r="309" spans="1:84">
      <c r="A309">
        <f t="shared" si="107"/>
        <v>5071502</v>
      </c>
      <c r="B309" t="s">
        <v>396</v>
      </c>
      <c r="C309">
        <v>7</v>
      </c>
      <c r="D309">
        <v>5</v>
      </c>
      <c r="E309">
        <v>1</v>
      </c>
      <c r="F309" s="3" t="s">
        <v>1647</v>
      </c>
      <c r="G309" s="3" t="s">
        <v>1647</v>
      </c>
      <c r="H309">
        <v>0</v>
      </c>
      <c r="I309">
        <v>0</v>
      </c>
      <c r="J309" s="2">
        <v>0</v>
      </c>
      <c r="K309" s="2" t="s">
        <v>291</v>
      </c>
      <c r="L309" s="2">
        <f t="shared" si="108"/>
        <v>6</v>
      </c>
      <c r="M309" s="2">
        <f t="shared" si="102"/>
        <v>1.4000000000000001</v>
      </c>
      <c r="N309" s="2">
        <f t="shared" si="102"/>
        <v>2</v>
      </c>
      <c r="O309" s="2">
        <v>10</v>
      </c>
      <c r="P309" s="2">
        <f t="shared" si="101"/>
        <v>213.55</v>
      </c>
      <c r="Q309" s="2">
        <f t="shared" si="101"/>
        <v>21.35</v>
      </c>
      <c r="R309" s="2">
        <f t="shared" si="101"/>
        <v>1624.62</v>
      </c>
      <c r="S309" s="2">
        <f t="shared" si="100"/>
        <v>162.46</v>
      </c>
      <c r="T309" s="2">
        <f t="shared" si="100"/>
        <v>32.85</v>
      </c>
      <c r="U309" s="2">
        <f t="shared" si="100"/>
        <v>3.29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515022</v>
      </c>
      <c r="AB309" s="14" t="s">
        <v>634</v>
      </c>
      <c r="AC309" s="15" t="s">
        <v>890</v>
      </c>
      <c r="AD309" s="2">
        <v>5081502</v>
      </c>
      <c r="AE309" s="2">
        <v>0</v>
      </c>
      <c r="AF309" s="2">
        <v>1</v>
      </c>
      <c r="AG309" s="2">
        <f t="shared" si="113"/>
        <v>5061502</v>
      </c>
      <c r="AH309" s="2">
        <v>1</v>
      </c>
      <c r="AI309" s="2"/>
      <c r="AJ309">
        <v>1</v>
      </c>
      <c r="AK309" s="1">
        <f t="shared" si="94"/>
        <v>78.575815491657167</v>
      </c>
      <c r="AL309">
        <v>7</v>
      </c>
      <c r="AM309">
        <f t="shared" si="103"/>
        <v>194.1333333333333</v>
      </c>
      <c r="AN309">
        <f t="shared" si="104"/>
        <v>19.41333333333333</v>
      </c>
      <c r="AO309">
        <f t="shared" si="105"/>
        <v>1476.9230769230767</v>
      </c>
      <c r="AP309">
        <f t="shared" si="106"/>
        <v>147.69230769230768</v>
      </c>
      <c r="AQ309">
        <f t="shared" si="95"/>
        <v>29.86666666666666</v>
      </c>
      <c r="AR309">
        <f t="shared" si="96"/>
        <v>2.9866666666666664</v>
      </c>
      <c r="AS309">
        <f t="shared" si="97"/>
        <v>1.4</v>
      </c>
      <c r="AT309">
        <f t="shared" si="98"/>
        <v>2</v>
      </c>
      <c r="AU309">
        <f t="shared" si="99"/>
        <v>6</v>
      </c>
      <c r="AV309">
        <f t="shared" si="110"/>
        <v>5021</v>
      </c>
      <c r="AW309" s="1">
        <v>2</v>
      </c>
      <c r="AX309">
        <v>5</v>
      </c>
      <c r="AY309">
        <v>0.1</v>
      </c>
      <c r="CE309" t="str">
        <f t="shared" si="109"/>
        <v>DATA_Class_Base35</v>
      </c>
      <c r="CF309" s="3" t="s">
        <v>195</v>
      </c>
    </row>
    <row r="310" spans="1:84">
      <c r="A310">
        <f t="shared" si="107"/>
        <v>5071601</v>
      </c>
      <c r="B310" t="s">
        <v>398</v>
      </c>
      <c r="C310">
        <v>7</v>
      </c>
      <c r="D310">
        <v>6</v>
      </c>
      <c r="E310">
        <v>1</v>
      </c>
      <c r="F310" s="3" t="s">
        <v>1648</v>
      </c>
      <c r="G310" s="3" t="s">
        <v>1648</v>
      </c>
      <c r="H310">
        <v>0</v>
      </c>
      <c r="I310">
        <v>0</v>
      </c>
      <c r="J310">
        <v>0</v>
      </c>
      <c r="K310" s="2" t="s">
        <v>309</v>
      </c>
      <c r="L310" s="2">
        <f t="shared" si="108"/>
        <v>6</v>
      </c>
      <c r="M310" s="2">
        <f t="shared" si="102"/>
        <v>1.5</v>
      </c>
      <c r="N310" s="2">
        <f t="shared" si="102"/>
        <v>2</v>
      </c>
      <c r="O310" s="2">
        <v>10</v>
      </c>
      <c r="P310" s="2">
        <f t="shared" si="101"/>
        <v>176</v>
      </c>
      <c r="Q310" s="2">
        <f t="shared" si="101"/>
        <v>17.600000000000001</v>
      </c>
      <c r="R310" s="2">
        <f t="shared" si="101"/>
        <v>2112</v>
      </c>
      <c r="S310" s="2">
        <f t="shared" si="100"/>
        <v>211.2</v>
      </c>
      <c r="T310" s="2">
        <f t="shared" si="100"/>
        <v>44</v>
      </c>
      <c r="U310" s="2">
        <f t="shared" si="100"/>
        <v>4.4000000000000004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516012</v>
      </c>
      <c r="AB310" s="14" t="s">
        <v>635</v>
      </c>
      <c r="AC310" s="15" t="s">
        <v>890</v>
      </c>
      <c r="AD310" s="2">
        <v>5081601</v>
      </c>
      <c r="AE310" s="2">
        <v>0</v>
      </c>
      <c r="AF310" s="2">
        <v>1</v>
      </c>
      <c r="AG310" s="2">
        <f t="shared" si="113"/>
        <v>5061601</v>
      </c>
      <c r="AH310" s="2">
        <v>1</v>
      </c>
      <c r="AI310" s="2"/>
      <c r="AJ310">
        <v>1</v>
      </c>
      <c r="AK310" s="1">
        <f t="shared" si="94"/>
        <v>78.752542372881365</v>
      </c>
      <c r="AL310">
        <v>7</v>
      </c>
      <c r="AM310">
        <f t="shared" si="103"/>
        <v>160</v>
      </c>
      <c r="AN310">
        <f t="shared" si="104"/>
        <v>16</v>
      </c>
      <c r="AO310">
        <f t="shared" si="105"/>
        <v>1920</v>
      </c>
      <c r="AP310">
        <f t="shared" si="106"/>
        <v>192</v>
      </c>
      <c r="AQ310">
        <f t="shared" si="95"/>
        <v>40</v>
      </c>
      <c r="AR310">
        <f t="shared" si="96"/>
        <v>4</v>
      </c>
      <c r="AS310">
        <f t="shared" si="97"/>
        <v>1.5</v>
      </c>
      <c r="AT310">
        <f t="shared" si="98"/>
        <v>2</v>
      </c>
      <c r="AU310">
        <f t="shared" si="99"/>
        <v>6</v>
      </c>
      <c r="AV310">
        <f t="shared" si="110"/>
        <v>6011</v>
      </c>
      <c r="AW310" s="1">
        <v>1</v>
      </c>
      <c r="AX310">
        <v>5</v>
      </c>
      <c r="AY310">
        <v>0.1</v>
      </c>
      <c r="CE310" t="str">
        <f t="shared" si="109"/>
        <v>DATA_Class_Base36</v>
      </c>
      <c r="CF310" s="3" t="s">
        <v>201</v>
      </c>
    </row>
    <row r="311" spans="1:84">
      <c r="A311">
        <f t="shared" si="107"/>
        <v>5072200</v>
      </c>
      <c r="B311" t="s">
        <v>373</v>
      </c>
      <c r="C311">
        <v>7</v>
      </c>
      <c r="D311">
        <v>2</v>
      </c>
      <c r="E311">
        <v>2</v>
      </c>
      <c r="F311" s="3" t="s">
        <v>1649</v>
      </c>
      <c r="G311" s="3" t="s">
        <v>1649</v>
      </c>
      <c r="H311">
        <v>0</v>
      </c>
      <c r="I311">
        <v>0</v>
      </c>
      <c r="J311">
        <v>0</v>
      </c>
      <c r="K311" s="2" t="s">
        <v>314</v>
      </c>
      <c r="L311" s="2">
        <f t="shared" si="108"/>
        <v>3</v>
      </c>
      <c r="M311" s="2">
        <f t="shared" si="102"/>
        <v>1.5</v>
      </c>
      <c r="N311" s="2">
        <f t="shared" si="102"/>
        <v>1.2</v>
      </c>
      <c r="O311" s="2">
        <v>10</v>
      </c>
      <c r="P311" s="2">
        <f t="shared" si="101"/>
        <v>176</v>
      </c>
      <c r="Q311" s="2">
        <f t="shared" si="101"/>
        <v>17.600000000000001</v>
      </c>
      <c r="R311" s="2">
        <f t="shared" si="101"/>
        <v>2112</v>
      </c>
      <c r="S311" s="2">
        <f t="shared" si="100"/>
        <v>211.2</v>
      </c>
      <c r="T311" s="2">
        <f t="shared" si="100"/>
        <v>44</v>
      </c>
      <c r="U311" s="2">
        <f t="shared" si="100"/>
        <v>4.4000000000000004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522002</v>
      </c>
      <c r="AB311" s="14" t="s">
        <v>636</v>
      </c>
      <c r="AC311" s="15" t="s">
        <v>890</v>
      </c>
      <c r="AD311" s="2">
        <v>5082200</v>
      </c>
      <c r="AE311" s="2">
        <v>0</v>
      </c>
      <c r="AF311" s="2">
        <v>1</v>
      </c>
      <c r="AG311" s="2">
        <f t="shared" si="113"/>
        <v>5062200</v>
      </c>
      <c r="AH311" s="2">
        <v>1</v>
      </c>
      <c r="AI311" s="2"/>
      <c r="AJ311">
        <v>1</v>
      </c>
      <c r="AK311" s="1">
        <f t="shared" si="94"/>
        <v>78.752542372881365</v>
      </c>
      <c r="AL311">
        <v>7</v>
      </c>
      <c r="AM311">
        <f t="shared" si="103"/>
        <v>160</v>
      </c>
      <c r="AN311">
        <f t="shared" si="104"/>
        <v>16</v>
      </c>
      <c r="AO311">
        <f t="shared" si="105"/>
        <v>1920</v>
      </c>
      <c r="AP311">
        <f t="shared" si="106"/>
        <v>192</v>
      </c>
      <c r="AQ311">
        <f t="shared" si="95"/>
        <v>40</v>
      </c>
      <c r="AR311">
        <f t="shared" si="96"/>
        <v>4</v>
      </c>
      <c r="AS311">
        <f t="shared" si="97"/>
        <v>1.5</v>
      </c>
      <c r="AT311">
        <f t="shared" si="98"/>
        <v>1.2</v>
      </c>
      <c r="AU311">
        <f t="shared" si="99"/>
        <v>3</v>
      </c>
      <c r="AV311">
        <f t="shared" si="110"/>
        <v>2002</v>
      </c>
      <c r="AW311" s="1">
        <v>0</v>
      </c>
      <c r="AX311">
        <v>5</v>
      </c>
      <c r="AY311">
        <v>0.1</v>
      </c>
      <c r="CE311" t="str">
        <f t="shared" si="109"/>
        <v>DATA_Class_Base28</v>
      </c>
      <c r="CF311" s="3" t="s">
        <v>374</v>
      </c>
    </row>
    <row r="312" spans="1:84">
      <c r="A312">
        <f t="shared" si="107"/>
        <v>5072201</v>
      </c>
      <c r="B312" t="s">
        <v>377</v>
      </c>
      <c r="C312">
        <v>7</v>
      </c>
      <c r="D312">
        <v>2</v>
      </c>
      <c r="E312">
        <v>2</v>
      </c>
      <c r="F312" s="3" t="s">
        <v>1650</v>
      </c>
      <c r="G312" s="3" t="s">
        <v>1650</v>
      </c>
      <c r="H312">
        <v>0</v>
      </c>
      <c r="I312">
        <v>0</v>
      </c>
      <c r="J312">
        <v>0</v>
      </c>
      <c r="K312" s="8" t="s">
        <v>298</v>
      </c>
      <c r="L312" s="2">
        <f t="shared" si="108"/>
        <v>3</v>
      </c>
      <c r="M312" s="2">
        <f t="shared" si="102"/>
        <v>1.8</v>
      </c>
      <c r="N312" s="2">
        <f t="shared" si="102"/>
        <v>1.8</v>
      </c>
      <c r="O312" s="2">
        <v>10</v>
      </c>
      <c r="P312" s="2">
        <f t="shared" si="101"/>
        <v>147.84</v>
      </c>
      <c r="Q312" s="2">
        <f t="shared" si="101"/>
        <v>14.78</v>
      </c>
      <c r="R312" s="2">
        <f t="shared" si="101"/>
        <v>3017.14</v>
      </c>
      <c r="S312" s="2">
        <f t="shared" si="100"/>
        <v>301.70999999999998</v>
      </c>
      <c r="T312" s="2">
        <f t="shared" si="100"/>
        <v>49.28</v>
      </c>
      <c r="U312" s="2">
        <f t="shared" si="10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522012</v>
      </c>
      <c r="AB312" s="14" t="s">
        <v>637</v>
      </c>
      <c r="AC312" s="15" t="s">
        <v>890</v>
      </c>
      <c r="AD312" s="2">
        <v>5082201</v>
      </c>
      <c r="AE312" s="2">
        <v>0</v>
      </c>
      <c r="AF312" s="2">
        <v>1</v>
      </c>
      <c r="AG312" s="2">
        <f t="shared" si="113"/>
        <v>5062201</v>
      </c>
      <c r="AH312" s="2">
        <v>1</v>
      </c>
      <c r="AI312" s="2"/>
      <c r="AJ312">
        <v>1</v>
      </c>
      <c r="AK312" s="1">
        <f t="shared" si="94"/>
        <v>78.836532867946488</v>
      </c>
      <c r="AL312">
        <v>7</v>
      </c>
      <c r="AM312">
        <f t="shared" si="103"/>
        <v>134.4</v>
      </c>
      <c r="AN312">
        <f t="shared" si="104"/>
        <v>13.440000000000001</v>
      </c>
      <c r="AO312">
        <f t="shared" si="105"/>
        <v>2742.8571428571431</v>
      </c>
      <c r="AP312">
        <f t="shared" si="106"/>
        <v>274.28571428571433</v>
      </c>
      <c r="AQ312">
        <f t="shared" si="95"/>
        <v>44.800000000000004</v>
      </c>
      <c r="AR312">
        <f t="shared" si="96"/>
        <v>4.4800000000000004</v>
      </c>
      <c r="AS312">
        <f t="shared" si="97"/>
        <v>1.8</v>
      </c>
      <c r="AT312">
        <f t="shared" si="98"/>
        <v>1.8</v>
      </c>
      <c r="AU312">
        <f t="shared" si="99"/>
        <v>3</v>
      </c>
      <c r="AV312">
        <f t="shared" si="110"/>
        <v>2012</v>
      </c>
      <c r="AW312" s="1">
        <v>1</v>
      </c>
      <c r="AX312">
        <v>5</v>
      </c>
      <c r="AY312">
        <v>0.1</v>
      </c>
      <c r="CE312" t="str">
        <f t="shared" si="109"/>
        <v>DATA_Class_Base29</v>
      </c>
      <c r="CF312" s="3" t="s">
        <v>378</v>
      </c>
    </row>
    <row r="313" spans="1:84">
      <c r="A313">
        <f t="shared" si="107"/>
        <v>5072202</v>
      </c>
      <c r="B313" t="s">
        <v>380</v>
      </c>
      <c r="C313">
        <v>7</v>
      </c>
      <c r="D313">
        <v>2</v>
      </c>
      <c r="E313">
        <v>2</v>
      </c>
      <c r="F313" s="3" t="s">
        <v>1651</v>
      </c>
      <c r="G313" s="3" t="s">
        <v>1651</v>
      </c>
      <c r="H313">
        <v>0</v>
      </c>
      <c r="I313">
        <v>0</v>
      </c>
      <c r="J313" s="2">
        <v>0</v>
      </c>
      <c r="K313" s="2" t="s">
        <v>280</v>
      </c>
      <c r="L313" s="2">
        <f t="shared" si="108"/>
        <v>3</v>
      </c>
      <c r="M313" s="2">
        <f t="shared" si="102"/>
        <v>1.8</v>
      </c>
      <c r="N313" s="2">
        <f t="shared" si="102"/>
        <v>2</v>
      </c>
      <c r="O313" s="2">
        <v>10</v>
      </c>
      <c r="P313" s="2">
        <f t="shared" si="101"/>
        <v>242.88</v>
      </c>
      <c r="Q313" s="2">
        <f t="shared" si="101"/>
        <v>24.29</v>
      </c>
      <c r="R313" s="2">
        <f t="shared" si="101"/>
        <v>1836.52</v>
      </c>
      <c r="S313" s="2">
        <f t="shared" si="100"/>
        <v>183.65</v>
      </c>
      <c r="T313" s="2">
        <f t="shared" si="100"/>
        <v>48.58</v>
      </c>
      <c r="U313" s="2">
        <f t="shared" si="100"/>
        <v>4.8600000000000003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522022</v>
      </c>
      <c r="AB313" s="14" t="s">
        <v>638</v>
      </c>
      <c r="AC313" s="15" t="s">
        <v>890</v>
      </c>
      <c r="AD313" s="2">
        <v>5082202</v>
      </c>
      <c r="AE313" s="2">
        <v>0</v>
      </c>
      <c r="AF313" s="2">
        <v>1</v>
      </c>
      <c r="AG313" s="2">
        <f t="shared" si="113"/>
        <v>5062202</v>
      </c>
      <c r="AH313" s="2">
        <v>1</v>
      </c>
      <c r="AI313" s="2"/>
      <c r="AJ313">
        <v>1</v>
      </c>
      <c r="AK313" s="1">
        <f t="shared" si="94"/>
        <v>78.825323785642283</v>
      </c>
      <c r="AL313">
        <v>7</v>
      </c>
      <c r="AM313">
        <f t="shared" si="103"/>
        <v>220.79999999999998</v>
      </c>
      <c r="AN313">
        <f t="shared" si="104"/>
        <v>22.08</v>
      </c>
      <c r="AO313">
        <f t="shared" si="105"/>
        <v>1669.5652173913045</v>
      </c>
      <c r="AP313">
        <f t="shared" si="106"/>
        <v>166.95652173913047</v>
      </c>
      <c r="AQ313">
        <f t="shared" si="95"/>
        <v>44.16</v>
      </c>
      <c r="AR313">
        <f t="shared" si="96"/>
        <v>4.4159999999999995</v>
      </c>
      <c r="AS313">
        <f t="shared" si="97"/>
        <v>1.8</v>
      </c>
      <c r="AT313">
        <f t="shared" si="98"/>
        <v>2</v>
      </c>
      <c r="AU313">
        <f t="shared" si="99"/>
        <v>3</v>
      </c>
      <c r="AV313">
        <f t="shared" si="110"/>
        <v>2022</v>
      </c>
      <c r="AW313" s="1">
        <v>2</v>
      </c>
      <c r="AX313">
        <v>5</v>
      </c>
      <c r="AY313">
        <v>0.1</v>
      </c>
      <c r="CE313" t="str">
        <f t="shared" si="109"/>
        <v>DATA_Class_Base30</v>
      </c>
      <c r="CF313" s="3" t="s">
        <v>381</v>
      </c>
    </row>
    <row r="314" spans="1:84">
      <c r="A314">
        <f t="shared" si="107"/>
        <v>5072301</v>
      </c>
      <c r="B314" t="s">
        <v>383</v>
      </c>
      <c r="C314">
        <v>7</v>
      </c>
      <c r="D314">
        <v>3</v>
      </c>
      <c r="E314">
        <v>2</v>
      </c>
      <c r="F314" s="3" t="s">
        <v>1652</v>
      </c>
      <c r="G314" s="3" t="s">
        <v>1652</v>
      </c>
      <c r="H314">
        <v>0</v>
      </c>
      <c r="I314">
        <v>0</v>
      </c>
      <c r="J314">
        <v>0</v>
      </c>
      <c r="K314" s="2" t="s">
        <v>285</v>
      </c>
      <c r="L314" s="2">
        <f t="shared" si="108"/>
        <v>3</v>
      </c>
      <c r="M314" s="2">
        <f t="shared" si="102"/>
        <v>1.2</v>
      </c>
      <c r="N314" s="2">
        <f t="shared" si="102"/>
        <v>1.7</v>
      </c>
      <c r="O314" s="2">
        <v>10</v>
      </c>
      <c r="P314" s="2">
        <f t="shared" si="101"/>
        <v>183.04</v>
      </c>
      <c r="Q314" s="2">
        <f t="shared" si="101"/>
        <v>18.3</v>
      </c>
      <c r="R314" s="2">
        <f t="shared" si="101"/>
        <v>1624.62</v>
      </c>
      <c r="S314" s="2">
        <f t="shared" si="100"/>
        <v>162.46</v>
      </c>
      <c r="T314" s="2">
        <f t="shared" si="100"/>
        <v>30.51</v>
      </c>
      <c r="U314" s="2">
        <f t="shared" si="100"/>
        <v>3.05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523012</v>
      </c>
      <c r="AB314" s="14" t="s">
        <v>639</v>
      </c>
      <c r="AC314" s="15" t="s">
        <v>890</v>
      </c>
      <c r="AD314" s="2">
        <v>5082301</v>
      </c>
      <c r="AE314" s="2">
        <v>0</v>
      </c>
      <c r="AF314" s="2">
        <v>1</v>
      </c>
      <c r="AG314" s="2">
        <f t="shared" si="113"/>
        <v>5062301</v>
      </c>
      <c r="AH314" s="2">
        <v>1</v>
      </c>
      <c r="AI314" s="2"/>
      <c r="AJ314">
        <v>1</v>
      </c>
      <c r="AK314" s="1">
        <f t="shared" si="94"/>
        <v>78.538710854493559</v>
      </c>
      <c r="AL314">
        <v>7</v>
      </c>
      <c r="AM314">
        <f t="shared" si="103"/>
        <v>166.4</v>
      </c>
      <c r="AN314">
        <f t="shared" si="104"/>
        <v>16.64</v>
      </c>
      <c r="AO314">
        <f t="shared" si="105"/>
        <v>1476.9230769230767</v>
      </c>
      <c r="AP314">
        <f t="shared" si="106"/>
        <v>147.69230769230768</v>
      </c>
      <c r="AQ314">
        <f t="shared" si="95"/>
        <v>27.733333333333334</v>
      </c>
      <c r="AR314">
        <f t="shared" si="96"/>
        <v>2.7733333333333334</v>
      </c>
      <c r="AS314">
        <f t="shared" si="97"/>
        <v>1.2</v>
      </c>
      <c r="AT314">
        <f t="shared" si="98"/>
        <v>1.7</v>
      </c>
      <c r="AU314">
        <f t="shared" si="99"/>
        <v>3</v>
      </c>
      <c r="AV314">
        <f t="shared" si="110"/>
        <v>3012</v>
      </c>
      <c r="AW314" s="1">
        <v>1</v>
      </c>
      <c r="AX314">
        <v>5</v>
      </c>
      <c r="AY314">
        <v>0.1</v>
      </c>
      <c r="CE314" t="str">
        <f t="shared" si="109"/>
        <v>DATA_Class_Base31</v>
      </c>
      <c r="CF314" s="3" t="s">
        <v>384</v>
      </c>
    </row>
    <row r="315" spans="1:84">
      <c r="A315">
        <f t="shared" si="107"/>
        <v>5072401</v>
      </c>
      <c r="B315" t="s">
        <v>387</v>
      </c>
      <c r="C315">
        <v>7</v>
      </c>
      <c r="D315">
        <v>4</v>
      </c>
      <c r="E315">
        <v>2</v>
      </c>
      <c r="F315" s="3" t="s">
        <v>1653</v>
      </c>
      <c r="G315" s="3" t="s">
        <v>1653</v>
      </c>
      <c r="H315">
        <v>0</v>
      </c>
      <c r="I315">
        <v>0</v>
      </c>
      <c r="J315" s="2">
        <v>0</v>
      </c>
      <c r="K315" s="2" t="s">
        <v>161</v>
      </c>
      <c r="L315" s="2">
        <f t="shared" si="108"/>
        <v>6</v>
      </c>
      <c r="M315" s="2">
        <f t="shared" si="102"/>
        <v>1.6</v>
      </c>
      <c r="N315" s="2">
        <f t="shared" si="102"/>
        <v>1.5</v>
      </c>
      <c r="O315" s="2">
        <v>10</v>
      </c>
      <c r="P315" s="2">
        <f t="shared" si="101"/>
        <v>244.05</v>
      </c>
      <c r="Q315" s="2">
        <f t="shared" si="101"/>
        <v>24.41</v>
      </c>
      <c r="R315" s="2">
        <f t="shared" si="101"/>
        <v>1624.62</v>
      </c>
      <c r="S315" s="2">
        <f t="shared" si="100"/>
        <v>162.46</v>
      </c>
      <c r="T315" s="2">
        <f t="shared" si="100"/>
        <v>27.12</v>
      </c>
      <c r="U315" s="2">
        <f t="shared" si="100"/>
        <v>2.71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524012</v>
      </c>
      <c r="AB315" s="14" t="s">
        <v>640</v>
      </c>
      <c r="AC315" s="15" t="s">
        <v>890</v>
      </c>
      <c r="AD315" s="2">
        <v>5082401</v>
      </c>
      <c r="AE315" s="2">
        <v>0</v>
      </c>
      <c r="AF315" s="2">
        <v>1</v>
      </c>
      <c r="AG315" s="2">
        <f t="shared" si="113"/>
        <v>5062401</v>
      </c>
      <c r="AH315" s="2">
        <v>1</v>
      </c>
      <c r="AI315" s="2"/>
      <c r="AJ315">
        <v>1</v>
      </c>
      <c r="AK315" s="1">
        <f t="shared" si="94"/>
        <v>78.485177090805962</v>
      </c>
      <c r="AL315">
        <v>7</v>
      </c>
      <c r="AM315">
        <f t="shared" si="103"/>
        <v>221.86666666666667</v>
      </c>
      <c r="AN315">
        <f t="shared" si="104"/>
        <v>22.186666666666667</v>
      </c>
      <c r="AO315">
        <f t="shared" si="105"/>
        <v>1476.9230769230767</v>
      </c>
      <c r="AP315">
        <f t="shared" si="106"/>
        <v>147.69230769230768</v>
      </c>
      <c r="AQ315">
        <f t="shared" si="95"/>
        <v>24.651851851851852</v>
      </c>
      <c r="AR315">
        <f t="shared" si="96"/>
        <v>2.4651851851851854</v>
      </c>
      <c r="AS315">
        <f t="shared" si="97"/>
        <v>1.6</v>
      </c>
      <c r="AT315">
        <f t="shared" si="98"/>
        <v>1.5</v>
      </c>
      <c r="AU315">
        <f t="shared" si="99"/>
        <v>6</v>
      </c>
      <c r="AV315">
        <f t="shared" si="110"/>
        <v>4012</v>
      </c>
      <c r="AW315" s="1">
        <v>1</v>
      </c>
      <c r="AX315">
        <v>5</v>
      </c>
      <c r="AY315">
        <v>0.1</v>
      </c>
      <c r="CE315" t="str">
        <f t="shared" si="109"/>
        <v>DATA_Class_Base32</v>
      </c>
      <c r="CF315" s="3" t="s">
        <v>388</v>
      </c>
    </row>
    <row r="316" spans="1:84">
      <c r="A316">
        <f t="shared" si="107"/>
        <v>5072402</v>
      </c>
      <c r="B316" t="s">
        <v>390</v>
      </c>
      <c r="C316">
        <v>7</v>
      </c>
      <c r="D316">
        <v>4</v>
      </c>
      <c r="E316">
        <v>2</v>
      </c>
      <c r="F316" s="3" t="s">
        <v>1654</v>
      </c>
      <c r="G316" s="3" t="s">
        <v>1654</v>
      </c>
      <c r="H316">
        <v>0</v>
      </c>
      <c r="I316">
        <v>0</v>
      </c>
      <c r="J316">
        <v>0</v>
      </c>
      <c r="K316" s="2" t="s">
        <v>250</v>
      </c>
      <c r="L316" s="2">
        <f t="shared" si="108"/>
        <v>6</v>
      </c>
      <c r="M316" s="2">
        <f t="shared" si="102"/>
        <v>1.5</v>
      </c>
      <c r="N316" s="2">
        <f t="shared" si="102"/>
        <v>1.5</v>
      </c>
      <c r="O316" s="2">
        <v>10</v>
      </c>
      <c r="P316" s="2">
        <f t="shared" si="101"/>
        <v>246.4</v>
      </c>
      <c r="Q316" s="2">
        <f t="shared" si="101"/>
        <v>24.64</v>
      </c>
      <c r="R316" s="2">
        <f t="shared" si="101"/>
        <v>1508.57</v>
      </c>
      <c r="S316" s="2">
        <f t="shared" si="100"/>
        <v>150.86000000000001</v>
      </c>
      <c r="T316" s="2">
        <f t="shared" si="100"/>
        <v>30.8</v>
      </c>
      <c r="U316" s="2">
        <f t="shared" si="100"/>
        <v>3.08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524022</v>
      </c>
      <c r="AB316" s="14" t="s">
        <v>641</v>
      </c>
      <c r="AC316" s="15" t="s">
        <v>890</v>
      </c>
      <c r="AD316" s="2">
        <v>5082402</v>
      </c>
      <c r="AE316" s="2">
        <v>0</v>
      </c>
      <c r="AF316" s="2">
        <v>1</v>
      </c>
      <c r="AG316" s="2">
        <f t="shared" si="113"/>
        <v>5062402</v>
      </c>
      <c r="AH316" s="2">
        <v>1</v>
      </c>
      <c r="AI316" s="2"/>
      <c r="AJ316">
        <v>1</v>
      </c>
      <c r="AK316" s="1">
        <f t="shared" si="94"/>
        <v>78.543347017628591</v>
      </c>
      <c r="AL316">
        <v>7</v>
      </c>
      <c r="AM316">
        <f t="shared" si="103"/>
        <v>223.99999999999994</v>
      </c>
      <c r="AN316">
        <f t="shared" si="104"/>
        <v>22.399999999999995</v>
      </c>
      <c r="AO316">
        <f t="shared" si="105"/>
        <v>1371.4285714285716</v>
      </c>
      <c r="AP316">
        <f t="shared" si="106"/>
        <v>137.14285714285717</v>
      </c>
      <c r="AQ316">
        <f t="shared" si="95"/>
        <v>27.999999999999993</v>
      </c>
      <c r="AR316">
        <f t="shared" si="96"/>
        <v>2.7999999999999994</v>
      </c>
      <c r="AS316">
        <f t="shared" si="97"/>
        <v>1.5</v>
      </c>
      <c r="AT316">
        <f t="shared" si="98"/>
        <v>1.5</v>
      </c>
      <c r="AU316">
        <f t="shared" si="99"/>
        <v>6</v>
      </c>
      <c r="AV316">
        <f t="shared" si="110"/>
        <v>4022</v>
      </c>
      <c r="AW316" s="1">
        <v>2</v>
      </c>
      <c r="AX316">
        <v>5</v>
      </c>
      <c r="AY316">
        <v>0.1</v>
      </c>
      <c r="CE316" t="str">
        <f t="shared" si="109"/>
        <v>DATA_Class_Base33</v>
      </c>
      <c r="CF316" s="3" t="s">
        <v>391</v>
      </c>
    </row>
    <row r="317" spans="1:84">
      <c r="A317">
        <f t="shared" si="107"/>
        <v>5072500</v>
      </c>
      <c r="B317" t="s">
        <v>394</v>
      </c>
      <c r="C317">
        <v>7</v>
      </c>
      <c r="D317">
        <v>5</v>
      </c>
      <c r="E317">
        <v>2</v>
      </c>
      <c r="F317" s="3" t="s">
        <v>1655</v>
      </c>
      <c r="G317" s="3" t="s">
        <v>1655</v>
      </c>
      <c r="H317">
        <v>0</v>
      </c>
      <c r="I317">
        <v>0</v>
      </c>
      <c r="J317" s="2">
        <v>0</v>
      </c>
      <c r="K317" s="2" t="s">
        <v>303</v>
      </c>
      <c r="L317" s="2">
        <f t="shared" si="108"/>
        <v>6</v>
      </c>
      <c r="M317" s="2">
        <f t="shared" si="102"/>
        <v>1.5</v>
      </c>
      <c r="N317" s="2">
        <f t="shared" si="102"/>
        <v>2</v>
      </c>
      <c r="O317" s="2">
        <v>10</v>
      </c>
      <c r="P317" s="2">
        <f t="shared" si="101"/>
        <v>264</v>
      </c>
      <c r="Q317" s="2">
        <f t="shared" si="101"/>
        <v>26.4</v>
      </c>
      <c r="R317" s="2">
        <f t="shared" si="101"/>
        <v>1408</v>
      </c>
      <c r="S317" s="2">
        <f t="shared" si="100"/>
        <v>140.80000000000001</v>
      </c>
      <c r="T317" s="2">
        <f t="shared" si="100"/>
        <v>29.33</v>
      </c>
      <c r="U317" s="2">
        <f t="shared" si="100"/>
        <v>2.93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525002</v>
      </c>
      <c r="AB317" s="14" t="s">
        <v>642</v>
      </c>
      <c r="AC317" s="15" t="s">
        <v>890</v>
      </c>
      <c r="AD317" s="2">
        <v>5082500</v>
      </c>
      <c r="AE317" s="2">
        <v>0</v>
      </c>
      <c r="AF317" s="2">
        <v>1</v>
      </c>
      <c r="AG317" s="2">
        <f t="shared" si="113"/>
        <v>5062500</v>
      </c>
      <c r="AH317" s="2">
        <v>1</v>
      </c>
      <c r="AI317" s="2"/>
      <c r="AJ317">
        <v>1</v>
      </c>
      <c r="AK317" s="1">
        <f t="shared" si="94"/>
        <v>78.520171673819746</v>
      </c>
      <c r="AL317">
        <v>7</v>
      </c>
      <c r="AM317">
        <f t="shared" si="103"/>
        <v>240</v>
      </c>
      <c r="AN317">
        <f t="shared" si="104"/>
        <v>24</v>
      </c>
      <c r="AO317">
        <f t="shared" si="105"/>
        <v>1280</v>
      </c>
      <c r="AP317">
        <f t="shared" si="106"/>
        <v>128</v>
      </c>
      <c r="AQ317">
        <f t="shared" si="95"/>
        <v>26.666666666666668</v>
      </c>
      <c r="AR317">
        <f t="shared" si="96"/>
        <v>2.666666666666667</v>
      </c>
      <c r="AS317">
        <f t="shared" si="97"/>
        <v>1.5</v>
      </c>
      <c r="AT317">
        <f t="shared" si="98"/>
        <v>2</v>
      </c>
      <c r="AU317">
        <f t="shared" si="99"/>
        <v>6</v>
      </c>
      <c r="AV317">
        <f t="shared" si="110"/>
        <v>5002</v>
      </c>
      <c r="AW317" s="1">
        <v>0</v>
      </c>
      <c r="AX317">
        <v>5</v>
      </c>
      <c r="AY317">
        <v>0.1</v>
      </c>
      <c r="CE317" t="str">
        <f t="shared" si="109"/>
        <v>DATA_Class_Base34</v>
      </c>
      <c r="CF317" s="3" t="s">
        <v>184</v>
      </c>
    </row>
    <row r="318" spans="1:84">
      <c r="A318">
        <f t="shared" si="107"/>
        <v>5072502</v>
      </c>
      <c r="B318" t="s">
        <v>396</v>
      </c>
      <c r="C318">
        <v>7</v>
      </c>
      <c r="D318">
        <v>5</v>
      </c>
      <c r="E318">
        <v>2</v>
      </c>
      <c r="F318" s="3" t="s">
        <v>1656</v>
      </c>
      <c r="G318" s="3" t="s">
        <v>1656</v>
      </c>
      <c r="H318">
        <v>0</v>
      </c>
      <c r="I318">
        <v>0</v>
      </c>
      <c r="J318" s="2">
        <v>0</v>
      </c>
      <c r="K318" s="2" t="s">
        <v>291</v>
      </c>
      <c r="L318" s="2">
        <f t="shared" si="108"/>
        <v>6</v>
      </c>
      <c r="M318" s="2">
        <f t="shared" si="102"/>
        <v>1.4000000000000001</v>
      </c>
      <c r="N318" s="2">
        <f t="shared" si="102"/>
        <v>2</v>
      </c>
      <c r="O318" s="2">
        <v>10</v>
      </c>
      <c r="P318" s="2">
        <f t="shared" si="101"/>
        <v>254.61</v>
      </c>
      <c r="Q318" s="2">
        <f t="shared" si="101"/>
        <v>25.46</v>
      </c>
      <c r="R318" s="2">
        <f t="shared" si="101"/>
        <v>1362.58</v>
      </c>
      <c r="S318" s="2">
        <f t="shared" si="100"/>
        <v>136.26</v>
      </c>
      <c r="T318" s="2">
        <f t="shared" si="100"/>
        <v>25.46</v>
      </c>
      <c r="U318" s="2">
        <f t="shared" si="100"/>
        <v>2.5499999999999998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525022</v>
      </c>
      <c r="AB318" s="14" t="s">
        <v>643</v>
      </c>
      <c r="AC318" s="15" t="s">
        <v>890</v>
      </c>
      <c r="AD318" s="2">
        <v>5082502</v>
      </c>
      <c r="AE318" s="2">
        <v>0</v>
      </c>
      <c r="AF318" s="2">
        <v>1</v>
      </c>
      <c r="AG318" s="2">
        <f t="shared" si="113"/>
        <v>5062502</v>
      </c>
      <c r="AH318" s="2">
        <v>1</v>
      </c>
      <c r="AI318" s="2"/>
      <c r="AJ318">
        <v>1</v>
      </c>
      <c r="AK318" s="1">
        <f t="shared" si="94"/>
        <v>78.459054427559636</v>
      </c>
      <c r="AL318">
        <v>7</v>
      </c>
      <c r="AM318">
        <f t="shared" si="103"/>
        <v>231.46666666666664</v>
      </c>
      <c r="AN318">
        <f t="shared" si="104"/>
        <v>23.146666666666665</v>
      </c>
      <c r="AO318">
        <f t="shared" si="105"/>
        <v>1238.7096774193549</v>
      </c>
      <c r="AP318">
        <f t="shared" si="106"/>
        <v>123.87096774193549</v>
      </c>
      <c r="AQ318">
        <f t="shared" si="95"/>
        <v>23.146666666666665</v>
      </c>
      <c r="AR318">
        <f t="shared" si="96"/>
        <v>2.3146666666666667</v>
      </c>
      <c r="AS318">
        <f t="shared" si="97"/>
        <v>1.4</v>
      </c>
      <c r="AT318">
        <f t="shared" si="98"/>
        <v>2</v>
      </c>
      <c r="AU318">
        <f t="shared" si="99"/>
        <v>6</v>
      </c>
      <c r="AV318">
        <f t="shared" si="110"/>
        <v>5022</v>
      </c>
      <c r="AW318" s="1">
        <v>2</v>
      </c>
      <c r="AX318">
        <v>5</v>
      </c>
      <c r="AY318">
        <v>0.1</v>
      </c>
      <c r="CE318" t="str">
        <f t="shared" si="109"/>
        <v>DATA_Class_Base35</v>
      </c>
      <c r="CF318" s="3" t="s">
        <v>195</v>
      </c>
    </row>
    <row r="319" spans="1:84">
      <c r="A319">
        <f t="shared" si="107"/>
        <v>5072601</v>
      </c>
      <c r="B319" t="s">
        <v>398</v>
      </c>
      <c r="C319">
        <v>7</v>
      </c>
      <c r="D319">
        <v>6</v>
      </c>
      <c r="E319">
        <v>2</v>
      </c>
      <c r="F319" s="3" t="s">
        <v>1657</v>
      </c>
      <c r="G319" s="3" t="s">
        <v>1657</v>
      </c>
      <c r="H319">
        <v>0</v>
      </c>
      <c r="I319">
        <v>0</v>
      </c>
      <c r="J319" s="2">
        <v>0</v>
      </c>
      <c r="K319" s="2" t="s">
        <v>309</v>
      </c>
      <c r="L319" s="2">
        <f t="shared" si="108"/>
        <v>6</v>
      </c>
      <c r="M319" s="2">
        <f t="shared" si="102"/>
        <v>1.5</v>
      </c>
      <c r="N319" s="2">
        <f t="shared" si="102"/>
        <v>2</v>
      </c>
      <c r="O319" s="2">
        <v>10</v>
      </c>
      <c r="P319" s="2">
        <f t="shared" si="101"/>
        <v>193.6</v>
      </c>
      <c r="Q319" s="2">
        <f t="shared" si="101"/>
        <v>19.36</v>
      </c>
      <c r="R319" s="2">
        <f t="shared" si="101"/>
        <v>1920</v>
      </c>
      <c r="S319" s="2">
        <f t="shared" si="100"/>
        <v>192</v>
      </c>
      <c r="T319" s="2">
        <f t="shared" si="100"/>
        <v>38.72</v>
      </c>
      <c r="U319" s="2">
        <f t="shared" si="100"/>
        <v>3.87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526012</v>
      </c>
      <c r="AB319" s="14" t="s">
        <v>644</v>
      </c>
      <c r="AC319" s="15" t="s">
        <v>890</v>
      </c>
      <c r="AD319" s="2">
        <v>5082601</v>
      </c>
      <c r="AE319" s="2">
        <v>0</v>
      </c>
      <c r="AF319" s="2">
        <v>1</v>
      </c>
      <c r="AG319" s="2">
        <f t="shared" si="113"/>
        <v>5062601</v>
      </c>
      <c r="AH319" s="2">
        <v>1</v>
      </c>
      <c r="AI319" s="2"/>
      <c r="AJ319">
        <v>1</v>
      </c>
      <c r="AK319" s="1">
        <f t="shared" si="94"/>
        <v>78.668730650154799</v>
      </c>
      <c r="AL319">
        <v>7</v>
      </c>
      <c r="AM319">
        <f t="shared" si="103"/>
        <v>176</v>
      </c>
      <c r="AN319">
        <f t="shared" si="104"/>
        <v>17.600000000000001</v>
      </c>
      <c r="AO319">
        <f t="shared" si="105"/>
        <v>1745.4545454545455</v>
      </c>
      <c r="AP319">
        <f t="shared" si="106"/>
        <v>174.54545454545456</v>
      </c>
      <c r="AQ319">
        <f t="shared" si="95"/>
        <v>35.200000000000003</v>
      </c>
      <c r="AR319">
        <f t="shared" si="96"/>
        <v>3.5200000000000005</v>
      </c>
      <c r="AS319">
        <f t="shared" si="97"/>
        <v>1.5</v>
      </c>
      <c r="AT319">
        <f t="shared" si="98"/>
        <v>2</v>
      </c>
      <c r="AU319">
        <f t="shared" si="99"/>
        <v>6</v>
      </c>
      <c r="AV319">
        <f t="shared" si="110"/>
        <v>6012</v>
      </c>
      <c r="AW319" s="1">
        <v>1</v>
      </c>
      <c r="AX319">
        <v>5</v>
      </c>
      <c r="AY319">
        <v>0.1</v>
      </c>
      <c r="CE319" t="str">
        <f t="shared" si="109"/>
        <v>DATA_Class_Base36</v>
      </c>
      <c r="CF319" s="3" t="s">
        <v>201</v>
      </c>
    </row>
    <row r="320" spans="1:84">
      <c r="A320">
        <f t="shared" si="107"/>
        <v>5073200</v>
      </c>
      <c r="B320" t="s">
        <v>373</v>
      </c>
      <c r="C320">
        <v>7</v>
      </c>
      <c r="D320">
        <v>2</v>
      </c>
      <c r="E320">
        <v>3</v>
      </c>
      <c r="F320" s="3" t="s">
        <v>1658</v>
      </c>
      <c r="G320" s="3" t="s">
        <v>1658</v>
      </c>
      <c r="H320">
        <v>0</v>
      </c>
      <c r="I320">
        <v>0</v>
      </c>
      <c r="J320">
        <v>0</v>
      </c>
      <c r="K320" s="2" t="s">
        <v>314</v>
      </c>
      <c r="L320" s="2">
        <f t="shared" si="108"/>
        <v>3</v>
      </c>
      <c r="M320" s="2">
        <f t="shared" si="102"/>
        <v>1.5</v>
      </c>
      <c r="N320" s="2">
        <f t="shared" si="102"/>
        <v>1.2</v>
      </c>
      <c r="O320" s="2">
        <v>10</v>
      </c>
      <c r="P320" s="2">
        <f t="shared" si="101"/>
        <v>123.2</v>
      </c>
      <c r="Q320" s="2">
        <f t="shared" si="101"/>
        <v>12.32</v>
      </c>
      <c r="R320" s="2">
        <f t="shared" si="101"/>
        <v>3017.14</v>
      </c>
      <c r="S320" s="2">
        <f t="shared" si="100"/>
        <v>301.70999999999998</v>
      </c>
      <c r="T320" s="2">
        <f t="shared" si="100"/>
        <v>61.6</v>
      </c>
      <c r="U320" s="2">
        <f t="shared" si="100"/>
        <v>6.16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532002</v>
      </c>
      <c r="AB320" s="14" t="s">
        <v>645</v>
      </c>
      <c r="AC320" s="15" t="s">
        <v>890</v>
      </c>
      <c r="AD320" s="2">
        <v>5083200</v>
      </c>
      <c r="AE320" s="2">
        <v>0</v>
      </c>
      <c r="AF320" s="2">
        <v>1</v>
      </c>
      <c r="AG320" s="2">
        <f t="shared" si="113"/>
        <v>5063200</v>
      </c>
      <c r="AH320" s="2">
        <v>1</v>
      </c>
      <c r="AI320" s="2"/>
      <c r="AJ320">
        <v>1</v>
      </c>
      <c r="AK320" s="1">
        <f t="shared" si="94"/>
        <v>79.033209136562448</v>
      </c>
      <c r="AL320">
        <v>7</v>
      </c>
      <c r="AM320">
        <f t="shared" si="103"/>
        <v>111.99999999999997</v>
      </c>
      <c r="AN320">
        <f t="shared" si="104"/>
        <v>11.199999999999998</v>
      </c>
      <c r="AO320">
        <f t="shared" si="105"/>
        <v>2742.8571428571431</v>
      </c>
      <c r="AP320">
        <f t="shared" si="106"/>
        <v>274.28571428571433</v>
      </c>
      <c r="AQ320">
        <f t="shared" si="95"/>
        <v>55.999999999999986</v>
      </c>
      <c r="AR320">
        <f t="shared" si="96"/>
        <v>5.5999999999999988</v>
      </c>
      <c r="AS320">
        <f t="shared" si="97"/>
        <v>1.5</v>
      </c>
      <c r="AT320">
        <f t="shared" si="98"/>
        <v>1.2</v>
      </c>
      <c r="AU320">
        <f t="shared" si="99"/>
        <v>3</v>
      </c>
      <c r="AV320">
        <f t="shared" si="110"/>
        <v>2003</v>
      </c>
      <c r="AW320" s="1">
        <v>0</v>
      </c>
      <c r="AX320">
        <v>5</v>
      </c>
      <c r="AY320">
        <v>0.1</v>
      </c>
      <c r="CE320" t="str">
        <f t="shared" si="109"/>
        <v>DATA_Class_Base28</v>
      </c>
      <c r="CF320" s="3" t="s">
        <v>374</v>
      </c>
    </row>
    <row r="321" spans="1:84">
      <c r="A321">
        <f t="shared" si="107"/>
        <v>5073201</v>
      </c>
      <c r="B321" t="s">
        <v>377</v>
      </c>
      <c r="C321">
        <v>7</v>
      </c>
      <c r="D321">
        <v>2</v>
      </c>
      <c r="E321">
        <v>3</v>
      </c>
      <c r="F321" s="3" t="s">
        <v>1659</v>
      </c>
      <c r="G321" s="3" t="s">
        <v>1659</v>
      </c>
      <c r="H321">
        <v>0</v>
      </c>
      <c r="I321">
        <v>0</v>
      </c>
      <c r="J321" s="2">
        <v>0</v>
      </c>
      <c r="K321" s="8" t="s">
        <v>298</v>
      </c>
      <c r="L321" s="2">
        <f t="shared" si="108"/>
        <v>3</v>
      </c>
      <c r="M321" s="2">
        <f t="shared" si="102"/>
        <v>1.8</v>
      </c>
      <c r="N321" s="2">
        <f t="shared" si="102"/>
        <v>1.8</v>
      </c>
      <c r="O321" s="2">
        <v>10</v>
      </c>
      <c r="P321" s="2">
        <f t="shared" si="101"/>
        <v>126.72</v>
      </c>
      <c r="Q321" s="2">
        <f t="shared" si="101"/>
        <v>12.67</v>
      </c>
      <c r="R321" s="2">
        <f t="shared" si="101"/>
        <v>3520</v>
      </c>
      <c r="S321" s="2">
        <f t="shared" si="100"/>
        <v>352</v>
      </c>
      <c r="T321" s="2">
        <f t="shared" si="100"/>
        <v>70.400000000000006</v>
      </c>
      <c r="U321" s="2">
        <f t="shared" si="100"/>
        <v>7.04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532012</v>
      </c>
      <c r="AB321" s="14" t="s">
        <v>646</v>
      </c>
      <c r="AC321" s="15" t="s">
        <v>890</v>
      </c>
      <c r="AD321" s="2">
        <v>5083201</v>
      </c>
      <c r="AE321" s="2">
        <v>0</v>
      </c>
      <c r="AF321" s="2">
        <v>1</v>
      </c>
      <c r="AG321" s="2">
        <f t="shared" si="113"/>
        <v>5063201</v>
      </c>
      <c r="AH321" s="2">
        <v>1</v>
      </c>
      <c r="AI321" s="2"/>
      <c r="AJ321">
        <v>1</v>
      </c>
      <c r="AK321" s="1">
        <f t="shared" si="94"/>
        <v>79.17429406037003</v>
      </c>
      <c r="AL321">
        <v>7</v>
      </c>
      <c r="AM321">
        <f t="shared" si="103"/>
        <v>115.20000000000002</v>
      </c>
      <c r="AN321">
        <f t="shared" si="104"/>
        <v>11.520000000000003</v>
      </c>
      <c r="AO321">
        <f t="shared" si="105"/>
        <v>3200</v>
      </c>
      <c r="AP321">
        <f t="shared" si="106"/>
        <v>320</v>
      </c>
      <c r="AQ321">
        <f t="shared" si="95"/>
        <v>64.000000000000014</v>
      </c>
      <c r="AR321">
        <f t="shared" si="96"/>
        <v>6.4000000000000021</v>
      </c>
      <c r="AS321">
        <f t="shared" si="97"/>
        <v>1.8</v>
      </c>
      <c r="AT321">
        <f t="shared" si="98"/>
        <v>1.8</v>
      </c>
      <c r="AU321">
        <f t="shared" si="99"/>
        <v>3</v>
      </c>
      <c r="AV321">
        <f t="shared" si="110"/>
        <v>2013</v>
      </c>
      <c r="AW321" s="1">
        <v>1</v>
      </c>
      <c r="AX321">
        <v>5</v>
      </c>
      <c r="AY321">
        <v>0.1</v>
      </c>
      <c r="CE321" t="str">
        <f t="shared" si="109"/>
        <v>DATA_Class_Base29</v>
      </c>
      <c r="CF321" s="3" t="s">
        <v>378</v>
      </c>
    </row>
    <row r="322" spans="1:84">
      <c r="A322">
        <f t="shared" si="107"/>
        <v>5073202</v>
      </c>
      <c r="B322" t="s">
        <v>380</v>
      </c>
      <c r="C322">
        <v>7</v>
      </c>
      <c r="D322">
        <v>2</v>
      </c>
      <c r="E322">
        <v>3</v>
      </c>
      <c r="F322" s="3" t="s">
        <v>1660</v>
      </c>
      <c r="G322" s="3" t="s">
        <v>1660</v>
      </c>
      <c r="H322">
        <v>0</v>
      </c>
      <c r="I322">
        <v>0</v>
      </c>
      <c r="J322">
        <v>0</v>
      </c>
      <c r="K322" s="2" t="s">
        <v>280</v>
      </c>
      <c r="L322" s="2">
        <f t="shared" si="108"/>
        <v>3</v>
      </c>
      <c r="M322" s="2">
        <f t="shared" si="102"/>
        <v>1.8</v>
      </c>
      <c r="N322" s="2">
        <f t="shared" si="102"/>
        <v>2</v>
      </c>
      <c r="O322" s="2">
        <v>10</v>
      </c>
      <c r="P322" s="2">
        <f t="shared" si="101"/>
        <v>190.08</v>
      </c>
      <c r="Q322" s="2">
        <f t="shared" si="101"/>
        <v>19.010000000000002</v>
      </c>
      <c r="R322" s="2">
        <f t="shared" si="101"/>
        <v>2346.67</v>
      </c>
      <c r="S322" s="2">
        <f t="shared" si="100"/>
        <v>234.67</v>
      </c>
      <c r="T322" s="2">
        <f t="shared" si="100"/>
        <v>63.36</v>
      </c>
      <c r="U322" s="2">
        <f t="shared" si="100"/>
        <v>6.34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532022</v>
      </c>
      <c r="AB322" s="14" t="s">
        <v>647</v>
      </c>
      <c r="AC322" s="15" t="s">
        <v>890</v>
      </c>
      <c r="AD322" s="2">
        <v>5083202</v>
      </c>
      <c r="AE322" s="2">
        <v>0</v>
      </c>
      <c r="AF322" s="2">
        <v>1</v>
      </c>
      <c r="AG322" s="2">
        <f t="shared" si="113"/>
        <v>5063202</v>
      </c>
      <c r="AH322" s="2">
        <v>1</v>
      </c>
      <c r="AI322" s="2"/>
      <c r="AJ322">
        <v>1</v>
      </c>
      <c r="AK322" s="1">
        <f t="shared" si="94"/>
        <v>79.061385881895404</v>
      </c>
      <c r="AL322">
        <v>7</v>
      </c>
      <c r="AM322">
        <f t="shared" si="103"/>
        <v>172.8</v>
      </c>
      <c r="AN322">
        <f t="shared" si="104"/>
        <v>17.28</v>
      </c>
      <c r="AO322">
        <f t="shared" si="105"/>
        <v>2133.3333333333335</v>
      </c>
      <c r="AP322">
        <f t="shared" si="106"/>
        <v>213.33333333333337</v>
      </c>
      <c r="AQ322">
        <f t="shared" si="95"/>
        <v>57.6</v>
      </c>
      <c r="AR322">
        <f t="shared" si="96"/>
        <v>5.7600000000000007</v>
      </c>
      <c r="AS322">
        <f t="shared" si="97"/>
        <v>1.8</v>
      </c>
      <c r="AT322">
        <f t="shared" si="98"/>
        <v>2</v>
      </c>
      <c r="AU322">
        <f t="shared" si="99"/>
        <v>3</v>
      </c>
      <c r="AV322">
        <f t="shared" si="110"/>
        <v>2023</v>
      </c>
      <c r="AW322" s="1">
        <v>2</v>
      </c>
      <c r="AX322">
        <v>5</v>
      </c>
      <c r="AY322">
        <v>0.1</v>
      </c>
      <c r="CE322" t="str">
        <f t="shared" si="109"/>
        <v>DATA_Class_Base30</v>
      </c>
      <c r="CF322" s="3" t="s">
        <v>381</v>
      </c>
    </row>
    <row r="323" spans="1:84">
      <c r="A323">
        <f t="shared" si="107"/>
        <v>5073301</v>
      </c>
      <c r="B323" t="s">
        <v>383</v>
      </c>
      <c r="C323">
        <v>7</v>
      </c>
      <c r="D323">
        <v>3</v>
      </c>
      <c r="E323">
        <v>3</v>
      </c>
      <c r="F323" s="3" t="s">
        <v>1661</v>
      </c>
      <c r="G323" s="3" t="s">
        <v>1661</v>
      </c>
      <c r="H323">
        <v>0</v>
      </c>
      <c r="I323">
        <v>0</v>
      </c>
      <c r="J323" s="2">
        <v>0</v>
      </c>
      <c r="K323" s="2" t="s">
        <v>285</v>
      </c>
      <c r="L323" s="2">
        <f t="shared" si="108"/>
        <v>3</v>
      </c>
      <c r="M323" s="2">
        <f t="shared" si="102"/>
        <v>1.2</v>
      </c>
      <c r="N323" s="2">
        <f t="shared" si="102"/>
        <v>1.4000000000000001</v>
      </c>
      <c r="O323" s="2">
        <v>10</v>
      </c>
      <c r="P323" s="2">
        <f t="shared" si="101"/>
        <v>168.96</v>
      </c>
      <c r="Q323" s="2">
        <f t="shared" si="101"/>
        <v>16.899999999999999</v>
      </c>
      <c r="R323" s="2">
        <f t="shared" si="101"/>
        <v>1760</v>
      </c>
      <c r="S323" s="2">
        <f t="shared" si="100"/>
        <v>176</v>
      </c>
      <c r="T323" s="2">
        <f t="shared" si="100"/>
        <v>33.79</v>
      </c>
      <c r="U323" s="2">
        <f t="shared" si="100"/>
        <v>3.38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533012</v>
      </c>
      <c r="AB323" s="14" t="s">
        <v>648</v>
      </c>
      <c r="AC323" s="15" t="s">
        <v>890</v>
      </c>
      <c r="AD323" s="2">
        <v>5083301</v>
      </c>
      <c r="AE323" s="2">
        <v>0</v>
      </c>
      <c r="AF323" s="2">
        <v>1</v>
      </c>
      <c r="AG323" s="2">
        <f t="shared" si="113"/>
        <v>5063301</v>
      </c>
      <c r="AH323" s="2">
        <v>1</v>
      </c>
      <c r="AI323" s="2"/>
      <c r="AJ323">
        <v>1</v>
      </c>
      <c r="AK323" s="1">
        <f t="shared" si="94"/>
        <v>78.590667164967741</v>
      </c>
      <c r="AL323">
        <v>7</v>
      </c>
      <c r="AM323">
        <f t="shared" si="103"/>
        <v>153.6</v>
      </c>
      <c r="AN323">
        <f t="shared" si="104"/>
        <v>15.36</v>
      </c>
      <c r="AO323">
        <f t="shared" si="105"/>
        <v>1600</v>
      </c>
      <c r="AP323">
        <f t="shared" si="106"/>
        <v>160</v>
      </c>
      <c r="AQ323">
        <f t="shared" si="95"/>
        <v>30.72</v>
      </c>
      <c r="AR323">
        <f t="shared" si="96"/>
        <v>3.0720000000000001</v>
      </c>
      <c r="AS323">
        <f t="shared" si="97"/>
        <v>1.2</v>
      </c>
      <c r="AT323">
        <f t="shared" si="98"/>
        <v>1.4</v>
      </c>
      <c r="AU323">
        <f t="shared" si="99"/>
        <v>3</v>
      </c>
      <c r="AV323">
        <f t="shared" si="110"/>
        <v>3013</v>
      </c>
      <c r="AW323" s="1">
        <v>1</v>
      </c>
      <c r="AX323">
        <v>5</v>
      </c>
      <c r="AY323">
        <v>0.1</v>
      </c>
      <c r="CE323" t="str">
        <f t="shared" si="109"/>
        <v>DATA_Class_Base31</v>
      </c>
      <c r="CF323" s="3" t="s">
        <v>384</v>
      </c>
    </row>
    <row r="324" spans="1:84">
      <c r="A324">
        <f t="shared" si="107"/>
        <v>5073401</v>
      </c>
      <c r="B324" t="s">
        <v>387</v>
      </c>
      <c r="C324">
        <v>7</v>
      </c>
      <c r="D324">
        <v>4</v>
      </c>
      <c r="E324">
        <v>3</v>
      </c>
      <c r="F324" s="3" t="s">
        <v>1662</v>
      </c>
      <c r="G324" s="3" t="s">
        <v>1662</v>
      </c>
      <c r="H324">
        <v>0</v>
      </c>
      <c r="I324">
        <v>0</v>
      </c>
      <c r="J324">
        <v>0</v>
      </c>
      <c r="K324" s="2" t="s">
        <v>161</v>
      </c>
      <c r="L324" s="2">
        <f t="shared" si="108"/>
        <v>6</v>
      </c>
      <c r="M324" s="2">
        <f t="shared" si="102"/>
        <v>1.6</v>
      </c>
      <c r="N324" s="2">
        <f t="shared" si="102"/>
        <v>1.5</v>
      </c>
      <c r="O324" s="2">
        <v>10</v>
      </c>
      <c r="P324" s="2">
        <f t="shared" si="101"/>
        <v>225.28</v>
      </c>
      <c r="Q324" s="2">
        <f t="shared" si="101"/>
        <v>22.53</v>
      </c>
      <c r="R324" s="2">
        <f t="shared" si="101"/>
        <v>1760</v>
      </c>
      <c r="S324" s="2">
        <f t="shared" si="100"/>
        <v>176</v>
      </c>
      <c r="T324" s="2">
        <f t="shared" si="100"/>
        <v>37.549999999999997</v>
      </c>
      <c r="U324" s="2">
        <f t="shared" si="100"/>
        <v>3.75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534012</v>
      </c>
      <c r="AB324" s="14" t="s">
        <v>649</v>
      </c>
      <c r="AC324" s="15" t="s">
        <v>890</v>
      </c>
      <c r="AD324" s="2">
        <v>5083401</v>
      </c>
      <c r="AE324" s="2">
        <v>0</v>
      </c>
      <c r="AF324" s="2">
        <v>1</v>
      </c>
      <c r="AG324" s="2">
        <f t="shared" si="113"/>
        <v>5063401</v>
      </c>
      <c r="AH324" s="2">
        <v>1</v>
      </c>
      <c r="AI324" s="2"/>
      <c r="AJ324">
        <v>1</v>
      </c>
      <c r="AK324" s="1">
        <f t="shared" si="94"/>
        <v>78.650130043204456</v>
      </c>
      <c r="AL324">
        <v>7</v>
      </c>
      <c r="AM324">
        <f t="shared" si="103"/>
        <v>204.8</v>
      </c>
      <c r="AN324">
        <f t="shared" si="104"/>
        <v>20.480000000000004</v>
      </c>
      <c r="AO324">
        <f t="shared" si="105"/>
        <v>1600</v>
      </c>
      <c r="AP324">
        <f t="shared" si="106"/>
        <v>160</v>
      </c>
      <c r="AQ324">
        <f t="shared" si="95"/>
        <v>34.133333333333333</v>
      </c>
      <c r="AR324">
        <f t="shared" ref="AR324:AR395" si="114">AQ324*0.1</f>
        <v>3.4133333333333336</v>
      </c>
      <c r="AS324">
        <f t="shared" si="97"/>
        <v>1.6</v>
      </c>
      <c r="AT324">
        <f t="shared" si="98"/>
        <v>1.5</v>
      </c>
      <c r="AU324">
        <f t="shared" si="99"/>
        <v>6</v>
      </c>
      <c r="AV324">
        <f t="shared" si="110"/>
        <v>4013</v>
      </c>
      <c r="AW324" s="1">
        <v>1</v>
      </c>
      <c r="AX324">
        <v>5</v>
      </c>
      <c r="AY324">
        <v>0.1</v>
      </c>
      <c r="CE324" t="str">
        <f t="shared" si="109"/>
        <v>DATA_Class_Base32</v>
      </c>
      <c r="CF324" s="3" t="s">
        <v>388</v>
      </c>
    </row>
    <row r="325" spans="1:84">
      <c r="A325">
        <f t="shared" si="107"/>
        <v>5073402</v>
      </c>
      <c r="B325" t="s">
        <v>390</v>
      </c>
      <c r="C325">
        <v>7</v>
      </c>
      <c r="D325">
        <v>4</v>
      </c>
      <c r="E325">
        <v>3</v>
      </c>
      <c r="F325" s="3" t="s">
        <v>1663</v>
      </c>
      <c r="G325" s="3" t="s">
        <v>1663</v>
      </c>
      <c r="H325">
        <v>0</v>
      </c>
      <c r="I325">
        <v>0</v>
      </c>
      <c r="J325" s="2">
        <v>0</v>
      </c>
      <c r="K325" s="2" t="s">
        <v>250</v>
      </c>
      <c r="L325" s="2">
        <f t="shared" si="108"/>
        <v>6</v>
      </c>
      <c r="M325" s="2">
        <f t="shared" si="102"/>
        <v>1.5</v>
      </c>
      <c r="N325" s="2">
        <f t="shared" si="102"/>
        <v>1.5</v>
      </c>
      <c r="O325" s="2">
        <v>10</v>
      </c>
      <c r="P325" s="2">
        <f t="shared" si="101"/>
        <v>228.8</v>
      </c>
      <c r="Q325" s="2">
        <f t="shared" si="101"/>
        <v>22.88</v>
      </c>
      <c r="R325" s="2">
        <f t="shared" si="101"/>
        <v>1624.62</v>
      </c>
      <c r="S325" s="2">
        <f t="shared" si="100"/>
        <v>162.46</v>
      </c>
      <c r="T325" s="2">
        <f t="shared" si="100"/>
        <v>32.69</v>
      </c>
      <c r="U325" s="2">
        <f t="shared" si="100"/>
        <v>3.27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534022</v>
      </c>
      <c r="AB325" s="14" t="s">
        <v>650</v>
      </c>
      <c r="AC325" s="15" t="s">
        <v>890</v>
      </c>
      <c r="AD325" s="2">
        <v>5083402</v>
      </c>
      <c r="AE325" s="2">
        <v>0</v>
      </c>
      <c r="AF325" s="2">
        <v>1</v>
      </c>
      <c r="AG325" s="2">
        <f t="shared" si="113"/>
        <v>5063402</v>
      </c>
      <c r="AH325" s="2">
        <v>1</v>
      </c>
      <c r="AI325" s="2"/>
      <c r="AJ325">
        <v>1</v>
      </c>
      <c r="AK325" s="1">
        <f t="shared" si="94"/>
        <v>78.573163997791283</v>
      </c>
      <c r="AL325">
        <v>7</v>
      </c>
      <c r="AM325">
        <f t="shared" si="103"/>
        <v>208</v>
      </c>
      <c r="AN325">
        <f t="shared" si="104"/>
        <v>20.8</v>
      </c>
      <c r="AO325">
        <f t="shared" si="105"/>
        <v>1476.9230769230767</v>
      </c>
      <c r="AP325">
        <f t="shared" si="106"/>
        <v>147.69230769230768</v>
      </c>
      <c r="AQ325">
        <f t="shared" si="95"/>
        <v>29.714285714285715</v>
      </c>
      <c r="AR325">
        <f t="shared" si="114"/>
        <v>2.9714285714285715</v>
      </c>
      <c r="AS325">
        <f t="shared" si="97"/>
        <v>1.5</v>
      </c>
      <c r="AT325">
        <f t="shared" si="98"/>
        <v>1.5</v>
      </c>
      <c r="AU325">
        <f t="shared" si="99"/>
        <v>6</v>
      </c>
      <c r="AV325">
        <f t="shared" si="110"/>
        <v>4023</v>
      </c>
      <c r="AW325" s="1">
        <v>2</v>
      </c>
      <c r="AX325">
        <v>5</v>
      </c>
      <c r="AY325">
        <v>0.1</v>
      </c>
      <c r="CE325" t="str">
        <f t="shared" si="109"/>
        <v>DATA_Class_Base33</v>
      </c>
      <c r="CF325" s="3" t="s">
        <v>391</v>
      </c>
    </row>
    <row r="326" spans="1:84">
      <c r="A326">
        <f t="shared" si="107"/>
        <v>5073500</v>
      </c>
      <c r="B326" t="s">
        <v>394</v>
      </c>
      <c r="C326">
        <v>7</v>
      </c>
      <c r="D326">
        <v>5</v>
      </c>
      <c r="E326">
        <v>3</v>
      </c>
      <c r="F326" s="3" t="s">
        <v>1664</v>
      </c>
      <c r="G326" s="3" t="s">
        <v>1664</v>
      </c>
      <c r="H326">
        <v>0</v>
      </c>
      <c r="I326">
        <v>0</v>
      </c>
      <c r="J326" s="2">
        <v>0</v>
      </c>
      <c r="K326" s="2" t="s">
        <v>303</v>
      </c>
      <c r="L326" s="2">
        <f t="shared" si="108"/>
        <v>6</v>
      </c>
      <c r="M326" s="2">
        <f t="shared" si="102"/>
        <v>1.5</v>
      </c>
      <c r="N326" s="2">
        <f t="shared" si="102"/>
        <v>2</v>
      </c>
      <c r="O326" s="2">
        <v>10</v>
      </c>
      <c r="P326" s="2">
        <f t="shared" si="101"/>
        <v>228.8</v>
      </c>
      <c r="Q326" s="2">
        <f t="shared" si="101"/>
        <v>22.88</v>
      </c>
      <c r="R326" s="2">
        <f t="shared" si="101"/>
        <v>1624.62</v>
      </c>
      <c r="S326" s="2">
        <f t="shared" si="100"/>
        <v>162.46</v>
      </c>
      <c r="T326" s="2">
        <f t="shared" si="100"/>
        <v>38.130000000000003</v>
      </c>
      <c r="U326" s="2">
        <f t="shared" si="100"/>
        <v>3.81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535002</v>
      </c>
      <c r="AB326" s="14" t="s">
        <v>651</v>
      </c>
      <c r="AC326" s="15" t="s">
        <v>890</v>
      </c>
      <c r="AD326" s="2">
        <v>5083500</v>
      </c>
      <c r="AE326" s="2">
        <v>0</v>
      </c>
      <c r="AF326" s="2">
        <v>1</v>
      </c>
      <c r="AG326" s="2">
        <f t="shared" si="113"/>
        <v>5063500</v>
      </c>
      <c r="AH326" s="2">
        <v>1</v>
      </c>
      <c r="AI326" s="2"/>
      <c r="AJ326">
        <v>1</v>
      </c>
      <c r="AK326" s="1">
        <f t="shared" si="94"/>
        <v>78.65942924705756</v>
      </c>
      <c r="AL326">
        <v>7</v>
      </c>
      <c r="AM326">
        <f t="shared" si="103"/>
        <v>208</v>
      </c>
      <c r="AN326">
        <f t="shared" si="104"/>
        <v>20.8</v>
      </c>
      <c r="AO326">
        <f t="shared" si="105"/>
        <v>1476.9230769230767</v>
      </c>
      <c r="AP326">
        <f t="shared" si="106"/>
        <v>147.69230769230768</v>
      </c>
      <c r="AQ326">
        <f t="shared" si="95"/>
        <v>34.666666666666664</v>
      </c>
      <c r="AR326">
        <f t="shared" si="114"/>
        <v>3.4666666666666668</v>
      </c>
      <c r="AS326">
        <f t="shared" si="97"/>
        <v>1.5</v>
      </c>
      <c r="AT326">
        <f t="shared" si="98"/>
        <v>2</v>
      </c>
      <c r="AU326">
        <f t="shared" si="99"/>
        <v>6</v>
      </c>
      <c r="AV326">
        <f t="shared" si="110"/>
        <v>5003</v>
      </c>
      <c r="AW326" s="1">
        <v>0</v>
      </c>
      <c r="AX326">
        <v>5</v>
      </c>
      <c r="AY326">
        <v>0.1</v>
      </c>
      <c r="CE326" t="str">
        <f t="shared" si="109"/>
        <v>DATA_Class_Base34</v>
      </c>
      <c r="CF326" s="3" t="s">
        <v>184</v>
      </c>
    </row>
    <row r="327" spans="1:84" ht="14.25" customHeight="1">
      <c r="A327">
        <f t="shared" si="107"/>
        <v>5073502</v>
      </c>
      <c r="B327" t="s">
        <v>396</v>
      </c>
      <c r="C327">
        <v>7</v>
      </c>
      <c r="D327">
        <v>5</v>
      </c>
      <c r="E327">
        <v>3</v>
      </c>
      <c r="F327" s="3" t="s">
        <v>1665</v>
      </c>
      <c r="G327" s="3" t="s">
        <v>1665</v>
      </c>
      <c r="H327">
        <v>0</v>
      </c>
      <c r="I327">
        <v>0</v>
      </c>
      <c r="J327" s="2">
        <v>0</v>
      </c>
      <c r="K327" s="2" t="s">
        <v>291</v>
      </c>
      <c r="L327" s="2">
        <f t="shared" si="108"/>
        <v>6</v>
      </c>
      <c r="M327" s="2">
        <f t="shared" si="102"/>
        <v>1.4000000000000001</v>
      </c>
      <c r="N327" s="2">
        <f t="shared" si="102"/>
        <v>2</v>
      </c>
      <c r="O327" s="2">
        <v>10</v>
      </c>
      <c r="P327" s="2">
        <f t="shared" si="101"/>
        <v>221.76</v>
      </c>
      <c r="Q327" s="2">
        <f t="shared" si="101"/>
        <v>22.18</v>
      </c>
      <c r="R327" s="2">
        <f t="shared" si="101"/>
        <v>1564.44</v>
      </c>
      <c r="S327" s="2">
        <f t="shared" si="100"/>
        <v>156.44</v>
      </c>
      <c r="T327" s="2">
        <f t="shared" si="100"/>
        <v>31.68</v>
      </c>
      <c r="U327" s="2">
        <f t="shared" si="100"/>
        <v>3.17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535022</v>
      </c>
      <c r="AB327" s="14" t="s">
        <v>652</v>
      </c>
      <c r="AC327" s="15" t="s">
        <v>890</v>
      </c>
      <c r="AD327" s="2">
        <v>5083502</v>
      </c>
      <c r="AE327" s="2">
        <v>0</v>
      </c>
      <c r="AF327" s="2">
        <v>1</v>
      </c>
      <c r="AG327" s="2">
        <f t="shared" si="113"/>
        <v>5063502</v>
      </c>
      <c r="AH327" s="2">
        <v>1</v>
      </c>
      <c r="AI327" s="2"/>
      <c r="AJ327">
        <v>1</v>
      </c>
      <c r="AK327" s="1">
        <f t="shared" si="94"/>
        <v>78.557258791704228</v>
      </c>
      <c r="AL327">
        <v>7</v>
      </c>
      <c r="AM327">
        <f t="shared" si="103"/>
        <v>201.6</v>
      </c>
      <c r="AN327">
        <f t="shared" si="104"/>
        <v>20.16</v>
      </c>
      <c r="AO327">
        <f t="shared" si="105"/>
        <v>1422.2222222222222</v>
      </c>
      <c r="AP327">
        <f t="shared" si="106"/>
        <v>142.22222222222223</v>
      </c>
      <c r="AQ327">
        <f t="shared" si="95"/>
        <v>28.8</v>
      </c>
      <c r="AR327">
        <f t="shared" si="114"/>
        <v>2.8800000000000003</v>
      </c>
      <c r="AS327">
        <f t="shared" si="97"/>
        <v>1.4</v>
      </c>
      <c r="AT327">
        <f t="shared" si="98"/>
        <v>2</v>
      </c>
      <c r="AU327">
        <f t="shared" si="99"/>
        <v>6</v>
      </c>
      <c r="AV327">
        <f t="shared" si="110"/>
        <v>5023</v>
      </c>
      <c r="AW327" s="1">
        <v>2</v>
      </c>
      <c r="AX327">
        <v>5</v>
      </c>
      <c r="AY327">
        <v>0.1</v>
      </c>
      <c r="CE327" t="str">
        <f t="shared" si="109"/>
        <v>DATA_Class_Base35</v>
      </c>
      <c r="CF327" s="3" t="s">
        <v>195</v>
      </c>
    </row>
    <row r="328" spans="1:84">
      <c r="A328">
        <f t="shared" si="107"/>
        <v>5073601</v>
      </c>
      <c r="B328" t="s">
        <v>398</v>
      </c>
      <c r="C328">
        <v>7</v>
      </c>
      <c r="D328">
        <v>6</v>
      </c>
      <c r="E328">
        <v>3</v>
      </c>
      <c r="F328" s="3" t="s">
        <v>1666</v>
      </c>
      <c r="G328" s="3" t="s">
        <v>1666</v>
      </c>
      <c r="H328">
        <v>0</v>
      </c>
      <c r="I328">
        <v>0</v>
      </c>
      <c r="J328">
        <v>0</v>
      </c>
      <c r="K328" s="2" t="s">
        <v>309</v>
      </c>
      <c r="L328" s="2">
        <f t="shared" si="108"/>
        <v>6</v>
      </c>
      <c r="M328" s="2">
        <f t="shared" si="102"/>
        <v>1.5</v>
      </c>
      <c r="N328" s="2">
        <f t="shared" si="102"/>
        <v>2</v>
      </c>
      <c r="O328" s="2">
        <v>10</v>
      </c>
      <c r="P328" s="2">
        <f t="shared" si="101"/>
        <v>158.4</v>
      </c>
      <c r="Q328" s="2">
        <f t="shared" si="101"/>
        <v>15.84</v>
      </c>
      <c r="R328" s="2">
        <f t="shared" si="101"/>
        <v>2346.67</v>
      </c>
      <c r="S328" s="2">
        <f t="shared" si="100"/>
        <v>234.67</v>
      </c>
      <c r="T328" s="2">
        <f t="shared" si="100"/>
        <v>52.8</v>
      </c>
      <c r="U328" s="2">
        <f t="shared" si="100"/>
        <v>5.28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536012</v>
      </c>
      <c r="AB328" s="14" t="s">
        <v>653</v>
      </c>
      <c r="AC328" s="15" t="s">
        <v>890</v>
      </c>
      <c r="AD328" s="2">
        <v>5083601</v>
      </c>
      <c r="AE328" s="2">
        <v>0</v>
      </c>
      <c r="AF328" s="2">
        <v>1</v>
      </c>
      <c r="AG328" s="2">
        <f t="shared" si="113"/>
        <v>5063601</v>
      </c>
      <c r="AH328" s="2">
        <v>1</v>
      </c>
      <c r="AI328" s="2"/>
      <c r="AJ328">
        <v>1</v>
      </c>
      <c r="AK328" s="1">
        <f t="shared" ref="AK328:AK391" si="115">(AO328+AP328*AJ328)*(AM328+AN328*AJ328)/AS328*(0.9)*(1+0.5*0.1)*1/1/(1-(AQ328+AR328*AJ328)*0.0002)/3000</f>
        <v>78.892626131953449</v>
      </c>
      <c r="AL328">
        <v>7</v>
      </c>
      <c r="AM328">
        <f t="shared" si="103"/>
        <v>144</v>
      </c>
      <c r="AN328">
        <f t="shared" si="104"/>
        <v>14.4</v>
      </c>
      <c r="AO328">
        <f t="shared" si="105"/>
        <v>2133.3333333333335</v>
      </c>
      <c r="AP328">
        <f t="shared" si="106"/>
        <v>213.33333333333337</v>
      </c>
      <c r="AQ328">
        <f t="shared" si="95"/>
        <v>48</v>
      </c>
      <c r="AR328">
        <f t="shared" si="114"/>
        <v>4.8000000000000007</v>
      </c>
      <c r="AS328">
        <f t="shared" si="97"/>
        <v>1.5</v>
      </c>
      <c r="AT328">
        <f t="shared" si="98"/>
        <v>2</v>
      </c>
      <c r="AU328">
        <f t="shared" si="99"/>
        <v>6</v>
      </c>
      <c r="AV328">
        <f t="shared" si="110"/>
        <v>6013</v>
      </c>
      <c r="AW328" s="1">
        <v>1</v>
      </c>
      <c r="AX328">
        <v>5</v>
      </c>
      <c r="AY328">
        <v>0.1</v>
      </c>
      <c r="CE328" t="str">
        <f t="shared" si="109"/>
        <v>DATA_Class_Base36</v>
      </c>
      <c r="CF328" s="3" t="s">
        <v>201</v>
      </c>
    </row>
    <row r="329" spans="1:84">
      <c r="A329">
        <f t="shared" si="107"/>
        <v>5074201</v>
      </c>
      <c r="B329" t="s">
        <v>377</v>
      </c>
      <c r="C329">
        <v>7</v>
      </c>
      <c r="D329">
        <v>2</v>
      </c>
      <c r="E329">
        <v>4</v>
      </c>
      <c r="F329" s="3" t="s">
        <v>1667</v>
      </c>
      <c r="G329" s="3" t="s">
        <v>1667</v>
      </c>
      <c r="H329">
        <v>0</v>
      </c>
      <c r="I329">
        <v>0</v>
      </c>
      <c r="J329" s="30">
        <v>0</v>
      </c>
      <c r="K329" s="8" t="s">
        <v>298</v>
      </c>
      <c r="L329" s="2">
        <f t="shared" si="108"/>
        <v>3</v>
      </c>
      <c r="M329" s="2">
        <f t="shared" si="102"/>
        <v>1.8</v>
      </c>
      <c r="N329" s="2">
        <f t="shared" si="102"/>
        <v>1.8</v>
      </c>
      <c r="O329" s="2">
        <v>10</v>
      </c>
      <c r="P329" s="2">
        <f t="shared" si="101"/>
        <v>168.96</v>
      </c>
      <c r="Q329" s="2">
        <f t="shared" si="101"/>
        <v>16.899999999999999</v>
      </c>
      <c r="R329" s="2">
        <f t="shared" si="101"/>
        <v>2640</v>
      </c>
      <c r="S329" s="2">
        <f t="shared" si="100"/>
        <v>264</v>
      </c>
      <c r="T329" s="2">
        <f t="shared" si="100"/>
        <v>64.98</v>
      </c>
      <c r="U329" s="2">
        <f t="shared" si="100"/>
        <v>6.5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542012</v>
      </c>
      <c r="AB329" s="15" t="s">
        <v>654</v>
      </c>
      <c r="AC329" s="15" t="s">
        <v>890</v>
      </c>
      <c r="AD329" s="2">
        <v>5084201</v>
      </c>
      <c r="AE329" s="2">
        <v>0</v>
      </c>
      <c r="AF329" s="2">
        <v>1</v>
      </c>
      <c r="AG329" s="2">
        <f t="shared" si="113"/>
        <v>5064201</v>
      </c>
      <c r="AH329" s="2">
        <v>1</v>
      </c>
      <c r="AI329" s="2"/>
      <c r="AJ329">
        <v>1</v>
      </c>
      <c r="AK329" s="1">
        <f t="shared" si="115"/>
        <v>79.087413023418236</v>
      </c>
      <c r="AL329">
        <v>7</v>
      </c>
      <c r="AM329">
        <f t="shared" si="103"/>
        <v>153.60000000000002</v>
      </c>
      <c r="AN329">
        <f t="shared" si="104"/>
        <v>15.360000000000003</v>
      </c>
      <c r="AO329">
        <f t="shared" si="105"/>
        <v>2400</v>
      </c>
      <c r="AP329">
        <f t="shared" si="106"/>
        <v>240</v>
      </c>
      <c r="AQ329">
        <f t="shared" si="95"/>
        <v>59.07692307692308</v>
      </c>
      <c r="AR329">
        <f t="shared" si="114"/>
        <v>5.907692307692308</v>
      </c>
      <c r="AS329">
        <f t="shared" si="97"/>
        <v>1.8</v>
      </c>
      <c r="AT329">
        <f t="shared" si="98"/>
        <v>1.8</v>
      </c>
      <c r="AU329">
        <f t="shared" si="99"/>
        <v>3</v>
      </c>
      <c r="AV329">
        <f t="shared" si="110"/>
        <v>2014</v>
      </c>
      <c r="AW329" s="1">
        <v>1</v>
      </c>
      <c r="AX329">
        <v>5</v>
      </c>
      <c r="AY329">
        <v>0.1</v>
      </c>
      <c r="BY329" s="13"/>
      <c r="BZ329" s="13"/>
      <c r="CA329" s="13"/>
      <c r="CE329" t="str">
        <f t="shared" si="109"/>
        <v>DATA_Class_Base29</v>
      </c>
      <c r="CF329" s="3" t="s">
        <v>378</v>
      </c>
    </row>
    <row r="330" spans="1:84">
      <c r="A330">
        <f t="shared" si="107"/>
        <v>5074302</v>
      </c>
      <c r="B330" t="s">
        <v>412</v>
      </c>
      <c r="C330">
        <v>7</v>
      </c>
      <c r="D330">
        <v>3</v>
      </c>
      <c r="E330">
        <v>4</v>
      </c>
      <c r="F330" s="3" t="s">
        <v>1668</v>
      </c>
      <c r="G330" s="3" t="s">
        <v>1668</v>
      </c>
      <c r="H330">
        <v>0</v>
      </c>
      <c r="I330">
        <v>0</v>
      </c>
      <c r="J330" s="30">
        <v>0</v>
      </c>
      <c r="K330" s="2" t="s">
        <v>358</v>
      </c>
      <c r="L330" s="2">
        <f t="shared" si="108"/>
        <v>3</v>
      </c>
      <c r="M330" s="2">
        <f t="shared" si="102"/>
        <v>1.4000000000000001</v>
      </c>
      <c r="N330" s="2">
        <f t="shared" si="102"/>
        <v>2</v>
      </c>
      <c r="O330" s="2">
        <v>10</v>
      </c>
      <c r="P330" s="2">
        <f t="shared" si="101"/>
        <v>180.69</v>
      </c>
      <c r="Q330" s="2">
        <f t="shared" si="101"/>
        <v>18.07</v>
      </c>
      <c r="R330" s="2">
        <f t="shared" si="101"/>
        <v>1920</v>
      </c>
      <c r="S330" s="2">
        <f t="shared" si="100"/>
        <v>192</v>
      </c>
      <c r="T330" s="2">
        <f t="shared" si="100"/>
        <v>27.8</v>
      </c>
      <c r="U330" s="2">
        <f t="shared" si="100"/>
        <v>2.78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543022</v>
      </c>
      <c r="AB330" s="15" t="s">
        <v>655</v>
      </c>
      <c r="AC330" s="15" t="s">
        <v>890</v>
      </c>
      <c r="AD330" s="2">
        <v>5084302</v>
      </c>
      <c r="AE330" s="2">
        <v>0</v>
      </c>
      <c r="AF330" s="2">
        <v>1</v>
      </c>
      <c r="AG330" s="2">
        <f t="shared" si="113"/>
        <v>5064302</v>
      </c>
      <c r="AH330" s="2">
        <v>1</v>
      </c>
      <c r="AI330" s="2"/>
      <c r="AJ330">
        <v>1</v>
      </c>
      <c r="AK330" s="1">
        <f t="shared" si="115"/>
        <v>78.495941332074807</v>
      </c>
      <c r="AL330">
        <v>7</v>
      </c>
      <c r="AM330">
        <f t="shared" si="103"/>
        <v>164.26666666666665</v>
      </c>
      <c r="AN330">
        <f t="shared" si="104"/>
        <v>16.426666666666666</v>
      </c>
      <c r="AO330">
        <f t="shared" si="105"/>
        <v>1745.4545454545455</v>
      </c>
      <c r="AP330">
        <f t="shared" si="106"/>
        <v>174.54545454545456</v>
      </c>
      <c r="AQ330">
        <f t="shared" si="95"/>
        <v>25.271794871794871</v>
      </c>
      <c r="AR330">
        <f t="shared" si="114"/>
        <v>2.5271794871794873</v>
      </c>
      <c r="AS330">
        <f t="shared" si="97"/>
        <v>1.4</v>
      </c>
      <c r="AT330">
        <f t="shared" si="98"/>
        <v>2</v>
      </c>
      <c r="AU330">
        <f t="shared" si="99"/>
        <v>3</v>
      </c>
      <c r="AV330">
        <f t="shared" si="110"/>
        <v>3024</v>
      </c>
      <c r="AW330" s="1">
        <v>2</v>
      </c>
      <c r="AX330">
        <v>5</v>
      </c>
      <c r="AY330">
        <v>0.1</v>
      </c>
      <c r="BY330" s="13"/>
      <c r="BZ330" s="13"/>
      <c r="CA330" s="13"/>
      <c r="CE330" t="str">
        <f t="shared" si="109"/>
        <v>DATA_Class_Base41</v>
      </c>
      <c r="CF330" s="3" t="s">
        <v>413</v>
      </c>
    </row>
    <row r="331" spans="1:84">
      <c r="A331">
        <f t="shared" si="107"/>
        <v>5074501</v>
      </c>
      <c r="B331" t="s">
        <v>401</v>
      </c>
      <c r="C331">
        <v>7</v>
      </c>
      <c r="D331">
        <v>5</v>
      </c>
      <c r="E331">
        <v>4</v>
      </c>
      <c r="F331" s="3" t="s">
        <v>1669</v>
      </c>
      <c r="G331" s="3" t="s">
        <v>1669</v>
      </c>
      <c r="H331">
        <v>0</v>
      </c>
      <c r="I331">
        <v>0</v>
      </c>
      <c r="J331">
        <v>0</v>
      </c>
      <c r="K331" s="2" t="s">
        <v>334</v>
      </c>
      <c r="L331" s="2">
        <f t="shared" si="108"/>
        <v>6</v>
      </c>
      <c r="M331" s="2">
        <f t="shared" ref="M331:N346" si="116">FLOOR(AS331/1,0.01)</f>
        <v>1.6</v>
      </c>
      <c r="N331" s="2">
        <f t="shared" si="116"/>
        <v>2</v>
      </c>
      <c r="O331" s="2">
        <v>10</v>
      </c>
      <c r="P331" s="2">
        <f t="shared" si="101"/>
        <v>244.05</v>
      </c>
      <c r="Q331" s="2">
        <f t="shared" si="101"/>
        <v>24.41</v>
      </c>
      <c r="R331" s="2">
        <f t="shared" si="101"/>
        <v>1624.62</v>
      </c>
      <c r="S331" s="2">
        <f t="shared" si="100"/>
        <v>162.46</v>
      </c>
      <c r="T331" s="2">
        <f t="shared" si="100"/>
        <v>27.12</v>
      </c>
      <c r="U331" s="2">
        <f t="shared" si="100"/>
        <v>2.71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545012</v>
      </c>
      <c r="AB331" s="14" t="s">
        <v>656</v>
      </c>
      <c r="AC331" s="15" t="s">
        <v>890</v>
      </c>
      <c r="AD331" s="2">
        <v>5084501</v>
      </c>
      <c r="AE331" s="2">
        <v>0</v>
      </c>
      <c r="AF331" s="2">
        <v>1</v>
      </c>
      <c r="AG331" s="2">
        <f t="shared" si="113"/>
        <v>5064501</v>
      </c>
      <c r="AH331" s="2">
        <v>1</v>
      </c>
      <c r="AI331" s="2"/>
      <c r="AJ331">
        <v>1</v>
      </c>
      <c r="AK331" s="1">
        <f t="shared" si="115"/>
        <v>78.485177090805962</v>
      </c>
      <c r="AL331">
        <v>7</v>
      </c>
      <c r="AM331">
        <f t="shared" si="103"/>
        <v>221.86666666666667</v>
      </c>
      <c r="AN331">
        <f t="shared" si="104"/>
        <v>22.186666666666667</v>
      </c>
      <c r="AO331">
        <f t="shared" si="105"/>
        <v>1476.9230769230767</v>
      </c>
      <c r="AP331">
        <f t="shared" si="106"/>
        <v>147.69230769230768</v>
      </c>
      <c r="AQ331">
        <f t="shared" si="95"/>
        <v>24.651851851851852</v>
      </c>
      <c r="AR331">
        <f t="shared" si="114"/>
        <v>2.4651851851851854</v>
      </c>
      <c r="AS331">
        <f t="shared" si="97"/>
        <v>1.6</v>
      </c>
      <c r="AT331">
        <f t="shared" si="98"/>
        <v>2</v>
      </c>
      <c r="AU331">
        <f t="shared" si="99"/>
        <v>6</v>
      </c>
      <c r="AV331">
        <f t="shared" si="110"/>
        <v>5014</v>
      </c>
      <c r="AW331" s="1">
        <v>1</v>
      </c>
      <c r="AX331">
        <v>5</v>
      </c>
      <c r="AY331">
        <v>0.1</v>
      </c>
      <c r="BY331" s="13"/>
      <c r="BZ331" s="13"/>
      <c r="CA331" s="13"/>
      <c r="CE331" t="str">
        <f t="shared" si="109"/>
        <v>DATA_Class_Base37</v>
      </c>
      <c r="CF331" s="3" t="s">
        <v>402</v>
      </c>
    </row>
    <row r="332" spans="1:84">
      <c r="A332">
        <f t="shared" si="107"/>
        <v>5074600</v>
      </c>
      <c r="B332" t="s">
        <v>404</v>
      </c>
      <c r="C332">
        <v>7</v>
      </c>
      <c r="D332">
        <v>6</v>
      </c>
      <c r="E332">
        <v>4</v>
      </c>
      <c r="F332" s="3" t="s">
        <v>1670</v>
      </c>
      <c r="G332" s="3" t="s">
        <v>1670</v>
      </c>
      <c r="H332">
        <v>0</v>
      </c>
      <c r="I332">
        <v>0</v>
      </c>
      <c r="J332" s="2">
        <v>0</v>
      </c>
      <c r="K332" s="2" t="s">
        <v>339</v>
      </c>
      <c r="L332" s="2">
        <f t="shared" si="108"/>
        <v>3</v>
      </c>
      <c r="M332" s="2">
        <f t="shared" si="116"/>
        <v>1.4000000000000001</v>
      </c>
      <c r="N332" s="2">
        <f t="shared" si="116"/>
        <v>1.9000000000000001</v>
      </c>
      <c r="O332" s="2">
        <v>10</v>
      </c>
      <c r="P332" s="2">
        <f t="shared" si="101"/>
        <v>180.69</v>
      </c>
      <c r="Q332" s="2">
        <f t="shared" si="101"/>
        <v>18.07</v>
      </c>
      <c r="R332" s="2">
        <f t="shared" si="101"/>
        <v>1920</v>
      </c>
      <c r="S332" s="2">
        <f t="shared" si="100"/>
        <v>192</v>
      </c>
      <c r="T332" s="2">
        <f t="shared" si="100"/>
        <v>45.17</v>
      </c>
      <c r="U332" s="2">
        <f t="shared" si="100"/>
        <v>4.5199999999999996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546002</v>
      </c>
      <c r="AB332" s="14" t="s">
        <v>657</v>
      </c>
      <c r="AC332" s="15" t="s">
        <v>890</v>
      </c>
      <c r="AD332" s="2">
        <v>5084600</v>
      </c>
      <c r="AE332" s="2">
        <v>0</v>
      </c>
      <c r="AF332" s="2">
        <v>1</v>
      </c>
      <c r="AG332" s="2">
        <f t="shared" si="113"/>
        <v>5064600</v>
      </c>
      <c r="AH332" s="2">
        <v>1</v>
      </c>
      <c r="AI332" s="2"/>
      <c r="AJ332">
        <v>1</v>
      </c>
      <c r="AK332" s="1">
        <f t="shared" si="115"/>
        <v>78.771191457757027</v>
      </c>
      <c r="AL332">
        <v>7</v>
      </c>
      <c r="AM332">
        <f t="shared" si="103"/>
        <v>164.26666666666665</v>
      </c>
      <c r="AN332">
        <f t="shared" si="104"/>
        <v>16.426666666666666</v>
      </c>
      <c r="AO332">
        <f t="shared" si="105"/>
        <v>1745.4545454545455</v>
      </c>
      <c r="AP332">
        <f t="shared" si="106"/>
        <v>174.54545454545456</v>
      </c>
      <c r="AQ332">
        <f t="shared" ref="AQ332:AQ375" si="117">$AM332/INDEX($BD$5:$BD$58,MATCH($AV332,$AZ$5:$AZ$58,0))</f>
        <v>41.066666666666663</v>
      </c>
      <c r="AR332">
        <f t="shared" si="114"/>
        <v>4.1066666666666665</v>
      </c>
      <c r="AS332">
        <f t="shared" ref="AS332:AS375" si="118">INDEX($BE$5:$BE$58,MATCH($AV332,$AZ$5:$AZ$58,0))</f>
        <v>1.4</v>
      </c>
      <c r="AT332">
        <f t="shared" ref="AT332:AT375" si="119">ROUND(IF(INDEX($BM$5:$BM$58,MATCH($AV332,$AZ$5:$AZ$58,0))&lt;2,INDEX($BM$5:$BM$58,MATCH($AV332,$AZ$5:$AZ$58,0))+0.2,2),1)</f>
        <v>1.9</v>
      </c>
      <c r="AU332">
        <f t="shared" ref="AU332:AU375" si="120">INDEX($BI$5:$BI$58,MATCH($AV332,$AZ$5:$AZ$58,0))</f>
        <v>3</v>
      </c>
      <c r="AV332">
        <f t="shared" si="110"/>
        <v>6004</v>
      </c>
      <c r="AW332" s="1">
        <v>0</v>
      </c>
      <c r="AX332">
        <v>5</v>
      </c>
      <c r="AY332">
        <v>0.1</v>
      </c>
      <c r="BY332" s="13"/>
      <c r="BZ332" s="13"/>
      <c r="CA332" s="13"/>
      <c r="CE332" t="str">
        <f t="shared" si="109"/>
        <v>DATA_Class_Base38</v>
      </c>
      <c r="CF332" s="3" t="s">
        <v>198</v>
      </c>
    </row>
    <row r="333" spans="1:84">
      <c r="A333">
        <f t="shared" si="107"/>
        <v>5074602</v>
      </c>
      <c r="B333" t="s">
        <v>406</v>
      </c>
      <c r="C333">
        <v>7</v>
      </c>
      <c r="D333">
        <v>6</v>
      </c>
      <c r="E333">
        <v>4</v>
      </c>
      <c r="F333" s="3" t="s">
        <v>1671</v>
      </c>
      <c r="G333" s="3" t="s">
        <v>1671</v>
      </c>
      <c r="H333">
        <v>0</v>
      </c>
      <c r="I333">
        <v>0</v>
      </c>
      <c r="J333" t="s">
        <v>345</v>
      </c>
      <c r="K333" s="2" t="s">
        <v>346</v>
      </c>
      <c r="L333" s="2">
        <f t="shared" si="108"/>
        <v>6</v>
      </c>
      <c r="M333" s="2">
        <f t="shared" si="116"/>
        <v>1.8</v>
      </c>
      <c r="N333" s="2">
        <f t="shared" si="116"/>
        <v>2</v>
      </c>
      <c r="O333" s="2">
        <v>10</v>
      </c>
      <c r="P333" s="2">
        <f t="shared" si="101"/>
        <v>211.2</v>
      </c>
      <c r="Q333" s="2">
        <f t="shared" si="101"/>
        <v>21.12</v>
      </c>
      <c r="R333" s="2">
        <f t="shared" si="101"/>
        <v>2112</v>
      </c>
      <c r="S333" s="2">
        <f t="shared" si="101"/>
        <v>211.2</v>
      </c>
      <c r="T333" s="2">
        <f t="shared" si="101"/>
        <v>42.24</v>
      </c>
      <c r="U333" s="2">
        <f t="shared" si="101"/>
        <v>4.22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546022</v>
      </c>
      <c r="AB333" s="14" t="s">
        <v>658</v>
      </c>
      <c r="AC333" s="15" t="s">
        <v>890</v>
      </c>
      <c r="AD333" s="2">
        <v>5084602</v>
      </c>
      <c r="AE333" s="2">
        <v>0</v>
      </c>
      <c r="AF333" s="2">
        <v>1</v>
      </c>
      <c r="AG333" s="2">
        <f t="shared" si="113"/>
        <v>5064602</v>
      </c>
      <c r="AH333" s="2">
        <v>1</v>
      </c>
      <c r="AI333" s="2"/>
      <c r="AJ333">
        <v>1</v>
      </c>
      <c r="AK333" s="1">
        <f t="shared" si="115"/>
        <v>78.724585296585559</v>
      </c>
      <c r="AL333">
        <v>7</v>
      </c>
      <c r="AM333">
        <f t="shared" si="103"/>
        <v>192</v>
      </c>
      <c r="AN333">
        <f t="shared" si="104"/>
        <v>19.200000000000003</v>
      </c>
      <c r="AO333">
        <f t="shared" si="105"/>
        <v>1920</v>
      </c>
      <c r="AP333">
        <f t="shared" si="106"/>
        <v>192</v>
      </c>
      <c r="AQ333">
        <f t="shared" si="117"/>
        <v>38.4</v>
      </c>
      <c r="AR333">
        <f t="shared" si="114"/>
        <v>3.84</v>
      </c>
      <c r="AS333">
        <f t="shared" si="118"/>
        <v>1.8</v>
      </c>
      <c r="AT333">
        <f t="shared" si="119"/>
        <v>2</v>
      </c>
      <c r="AU333">
        <f t="shared" si="120"/>
        <v>6</v>
      </c>
      <c r="AV333">
        <f t="shared" si="110"/>
        <v>6024</v>
      </c>
      <c r="AW333" s="1">
        <v>2</v>
      </c>
      <c r="AX333">
        <v>5</v>
      </c>
      <c r="AY333">
        <v>0.1</v>
      </c>
      <c r="BY333" s="13"/>
      <c r="BZ333" s="13"/>
      <c r="CA333" s="13"/>
      <c r="CE333" t="str">
        <f t="shared" si="109"/>
        <v>DATA_Class_Base39</v>
      </c>
      <c r="CF333" s="3" t="s">
        <v>407</v>
      </c>
    </row>
    <row r="334" spans="1:84">
      <c r="A334">
        <f t="shared" si="107"/>
        <v>5075202</v>
      </c>
      <c r="B334" t="s">
        <v>380</v>
      </c>
      <c r="C334">
        <v>7</v>
      </c>
      <c r="D334">
        <v>2</v>
      </c>
      <c r="E334">
        <v>5</v>
      </c>
      <c r="F334" s="3" t="s">
        <v>1672</v>
      </c>
      <c r="G334" s="3" t="s">
        <v>1672</v>
      </c>
      <c r="H334">
        <v>0</v>
      </c>
      <c r="I334">
        <v>0</v>
      </c>
      <c r="J334" s="3">
        <v>0</v>
      </c>
      <c r="K334" s="2" t="s">
        <v>280</v>
      </c>
      <c r="L334" s="2">
        <f t="shared" si="108"/>
        <v>3</v>
      </c>
      <c r="M334" s="2">
        <f t="shared" si="116"/>
        <v>1.8</v>
      </c>
      <c r="N334" s="2">
        <f t="shared" si="116"/>
        <v>2</v>
      </c>
      <c r="O334" s="2">
        <v>10</v>
      </c>
      <c r="P334" s="2">
        <f t="shared" ref="P334:U349" si="121">ROUND(AM334*(1+$AY334),2)</f>
        <v>190.08</v>
      </c>
      <c r="Q334" s="2">
        <f t="shared" si="121"/>
        <v>19.010000000000002</v>
      </c>
      <c r="R334" s="2">
        <f t="shared" si="121"/>
        <v>2346.67</v>
      </c>
      <c r="S334" s="2">
        <f t="shared" si="121"/>
        <v>234.67</v>
      </c>
      <c r="T334" s="2">
        <f t="shared" si="121"/>
        <v>63.36</v>
      </c>
      <c r="U334" s="2">
        <f t="shared" si="121"/>
        <v>6.34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552022</v>
      </c>
      <c r="AB334" s="15" t="s">
        <v>659</v>
      </c>
      <c r="AC334" s="15" t="s">
        <v>890</v>
      </c>
      <c r="AD334" s="2">
        <v>5085202</v>
      </c>
      <c r="AE334" s="2">
        <v>0</v>
      </c>
      <c r="AF334" s="2">
        <v>1</v>
      </c>
      <c r="AG334" s="2">
        <f t="shared" si="113"/>
        <v>5065202</v>
      </c>
      <c r="AH334" s="2">
        <v>1</v>
      </c>
      <c r="AI334" s="2"/>
      <c r="AJ334">
        <v>1</v>
      </c>
      <c r="AK334" s="1">
        <f t="shared" si="115"/>
        <v>79.061385881895404</v>
      </c>
      <c r="AL334">
        <v>7</v>
      </c>
      <c r="AM334">
        <f t="shared" si="103"/>
        <v>172.8</v>
      </c>
      <c r="AN334">
        <f t="shared" si="104"/>
        <v>17.28</v>
      </c>
      <c r="AO334">
        <f t="shared" si="105"/>
        <v>2133.3333333333335</v>
      </c>
      <c r="AP334">
        <f t="shared" si="106"/>
        <v>213.33333333333337</v>
      </c>
      <c r="AQ334">
        <f t="shared" si="117"/>
        <v>57.6</v>
      </c>
      <c r="AR334">
        <f t="shared" si="114"/>
        <v>5.7600000000000007</v>
      </c>
      <c r="AS334">
        <f t="shared" si="118"/>
        <v>1.8</v>
      </c>
      <c r="AT334">
        <f t="shared" si="119"/>
        <v>2</v>
      </c>
      <c r="AU334">
        <f t="shared" si="120"/>
        <v>3</v>
      </c>
      <c r="AV334">
        <f t="shared" si="110"/>
        <v>2025</v>
      </c>
      <c r="AW334" s="1">
        <v>2</v>
      </c>
      <c r="AX334">
        <v>5</v>
      </c>
      <c r="AY334">
        <v>0.1</v>
      </c>
      <c r="BY334" s="13"/>
      <c r="BZ334" s="13"/>
      <c r="CA334" s="13"/>
      <c r="CE334" t="str">
        <f t="shared" si="109"/>
        <v>DATA_Class_Base30</v>
      </c>
      <c r="CF334" s="3" t="s">
        <v>381</v>
      </c>
    </row>
    <row r="335" spans="1:84">
      <c r="A335">
        <f t="shared" si="107"/>
        <v>5075300</v>
      </c>
      <c r="B335" t="s">
        <v>410</v>
      </c>
      <c r="C335">
        <v>7</v>
      </c>
      <c r="D335">
        <v>3</v>
      </c>
      <c r="E335">
        <v>5</v>
      </c>
      <c r="F335" s="3" t="s">
        <v>1673</v>
      </c>
      <c r="G335" s="3" t="s">
        <v>1673</v>
      </c>
      <c r="H335">
        <v>0</v>
      </c>
      <c r="I335">
        <v>0</v>
      </c>
      <c r="J335" s="2">
        <v>0</v>
      </c>
      <c r="K335" s="2" t="s">
        <v>352</v>
      </c>
      <c r="L335" s="2">
        <f t="shared" si="108"/>
        <v>6</v>
      </c>
      <c r="M335" s="2">
        <f t="shared" si="116"/>
        <v>1.3</v>
      </c>
      <c r="N335" s="2">
        <f t="shared" si="116"/>
        <v>2</v>
      </c>
      <c r="O335" s="2">
        <v>10</v>
      </c>
      <c r="P335" s="2">
        <f t="shared" si="121"/>
        <v>175.41</v>
      </c>
      <c r="Q335" s="2">
        <f t="shared" si="121"/>
        <v>17.54</v>
      </c>
      <c r="R335" s="2">
        <f t="shared" si="121"/>
        <v>1836.52</v>
      </c>
      <c r="S335" s="2">
        <f t="shared" si="121"/>
        <v>183.65</v>
      </c>
      <c r="T335" s="2">
        <f t="shared" si="121"/>
        <v>21.93</v>
      </c>
      <c r="U335" s="2">
        <f t="shared" si="121"/>
        <v>2.19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553002</v>
      </c>
      <c r="AB335" s="14" t="s">
        <v>660</v>
      </c>
      <c r="AC335" s="15" t="s">
        <v>890</v>
      </c>
      <c r="AD335" s="2">
        <v>5085300</v>
      </c>
      <c r="AE335" s="2">
        <v>0</v>
      </c>
      <c r="AF335" s="2">
        <v>1</v>
      </c>
      <c r="AG335" s="2">
        <f t="shared" si="113"/>
        <v>5065300</v>
      </c>
      <c r="AH335" s="2">
        <v>1</v>
      </c>
      <c r="AI335" s="2"/>
      <c r="AJ335">
        <v>1</v>
      </c>
      <c r="AK335" s="1">
        <f t="shared" si="115"/>
        <v>78.403344801402412</v>
      </c>
      <c r="AL335">
        <v>7</v>
      </c>
      <c r="AM335">
        <f t="shared" si="103"/>
        <v>159.46666666666664</v>
      </c>
      <c r="AN335">
        <f t="shared" si="104"/>
        <v>15.946666666666665</v>
      </c>
      <c r="AO335">
        <f t="shared" si="105"/>
        <v>1669.5652173913045</v>
      </c>
      <c r="AP335">
        <f t="shared" si="106"/>
        <v>166.95652173913047</v>
      </c>
      <c r="AQ335">
        <f t="shared" si="117"/>
        <v>19.93333333333333</v>
      </c>
      <c r="AR335">
        <f t="shared" si="114"/>
        <v>1.9933333333333332</v>
      </c>
      <c r="AS335">
        <f t="shared" si="118"/>
        <v>1.3</v>
      </c>
      <c r="AT335">
        <f t="shared" si="119"/>
        <v>2</v>
      </c>
      <c r="AU335">
        <f t="shared" si="120"/>
        <v>6</v>
      </c>
      <c r="AV335">
        <f t="shared" si="110"/>
        <v>3005</v>
      </c>
      <c r="AW335" s="1">
        <v>0</v>
      </c>
      <c r="AX335">
        <v>5</v>
      </c>
      <c r="AY335">
        <v>0.1</v>
      </c>
      <c r="BY335" s="13"/>
      <c r="BZ335" s="13"/>
      <c r="CA335" s="13"/>
      <c r="CE335" t="str">
        <f t="shared" si="109"/>
        <v>DATA_Class_Base40</v>
      </c>
      <c r="CF335" s="3" t="s">
        <v>411</v>
      </c>
    </row>
    <row r="336" spans="1:84">
      <c r="A336">
        <f t="shared" si="107"/>
        <v>5075302</v>
      </c>
      <c r="B336" t="s">
        <v>412</v>
      </c>
      <c r="C336">
        <v>7</v>
      </c>
      <c r="D336">
        <v>3</v>
      </c>
      <c r="E336">
        <v>5</v>
      </c>
      <c r="F336" s="3" t="s">
        <v>1674</v>
      </c>
      <c r="G336" s="3" t="s">
        <v>1674</v>
      </c>
      <c r="H336">
        <v>0</v>
      </c>
      <c r="I336">
        <v>0</v>
      </c>
      <c r="J336" s="2">
        <v>0</v>
      </c>
      <c r="K336" s="2" t="s">
        <v>358</v>
      </c>
      <c r="L336" s="2">
        <f t="shared" si="108"/>
        <v>3</v>
      </c>
      <c r="M336" s="2">
        <f t="shared" si="116"/>
        <v>1.4000000000000001</v>
      </c>
      <c r="N336" s="2">
        <f t="shared" si="116"/>
        <v>2</v>
      </c>
      <c r="O336" s="2">
        <v>10</v>
      </c>
      <c r="P336" s="2">
        <f t="shared" si="121"/>
        <v>197.12</v>
      </c>
      <c r="Q336" s="2">
        <f t="shared" si="121"/>
        <v>19.71</v>
      </c>
      <c r="R336" s="2">
        <f t="shared" si="121"/>
        <v>1760</v>
      </c>
      <c r="S336" s="2">
        <f t="shared" si="121"/>
        <v>176</v>
      </c>
      <c r="T336" s="2">
        <f t="shared" si="121"/>
        <v>28.16</v>
      </c>
      <c r="U336" s="2">
        <f t="shared" si="121"/>
        <v>2.82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553022</v>
      </c>
      <c r="AB336" s="14" t="s">
        <v>661</v>
      </c>
      <c r="AC336" s="15" t="s">
        <v>890</v>
      </c>
      <c r="AD336" s="2">
        <v>5085302</v>
      </c>
      <c r="AE336" s="2">
        <v>0</v>
      </c>
      <c r="AF336" s="2">
        <v>1</v>
      </c>
      <c r="AG336" s="2">
        <f t="shared" si="113"/>
        <v>5065302</v>
      </c>
      <c r="AH336" s="2">
        <v>1</v>
      </c>
      <c r="AI336" s="2"/>
      <c r="AJ336">
        <v>1</v>
      </c>
      <c r="AK336" s="1">
        <f t="shared" si="115"/>
        <v>78.501641243483306</v>
      </c>
      <c r="AL336">
        <v>7</v>
      </c>
      <c r="AM336">
        <f t="shared" si="103"/>
        <v>179.2</v>
      </c>
      <c r="AN336">
        <f t="shared" si="104"/>
        <v>17.919999999999998</v>
      </c>
      <c r="AO336">
        <f t="shared" si="105"/>
        <v>1600</v>
      </c>
      <c r="AP336">
        <f t="shared" si="106"/>
        <v>160</v>
      </c>
      <c r="AQ336">
        <f t="shared" si="117"/>
        <v>25.599999999999998</v>
      </c>
      <c r="AR336">
        <f t="shared" si="114"/>
        <v>2.56</v>
      </c>
      <c r="AS336">
        <f t="shared" si="118"/>
        <v>1.4</v>
      </c>
      <c r="AT336">
        <f t="shared" si="119"/>
        <v>2</v>
      </c>
      <c r="AU336">
        <f t="shared" si="120"/>
        <v>3</v>
      </c>
      <c r="AV336">
        <f t="shared" si="110"/>
        <v>3025</v>
      </c>
      <c r="AW336" s="1">
        <v>2</v>
      </c>
      <c r="AX336">
        <v>5</v>
      </c>
      <c r="AY336">
        <v>0.1</v>
      </c>
      <c r="BY336" s="13"/>
      <c r="BZ336" s="13"/>
      <c r="CA336" s="13"/>
      <c r="CE336" t="str">
        <f t="shared" si="109"/>
        <v>DATA_Class_Base41</v>
      </c>
      <c r="CF336" s="3" t="s">
        <v>413</v>
      </c>
    </row>
    <row r="337" spans="1:84">
      <c r="A337">
        <f t="shared" si="107"/>
        <v>5075400</v>
      </c>
      <c r="B337" t="s">
        <v>414</v>
      </c>
      <c r="C337">
        <v>7</v>
      </c>
      <c r="D337">
        <v>4</v>
      </c>
      <c r="E337">
        <v>5</v>
      </c>
      <c r="F337" s="3" t="s">
        <v>1675</v>
      </c>
      <c r="G337" s="3" t="s">
        <v>1675</v>
      </c>
      <c r="H337">
        <v>0</v>
      </c>
      <c r="I337">
        <v>0</v>
      </c>
      <c r="J337">
        <v>0</v>
      </c>
      <c r="K337" s="2" t="s">
        <v>364</v>
      </c>
      <c r="L337" s="2">
        <f t="shared" si="108"/>
        <v>6</v>
      </c>
      <c r="M337" s="2">
        <f t="shared" si="116"/>
        <v>1.4000000000000001</v>
      </c>
      <c r="N337" s="2">
        <f t="shared" si="116"/>
        <v>2</v>
      </c>
      <c r="O337" s="2">
        <v>10</v>
      </c>
      <c r="P337" s="2">
        <f t="shared" si="121"/>
        <v>205.33</v>
      </c>
      <c r="Q337" s="2">
        <f t="shared" si="121"/>
        <v>20.53</v>
      </c>
      <c r="R337" s="2">
        <f t="shared" si="121"/>
        <v>1689.6</v>
      </c>
      <c r="S337" s="2">
        <f t="shared" si="121"/>
        <v>168.96</v>
      </c>
      <c r="T337" s="2">
        <f t="shared" si="121"/>
        <v>34.22</v>
      </c>
      <c r="U337" s="2">
        <f t="shared" si="121"/>
        <v>3.42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554002</v>
      </c>
      <c r="AB337" s="14" t="s">
        <v>662</v>
      </c>
      <c r="AC337" s="15" t="s">
        <v>890</v>
      </c>
      <c r="AD337" s="2">
        <v>5085400</v>
      </c>
      <c r="AE337" s="2">
        <v>0</v>
      </c>
      <c r="AF337" s="2">
        <v>1</v>
      </c>
      <c r="AG337" s="2">
        <f t="shared" si="113"/>
        <v>5065400</v>
      </c>
      <c r="AH337" s="2">
        <v>1</v>
      </c>
      <c r="AI337" s="2"/>
      <c r="AJ337">
        <v>1</v>
      </c>
      <c r="AK337" s="1">
        <f t="shared" si="115"/>
        <v>78.597476058354985</v>
      </c>
      <c r="AL337">
        <v>7</v>
      </c>
      <c r="AM337">
        <f t="shared" si="103"/>
        <v>186.66666666666669</v>
      </c>
      <c r="AN337">
        <f t="shared" si="104"/>
        <v>18.666666666666668</v>
      </c>
      <c r="AO337">
        <f t="shared" si="105"/>
        <v>1536</v>
      </c>
      <c r="AP337">
        <f t="shared" si="106"/>
        <v>153.60000000000002</v>
      </c>
      <c r="AQ337">
        <f t="shared" si="117"/>
        <v>31.111111111111114</v>
      </c>
      <c r="AR337">
        <f t="shared" si="114"/>
        <v>3.1111111111111116</v>
      </c>
      <c r="AS337">
        <f t="shared" si="118"/>
        <v>1.4</v>
      </c>
      <c r="AT337">
        <f t="shared" si="119"/>
        <v>2</v>
      </c>
      <c r="AU337">
        <f t="shared" si="120"/>
        <v>6</v>
      </c>
      <c r="AV337">
        <f t="shared" si="110"/>
        <v>4005</v>
      </c>
      <c r="AW337" s="1">
        <v>0</v>
      </c>
      <c r="AX337">
        <v>5</v>
      </c>
      <c r="AY337">
        <v>0.1</v>
      </c>
      <c r="BY337" s="13"/>
      <c r="BZ337" s="13"/>
      <c r="CA337" s="13"/>
      <c r="CE337" t="str">
        <f t="shared" si="109"/>
        <v>DATA_Class_Base42</v>
      </c>
      <c r="CF337" s="3" t="s">
        <v>174</v>
      </c>
    </row>
    <row r="338" spans="1:84">
      <c r="A338">
        <f t="shared" si="107"/>
        <v>5075501</v>
      </c>
      <c r="B338" t="s">
        <v>401</v>
      </c>
      <c r="C338">
        <v>7</v>
      </c>
      <c r="D338">
        <v>5</v>
      </c>
      <c r="E338">
        <v>5</v>
      </c>
      <c r="F338" s="3" t="s">
        <v>1676</v>
      </c>
      <c r="G338" s="3" t="s">
        <v>1676</v>
      </c>
      <c r="H338">
        <v>0</v>
      </c>
      <c r="I338">
        <v>0</v>
      </c>
      <c r="J338" s="3">
        <v>0</v>
      </c>
      <c r="K338" s="2" t="s">
        <v>334</v>
      </c>
      <c r="L338" s="2">
        <f t="shared" si="108"/>
        <v>6</v>
      </c>
      <c r="M338" s="2">
        <f t="shared" si="116"/>
        <v>1.6</v>
      </c>
      <c r="N338" s="2">
        <f t="shared" si="116"/>
        <v>2</v>
      </c>
      <c r="O338" s="2">
        <v>10</v>
      </c>
      <c r="P338" s="2">
        <f t="shared" si="121"/>
        <v>272.20999999999998</v>
      </c>
      <c r="Q338" s="2">
        <f t="shared" si="121"/>
        <v>27.22</v>
      </c>
      <c r="R338" s="2">
        <f t="shared" si="121"/>
        <v>1456.55</v>
      </c>
      <c r="S338" s="2">
        <f t="shared" si="121"/>
        <v>145.66</v>
      </c>
      <c r="T338" s="2">
        <f t="shared" si="121"/>
        <v>30.25</v>
      </c>
      <c r="U338" s="2">
        <f t="shared" si="121"/>
        <v>3.02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555012</v>
      </c>
      <c r="AB338" s="15" t="s">
        <v>663</v>
      </c>
      <c r="AC338" s="15" t="s">
        <v>890</v>
      </c>
      <c r="AD338" s="2">
        <v>5085501</v>
      </c>
      <c r="AE338" s="2">
        <v>0</v>
      </c>
      <c r="AF338" s="2">
        <v>1</v>
      </c>
      <c r="AG338" s="2">
        <f t="shared" si="113"/>
        <v>5065501</v>
      </c>
      <c r="AH338" s="2">
        <v>1</v>
      </c>
      <c r="AI338" s="2"/>
      <c r="AJ338">
        <v>1</v>
      </c>
      <c r="AK338" s="1">
        <f t="shared" si="115"/>
        <v>78.534590280046672</v>
      </c>
      <c r="AL338">
        <v>7</v>
      </c>
      <c r="AM338">
        <f t="shared" si="103"/>
        <v>247.46666666666667</v>
      </c>
      <c r="AN338">
        <f t="shared" si="104"/>
        <v>24.74666666666667</v>
      </c>
      <c r="AO338">
        <f t="shared" si="105"/>
        <v>1324.1379310344828</v>
      </c>
      <c r="AP338">
        <f t="shared" si="106"/>
        <v>132.41379310344828</v>
      </c>
      <c r="AQ338">
        <f t="shared" si="117"/>
        <v>27.496296296296297</v>
      </c>
      <c r="AR338">
        <f t="shared" si="114"/>
        <v>2.7496296296296299</v>
      </c>
      <c r="AS338">
        <f t="shared" si="118"/>
        <v>1.6</v>
      </c>
      <c r="AT338">
        <f t="shared" si="119"/>
        <v>2</v>
      </c>
      <c r="AU338">
        <f t="shared" si="120"/>
        <v>6</v>
      </c>
      <c r="AV338">
        <f t="shared" si="110"/>
        <v>5015</v>
      </c>
      <c r="AW338" s="1">
        <v>1</v>
      </c>
      <c r="AX338">
        <v>5</v>
      </c>
      <c r="AY338">
        <v>0.1</v>
      </c>
      <c r="BY338" s="13"/>
      <c r="BZ338" s="13"/>
      <c r="CA338" s="13"/>
      <c r="CE338" t="str">
        <f t="shared" si="109"/>
        <v>DATA_Class_Base37</v>
      </c>
      <c r="CF338" s="3" t="s">
        <v>402</v>
      </c>
    </row>
    <row r="339" spans="1:84">
      <c r="A339">
        <f t="shared" si="107"/>
        <v>5081200</v>
      </c>
      <c r="B339" s="31" t="s">
        <v>373</v>
      </c>
      <c r="C339">
        <v>8</v>
      </c>
      <c r="D339">
        <v>2</v>
      </c>
      <c r="E339">
        <v>1</v>
      </c>
      <c r="F339" s="3" t="s">
        <v>1640</v>
      </c>
      <c r="G339" s="3" t="s">
        <v>1640</v>
      </c>
      <c r="H339">
        <v>0</v>
      </c>
      <c r="I339">
        <v>0</v>
      </c>
      <c r="J339" s="2">
        <v>0</v>
      </c>
      <c r="K339" s="2" t="s">
        <v>314</v>
      </c>
      <c r="L339" s="2">
        <f t="shared" si="108"/>
        <v>3</v>
      </c>
      <c r="M339" s="2">
        <f t="shared" si="116"/>
        <v>1.5</v>
      </c>
      <c r="N339" s="2">
        <f t="shared" si="116"/>
        <v>1.2</v>
      </c>
      <c r="O339" s="2">
        <v>10</v>
      </c>
      <c r="P339" s="2">
        <f t="shared" si="121"/>
        <v>154.88</v>
      </c>
      <c r="Q339" s="2">
        <f t="shared" si="121"/>
        <v>15.49</v>
      </c>
      <c r="R339" s="2">
        <f t="shared" si="121"/>
        <v>2904</v>
      </c>
      <c r="S339" s="2">
        <f t="shared" si="121"/>
        <v>290.39999999999998</v>
      </c>
      <c r="T339" s="2">
        <f t="shared" si="121"/>
        <v>51.63</v>
      </c>
      <c r="U339" s="2">
        <f t="shared" si="121"/>
        <v>5.16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512002</v>
      </c>
      <c r="AB339" s="14" t="s">
        <v>664</v>
      </c>
      <c r="AC339" s="15" t="s">
        <v>890</v>
      </c>
      <c r="AD339" s="2">
        <v>5091200</v>
      </c>
      <c r="AE339" s="2">
        <v>0</v>
      </c>
      <c r="AF339" s="2">
        <v>2</v>
      </c>
      <c r="AG339" s="2">
        <v>8</v>
      </c>
      <c r="AH339" s="2">
        <v>1</v>
      </c>
      <c r="AI339" s="2"/>
      <c r="AJ339">
        <v>1</v>
      </c>
      <c r="AK339" s="1">
        <f t="shared" si="115"/>
        <v>95.43744260740236</v>
      </c>
      <c r="AL339">
        <v>8</v>
      </c>
      <c r="AM339">
        <f t="shared" si="103"/>
        <v>140.80000000000004</v>
      </c>
      <c r="AN339">
        <f t="shared" si="104"/>
        <v>14.080000000000005</v>
      </c>
      <c r="AO339">
        <f t="shared" si="105"/>
        <v>2640</v>
      </c>
      <c r="AP339">
        <f t="shared" si="106"/>
        <v>264</v>
      </c>
      <c r="AQ339">
        <f t="shared" si="117"/>
        <v>46.933333333333344</v>
      </c>
      <c r="AR339">
        <f t="shared" si="114"/>
        <v>4.6933333333333342</v>
      </c>
      <c r="AS339">
        <f t="shared" si="118"/>
        <v>1.5</v>
      </c>
      <c r="AT339">
        <f t="shared" si="119"/>
        <v>1.2</v>
      </c>
      <c r="AU339">
        <f t="shared" si="120"/>
        <v>3</v>
      </c>
      <c r="AV339">
        <f t="shared" si="110"/>
        <v>2001</v>
      </c>
      <c r="AW339" s="1">
        <v>0</v>
      </c>
      <c r="AX339">
        <v>5</v>
      </c>
      <c r="AY339">
        <v>0.1</v>
      </c>
      <c r="CE339" t="str">
        <f t="shared" si="109"/>
        <v>DATA_Class_Base28</v>
      </c>
      <c r="CF339" s="3" t="s">
        <v>374</v>
      </c>
    </row>
    <row r="340" spans="1:84">
      <c r="A340">
        <f t="shared" si="107"/>
        <v>5081201</v>
      </c>
      <c r="B340" s="31" t="s">
        <v>377</v>
      </c>
      <c r="C340">
        <v>8</v>
      </c>
      <c r="D340">
        <v>2</v>
      </c>
      <c r="E340">
        <v>1</v>
      </c>
      <c r="F340" s="3" t="s">
        <v>1641</v>
      </c>
      <c r="G340" s="3" t="s">
        <v>1641</v>
      </c>
      <c r="H340">
        <v>0</v>
      </c>
      <c r="I340">
        <v>0</v>
      </c>
      <c r="J340" s="2">
        <v>0</v>
      </c>
      <c r="K340" s="8" t="s">
        <v>298</v>
      </c>
      <c r="L340" s="2">
        <f t="shared" si="108"/>
        <v>3</v>
      </c>
      <c r="M340" s="2">
        <f t="shared" si="116"/>
        <v>1.8</v>
      </c>
      <c r="N340" s="2">
        <f t="shared" si="116"/>
        <v>1.8</v>
      </c>
      <c r="O340" s="2">
        <v>10</v>
      </c>
      <c r="P340" s="2">
        <f t="shared" si="121"/>
        <v>116.16</v>
      </c>
      <c r="Q340" s="2">
        <f t="shared" si="121"/>
        <v>11.62</v>
      </c>
      <c r="R340" s="2">
        <f t="shared" si="121"/>
        <v>4646.3999999999996</v>
      </c>
      <c r="S340" s="2">
        <f t="shared" si="121"/>
        <v>464.64</v>
      </c>
      <c r="T340" s="2">
        <f t="shared" si="121"/>
        <v>58.08</v>
      </c>
      <c r="U340" s="2">
        <f t="shared" si="121"/>
        <v>5.81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512012</v>
      </c>
      <c r="AB340" s="14" t="s">
        <v>665</v>
      </c>
      <c r="AC340" s="15" t="s">
        <v>890</v>
      </c>
      <c r="AD340" s="2">
        <v>5091201</v>
      </c>
      <c r="AE340" s="2">
        <v>0</v>
      </c>
      <c r="AF340" s="2">
        <v>2</v>
      </c>
      <c r="AG340" s="2">
        <v>8</v>
      </c>
      <c r="AH340" s="2">
        <v>1</v>
      </c>
      <c r="AI340" s="2"/>
      <c r="AJ340">
        <v>1</v>
      </c>
      <c r="AK340" s="1">
        <f t="shared" si="115"/>
        <v>95.562068184025648</v>
      </c>
      <c r="AL340">
        <v>8</v>
      </c>
      <c r="AM340">
        <f t="shared" si="103"/>
        <v>105.60000000000001</v>
      </c>
      <c r="AN340">
        <f t="shared" si="104"/>
        <v>10.560000000000002</v>
      </c>
      <c r="AO340">
        <f t="shared" si="105"/>
        <v>4224</v>
      </c>
      <c r="AP340">
        <f t="shared" si="106"/>
        <v>422.40000000000003</v>
      </c>
      <c r="AQ340">
        <f t="shared" si="117"/>
        <v>52.800000000000004</v>
      </c>
      <c r="AR340">
        <f t="shared" si="114"/>
        <v>5.2800000000000011</v>
      </c>
      <c r="AS340">
        <f t="shared" si="118"/>
        <v>1.8</v>
      </c>
      <c r="AT340">
        <f t="shared" si="119"/>
        <v>1.8</v>
      </c>
      <c r="AU340">
        <f t="shared" si="120"/>
        <v>3</v>
      </c>
      <c r="AV340">
        <f t="shared" si="110"/>
        <v>2011</v>
      </c>
      <c r="AW340" s="1">
        <v>1</v>
      </c>
      <c r="AX340">
        <v>5</v>
      </c>
      <c r="AY340">
        <v>0.1</v>
      </c>
      <c r="CE340" t="str">
        <f t="shared" si="109"/>
        <v>DATA_Class_Base29</v>
      </c>
      <c r="CF340" s="3" t="s">
        <v>378</v>
      </c>
    </row>
    <row r="341" spans="1:84">
      <c r="A341">
        <f t="shared" si="107"/>
        <v>5081202</v>
      </c>
      <c r="B341" s="31" t="s">
        <v>380</v>
      </c>
      <c r="C341">
        <v>8</v>
      </c>
      <c r="D341">
        <v>2</v>
      </c>
      <c r="E341">
        <v>1</v>
      </c>
      <c r="F341" s="3" t="s">
        <v>1642</v>
      </c>
      <c r="G341" s="3" t="s">
        <v>1642</v>
      </c>
      <c r="H341">
        <v>0</v>
      </c>
      <c r="I341">
        <v>0</v>
      </c>
      <c r="J341">
        <v>0</v>
      </c>
      <c r="K341" s="2" t="s">
        <v>280</v>
      </c>
      <c r="L341" s="2">
        <f t="shared" si="108"/>
        <v>3</v>
      </c>
      <c r="M341" s="2">
        <f t="shared" si="116"/>
        <v>1.8</v>
      </c>
      <c r="N341" s="2">
        <f t="shared" si="116"/>
        <v>2</v>
      </c>
      <c r="O341" s="2">
        <v>10</v>
      </c>
      <c r="P341" s="2">
        <f t="shared" si="121"/>
        <v>185.86</v>
      </c>
      <c r="Q341" s="2">
        <f t="shared" si="121"/>
        <v>18.59</v>
      </c>
      <c r="R341" s="2">
        <f t="shared" si="121"/>
        <v>2904</v>
      </c>
      <c r="S341" s="2">
        <f t="shared" si="121"/>
        <v>290.39999999999998</v>
      </c>
      <c r="T341" s="2">
        <f t="shared" si="121"/>
        <v>46.46</v>
      </c>
      <c r="U341" s="2">
        <f t="shared" si="121"/>
        <v>4.6500000000000004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512022</v>
      </c>
      <c r="AB341" s="14" t="s">
        <v>666</v>
      </c>
      <c r="AC341" s="15" t="s">
        <v>890</v>
      </c>
      <c r="AD341" s="2">
        <v>5091202</v>
      </c>
      <c r="AE341" s="2">
        <v>0</v>
      </c>
      <c r="AF341" s="2">
        <v>2</v>
      </c>
      <c r="AG341" s="2">
        <v>8</v>
      </c>
      <c r="AH341" s="2">
        <v>1</v>
      </c>
      <c r="AI341" s="2"/>
      <c r="AJ341">
        <v>1</v>
      </c>
      <c r="AK341" s="1">
        <f t="shared" si="115"/>
        <v>95.337975942841652</v>
      </c>
      <c r="AL341">
        <v>8</v>
      </c>
      <c r="AM341">
        <f t="shared" si="103"/>
        <v>168.96000000000004</v>
      </c>
      <c r="AN341">
        <f t="shared" si="104"/>
        <v>16.896000000000004</v>
      </c>
      <c r="AO341">
        <f t="shared" si="105"/>
        <v>2640</v>
      </c>
      <c r="AP341">
        <f t="shared" si="106"/>
        <v>264</v>
      </c>
      <c r="AQ341">
        <f t="shared" si="117"/>
        <v>42.240000000000009</v>
      </c>
      <c r="AR341">
        <f t="shared" si="114"/>
        <v>4.2240000000000011</v>
      </c>
      <c r="AS341">
        <f t="shared" si="118"/>
        <v>1.8</v>
      </c>
      <c r="AT341">
        <f t="shared" si="119"/>
        <v>2</v>
      </c>
      <c r="AU341">
        <f t="shared" si="120"/>
        <v>3</v>
      </c>
      <c r="AV341">
        <f t="shared" si="110"/>
        <v>2021</v>
      </c>
      <c r="AW341" s="1">
        <v>2</v>
      </c>
      <c r="AX341">
        <v>5</v>
      </c>
      <c r="AY341">
        <v>0.1</v>
      </c>
      <c r="CE341" t="str">
        <f t="shared" si="109"/>
        <v>DATA_Class_Base30</v>
      </c>
      <c r="CF341" s="3" t="s">
        <v>381</v>
      </c>
    </row>
    <row r="342" spans="1:84">
      <c r="A342">
        <f t="shared" si="107"/>
        <v>5081301</v>
      </c>
      <c r="B342" s="31" t="s">
        <v>383</v>
      </c>
      <c r="C342">
        <v>8</v>
      </c>
      <c r="D342">
        <v>3</v>
      </c>
      <c r="E342">
        <v>1</v>
      </c>
      <c r="F342" s="3" t="s">
        <v>1643</v>
      </c>
      <c r="G342" s="3" t="s">
        <v>1643</v>
      </c>
      <c r="H342">
        <v>0</v>
      </c>
      <c r="I342">
        <v>0</v>
      </c>
      <c r="J342" s="2">
        <v>0</v>
      </c>
      <c r="K342" s="2" t="s">
        <v>285</v>
      </c>
      <c r="L342" s="2">
        <f t="shared" si="108"/>
        <v>3</v>
      </c>
      <c r="M342" s="2">
        <f t="shared" si="116"/>
        <v>1.2</v>
      </c>
      <c r="N342" s="2">
        <f t="shared" si="116"/>
        <v>2</v>
      </c>
      <c r="O342" s="2">
        <v>10</v>
      </c>
      <c r="P342" s="2">
        <f t="shared" si="121"/>
        <v>170.37</v>
      </c>
      <c r="Q342" s="2">
        <f t="shared" si="121"/>
        <v>17.04</v>
      </c>
      <c r="R342" s="2">
        <f t="shared" si="121"/>
        <v>2112</v>
      </c>
      <c r="S342" s="2">
        <f t="shared" si="121"/>
        <v>211.2</v>
      </c>
      <c r="T342" s="2">
        <f t="shared" si="121"/>
        <v>28.39</v>
      </c>
      <c r="U342" s="2">
        <f t="shared" si="121"/>
        <v>2.84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513012</v>
      </c>
      <c r="AB342" s="14" t="s">
        <v>667</v>
      </c>
      <c r="AC342" s="15" t="s">
        <v>890</v>
      </c>
      <c r="AD342" s="2">
        <v>5091301</v>
      </c>
      <c r="AE342" s="2">
        <v>0</v>
      </c>
      <c r="AF342" s="2">
        <v>2</v>
      </c>
      <c r="AG342" s="2">
        <v>8</v>
      </c>
      <c r="AH342" s="2">
        <v>1</v>
      </c>
      <c r="AI342" s="2"/>
      <c r="AJ342">
        <v>1</v>
      </c>
      <c r="AK342" s="1">
        <f t="shared" si="115"/>
        <v>94.991469422083441</v>
      </c>
      <c r="AL342">
        <v>8</v>
      </c>
      <c r="AM342">
        <f t="shared" si="103"/>
        <v>154.88000000000002</v>
      </c>
      <c r="AN342">
        <f t="shared" si="104"/>
        <v>15.488000000000003</v>
      </c>
      <c r="AO342">
        <f t="shared" si="105"/>
        <v>1920.0000000000002</v>
      </c>
      <c r="AP342">
        <f t="shared" si="106"/>
        <v>192.00000000000003</v>
      </c>
      <c r="AQ342">
        <f t="shared" si="117"/>
        <v>25.813333333333336</v>
      </c>
      <c r="AR342">
        <f t="shared" si="114"/>
        <v>2.5813333333333337</v>
      </c>
      <c r="AS342">
        <f t="shared" si="118"/>
        <v>1.2</v>
      </c>
      <c r="AT342">
        <f t="shared" si="119"/>
        <v>2</v>
      </c>
      <c r="AU342">
        <f t="shared" si="120"/>
        <v>3</v>
      </c>
      <c r="AV342">
        <f t="shared" si="110"/>
        <v>3011</v>
      </c>
      <c r="AW342" s="1">
        <v>1</v>
      </c>
      <c r="AX342">
        <v>5</v>
      </c>
      <c r="AY342">
        <v>0.1</v>
      </c>
      <c r="CE342" t="str">
        <f t="shared" si="109"/>
        <v>DATA_Class_Base31</v>
      </c>
      <c r="CF342" s="3" t="s">
        <v>384</v>
      </c>
    </row>
    <row r="343" spans="1:84">
      <c r="A343">
        <f t="shared" si="107"/>
        <v>5081401</v>
      </c>
      <c r="B343" s="31" t="s">
        <v>387</v>
      </c>
      <c r="C343">
        <v>8</v>
      </c>
      <c r="D343">
        <v>4</v>
      </c>
      <c r="E343">
        <v>1</v>
      </c>
      <c r="F343" s="3" t="s">
        <v>1644</v>
      </c>
      <c r="G343" s="3" t="s">
        <v>1644</v>
      </c>
      <c r="H343">
        <v>0</v>
      </c>
      <c r="I343">
        <v>0</v>
      </c>
      <c r="J343" s="2">
        <v>0</v>
      </c>
      <c r="K343" s="2" t="s">
        <v>161</v>
      </c>
      <c r="L343" s="2">
        <f t="shared" si="108"/>
        <v>6</v>
      </c>
      <c r="M343" s="2">
        <f t="shared" si="116"/>
        <v>1.6</v>
      </c>
      <c r="N343" s="2">
        <f t="shared" si="116"/>
        <v>2</v>
      </c>
      <c r="O343" s="2">
        <v>10</v>
      </c>
      <c r="P343" s="2">
        <f t="shared" si="121"/>
        <v>227.16</v>
      </c>
      <c r="Q343" s="2">
        <f t="shared" si="121"/>
        <v>22.72</v>
      </c>
      <c r="R343" s="2">
        <f t="shared" si="121"/>
        <v>2112</v>
      </c>
      <c r="S343" s="2">
        <f t="shared" si="121"/>
        <v>211.2</v>
      </c>
      <c r="T343" s="2">
        <f t="shared" si="121"/>
        <v>45.43</v>
      </c>
      <c r="U343" s="2">
        <f t="shared" si="121"/>
        <v>4.54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514012</v>
      </c>
      <c r="AB343" s="14" t="s">
        <v>668</v>
      </c>
      <c r="AC343" s="15" t="s">
        <v>890</v>
      </c>
      <c r="AD343" s="2">
        <v>5091401</v>
      </c>
      <c r="AE343" s="2">
        <v>0</v>
      </c>
      <c r="AF343" s="2">
        <v>2</v>
      </c>
      <c r="AG343" s="2">
        <v>8</v>
      </c>
      <c r="AH343" s="2">
        <v>1</v>
      </c>
      <c r="AI343" s="2"/>
      <c r="AJ343">
        <v>1</v>
      </c>
      <c r="AK343" s="1">
        <f t="shared" si="115"/>
        <v>95.31810748458318</v>
      </c>
      <c r="AL343">
        <v>8</v>
      </c>
      <c r="AM343">
        <f t="shared" si="103"/>
        <v>206.50666666666672</v>
      </c>
      <c r="AN343">
        <f t="shared" si="104"/>
        <v>20.650666666666673</v>
      </c>
      <c r="AO343">
        <f t="shared" si="105"/>
        <v>1920.0000000000002</v>
      </c>
      <c r="AP343">
        <f t="shared" si="106"/>
        <v>192.00000000000003</v>
      </c>
      <c r="AQ343">
        <f t="shared" si="117"/>
        <v>41.301333333333346</v>
      </c>
      <c r="AR343">
        <f t="shared" si="114"/>
        <v>4.130133333333335</v>
      </c>
      <c r="AS343">
        <f t="shared" si="118"/>
        <v>1.6</v>
      </c>
      <c r="AT343">
        <f t="shared" si="119"/>
        <v>2</v>
      </c>
      <c r="AU343">
        <f t="shared" si="120"/>
        <v>6</v>
      </c>
      <c r="AV343">
        <f t="shared" si="110"/>
        <v>4011</v>
      </c>
      <c r="AW343" s="1">
        <v>1</v>
      </c>
      <c r="AX343">
        <v>5</v>
      </c>
      <c r="AY343">
        <v>0.1</v>
      </c>
      <c r="CE343" t="str">
        <f t="shared" si="109"/>
        <v>DATA_Class_Base32</v>
      </c>
      <c r="CF343" s="3" t="s">
        <v>388</v>
      </c>
    </row>
    <row r="344" spans="1:84">
      <c r="A344">
        <f t="shared" si="107"/>
        <v>5081402</v>
      </c>
      <c r="B344" s="31" t="s">
        <v>390</v>
      </c>
      <c r="C344">
        <v>8</v>
      </c>
      <c r="D344">
        <v>4</v>
      </c>
      <c r="E344">
        <v>1</v>
      </c>
      <c r="F344" s="3" t="s">
        <v>1645</v>
      </c>
      <c r="G344" s="3" t="s">
        <v>1645</v>
      </c>
      <c r="H344">
        <v>0</v>
      </c>
      <c r="I344">
        <v>0</v>
      </c>
      <c r="J344">
        <v>0</v>
      </c>
      <c r="K344" s="2" t="s">
        <v>250</v>
      </c>
      <c r="L344" s="2">
        <f t="shared" si="108"/>
        <v>6</v>
      </c>
      <c r="M344" s="2">
        <f t="shared" si="116"/>
        <v>1.5</v>
      </c>
      <c r="N344" s="2">
        <f t="shared" si="116"/>
        <v>1.5</v>
      </c>
      <c r="O344" s="2">
        <v>10</v>
      </c>
      <c r="P344" s="2">
        <f t="shared" si="121"/>
        <v>232.32</v>
      </c>
      <c r="Q344" s="2">
        <f t="shared" si="121"/>
        <v>23.23</v>
      </c>
      <c r="R344" s="2">
        <f t="shared" si="121"/>
        <v>1936</v>
      </c>
      <c r="S344" s="2">
        <f t="shared" si="121"/>
        <v>193.6</v>
      </c>
      <c r="T344" s="2">
        <f t="shared" si="121"/>
        <v>38.72</v>
      </c>
      <c r="U344" s="2">
        <f t="shared" si="121"/>
        <v>3.87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514022</v>
      </c>
      <c r="AB344" s="14" t="s">
        <v>669</v>
      </c>
      <c r="AC344" s="15" t="s">
        <v>890</v>
      </c>
      <c r="AD344" s="2">
        <v>5091402</v>
      </c>
      <c r="AE344" s="2">
        <v>0</v>
      </c>
      <c r="AF344" s="2">
        <v>2</v>
      </c>
      <c r="AG344" s="2">
        <v>8</v>
      </c>
      <c r="AH344" s="2">
        <v>1</v>
      </c>
      <c r="AI344" s="2"/>
      <c r="AJ344">
        <v>1</v>
      </c>
      <c r="AK344" s="1">
        <f t="shared" si="115"/>
        <v>95.189164086687327</v>
      </c>
      <c r="AL344">
        <v>8</v>
      </c>
      <c r="AM344">
        <f t="shared" si="103"/>
        <v>211.20000000000002</v>
      </c>
      <c r="AN344">
        <f t="shared" si="104"/>
        <v>21.120000000000005</v>
      </c>
      <c r="AO344">
        <f t="shared" si="105"/>
        <v>1760.0000000000002</v>
      </c>
      <c r="AP344">
        <f t="shared" si="106"/>
        <v>176.00000000000003</v>
      </c>
      <c r="AQ344">
        <f t="shared" si="117"/>
        <v>35.200000000000003</v>
      </c>
      <c r="AR344">
        <f t="shared" si="114"/>
        <v>3.5200000000000005</v>
      </c>
      <c r="AS344">
        <f t="shared" si="118"/>
        <v>1.5</v>
      </c>
      <c r="AT344">
        <f t="shared" si="119"/>
        <v>1.5</v>
      </c>
      <c r="AU344">
        <f t="shared" si="120"/>
        <v>6</v>
      </c>
      <c r="AV344">
        <f t="shared" si="110"/>
        <v>4021</v>
      </c>
      <c r="AW344" s="1">
        <v>2</v>
      </c>
      <c r="AX344">
        <v>5</v>
      </c>
      <c r="AY344">
        <v>0.1</v>
      </c>
      <c r="CE344" t="str">
        <f t="shared" si="109"/>
        <v>DATA_Class_Base33</v>
      </c>
      <c r="CF344" s="3" t="s">
        <v>391</v>
      </c>
    </row>
    <row r="345" spans="1:84">
      <c r="A345">
        <f t="shared" si="107"/>
        <v>5081500</v>
      </c>
      <c r="B345" s="31" t="s">
        <v>394</v>
      </c>
      <c r="C345">
        <v>8</v>
      </c>
      <c r="D345">
        <v>5</v>
      </c>
      <c r="E345">
        <v>1</v>
      </c>
      <c r="F345" s="3" t="s">
        <v>1646</v>
      </c>
      <c r="G345" s="3" t="s">
        <v>1646</v>
      </c>
      <c r="H345">
        <v>0</v>
      </c>
      <c r="I345">
        <v>0</v>
      </c>
      <c r="J345">
        <v>0</v>
      </c>
      <c r="K345" s="2" t="s">
        <v>303</v>
      </c>
      <c r="L345" s="2">
        <f t="shared" si="108"/>
        <v>6</v>
      </c>
      <c r="M345" s="2">
        <f t="shared" si="116"/>
        <v>1.5</v>
      </c>
      <c r="N345" s="2">
        <f t="shared" si="116"/>
        <v>1.5</v>
      </c>
      <c r="O345" s="2">
        <v>10</v>
      </c>
      <c r="P345" s="2">
        <f t="shared" si="121"/>
        <v>271.04000000000002</v>
      </c>
      <c r="Q345" s="2">
        <f t="shared" si="121"/>
        <v>27.1</v>
      </c>
      <c r="R345" s="2">
        <f t="shared" si="121"/>
        <v>1659.43</v>
      </c>
      <c r="S345" s="2">
        <f t="shared" si="121"/>
        <v>165.94</v>
      </c>
      <c r="T345" s="2">
        <f t="shared" si="121"/>
        <v>38.72</v>
      </c>
      <c r="U345" s="2">
        <f t="shared" si="121"/>
        <v>3.87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515002</v>
      </c>
      <c r="AB345" s="14" t="s">
        <v>670</v>
      </c>
      <c r="AC345" s="15" t="s">
        <v>890</v>
      </c>
      <c r="AD345" s="2">
        <v>5091500</v>
      </c>
      <c r="AE345" s="2">
        <v>0</v>
      </c>
      <c r="AF345" s="2">
        <v>2</v>
      </c>
      <c r="AG345" s="2">
        <v>8</v>
      </c>
      <c r="AH345" s="2">
        <v>1</v>
      </c>
      <c r="AI345" s="2"/>
      <c r="AJ345">
        <v>1</v>
      </c>
      <c r="AK345" s="1">
        <f t="shared" si="115"/>
        <v>95.189164086687299</v>
      </c>
      <c r="AL345">
        <v>8</v>
      </c>
      <c r="AM345">
        <f t="shared" si="103"/>
        <v>246.39999999999995</v>
      </c>
      <c r="AN345">
        <f t="shared" si="104"/>
        <v>24.639999999999997</v>
      </c>
      <c r="AO345">
        <f t="shared" si="105"/>
        <v>1508.5714285714289</v>
      </c>
      <c r="AP345">
        <f t="shared" si="106"/>
        <v>150.85714285714289</v>
      </c>
      <c r="AQ345">
        <f t="shared" si="117"/>
        <v>35.199999999999996</v>
      </c>
      <c r="AR345">
        <f t="shared" si="114"/>
        <v>3.5199999999999996</v>
      </c>
      <c r="AS345">
        <f t="shared" si="118"/>
        <v>1.5</v>
      </c>
      <c r="AT345">
        <f t="shared" si="119"/>
        <v>1.5</v>
      </c>
      <c r="AU345">
        <f t="shared" si="120"/>
        <v>6</v>
      </c>
      <c r="AV345">
        <f t="shared" si="110"/>
        <v>5001</v>
      </c>
      <c r="AW345" s="1">
        <v>0</v>
      </c>
      <c r="AX345">
        <v>5</v>
      </c>
      <c r="AY345">
        <v>0.1</v>
      </c>
      <c r="CE345" t="str">
        <f t="shared" si="109"/>
        <v>DATA_Class_Base34</v>
      </c>
      <c r="CF345" s="3" t="s">
        <v>184</v>
      </c>
    </row>
    <row r="346" spans="1:84">
      <c r="A346">
        <f t="shared" si="107"/>
        <v>5081502</v>
      </c>
      <c r="B346" s="31" t="s">
        <v>396</v>
      </c>
      <c r="C346">
        <v>8</v>
      </c>
      <c r="D346">
        <v>5</v>
      </c>
      <c r="E346">
        <v>1</v>
      </c>
      <c r="F346" s="3" t="s">
        <v>1647</v>
      </c>
      <c r="G346" s="3" t="s">
        <v>1647</v>
      </c>
      <c r="H346">
        <v>0</v>
      </c>
      <c r="I346">
        <v>0</v>
      </c>
      <c r="J346" s="2">
        <v>0</v>
      </c>
      <c r="K346" s="2" t="s">
        <v>291</v>
      </c>
      <c r="L346" s="2">
        <f t="shared" si="108"/>
        <v>6</v>
      </c>
      <c r="M346" s="2">
        <f t="shared" si="116"/>
        <v>1.4000000000000001</v>
      </c>
      <c r="N346" s="2">
        <f t="shared" si="116"/>
        <v>2</v>
      </c>
      <c r="O346" s="2">
        <v>10</v>
      </c>
      <c r="P346" s="2">
        <f t="shared" si="121"/>
        <v>234.9</v>
      </c>
      <c r="Q346" s="2">
        <f t="shared" si="121"/>
        <v>23.49</v>
      </c>
      <c r="R346" s="2">
        <f t="shared" si="121"/>
        <v>1787.08</v>
      </c>
      <c r="S346" s="2">
        <f t="shared" si="121"/>
        <v>178.71</v>
      </c>
      <c r="T346" s="2">
        <f t="shared" si="121"/>
        <v>36.14</v>
      </c>
      <c r="U346" s="2">
        <f t="shared" si="121"/>
        <v>3.61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515022</v>
      </c>
      <c r="AB346" s="14" t="s">
        <v>671</v>
      </c>
      <c r="AC346" s="15" t="s">
        <v>890</v>
      </c>
      <c r="AD346" s="2">
        <v>5091502</v>
      </c>
      <c r="AE346" s="2">
        <v>0</v>
      </c>
      <c r="AF346" s="2">
        <v>2</v>
      </c>
      <c r="AG346" s="2">
        <v>8</v>
      </c>
      <c r="AH346" s="2">
        <v>1</v>
      </c>
      <c r="AI346" s="2"/>
      <c r="AJ346">
        <v>1</v>
      </c>
      <c r="AK346" s="1">
        <f t="shared" si="115"/>
        <v>95.139663315870223</v>
      </c>
      <c r="AL346">
        <v>8</v>
      </c>
      <c r="AM346">
        <f t="shared" ref="AM346:AM375" si="122">INDEX($BB$5:$BB$58,MATCH($AV346,$AZ$5:$AZ$58,0))*$AS346/1.5*$BF$4*INDEX($BB$109:$BO$109,MATCH($AL346,$BB$108:$BO$108,0))</f>
        <v>213.54666666666665</v>
      </c>
      <c r="AN346">
        <f t="shared" ref="AN346:AN375" si="123">(INDEX($BB$5:$BB$58,MATCH($AV346,$AZ$5:$AZ$58,0))*$AS346/1.5*$BF$4*INDEX($BB$109:$BO$109,MATCH($AL346,$BB$108:$BO$108,0)))*0.1</f>
        <v>21.354666666666667</v>
      </c>
      <c r="AO346">
        <f t="shared" ref="AO346:AO375" si="124">INDEX($BC$5:$BC$58,MATCH($AV346,$AZ$5:$AZ$58,0))*$BG$4*INDEX($BB$109:$BO$109,MATCH($AL346,$BB$108:$BO$108,0))</f>
        <v>1624.6153846153845</v>
      </c>
      <c r="AP346">
        <f t="shared" ref="AP346:AP375" si="125">(INDEX($BC$5:$BC$58,MATCH($AV346,$AZ$5:$AZ$58,0))*$BG$4*INDEX($BB$109:$BO$109,MATCH($AL346,$BB$108:$BO$108,0)))*0.1</f>
        <v>162.46153846153845</v>
      </c>
      <c r="AQ346">
        <f t="shared" si="117"/>
        <v>32.853333333333332</v>
      </c>
      <c r="AR346">
        <f t="shared" si="114"/>
        <v>3.2853333333333334</v>
      </c>
      <c r="AS346">
        <f t="shared" si="118"/>
        <v>1.4</v>
      </c>
      <c r="AT346">
        <f t="shared" si="119"/>
        <v>2</v>
      </c>
      <c r="AU346">
        <f t="shared" si="120"/>
        <v>6</v>
      </c>
      <c r="AV346">
        <f t="shared" si="110"/>
        <v>5021</v>
      </c>
      <c r="AW346" s="1">
        <v>2</v>
      </c>
      <c r="AX346">
        <v>5</v>
      </c>
      <c r="AY346">
        <v>0.1</v>
      </c>
      <c r="CE346" t="str">
        <f t="shared" si="109"/>
        <v>DATA_Class_Base35</v>
      </c>
      <c r="CF346" s="3" t="s">
        <v>195</v>
      </c>
    </row>
    <row r="347" spans="1:84">
      <c r="A347">
        <f t="shared" si="107"/>
        <v>5081601</v>
      </c>
      <c r="B347" s="31" t="s">
        <v>398</v>
      </c>
      <c r="C347">
        <v>8</v>
      </c>
      <c r="D347">
        <v>6</v>
      </c>
      <c r="E347">
        <v>1</v>
      </c>
      <c r="F347" s="3" t="s">
        <v>1648</v>
      </c>
      <c r="G347" s="3" t="s">
        <v>1648</v>
      </c>
      <c r="H347">
        <v>0</v>
      </c>
      <c r="I347">
        <v>0</v>
      </c>
      <c r="J347">
        <v>0</v>
      </c>
      <c r="K347" s="2" t="s">
        <v>309</v>
      </c>
      <c r="L347" s="2">
        <f t="shared" si="108"/>
        <v>6</v>
      </c>
      <c r="M347" s="2">
        <f t="shared" ref="M347:N410" si="126">FLOOR(AS347/1,0.01)</f>
        <v>1.5</v>
      </c>
      <c r="N347" s="2">
        <f t="shared" si="126"/>
        <v>2</v>
      </c>
      <c r="O347" s="2">
        <v>10</v>
      </c>
      <c r="P347" s="2">
        <f t="shared" si="121"/>
        <v>193.6</v>
      </c>
      <c r="Q347" s="2">
        <f t="shared" si="121"/>
        <v>19.36</v>
      </c>
      <c r="R347" s="2">
        <f t="shared" si="121"/>
        <v>2323.1999999999998</v>
      </c>
      <c r="S347" s="2">
        <f t="shared" si="121"/>
        <v>232.32</v>
      </c>
      <c r="T347" s="2">
        <f t="shared" si="121"/>
        <v>48.4</v>
      </c>
      <c r="U347" s="2">
        <f t="shared" si="121"/>
        <v>4.84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516012</v>
      </c>
      <c r="AB347" s="14" t="s">
        <v>672</v>
      </c>
      <c r="AC347" s="15" t="s">
        <v>890</v>
      </c>
      <c r="AD347" s="2">
        <v>5091601</v>
      </c>
      <c r="AE347" s="2">
        <v>0</v>
      </c>
      <c r="AF347" s="2">
        <v>2</v>
      </c>
      <c r="AG347" s="2">
        <v>8</v>
      </c>
      <c r="AH347" s="2">
        <v>1</v>
      </c>
      <c r="AI347" s="2"/>
      <c r="AJ347">
        <v>1</v>
      </c>
      <c r="AK347" s="1">
        <f t="shared" si="115"/>
        <v>95.375251635834886</v>
      </c>
      <c r="AL347">
        <v>8</v>
      </c>
      <c r="AM347">
        <f t="shared" si="122"/>
        <v>176</v>
      </c>
      <c r="AN347">
        <f t="shared" si="123"/>
        <v>17.600000000000001</v>
      </c>
      <c r="AO347">
        <f t="shared" si="124"/>
        <v>2112</v>
      </c>
      <c r="AP347">
        <f t="shared" si="125"/>
        <v>211.20000000000002</v>
      </c>
      <c r="AQ347">
        <f t="shared" si="117"/>
        <v>44</v>
      </c>
      <c r="AR347">
        <f t="shared" si="114"/>
        <v>4.4000000000000004</v>
      </c>
      <c r="AS347">
        <f t="shared" si="118"/>
        <v>1.5</v>
      </c>
      <c r="AT347">
        <f t="shared" si="119"/>
        <v>2</v>
      </c>
      <c r="AU347">
        <f t="shared" si="120"/>
        <v>6</v>
      </c>
      <c r="AV347">
        <f t="shared" si="110"/>
        <v>6011</v>
      </c>
      <c r="AW347" s="1">
        <v>1</v>
      </c>
      <c r="AX347">
        <v>5</v>
      </c>
      <c r="AY347">
        <v>0.1</v>
      </c>
      <c r="CE347" t="str">
        <f t="shared" si="109"/>
        <v>DATA_Class_Base36</v>
      </c>
      <c r="CF347" s="3" t="s">
        <v>201</v>
      </c>
    </row>
    <row r="348" spans="1:84">
      <c r="A348">
        <f t="shared" si="107"/>
        <v>5082200</v>
      </c>
      <c r="B348" s="31" t="s">
        <v>373</v>
      </c>
      <c r="C348">
        <v>8</v>
      </c>
      <c r="D348">
        <v>2</v>
      </c>
      <c r="E348">
        <v>2</v>
      </c>
      <c r="F348" s="3" t="s">
        <v>1649</v>
      </c>
      <c r="G348" s="3" t="s">
        <v>1649</v>
      </c>
      <c r="H348">
        <v>0</v>
      </c>
      <c r="I348">
        <v>0</v>
      </c>
      <c r="J348">
        <v>0</v>
      </c>
      <c r="K348" s="2" t="s">
        <v>314</v>
      </c>
      <c r="L348" s="2">
        <f t="shared" si="108"/>
        <v>3</v>
      </c>
      <c r="M348" s="2">
        <f t="shared" si="126"/>
        <v>1.5</v>
      </c>
      <c r="N348" s="2">
        <f t="shared" si="126"/>
        <v>1.2</v>
      </c>
      <c r="O348" s="2">
        <v>10</v>
      </c>
      <c r="P348" s="2">
        <f t="shared" si="121"/>
        <v>193.6</v>
      </c>
      <c r="Q348" s="2">
        <f t="shared" si="121"/>
        <v>19.36</v>
      </c>
      <c r="R348" s="2">
        <f t="shared" si="121"/>
        <v>2323.1999999999998</v>
      </c>
      <c r="S348" s="2">
        <f t="shared" si="121"/>
        <v>232.32</v>
      </c>
      <c r="T348" s="2">
        <f t="shared" si="121"/>
        <v>48.4</v>
      </c>
      <c r="U348" s="2">
        <f t="shared" si="121"/>
        <v>4.84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522002</v>
      </c>
      <c r="AB348" s="14" t="s">
        <v>673</v>
      </c>
      <c r="AC348" s="15" t="s">
        <v>890</v>
      </c>
      <c r="AD348" s="2">
        <v>5092200</v>
      </c>
      <c r="AE348" s="2">
        <v>0</v>
      </c>
      <c r="AF348" s="2">
        <v>2</v>
      </c>
      <c r="AG348" s="2">
        <v>8</v>
      </c>
      <c r="AH348" s="2">
        <v>1</v>
      </c>
      <c r="AI348" s="2"/>
      <c r="AJ348">
        <v>1</v>
      </c>
      <c r="AK348" s="1">
        <f t="shared" si="115"/>
        <v>95.375251635834886</v>
      </c>
      <c r="AL348">
        <v>8</v>
      </c>
      <c r="AM348">
        <f t="shared" si="122"/>
        <v>176</v>
      </c>
      <c r="AN348">
        <f t="shared" si="123"/>
        <v>17.600000000000001</v>
      </c>
      <c r="AO348">
        <f t="shared" si="124"/>
        <v>2112</v>
      </c>
      <c r="AP348">
        <f t="shared" si="125"/>
        <v>211.20000000000002</v>
      </c>
      <c r="AQ348">
        <f t="shared" si="117"/>
        <v>44</v>
      </c>
      <c r="AR348">
        <f t="shared" si="114"/>
        <v>4.4000000000000004</v>
      </c>
      <c r="AS348">
        <f t="shared" si="118"/>
        <v>1.5</v>
      </c>
      <c r="AT348">
        <f t="shared" si="119"/>
        <v>1.2</v>
      </c>
      <c r="AU348">
        <f t="shared" si="120"/>
        <v>3</v>
      </c>
      <c r="AV348">
        <f t="shared" si="110"/>
        <v>2002</v>
      </c>
      <c r="AW348" s="1">
        <v>0</v>
      </c>
      <c r="AX348">
        <v>5</v>
      </c>
      <c r="AY348">
        <v>0.1</v>
      </c>
      <c r="CE348" t="str">
        <f t="shared" si="109"/>
        <v>DATA_Class_Base28</v>
      </c>
      <c r="CF348" s="3" t="s">
        <v>374</v>
      </c>
    </row>
    <row r="349" spans="1:84">
      <c r="A349">
        <f t="shared" si="107"/>
        <v>5082201</v>
      </c>
      <c r="B349" s="31" t="s">
        <v>377</v>
      </c>
      <c r="C349">
        <v>8</v>
      </c>
      <c r="D349">
        <v>2</v>
      </c>
      <c r="E349">
        <v>2</v>
      </c>
      <c r="F349" s="3" t="s">
        <v>1650</v>
      </c>
      <c r="G349" s="3" t="s">
        <v>1650</v>
      </c>
      <c r="H349">
        <v>0</v>
      </c>
      <c r="I349">
        <v>0</v>
      </c>
      <c r="J349">
        <v>0</v>
      </c>
      <c r="K349" s="8" t="s">
        <v>298</v>
      </c>
      <c r="L349" s="2">
        <f t="shared" si="108"/>
        <v>3</v>
      </c>
      <c r="M349" s="2">
        <f t="shared" si="126"/>
        <v>1.8</v>
      </c>
      <c r="N349" s="2">
        <f t="shared" si="126"/>
        <v>1.8</v>
      </c>
      <c r="O349" s="2">
        <v>10</v>
      </c>
      <c r="P349" s="2">
        <f t="shared" si="121"/>
        <v>162.62</v>
      </c>
      <c r="Q349" s="2">
        <f t="shared" si="121"/>
        <v>16.260000000000002</v>
      </c>
      <c r="R349" s="2">
        <f t="shared" si="121"/>
        <v>3318.86</v>
      </c>
      <c r="S349" s="2">
        <f t="shared" si="121"/>
        <v>331.89</v>
      </c>
      <c r="T349" s="2">
        <f t="shared" si="121"/>
        <v>54.21</v>
      </c>
      <c r="U349" s="2">
        <f t="shared" si="121"/>
        <v>5.42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522012</v>
      </c>
      <c r="AB349" s="14" t="s">
        <v>674</v>
      </c>
      <c r="AC349" s="15" t="s">
        <v>890</v>
      </c>
      <c r="AD349" s="2">
        <v>5092201</v>
      </c>
      <c r="AE349" s="2">
        <v>0</v>
      </c>
      <c r="AF349" s="2">
        <v>2</v>
      </c>
      <c r="AG349" s="2">
        <v>8</v>
      </c>
      <c r="AH349" s="2">
        <v>1</v>
      </c>
      <c r="AI349" s="2"/>
      <c r="AJ349">
        <v>1</v>
      </c>
      <c r="AK349" s="1">
        <f t="shared" si="115"/>
        <v>95.487253810916442</v>
      </c>
      <c r="AL349">
        <v>8</v>
      </c>
      <c r="AM349">
        <f t="shared" si="122"/>
        <v>147.84000000000003</v>
      </c>
      <c r="AN349">
        <f t="shared" si="123"/>
        <v>14.784000000000004</v>
      </c>
      <c r="AO349">
        <f t="shared" si="124"/>
        <v>3017.1428571428578</v>
      </c>
      <c r="AP349">
        <f t="shared" si="125"/>
        <v>301.71428571428578</v>
      </c>
      <c r="AQ349">
        <f t="shared" si="117"/>
        <v>49.280000000000008</v>
      </c>
      <c r="AR349">
        <f t="shared" si="114"/>
        <v>4.9280000000000008</v>
      </c>
      <c r="AS349">
        <f t="shared" si="118"/>
        <v>1.8</v>
      </c>
      <c r="AT349">
        <f t="shared" si="119"/>
        <v>1.8</v>
      </c>
      <c r="AU349">
        <f t="shared" si="120"/>
        <v>3</v>
      </c>
      <c r="AV349">
        <f t="shared" si="110"/>
        <v>2012</v>
      </c>
      <c r="AW349" s="1">
        <v>1</v>
      </c>
      <c r="AX349">
        <v>5</v>
      </c>
      <c r="AY349">
        <v>0.1</v>
      </c>
      <c r="CE349" t="str">
        <f t="shared" si="109"/>
        <v>DATA_Class_Base29</v>
      </c>
      <c r="CF349" s="3" t="s">
        <v>378</v>
      </c>
    </row>
    <row r="350" spans="1:84">
      <c r="A350">
        <f t="shared" ref="A350:A421" si="127">AX350*1000000+C350*10000+E350*1000+D350*100+AW350</f>
        <v>5082202</v>
      </c>
      <c r="B350" s="31" t="s">
        <v>380</v>
      </c>
      <c r="C350">
        <v>8</v>
      </c>
      <c r="D350">
        <v>2</v>
      </c>
      <c r="E350">
        <v>2</v>
      </c>
      <c r="F350" s="3" t="s">
        <v>1651</v>
      </c>
      <c r="G350" s="3" t="s">
        <v>1651</v>
      </c>
      <c r="H350">
        <v>0</v>
      </c>
      <c r="I350">
        <v>0</v>
      </c>
      <c r="J350" s="2">
        <v>0</v>
      </c>
      <c r="K350" s="2" t="s">
        <v>280</v>
      </c>
      <c r="L350" s="2">
        <f t="shared" ref="L350:L421" si="128">AU350</f>
        <v>3</v>
      </c>
      <c r="M350" s="2">
        <f t="shared" si="126"/>
        <v>1.8</v>
      </c>
      <c r="N350" s="2">
        <f t="shared" si="126"/>
        <v>2</v>
      </c>
      <c r="O350" s="2">
        <v>10</v>
      </c>
      <c r="P350" s="2">
        <f t="shared" ref="P350:U392" si="129">ROUND(AM350*(1+$AY350),2)</f>
        <v>267.17</v>
      </c>
      <c r="Q350" s="2">
        <f t="shared" si="129"/>
        <v>26.72</v>
      </c>
      <c r="R350" s="2">
        <f t="shared" si="129"/>
        <v>2020.17</v>
      </c>
      <c r="S350" s="2">
        <f t="shared" si="129"/>
        <v>202.02</v>
      </c>
      <c r="T350" s="2">
        <f t="shared" si="129"/>
        <v>53.43</v>
      </c>
      <c r="U350" s="2">
        <f t="shared" si="129"/>
        <v>5.34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522022</v>
      </c>
      <c r="AB350" s="14" t="s">
        <v>675</v>
      </c>
      <c r="AC350" s="15" t="s">
        <v>890</v>
      </c>
      <c r="AD350" s="2">
        <v>5092202</v>
      </c>
      <c r="AE350" s="2">
        <v>0</v>
      </c>
      <c r="AF350" s="2">
        <v>2</v>
      </c>
      <c r="AG350" s="2">
        <v>8</v>
      </c>
      <c r="AH350" s="2">
        <v>1</v>
      </c>
      <c r="AI350" s="2"/>
      <c r="AJ350">
        <v>1</v>
      </c>
      <c r="AK350" s="1">
        <f t="shared" si="115"/>
        <v>95.472304991195529</v>
      </c>
      <c r="AL350">
        <v>8</v>
      </c>
      <c r="AM350">
        <f t="shared" si="122"/>
        <v>242.88</v>
      </c>
      <c r="AN350">
        <f t="shared" si="123"/>
        <v>24.288</v>
      </c>
      <c r="AO350">
        <f t="shared" si="124"/>
        <v>1836.521739130435</v>
      </c>
      <c r="AP350">
        <f t="shared" si="125"/>
        <v>183.6521739130435</v>
      </c>
      <c r="AQ350">
        <f t="shared" si="117"/>
        <v>48.576000000000001</v>
      </c>
      <c r="AR350">
        <f t="shared" si="114"/>
        <v>4.8576000000000006</v>
      </c>
      <c r="AS350">
        <f t="shared" si="118"/>
        <v>1.8</v>
      </c>
      <c r="AT350">
        <f t="shared" si="119"/>
        <v>2</v>
      </c>
      <c r="AU350">
        <f t="shared" si="120"/>
        <v>3</v>
      </c>
      <c r="AV350">
        <f t="shared" si="110"/>
        <v>2022</v>
      </c>
      <c r="AW350" s="1">
        <v>2</v>
      </c>
      <c r="AX350">
        <v>5</v>
      </c>
      <c r="AY350">
        <v>0.1</v>
      </c>
      <c r="CE350" t="str">
        <f t="shared" si="109"/>
        <v>DATA_Class_Base30</v>
      </c>
      <c r="CF350" s="3" t="s">
        <v>381</v>
      </c>
    </row>
    <row r="351" spans="1:84">
      <c r="A351">
        <f t="shared" si="127"/>
        <v>5082301</v>
      </c>
      <c r="B351" s="31" t="s">
        <v>383</v>
      </c>
      <c r="C351">
        <v>8</v>
      </c>
      <c r="D351">
        <v>3</v>
      </c>
      <c r="E351">
        <v>2</v>
      </c>
      <c r="F351" s="3" t="s">
        <v>1652</v>
      </c>
      <c r="G351" s="3" t="s">
        <v>1652</v>
      </c>
      <c r="H351">
        <v>0</v>
      </c>
      <c r="I351">
        <v>0</v>
      </c>
      <c r="J351">
        <v>0</v>
      </c>
      <c r="K351" s="2" t="s">
        <v>285</v>
      </c>
      <c r="L351" s="2">
        <f t="shared" si="128"/>
        <v>3</v>
      </c>
      <c r="M351" s="2">
        <f t="shared" si="126"/>
        <v>1.2</v>
      </c>
      <c r="N351" s="2">
        <f t="shared" si="126"/>
        <v>1.7</v>
      </c>
      <c r="O351" s="2">
        <v>10</v>
      </c>
      <c r="P351" s="2">
        <f t="shared" si="129"/>
        <v>201.34</v>
      </c>
      <c r="Q351" s="2">
        <f t="shared" si="129"/>
        <v>20.13</v>
      </c>
      <c r="R351" s="2">
        <f t="shared" si="129"/>
        <v>1787.08</v>
      </c>
      <c r="S351" s="2">
        <f t="shared" si="129"/>
        <v>178.71</v>
      </c>
      <c r="T351" s="2">
        <f t="shared" si="129"/>
        <v>33.56</v>
      </c>
      <c r="U351" s="2">
        <f t="shared" si="129"/>
        <v>3.36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523012</v>
      </c>
      <c r="AB351" s="14" t="s">
        <v>676</v>
      </c>
      <c r="AC351" s="15" t="s">
        <v>890</v>
      </c>
      <c r="AD351" s="2">
        <v>5092301</v>
      </c>
      <c r="AE351" s="2">
        <v>0</v>
      </c>
      <c r="AF351" s="2">
        <v>2</v>
      </c>
      <c r="AG351" s="2">
        <v>8</v>
      </c>
      <c r="AH351" s="2">
        <v>1</v>
      </c>
      <c r="AI351" s="2"/>
      <c r="AJ351">
        <v>1</v>
      </c>
      <c r="AK351" s="1">
        <f t="shared" si="115"/>
        <v>95.090214001597957</v>
      </c>
      <c r="AL351">
        <v>8</v>
      </c>
      <c r="AM351">
        <f t="shared" si="122"/>
        <v>183.04000000000002</v>
      </c>
      <c r="AN351">
        <f t="shared" si="123"/>
        <v>18.304000000000002</v>
      </c>
      <c r="AO351">
        <f t="shared" si="124"/>
        <v>1624.6153846153845</v>
      </c>
      <c r="AP351">
        <f t="shared" si="125"/>
        <v>162.46153846153845</v>
      </c>
      <c r="AQ351">
        <f t="shared" si="117"/>
        <v>30.506666666666671</v>
      </c>
      <c r="AR351">
        <f t="shared" si="114"/>
        <v>3.0506666666666673</v>
      </c>
      <c r="AS351">
        <f t="shared" si="118"/>
        <v>1.2</v>
      </c>
      <c r="AT351">
        <f t="shared" si="119"/>
        <v>1.7</v>
      </c>
      <c r="AU351">
        <f t="shared" si="120"/>
        <v>3</v>
      </c>
      <c r="AV351">
        <f t="shared" si="110"/>
        <v>3012</v>
      </c>
      <c r="AW351" s="1">
        <v>1</v>
      </c>
      <c r="AX351">
        <v>5</v>
      </c>
      <c r="AY351">
        <v>0.1</v>
      </c>
      <c r="CE351" t="str">
        <f t="shared" ref="CE351:CE422" si="130">INDEX($CB$18:$CB$59,MATCH($CF351,$CC$18:$CC$59,0))</f>
        <v>DATA_Class_Base31</v>
      </c>
      <c r="CF351" s="3" t="s">
        <v>384</v>
      </c>
    </row>
    <row r="352" spans="1:84">
      <c r="A352">
        <f t="shared" si="127"/>
        <v>5082401</v>
      </c>
      <c r="B352" s="31" t="s">
        <v>387</v>
      </c>
      <c r="C352">
        <v>8</v>
      </c>
      <c r="D352">
        <v>4</v>
      </c>
      <c r="E352">
        <v>2</v>
      </c>
      <c r="F352" s="3" t="s">
        <v>1653</v>
      </c>
      <c r="G352" s="3" t="s">
        <v>1653</v>
      </c>
      <c r="H352">
        <v>0</v>
      </c>
      <c r="I352">
        <v>0</v>
      </c>
      <c r="J352" s="2">
        <v>0</v>
      </c>
      <c r="K352" s="2" t="s">
        <v>161</v>
      </c>
      <c r="L352" s="2">
        <f t="shared" si="128"/>
        <v>6</v>
      </c>
      <c r="M352" s="2">
        <f t="shared" si="126"/>
        <v>1.6</v>
      </c>
      <c r="N352" s="2">
        <f t="shared" si="126"/>
        <v>1.5</v>
      </c>
      <c r="O352" s="2">
        <v>10</v>
      </c>
      <c r="P352" s="2">
        <f t="shared" si="129"/>
        <v>268.45999999999998</v>
      </c>
      <c r="Q352" s="2">
        <f t="shared" si="129"/>
        <v>26.85</v>
      </c>
      <c r="R352" s="2">
        <f t="shared" si="129"/>
        <v>1787.08</v>
      </c>
      <c r="S352" s="2">
        <f t="shared" si="129"/>
        <v>178.71</v>
      </c>
      <c r="T352" s="2">
        <f t="shared" si="129"/>
        <v>29.83</v>
      </c>
      <c r="U352" s="2">
        <f t="shared" si="129"/>
        <v>2.98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524012</v>
      </c>
      <c r="AB352" s="14" t="s">
        <v>677</v>
      </c>
      <c r="AC352" s="15" t="s">
        <v>890</v>
      </c>
      <c r="AD352" s="2">
        <v>5092401</v>
      </c>
      <c r="AE352" s="2">
        <v>0</v>
      </c>
      <c r="AF352" s="2">
        <v>2</v>
      </c>
      <c r="AG352" s="2">
        <v>8</v>
      </c>
      <c r="AH352" s="2">
        <v>1</v>
      </c>
      <c r="AI352" s="2"/>
      <c r="AJ352">
        <v>1</v>
      </c>
      <c r="AK352" s="1">
        <f t="shared" si="115"/>
        <v>95.018877894840259</v>
      </c>
      <c r="AL352">
        <v>8</v>
      </c>
      <c r="AM352">
        <f t="shared" si="122"/>
        <v>244.05333333333337</v>
      </c>
      <c r="AN352">
        <f t="shared" si="123"/>
        <v>24.405333333333338</v>
      </c>
      <c r="AO352">
        <f t="shared" si="124"/>
        <v>1624.6153846153845</v>
      </c>
      <c r="AP352">
        <f t="shared" si="125"/>
        <v>162.46153846153845</v>
      </c>
      <c r="AQ352">
        <f t="shared" si="117"/>
        <v>27.11703703703704</v>
      </c>
      <c r="AR352">
        <f t="shared" si="114"/>
        <v>2.7117037037037042</v>
      </c>
      <c r="AS352">
        <f t="shared" si="118"/>
        <v>1.6</v>
      </c>
      <c r="AT352">
        <f t="shared" si="119"/>
        <v>1.5</v>
      </c>
      <c r="AU352">
        <f t="shared" si="120"/>
        <v>6</v>
      </c>
      <c r="AV352">
        <f t="shared" si="110"/>
        <v>4012</v>
      </c>
      <c r="AW352" s="1">
        <v>1</v>
      </c>
      <c r="AX352">
        <v>5</v>
      </c>
      <c r="AY352">
        <v>0.1</v>
      </c>
      <c r="CE352" t="str">
        <f t="shared" si="130"/>
        <v>DATA_Class_Base32</v>
      </c>
      <c r="CF352" s="3" t="s">
        <v>388</v>
      </c>
    </row>
    <row r="353" spans="1:84">
      <c r="A353">
        <f t="shared" si="127"/>
        <v>5082402</v>
      </c>
      <c r="B353" s="31" t="s">
        <v>390</v>
      </c>
      <c r="C353">
        <v>8</v>
      </c>
      <c r="D353">
        <v>4</v>
      </c>
      <c r="E353">
        <v>2</v>
      </c>
      <c r="F353" s="3" t="s">
        <v>1654</v>
      </c>
      <c r="G353" s="3" t="s">
        <v>1654</v>
      </c>
      <c r="H353">
        <v>0</v>
      </c>
      <c r="I353">
        <v>0</v>
      </c>
      <c r="J353">
        <v>0</v>
      </c>
      <c r="K353" s="2" t="s">
        <v>250</v>
      </c>
      <c r="L353" s="2">
        <f t="shared" si="128"/>
        <v>6</v>
      </c>
      <c r="M353" s="2">
        <f t="shared" si="126"/>
        <v>1.5</v>
      </c>
      <c r="N353" s="2">
        <f t="shared" si="126"/>
        <v>1.5</v>
      </c>
      <c r="O353" s="2">
        <v>10</v>
      </c>
      <c r="P353" s="2">
        <f t="shared" si="129"/>
        <v>271.04000000000002</v>
      </c>
      <c r="Q353" s="2">
        <f t="shared" si="129"/>
        <v>27.1</v>
      </c>
      <c r="R353" s="2">
        <f t="shared" si="129"/>
        <v>1659.43</v>
      </c>
      <c r="S353" s="2">
        <f t="shared" si="129"/>
        <v>165.94</v>
      </c>
      <c r="T353" s="2">
        <f t="shared" si="129"/>
        <v>33.880000000000003</v>
      </c>
      <c r="U353" s="2">
        <f t="shared" si="129"/>
        <v>3.39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524022</v>
      </c>
      <c r="AB353" s="14" t="s">
        <v>678</v>
      </c>
      <c r="AC353" s="15" t="s">
        <v>890</v>
      </c>
      <c r="AD353" s="2">
        <v>5092402</v>
      </c>
      <c r="AE353" s="2">
        <v>0</v>
      </c>
      <c r="AF353" s="2">
        <v>2</v>
      </c>
      <c r="AG353" s="2">
        <v>8</v>
      </c>
      <c r="AH353" s="2">
        <v>1</v>
      </c>
      <c r="AI353" s="2"/>
      <c r="AJ353">
        <v>1</v>
      </c>
      <c r="AK353" s="1">
        <f t="shared" si="115"/>
        <v>95.096392354594741</v>
      </c>
      <c r="AL353">
        <v>8</v>
      </c>
      <c r="AM353">
        <f t="shared" si="122"/>
        <v>246.39999999999995</v>
      </c>
      <c r="AN353">
        <f t="shared" si="123"/>
        <v>24.639999999999997</v>
      </c>
      <c r="AO353">
        <f t="shared" si="124"/>
        <v>1508.5714285714289</v>
      </c>
      <c r="AP353">
        <f t="shared" si="125"/>
        <v>150.85714285714289</v>
      </c>
      <c r="AQ353">
        <f t="shared" si="117"/>
        <v>30.799999999999994</v>
      </c>
      <c r="AR353">
        <f t="shared" si="114"/>
        <v>3.0799999999999996</v>
      </c>
      <c r="AS353">
        <f t="shared" si="118"/>
        <v>1.5</v>
      </c>
      <c r="AT353">
        <f t="shared" si="119"/>
        <v>1.5</v>
      </c>
      <c r="AU353">
        <f t="shared" si="120"/>
        <v>6</v>
      </c>
      <c r="AV353">
        <f t="shared" si="110"/>
        <v>4022</v>
      </c>
      <c r="AW353" s="1">
        <v>2</v>
      </c>
      <c r="AX353">
        <v>5</v>
      </c>
      <c r="AY353">
        <v>0.1</v>
      </c>
      <c r="CE353" t="str">
        <f t="shared" si="130"/>
        <v>DATA_Class_Base33</v>
      </c>
      <c r="CF353" s="3" t="s">
        <v>391</v>
      </c>
    </row>
    <row r="354" spans="1:84">
      <c r="A354">
        <f t="shared" si="127"/>
        <v>5082500</v>
      </c>
      <c r="B354" s="31" t="s">
        <v>394</v>
      </c>
      <c r="C354">
        <v>8</v>
      </c>
      <c r="D354">
        <v>5</v>
      </c>
      <c r="E354">
        <v>2</v>
      </c>
      <c r="F354" s="3" t="s">
        <v>1655</v>
      </c>
      <c r="G354" s="3" t="s">
        <v>1655</v>
      </c>
      <c r="H354">
        <v>0</v>
      </c>
      <c r="I354">
        <v>0</v>
      </c>
      <c r="J354" s="2">
        <v>0</v>
      </c>
      <c r="K354" s="2" t="s">
        <v>303</v>
      </c>
      <c r="L354" s="2">
        <f t="shared" si="128"/>
        <v>6</v>
      </c>
      <c r="M354" s="2">
        <f t="shared" si="126"/>
        <v>1.5</v>
      </c>
      <c r="N354" s="2">
        <f t="shared" si="126"/>
        <v>2</v>
      </c>
      <c r="O354" s="2">
        <v>10</v>
      </c>
      <c r="P354" s="2">
        <f t="shared" si="129"/>
        <v>290.39999999999998</v>
      </c>
      <c r="Q354" s="2">
        <f t="shared" si="129"/>
        <v>29.04</v>
      </c>
      <c r="R354" s="2">
        <f t="shared" si="129"/>
        <v>1548.8</v>
      </c>
      <c r="S354" s="2">
        <f t="shared" si="129"/>
        <v>154.88</v>
      </c>
      <c r="T354" s="2">
        <f t="shared" si="129"/>
        <v>32.270000000000003</v>
      </c>
      <c r="U354" s="2">
        <f t="shared" si="129"/>
        <v>3.23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525002</v>
      </c>
      <c r="AB354" s="14" t="s">
        <v>679</v>
      </c>
      <c r="AC354" s="15" t="s">
        <v>890</v>
      </c>
      <c r="AD354" s="2">
        <v>5092500</v>
      </c>
      <c r="AE354" s="2">
        <v>0</v>
      </c>
      <c r="AF354" s="2">
        <v>2</v>
      </c>
      <c r="AG354" s="2">
        <v>8</v>
      </c>
      <c r="AH354" s="2">
        <v>1</v>
      </c>
      <c r="AI354" s="2"/>
      <c r="AJ354">
        <v>1</v>
      </c>
      <c r="AK354" s="1">
        <f t="shared" si="115"/>
        <v>95.065508615599327</v>
      </c>
      <c r="AL354">
        <v>8</v>
      </c>
      <c r="AM354">
        <f t="shared" si="122"/>
        <v>264</v>
      </c>
      <c r="AN354">
        <f t="shared" si="123"/>
        <v>26.400000000000002</v>
      </c>
      <c r="AO354">
        <f t="shared" si="124"/>
        <v>1408</v>
      </c>
      <c r="AP354">
        <f t="shared" si="125"/>
        <v>140.80000000000001</v>
      </c>
      <c r="AQ354">
        <f t="shared" si="117"/>
        <v>29.333333333333332</v>
      </c>
      <c r="AR354">
        <f t="shared" si="114"/>
        <v>2.9333333333333336</v>
      </c>
      <c r="AS354">
        <f t="shared" si="118"/>
        <v>1.5</v>
      </c>
      <c r="AT354">
        <f t="shared" si="119"/>
        <v>2</v>
      </c>
      <c r="AU354">
        <f t="shared" si="120"/>
        <v>6</v>
      </c>
      <c r="AV354">
        <f t="shared" si="110"/>
        <v>5002</v>
      </c>
      <c r="AW354" s="1">
        <v>0</v>
      </c>
      <c r="AX354">
        <v>5</v>
      </c>
      <c r="AY354">
        <v>0.1</v>
      </c>
      <c r="CE354" t="str">
        <f t="shared" si="130"/>
        <v>DATA_Class_Base34</v>
      </c>
      <c r="CF354" s="3" t="s">
        <v>184</v>
      </c>
    </row>
    <row r="355" spans="1:84">
      <c r="A355">
        <f t="shared" si="127"/>
        <v>5082502</v>
      </c>
      <c r="B355" s="31" t="s">
        <v>396</v>
      </c>
      <c r="C355">
        <v>8</v>
      </c>
      <c r="D355">
        <v>5</v>
      </c>
      <c r="E355">
        <v>2</v>
      </c>
      <c r="F355" s="3" t="s">
        <v>1656</v>
      </c>
      <c r="G355" s="3" t="s">
        <v>1656</v>
      </c>
      <c r="H355">
        <v>0</v>
      </c>
      <c r="I355">
        <v>0</v>
      </c>
      <c r="J355" s="2">
        <v>0</v>
      </c>
      <c r="K355" s="2" t="s">
        <v>291</v>
      </c>
      <c r="L355" s="2">
        <f t="shared" si="128"/>
        <v>6</v>
      </c>
      <c r="M355" s="2">
        <f t="shared" si="126"/>
        <v>1.4000000000000001</v>
      </c>
      <c r="N355" s="2">
        <f t="shared" si="126"/>
        <v>2</v>
      </c>
      <c r="O355" s="2">
        <v>10</v>
      </c>
      <c r="P355" s="2">
        <f t="shared" si="129"/>
        <v>280.07</v>
      </c>
      <c r="Q355" s="2">
        <f t="shared" si="129"/>
        <v>28.01</v>
      </c>
      <c r="R355" s="2">
        <f t="shared" si="129"/>
        <v>1498.84</v>
      </c>
      <c r="S355" s="2">
        <f t="shared" si="129"/>
        <v>149.88</v>
      </c>
      <c r="T355" s="2">
        <f t="shared" si="129"/>
        <v>28.01</v>
      </c>
      <c r="U355" s="2">
        <f t="shared" si="129"/>
        <v>2.8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525022</v>
      </c>
      <c r="AB355" s="14" t="s">
        <v>680</v>
      </c>
      <c r="AC355" s="15" t="s">
        <v>890</v>
      </c>
      <c r="AD355" s="2">
        <v>5092502</v>
      </c>
      <c r="AE355" s="2">
        <v>0</v>
      </c>
      <c r="AF355" s="2">
        <v>2</v>
      </c>
      <c r="AG355" s="2">
        <v>8</v>
      </c>
      <c r="AH355" s="2">
        <v>1</v>
      </c>
      <c r="AI355" s="2"/>
      <c r="AJ355">
        <v>1</v>
      </c>
      <c r="AK355" s="1">
        <f t="shared" si="115"/>
        <v>94.984071845213819</v>
      </c>
      <c r="AL355">
        <v>8</v>
      </c>
      <c r="AM355">
        <f t="shared" si="122"/>
        <v>254.61333333333332</v>
      </c>
      <c r="AN355">
        <f t="shared" si="123"/>
        <v>25.461333333333332</v>
      </c>
      <c r="AO355">
        <f t="shared" si="124"/>
        <v>1362.5806451612905</v>
      </c>
      <c r="AP355">
        <f t="shared" si="125"/>
        <v>136.25806451612905</v>
      </c>
      <c r="AQ355">
        <f t="shared" si="117"/>
        <v>25.461333333333332</v>
      </c>
      <c r="AR355">
        <f t="shared" si="114"/>
        <v>2.5461333333333336</v>
      </c>
      <c r="AS355">
        <f t="shared" si="118"/>
        <v>1.4</v>
      </c>
      <c r="AT355">
        <f t="shared" si="119"/>
        <v>2</v>
      </c>
      <c r="AU355">
        <f t="shared" si="120"/>
        <v>6</v>
      </c>
      <c r="AV355">
        <f t="shared" si="110"/>
        <v>5022</v>
      </c>
      <c r="AW355" s="1">
        <v>2</v>
      </c>
      <c r="AX355">
        <v>5</v>
      </c>
      <c r="AY355">
        <v>0.1</v>
      </c>
      <c r="CE355" t="str">
        <f t="shared" si="130"/>
        <v>DATA_Class_Base35</v>
      </c>
      <c r="CF355" s="3" t="s">
        <v>195</v>
      </c>
    </row>
    <row r="356" spans="1:84">
      <c r="A356">
        <f t="shared" si="127"/>
        <v>5082601</v>
      </c>
      <c r="B356" s="31" t="s">
        <v>398</v>
      </c>
      <c r="C356">
        <v>8</v>
      </c>
      <c r="D356">
        <v>6</v>
      </c>
      <c r="E356">
        <v>2</v>
      </c>
      <c r="F356" s="3" t="s">
        <v>1657</v>
      </c>
      <c r="G356" s="3" t="s">
        <v>1657</v>
      </c>
      <c r="H356">
        <v>0</v>
      </c>
      <c r="I356">
        <v>0</v>
      </c>
      <c r="J356" s="2">
        <v>0</v>
      </c>
      <c r="K356" s="2" t="s">
        <v>309</v>
      </c>
      <c r="L356" s="2">
        <f t="shared" si="128"/>
        <v>6</v>
      </c>
      <c r="M356" s="2">
        <f t="shared" si="126"/>
        <v>1.5</v>
      </c>
      <c r="N356" s="2">
        <f t="shared" si="126"/>
        <v>2</v>
      </c>
      <c r="O356" s="2">
        <v>10</v>
      </c>
      <c r="P356" s="2">
        <f t="shared" si="129"/>
        <v>212.96</v>
      </c>
      <c r="Q356" s="2">
        <f t="shared" si="129"/>
        <v>21.3</v>
      </c>
      <c r="R356" s="2">
        <f t="shared" si="129"/>
        <v>2112</v>
      </c>
      <c r="S356" s="2">
        <f t="shared" si="129"/>
        <v>211.2</v>
      </c>
      <c r="T356" s="2">
        <f t="shared" si="129"/>
        <v>42.59</v>
      </c>
      <c r="U356" s="2">
        <f t="shared" si="129"/>
        <v>4.26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526012</v>
      </c>
      <c r="AB356" s="14" t="s">
        <v>681</v>
      </c>
      <c r="AC356" s="15" t="s">
        <v>890</v>
      </c>
      <c r="AD356" s="2">
        <v>5092601</v>
      </c>
      <c r="AE356" s="2">
        <v>0</v>
      </c>
      <c r="AF356" s="2">
        <v>2</v>
      </c>
      <c r="AG356" s="2">
        <v>8</v>
      </c>
      <c r="AH356" s="2">
        <v>1</v>
      </c>
      <c r="AI356" s="2"/>
      <c r="AJ356">
        <v>1</v>
      </c>
      <c r="AK356" s="1">
        <f t="shared" si="115"/>
        <v>95.263511899767039</v>
      </c>
      <c r="AL356">
        <v>8</v>
      </c>
      <c r="AM356">
        <f t="shared" si="122"/>
        <v>193.60000000000002</v>
      </c>
      <c r="AN356">
        <f t="shared" si="123"/>
        <v>19.360000000000003</v>
      </c>
      <c r="AO356">
        <f t="shared" si="124"/>
        <v>1920.0000000000002</v>
      </c>
      <c r="AP356">
        <f t="shared" si="125"/>
        <v>192.00000000000003</v>
      </c>
      <c r="AQ356">
        <f t="shared" si="117"/>
        <v>38.720000000000006</v>
      </c>
      <c r="AR356">
        <f t="shared" si="114"/>
        <v>3.8720000000000008</v>
      </c>
      <c r="AS356">
        <f t="shared" si="118"/>
        <v>1.5</v>
      </c>
      <c r="AT356">
        <f t="shared" si="119"/>
        <v>2</v>
      </c>
      <c r="AU356">
        <f t="shared" si="120"/>
        <v>6</v>
      </c>
      <c r="AV356">
        <f t="shared" si="110"/>
        <v>6012</v>
      </c>
      <c r="AW356" s="1">
        <v>1</v>
      </c>
      <c r="AX356">
        <v>5</v>
      </c>
      <c r="AY356">
        <v>0.1</v>
      </c>
      <c r="CE356" t="str">
        <f t="shared" si="130"/>
        <v>DATA_Class_Base36</v>
      </c>
      <c r="CF356" s="3" t="s">
        <v>201</v>
      </c>
    </row>
    <row r="357" spans="1:84">
      <c r="A357">
        <f t="shared" si="127"/>
        <v>5083200</v>
      </c>
      <c r="B357" s="31" t="s">
        <v>373</v>
      </c>
      <c r="C357">
        <v>8</v>
      </c>
      <c r="D357">
        <v>2</v>
      </c>
      <c r="E357">
        <v>3</v>
      </c>
      <c r="F357" s="3" t="s">
        <v>1658</v>
      </c>
      <c r="G357" s="3" t="s">
        <v>1658</v>
      </c>
      <c r="H357">
        <v>0</v>
      </c>
      <c r="I357">
        <v>0</v>
      </c>
      <c r="J357">
        <v>0</v>
      </c>
      <c r="K357" s="2" t="s">
        <v>314</v>
      </c>
      <c r="L357" s="2">
        <f t="shared" si="128"/>
        <v>3</v>
      </c>
      <c r="M357" s="2">
        <f t="shared" si="126"/>
        <v>1.5</v>
      </c>
      <c r="N357" s="2">
        <f t="shared" si="126"/>
        <v>1.2</v>
      </c>
      <c r="O357" s="2">
        <v>10</v>
      </c>
      <c r="P357" s="2">
        <f t="shared" si="129"/>
        <v>135.52000000000001</v>
      </c>
      <c r="Q357" s="2">
        <f t="shared" si="129"/>
        <v>13.55</v>
      </c>
      <c r="R357" s="2">
        <f t="shared" si="129"/>
        <v>3318.86</v>
      </c>
      <c r="S357" s="2">
        <f t="shared" si="129"/>
        <v>331.89</v>
      </c>
      <c r="T357" s="2">
        <f t="shared" si="129"/>
        <v>67.760000000000005</v>
      </c>
      <c r="U357" s="2">
        <f t="shared" si="129"/>
        <v>6.78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532002</v>
      </c>
      <c r="AB357" s="14" t="s">
        <v>682</v>
      </c>
      <c r="AC357" s="15" t="s">
        <v>890</v>
      </c>
      <c r="AD357" s="2">
        <v>5093200</v>
      </c>
      <c r="AE357" s="2">
        <v>0</v>
      </c>
      <c r="AF357" s="2">
        <v>2</v>
      </c>
      <c r="AG357" s="2">
        <v>8</v>
      </c>
      <c r="AH357" s="2">
        <v>1</v>
      </c>
      <c r="AI357" s="2"/>
      <c r="AJ357">
        <v>1</v>
      </c>
      <c r="AK357" s="1">
        <f t="shared" si="115"/>
        <v>95.749618023453849</v>
      </c>
      <c r="AL357">
        <v>8</v>
      </c>
      <c r="AM357">
        <f t="shared" si="122"/>
        <v>123.19999999999997</v>
      </c>
      <c r="AN357">
        <f t="shared" si="123"/>
        <v>12.319999999999999</v>
      </c>
      <c r="AO357">
        <f t="shared" si="124"/>
        <v>3017.1428571428578</v>
      </c>
      <c r="AP357">
        <f t="shared" si="125"/>
        <v>301.71428571428578</v>
      </c>
      <c r="AQ357">
        <f t="shared" si="117"/>
        <v>61.599999999999987</v>
      </c>
      <c r="AR357">
        <f t="shared" si="114"/>
        <v>6.1599999999999993</v>
      </c>
      <c r="AS357">
        <f t="shared" si="118"/>
        <v>1.5</v>
      </c>
      <c r="AT357">
        <f t="shared" si="119"/>
        <v>1.2</v>
      </c>
      <c r="AU357">
        <f t="shared" si="120"/>
        <v>3</v>
      </c>
      <c r="AV357">
        <f t="shared" si="110"/>
        <v>2003</v>
      </c>
      <c r="AW357" s="1">
        <v>0</v>
      </c>
      <c r="AX357">
        <v>5</v>
      </c>
      <c r="AY357">
        <v>0.1</v>
      </c>
      <c r="CE357" t="str">
        <f t="shared" si="130"/>
        <v>DATA_Class_Base28</v>
      </c>
      <c r="CF357" s="3" t="s">
        <v>374</v>
      </c>
    </row>
    <row r="358" spans="1:84">
      <c r="A358">
        <f t="shared" si="127"/>
        <v>5083201</v>
      </c>
      <c r="B358" s="31" t="s">
        <v>377</v>
      </c>
      <c r="C358">
        <v>8</v>
      </c>
      <c r="D358">
        <v>2</v>
      </c>
      <c r="E358">
        <v>3</v>
      </c>
      <c r="F358" s="3" t="s">
        <v>1659</v>
      </c>
      <c r="G358" s="3" t="s">
        <v>1659</v>
      </c>
      <c r="H358">
        <v>0</v>
      </c>
      <c r="I358">
        <v>0</v>
      </c>
      <c r="J358" s="2">
        <v>0</v>
      </c>
      <c r="K358" s="8" t="s">
        <v>298</v>
      </c>
      <c r="L358" s="2">
        <f t="shared" si="128"/>
        <v>3</v>
      </c>
      <c r="M358" s="2">
        <f t="shared" si="126"/>
        <v>1.8</v>
      </c>
      <c r="N358" s="2">
        <f t="shared" si="126"/>
        <v>1.8</v>
      </c>
      <c r="O358" s="2">
        <v>10</v>
      </c>
      <c r="P358" s="2">
        <f t="shared" si="129"/>
        <v>139.38999999999999</v>
      </c>
      <c r="Q358" s="2">
        <f t="shared" si="129"/>
        <v>13.94</v>
      </c>
      <c r="R358" s="2">
        <f t="shared" si="129"/>
        <v>3872</v>
      </c>
      <c r="S358" s="2">
        <f t="shared" si="129"/>
        <v>387.2</v>
      </c>
      <c r="T358" s="2">
        <f t="shared" si="129"/>
        <v>77.44</v>
      </c>
      <c r="U358" s="2">
        <f t="shared" si="129"/>
        <v>7.74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532012</v>
      </c>
      <c r="AB358" s="14" t="s">
        <v>683</v>
      </c>
      <c r="AC358" s="15" t="s">
        <v>890</v>
      </c>
      <c r="AD358" s="2">
        <v>5093201</v>
      </c>
      <c r="AE358" s="2">
        <v>0</v>
      </c>
      <c r="AF358" s="2">
        <v>2</v>
      </c>
      <c r="AG358" s="2">
        <v>8</v>
      </c>
      <c r="AH358" s="2">
        <v>1</v>
      </c>
      <c r="AI358" s="2"/>
      <c r="AJ358">
        <v>1</v>
      </c>
      <c r="AK358" s="1">
        <f t="shared" si="115"/>
        <v>95.937905480075429</v>
      </c>
      <c r="AL358">
        <v>8</v>
      </c>
      <c r="AM358">
        <f t="shared" si="122"/>
        <v>126.72000000000003</v>
      </c>
      <c r="AN358">
        <f t="shared" si="123"/>
        <v>12.672000000000004</v>
      </c>
      <c r="AO358">
        <f t="shared" si="124"/>
        <v>3520.0000000000005</v>
      </c>
      <c r="AP358">
        <f t="shared" si="125"/>
        <v>352.00000000000006</v>
      </c>
      <c r="AQ358">
        <f t="shared" si="117"/>
        <v>70.40000000000002</v>
      </c>
      <c r="AR358">
        <f t="shared" si="114"/>
        <v>7.0400000000000027</v>
      </c>
      <c r="AS358">
        <f t="shared" si="118"/>
        <v>1.8</v>
      </c>
      <c r="AT358">
        <f t="shared" si="119"/>
        <v>1.8</v>
      </c>
      <c r="AU358">
        <f t="shared" si="120"/>
        <v>3</v>
      </c>
      <c r="AV358">
        <f t="shared" si="110"/>
        <v>2013</v>
      </c>
      <c r="AW358" s="1">
        <v>1</v>
      </c>
      <c r="AX358">
        <v>5</v>
      </c>
      <c r="AY358">
        <v>0.1</v>
      </c>
      <c r="CE358" t="str">
        <f t="shared" si="130"/>
        <v>DATA_Class_Base29</v>
      </c>
      <c r="CF358" s="3" t="s">
        <v>378</v>
      </c>
    </row>
    <row r="359" spans="1:84">
      <c r="A359">
        <f t="shared" si="127"/>
        <v>5083202</v>
      </c>
      <c r="B359" s="31" t="s">
        <v>380</v>
      </c>
      <c r="C359">
        <v>8</v>
      </c>
      <c r="D359">
        <v>2</v>
      </c>
      <c r="E359">
        <v>3</v>
      </c>
      <c r="F359" s="3" t="s">
        <v>1660</v>
      </c>
      <c r="G359" s="3" t="s">
        <v>1660</v>
      </c>
      <c r="H359">
        <v>0</v>
      </c>
      <c r="I359">
        <v>0</v>
      </c>
      <c r="J359">
        <v>0</v>
      </c>
      <c r="K359" s="2" t="s">
        <v>280</v>
      </c>
      <c r="L359" s="2">
        <f t="shared" si="128"/>
        <v>3</v>
      </c>
      <c r="M359" s="2">
        <f t="shared" si="126"/>
        <v>1.8</v>
      </c>
      <c r="N359" s="2">
        <f t="shared" si="126"/>
        <v>2</v>
      </c>
      <c r="O359" s="2">
        <v>10</v>
      </c>
      <c r="P359" s="2">
        <f t="shared" si="129"/>
        <v>209.09</v>
      </c>
      <c r="Q359" s="2">
        <f t="shared" si="129"/>
        <v>20.91</v>
      </c>
      <c r="R359" s="2">
        <f t="shared" si="129"/>
        <v>2581.33</v>
      </c>
      <c r="S359" s="2">
        <f t="shared" si="129"/>
        <v>258.13</v>
      </c>
      <c r="T359" s="2">
        <f t="shared" si="129"/>
        <v>69.7</v>
      </c>
      <c r="U359" s="2">
        <f t="shared" si="129"/>
        <v>6.97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532022</v>
      </c>
      <c r="AB359" s="14" t="s">
        <v>684</v>
      </c>
      <c r="AC359" s="15" t="s">
        <v>890</v>
      </c>
      <c r="AD359" s="2">
        <v>5093202</v>
      </c>
      <c r="AE359" s="2">
        <v>0</v>
      </c>
      <c r="AF359" s="2">
        <v>2</v>
      </c>
      <c r="AG359" s="2">
        <v>8</v>
      </c>
      <c r="AH359" s="2">
        <v>1</v>
      </c>
      <c r="AI359" s="2"/>
      <c r="AJ359">
        <v>1</v>
      </c>
      <c r="AK359" s="1">
        <f t="shared" si="115"/>
        <v>95.787216366374182</v>
      </c>
      <c r="AL359">
        <v>8</v>
      </c>
      <c r="AM359">
        <f t="shared" si="122"/>
        <v>190.08000000000004</v>
      </c>
      <c r="AN359">
        <f t="shared" si="123"/>
        <v>19.008000000000006</v>
      </c>
      <c r="AO359">
        <f t="shared" si="124"/>
        <v>2346.666666666667</v>
      </c>
      <c r="AP359">
        <f t="shared" si="125"/>
        <v>234.66666666666671</v>
      </c>
      <c r="AQ359">
        <f t="shared" si="117"/>
        <v>63.360000000000014</v>
      </c>
      <c r="AR359">
        <f t="shared" si="114"/>
        <v>6.3360000000000021</v>
      </c>
      <c r="AS359">
        <f t="shared" si="118"/>
        <v>1.8</v>
      </c>
      <c r="AT359">
        <f t="shared" si="119"/>
        <v>2</v>
      </c>
      <c r="AU359">
        <f t="shared" si="120"/>
        <v>3</v>
      </c>
      <c r="AV359">
        <f t="shared" si="110"/>
        <v>2023</v>
      </c>
      <c r="AW359" s="1">
        <v>2</v>
      </c>
      <c r="AX359">
        <v>5</v>
      </c>
      <c r="AY359">
        <v>0.1</v>
      </c>
      <c r="CE359" t="str">
        <f t="shared" si="130"/>
        <v>DATA_Class_Base30</v>
      </c>
      <c r="CF359" s="3" t="s">
        <v>381</v>
      </c>
    </row>
    <row r="360" spans="1:84">
      <c r="A360">
        <f t="shared" si="127"/>
        <v>5083301</v>
      </c>
      <c r="B360" s="31" t="s">
        <v>383</v>
      </c>
      <c r="C360">
        <v>8</v>
      </c>
      <c r="D360">
        <v>3</v>
      </c>
      <c r="E360">
        <v>3</v>
      </c>
      <c r="F360" s="3" t="s">
        <v>1661</v>
      </c>
      <c r="G360" s="3" t="s">
        <v>1661</v>
      </c>
      <c r="H360">
        <v>0</v>
      </c>
      <c r="I360">
        <v>0</v>
      </c>
      <c r="J360" s="2">
        <v>0</v>
      </c>
      <c r="K360" s="2" t="s">
        <v>285</v>
      </c>
      <c r="L360" s="2">
        <f t="shared" si="128"/>
        <v>3</v>
      </c>
      <c r="M360" s="2">
        <f t="shared" si="126"/>
        <v>1.2</v>
      </c>
      <c r="N360" s="2">
        <f t="shared" si="126"/>
        <v>1.4000000000000001</v>
      </c>
      <c r="O360" s="2">
        <v>10</v>
      </c>
      <c r="P360" s="2">
        <f t="shared" si="129"/>
        <v>185.86</v>
      </c>
      <c r="Q360" s="2">
        <f t="shared" si="129"/>
        <v>18.59</v>
      </c>
      <c r="R360" s="2">
        <f t="shared" si="129"/>
        <v>1936</v>
      </c>
      <c r="S360" s="2">
        <f t="shared" si="129"/>
        <v>193.6</v>
      </c>
      <c r="T360" s="2">
        <f t="shared" si="129"/>
        <v>37.17</v>
      </c>
      <c r="U360" s="2">
        <f t="shared" si="129"/>
        <v>3.72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533012</v>
      </c>
      <c r="AB360" s="14" t="s">
        <v>685</v>
      </c>
      <c r="AC360" s="15" t="s">
        <v>890</v>
      </c>
      <c r="AD360" s="2">
        <v>5093301</v>
      </c>
      <c r="AE360" s="2">
        <v>0</v>
      </c>
      <c r="AF360" s="2">
        <v>2</v>
      </c>
      <c r="AG360" s="2">
        <v>8</v>
      </c>
      <c r="AH360" s="2">
        <v>1</v>
      </c>
      <c r="AI360" s="2"/>
      <c r="AJ360">
        <v>1</v>
      </c>
      <c r="AK360" s="1">
        <f t="shared" si="115"/>
        <v>95.159457444915319</v>
      </c>
      <c r="AL360">
        <v>8</v>
      </c>
      <c r="AM360">
        <f t="shared" si="122"/>
        <v>168.96</v>
      </c>
      <c r="AN360">
        <f t="shared" si="123"/>
        <v>16.896000000000001</v>
      </c>
      <c r="AO360">
        <f t="shared" si="124"/>
        <v>1760.0000000000002</v>
      </c>
      <c r="AP360">
        <f t="shared" si="125"/>
        <v>176.00000000000003</v>
      </c>
      <c r="AQ360">
        <f t="shared" si="117"/>
        <v>33.792000000000002</v>
      </c>
      <c r="AR360">
        <f t="shared" si="114"/>
        <v>3.3792000000000004</v>
      </c>
      <c r="AS360">
        <f t="shared" si="118"/>
        <v>1.2</v>
      </c>
      <c r="AT360">
        <f t="shared" si="119"/>
        <v>1.4</v>
      </c>
      <c r="AU360">
        <f t="shared" si="120"/>
        <v>3</v>
      </c>
      <c r="AV360">
        <f t="shared" si="110"/>
        <v>3013</v>
      </c>
      <c r="AW360" s="1">
        <v>1</v>
      </c>
      <c r="AX360">
        <v>5</v>
      </c>
      <c r="AY360">
        <v>0.1</v>
      </c>
      <c r="CE360" t="str">
        <f t="shared" si="130"/>
        <v>DATA_Class_Base31</v>
      </c>
      <c r="CF360" s="3" t="s">
        <v>384</v>
      </c>
    </row>
    <row r="361" spans="1:84">
      <c r="A361">
        <f t="shared" si="127"/>
        <v>5083401</v>
      </c>
      <c r="B361" s="31" t="s">
        <v>387</v>
      </c>
      <c r="C361">
        <v>8</v>
      </c>
      <c r="D361">
        <v>4</v>
      </c>
      <c r="E361">
        <v>3</v>
      </c>
      <c r="F361" s="3" t="s">
        <v>1662</v>
      </c>
      <c r="G361" s="3" t="s">
        <v>1662</v>
      </c>
      <c r="H361">
        <v>0</v>
      </c>
      <c r="I361">
        <v>0</v>
      </c>
      <c r="J361">
        <v>0</v>
      </c>
      <c r="K361" s="2" t="s">
        <v>161</v>
      </c>
      <c r="L361" s="2">
        <f t="shared" si="128"/>
        <v>6</v>
      </c>
      <c r="M361" s="2">
        <f t="shared" si="126"/>
        <v>1.6</v>
      </c>
      <c r="N361" s="2">
        <f t="shared" si="126"/>
        <v>1.5</v>
      </c>
      <c r="O361" s="2">
        <v>10</v>
      </c>
      <c r="P361" s="2">
        <f t="shared" si="129"/>
        <v>247.81</v>
      </c>
      <c r="Q361" s="2">
        <f t="shared" si="129"/>
        <v>24.78</v>
      </c>
      <c r="R361" s="2">
        <f t="shared" si="129"/>
        <v>1936</v>
      </c>
      <c r="S361" s="2">
        <f t="shared" si="129"/>
        <v>193.6</v>
      </c>
      <c r="T361" s="2">
        <f t="shared" si="129"/>
        <v>41.3</v>
      </c>
      <c r="U361" s="2">
        <f t="shared" si="129"/>
        <v>4.13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534012</v>
      </c>
      <c r="AB361" s="14" t="s">
        <v>686</v>
      </c>
      <c r="AC361" s="15" t="s">
        <v>890</v>
      </c>
      <c r="AD361" s="2">
        <v>5093401</v>
      </c>
      <c r="AE361" s="2">
        <v>0</v>
      </c>
      <c r="AF361" s="2">
        <v>2</v>
      </c>
      <c r="AG361" s="2">
        <v>8</v>
      </c>
      <c r="AH361" s="2">
        <v>1</v>
      </c>
      <c r="AI361" s="2"/>
      <c r="AJ361">
        <v>1</v>
      </c>
      <c r="AK361" s="1">
        <f t="shared" si="115"/>
        <v>95.238716394408911</v>
      </c>
      <c r="AL361">
        <v>8</v>
      </c>
      <c r="AM361">
        <f t="shared" si="122"/>
        <v>225.28000000000003</v>
      </c>
      <c r="AN361">
        <f t="shared" si="123"/>
        <v>22.528000000000006</v>
      </c>
      <c r="AO361">
        <f t="shared" si="124"/>
        <v>1760.0000000000002</v>
      </c>
      <c r="AP361">
        <f t="shared" si="125"/>
        <v>176.00000000000003</v>
      </c>
      <c r="AQ361">
        <f t="shared" si="117"/>
        <v>37.546666666666674</v>
      </c>
      <c r="AR361">
        <f t="shared" si="114"/>
        <v>3.7546666666666675</v>
      </c>
      <c r="AS361">
        <f t="shared" si="118"/>
        <v>1.6</v>
      </c>
      <c r="AT361">
        <f t="shared" si="119"/>
        <v>1.5</v>
      </c>
      <c r="AU361">
        <f t="shared" si="120"/>
        <v>6</v>
      </c>
      <c r="AV361">
        <f t="shared" si="110"/>
        <v>4013</v>
      </c>
      <c r="AW361" s="1">
        <v>1</v>
      </c>
      <c r="AX361">
        <v>5</v>
      </c>
      <c r="AY361">
        <v>0.1</v>
      </c>
      <c r="CE361" t="str">
        <f t="shared" si="130"/>
        <v>DATA_Class_Base32</v>
      </c>
      <c r="CF361" s="3" t="s">
        <v>388</v>
      </c>
    </row>
    <row r="362" spans="1:84">
      <c r="A362">
        <f t="shared" si="127"/>
        <v>5083402</v>
      </c>
      <c r="B362" s="31" t="s">
        <v>390</v>
      </c>
      <c r="C362">
        <v>8</v>
      </c>
      <c r="D362">
        <v>4</v>
      </c>
      <c r="E362">
        <v>3</v>
      </c>
      <c r="F362" s="3" t="s">
        <v>1663</v>
      </c>
      <c r="G362" s="3" t="s">
        <v>1663</v>
      </c>
      <c r="H362">
        <v>0</v>
      </c>
      <c r="I362">
        <v>0</v>
      </c>
      <c r="J362" s="2">
        <v>0</v>
      </c>
      <c r="K362" s="2" t="s">
        <v>250</v>
      </c>
      <c r="L362" s="2">
        <f t="shared" si="128"/>
        <v>6</v>
      </c>
      <c r="M362" s="2">
        <f t="shared" si="126"/>
        <v>1.5</v>
      </c>
      <c r="N362" s="2">
        <f t="shared" si="126"/>
        <v>1.5</v>
      </c>
      <c r="O362" s="2">
        <v>10</v>
      </c>
      <c r="P362" s="2">
        <f t="shared" si="129"/>
        <v>251.68</v>
      </c>
      <c r="Q362" s="2">
        <f t="shared" si="129"/>
        <v>25.17</v>
      </c>
      <c r="R362" s="2">
        <f t="shared" si="129"/>
        <v>1787.08</v>
      </c>
      <c r="S362" s="2">
        <f t="shared" si="129"/>
        <v>178.71</v>
      </c>
      <c r="T362" s="2">
        <f t="shared" si="129"/>
        <v>35.950000000000003</v>
      </c>
      <c r="U362" s="2">
        <f t="shared" si="129"/>
        <v>3.6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534022</v>
      </c>
      <c r="AB362" s="14" t="s">
        <v>687</v>
      </c>
      <c r="AC362" s="15" t="s">
        <v>890</v>
      </c>
      <c r="AD362" s="2">
        <v>5093402</v>
      </c>
      <c r="AE362" s="2">
        <v>0</v>
      </c>
      <c r="AF362" s="2">
        <v>2</v>
      </c>
      <c r="AG362" s="2">
        <v>8</v>
      </c>
      <c r="AH362" s="2">
        <v>1</v>
      </c>
      <c r="AI362" s="2"/>
      <c r="AJ362">
        <v>1</v>
      </c>
      <c r="AK362" s="1">
        <f t="shared" si="115"/>
        <v>95.136129516477354</v>
      </c>
      <c r="AL362">
        <v>8</v>
      </c>
      <c r="AM362">
        <f t="shared" si="122"/>
        <v>228.8</v>
      </c>
      <c r="AN362">
        <f t="shared" si="123"/>
        <v>22.880000000000003</v>
      </c>
      <c r="AO362">
        <f t="shared" si="124"/>
        <v>1624.6153846153845</v>
      </c>
      <c r="AP362">
        <f t="shared" si="125"/>
        <v>162.46153846153845</v>
      </c>
      <c r="AQ362">
        <f t="shared" si="117"/>
        <v>32.68571428571429</v>
      </c>
      <c r="AR362">
        <f t="shared" si="114"/>
        <v>3.2685714285714291</v>
      </c>
      <c r="AS362">
        <f t="shared" si="118"/>
        <v>1.5</v>
      </c>
      <c r="AT362">
        <f t="shared" si="119"/>
        <v>1.5</v>
      </c>
      <c r="AU362">
        <f t="shared" si="120"/>
        <v>6</v>
      </c>
      <c r="AV362">
        <f t="shared" ref="AV362:AV433" si="131">D362*1000+AW362*10+E362</f>
        <v>4023</v>
      </c>
      <c r="AW362" s="1">
        <v>2</v>
      </c>
      <c r="AX362">
        <v>5</v>
      </c>
      <c r="AY362">
        <v>0.1</v>
      </c>
      <c r="CE362" t="str">
        <f t="shared" si="130"/>
        <v>DATA_Class_Base33</v>
      </c>
      <c r="CF362" s="3" t="s">
        <v>391</v>
      </c>
    </row>
    <row r="363" spans="1:84">
      <c r="A363">
        <f t="shared" si="127"/>
        <v>5083500</v>
      </c>
      <c r="B363" s="31" t="s">
        <v>394</v>
      </c>
      <c r="C363">
        <v>8</v>
      </c>
      <c r="D363">
        <v>5</v>
      </c>
      <c r="E363">
        <v>3</v>
      </c>
      <c r="F363" s="3" t="s">
        <v>1664</v>
      </c>
      <c r="G363" s="3" t="s">
        <v>1664</v>
      </c>
      <c r="H363">
        <v>0</v>
      </c>
      <c r="I363">
        <v>0</v>
      </c>
      <c r="J363" s="2">
        <v>0</v>
      </c>
      <c r="K363" s="2" t="s">
        <v>303</v>
      </c>
      <c r="L363" s="2">
        <f t="shared" si="128"/>
        <v>6</v>
      </c>
      <c r="M363" s="2">
        <f t="shared" si="126"/>
        <v>1.5</v>
      </c>
      <c r="N363" s="2">
        <f t="shared" si="126"/>
        <v>2</v>
      </c>
      <c r="O363" s="2">
        <v>10</v>
      </c>
      <c r="P363" s="2">
        <f t="shared" si="129"/>
        <v>251.68</v>
      </c>
      <c r="Q363" s="2">
        <f t="shared" si="129"/>
        <v>25.17</v>
      </c>
      <c r="R363" s="2">
        <f t="shared" si="129"/>
        <v>1787.08</v>
      </c>
      <c r="S363" s="2">
        <f t="shared" si="129"/>
        <v>178.71</v>
      </c>
      <c r="T363" s="2">
        <f t="shared" si="129"/>
        <v>41.95</v>
      </c>
      <c r="U363" s="2">
        <f t="shared" si="129"/>
        <v>4.1900000000000004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535002</v>
      </c>
      <c r="AB363" s="14" t="s">
        <v>688</v>
      </c>
      <c r="AC363" s="15" t="s">
        <v>890</v>
      </c>
      <c r="AD363" s="2">
        <v>5093500</v>
      </c>
      <c r="AE363" s="2">
        <v>0</v>
      </c>
      <c r="AF363" s="2">
        <v>2</v>
      </c>
      <c r="AG363" s="2">
        <v>8</v>
      </c>
      <c r="AH363" s="2">
        <v>1</v>
      </c>
      <c r="AI363" s="2"/>
      <c r="AJ363">
        <v>1</v>
      </c>
      <c r="AK363" s="1">
        <f t="shared" si="115"/>
        <v>95.251112533413647</v>
      </c>
      <c r="AL363">
        <v>8</v>
      </c>
      <c r="AM363">
        <f t="shared" si="122"/>
        <v>228.8</v>
      </c>
      <c r="AN363">
        <f t="shared" si="123"/>
        <v>22.880000000000003</v>
      </c>
      <c r="AO363">
        <f t="shared" si="124"/>
        <v>1624.6153846153845</v>
      </c>
      <c r="AP363">
        <f t="shared" si="125"/>
        <v>162.46153846153845</v>
      </c>
      <c r="AQ363">
        <f t="shared" si="117"/>
        <v>38.133333333333333</v>
      </c>
      <c r="AR363">
        <f t="shared" si="114"/>
        <v>3.8133333333333335</v>
      </c>
      <c r="AS363">
        <f t="shared" si="118"/>
        <v>1.5</v>
      </c>
      <c r="AT363">
        <f t="shared" si="119"/>
        <v>2</v>
      </c>
      <c r="AU363">
        <f t="shared" si="120"/>
        <v>6</v>
      </c>
      <c r="AV363">
        <f t="shared" si="131"/>
        <v>5003</v>
      </c>
      <c r="AW363" s="1">
        <v>0</v>
      </c>
      <c r="AX363">
        <v>5</v>
      </c>
      <c r="AY363">
        <v>0.1</v>
      </c>
      <c r="CE363" t="str">
        <f t="shared" si="130"/>
        <v>DATA_Class_Base34</v>
      </c>
      <c r="CF363" s="3" t="s">
        <v>184</v>
      </c>
    </row>
    <row r="364" spans="1:84">
      <c r="A364">
        <f t="shared" si="127"/>
        <v>5083502</v>
      </c>
      <c r="B364" s="31" t="s">
        <v>396</v>
      </c>
      <c r="C364">
        <v>8</v>
      </c>
      <c r="D364">
        <v>5</v>
      </c>
      <c r="E364">
        <v>3</v>
      </c>
      <c r="F364" s="3" t="s">
        <v>1665</v>
      </c>
      <c r="G364" s="3" t="s">
        <v>1665</v>
      </c>
      <c r="H364">
        <v>0</v>
      </c>
      <c r="I364">
        <v>0</v>
      </c>
      <c r="J364" s="2">
        <v>0</v>
      </c>
      <c r="K364" s="2" t="s">
        <v>291</v>
      </c>
      <c r="L364" s="2">
        <f t="shared" si="128"/>
        <v>6</v>
      </c>
      <c r="M364" s="2">
        <f t="shared" si="126"/>
        <v>1.4000000000000001</v>
      </c>
      <c r="N364" s="2">
        <f t="shared" si="126"/>
        <v>2</v>
      </c>
      <c r="O364" s="2">
        <v>10</v>
      </c>
      <c r="P364" s="2">
        <f t="shared" si="129"/>
        <v>243.94</v>
      </c>
      <c r="Q364" s="2">
        <f t="shared" si="129"/>
        <v>24.39</v>
      </c>
      <c r="R364" s="2">
        <f t="shared" si="129"/>
        <v>1720.89</v>
      </c>
      <c r="S364" s="2">
        <f t="shared" si="129"/>
        <v>172.09</v>
      </c>
      <c r="T364" s="2">
        <f t="shared" si="129"/>
        <v>34.85</v>
      </c>
      <c r="U364" s="2">
        <f t="shared" si="129"/>
        <v>3.48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535022</v>
      </c>
      <c r="AB364" s="14" t="s">
        <v>689</v>
      </c>
      <c r="AC364" s="15" t="s">
        <v>890</v>
      </c>
      <c r="AD364" s="2">
        <v>5093502</v>
      </c>
      <c r="AE364" s="2">
        <v>0</v>
      </c>
      <c r="AF364" s="2">
        <v>2</v>
      </c>
      <c r="AG364" s="2">
        <v>8</v>
      </c>
      <c r="AH364" s="2">
        <v>1</v>
      </c>
      <c r="AI364" s="2"/>
      <c r="AJ364">
        <v>1</v>
      </c>
      <c r="AK364" s="1">
        <f t="shared" si="115"/>
        <v>95.114932231681991</v>
      </c>
      <c r="AL364">
        <v>8</v>
      </c>
      <c r="AM364">
        <f t="shared" si="122"/>
        <v>221.76000000000002</v>
      </c>
      <c r="AN364">
        <f t="shared" si="123"/>
        <v>22.176000000000002</v>
      </c>
      <c r="AO364">
        <f t="shared" si="124"/>
        <v>1564.4444444444446</v>
      </c>
      <c r="AP364">
        <f t="shared" si="125"/>
        <v>156.44444444444446</v>
      </c>
      <c r="AQ364">
        <f t="shared" si="117"/>
        <v>31.680000000000003</v>
      </c>
      <c r="AR364">
        <f t="shared" si="114"/>
        <v>3.1680000000000006</v>
      </c>
      <c r="AS364">
        <f t="shared" si="118"/>
        <v>1.4</v>
      </c>
      <c r="AT364">
        <f t="shared" si="119"/>
        <v>2</v>
      </c>
      <c r="AU364">
        <f t="shared" si="120"/>
        <v>6</v>
      </c>
      <c r="AV364">
        <f t="shared" si="131"/>
        <v>5023</v>
      </c>
      <c r="AW364" s="1">
        <v>2</v>
      </c>
      <c r="AX364">
        <v>5</v>
      </c>
      <c r="AY364">
        <v>0.1</v>
      </c>
      <c r="CE364" t="str">
        <f t="shared" si="130"/>
        <v>DATA_Class_Base35</v>
      </c>
      <c r="CF364" s="3" t="s">
        <v>195</v>
      </c>
    </row>
    <row r="365" spans="1:84">
      <c r="A365">
        <f t="shared" si="127"/>
        <v>5083601</v>
      </c>
      <c r="B365" s="31" t="s">
        <v>398</v>
      </c>
      <c r="C365">
        <v>8</v>
      </c>
      <c r="D365">
        <v>6</v>
      </c>
      <c r="E365">
        <v>3</v>
      </c>
      <c r="F365" s="3" t="s">
        <v>1666</v>
      </c>
      <c r="G365" s="3" t="s">
        <v>1666</v>
      </c>
      <c r="H365">
        <v>0</v>
      </c>
      <c r="I365">
        <v>0</v>
      </c>
      <c r="J365">
        <v>0</v>
      </c>
      <c r="K365" s="2" t="s">
        <v>309</v>
      </c>
      <c r="L365" s="2">
        <f t="shared" si="128"/>
        <v>6</v>
      </c>
      <c r="M365" s="2">
        <f t="shared" si="126"/>
        <v>1.5</v>
      </c>
      <c r="N365" s="2">
        <f t="shared" si="126"/>
        <v>2</v>
      </c>
      <c r="O365" s="2">
        <v>10</v>
      </c>
      <c r="P365" s="2">
        <f t="shared" si="129"/>
        <v>174.24</v>
      </c>
      <c r="Q365" s="2">
        <f t="shared" si="129"/>
        <v>17.420000000000002</v>
      </c>
      <c r="R365" s="2">
        <f t="shared" si="129"/>
        <v>2581.33</v>
      </c>
      <c r="S365" s="2">
        <f t="shared" si="129"/>
        <v>258.13</v>
      </c>
      <c r="T365" s="2">
        <f t="shared" si="129"/>
        <v>58.08</v>
      </c>
      <c r="U365" s="2">
        <f t="shared" si="129"/>
        <v>5.81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536012</v>
      </c>
      <c r="AB365" s="14" t="s">
        <v>690</v>
      </c>
      <c r="AC365" s="15" t="s">
        <v>890</v>
      </c>
      <c r="AD365" s="2">
        <v>5093601</v>
      </c>
      <c r="AE365" s="2">
        <v>0</v>
      </c>
      <c r="AF365" s="2">
        <v>2</v>
      </c>
      <c r="AG365" s="2">
        <v>8</v>
      </c>
      <c r="AH365" s="2">
        <v>1</v>
      </c>
      <c r="AI365" s="2"/>
      <c r="AJ365">
        <v>1</v>
      </c>
      <c r="AK365" s="1">
        <f t="shared" si="115"/>
        <v>95.562068184025662</v>
      </c>
      <c r="AL365">
        <v>8</v>
      </c>
      <c r="AM365">
        <f t="shared" si="122"/>
        <v>158.4</v>
      </c>
      <c r="AN365">
        <f t="shared" si="123"/>
        <v>15.840000000000002</v>
      </c>
      <c r="AO365">
        <f t="shared" si="124"/>
        <v>2346.666666666667</v>
      </c>
      <c r="AP365">
        <f t="shared" si="125"/>
        <v>234.66666666666671</v>
      </c>
      <c r="AQ365">
        <f t="shared" si="117"/>
        <v>52.800000000000004</v>
      </c>
      <c r="AR365">
        <f t="shared" si="114"/>
        <v>5.2800000000000011</v>
      </c>
      <c r="AS365">
        <f t="shared" si="118"/>
        <v>1.5</v>
      </c>
      <c r="AT365">
        <f t="shared" si="119"/>
        <v>2</v>
      </c>
      <c r="AU365">
        <f t="shared" si="120"/>
        <v>6</v>
      </c>
      <c r="AV365">
        <f t="shared" si="131"/>
        <v>6013</v>
      </c>
      <c r="AW365" s="1">
        <v>1</v>
      </c>
      <c r="AX365">
        <v>5</v>
      </c>
      <c r="AY365">
        <v>0.1</v>
      </c>
      <c r="CE365" t="str">
        <f t="shared" si="130"/>
        <v>DATA_Class_Base36</v>
      </c>
      <c r="CF365" s="3" t="s">
        <v>201</v>
      </c>
    </row>
    <row r="366" spans="1:84">
      <c r="A366">
        <f t="shared" si="127"/>
        <v>5084201</v>
      </c>
      <c r="B366" t="s">
        <v>377</v>
      </c>
      <c r="C366">
        <v>8</v>
      </c>
      <c r="D366">
        <v>2</v>
      </c>
      <c r="E366">
        <v>4</v>
      </c>
      <c r="F366" s="3" t="s">
        <v>1667</v>
      </c>
      <c r="G366" s="3" t="s">
        <v>1667</v>
      </c>
      <c r="H366">
        <v>0</v>
      </c>
      <c r="I366">
        <v>0</v>
      </c>
      <c r="J366" s="30">
        <v>0</v>
      </c>
      <c r="K366" s="8" t="s">
        <v>298</v>
      </c>
      <c r="L366" s="2">
        <f t="shared" si="128"/>
        <v>3</v>
      </c>
      <c r="M366" s="2">
        <f t="shared" si="126"/>
        <v>1.8</v>
      </c>
      <c r="N366" s="2">
        <f t="shared" si="126"/>
        <v>1.8</v>
      </c>
      <c r="O366" s="2">
        <v>10</v>
      </c>
      <c r="P366" s="2">
        <f t="shared" si="129"/>
        <v>185.86</v>
      </c>
      <c r="Q366" s="2">
        <f t="shared" si="129"/>
        <v>18.59</v>
      </c>
      <c r="R366" s="2">
        <f t="shared" si="129"/>
        <v>2904</v>
      </c>
      <c r="S366" s="2">
        <f t="shared" si="129"/>
        <v>290.39999999999998</v>
      </c>
      <c r="T366" s="2">
        <f t="shared" si="129"/>
        <v>71.48</v>
      </c>
      <c r="U366" s="2">
        <f t="shared" si="129"/>
        <v>7.15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542012</v>
      </c>
      <c r="AB366" s="15" t="s">
        <v>691</v>
      </c>
      <c r="AC366" s="15" t="s">
        <v>890</v>
      </c>
      <c r="AD366" s="2">
        <v>5094201</v>
      </c>
      <c r="AE366" s="2">
        <v>0</v>
      </c>
      <c r="AF366" s="2">
        <v>2</v>
      </c>
      <c r="AG366" s="2">
        <v>8</v>
      </c>
      <c r="AH366" s="2">
        <v>1</v>
      </c>
      <c r="AI366" s="2"/>
      <c r="AJ366">
        <v>1</v>
      </c>
      <c r="AK366" s="1">
        <f t="shared" si="115"/>
        <v>95.821948746634973</v>
      </c>
      <c r="AL366">
        <v>8</v>
      </c>
      <c r="AM366">
        <f t="shared" si="122"/>
        <v>168.96000000000004</v>
      </c>
      <c r="AN366">
        <f t="shared" si="123"/>
        <v>16.896000000000004</v>
      </c>
      <c r="AO366">
        <f t="shared" si="124"/>
        <v>2640</v>
      </c>
      <c r="AP366">
        <f t="shared" si="125"/>
        <v>264</v>
      </c>
      <c r="AQ366">
        <f t="shared" si="117"/>
        <v>64.984615384615395</v>
      </c>
      <c r="AR366">
        <f t="shared" si="114"/>
        <v>6.4984615384615401</v>
      </c>
      <c r="AS366">
        <f t="shared" si="118"/>
        <v>1.8</v>
      </c>
      <c r="AT366">
        <f t="shared" si="119"/>
        <v>1.8</v>
      </c>
      <c r="AU366">
        <f t="shared" si="120"/>
        <v>3</v>
      </c>
      <c r="AV366">
        <f t="shared" si="131"/>
        <v>2014</v>
      </c>
      <c r="AW366" s="1">
        <v>1</v>
      </c>
      <c r="AX366">
        <v>5</v>
      </c>
      <c r="AY366">
        <v>0.1</v>
      </c>
      <c r="BY366" s="13"/>
      <c r="BZ366" s="13"/>
      <c r="CA366" s="13"/>
      <c r="CE366" t="str">
        <f t="shared" si="130"/>
        <v>DATA_Class_Base29</v>
      </c>
      <c r="CF366" s="3" t="s">
        <v>378</v>
      </c>
    </row>
    <row r="367" spans="1:84">
      <c r="A367">
        <f t="shared" si="127"/>
        <v>5084302</v>
      </c>
      <c r="B367" t="s">
        <v>412</v>
      </c>
      <c r="C367">
        <v>8</v>
      </c>
      <c r="D367">
        <v>3</v>
      </c>
      <c r="E367">
        <v>4</v>
      </c>
      <c r="F367" s="3" t="s">
        <v>1668</v>
      </c>
      <c r="G367" s="3" t="s">
        <v>1668</v>
      </c>
      <c r="H367">
        <v>0</v>
      </c>
      <c r="I367">
        <v>0</v>
      </c>
      <c r="J367" s="30">
        <v>0</v>
      </c>
      <c r="K367" s="2" t="s">
        <v>358</v>
      </c>
      <c r="L367" s="2">
        <f t="shared" si="128"/>
        <v>3</v>
      </c>
      <c r="M367" s="2">
        <f t="shared" si="126"/>
        <v>1.4000000000000001</v>
      </c>
      <c r="N367" s="2">
        <f t="shared" si="126"/>
        <v>2</v>
      </c>
      <c r="O367" s="2">
        <v>10</v>
      </c>
      <c r="P367" s="2">
        <f t="shared" si="129"/>
        <v>198.76</v>
      </c>
      <c r="Q367" s="2">
        <f t="shared" si="129"/>
        <v>19.88</v>
      </c>
      <c r="R367" s="2">
        <f t="shared" si="129"/>
        <v>2112</v>
      </c>
      <c r="S367" s="2">
        <f t="shared" si="129"/>
        <v>211.2</v>
      </c>
      <c r="T367" s="2">
        <f t="shared" si="129"/>
        <v>30.58</v>
      </c>
      <c r="U367" s="2">
        <f t="shared" si="129"/>
        <v>3.06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543022</v>
      </c>
      <c r="AB367" s="15" t="s">
        <v>692</v>
      </c>
      <c r="AC367" s="15" t="s">
        <v>890</v>
      </c>
      <c r="AD367" s="2">
        <v>5094302</v>
      </c>
      <c r="AE367" s="2">
        <v>0</v>
      </c>
      <c r="AF367" s="2">
        <v>2</v>
      </c>
      <c r="AG367" s="2">
        <v>8</v>
      </c>
      <c r="AH367" s="2">
        <v>1</v>
      </c>
      <c r="AI367" s="2"/>
      <c r="AJ367">
        <v>1</v>
      </c>
      <c r="AK367" s="1">
        <f t="shared" si="115"/>
        <v>95.033220935850267</v>
      </c>
      <c r="AL367">
        <v>8</v>
      </c>
      <c r="AM367">
        <f t="shared" si="122"/>
        <v>180.69333333333333</v>
      </c>
      <c r="AN367">
        <f t="shared" si="123"/>
        <v>18.069333333333333</v>
      </c>
      <c r="AO367">
        <f t="shared" si="124"/>
        <v>1920.0000000000002</v>
      </c>
      <c r="AP367">
        <f t="shared" si="125"/>
        <v>192.00000000000003</v>
      </c>
      <c r="AQ367">
        <f t="shared" si="117"/>
        <v>27.798974358974359</v>
      </c>
      <c r="AR367">
        <f t="shared" si="114"/>
        <v>2.779897435897436</v>
      </c>
      <c r="AS367">
        <f t="shared" si="118"/>
        <v>1.4</v>
      </c>
      <c r="AT367">
        <f t="shared" si="119"/>
        <v>2</v>
      </c>
      <c r="AU367">
        <f t="shared" si="120"/>
        <v>3</v>
      </c>
      <c r="AV367">
        <f t="shared" si="131"/>
        <v>3024</v>
      </c>
      <c r="AW367" s="1">
        <v>2</v>
      </c>
      <c r="AX367">
        <v>5</v>
      </c>
      <c r="AY367">
        <v>0.1</v>
      </c>
      <c r="BY367" s="13"/>
      <c r="BZ367" s="13"/>
      <c r="CA367" s="13"/>
      <c r="CE367" t="str">
        <f t="shared" si="130"/>
        <v>DATA_Class_Base41</v>
      </c>
      <c r="CF367" s="3" t="s">
        <v>413</v>
      </c>
    </row>
    <row r="368" spans="1:84">
      <c r="A368">
        <f t="shared" si="127"/>
        <v>5084501</v>
      </c>
      <c r="B368" t="s">
        <v>401</v>
      </c>
      <c r="C368">
        <v>8</v>
      </c>
      <c r="D368">
        <v>5</v>
      </c>
      <c r="E368">
        <v>4</v>
      </c>
      <c r="F368" s="3" t="s">
        <v>1669</v>
      </c>
      <c r="G368" s="3" t="s">
        <v>1669</v>
      </c>
      <c r="H368">
        <v>0</v>
      </c>
      <c r="I368">
        <v>0</v>
      </c>
      <c r="J368">
        <v>0</v>
      </c>
      <c r="K368" s="2" t="s">
        <v>334</v>
      </c>
      <c r="L368" s="2">
        <f t="shared" si="128"/>
        <v>6</v>
      </c>
      <c r="M368" s="2">
        <f t="shared" si="126"/>
        <v>1.6</v>
      </c>
      <c r="N368" s="2">
        <f t="shared" si="126"/>
        <v>2</v>
      </c>
      <c r="O368" s="2">
        <v>10</v>
      </c>
      <c r="P368" s="2">
        <f t="shared" si="129"/>
        <v>268.45999999999998</v>
      </c>
      <c r="Q368" s="2">
        <f t="shared" si="129"/>
        <v>26.85</v>
      </c>
      <c r="R368" s="2">
        <f t="shared" si="129"/>
        <v>1787.08</v>
      </c>
      <c r="S368" s="2">
        <f t="shared" si="129"/>
        <v>178.71</v>
      </c>
      <c r="T368" s="2">
        <f t="shared" si="129"/>
        <v>29.83</v>
      </c>
      <c r="U368" s="2">
        <f t="shared" si="129"/>
        <v>2.98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545012</v>
      </c>
      <c r="AB368" s="14" t="s">
        <v>693</v>
      </c>
      <c r="AC368" s="15" t="s">
        <v>890</v>
      </c>
      <c r="AD368" s="2">
        <v>5094501</v>
      </c>
      <c r="AE368" s="2">
        <v>0</v>
      </c>
      <c r="AF368" s="2">
        <v>2</v>
      </c>
      <c r="AG368" s="2">
        <v>8</v>
      </c>
      <c r="AH368" s="2">
        <v>1</v>
      </c>
      <c r="AI368" s="2"/>
      <c r="AJ368">
        <v>1</v>
      </c>
      <c r="AK368" s="1">
        <f t="shared" si="115"/>
        <v>95.018877894840259</v>
      </c>
      <c r="AL368">
        <v>8</v>
      </c>
      <c r="AM368">
        <f t="shared" si="122"/>
        <v>244.05333333333337</v>
      </c>
      <c r="AN368">
        <f t="shared" si="123"/>
        <v>24.405333333333338</v>
      </c>
      <c r="AO368">
        <f t="shared" si="124"/>
        <v>1624.6153846153845</v>
      </c>
      <c r="AP368">
        <f t="shared" si="125"/>
        <v>162.46153846153845</v>
      </c>
      <c r="AQ368">
        <f t="shared" si="117"/>
        <v>27.11703703703704</v>
      </c>
      <c r="AR368">
        <f t="shared" si="114"/>
        <v>2.7117037037037042</v>
      </c>
      <c r="AS368">
        <f t="shared" si="118"/>
        <v>1.6</v>
      </c>
      <c r="AT368">
        <f t="shared" si="119"/>
        <v>2</v>
      </c>
      <c r="AU368">
        <f t="shared" si="120"/>
        <v>6</v>
      </c>
      <c r="AV368">
        <f t="shared" si="131"/>
        <v>5014</v>
      </c>
      <c r="AW368" s="1">
        <v>1</v>
      </c>
      <c r="AX368">
        <v>5</v>
      </c>
      <c r="AY368">
        <v>0.1</v>
      </c>
      <c r="BX368" t="str">
        <f t="shared" ref="BX368:BX370" si="132">BY368&amp;","&amp;BZ368&amp;","&amp;CA368</f>
        <v>1545011,2545011,3545011</v>
      </c>
      <c r="BY368" s="13">
        <v>1545011</v>
      </c>
      <c r="BZ368" s="13">
        <v>2545011</v>
      </c>
      <c r="CA368" s="13">
        <v>3545011</v>
      </c>
      <c r="CE368" t="str">
        <f t="shared" si="130"/>
        <v>DATA_Class_Base37</v>
      </c>
      <c r="CF368" s="3" t="s">
        <v>402</v>
      </c>
    </row>
    <row r="369" spans="1:84">
      <c r="A369">
        <f t="shared" si="127"/>
        <v>5084600</v>
      </c>
      <c r="B369" t="s">
        <v>404</v>
      </c>
      <c r="C369">
        <v>8</v>
      </c>
      <c r="D369">
        <v>6</v>
      </c>
      <c r="E369">
        <v>4</v>
      </c>
      <c r="F369" s="3" t="s">
        <v>1670</v>
      </c>
      <c r="G369" s="3" t="s">
        <v>1670</v>
      </c>
      <c r="H369">
        <v>0</v>
      </c>
      <c r="I369">
        <v>0</v>
      </c>
      <c r="J369" s="2">
        <v>0</v>
      </c>
      <c r="K369" s="2" t="s">
        <v>339</v>
      </c>
      <c r="L369" s="2">
        <f t="shared" si="128"/>
        <v>3</v>
      </c>
      <c r="M369" s="2">
        <f t="shared" si="126"/>
        <v>1.4000000000000001</v>
      </c>
      <c r="N369" s="2">
        <f t="shared" si="126"/>
        <v>1.9000000000000001</v>
      </c>
      <c r="O369" s="2">
        <v>10</v>
      </c>
      <c r="P369" s="2">
        <f t="shared" si="129"/>
        <v>198.76</v>
      </c>
      <c r="Q369" s="2">
        <f t="shared" si="129"/>
        <v>19.88</v>
      </c>
      <c r="R369" s="2">
        <f t="shared" si="129"/>
        <v>2112</v>
      </c>
      <c r="S369" s="2">
        <f t="shared" si="129"/>
        <v>211.2</v>
      </c>
      <c r="T369" s="2">
        <f t="shared" si="129"/>
        <v>49.69</v>
      </c>
      <c r="U369" s="2">
        <f t="shared" si="129"/>
        <v>4.97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546002</v>
      </c>
      <c r="AB369" s="14" t="s">
        <v>694</v>
      </c>
      <c r="AC369" s="15" t="s">
        <v>890</v>
      </c>
      <c r="AD369" s="2">
        <v>5094600</v>
      </c>
      <c r="AE369" s="2">
        <v>0</v>
      </c>
      <c r="AF369" s="2">
        <v>2</v>
      </c>
      <c r="AG369" s="2">
        <v>8</v>
      </c>
      <c r="AH369" s="2">
        <v>1</v>
      </c>
      <c r="AI369" s="2"/>
      <c r="AJ369">
        <v>1</v>
      </c>
      <c r="AK369" s="1">
        <f t="shared" si="115"/>
        <v>95.400118295637895</v>
      </c>
      <c r="AL369">
        <v>8</v>
      </c>
      <c r="AM369">
        <f t="shared" si="122"/>
        <v>180.69333333333333</v>
      </c>
      <c r="AN369">
        <f t="shared" si="123"/>
        <v>18.069333333333333</v>
      </c>
      <c r="AO369">
        <f t="shared" si="124"/>
        <v>1920.0000000000002</v>
      </c>
      <c r="AP369">
        <f t="shared" si="125"/>
        <v>192.00000000000003</v>
      </c>
      <c r="AQ369">
        <f t="shared" si="117"/>
        <v>45.173333333333332</v>
      </c>
      <c r="AR369">
        <f t="shared" si="114"/>
        <v>4.5173333333333332</v>
      </c>
      <c r="AS369">
        <f t="shared" si="118"/>
        <v>1.4</v>
      </c>
      <c r="AT369">
        <f t="shared" si="119"/>
        <v>1.9</v>
      </c>
      <c r="AU369">
        <f t="shared" si="120"/>
        <v>3</v>
      </c>
      <c r="AV369">
        <f t="shared" si="131"/>
        <v>6004</v>
      </c>
      <c r="AW369" s="1">
        <v>0</v>
      </c>
      <c r="AX369">
        <v>5</v>
      </c>
      <c r="AY369">
        <v>0.1</v>
      </c>
      <c r="BX369" t="str">
        <f t="shared" si="132"/>
        <v>1546001,2546001,3546001</v>
      </c>
      <c r="BY369" s="13">
        <v>1546001</v>
      </c>
      <c r="BZ369" s="13">
        <v>2546001</v>
      </c>
      <c r="CA369" s="13">
        <v>3546001</v>
      </c>
      <c r="CE369" t="str">
        <f t="shared" si="130"/>
        <v>DATA_Class_Base38</v>
      </c>
      <c r="CF369" s="3" t="s">
        <v>198</v>
      </c>
    </row>
    <row r="370" spans="1:84">
      <c r="A370">
        <f t="shared" si="127"/>
        <v>5084602</v>
      </c>
      <c r="B370" t="s">
        <v>406</v>
      </c>
      <c r="C370">
        <v>8</v>
      </c>
      <c r="D370">
        <v>6</v>
      </c>
      <c r="E370">
        <v>4</v>
      </c>
      <c r="F370" s="3" t="s">
        <v>1671</v>
      </c>
      <c r="G370" s="3" t="s">
        <v>1671</v>
      </c>
      <c r="H370">
        <v>0</v>
      </c>
      <c r="I370">
        <v>0</v>
      </c>
      <c r="J370" t="s">
        <v>345</v>
      </c>
      <c r="K370" s="2" t="s">
        <v>346</v>
      </c>
      <c r="L370" s="2">
        <f t="shared" si="128"/>
        <v>6</v>
      </c>
      <c r="M370" s="2">
        <f t="shared" si="126"/>
        <v>1.8</v>
      </c>
      <c r="N370" s="2">
        <f t="shared" si="126"/>
        <v>2</v>
      </c>
      <c r="O370" s="2">
        <v>10</v>
      </c>
      <c r="P370" s="2">
        <f t="shared" si="129"/>
        <v>232.32</v>
      </c>
      <c r="Q370" s="2">
        <f t="shared" si="129"/>
        <v>23.23</v>
      </c>
      <c r="R370" s="2">
        <f t="shared" si="129"/>
        <v>2323.1999999999998</v>
      </c>
      <c r="S370" s="2">
        <f t="shared" si="129"/>
        <v>232.32</v>
      </c>
      <c r="T370" s="2">
        <f t="shared" si="129"/>
        <v>46.46</v>
      </c>
      <c r="U370" s="2">
        <f t="shared" si="129"/>
        <v>4.6500000000000004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546022</v>
      </c>
      <c r="AB370" s="14" t="s">
        <v>695</v>
      </c>
      <c r="AC370" s="15" t="s">
        <v>890</v>
      </c>
      <c r="AD370" s="2">
        <v>5094602</v>
      </c>
      <c r="AE370" s="2">
        <v>0</v>
      </c>
      <c r="AF370" s="2">
        <v>2</v>
      </c>
      <c r="AG370" s="2">
        <v>8</v>
      </c>
      <c r="AH370" s="2">
        <v>1</v>
      </c>
      <c r="AI370" s="2"/>
      <c r="AJ370">
        <v>1</v>
      </c>
      <c r="AK370" s="1">
        <f t="shared" si="115"/>
        <v>95.337975942841638</v>
      </c>
      <c r="AL370">
        <v>8</v>
      </c>
      <c r="AM370">
        <f t="shared" si="122"/>
        <v>211.20000000000002</v>
      </c>
      <c r="AN370">
        <f t="shared" si="123"/>
        <v>21.120000000000005</v>
      </c>
      <c r="AO370">
        <f t="shared" si="124"/>
        <v>2112</v>
      </c>
      <c r="AP370">
        <f t="shared" si="125"/>
        <v>211.20000000000002</v>
      </c>
      <c r="AQ370">
        <f t="shared" si="117"/>
        <v>42.24</v>
      </c>
      <c r="AR370">
        <f t="shared" si="114"/>
        <v>4.2240000000000002</v>
      </c>
      <c r="AS370">
        <f t="shared" si="118"/>
        <v>1.8</v>
      </c>
      <c r="AT370">
        <f t="shared" si="119"/>
        <v>2</v>
      </c>
      <c r="AU370">
        <f t="shared" si="120"/>
        <v>6</v>
      </c>
      <c r="AV370">
        <f t="shared" si="131"/>
        <v>6024</v>
      </c>
      <c r="AW370" s="1">
        <v>2</v>
      </c>
      <c r="AX370">
        <v>5</v>
      </c>
      <c r="AY370">
        <v>0.1</v>
      </c>
      <c r="BX370" t="str">
        <f t="shared" si="132"/>
        <v>1546021,2546021,3546021</v>
      </c>
      <c r="BY370" s="13">
        <v>1546021</v>
      </c>
      <c r="BZ370" s="13">
        <v>2546021</v>
      </c>
      <c r="CA370" s="13">
        <v>3546021</v>
      </c>
      <c r="CE370" t="str">
        <f t="shared" si="130"/>
        <v>DATA_Class_Base39</v>
      </c>
      <c r="CF370" s="3" t="s">
        <v>407</v>
      </c>
    </row>
    <row r="371" spans="1:84">
      <c r="A371">
        <f t="shared" si="127"/>
        <v>5085202</v>
      </c>
      <c r="B371" t="s">
        <v>380</v>
      </c>
      <c r="C371">
        <v>8</v>
      </c>
      <c r="D371">
        <v>2</v>
      </c>
      <c r="E371">
        <v>5</v>
      </c>
      <c r="F371" s="3" t="s">
        <v>1672</v>
      </c>
      <c r="G371" s="3" t="s">
        <v>1672</v>
      </c>
      <c r="H371">
        <v>0</v>
      </c>
      <c r="I371">
        <v>0</v>
      </c>
      <c r="J371" s="3">
        <v>0</v>
      </c>
      <c r="K371" s="2" t="s">
        <v>280</v>
      </c>
      <c r="L371" s="2">
        <f t="shared" si="128"/>
        <v>3</v>
      </c>
      <c r="M371" s="2">
        <f t="shared" si="126"/>
        <v>1.8</v>
      </c>
      <c r="N371" s="2">
        <f t="shared" si="126"/>
        <v>2</v>
      </c>
      <c r="O371" s="2">
        <v>10</v>
      </c>
      <c r="P371" s="2">
        <f t="shared" si="129"/>
        <v>209.09</v>
      </c>
      <c r="Q371" s="2">
        <f t="shared" si="129"/>
        <v>20.91</v>
      </c>
      <c r="R371" s="2">
        <f t="shared" si="129"/>
        <v>2581.33</v>
      </c>
      <c r="S371" s="2">
        <f t="shared" si="129"/>
        <v>258.13</v>
      </c>
      <c r="T371" s="2">
        <f t="shared" si="129"/>
        <v>69.7</v>
      </c>
      <c r="U371" s="2">
        <f t="shared" si="129"/>
        <v>6.97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552022</v>
      </c>
      <c r="AB371" s="15" t="s">
        <v>696</v>
      </c>
      <c r="AC371" s="15" t="s">
        <v>890</v>
      </c>
      <c r="AD371" s="2">
        <v>5095202</v>
      </c>
      <c r="AE371" s="2">
        <v>0</v>
      </c>
      <c r="AF371" s="2">
        <v>2</v>
      </c>
      <c r="AG371" s="2">
        <v>8</v>
      </c>
      <c r="AH371" s="2">
        <v>1</v>
      </c>
      <c r="AI371" s="2"/>
      <c r="AJ371">
        <v>1</v>
      </c>
      <c r="AK371" s="1">
        <f t="shared" si="115"/>
        <v>95.787216366374182</v>
      </c>
      <c r="AL371">
        <v>8</v>
      </c>
      <c r="AM371">
        <f t="shared" si="122"/>
        <v>190.08000000000004</v>
      </c>
      <c r="AN371">
        <f t="shared" si="123"/>
        <v>19.008000000000006</v>
      </c>
      <c r="AO371">
        <f t="shared" si="124"/>
        <v>2346.666666666667</v>
      </c>
      <c r="AP371">
        <f t="shared" si="125"/>
        <v>234.66666666666671</v>
      </c>
      <c r="AQ371">
        <f t="shared" si="117"/>
        <v>63.360000000000014</v>
      </c>
      <c r="AR371">
        <f t="shared" si="114"/>
        <v>6.3360000000000021</v>
      </c>
      <c r="AS371">
        <f t="shared" si="118"/>
        <v>1.8</v>
      </c>
      <c r="AT371">
        <f t="shared" si="119"/>
        <v>2</v>
      </c>
      <c r="AU371">
        <f t="shared" si="120"/>
        <v>3</v>
      </c>
      <c r="AV371">
        <f t="shared" si="131"/>
        <v>2025</v>
      </c>
      <c r="AW371" s="1">
        <v>2</v>
      </c>
      <c r="AX371">
        <v>5</v>
      </c>
      <c r="AY371">
        <v>0.1</v>
      </c>
      <c r="BY371" s="13"/>
      <c r="BZ371" s="13"/>
      <c r="CA371" s="13"/>
      <c r="CE371" t="str">
        <f t="shared" si="130"/>
        <v>DATA_Class_Base30</v>
      </c>
      <c r="CF371" s="3" t="s">
        <v>381</v>
      </c>
    </row>
    <row r="372" spans="1:84">
      <c r="A372">
        <f t="shared" si="127"/>
        <v>5085300</v>
      </c>
      <c r="B372" t="s">
        <v>410</v>
      </c>
      <c r="C372">
        <v>8</v>
      </c>
      <c r="D372">
        <v>3</v>
      </c>
      <c r="E372">
        <v>5</v>
      </c>
      <c r="F372" s="3" t="s">
        <v>1673</v>
      </c>
      <c r="G372" s="3" t="s">
        <v>1673</v>
      </c>
      <c r="H372">
        <v>0</v>
      </c>
      <c r="I372">
        <v>0</v>
      </c>
      <c r="J372" s="2">
        <v>0</v>
      </c>
      <c r="K372" s="2" t="s">
        <v>352</v>
      </c>
      <c r="L372" s="2">
        <f t="shared" si="128"/>
        <v>6</v>
      </c>
      <c r="M372" s="2">
        <f t="shared" si="126"/>
        <v>1.3</v>
      </c>
      <c r="N372" s="2">
        <f t="shared" si="126"/>
        <v>2</v>
      </c>
      <c r="O372" s="2">
        <v>10</v>
      </c>
      <c r="P372" s="2">
        <f t="shared" si="129"/>
        <v>192.95</v>
      </c>
      <c r="Q372" s="2">
        <f t="shared" si="129"/>
        <v>19.3</v>
      </c>
      <c r="R372" s="2">
        <f t="shared" si="129"/>
        <v>2020.17</v>
      </c>
      <c r="S372" s="2">
        <f t="shared" si="129"/>
        <v>202.02</v>
      </c>
      <c r="T372" s="2">
        <f t="shared" si="129"/>
        <v>24.12</v>
      </c>
      <c r="U372" s="2">
        <f t="shared" si="129"/>
        <v>2.41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553002</v>
      </c>
      <c r="AB372" s="14" t="s">
        <v>697</v>
      </c>
      <c r="AC372" s="15" t="s">
        <v>890</v>
      </c>
      <c r="AD372" s="2">
        <v>5095300</v>
      </c>
      <c r="AE372" s="2">
        <v>0</v>
      </c>
      <c r="AF372" s="2">
        <v>2</v>
      </c>
      <c r="AG372" s="2">
        <v>8</v>
      </c>
      <c r="AH372" s="2">
        <v>1</v>
      </c>
      <c r="AI372" s="2"/>
      <c r="AJ372">
        <v>1</v>
      </c>
      <c r="AK372" s="1">
        <f t="shared" si="115"/>
        <v>94.90985166980829</v>
      </c>
      <c r="AL372">
        <v>8</v>
      </c>
      <c r="AM372">
        <f t="shared" si="122"/>
        <v>175.41333333333333</v>
      </c>
      <c r="AN372">
        <f t="shared" si="123"/>
        <v>17.541333333333334</v>
      </c>
      <c r="AO372">
        <f t="shared" si="124"/>
        <v>1836.521739130435</v>
      </c>
      <c r="AP372">
        <f t="shared" si="125"/>
        <v>183.6521739130435</v>
      </c>
      <c r="AQ372">
        <f t="shared" si="117"/>
        <v>21.926666666666666</v>
      </c>
      <c r="AR372">
        <f t="shared" si="114"/>
        <v>2.1926666666666668</v>
      </c>
      <c r="AS372">
        <f t="shared" si="118"/>
        <v>1.3</v>
      </c>
      <c r="AT372">
        <f t="shared" si="119"/>
        <v>2</v>
      </c>
      <c r="AU372">
        <f t="shared" si="120"/>
        <v>6</v>
      </c>
      <c r="AV372">
        <f t="shared" si="131"/>
        <v>3005</v>
      </c>
      <c r="AW372" s="1">
        <v>0</v>
      </c>
      <c r="AX372">
        <v>5</v>
      </c>
      <c r="AY372">
        <v>0.1</v>
      </c>
      <c r="BX372" t="str">
        <f t="shared" ref="BX372:BX374" si="133">BY372&amp;","&amp;BZ372&amp;","&amp;CA372</f>
        <v>1553001,2553001,3553001</v>
      </c>
      <c r="BY372" s="13">
        <v>1553001</v>
      </c>
      <c r="BZ372" s="13">
        <v>2553001</v>
      </c>
      <c r="CA372" s="13">
        <v>3553001</v>
      </c>
      <c r="CE372" t="str">
        <f t="shared" si="130"/>
        <v>DATA_Class_Base40</v>
      </c>
      <c r="CF372" s="3" t="s">
        <v>411</v>
      </c>
    </row>
    <row r="373" spans="1:84">
      <c r="A373">
        <f t="shared" si="127"/>
        <v>5085302</v>
      </c>
      <c r="B373" t="s">
        <v>412</v>
      </c>
      <c r="C373">
        <v>8</v>
      </c>
      <c r="D373">
        <v>3</v>
      </c>
      <c r="E373">
        <v>5</v>
      </c>
      <c r="F373" s="3" t="s">
        <v>1674</v>
      </c>
      <c r="G373" s="3" t="s">
        <v>1674</v>
      </c>
      <c r="H373">
        <v>0</v>
      </c>
      <c r="I373">
        <v>0</v>
      </c>
      <c r="J373" s="2">
        <v>0</v>
      </c>
      <c r="K373" s="2" t="s">
        <v>358</v>
      </c>
      <c r="L373" s="2">
        <f t="shared" si="128"/>
        <v>3</v>
      </c>
      <c r="M373" s="2">
        <f t="shared" si="126"/>
        <v>1.4000000000000001</v>
      </c>
      <c r="N373" s="2">
        <f t="shared" si="126"/>
        <v>2</v>
      </c>
      <c r="O373" s="2">
        <v>10</v>
      </c>
      <c r="P373" s="2">
        <f t="shared" si="129"/>
        <v>216.83</v>
      </c>
      <c r="Q373" s="2">
        <f t="shared" si="129"/>
        <v>21.68</v>
      </c>
      <c r="R373" s="2">
        <f t="shared" si="129"/>
        <v>1936</v>
      </c>
      <c r="S373" s="2">
        <f t="shared" si="129"/>
        <v>193.6</v>
      </c>
      <c r="T373" s="2">
        <f t="shared" si="129"/>
        <v>30.98</v>
      </c>
      <c r="U373" s="2">
        <f t="shared" si="129"/>
        <v>3.1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553022</v>
      </c>
      <c r="AB373" s="14" t="s">
        <v>698</v>
      </c>
      <c r="AC373" s="15" t="s">
        <v>890</v>
      </c>
      <c r="AD373" s="2">
        <v>5095302</v>
      </c>
      <c r="AE373" s="2">
        <v>0</v>
      </c>
      <c r="AF373" s="2">
        <v>2</v>
      </c>
      <c r="AG373" s="2">
        <v>8</v>
      </c>
      <c r="AH373" s="2">
        <v>1</v>
      </c>
      <c r="AI373" s="2"/>
      <c r="AJ373">
        <v>1</v>
      </c>
      <c r="AK373" s="1">
        <f t="shared" si="115"/>
        <v>95.040816063677724</v>
      </c>
      <c r="AL373">
        <v>8</v>
      </c>
      <c r="AM373">
        <f t="shared" si="122"/>
        <v>197.12</v>
      </c>
      <c r="AN373">
        <f t="shared" si="123"/>
        <v>19.712000000000003</v>
      </c>
      <c r="AO373">
        <f t="shared" si="124"/>
        <v>1760.0000000000002</v>
      </c>
      <c r="AP373">
        <f t="shared" si="125"/>
        <v>176.00000000000003</v>
      </c>
      <c r="AQ373">
        <f t="shared" si="117"/>
        <v>28.16</v>
      </c>
      <c r="AR373">
        <f t="shared" si="114"/>
        <v>2.8160000000000003</v>
      </c>
      <c r="AS373">
        <f t="shared" si="118"/>
        <v>1.4</v>
      </c>
      <c r="AT373">
        <f t="shared" si="119"/>
        <v>2</v>
      </c>
      <c r="AU373">
        <f t="shared" si="120"/>
        <v>3</v>
      </c>
      <c r="AV373">
        <f t="shared" si="131"/>
        <v>3025</v>
      </c>
      <c r="AW373" s="1">
        <v>2</v>
      </c>
      <c r="AX373">
        <v>5</v>
      </c>
      <c r="AY373">
        <v>0.1</v>
      </c>
      <c r="BX373" t="str">
        <f t="shared" si="133"/>
        <v>1553021,2553021,3553021</v>
      </c>
      <c r="BY373" s="13">
        <v>1553021</v>
      </c>
      <c r="BZ373" s="13">
        <v>2553021</v>
      </c>
      <c r="CA373" s="13">
        <v>3553021</v>
      </c>
      <c r="CE373" t="str">
        <f t="shared" si="130"/>
        <v>DATA_Class_Base41</v>
      </c>
      <c r="CF373" s="3" t="s">
        <v>413</v>
      </c>
    </row>
    <row r="374" spans="1:84">
      <c r="A374">
        <f t="shared" si="127"/>
        <v>5085400</v>
      </c>
      <c r="B374" t="s">
        <v>414</v>
      </c>
      <c r="C374">
        <v>8</v>
      </c>
      <c r="D374">
        <v>4</v>
      </c>
      <c r="E374">
        <v>5</v>
      </c>
      <c r="F374" s="3" t="s">
        <v>1675</v>
      </c>
      <c r="G374" s="3" t="s">
        <v>1675</v>
      </c>
      <c r="H374">
        <v>0</v>
      </c>
      <c r="I374">
        <v>0</v>
      </c>
      <c r="J374">
        <v>0</v>
      </c>
      <c r="K374" s="2" t="s">
        <v>364</v>
      </c>
      <c r="L374" s="2">
        <f t="shared" si="128"/>
        <v>6</v>
      </c>
      <c r="M374" s="2">
        <f t="shared" si="126"/>
        <v>1.4000000000000001</v>
      </c>
      <c r="N374" s="2">
        <f t="shared" si="126"/>
        <v>2</v>
      </c>
      <c r="O374" s="2">
        <v>10</v>
      </c>
      <c r="P374" s="2">
        <f t="shared" si="129"/>
        <v>225.87</v>
      </c>
      <c r="Q374" s="2">
        <f t="shared" si="129"/>
        <v>22.59</v>
      </c>
      <c r="R374" s="2">
        <f t="shared" si="129"/>
        <v>1858.56</v>
      </c>
      <c r="S374" s="2">
        <f t="shared" si="129"/>
        <v>185.86</v>
      </c>
      <c r="T374" s="2">
        <f t="shared" si="129"/>
        <v>37.64</v>
      </c>
      <c r="U374" s="2">
        <f t="shared" si="129"/>
        <v>3.76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554002</v>
      </c>
      <c r="AB374" s="14" t="s">
        <v>699</v>
      </c>
      <c r="AC374" s="15" t="s">
        <v>890</v>
      </c>
      <c r="AD374" s="2">
        <v>5095400</v>
      </c>
      <c r="AE374" s="2">
        <v>0</v>
      </c>
      <c r="AF374" s="2">
        <v>2</v>
      </c>
      <c r="AG374" s="2">
        <v>8</v>
      </c>
      <c r="AH374" s="2">
        <v>1</v>
      </c>
      <c r="AI374" s="2"/>
      <c r="AJ374">
        <v>1</v>
      </c>
      <c r="AK374" s="1">
        <f t="shared" si="115"/>
        <v>95.168532506963601</v>
      </c>
      <c r="AL374">
        <v>8</v>
      </c>
      <c r="AM374">
        <f t="shared" si="122"/>
        <v>205.33333333333337</v>
      </c>
      <c r="AN374">
        <f t="shared" si="123"/>
        <v>20.533333333333339</v>
      </c>
      <c r="AO374">
        <f t="shared" si="124"/>
        <v>1689.6000000000001</v>
      </c>
      <c r="AP374">
        <f t="shared" si="125"/>
        <v>168.96000000000004</v>
      </c>
      <c r="AQ374">
        <f t="shared" si="117"/>
        <v>34.222222222222229</v>
      </c>
      <c r="AR374">
        <f t="shared" si="114"/>
        <v>3.4222222222222229</v>
      </c>
      <c r="AS374">
        <f t="shared" si="118"/>
        <v>1.4</v>
      </c>
      <c r="AT374">
        <f t="shared" si="119"/>
        <v>2</v>
      </c>
      <c r="AU374">
        <f t="shared" si="120"/>
        <v>6</v>
      </c>
      <c r="AV374">
        <f t="shared" si="131"/>
        <v>4005</v>
      </c>
      <c r="AW374" s="1">
        <v>0</v>
      </c>
      <c r="AX374">
        <v>5</v>
      </c>
      <c r="AY374">
        <v>0.1</v>
      </c>
      <c r="BX374" t="str">
        <f t="shared" si="133"/>
        <v>1554001,2554001,3554001</v>
      </c>
      <c r="BY374" s="13">
        <v>1554001</v>
      </c>
      <c r="BZ374" s="13">
        <v>2554001</v>
      </c>
      <c r="CA374" s="13">
        <v>3554001</v>
      </c>
      <c r="CE374" t="str">
        <f t="shared" si="130"/>
        <v>DATA_Class_Base42</v>
      </c>
      <c r="CF374" s="3" t="s">
        <v>174</v>
      </c>
    </row>
    <row r="375" spans="1:84">
      <c r="A375">
        <f t="shared" si="127"/>
        <v>5085501</v>
      </c>
      <c r="B375" t="s">
        <v>401</v>
      </c>
      <c r="C375">
        <v>8</v>
      </c>
      <c r="D375">
        <v>5</v>
      </c>
      <c r="E375">
        <v>5</v>
      </c>
      <c r="F375" s="3" t="s">
        <v>1676</v>
      </c>
      <c r="G375" s="3" t="s">
        <v>1676</v>
      </c>
      <c r="H375">
        <v>0</v>
      </c>
      <c r="I375">
        <v>0</v>
      </c>
      <c r="J375" s="3">
        <v>0</v>
      </c>
      <c r="K375" s="2" t="s">
        <v>334</v>
      </c>
      <c r="L375" s="2">
        <f t="shared" si="128"/>
        <v>6</v>
      </c>
      <c r="M375" s="2">
        <f t="shared" si="126"/>
        <v>1.6</v>
      </c>
      <c r="N375" s="2">
        <f t="shared" si="126"/>
        <v>2</v>
      </c>
      <c r="O375" s="2">
        <v>10</v>
      </c>
      <c r="P375" s="2">
        <f t="shared" si="129"/>
        <v>299.43</v>
      </c>
      <c r="Q375" s="2">
        <f t="shared" si="129"/>
        <v>29.94</v>
      </c>
      <c r="R375" s="2">
        <f t="shared" si="129"/>
        <v>1602.21</v>
      </c>
      <c r="S375" s="2">
        <f t="shared" si="129"/>
        <v>160.22</v>
      </c>
      <c r="T375" s="2">
        <f t="shared" si="129"/>
        <v>33.270000000000003</v>
      </c>
      <c r="U375" s="2">
        <f t="shared" si="129"/>
        <v>3.33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555012</v>
      </c>
      <c r="AB375" s="15" t="s">
        <v>700</v>
      </c>
      <c r="AC375" s="15" t="s">
        <v>890</v>
      </c>
      <c r="AD375" s="2">
        <v>5095501</v>
      </c>
      <c r="AE375" s="2">
        <v>0</v>
      </c>
      <c r="AF375" s="2">
        <v>2</v>
      </c>
      <c r="AG375" s="2">
        <v>8</v>
      </c>
      <c r="AH375" s="2">
        <v>1</v>
      </c>
      <c r="AI375" s="2"/>
      <c r="AJ375">
        <v>1</v>
      </c>
      <c r="AK375" s="1">
        <f t="shared" si="115"/>
        <v>95.084722806190328</v>
      </c>
      <c r="AL375">
        <v>8</v>
      </c>
      <c r="AM375">
        <f t="shared" si="122"/>
        <v>272.21333333333337</v>
      </c>
      <c r="AN375">
        <f t="shared" si="123"/>
        <v>27.221333333333337</v>
      </c>
      <c r="AO375">
        <f t="shared" si="124"/>
        <v>1456.5517241379312</v>
      </c>
      <c r="AP375">
        <f t="shared" si="125"/>
        <v>145.65517241379311</v>
      </c>
      <c r="AQ375">
        <f t="shared" si="117"/>
        <v>30.245925925925931</v>
      </c>
      <c r="AR375">
        <f t="shared" si="114"/>
        <v>3.0245925925925934</v>
      </c>
      <c r="AS375">
        <f t="shared" si="118"/>
        <v>1.6</v>
      </c>
      <c r="AT375">
        <f t="shared" si="119"/>
        <v>2</v>
      </c>
      <c r="AU375">
        <f t="shared" si="120"/>
        <v>6</v>
      </c>
      <c r="AV375">
        <f t="shared" si="131"/>
        <v>5015</v>
      </c>
      <c r="AW375" s="1">
        <v>1</v>
      </c>
      <c r="AX375">
        <v>5</v>
      </c>
      <c r="AY375">
        <v>0.1</v>
      </c>
      <c r="BY375" s="13"/>
      <c r="BZ375" s="13"/>
      <c r="CA375" s="13"/>
      <c r="CE375" t="str">
        <f t="shared" si="130"/>
        <v>DATA_Class_Base37</v>
      </c>
      <c r="CF375" s="3" t="s">
        <v>402</v>
      </c>
    </row>
    <row r="376" spans="1:84">
      <c r="A376">
        <f t="shared" si="127"/>
        <v>5091200</v>
      </c>
      <c r="B376" s="31" t="s">
        <v>373</v>
      </c>
      <c r="C376">
        <v>9</v>
      </c>
      <c r="D376">
        <v>2</v>
      </c>
      <c r="E376">
        <v>1</v>
      </c>
      <c r="F376" s="3" t="s">
        <v>1677</v>
      </c>
      <c r="G376" s="3" t="s">
        <v>1677</v>
      </c>
      <c r="H376">
        <v>0</v>
      </c>
      <c r="I376">
        <v>0</v>
      </c>
      <c r="J376" s="2">
        <v>0</v>
      </c>
      <c r="K376" s="2" t="s">
        <v>314</v>
      </c>
      <c r="L376" s="2">
        <f t="shared" si="128"/>
        <v>3</v>
      </c>
      <c r="M376" s="2">
        <f t="shared" si="126"/>
        <v>1.5</v>
      </c>
      <c r="N376" s="2">
        <f t="shared" si="126"/>
        <v>1.2</v>
      </c>
      <c r="O376" s="2">
        <v>10</v>
      </c>
      <c r="P376" s="2">
        <f t="shared" si="129"/>
        <v>168.96</v>
      </c>
      <c r="Q376" s="2">
        <f t="shared" si="129"/>
        <v>16.899999999999999</v>
      </c>
      <c r="R376" s="2">
        <f t="shared" si="129"/>
        <v>3168</v>
      </c>
      <c r="S376" s="2">
        <f t="shared" si="129"/>
        <v>316.8</v>
      </c>
      <c r="T376" s="2">
        <f t="shared" si="129"/>
        <v>56.32</v>
      </c>
      <c r="U376" s="2">
        <f t="shared" si="129"/>
        <v>5.63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512002</v>
      </c>
      <c r="AB376" s="14" t="s">
        <v>701</v>
      </c>
      <c r="AC376" s="15" t="s">
        <v>890</v>
      </c>
      <c r="AD376" s="2">
        <v>5101200</v>
      </c>
      <c r="AE376" s="2">
        <v>0</v>
      </c>
      <c r="AF376" s="2">
        <v>2</v>
      </c>
      <c r="AG376" s="2">
        <v>8</v>
      </c>
      <c r="AH376" s="2">
        <v>1</v>
      </c>
      <c r="AI376" s="2"/>
      <c r="AJ376">
        <v>1</v>
      </c>
      <c r="AK376" s="1">
        <f t="shared" si="115"/>
        <v>113.68627095604896</v>
      </c>
      <c r="AL376">
        <v>9</v>
      </c>
      <c r="AM376">
        <f t="shared" ref="AM376:AM447" si="134">INDEX($BB$5:$BB$58,MATCH($AV376,$AZ$5:$AZ$58,0))*$AS376/1.5*$BF$4*INDEX($BB$109:$BO$109,MATCH($AL376,$BB$108:$BO$108,0))</f>
        <v>153.60000000000002</v>
      </c>
      <c r="AN376">
        <f t="shared" ref="AN376:AN447" si="135">(INDEX($BB$5:$BB$58,MATCH($AV376,$AZ$5:$AZ$58,0))*$AS376/1.5*$BF$4*INDEX($BB$109:$BO$109,MATCH($AL376,$BB$108:$BO$108,0)))*0.1</f>
        <v>15.360000000000003</v>
      </c>
      <c r="AO376">
        <f t="shared" ref="AO376:AO447" si="136">INDEX($BC$5:$BC$58,MATCH($AV376,$AZ$5:$AZ$58,0))*$BG$4*INDEX($BB$109:$BO$109,MATCH($AL376,$BB$108:$BO$108,0))</f>
        <v>2880</v>
      </c>
      <c r="AP376">
        <f t="shared" ref="AP376:AP447" si="137">(INDEX($BC$5:$BC$58,MATCH($AV376,$AZ$5:$AZ$58,0))*$BG$4*INDEX($BB$109:$BO$109,MATCH($AL376,$BB$108:$BO$108,0)))*0.1</f>
        <v>288</v>
      </c>
      <c r="AQ376">
        <f t="shared" ref="AQ376:AQ447" si="138">$AM376/INDEX($BD$5:$BD$58,MATCH($AV376,$AZ$5:$AZ$58,0))</f>
        <v>51.20000000000001</v>
      </c>
      <c r="AR376">
        <f t="shared" si="114"/>
        <v>5.120000000000001</v>
      </c>
      <c r="AS376">
        <f t="shared" ref="AS376:AS447" si="139">INDEX($BE$5:$BE$58,MATCH($AV376,$AZ$5:$AZ$58,0))</f>
        <v>1.5</v>
      </c>
      <c r="AT376">
        <f t="shared" ref="AT376:AT447" si="140">ROUND(IF(INDEX($BM$5:$BM$58,MATCH($AV376,$AZ$5:$AZ$58,0))&lt;2,INDEX($BM$5:$BM$58,MATCH($AV376,$AZ$5:$AZ$58,0))+0.2,2),1)</f>
        <v>1.2</v>
      </c>
      <c r="AU376">
        <f t="shared" ref="AU376:AU447" si="141">INDEX($BI$5:$BI$58,MATCH($AV376,$AZ$5:$AZ$58,0))</f>
        <v>3</v>
      </c>
      <c r="AV376">
        <f t="shared" si="131"/>
        <v>2001</v>
      </c>
      <c r="AW376" s="1">
        <v>0</v>
      </c>
      <c r="AX376">
        <v>5</v>
      </c>
      <c r="AY376">
        <v>0.1</v>
      </c>
      <c r="CE376" t="str">
        <f t="shared" si="130"/>
        <v>DATA_Class_Base28</v>
      </c>
      <c r="CF376" s="3" t="s">
        <v>374</v>
      </c>
    </row>
    <row r="377" spans="1:84">
      <c r="A377">
        <f t="shared" si="127"/>
        <v>5091201</v>
      </c>
      <c r="B377" s="31" t="s">
        <v>377</v>
      </c>
      <c r="C377">
        <v>9</v>
      </c>
      <c r="D377">
        <v>2</v>
      </c>
      <c r="E377">
        <v>1</v>
      </c>
      <c r="F377" s="3" t="s">
        <v>1678</v>
      </c>
      <c r="G377" s="3" t="s">
        <v>1678</v>
      </c>
      <c r="H377">
        <v>0</v>
      </c>
      <c r="I377">
        <v>0</v>
      </c>
      <c r="J377" s="2">
        <v>0</v>
      </c>
      <c r="K377" s="8" t="s">
        <v>298</v>
      </c>
      <c r="L377" s="2">
        <f t="shared" si="128"/>
        <v>3</v>
      </c>
      <c r="M377" s="2">
        <f t="shared" si="126"/>
        <v>1.8</v>
      </c>
      <c r="N377" s="2">
        <f t="shared" si="126"/>
        <v>1.8</v>
      </c>
      <c r="O377" s="2">
        <v>10</v>
      </c>
      <c r="P377" s="2">
        <f t="shared" si="129"/>
        <v>126.72</v>
      </c>
      <c r="Q377" s="2">
        <f t="shared" si="129"/>
        <v>12.67</v>
      </c>
      <c r="R377" s="2">
        <f t="shared" si="129"/>
        <v>5068.8</v>
      </c>
      <c r="S377" s="2">
        <f t="shared" si="129"/>
        <v>506.88</v>
      </c>
      <c r="T377" s="2">
        <f t="shared" si="129"/>
        <v>63.36</v>
      </c>
      <c r="U377" s="2">
        <f t="shared" si="129"/>
        <v>6.34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512012</v>
      </c>
      <c r="AB377" s="14" t="s">
        <v>702</v>
      </c>
      <c r="AC377" s="15" t="s">
        <v>890</v>
      </c>
      <c r="AD377" s="2">
        <v>5101201</v>
      </c>
      <c r="AE377" s="2">
        <v>0</v>
      </c>
      <c r="AF377" s="2">
        <v>2</v>
      </c>
      <c r="AG377" s="2">
        <v>8</v>
      </c>
      <c r="AH377" s="2">
        <v>1</v>
      </c>
      <c r="AI377" s="2"/>
      <c r="AJ377">
        <v>1</v>
      </c>
      <c r="AK377" s="1">
        <f t="shared" si="115"/>
        <v>113.84839566992933</v>
      </c>
      <c r="AL377">
        <v>9</v>
      </c>
      <c r="AM377">
        <f t="shared" si="134"/>
        <v>115.19999999999999</v>
      </c>
      <c r="AN377">
        <f t="shared" si="135"/>
        <v>11.52</v>
      </c>
      <c r="AO377">
        <f t="shared" si="136"/>
        <v>4608</v>
      </c>
      <c r="AP377">
        <f t="shared" si="137"/>
        <v>460.8</v>
      </c>
      <c r="AQ377">
        <f t="shared" si="138"/>
        <v>57.599999999999994</v>
      </c>
      <c r="AR377">
        <f t="shared" si="114"/>
        <v>5.76</v>
      </c>
      <c r="AS377">
        <f t="shared" si="139"/>
        <v>1.8</v>
      </c>
      <c r="AT377">
        <f t="shared" si="140"/>
        <v>1.8</v>
      </c>
      <c r="AU377">
        <f t="shared" si="141"/>
        <v>3</v>
      </c>
      <c r="AV377">
        <f t="shared" si="131"/>
        <v>2011</v>
      </c>
      <c r="AW377" s="1">
        <v>1</v>
      </c>
      <c r="AX377">
        <v>5</v>
      </c>
      <c r="AY377">
        <v>0.1</v>
      </c>
      <c r="CE377" t="str">
        <f t="shared" si="130"/>
        <v>DATA_Class_Base29</v>
      </c>
      <c r="CF377" s="3" t="s">
        <v>378</v>
      </c>
    </row>
    <row r="378" spans="1:84">
      <c r="A378">
        <f t="shared" si="127"/>
        <v>5091202</v>
      </c>
      <c r="B378" s="31" t="s">
        <v>380</v>
      </c>
      <c r="C378">
        <v>9</v>
      </c>
      <c r="D378">
        <v>2</v>
      </c>
      <c r="E378">
        <v>1</v>
      </c>
      <c r="F378" s="3" t="s">
        <v>1679</v>
      </c>
      <c r="G378" s="3" t="s">
        <v>1679</v>
      </c>
      <c r="H378">
        <v>0</v>
      </c>
      <c r="I378">
        <v>0</v>
      </c>
      <c r="J378">
        <v>0</v>
      </c>
      <c r="K378" s="2" t="s">
        <v>280</v>
      </c>
      <c r="L378" s="2">
        <f t="shared" si="128"/>
        <v>3</v>
      </c>
      <c r="M378" s="2">
        <f t="shared" si="126"/>
        <v>1.8</v>
      </c>
      <c r="N378" s="2">
        <f t="shared" si="126"/>
        <v>2</v>
      </c>
      <c r="O378" s="2">
        <v>10</v>
      </c>
      <c r="P378" s="2">
        <f t="shared" si="129"/>
        <v>202.75</v>
      </c>
      <c r="Q378" s="2">
        <f t="shared" si="129"/>
        <v>20.28</v>
      </c>
      <c r="R378" s="2">
        <f t="shared" si="129"/>
        <v>3168</v>
      </c>
      <c r="S378" s="2">
        <f t="shared" si="129"/>
        <v>316.8</v>
      </c>
      <c r="T378" s="2">
        <f t="shared" si="129"/>
        <v>50.69</v>
      </c>
      <c r="U378" s="2">
        <f t="shared" si="129"/>
        <v>5.07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512022</v>
      </c>
      <c r="AB378" s="14" t="s">
        <v>703</v>
      </c>
      <c r="AC378" s="15" t="s">
        <v>890</v>
      </c>
      <c r="AD378" s="2">
        <v>5101202</v>
      </c>
      <c r="AE378" s="2">
        <v>0</v>
      </c>
      <c r="AF378" s="2">
        <v>2</v>
      </c>
      <c r="AG378" s="2">
        <v>8</v>
      </c>
      <c r="AH378" s="2">
        <v>1</v>
      </c>
      <c r="AI378" s="2"/>
      <c r="AJ378">
        <v>1</v>
      </c>
      <c r="AK378" s="1">
        <f t="shared" si="115"/>
        <v>113.55690326251406</v>
      </c>
      <c r="AL378">
        <v>9</v>
      </c>
      <c r="AM378">
        <f t="shared" si="134"/>
        <v>184.32000000000002</v>
      </c>
      <c r="AN378">
        <f t="shared" si="135"/>
        <v>18.432000000000002</v>
      </c>
      <c r="AO378">
        <f t="shared" si="136"/>
        <v>2880</v>
      </c>
      <c r="AP378">
        <f t="shared" si="137"/>
        <v>288</v>
      </c>
      <c r="AQ378">
        <f t="shared" si="138"/>
        <v>46.080000000000005</v>
      </c>
      <c r="AR378">
        <f t="shared" si="114"/>
        <v>4.6080000000000005</v>
      </c>
      <c r="AS378">
        <f t="shared" si="139"/>
        <v>1.8</v>
      </c>
      <c r="AT378">
        <f t="shared" si="140"/>
        <v>2</v>
      </c>
      <c r="AU378">
        <f t="shared" si="141"/>
        <v>3</v>
      </c>
      <c r="AV378">
        <f t="shared" si="131"/>
        <v>2021</v>
      </c>
      <c r="AW378" s="1">
        <v>2</v>
      </c>
      <c r="AX378">
        <v>5</v>
      </c>
      <c r="AY378">
        <v>0.1</v>
      </c>
      <c r="CE378" t="str">
        <f t="shared" si="130"/>
        <v>DATA_Class_Base30</v>
      </c>
      <c r="CF378" s="3" t="s">
        <v>381</v>
      </c>
    </row>
    <row r="379" spans="1:84">
      <c r="A379">
        <f t="shared" si="127"/>
        <v>5091301</v>
      </c>
      <c r="B379" s="31" t="s">
        <v>383</v>
      </c>
      <c r="C379">
        <v>9</v>
      </c>
      <c r="D379">
        <v>3</v>
      </c>
      <c r="E379">
        <v>1</v>
      </c>
      <c r="F379" s="3" t="s">
        <v>1680</v>
      </c>
      <c r="G379" s="3" t="s">
        <v>1680</v>
      </c>
      <c r="H379">
        <v>0</v>
      </c>
      <c r="I379">
        <v>0</v>
      </c>
      <c r="J379" s="2">
        <v>0</v>
      </c>
      <c r="K379" s="2" t="s">
        <v>285</v>
      </c>
      <c r="L379" s="2">
        <f t="shared" si="128"/>
        <v>3</v>
      </c>
      <c r="M379" s="2">
        <f t="shared" si="126"/>
        <v>1.2</v>
      </c>
      <c r="N379" s="2">
        <f t="shared" si="126"/>
        <v>2</v>
      </c>
      <c r="O379" s="2">
        <v>10</v>
      </c>
      <c r="P379" s="2">
        <f t="shared" si="129"/>
        <v>185.86</v>
      </c>
      <c r="Q379" s="2">
        <f t="shared" si="129"/>
        <v>18.59</v>
      </c>
      <c r="R379" s="2">
        <f t="shared" si="129"/>
        <v>2304</v>
      </c>
      <c r="S379" s="2">
        <f t="shared" si="129"/>
        <v>230.4</v>
      </c>
      <c r="T379" s="2">
        <f t="shared" si="129"/>
        <v>30.98</v>
      </c>
      <c r="U379" s="2">
        <f t="shared" si="129"/>
        <v>3.1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513012</v>
      </c>
      <c r="AB379" s="14" t="s">
        <v>704</v>
      </c>
      <c r="AC379" s="15" t="s">
        <v>890</v>
      </c>
      <c r="AD379" s="2">
        <v>5101301</v>
      </c>
      <c r="AE379" s="2">
        <v>0</v>
      </c>
      <c r="AF379" s="2">
        <v>2</v>
      </c>
      <c r="AG379" s="2">
        <v>8</v>
      </c>
      <c r="AH379" s="2">
        <v>1</v>
      </c>
      <c r="AI379" s="2"/>
      <c r="AJ379">
        <v>1</v>
      </c>
      <c r="AK379" s="1">
        <f t="shared" si="115"/>
        <v>113.10642572867428</v>
      </c>
      <c r="AL379">
        <v>9</v>
      </c>
      <c r="AM379">
        <f t="shared" si="134"/>
        <v>168.96</v>
      </c>
      <c r="AN379">
        <f t="shared" si="135"/>
        <v>16.896000000000001</v>
      </c>
      <c r="AO379">
        <f t="shared" si="136"/>
        <v>2094.5454545454545</v>
      </c>
      <c r="AP379">
        <f t="shared" si="137"/>
        <v>209.45454545454547</v>
      </c>
      <c r="AQ379">
        <f t="shared" si="138"/>
        <v>28.16</v>
      </c>
      <c r="AR379">
        <f t="shared" si="114"/>
        <v>2.8160000000000003</v>
      </c>
      <c r="AS379">
        <f t="shared" si="139"/>
        <v>1.2</v>
      </c>
      <c r="AT379">
        <f t="shared" si="140"/>
        <v>2</v>
      </c>
      <c r="AU379">
        <f t="shared" si="141"/>
        <v>3</v>
      </c>
      <c r="AV379">
        <f t="shared" si="131"/>
        <v>3011</v>
      </c>
      <c r="AW379" s="1">
        <v>1</v>
      </c>
      <c r="AX379">
        <v>5</v>
      </c>
      <c r="AY379">
        <v>0.1</v>
      </c>
      <c r="CE379" t="str">
        <f t="shared" si="130"/>
        <v>DATA_Class_Base31</v>
      </c>
      <c r="CF379" s="3" t="s">
        <v>384</v>
      </c>
    </row>
    <row r="380" spans="1:84">
      <c r="A380">
        <f t="shared" si="127"/>
        <v>5091401</v>
      </c>
      <c r="B380" s="31" t="s">
        <v>387</v>
      </c>
      <c r="C380">
        <v>9</v>
      </c>
      <c r="D380">
        <v>4</v>
      </c>
      <c r="E380">
        <v>1</v>
      </c>
      <c r="F380" s="3" t="s">
        <v>1681</v>
      </c>
      <c r="G380" s="3" t="s">
        <v>1681</v>
      </c>
      <c r="H380">
        <v>0</v>
      </c>
      <c r="I380">
        <v>0</v>
      </c>
      <c r="J380" s="2">
        <v>0</v>
      </c>
      <c r="K380" s="2" t="s">
        <v>161</v>
      </c>
      <c r="L380" s="2">
        <f t="shared" si="128"/>
        <v>6</v>
      </c>
      <c r="M380" s="2">
        <f t="shared" si="126"/>
        <v>1.6</v>
      </c>
      <c r="N380" s="2">
        <f t="shared" si="126"/>
        <v>2</v>
      </c>
      <c r="O380" s="2">
        <v>10</v>
      </c>
      <c r="P380" s="2">
        <f t="shared" si="129"/>
        <v>247.81</v>
      </c>
      <c r="Q380" s="2">
        <f t="shared" si="129"/>
        <v>24.78</v>
      </c>
      <c r="R380" s="2">
        <f t="shared" si="129"/>
        <v>2304</v>
      </c>
      <c r="S380" s="2">
        <f t="shared" si="129"/>
        <v>230.4</v>
      </c>
      <c r="T380" s="2">
        <f t="shared" si="129"/>
        <v>49.56</v>
      </c>
      <c r="U380" s="2">
        <f t="shared" si="129"/>
        <v>4.96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514012</v>
      </c>
      <c r="AB380" s="14" t="s">
        <v>705</v>
      </c>
      <c r="AC380" s="15" t="s">
        <v>890</v>
      </c>
      <c r="AD380" s="2">
        <v>5101401</v>
      </c>
      <c r="AE380" s="2">
        <v>0</v>
      </c>
      <c r="AF380" s="2">
        <v>2</v>
      </c>
      <c r="AG380" s="2">
        <v>8</v>
      </c>
      <c r="AH380" s="2">
        <v>1</v>
      </c>
      <c r="AI380" s="2"/>
      <c r="AJ380">
        <v>1</v>
      </c>
      <c r="AK380" s="1">
        <f t="shared" si="115"/>
        <v>113.53106504668354</v>
      </c>
      <c r="AL380">
        <v>9</v>
      </c>
      <c r="AM380">
        <f t="shared" si="134"/>
        <v>225.28000000000006</v>
      </c>
      <c r="AN380">
        <f t="shared" si="135"/>
        <v>22.528000000000006</v>
      </c>
      <c r="AO380">
        <f t="shared" si="136"/>
        <v>2094.5454545454545</v>
      </c>
      <c r="AP380">
        <f t="shared" si="137"/>
        <v>209.45454545454547</v>
      </c>
      <c r="AQ380">
        <f t="shared" si="138"/>
        <v>45.056000000000012</v>
      </c>
      <c r="AR380">
        <f t="shared" si="114"/>
        <v>4.5056000000000012</v>
      </c>
      <c r="AS380">
        <f t="shared" si="139"/>
        <v>1.6</v>
      </c>
      <c r="AT380">
        <f t="shared" si="140"/>
        <v>2</v>
      </c>
      <c r="AU380">
        <f t="shared" si="141"/>
        <v>6</v>
      </c>
      <c r="AV380">
        <f t="shared" si="131"/>
        <v>4011</v>
      </c>
      <c r="AW380" s="1">
        <v>1</v>
      </c>
      <c r="AX380">
        <v>5</v>
      </c>
      <c r="AY380">
        <v>0.1</v>
      </c>
      <c r="CE380" t="str">
        <f t="shared" si="130"/>
        <v>DATA_Class_Base32</v>
      </c>
      <c r="CF380" s="3" t="s">
        <v>388</v>
      </c>
    </row>
    <row r="381" spans="1:84">
      <c r="A381">
        <f t="shared" si="127"/>
        <v>5091402</v>
      </c>
      <c r="B381" s="31" t="s">
        <v>390</v>
      </c>
      <c r="C381">
        <v>9</v>
      </c>
      <c r="D381">
        <v>4</v>
      </c>
      <c r="E381">
        <v>1</v>
      </c>
      <c r="F381" s="3" t="s">
        <v>1682</v>
      </c>
      <c r="G381" s="3" t="s">
        <v>1682</v>
      </c>
      <c r="H381">
        <v>0</v>
      </c>
      <c r="I381">
        <v>0</v>
      </c>
      <c r="J381">
        <v>0</v>
      </c>
      <c r="K381" s="2" t="s">
        <v>250</v>
      </c>
      <c r="L381" s="2">
        <f t="shared" si="128"/>
        <v>6</v>
      </c>
      <c r="M381" s="2">
        <f t="shared" si="126"/>
        <v>1.5</v>
      </c>
      <c r="N381" s="2">
        <f t="shared" si="126"/>
        <v>1.5</v>
      </c>
      <c r="O381" s="2">
        <v>10</v>
      </c>
      <c r="P381" s="2">
        <f t="shared" si="129"/>
        <v>253.44</v>
      </c>
      <c r="Q381" s="2">
        <f t="shared" si="129"/>
        <v>25.34</v>
      </c>
      <c r="R381" s="2">
        <f t="shared" si="129"/>
        <v>2112</v>
      </c>
      <c r="S381" s="2">
        <f t="shared" si="129"/>
        <v>211.2</v>
      </c>
      <c r="T381" s="2">
        <f t="shared" si="129"/>
        <v>42.24</v>
      </c>
      <c r="U381" s="2">
        <f t="shared" si="129"/>
        <v>4.22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514022</v>
      </c>
      <c r="AB381" s="14" t="s">
        <v>706</v>
      </c>
      <c r="AC381" s="15" t="s">
        <v>890</v>
      </c>
      <c r="AD381" s="2">
        <v>5101402</v>
      </c>
      <c r="AE381" s="2">
        <v>0</v>
      </c>
      <c r="AF381" s="2">
        <v>2</v>
      </c>
      <c r="AG381" s="2">
        <v>8</v>
      </c>
      <c r="AH381" s="2">
        <v>1</v>
      </c>
      <c r="AI381" s="2"/>
      <c r="AJ381">
        <v>1</v>
      </c>
      <c r="AK381" s="1">
        <f t="shared" si="115"/>
        <v>113.36340282708319</v>
      </c>
      <c r="AL381">
        <v>9</v>
      </c>
      <c r="AM381">
        <f t="shared" si="134"/>
        <v>230.39999999999998</v>
      </c>
      <c r="AN381">
        <f t="shared" si="135"/>
        <v>23.04</v>
      </c>
      <c r="AO381">
        <f t="shared" si="136"/>
        <v>1920</v>
      </c>
      <c r="AP381">
        <f t="shared" si="137"/>
        <v>192</v>
      </c>
      <c r="AQ381">
        <f t="shared" si="138"/>
        <v>38.4</v>
      </c>
      <c r="AR381">
        <f t="shared" si="114"/>
        <v>3.84</v>
      </c>
      <c r="AS381">
        <f t="shared" si="139"/>
        <v>1.5</v>
      </c>
      <c r="AT381">
        <f t="shared" si="140"/>
        <v>1.5</v>
      </c>
      <c r="AU381">
        <f t="shared" si="141"/>
        <v>6</v>
      </c>
      <c r="AV381">
        <f t="shared" si="131"/>
        <v>4021</v>
      </c>
      <c r="AW381" s="1">
        <v>2</v>
      </c>
      <c r="AX381">
        <v>5</v>
      </c>
      <c r="AY381">
        <v>0.1</v>
      </c>
      <c r="CE381" t="str">
        <f t="shared" si="130"/>
        <v>DATA_Class_Base33</v>
      </c>
      <c r="CF381" s="3" t="s">
        <v>391</v>
      </c>
    </row>
    <row r="382" spans="1:84">
      <c r="A382">
        <f t="shared" si="127"/>
        <v>5091500</v>
      </c>
      <c r="B382" s="31" t="s">
        <v>394</v>
      </c>
      <c r="C382">
        <v>9</v>
      </c>
      <c r="D382">
        <v>5</v>
      </c>
      <c r="E382">
        <v>1</v>
      </c>
      <c r="F382" s="3" t="s">
        <v>1683</v>
      </c>
      <c r="G382" s="3" t="s">
        <v>1683</v>
      </c>
      <c r="H382">
        <v>0</v>
      </c>
      <c r="I382">
        <v>0</v>
      </c>
      <c r="J382">
        <v>0</v>
      </c>
      <c r="K382" s="2" t="s">
        <v>303</v>
      </c>
      <c r="L382" s="2">
        <f t="shared" si="128"/>
        <v>6</v>
      </c>
      <c r="M382" s="2">
        <f t="shared" si="126"/>
        <v>1.5</v>
      </c>
      <c r="N382" s="2">
        <f t="shared" si="126"/>
        <v>1.5</v>
      </c>
      <c r="O382" s="2">
        <v>10</v>
      </c>
      <c r="P382" s="2">
        <f t="shared" si="129"/>
        <v>295.68</v>
      </c>
      <c r="Q382" s="2">
        <f t="shared" si="129"/>
        <v>29.57</v>
      </c>
      <c r="R382" s="2">
        <f t="shared" si="129"/>
        <v>1810.29</v>
      </c>
      <c r="S382" s="2">
        <f t="shared" si="129"/>
        <v>181.03</v>
      </c>
      <c r="T382" s="2">
        <f t="shared" si="129"/>
        <v>42.24</v>
      </c>
      <c r="U382" s="2">
        <f t="shared" si="129"/>
        <v>4.22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515002</v>
      </c>
      <c r="AB382" s="14" t="s">
        <v>707</v>
      </c>
      <c r="AC382" s="15" t="s">
        <v>890</v>
      </c>
      <c r="AD382" s="2">
        <v>5101500</v>
      </c>
      <c r="AE382" s="2">
        <v>0</v>
      </c>
      <c r="AF382" s="2">
        <v>2</v>
      </c>
      <c r="AG382" s="2">
        <v>8</v>
      </c>
      <c r="AH382" s="2">
        <v>1</v>
      </c>
      <c r="AI382" s="2"/>
      <c r="AJ382">
        <v>1</v>
      </c>
      <c r="AK382" s="1">
        <f t="shared" si="115"/>
        <v>113.36340282708319</v>
      </c>
      <c r="AL382">
        <v>9</v>
      </c>
      <c r="AM382">
        <f t="shared" si="134"/>
        <v>268.7999999999999</v>
      </c>
      <c r="AN382">
        <f t="shared" si="135"/>
        <v>26.879999999999992</v>
      </c>
      <c r="AO382">
        <f t="shared" si="136"/>
        <v>1645.7142857142858</v>
      </c>
      <c r="AP382">
        <f t="shared" si="137"/>
        <v>164.57142857142858</v>
      </c>
      <c r="AQ382">
        <f t="shared" si="138"/>
        <v>38.399999999999984</v>
      </c>
      <c r="AR382">
        <f t="shared" si="114"/>
        <v>3.8399999999999985</v>
      </c>
      <c r="AS382">
        <f t="shared" si="139"/>
        <v>1.5</v>
      </c>
      <c r="AT382">
        <f t="shared" si="140"/>
        <v>1.5</v>
      </c>
      <c r="AU382">
        <f t="shared" si="141"/>
        <v>6</v>
      </c>
      <c r="AV382">
        <f t="shared" si="131"/>
        <v>5001</v>
      </c>
      <c r="AW382" s="1">
        <v>0</v>
      </c>
      <c r="AX382">
        <v>5</v>
      </c>
      <c r="AY382">
        <v>0.1</v>
      </c>
      <c r="CE382" t="str">
        <f t="shared" si="130"/>
        <v>DATA_Class_Base34</v>
      </c>
      <c r="CF382" s="3" t="s">
        <v>184</v>
      </c>
    </row>
    <row r="383" spans="1:84">
      <c r="A383">
        <f t="shared" si="127"/>
        <v>5091502</v>
      </c>
      <c r="B383" s="31" t="s">
        <v>396</v>
      </c>
      <c r="C383">
        <v>9</v>
      </c>
      <c r="D383">
        <v>5</v>
      </c>
      <c r="E383">
        <v>1</v>
      </c>
      <c r="F383" s="3" t="s">
        <v>1684</v>
      </c>
      <c r="G383" s="3" t="s">
        <v>1684</v>
      </c>
      <c r="H383">
        <v>0</v>
      </c>
      <c r="I383">
        <v>0</v>
      </c>
      <c r="J383" s="2">
        <v>0</v>
      </c>
      <c r="K383" s="2" t="s">
        <v>291</v>
      </c>
      <c r="L383" s="2">
        <f t="shared" si="128"/>
        <v>6</v>
      </c>
      <c r="M383" s="2">
        <f t="shared" si="126"/>
        <v>1.4000000000000001</v>
      </c>
      <c r="N383" s="2">
        <f t="shared" si="126"/>
        <v>2</v>
      </c>
      <c r="O383" s="2">
        <v>10</v>
      </c>
      <c r="P383" s="2">
        <f t="shared" si="129"/>
        <v>256.26</v>
      </c>
      <c r="Q383" s="2">
        <f t="shared" si="129"/>
        <v>25.63</v>
      </c>
      <c r="R383" s="2">
        <f t="shared" si="129"/>
        <v>1949.54</v>
      </c>
      <c r="S383" s="2">
        <f t="shared" si="129"/>
        <v>194.95</v>
      </c>
      <c r="T383" s="2">
        <f t="shared" si="129"/>
        <v>39.42</v>
      </c>
      <c r="U383" s="2">
        <f t="shared" si="129"/>
        <v>3.94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515022</v>
      </c>
      <c r="AB383" s="14" t="s">
        <v>708</v>
      </c>
      <c r="AC383" s="15" t="s">
        <v>890</v>
      </c>
      <c r="AD383" s="2">
        <v>5101502</v>
      </c>
      <c r="AE383" s="2">
        <v>0</v>
      </c>
      <c r="AF383" s="2">
        <v>2</v>
      </c>
      <c r="AG383" s="2">
        <v>8</v>
      </c>
      <c r="AH383" s="2">
        <v>1</v>
      </c>
      <c r="AI383" s="2"/>
      <c r="AJ383">
        <v>1</v>
      </c>
      <c r="AK383" s="1">
        <f t="shared" si="115"/>
        <v>113.29904914268019</v>
      </c>
      <c r="AL383">
        <v>9</v>
      </c>
      <c r="AM383">
        <f t="shared" si="134"/>
        <v>232.95999999999995</v>
      </c>
      <c r="AN383">
        <f t="shared" si="135"/>
        <v>23.295999999999996</v>
      </c>
      <c r="AO383">
        <f t="shared" si="136"/>
        <v>1772.3076923076919</v>
      </c>
      <c r="AP383">
        <f t="shared" si="137"/>
        <v>177.2307692307692</v>
      </c>
      <c r="AQ383">
        <f t="shared" si="138"/>
        <v>35.839999999999989</v>
      </c>
      <c r="AR383">
        <f t="shared" si="114"/>
        <v>3.5839999999999992</v>
      </c>
      <c r="AS383">
        <f t="shared" si="139"/>
        <v>1.4</v>
      </c>
      <c r="AT383">
        <f t="shared" si="140"/>
        <v>2</v>
      </c>
      <c r="AU383">
        <f t="shared" si="141"/>
        <v>6</v>
      </c>
      <c r="AV383">
        <f t="shared" si="131"/>
        <v>5021</v>
      </c>
      <c r="AW383" s="1">
        <v>2</v>
      </c>
      <c r="AX383">
        <v>5</v>
      </c>
      <c r="AY383">
        <v>0.1</v>
      </c>
      <c r="CE383" t="str">
        <f t="shared" si="130"/>
        <v>DATA_Class_Base35</v>
      </c>
      <c r="CF383" s="3" t="s">
        <v>195</v>
      </c>
    </row>
    <row r="384" spans="1:84">
      <c r="A384">
        <f t="shared" si="127"/>
        <v>5091601</v>
      </c>
      <c r="B384" s="31" t="s">
        <v>398</v>
      </c>
      <c r="C384">
        <v>9</v>
      </c>
      <c r="D384">
        <v>6</v>
      </c>
      <c r="E384">
        <v>1</v>
      </c>
      <c r="F384" s="3" t="s">
        <v>1685</v>
      </c>
      <c r="G384" s="3" t="s">
        <v>1685</v>
      </c>
      <c r="H384">
        <v>0</v>
      </c>
      <c r="I384">
        <v>0</v>
      </c>
      <c r="J384">
        <v>0</v>
      </c>
      <c r="K384" s="2" t="s">
        <v>309</v>
      </c>
      <c r="L384" s="2">
        <f t="shared" si="128"/>
        <v>6</v>
      </c>
      <c r="M384" s="2">
        <f t="shared" si="126"/>
        <v>1.5</v>
      </c>
      <c r="N384" s="2">
        <f t="shared" si="126"/>
        <v>2</v>
      </c>
      <c r="O384" s="2">
        <v>10</v>
      </c>
      <c r="P384" s="2">
        <f t="shared" si="129"/>
        <v>211.2</v>
      </c>
      <c r="Q384" s="2">
        <f t="shared" si="129"/>
        <v>21.12</v>
      </c>
      <c r="R384" s="2">
        <f t="shared" si="129"/>
        <v>2534.4</v>
      </c>
      <c r="S384" s="2">
        <f t="shared" si="129"/>
        <v>253.44</v>
      </c>
      <c r="T384" s="2">
        <f t="shared" si="129"/>
        <v>52.8</v>
      </c>
      <c r="U384" s="2">
        <f t="shared" si="129"/>
        <v>5.28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516012</v>
      </c>
      <c r="AB384" s="14" t="s">
        <v>709</v>
      </c>
      <c r="AC384" s="15" t="s">
        <v>890</v>
      </c>
      <c r="AD384" s="2">
        <v>5101601</v>
      </c>
      <c r="AE384" s="2">
        <v>0</v>
      </c>
      <c r="AF384" s="2">
        <v>2</v>
      </c>
      <c r="AG384" s="2">
        <v>8</v>
      </c>
      <c r="AH384" s="2">
        <v>1</v>
      </c>
      <c r="AI384" s="2"/>
      <c r="AJ384">
        <v>1</v>
      </c>
      <c r="AK384" s="1">
        <f t="shared" si="115"/>
        <v>113.60538163001294</v>
      </c>
      <c r="AL384">
        <v>9</v>
      </c>
      <c r="AM384">
        <f t="shared" si="134"/>
        <v>192</v>
      </c>
      <c r="AN384">
        <f t="shared" si="135"/>
        <v>19.200000000000003</v>
      </c>
      <c r="AO384">
        <f t="shared" si="136"/>
        <v>2304</v>
      </c>
      <c r="AP384">
        <f t="shared" si="137"/>
        <v>230.4</v>
      </c>
      <c r="AQ384">
        <f t="shared" si="138"/>
        <v>48</v>
      </c>
      <c r="AR384">
        <f t="shared" si="114"/>
        <v>4.8000000000000007</v>
      </c>
      <c r="AS384">
        <f t="shared" si="139"/>
        <v>1.5</v>
      </c>
      <c r="AT384">
        <f t="shared" si="140"/>
        <v>2</v>
      </c>
      <c r="AU384">
        <f t="shared" si="141"/>
        <v>6</v>
      </c>
      <c r="AV384">
        <f t="shared" si="131"/>
        <v>6011</v>
      </c>
      <c r="AW384" s="1">
        <v>1</v>
      </c>
      <c r="AX384">
        <v>5</v>
      </c>
      <c r="AY384">
        <v>0.1</v>
      </c>
      <c r="CE384" t="str">
        <f t="shared" si="130"/>
        <v>DATA_Class_Base36</v>
      </c>
      <c r="CF384" s="3" t="s">
        <v>201</v>
      </c>
    </row>
    <row r="385" spans="1:84" ht="14.25" customHeight="1">
      <c r="A385">
        <f t="shared" si="127"/>
        <v>5092200</v>
      </c>
      <c r="B385" s="31" t="s">
        <v>373</v>
      </c>
      <c r="C385">
        <v>9</v>
      </c>
      <c r="D385">
        <v>2</v>
      </c>
      <c r="E385">
        <v>2</v>
      </c>
      <c r="F385" s="3" t="s">
        <v>1686</v>
      </c>
      <c r="G385" s="3" t="s">
        <v>1686</v>
      </c>
      <c r="H385">
        <v>0</v>
      </c>
      <c r="I385">
        <v>0</v>
      </c>
      <c r="J385">
        <v>0</v>
      </c>
      <c r="K385" s="2" t="s">
        <v>314</v>
      </c>
      <c r="L385" s="2">
        <f t="shared" si="128"/>
        <v>3</v>
      </c>
      <c r="M385" s="2">
        <f t="shared" si="126"/>
        <v>1.5</v>
      </c>
      <c r="N385" s="2">
        <f t="shared" si="126"/>
        <v>1.2</v>
      </c>
      <c r="O385" s="2">
        <v>10</v>
      </c>
      <c r="P385" s="2">
        <f t="shared" si="129"/>
        <v>211.2</v>
      </c>
      <c r="Q385" s="2">
        <f t="shared" si="129"/>
        <v>21.12</v>
      </c>
      <c r="R385" s="2">
        <f t="shared" si="129"/>
        <v>2534.4</v>
      </c>
      <c r="S385" s="2">
        <f t="shared" si="129"/>
        <v>253.44</v>
      </c>
      <c r="T385" s="2">
        <f t="shared" si="129"/>
        <v>52.8</v>
      </c>
      <c r="U385" s="2">
        <f t="shared" si="129"/>
        <v>5.28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522002</v>
      </c>
      <c r="AB385" s="14" t="s">
        <v>710</v>
      </c>
      <c r="AC385" s="15" t="s">
        <v>890</v>
      </c>
      <c r="AD385" s="2">
        <v>5102200</v>
      </c>
      <c r="AE385" s="2">
        <v>0</v>
      </c>
      <c r="AF385" s="2">
        <v>2</v>
      </c>
      <c r="AG385" s="2">
        <v>8</v>
      </c>
      <c r="AH385" s="2">
        <v>1</v>
      </c>
      <c r="AI385" s="2"/>
      <c r="AJ385">
        <v>1</v>
      </c>
      <c r="AK385" s="1">
        <f t="shared" si="115"/>
        <v>113.60538163001294</v>
      </c>
      <c r="AL385">
        <v>9</v>
      </c>
      <c r="AM385">
        <f t="shared" si="134"/>
        <v>192</v>
      </c>
      <c r="AN385">
        <f t="shared" si="135"/>
        <v>19.200000000000003</v>
      </c>
      <c r="AO385">
        <f t="shared" si="136"/>
        <v>2304</v>
      </c>
      <c r="AP385">
        <f t="shared" si="137"/>
        <v>230.4</v>
      </c>
      <c r="AQ385">
        <f t="shared" si="138"/>
        <v>48</v>
      </c>
      <c r="AR385">
        <f t="shared" si="114"/>
        <v>4.8000000000000007</v>
      </c>
      <c r="AS385">
        <f t="shared" si="139"/>
        <v>1.5</v>
      </c>
      <c r="AT385">
        <f t="shared" si="140"/>
        <v>1.2</v>
      </c>
      <c r="AU385">
        <f t="shared" si="141"/>
        <v>3</v>
      </c>
      <c r="AV385">
        <f t="shared" si="131"/>
        <v>2002</v>
      </c>
      <c r="AW385" s="1">
        <v>0</v>
      </c>
      <c r="AX385">
        <v>5</v>
      </c>
      <c r="AY385">
        <v>0.1</v>
      </c>
      <c r="CE385" t="str">
        <f t="shared" si="130"/>
        <v>DATA_Class_Base28</v>
      </c>
      <c r="CF385" s="3" t="s">
        <v>374</v>
      </c>
    </row>
    <row r="386" spans="1:84">
      <c r="A386">
        <f t="shared" si="127"/>
        <v>5092201</v>
      </c>
      <c r="B386" s="31" t="s">
        <v>377</v>
      </c>
      <c r="C386">
        <v>9</v>
      </c>
      <c r="D386">
        <v>2</v>
      </c>
      <c r="E386">
        <v>2</v>
      </c>
      <c r="F386" s="3" t="s">
        <v>1687</v>
      </c>
      <c r="G386" s="3" t="s">
        <v>1687</v>
      </c>
      <c r="H386">
        <v>0</v>
      </c>
      <c r="I386">
        <v>0</v>
      </c>
      <c r="J386">
        <v>0</v>
      </c>
      <c r="K386" s="8" t="s">
        <v>298</v>
      </c>
      <c r="L386" s="2">
        <f t="shared" si="128"/>
        <v>3</v>
      </c>
      <c r="M386" s="2">
        <f t="shared" si="126"/>
        <v>1.8</v>
      </c>
      <c r="N386" s="2">
        <f t="shared" si="126"/>
        <v>1.8</v>
      </c>
      <c r="O386" s="2">
        <v>10</v>
      </c>
      <c r="P386" s="2">
        <f t="shared" si="129"/>
        <v>177.41</v>
      </c>
      <c r="Q386" s="2">
        <f t="shared" si="129"/>
        <v>17.739999999999998</v>
      </c>
      <c r="R386" s="2">
        <f t="shared" si="129"/>
        <v>3620.57</v>
      </c>
      <c r="S386" s="2">
        <f t="shared" si="129"/>
        <v>362.06</v>
      </c>
      <c r="T386" s="2">
        <f t="shared" si="129"/>
        <v>59.14</v>
      </c>
      <c r="U386" s="2">
        <f t="shared" si="129"/>
        <v>5.91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522012</v>
      </c>
      <c r="AB386" s="14" t="s">
        <v>711</v>
      </c>
      <c r="AC386" s="15" t="s">
        <v>890</v>
      </c>
      <c r="AD386" s="2">
        <v>5102201</v>
      </c>
      <c r="AE386" s="2">
        <v>0</v>
      </c>
      <c r="AF386" s="2">
        <v>2</v>
      </c>
      <c r="AG386" s="2">
        <v>8</v>
      </c>
      <c r="AH386" s="2">
        <v>1</v>
      </c>
      <c r="AI386" s="2"/>
      <c r="AJ386">
        <v>1</v>
      </c>
      <c r="AK386" s="1">
        <f t="shared" si="115"/>
        <v>113.75106540070726</v>
      </c>
      <c r="AL386">
        <v>9</v>
      </c>
      <c r="AM386">
        <f t="shared" si="134"/>
        <v>161.28</v>
      </c>
      <c r="AN386">
        <f t="shared" si="135"/>
        <v>16.128</v>
      </c>
      <c r="AO386">
        <f t="shared" si="136"/>
        <v>3291.4285714285716</v>
      </c>
      <c r="AP386">
        <f t="shared" si="137"/>
        <v>329.14285714285717</v>
      </c>
      <c r="AQ386">
        <f t="shared" si="138"/>
        <v>53.76</v>
      </c>
      <c r="AR386">
        <f t="shared" si="114"/>
        <v>5.3760000000000003</v>
      </c>
      <c r="AS386">
        <f t="shared" si="139"/>
        <v>1.8</v>
      </c>
      <c r="AT386">
        <f t="shared" si="140"/>
        <v>1.8</v>
      </c>
      <c r="AU386">
        <f t="shared" si="141"/>
        <v>3</v>
      </c>
      <c r="AV386">
        <f t="shared" si="131"/>
        <v>2012</v>
      </c>
      <c r="AW386" s="1">
        <v>1</v>
      </c>
      <c r="AX386">
        <v>5</v>
      </c>
      <c r="AY386">
        <v>0.1</v>
      </c>
      <c r="CE386" t="str">
        <f t="shared" si="130"/>
        <v>DATA_Class_Base29</v>
      </c>
      <c r="CF386" s="3" t="s">
        <v>378</v>
      </c>
    </row>
    <row r="387" spans="1:84">
      <c r="A387">
        <f t="shared" si="127"/>
        <v>5092202</v>
      </c>
      <c r="B387" s="31" t="s">
        <v>380</v>
      </c>
      <c r="C387">
        <v>9</v>
      </c>
      <c r="D387">
        <v>2</v>
      </c>
      <c r="E387">
        <v>2</v>
      </c>
      <c r="F387" s="3" t="s">
        <v>1688</v>
      </c>
      <c r="G387" s="3" t="s">
        <v>1688</v>
      </c>
      <c r="H387">
        <v>0</v>
      </c>
      <c r="I387">
        <v>0</v>
      </c>
      <c r="J387" s="2">
        <v>0</v>
      </c>
      <c r="K387" s="2" t="s">
        <v>280</v>
      </c>
      <c r="L387" s="2">
        <f t="shared" si="128"/>
        <v>3</v>
      </c>
      <c r="M387" s="2">
        <f t="shared" si="126"/>
        <v>1.8</v>
      </c>
      <c r="N387" s="2">
        <f t="shared" si="126"/>
        <v>2</v>
      </c>
      <c r="O387" s="2">
        <v>10</v>
      </c>
      <c r="P387" s="2">
        <f t="shared" si="129"/>
        <v>291.45999999999998</v>
      </c>
      <c r="Q387" s="2">
        <f t="shared" si="129"/>
        <v>29.15</v>
      </c>
      <c r="R387" s="2">
        <f t="shared" si="129"/>
        <v>2203.83</v>
      </c>
      <c r="S387" s="2">
        <f t="shared" si="129"/>
        <v>220.38</v>
      </c>
      <c r="T387" s="2">
        <f t="shared" si="129"/>
        <v>58.29</v>
      </c>
      <c r="U387" s="2">
        <f t="shared" si="129"/>
        <v>5.83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522022</v>
      </c>
      <c r="AB387" s="14" t="s">
        <v>712</v>
      </c>
      <c r="AC387" s="15" t="s">
        <v>890</v>
      </c>
      <c r="AD387" s="2">
        <v>5102202</v>
      </c>
      <c r="AE387" s="2">
        <v>0</v>
      </c>
      <c r="AF387" s="2">
        <v>2</v>
      </c>
      <c r="AG387" s="2">
        <v>8</v>
      </c>
      <c r="AH387" s="2">
        <v>1</v>
      </c>
      <c r="AI387" s="2"/>
      <c r="AJ387">
        <v>1</v>
      </c>
      <c r="AK387" s="1">
        <f t="shared" si="115"/>
        <v>113.73161931354595</v>
      </c>
      <c r="AL387">
        <v>9</v>
      </c>
      <c r="AM387">
        <f t="shared" si="134"/>
        <v>264.95999999999998</v>
      </c>
      <c r="AN387">
        <f t="shared" si="135"/>
        <v>26.495999999999999</v>
      </c>
      <c r="AO387">
        <f t="shared" si="136"/>
        <v>2003.4782608695652</v>
      </c>
      <c r="AP387">
        <f t="shared" si="137"/>
        <v>200.34782608695653</v>
      </c>
      <c r="AQ387">
        <f t="shared" si="138"/>
        <v>52.991999999999997</v>
      </c>
      <c r="AR387">
        <f t="shared" si="114"/>
        <v>5.2991999999999999</v>
      </c>
      <c r="AS387">
        <f t="shared" si="139"/>
        <v>1.8</v>
      </c>
      <c r="AT387">
        <f t="shared" si="140"/>
        <v>2</v>
      </c>
      <c r="AU387">
        <f t="shared" si="141"/>
        <v>3</v>
      </c>
      <c r="AV387">
        <f t="shared" si="131"/>
        <v>2022</v>
      </c>
      <c r="AW387" s="1">
        <v>2</v>
      </c>
      <c r="AX387">
        <v>5</v>
      </c>
      <c r="AY387">
        <v>0.1</v>
      </c>
      <c r="CE387" t="str">
        <f t="shared" si="130"/>
        <v>DATA_Class_Base30</v>
      </c>
      <c r="CF387" s="3" t="s">
        <v>381</v>
      </c>
    </row>
    <row r="388" spans="1:84">
      <c r="A388">
        <f t="shared" si="127"/>
        <v>5092301</v>
      </c>
      <c r="B388" s="31" t="s">
        <v>383</v>
      </c>
      <c r="C388">
        <v>9</v>
      </c>
      <c r="D388">
        <v>3</v>
      </c>
      <c r="E388">
        <v>2</v>
      </c>
      <c r="F388" s="3" t="s">
        <v>1689</v>
      </c>
      <c r="G388" s="3" t="s">
        <v>1689</v>
      </c>
      <c r="H388">
        <v>0</v>
      </c>
      <c r="I388">
        <v>0</v>
      </c>
      <c r="J388">
        <v>0</v>
      </c>
      <c r="K388" s="2" t="s">
        <v>285</v>
      </c>
      <c r="L388" s="2">
        <f t="shared" si="128"/>
        <v>3</v>
      </c>
      <c r="M388" s="2">
        <f t="shared" si="126"/>
        <v>1.2</v>
      </c>
      <c r="N388" s="2">
        <f t="shared" si="126"/>
        <v>1.7</v>
      </c>
      <c r="O388" s="2">
        <v>10</v>
      </c>
      <c r="P388" s="2">
        <f t="shared" si="129"/>
        <v>219.65</v>
      </c>
      <c r="Q388" s="2">
        <f t="shared" si="129"/>
        <v>21.96</v>
      </c>
      <c r="R388" s="2">
        <f t="shared" si="129"/>
        <v>1949.54</v>
      </c>
      <c r="S388" s="2">
        <f t="shared" si="129"/>
        <v>194.95</v>
      </c>
      <c r="T388" s="2">
        <f t="shared" si="129"/>
        <v>36.61</v>
      </c>
      <c r="U388" s="2">
        <f t="shared" si="129"/>
        <v>3.66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523012</v>
      </c>
      <c r="AB388" s="14" t="s">
        <v>713</v>
      </c>
      <c r="AC388" s="15" t="s">
        <v>890</v>
      </c>
      <c r="AD388" s="2">
        <v>5102301</v>
      </c>
      <c r="AE388" s="2">
        <v>0</v>
      </c>
      <c r="AF388" s="2">
        <v>2</v>
      </c>
      <c r="AG388" s="2">
        <v>8</v>
      </c>
      <c r="AH388" s="2">
        <v>1</v>
      </c>
      <c r="AI388" s="2"/>
      <c r="AJ388">
        <v>1</v>
      </c>
      <c r="AK388" s="1">
        <f t="shared" si="115"/>
        <v>113.23476848090984</v>
      </c>
      <c r="AL388">
        <v>9</v>
      </c>
      <c r="AM388">
        <f t="shared" si="134"/>
        <v>199.68</v>
      </c>
      <c r="AN388">
        <f t="shared" si="135"/>
        <v>19.968000000000004</v>
      </c>
      <c r="AO388">
        <f t="shared" si="136"/>
        <v>1772.3076923076919</v>
      </c>
      <c r="AP388">
        <f t="shared" si="137"/>
        <v>177.2307692307692</v>
      </c>
      <c r="AQ388">
        <f t="shared" si="138"/>
        <v>33.28</v>
      </c>
      <c r="AR388">
        <f t="shared" si="114"/>
        <v>3.3280000000000003</v>
      </c>
      <c r="AS388">
        <f t="shared" si="139"/>
        <v>1.2</v>
      </c>
      <c r="AT388">
        <f t="shared" si="140"/>
        <v>1.7</v>
      </c>
      <c r="AU388">
        <f t="shared" si="141"/>
        <v>3</v>
      </c>
      <c r="AV388">
        <f t="shared" si="131"/>
        <v>3012</v>
      </c>
      <c r="AW388" s="1">
        <v>1</v>
      </c>
      <c r="AX388">
        <v>5</v>
      </c>
      <c r="AY388">
        <v>0.1</v>
      </c>
      <c r="CE388" t="str">
        <f t="shared" si="130"/>
        <v>DATA_Class_Base31</v>
      </c>
      <c r="CF388" s="3" t="s">
        <v>384</v>
      </c>
    </row>
    <row r="389" spans="1:84">
      <c r="A389">
        <f t="shared" si="127"/>
        <v>5092401</v>
      </c>
      <c r="B389" s="31" t="s">
        <v>387</v>
      </c>
      <c r="C389">
        <v>9</v>
      </c>
      <c r="D389">
        <v>4</v>
      </c>
      <c r="E389">
        <v>2</v>
      </c>
      <c r="F389" s="3" t="s">
        <v>1690</v>
      </c>
      <c r="G389" s="3" t="s">
        <v>1690</v>
      </c>
      <c r="H389">
        <v>0</v>
      </c>
      <c r="I389">
        <v>0</v>
      </c>
      <c r="J389" s="2">
        <v>0</v>
      </c>
      <c r="K389" s="2" t="s">
        <v>161</v>
      </c>
      <c r="L389" s="2">
        <f t="shared" si="128"/>
        <v>6</v>
      </c>
      <c r="M389" s="2">
        <f t="shared" si="126"/>
        <v>1.6</v>
      </c>
      <c r="N389" s="2">
        <f t="shared" si="126"/>
        <v>1.5</v>
      </c>
      <c r="O389" s="2">
        <v>10</v>
      </c>
      <c r="P389" s="2">
        <f t="shared" si="129"/>
        <v>292.86</v>
      </c>
      <c r="Q389" s="2">
        <f t="shared" si="129"/>
        <v>29.29</v>
      </c>
      <c r="R389" s="2">
        <f t="shared" si="129"/>
        <v>1949.54</v>
      </c>
      <c r="S389" s="2">
        <f t="shared" si="129"/>
        <v>194.95</v>
      </c>
      <c r="T389" s="2">
        <f t="shared" si="129"/>
        <v>32.54</v>
      </c>
      <c r="U389" s="2">
        <f t="shared" si="129"/>
        <v>3.25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524012</v>
      </c>
      <c r="AB389" s="14" t="s">
        <v>714</v>
      </c>
      <c r="AC389" s="15" t="s">
        <v>890</v>
      </c>
      <c r="AD389" s="2">
        <v>5102401</v>
      </c>
      <c r="AE389" s="2">
        <v>0</v>
      </c>
      <c r="AF389" s="2">
        <v>2</v>
      </c>
      <c r="AG389" s="2">
        <v>8</v>
      </c>
      <c r="AH389" s="2">
        <v>1</v>
      </c>
      <c r="AI389" s="2"/>
      <c r="AJ389">
        <v>1</v>
      </c>
      <c r="AK389" s="1">
        <f t="shared" si="115"/>
        <v>113.14204730090515</v>
      </c>
      <c r="AL389">
        <v>9</v>
      </c>
      <c r="AM389">
        <f t="shared" si="134"/>
        <v>266.24</v>
      </c>
      <c r="AN389">
        <f t="shared" si="135"/>
        <v>26.624000000000002</v>
      </c>
      <c r="AO389">
        <f t="shared" si="136"/>
        <v>1772.3076923076919</v>
      </c>
      <c r="AP389">
        <f t="shared" si="137"/>
        <v>177.2307692307692</v>
      </c>
      <c r="AQ389">
        <f t="shared" si="138"/>
        <v>29.582222222222224</v>
      </c>
      <c r="AR389">
        <f t="shared" si="114"/>
        <v>2.9582222222222225</v>
      </c>
      <c r="AS389">
        <f t="shared" si="139"/>
        <v>1.6</v>
      </c>
      <c r="AT389">
        <f t="shared" si="140"/>
        <v>1.5</v>
      </c>
      <c r="AU389">
        <f t="shared" si="141"/>
        <v>6</v>
      </c>
      <c r="AV389">
        <f t="shared" si="131"/>
        <v>4012</v>
      </c>
      <c r="AW389" s="1">
        <v>1</v>
      </c>
      <c r="AX389">
        <v>5</v>
      </c>
      <c r="AY389">
        <v>0.1</v>
      </c>
      <c r="CE389" t="str">
        <f t="shared" si="130"/>
        <v>DATA_Class_Base32</v>
      </c>
      <c r="CF389" s="3" t="s">
        <v>388</v>
      </c>
    </row>
    <row r="390" spans="1:84">
      <c r="A390">
        <f t="shared" si="127"/>
        <v>5092402</v>
      </c>
      <c r="B390" s="31" t="s">
        <v>390</v>
      </c>
      <c r="C390">
        <v>9</v>
      </c>
      <c r="D390">
        <v>4</v>
      </c>
      <c r="E390">
        <v>2</v>
      </c>
      <c r="F390" s="3" t="s">
        <v>1691</v>
      </c>
      <c r="G390" s="3" t="s">
        <v>1691</v>
      </c>
      <c r="H390">
        <v>0</v>
      </c>
      <c r="I390">
        <v>0</v>
      </c>
      <c r="J390">
        <v>0</v>
      </c>
      <c r="K390" s="2" t="s">
        <v>250</v>
      </c>
      <c r="L390" s="2">
        <f t="shared" si="128"/>
        <v>6</v>
      </c>
      <c r="M390" s="2">
        <f t="shared" si="126"/>
        <v>1.5</v>
      </c>
      <c r="N390" s="2">
        <f t="shared" si="126"/>
        <v>1.5</v>
      </c>
      <c r="O390" s="2">
        <v>10</v>
      </c>
      <c r="P390" s="2">
        <f t="shared" si="129"/>
        <v>295.68</v>
      </c>
      <c r="Q390" s="2">
        <f t="shared" si="129"/>
        <v>29.57</v>
      </c>
      <c r="R390" s="2">
        <f t="shared" si="129"/>
        <v>1810.29</v>
      </c>
      <c r="S390" s="2">
        <f t="shared" si="129"/>
        <v>181.03</v>
      </c>
      <c r="T390" s="2">
        <f t="shared" si="129"/>
        <v>36.96</v>
      </c>
      <c r="U390" s="2">
        <f t="shared" si="129"/>
        <v>3.7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524022</v>
      </c>
      <c r="AB390" s="14" t="s">
        <v>715</v>
      </c>
      <c r="AC390" s="15" t="s">
        <v>890</v>
      </c>
      <c r="AD390" s="2">
        <v>5102402</v>
      </c>
      <c r="AE390" s="2">
        <v>0</v>
      </c>
      <c r="AF390" s="2">
        <v>2</v>
      </c>
      <c r="AG390" s="2">
        <v>8</v>
      </c>
      <c r="AH390" s="2">
        <v>1</v>
      </c>
      <c r="AI390" s="2"/>
      <c r="AJ390">
        <v>1</v>
      </c>
      <c r="AK390" s="1">
        <f t="shared" si="115"/>
        <v>113.24279957445435</v>
      </c>
      <c r="AL390">
        <v>9</v>
      </c>
      <c r="AM390">
        <f t="shared" si="134"/>
        <v>268.7999999999999</v>
      </c>
      <c r="AN390">
        <f t="shared" si="135"/>
        <v>26.879999999999992</v>
      </c>
      <c r="AO390">
        <f t="shared" si="136"/>
        <v>1645.7142857142858</v>
      </c>
      <c r="AP390">
        <f t="shared" si="137"/>
        <v>164.57142857142858</v>
      </c>
      <c r="AQ390">
        <f t="shared" si="138"/>
        <v>33.599999999999987</v>
      </c>
      <c r="AR390">
        <f t="shared" si="114"/>
        <v>3.359999999999999</v>
      </c>
      <c r="AS390">
        <f t="shared" si="139"/>
        <v>1.5</v>
      </c>
      <c r="AT390">
        <f t="shared" si="140"/>
        <v>1.5</v>
      </c>
      <c r="AU390">
        <f t="shared" si="141"/>
        <v>6</v>
      </c>
      <c r="AV390">
        <f t="shared" si="131"/>
        <v>4022</v>
      </c>
      <c r="AW390" s="1">
        <v>2</v>
      </c>
      <c r="AX390">
        <v>5</v>
      </c>
      <c r="AY390">
        <v>0.1</v>
      </c>
      <c r="CE390" t="str">
        <f t="shared" si="130"/>
        <v>DATA_Class_Base33</v>
      </c>
      <c r="CF390" s="3" t="s">
        <v>391</v>
      </c>
    </row>
    <row r="391" spans="1:84">
      <c r="A391">
        <f t="shared" si="127"/>
        <v>5092500</v>
      </c>
      <c r="B391" s="31" t="s">
        <v>394</v>
      </c>
      <c r="C391">
        <v>9</v>
      </c>
      <c r="D391">
        <v>5</v>
      </c>
      <c r="E391">
        <v>2</v>
      </c>
      <c r="F391" s="3" t="s">
        <v>1692</v>
      </c>
      <c r="G391" s="3" t="s">
        <v>1692</v>
      </c>
      <c r="H391">
        <v>0</v>
      </c>
      <c r="I391">
        <v>0</v>
      </c>
      <c r="J391" s="2">
        <v>0</v>
      </c>
      <c r="K391" s="2" t="s">
        <v>303</v>
      </c>
      <c r="L391" s="2">
        <f t="shared" si="128"/>
        <v>6</v>
      </c>
      <c r="M391" s="2">
        <f t="shared" si="126"/>
        <v>1.5</v>
      </c>
      <c r="N391" s="2">
        <f t="shared" si="126"/>
        <v>2</v>
      </c>
      <c r="O391" s="2">
        <v>10</v>
      </c>
      <c r="P391" s="2">
        <f t="shared" si="129"/>
        <v>316.8</v>
      </c>
      <c r="Q391" s="2">
        <f t="shared" si="129"/>
        <v>31.68</v>
      </c>
      <c r="R391" s="2">
        <f t="shared" si="129"/>
        <v>1689.6</v>
      </c>
      <c r="S391" s="2">
        <f t="shared" si="129"/>
        <v>168.96</v>
      </c>
      <c r="T391" s="2">
        <f t="shared" si="129"/>
        <v>35.200000000000003</v>
      </c>
      <c r="U391" s="2">
        <f t="shared" si="129"/>
        <v>3.52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525002</v>
      </c>
      <c r="AB391" s="14" t="s">
        <v>716</v>
      </c>
      <c r="AC391" s="15" t="s">
        <v>890</v>
      </c>
      <c r="AD391" s="2">
        <v>5102500</v>
      </c>
      <c r="AE391" s="2">
        <v>0</v>
      </c>
      <c r="AF391" s="2">
        <v>2</v>
      </c>
      <c r="AG391" s="2">
        <v>8</v>
      </c>
      <c r="AH391" s="2">
        <v>1</v>
      </c>
      <c r="AI391" s="2"/>
      <c r="AJ391">
        <v>1</v>
      </c>
      <c r="AK391" s="1">
        <f t="shared" si="115"/>
        <v>113.20265549468257</v>
      </c>
      <c r="AL391">
        <v>9</v>
      </c>
      <c r="AM391">
        <f t="shared" si="134"/>
        <v>288</v>
      </c>
      <c r="AN391">
        <f t="shared" si="135"/>
        <v>28.8</v>
      </c>
      <c r="AO391">
        <f t="shared" si="136"/>
        <v>1536</v>
      </c>
      <c r="AP391">
        <f t="shared" si="137"/>
        <v>153.60000000000002</v>
      </c>
      <c r="AQ391">
        <f t="shared" si="138"/>
        <v>32</v>
      </c>
      <c r="AR391">
        <f t="shared" si="114"/>
        <v>3.2</v>
      </c>
      <c r="AS391">
        <f t="shared" si="139"/>
        <v>1.5</v>
      </c>
      <c r="AT391">
        <f t="shared" si="140"/>
        <v>2</v>
      </c>
      <c r="AU391">
        <f t="shared" si="141"/>
        <v>6</v>
      </c>
      <c r="AV391">
        <f t="shared" si="131"/>
        <v>5002</v>
      </c>
      <c r="AW391" s="1">
        <v>0</v>
      </c>
      <c r="AX391">
        <v>5</v>
      </c>
      <c r="AY391">
        <v>0.1</v>
      </c>
      <c r="CE391" t="str">
        <f t="shared" si="130"/>
        <v>DATA_Class_Base34</v>
      </c>
      <c r="CF391" s="3" t="s">
        <v>184</v>
      </c>
    </row>
    <row r="392" spans="1:84">
      <c r="A392">
        <f t="shared" si="127"/>
        <v>5092502</v>
      </c>
      <c r="B392" s="31" t="s">
        <v>396</v>
      </c>
      <c r="C392">
        <v>9</v>
      </c>
      <c r="D392">
        <v>5</v>
      </c>
      <c r="E392">
        <v>2</v>
      </c>
      <c r="F392" s="3" t="s">
        <v>1693</v>
      </c>
      <c r="G392" s="3" t="s">
        <v>1693</v>
      </c>
      <c r="H392">
        <v>0</v>
      </c>
      <c r="I392">
        <v>0</v>
      </c>
      <c r="J392" s="2">
        <v>0</v>
      </c>
      <c r="K392" s="2" t="s">
        <v>291</v>
      </c>
      <c r="L392" s="2">
        <f t="shared" si="128"/>
        <v>6</v>
      </c>
      <c r="M392" s="2">
        <f t="shared" si="126"/>
        <v>1.4000000000000001</v>
      </c>
      <c r="N392" s="2">
        <f t="shared" si="126"/>
        <v>2</v>
      </c>
      <c r="O392" s="2">
        <v>10</v>
      </c>
      <c r="P392" s="2">
        <f t="shared" si="129"/>
        <v>305.54000000000002</v>
      </c>
      <c r="Q392" s="2">
        <f t="shared" si="129"/>
        <v>30.55</v>
      </c>
      <c r="R392" s="2">
        <f t="shared" si="129"/>
        <v>1635.1</v>
      </c>
      <c r="S392" s="2">
        <f t="shared" ref="S392:U455" si="142">ROUND(AP392*(1+$AY392),2)</f>
        <v>163.51</v>
      </c>
      <c r="T392" s="2">
        <f t="shared" si="142"/>
        <v>30.55</v>
      </c>
      <c r="U392" s="2">
        <f t="shared" si="142"/>
        <v>3.06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525022</v>
      </c>
      <c r="AB392" s="14" t="s">
        <v>717</v>
      </c>
      <c r="AC392" s="15" t="s">
        <v>890</v>
      </c>
      <c r="AD392" s="2">
        <v>5102502</v>
      </c>
      <c r="AE392" s="2">
        <v>0</v>
      </c>
      <c r="AF392" s="2">
        <v>2</v>
      </c>
      <c r="AG392" s="2">
        <v>8</v>
      </c>
      <c r="AH392" s="2">
        <v>1</v>
      </c>
      <c r="AI392" s="2"/>
      <c r="AJ392">
        <v>1</v>
      </c>
      <c r="AK392" s="1">
        <f t="shared" ref="AK392:AK455" si="143">(AO392+AP392*AJ392)*(AM392+AN392*AJ392)/AS392*(0.9)*(1+0.5*0.1)*1/1/(1-(AQ392+AR392*AJ392)*0.0002)/3000</f>
        <v>113.09681174949388</v>
      </c>
      <c r="AL392">
        <v>9</v>
      </c>
      <c r="AM392">
        <f t="shared" si="134"/>
        <v>277.75999999999993</v>
      </c>
      <c r="AN392">
        <f t="shared" si="135"/>
        <v>27.775999999999996</v>
      </c>
      <c r="AO392">
        <f t="shared" si="136"/>
        <v>1486.4516129032259</v>
      </c>
      <c r="AP392">
        <f t="shared" si="137"/>
        <v>148.64516129032259</v>
      </c>
      <c r="AQ392">
        <f t="shared" si="138"/>
        <v>27.775999999999993</v>
      </c>
      <c r="AR392">
        <f t="shared" si="114"/>
        <v>2.7775999999999996</v>
      </c>
      <c r="AS392">
        <f t="shared" si="139"/>
        <v>1.4</v>
      </c>
      <c r="AT392">
        <f t="shared" si="140"/>
        <v>2</v>
      </c>
      <c r="AU392">
        <f t="shared" si="141"/>
        <v>6</v>
      </c>
      <c r="AV392">
        <f t="shared" si="131"/>
        <v>5022</v>
      </c>
      <c r="AW392" s="1">
        <v>2</v>
      </c>
      <c r="AX392">
        <v>5</v>
      </c>
      <c r="AY392">
        <v>0.1</v>
      </c>
      <c r="CE392" t="str">
        <f t="shared" si="130"/>
        <v>DATA_Class_Base35</v>
      </c>
      <c r="CF392" s="3" t="s">
        <v>195</v>
      </c>
    </row>
    <row r="393" spans="1:84">
      <c r="A393">
        <f t="shared" si="127"/>
        <v>5092601</v>
      </c>
      <c r="B393" s="31" t="s">
        <v>398</v>
      </c>
      <c r="C393">
        <v>9</v>
      </c>
      <c r="D393">
        <v>6</v>
      </c>
      <c r="E393">
        <v>2</v>
      </c>
      <c r="F393" s="3" t="s">
        <v>1694</v>
      </c>
      <c r="G393" s="3" t="s">
        <v>1694</v>
      </c>
      <c r="H393">
        <v>0</v>
      </c>
      <c r="I393">
        <v>0</v>
      </c>
      <c r="J393" s="2">
        <v>0</v>
      </c>
      <c r="K393" s="2" t="s">
        <v>309</v>
      </c>
      <c r="L393" s="2">
        <f t="shared" si="128"/>
        <v>6</v>
      </c>
      <c r="M393" s="2">
        <f t="shared" si="126"/>
        <v>1.5</v>
      </c>
      <c r="N393" s="2">
        <f t="shared" si="126"/>
        <v>2</v>
      </c>
      <c r="O393" s="2">
        <v>10</v>
      </c>
      <c r="P393" s="2">
        <f t="shared" ref="P393:U456" si="144">ROUND(AM393*(1+$AY393),2)</f>
        <v>232.32</v>
      </c>
      <c r="Q393" s="2">
        <f t="shared" si="144"/>
        <v>23.23</v>
      </c>
      <c r="R393" s="2">
        <f t="shared" si="144"/>
        <v>2304</v>
      </c>
      <c r="S393" s="2">
        <f t="shared" si="142"/>
        <v>230.4</v>
      </c>
      <c r="T393" s="2">
        <f t="shared" si="142"/>
        <v>46.46</v>
      </c>
      <c r="U393" s="2">
        <f t="shared" si="142"/>
        <v>4.6500000000000004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526012</v>
      </c>
      <c r="AB393" s="14" t="s">
        <v>718</v>
      </c>
      <c r="AC393" s="15" t="s">
        <v>890</v>
      </c>
      <c r="AD393" s="2">
        <v>5102601</v>
      </c>
      <c r="AE393" s="2">
        <v>0</v>
      </c>
      <c r="AF393" s="2">
        <v>2</v>
      </c>
      <c r="AG393" s="2">
        <v>8</v>
      </c>
      <c r="AH393" s="2">
        <v>1</v>
      </c>
      <c r="AI393" s="2"/>
      <c r="AJ393">
        <v>1</v>
      </c>
      <c r="AK393" s="1">
        <f t="shared" si="143"/>
        <v>113.46007054354709</v>
      </c>
      <c r="AL393">
        <v>9</v>
      </c>
      <c r="AM393">
        <f t="shared" si="134"/>
        <v>211.2</v>
      </c>
      <c r="AN393">
        <f t="shared" si="135"/>
        <v>21.12</v>
      </c>
      <c r="AO393">
        <f t="shared" si="136"/>
        <v>2094.5454545454545</v>
      </c>
      <c r="AP393">
        <f t="shared" si="137"/>
        <v>209.45454545454547</v>
      </c>
      <c r="AQ393">
        <f t="shared" si="138"/>
        <v>42.239999999999995</v>
      </c>
      <c r="AR393">
        <f t="shared" si="114"/>
        <v>4.2239999999999993</v>
      </c>
      <c r="AS393">
        <f t="shared" si="139"/>
        <v>1.5</v>
      </c>
      <c r="AT393">
        <f t="shared" si="140"/>
        <v>2</v>
      </c>
      <c r="AU393">
        <f t="shared" si="141"/>
        <v>6</v>
      </c>
      <c r="AV393">
        <f t="shared" si="131"/>
        <v>6012</v>
      </c>
      <c r="AW393" s="1">
        <v>1</v>
      </c>
      <c r="AX393">
        <v>5</v>
      </c>
      <c r="AY393">
        <v>0.1</v>
      </c>
      <c r="CE393" t="str">
        <f t="shared" si="130"/>
        <v>DATA_Class_Base36</v>
      </c>
      <c r="CF393" s="3" t="s">
        <v>201</v>
      </c>
    </row>
    <row r="394" spans="1:84">
      <c r="A394">
        <f t="shared" si="127"/>
        <v>5093200</v>
      </c>
      <c r="B394" s="31" t="s">
        <v>373</v>
      </c>
      <c r="C394">
        <v>9</v>
      </c>
      <c r="D394">
        <v>2</v>
      </c>
      <c r="E394">
        <v>3</v>
      </c>
      <c r="F394" s="3" t="s">
        <v>1695</v>
      </c>
      <c r="G394" s="3" t="s">
        <v>1695</v>
      </c>
      <c r="H394">
        <v>0</v>
      </c>
      <c r="I394">
        <v>0</v>
      </c>
      <c r="J394">
        <v>0</v>
      </c>
      <c r="K394" s="2" t="s">
        <v>314</v>
      </c>
      <c r="L394" s="2">
        <f t="shared" si="128"/>
        <v>3</v>
      </c>
      <c r="M394" s="2">
        <f t="shared" si="126"/>
        <v>1.5</v>
      </c>
      <c r="N394" s="2">
        <f t="shared" si="126"/>
        <v>1.2</v>
      </c>
      <c r="O394" s="2">
        <v>10</v>
      </c>
      <c r="P394" s="2">
        <f t="shared" si="144"/>
        <v>147.84</v>
      </c>
      <c r="Q394" s="2">
        <f t="shared" si="144"/>
        <v>14.78</v>
      </c>
      <c r="R394" s="2">
        <f t="shared" si="144"/>
        <v>3620.57</v>
      </c>
      <c r="S394" s="2">
        <f t="shared" si="142"/>
        <v>362.06</v>
      </c>
      <c r="T394" s="2">
        <f t="shared" si="142"/>
        <v>73.92</v>
      </c>
      <c r="U394" s="2">
        <f t="shared" si="142"/>
        <v>7.39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532002</v>
      </c>
      <c r="AB394" s="14" t="s">
        <v>719</v>
      </c>
      <c r="AC394" s="15" t="s">
        <v>890</v>
      </c>
      <c r="AD394" s="2">
        <v>5103200</v>
      </c>
      <c r="AE394" s="2">
        <v>0</v>
      </c>
      <c r="AF394" s="2">
        <v>2</v>
      </c>
      <c r="AG394" s="2">
        <v>8</v>
      </c>
      <c r="AH394" s="2">
        <v>1</v>
      </c>
      <c r="AI394" s="2"/>
      <c r="AJ394">
        <v>1</v>
      </c>
      <c r="AK394" s="1">
        <f t="shared" si="143"/>
        <v>114.09245160452123</v>
      </c>
      <c r="AL394">
        <v>9</v>
      </c>
      <c r="AM394">
        <f t="shared" si="134"/>
        <v>134.39999999999995</v>
      </c>
      <c r="AN394">
        <f t="shared" si="135"/>
        <v>13.439999999999996</v>
      </c>
      <c r="AO394">
        <f t="shared" si="136"/>
        <v>3291.4285714285716</v>
      </c>
      <c r="AP394">
        <f t="shared" si="137"/>
        <v>329.14285714285717</v>
      </c>
      <c r="AQ394">
        <f t="shared" si="138"/>
        <v>67.199999999999974</v>
      </c>
      <c r="AR394">
        <f t="shared" si="114"/>
        <v>6.719999999999998</v>
      </c>
      <c r="AS394">
        <f t="shared" si="139"/>
        <v>1.5</v>
      </c>
      <c r="AT394">
        <f t="shared" si="140"/>
        <v>1.2</v>
      </c>
      <c r="AU394">
        <f t="shared" si="141"/>
        <v>3</v>
      </c>
      <c r="AV394">
        <f t="shared" si="131"/>
        <v>2003</v>
      </c>
      <c r="AW394" s="1">
        <v>0</v>
      </c>
      <c r="AX394">
        <v>5</v>
      </c>
      <c r="AY394">
        <v>0.1</v>
      </c>
      <c r="CE394" t="str">
        <f t="shared" si="130"/>
        <v>DATA_Class_Base28</v>
      </c>
      <c r="CF394" s="3" t="s">
        <v>374</v>
      </c>
    </row>
    <row r="395" spans="1:84">
      <c r="A395">
        <f t="shared" si="127"/>
        <v>5093201</v>
      </c>
      <c r="B395" s="31" t="s">
        <v>377</v>
      </c>
      <c r="C395">
        <v>9</v>
      </c>
      <c r="D395">
        <v>2</v>
      </c>
      <c r="E395">
        <v>3</v>
      </c>
      <c r="F395" s="3" t="s">
        <v>1696</v>
      </c>
      <c r="G395" s="3" t="s">
        <v>1696</v>
      </c>
      <c r="H395">
        <v>0</v>
      </c>
      <c r="I395">
        <v>0</v>
      </c>
      <c r="J395" s="2">
        <v>0</v>
      </c>
      <c r="K395" s="8" t="s">
        <v>298</v>
      </c>
      <c r="L395" s="2">
        <f t="shared" si="128"/>
        <v>3</v>
      </c>
      <c r="M395" s="2">
        <f t="shared" si="126"/>
        <v>1.8</v>
      </c>
      <c r="N395" s="2">
        <f t="shared" si="126"/>
        <v>1.8</v>
      </c>
      <c r="O395" s="2">
        <v>10</v>
      </c>
      <c r="P395" s="2">
        <f t="shared" si="144"/>
        <v>152.06</v>
      </c>
      <c r="Q395" s="2">
        <f t="shared" si="144"/>
        <v>15.21</v>
      </c>
      <c r="R395" s="2">
        <f t="shared" si="144"/>
        <v>4224</v>
      </c>
      <c r="S395" s="2">
        <f t="shared" si="142"/>
        <v>422.4</v>
      </c>
      <c r="T395" s="2">
        <f t="shared" si="142"/>
        <v>84.48</v>
      </c>
      <c r="U395" s="2">
        <f t="shared" si="142"/>
        <v>8.4499999999999993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532012</v>
      </c>
      <c r="AB395" s="14" t="s">
        <v>720</v>
      </c>
      <c r="AC395" s="15" t="s">
        <v>890</v>
      </c>
      <c r="AD395" s="2">
        <v>5103201</v>
      </c>
      <c r="AE395" s="2">
        <v>0</v>
      </c>
      <c r="AF395" s="2">
        <v>2</v>
      </c>
      <c r="AG395" s="2">
        <v>8</v>
      </c>
      <c r="AH395" s="2">
        <v>1</v>
      </c>
      <c r="AI395" s="2"/>
      <c r="AJ395">
        <v>1</v>
      </c>
      <c r="AK395" s="1">
        <f t="shared" si="143"/>
        <v>114.33755614868826</v>
      </c>
      <c r="AL395">
        <v>9</v>
      </c>
      <c r="AM395">
        <f t="shared" si="134"/>
        <v>138.24</v>
      </c>
      <c r="AN395">
        <f t="shared" si="135"/>
        <v>13.824000000000002</v>
      </c>
      <c r="AO395">
        <f t="shared" si="136"/>
        <v>3840</v>
      </c>
      <c r="AP395">
        <f t="shared" si="137"/>
        <v>384</v>
      </c>
      <c r="AQ395">
        <f t="shared" si="138"/>
        <v>76.8</v>
      </c>
      <c r="AR395">
        <f t="shared" si="114"/>
        <v>7.68</v>
      </c>
      <c r="AS395">
        <f t="shared" si="139"/>
        <v>1.8</v>
      </c>
      <c r="AT395">
        <f t="shared" si="140"/>
        <v>1.8</v>
      </c>
      <c r="AU395">
        <f t="shared" si="141"/>
        <v>3</v>
      </c>
      <c r="AV395">
        <f t="shared" si="131"/>
        <v>2013</v>
      </c>
      <c r="AW395" s="1">
        <v>1</v>
      </c>
      <c r="AX395">
        <v>5</v>
      </c>
      <c r="AY395">
        <v>0.1</v>
      </c>
      <c r="CE395" t="str">
        <f t="shared" si="130"/>
        <v>DATA_Class_Base29</v>
      </c>
      <c r="CF395" s="3" t="s">
        <v>378</v>
      </c>
    </row>
    <row r="396" spans="1:84">
      <c r="A396">
        <f t="shared" si="127"/>
        <v>5093202</v>
      </c>
      <c r="B396" s="31" t="s">
        <v>380</v>
      </c>
      <c r="C396">
        <v>9</v>
      </c>
      <c r="D396">
        <v>2</v>
      </c>
      <c r="E396">
        <v>3</v>
      </c>
      <c r="F396" s="3" t="s">
        <v>1697</v>
      </c>
      <c r="G396" s="3" t="s">
        <v>1697</v>
      </c>
      <c r="H396">
        <v>0</v>
      </c>
      <c r="I396">
        <v>0</v>
      </c>
      <c r="J396">
        <v>0</v>
      </c>
      <c r="K396" s="2" t="s">
        <v>280</v>
      </c>
      <c r="L396" s="2">
        <f t="shared" si="128"/>
        <v>3</v>
      </c>
      <c r="M396" s="2">
        <f t="shared" si="126"/>
        <v>1.8</v>
      </c>
      <c r="N396" s="2">
        <f t="shared" si="126"/>
        <v>2</v>
      </c>
      <c r="O396" s="2">
        <v>10</v>
      </c>
      <c r="P396" s="2">
        <f t="shared" si="144"/>
        <v>228.1</v>
      </c>
      <c r="Q396" s="2">
        <f t="shared" si="144"/>
        <v>22.81</v>
      </c>
      <c r="R396" s="2">
        <f t="shared" si="144"/>
        <v>2816</v>
      </c>
      <c r="S396" s="2">
        <f t="shared" si="142"/>
        <v>281.60000000000002</v>
      </c>
      <c r="T396" s="2">
        <f t="shared" si="142"/>
        <v>76.03</v>
      </c>
      <c r="U396" s="2">
        <f t="shared" si="142"/>
        <v>7.6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532022</v>
      </c>
      <c r="AB396" s="14" t="s">
        <v>721</v>
      </c>
      <c r="AC396" s="15" t="s">
        <v>890</v>
      </c>
      <c r="AD396" s="2">
        <v>5103202</v>
      </c>
      <c r="AE396" s="2">
        <v>0</v>
      </c>
      <c r="AF396" s="2">
        <v>2</v>
      </c>
      <c r="AG396" s="2">
        <v>8</v>
      </c>
      <c r="AH396" s="2">
        <v>1</v>
      </c>
      <c r="AI396" s="2"/>
      <c r="AJ396">
        <v>1</v>
      </c>
      <c r="AK396" s="1">
        <f t="shared" si="143"/>
        <v>114.14138840869802</v>
      </c>
      <c r="AL396">
        <v>9</v>
      </c>
      <c r="AM396">
        <f t="shared" si="134"/>
        <v>207.36</v>
      </c>
      <c r="AN396">
        <f t="shared" si="135"/>
        <v>20.736000000000004</v>
      </c>
      <c r="AO396">
        <f t="shared" si="136"/>
        <v>2560</v>
      </c>
      <c r="AP396">
        <f t="shared" si="137"/>
        <v>256</v>
      </c>
      <c r="AQ396">
        <f t="shared" si="138"/>
        <v>69.12</v>
      </c>
      <c r="AR396">
        <f t="shared" ref="AR396:AR467" si="145">AQ396*0.1</f>
        <v>6.9120000000000008</v>
      </c>
      <c r="AS396">
        <f t="shared" si="139"/>
        <v>1.8</v>
      </c>
      <c r="AT396">
        <f t="shared" si="140"/>
        <v>2</v>
      </c>
      <c r="AU396">
        <f t="shared" si="141"/>
        <v>3</v>
      </c>
      <c r="AV396">
        <f t="shared" si="131"/>
        <v>2023</v>
      </c>
      <c r="AW396" s="1">
        <v>2</v>
      </c>
      <c r="AX396">
        <v>5</v>
      </c>
      <c r="AY396">
        <v>0.1</v>
      </c>
      <c r="CE396" t="str">
        <f t="shared" si="130"/>
        <v>DATA_Class_Base30</v>
      </c>
      <c r="CF396" s="3" t="s">
        <v>381</v>
      </c>
    </row>
    <row r="397" spans="1:84">
      <c r="A397">
        <f t="shared" si="127"/>
        <v>5093301</v>
      </c>
      <c r="B397" s="31" t="s">
        <v>383</v>
      </c>
      <c r="C397">
        <v>9</v>
      </c>
      <c r="D397">
        <v>3</v>
      </c>
      <c r="E397">
        <v>3</v>
      </c>
      <c r="F397" s="3" t="s">
        <v>1698</v>
      </c>
      <c r="G397" s="3" t="s">
        <v>1698</v>
      </c>
      <c r="H397">
        <v>0</v>
      </c>
      <c r="I397">
        <v>0</v>
      </c>
      <c r="J397" s="2">
        <v>0</v>
      </c>
      <c r="K397" s="2" t="s">
        <v>285</v>
      </c>
      <c r="L397" s="2">
        <f t="shared" si="128"/>
        <v>3</v>
      </c>
      <c r="M397" s="2">
        <f t="shared" si="126"/>
        <v>1.2</v>
      </c>
      <c r="N397" s="2">
        <f t="shared" si="126"/>
        <v>1.4000000000000001</v>
      </c>
      <c r="O397" s="2">
        <v>10</v>
      </c>
      <c r="P397" s="2">
        <f t="shared" si="144"/>
        <v>202.75</v>
      </c>
      <c r="Q397" s="2">
        <f t="shared" si="144"/>
        <v>20.28</v>
      </c>
      <c r="R397" s="2">
        <f t="shared" si="144"/>
        <v>2112</v>
      </c>
      <c r="S397" s="2">
        <f t="shared" si="142"/>
        <v>211.2</v>
      </c>
      <c r="T397" s="2">
        <f t="shared" si="142"/>
        <v>40.549999999999997</v>
      </c>
      <c r="U397" s="2">
        <f t="shared" si="142"/>
        <v>4.0599999999999996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533012</v>
      </c>
      <c r="AB397" s="14" t="s">
        <v>722</v>
      </c>
      <c r="AC397" s="15" t="s">
        <v>890</v>
      </c>
      <c r="AD397" s="2">
        <v>5103301</v>
      </c>
      <c r="AE397" s="2">
        <v>0</v>
      </c>
      <c r="AF397" s="2">
        <v>2</v>
      </c>
      <c r="AG397" s="2">
        <v>8</v>
      </c>
      <c r="AH397" s="2">
        <v>1</v>
      </c>
      <c r="AI397" s="2"/>
      <c r="AJ397">
        <v>1</v>
      </c>
      <c r="AK397" s="1">
        <f t="shared" si="143"/>
        <v>113.32478184675978</v>
      </c>
      <c r="AL397">
        <v>9</v>
      </c>
      <c r="AM397">
        <f t="shared" si="134"/>
        <v>184.32</v>
      </c>
      <c r="AN397">
        <f t="shared" si="135"/>
        <v>18.431999999999999</v>
      </c>
      <c r="AO397">
        <f t="shared" si="136"/>
        <v>1920</v>
      </c>
      <c r="AP397">
        <f t="shared" si="137"/>
        <v>192</v>
      </c>
      <c r="AQ397">
        <f t="shared" si="138"/>
        <v>36.863999999999997</v>
      </c>
      <c r="AR397">
        <f t="shared" si="145"/>
        <v>3.6863999999999999</v>
      </c>
      <c r="AS397">
        <f t="shared" si="139"/>
        <v>1.2</v>
      </c>
      <c r="AT397">
        <f t="shared" si="140"/>
        <v>1.4</v>
      </c>
      <c r="AU397">
        <f t="shared" si="141"/>
        <v>3</v>
      </c>
      <c r="AV397">
        <f t="shared" si="131"/>
        <v>3013</v>
      </c>
      <c r="AW397" s="1">
        <v>1</v>
      </c>
      <c r="AX397">
        <v>5</v>
      </c>
      <c r="AY397">
        <v>0.1</v>
      </c>
      <c r="CE397" t="str">
        <f t="shared" si="130"/>
        <v>DATA_Class_Base31</v>
      </c>
      <c r="CF397" s="3" t="s">
        <v>384</v>
      </c>
    </row>
    <row r="398" spans="1:84">
      <c r="A398">
        <f t="shared" si="127"/>
        <v>5093401</v>
      </c>
      <c r="B398" s="31" t="s">
        <v>387</v>
      </c>
      <c r="C398">
        <v>9</v>
      </c>
      <c r="D398">
        <v>4</v>
      </c>
      <c r="E398">
        <v>3</v>
      </c>
      <c r="F398" s="3" t="s">
        <v>1699</v>
      </c>
      <c r="G398" s="3" t="s">
        <v>1699</v>
      </c>
      <c r="H398">
        <v>0</v>
      </c>
      <c r="I398">
        <v>0</v>
      </c>
      <c r="J398">
        <v>0</v>
      </c>
      <c r="K398" s="2" t="s">
        <v>161</v>
      </c>
      <c r="L398" s="2">
        <f t="shared" si="128"/>
        <v>6</v>
      </c>
      <c r="M398" s="2">
        <f t="shared" si="126"/>
        <v>1.6</v>
      </c>
      <c r="N398" s="2">
        <f t="shared" si="126"/>
        <v>1.5</v>
      </c>
      <c r="O398" s="2">
        <v>10</v>
      </c>
      <c r="P398" s="2">
        <f t="shared" si="144"/>
        <v>270.33999999999997</v>
      </c>
      <c r="Q398" s="2">
        <f t="shared" si="144"/>
        <v>27.03</v>
      </c>
      <c r="R398" s="2">
        <f t="shared" si="144"/>
        <v>2112</v>
      </c>
      <c r="S398" s="2">
        <f t="shared" si="142"/>
        <v>211.2</v>
      </c>
      <c r="T398" s="2">
        <f t="shared" si="142"/>
        <v>45.06</v>
      </c>
      <c r="U398" s="2">
        <f t="shared" si="142"/>
        <v>4.51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534012</v>
      </c>
      <c r="AB398" s="14" t="s">
        <v>723</v>
      </c>
      <c r="AC398" s="15" t="s">
        <v>890</v>
      </c>
      <c r="AD398" s="2">
        <v>5103401</v>
      </c>
      <c r="AE398" s="2">
        <v>0</v>
      </c>
      <c r="AF398" s="2">
        <v>2</v>
      </c>
      <c r="AG398" s="2">
        <v>8</v>
      </c>
      <c r="AH398" s="2">
        <v>1</v>
      </c>
      <c r="AI398" s="2"/>
      <c r="AJ398">
        <v>1</v>
      </c>
      <c r="AK398" s="1">
        <f t="shared" si="143"/>
        <v>113.42782965861973</v>
      </c>
      <c r="AL398">
        <v>9</v>
      </c>
      <c r="AM398">
        <f t="shared" si="134"/>
        <v>245.76</v>
      </c>
      <c r="AN398">
        <f t="shared" si="135"/>
        <v>24.576000000000001</v>
      </c>
      <c r="AO398">
        <f t="shared" si="136"/>
        <v>1920</v>
      </c>
      <c r="AP398">
        <f t="shared" si="137"/>
        <v>192</v>
      </c>
      <c r="AQ398">
        <f t="shared" si="138"/>
        <v>40.96</v>
      </c>
      <c r="AR398">
        <f t="shared" si="145"/>
        <v>4.0960000000000001</v>
      </c>
      <c r="AS398">
        <f t="shared" si="139"/>
        <v>1.6</v>
      </c>
      <c r="AT398">
        <f t="shared" si="140"/>
        <v>1.5</v>
      </c>
      <c r="AU398">
        <f t="shared" si="141"/>
        <v>6</v>
      </c>
      <c r="AV398">
        <f t="shared" si="131"/>
        <v>4013</v>
      </c>
      <c r="AW398" s="1">
        <v>1</v>
      </c>
      <c r="AX398">
        <v>5</v>
      </c>
      <c r="AY398">
        <v>0.1</v>
      </c>
      <c r="CE398" t="str">
        <f t="shared" si="130"/>
        <v>DATA_Class_Base32</v>
      </c>
      <c r="CF398" s="3" t="s">
        <v>388</v>
      </c>
    </row>
    <row r="399" spans="1:84">
      <c r="A399">
        <f t="shared" si="127"/>
        <v>5093402</v>
      </c>
      <c r="B399" s="31" t="s">
        <v>390</v>
      </c>
      <c r="C399">
        <v>9</v>
      </c>
      <c r="D399">
        <v>4</v>
      </c>
      <c r="E399">
        <v>3</v>
      </c>
      <c r="F399" s="3" t="s">
        <v>1700</v>
      </c>
      <c r="G399" s="3" t="s">
        <v>1700</v>
      </c>
      <c r="H399">
        <v>0</v>
      </c>
      <c r="I399">
        <v>0</v>
      </c>
      <c r="J399" s="2">
        <v>0</v>
      </c>
      <c r="K399" s="2" t="s">
        <v>250</v>
      </c>
      <c r="L399" s="2">
        <f t="shared" si="128"/>
        <v>6</v>
      </c>
      <c r="M399" s="2">
        <f t="shared" si="126"/>
        <v>1.5</v>
      </c>
      <c r="N399" s="2">
        <f t="shared" si="126"/>
        <v>1.5</v>
      </c>
      <c r="O399" s="2">
        <v>10</v>
      </c>
      <c r="P399" s="2">
        <f t="shared" si="144"/>
        <v>274.56</v>
      </c>
      <c r="Q399" s="2">
        <f t="shared" si="144"/>
        <v>27.46</v>
      </c>
      <c r="R399" s="2">
        <f t="shared" si="144"/>
        <v>1949.54</v>
      </c>
      <c r="S399" s="2">
        <f t="shared" si="142"/>
        <v>194.95</v>
      </c>
      <c r="T399" s="2">
        <f t="shared" si="142"/>
        <v>39.22</v>
      </c>
      <c r="U399" s="2">
        <f t="shared" si="142"/>
        <v>3.92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17">
        <v>534022</v>
      </c>
      <c r="AB399" s="14" t="s">
        <v>724</v>
      </c>
      <c r="AC399" s="15" t="s">
        <v>890</v>
      </c>
      <c r="AD399" s="2">
        <v>5103402</v>
      </c>
      <c r="AE399" s="2">
        <v>0</v>
      </c>
      <c r="AF399" s="2">
        <v>2</v>
      </c>
      <c r="AG399" s="2">
        <v>8</v>
      </c>
      <c r="AH399" s="2">
        <v>1</v>
      </c>
      <c r="AI399" s="2"/>
      <c r="AJ399">
        <v>1</v>
      </c>
      <c r="AK399" s="1">
        <f t="shared" si="143"/>
        <v>113.29445524664335</v>
      </c>
      <c r="AL399">
        <v>9</v>
      </c>
      <c r="AM399">
        <f t="shared" si="134"/>
        <v>249.6</v>
      </c>
      <c r="AN399">
        <f t="shared" si="135"/>
        <v>24.96</v>
      </c>
      <c r="AO399">
        <f t="shared" si="136"/>
        <v>1772.3076923076919</v>
      </c>
      <c r="AP399">
        <f t="shared" si="137"/>
        <v>177.2307692307692</v>
      </c>
      <c r="AQ399">
        <f t="shared" si="138"/>
        <v>35.657142857142858</v>
      </c>
      <c r="AR399">
        <f t="shared" si="145"/>
        <v>3.5657142857142858</v>
      </c>
      <c r="AS399">
        <f t="shared" si="139"/>
        <v>1.5</v>
      </c>
      <c r="AT399">
        <f t="shared" si="140"/>
        <v>1.5</v>
      </c>
      <c r="AU399">
        <f t="shared" si="141"/>
        <v>6</v>
      </c>
      <c r="AV399">
        <f t="shared" si="131"/>
        <v>4023</v>
      </c>
      <c r="AW399" s="1">
        <v>2</v>
      </c>
      <c r="AX399">
        <v>5</v>
      </c>
      <c r="AY399">
        <v>0.1</v>
      </c>
      <c r="CE399" t="str">
        <f t="shared" si="130"/>
        <v>DATA_Class_Base33</v>
      </c>
      <c r="CF399" s="3" t="s">
        <v>391</v>
      </c>
    </row>
    <row r="400" spans="1:84">
      <c r="A400">
        <f t="shared" si="127"/>
        <v>5093500</v>
      </c>
      <c r="B400" s="31" t="s">
        <v>394</v>
      </c>
      <c r="C400">
        <v>9</v>
      </c>
      <c r="D400">
        <v>5</v>
      </c>
      <c r="E400">
        <v>3</v>
      </c>
      <c r="F400" s="3" t="s">
        <v>1701</v>
      </c>
      <c r="G400" s="3" t="s">
        <v>1701</v>
      </c>
      <c r="H400">
        <v>0</v>
      </c>
      <c r="I400">
        <v>0</v>
      </c>
      <c r="J400" s="2">
        <v>0</v>
      </c>
      <c r="K400" s="2" t="s">
        <v>303</v>
      </c>
      <c r="L400" s="2">
        <f t="shared" si="128"/>
        <v>6</v>
      </c>
      <c r="M400" s="2">
        <f t="shared" si="126"/>
        <v>1.5</v>
      </c>
      <c r="N400" s="2">
        <f t="shared" si="126"/>
        <v>2</v>
      </c>
      <c r="O400" s="2">
        <v>10</v>
      </c>
      <c r="P400" s="2">
        <f t="shared" si="144"/>
        <v>274.56</v>
      </c>
      <c r="Q400" s="2">
        <f t="shared" si="144"/>
        <v>27.46</v>
      </c>
      <c r="R400" s="2">
        <f t="shared" si="144"/>
        <v>1949.54</v>
      </c>
      <c r="S400" s="2">
        <f t="shared" si="142"/>
        <v>194.95</v>
      </c>
      <c r="T400" s="2">
        <f t="shared" si="142"/>
        <v>45.76</v>
      </c>
      <c r="U400" s="2">
        <f t="shared" si="142"/>
        <v>4.58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17">
        <v>535002</v>
      </c>
      <c r="AB400" s="14" t="s">
        <v>725</v>
      </c>
      <c r="AC400" s="15" t="s">
        <v>890</v>
      </c>
      <c r="AD400" s="2">
        <v>5103500</v>
      </c>
      <c r="AE400" s="2">
        <v>0</v>
      </c>
      <c r="AF400" s="2">
        <v>2</v>
      </c>
      <c r="AG400" s="2">
        <v>8</v>
      </c>
      <c r="AH400" s="2">
        <v>1</v>
      </c>
      <c r="AI400" s="2"/>
      <c r="AJ400">
        <v>1</v>
      </c>
      <c r="AK400" s="1">
        <f t="shared" si="143"/>
        <v>113.4439478103604</v>
      </c>
      <c r="AL400">
        <v>9</v>
      </c>
      <c r="AM400">
        <f t="shared" si="134"/>
        <v>249.6</v>
      </c>
      <c r="AN400">
        <f t="shared" si="135"/>
        <v>24.96</v>
      </c>
      <c r="AO400">
        <f t="shared" si="136"/>
        <v>1772.3076923076919</v>
      </c>
      <c r="AP400">
        <f t="shared" si="137"/>
        <v>177.2307692307692</v>
      </c>
      <c r="AQ400">
        <f t="shared" si="138"/>
        <v>41.6</v>
      </c>
      <c r="AR400">
        <f t="shared" si="145"/>
        <v>4.16</v>
      </c>
      <c r="AS400">
        <f t="shared" si="139"/>
        <v>1.5</v>
      </c>
      <c r="AT400">
        <f t="shared" si="140"/>
        <v>2</v>
      </c>
      <c r="AU400">
        <f t="shared" si="141"/>
        <v>6</v>
      </c>
      <c r="AV400">
        <f t="shared" si="131"/>
        <v>5003</v>
      </c>
      <c r="AW400" s="1">
        <v>0</v>
      </c>
      <c r="AX400">
        <v>5</v>
      </c>
      <c r="AY400">
        <v>0.1</v>
      </c>
      <c r="CE400" t="str">
        <f t="shared" si="130"/>
        <v>DATA_Class_Base34</v>
      </c>
      <c r="CF400" s="3" t="s">
        <v>184</v>
      </c>
    </row>
    <row r="401" spans="1:84">
      <c r="A401">
        <f t="shared" si="127"/>
        <v>5093502</v>
      </c>
      <c r="B401" s="31" t="s">
        <v>396</v>
      </c>
      <c r="C401">
        <v>9</v>
      </c>
      <c r="D401">
        <v>5</v>
      </c>
      <c r="E401">
        <v>3</v>
      </c>
      <c r="F401" s="3" t="s">
        <v>1702</v>
      </c>
      <c r="G401" s="3" t="s">
        <v>1702</v>
      </c>
      <c r="H401">
        <v>0</v>
      </c>
      <c r="I401">
        <v>0</v>
      </c>
      <c r="J401" s="2">
        <v>0</v>
      </c>
      <c r="K401" s="2" t="s">
        <v>291</v>
      </c>
      <c r="L401" s="2">
        <f t="shared" si="128"/>
        <v>6</v>
      </c>
      <c r="M401" s="2">
        <f t="shared" si="126"/>
        <v>1.4000000000000001</v>
      </c>
      <c r="N401" s="2">
        <f t="shared" si="126"/>
        <v>2</v>
      </c>
      <c r="O401" s="2">
        <v>10</v>
      </c>
      <c r="P401" s="2">
        <f t="shared" si="144"/>
        <v>266.11</v>
      </c>
      <c r="Q401" s="2">
        <f t="shared" si="144"/>
        <v>26.61</v>
      </c>
      <c r="R401" s="2">
        <f t="shared" si="144"/>
        <v>1877.33</v>
      </c>
      <c r="S401" s="2">
        <f t="shared" si="142"/>
        <v>187.73</v>
      </c>
      <c r="T401" s="2">
        <f t="shared" si="142"/>
        <v>38.020000000000003</v>
      </c>
      <c r="U401" s="2">
        <f t="shared" si="142"/>
        <v>3.8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17">
        <v>535022</v>
      </c>
      <c r="AB401" s="14" t="s">
        <v>726</v>
      </c>
      <c r="AC401" s="15" t="s">
        <v>890</v>
      </c>
      <c r="AD401" s="2">
        <v>5103502</v>
      </c>
      <c r="AE401" s="2">
        <v>0</v>
      </c>
      <c r="AF401" s="2">
        <v>2</v>
      </c>
      <c r="AG401" s="2">
        <v>8</v>
      </c>
      <c r="AH401" s="2">
        <v>1</v>
      </c>
      <c r="AJ401">
        <v>1</v>
      </c>
      <c r="AK401" s="1">
        <f t="shared" si="143"/>
        <v>113.26689969173619</v>
      </c>
      <c r="AL401">
        <v>9</v>
      </c>
      <c r="AM401">
        <f t="shared" si="134"/>
        <v>241.92</v>
      </c>
      <c r="AN401">
        <f t="shared" si="135"/>
        <v>24.192</v>
      </c>
      <c r="AO401">
        <f t="shared" si="136"/>
        <v>1706.6666666666665</v>
      </c>
      <c r="AP401">
        <f t="shared" si="137"/>
        <v>170.66666666666666</v>
      </c>
      <c r="AQ401">
        <f t="shared" si="138"/>
        <v>34.559999999999995</v>
      </c>
      <c r="AR401">
        <f t="shared" si="145"/>
        <v>3.4559999999999995</v>
      </c>
      <c r="AS401">
        <f t="shared" si="139"/>
        <v>1.4</v>
      </c>
      <c r="AT401">
        <f t="shared" si="140"/>
        <v>2</v>
      </c>
      <c r="AU401">
        <f t="shared" si="141"/>
        <v>6</v>
      </c>
      <c r="AV401">
        <f t="shared" si="131"/>
        <v>5023</v>
      </c>
      <c r="AW401" s="1">
        <v>2</v>
      </c>
      <c r="AX401">
        <v>5</v>
      </c>
      <c r="AY401">
        <v>0.1</v>
      </c>
      <c r="CE401" t="str">
        <f t="shared" si="130"/>
        <v>DATA_Class_Base35</v>
      </c>
      <c r="CF401" s="3" t="s">
        <v>195</v>
      </c>
    </row>
    <row r="402" spans="1:84">
      <c r="A402">
        <f t="shared" si="127"/>
        <v>5093601</v>
      </c>
      <c r="B402" s="31" t="s">
        <v>398</v>
      </c>
      <c r="C402">
        <v>9</v>
      </c>
      <c r="D402">
        <v>6</v>
      </c>
      <c r="E402">
        <v>3</v>
      </c>
      <c r="F402" s="3" t="s">
        <v>1703</v>
      </c>
      <c r="G402" s="3" t="s">
        <v>1703</v>
      </c>
      <c r="H402">
        <v>0</v>
      </c>
      <c r="I402">
        <v>0</v>
      </c>
      <c r="J402">
        <v>0</v>
      </c>
      <c r="K402" s="2" t="s">
        <v>309</v>
      </c>
      <c r="L402" s="2">
        <f t="shared" si="128"/>
        <v>6</v>
      </c>
      <c r="M402" s="2">
        <f t="shared" si="126"/>
        <v>1.5</v>
      </c>
      <c r="N402" s="2">
        <f t="shared" si="126"/>
        <v>2</v>
      </c>
      <c r="O402" s="2">
        <v>10</v>
      </c>
      <c r="P402" s="2">
        <f t="shared" si="144"/>
        <v>190.08</v>
      </c>
      <c r="Q402" s="2">
        <f t="shared" si="144"/>
        <v>19.010000000000002</v>
      </c>
      <c r="R402" s="2">
        <f t="shared" si="144"/>
        <v>2816</v>
      </c>
      <c r="S402" s="2">
        <f t="shared" si="142"/>
        <v>281.60000000000002</v>
      </c>
      <c r="T402" s="2">
        <f t="shared" si="142"/>
        <v>63.36</v>
      </c>
      <c r="U402" s="2">
        <f t="shared" si="142"/>
        <v>6.34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17">
        <v>536012</v>
      </c>
      <c r="AB402" s="14" t="s">
        <v>727</v>
      </c>
      <c r="AC402" s="15" t="s">
        <v>890</v>
      </c>
      <c r="AD402" s="2">
        <v>5103601</v>
      </c>
      <c r="AE402" s="2">
        <v>0</v>
      </c>
      <c r="AF402" s="2">
        <v>2</v>
      </c>
      <c r="AG402" s="2">
        <v>8</v>
      </c>
      <c r="AH402" s="2">
        <v>1</v>
      </c>
      <c r="AJ402">
        <v>1</v>
      </c>
      <c r="AK402" s="1">
        <f t="shared" si="143"/>
        <v>113.84839566992933</v>
      </c>
      <c r="AL402">
        <v>9</v>
      </c>
      <c r="AM402">
        <f t="shared" si="134"/>
        <v>172.79999999999998</v>
      </c>
      <c r="AN402">
        <f t="shared" si="135"/>
        <v>17.279999999999998</v>
      </c>
      <c r="AO402">
        <f t="shared" si="136"/>
        <v>2560</v>
      </c>
      <c r="AP402">
        <f t="shared" si="137"/>
        <v>256</v>
      </c>
      <c r="AQ402">
        <f t="shared" si="138"/>
        <v>57.599999999999994</v>
      </c>
      <c r="AR402">
        <f t="shared" si="145"/>
        <v>5.76</v>
      </c>
      <c r="AS402">
        <f t="shared" si="139"/>
        <v>1.5</v>
      </c>
      <c r="AT402">
        <f t="shared" si="140"/>
        <v>2</v>
      </c>
      <c r="AU402">
        <f t="shared" si="141"/>
        <v>6</v>
      </c>
      <c r="AV402">
        <f t="shared" si="131"/>
        <v>6013</v>
      </c>
      <c r="AW402" s="1">
        <v>1</v>
      </c>
      <c r="AX402">
        <v>5</v>
      </c>
      <c r="AY402">
        <v>0.1</v>
      </c>
      <c r="CE402" t="str">
        <f t="shared" si="130"/>
        <v>DATA_Class_Base36</v>
      </c>
      <c r="CF402" s="3" t="s">
        <v>201</v>
      </c>
    </row>
    <row r="403" spans="1:84">
      <c r="A403">
        <f t="shared" si="127"/>
        <v>5094201</v>
      </c>
      <c r="B403" t="s">
        <v>377</v>
      </c>
      <c r="C403">
        <v>9</v>
      </c>
      <c r="D403">
        <v>2</v>
      </c>
      <c r="E403">
        <v>4</v>
      </c>
      <c r="F403" s="3" t="s">
        <v>1704</v>
      </c>
      <c r="G403" s="3" t="s">
        <v>1704</v>
      </c>
      <c r="H403">
        <v>0</v>
      </c>
      <c r="I403">
        <v>0</v>
      </c>
      <c r="J403" s="30">
        <v>0</v>
      </c>
      <c r="K403" s="8" t="s">
        <v>298</v>
      </c>
      <c r="L403" s="2">
        <f t="shared" si="128"/>
        <v>3</v>
      </c>
      <c r="M403" s="2">
        <f t="shared" si="126"/>
        <v>1.8</v>
      </c>
      <c r="N403" s="2">
        <f t="shared" si="126"/>
        <v>1.8</v>
      </c>
      <c r="O403" s="2">
        <v>10</v>
      </c>
      <c r="P403" s="2">
        <f t="shared" si="144"/>
        <v>202.75</v>
      </c>
      <c r="Q403" s="2">
        <f t="shared" si="144"/>
        <v>20.28</v>
      </c>
      <c r="R403" s="2">
        <f t="shared" si="144"/>
        <v>3168</v>
      </c>
      <c r="S403" s="2">
        <f t="shared" si="142"/>
        <v>316.8</v>
      </c>
      <c r="T403" s="2">
        <f t="shared" si="142"/>
        <v>77.98</v>
      </c>
      <c r="U403" s="2">
        <f t="shared" si="142"/>
        <v>7.8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17">
        <v>542012</v>
      </c>
      <c r="AB403" s="15" t="s">
        <v>728</v>
      </c>
      <c r="AC403" s="15" t="s">
        <v>890</v>
      </c>
      <c r="AD403" s="2">
        <v>5104201</v>
      </c>
      <c r="AE403" s="2">
        <v>0</v>
      </c>
      <c r="AF403" s="2">
        <v>2</v>
      </c>
      <c r="AG403" s="2">
        <v>8</v>
      </c>
      <c r="AH403" s="2">
        <v>1</v>
      </c>
      <c r="AI403" s="2"/>
      <c r="AJ403">
        <v>1</v>
      </c>
      <c r="AK403" s="1">
        <f t="shared" si="143"/>
        <v>114.18659811859551</v>
      </c>
      <c r="AL403">
        <v>9</v>
      </c>
      <c r="AM403">
        <f t="shared" si="134"/>
        <v>184.32000000000002</v>
      </c>
      <c r="AN403">
        <f t="shared" si="135"/>
        <v>18.432000000000002</v>
      </c>
      <c r="AO403">
        <f t="shared" si="136"/>
        <v>2880</v>
      </c>
      <c r="AP403">
        <f t="shared" si="137"/>
        <v>288</v>
      </c>
      <c r="AQ403">
        <f t="shared" si="138"/>
        <v>70.892307692307696</v>
      </c>
      <c r="AR403">
        <f t="shared" si="145"/>
        <v>7.0892307692307703</v>
      </c>
      <c r="AS403">
        <f t="shared" si="139"/>
        <v>1.8</v>
      </c>
      <c r="AT403">
        <f t="shared" si="140"/>
        <v>1.8</v>
      </c>
      <c r="AU403">
        <f t="shared" si="141"/>
        <v>3</v>
      </c>
      <c r="AV403">
        <f t="shared" si="131"/>
        <v>2014</v>
      </c>
      <c r="AW403" s="1">
        <v>1</v>
      </c>
      <c r="AX403">
        <v>5</v>
      </c>
      <c r="AY403">
        <v>0.1</v>
      </c>
      <c r="BY403" s="13"/>
      <c r="BZ403" s="13"/>
      <c r="CA403" s="13"/>
      <c r="CE403" t="str">
        <f t="shared" si="130"/>
        <v>DATA_Class_Base29</v>
      </c>
      <c r="CF403" s="3" t="s">
        <v>378</v>
      </c>
    </row>
    <row r="404" spans="1:84">
      <c r="A404">
        <f t="shared" si="127"/>
        <v>5094302</v>
      </c>
      <c r="B404" t="s">
        <v>412</v>
      </c>
      <c r="C404">
        <v>9</v>
      </c>
      <c r="D404">
        <v>3</v>
      </c>
      <c r="E404">
        <v>4</v>
      </c>
      <c r="F404" s="3" t="s">
        <v>1705</v>
      </c>
      <c r="G404" s="3" t="s">
        <v>1705</v>
      </c>
      <c r="H404">
        <v>0</v>
      </c>
      <c r="I404">
        <v>0</v>
      </c>
      <c r="J404" s="30">
        <v>0</v>
      </c>
      <c r="K404" s="2" t="s">
        <v>358</v>
      </c>
      <c r="L404" s="2">
        <f t="shared" si="128"/>
        <v>3</v>
      </c>
      <c r="M404" s="2">
        <f t="shared" si="126"/>
        <v>1.4000000000000001</v>
      </c>
      <c r="N404" s="2">
        <f t="shared" si="126"/>
        <v>2</v>
      </c>
      <c r="O404" s="2">
        <v>10</v>
      </c>
      <c r="P404" s="2">
        <f t="shared" si="144"/>
        <v>216.83</v>
      </c>
      <c r="Q404" s="2">
        <f t="shared" si="144"/>
        <v>21.68</v>
      </c>
      <c r="R404" s="2">
        <f t="shared" si="144"/>
        <v>2304</v>
      </c>
      <c r="S404" s="2">
        <f t="shared" si="142"/>
        <v>230.4</v>
      </c>
      <c r="T404" s="2">
        <f t="shared" si="142"/>
        <v>33.36</v>
      </c>
      <c r="U404" s="2">
        <f t="shared" si="142"/>
        <v>3.34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17">
        <v>543022</v>
      </c>
      <c r="AB404" s="15" t="s">
        <v>729</v>
      </c>
      <c r="AC404" s="15" t="s">
        <v>890</v>
      </c>
      <c r="AD404" s="2">
        <v>5104302</v>
      </c>
      <c r="AE404" s="2">
        <v>0</v>
      </c>
      <c r="AF404" s="2">
        <v>2</v>
      </c>
      <c r="AG404" s="2">
        <v>8</v>
      </c>
      <c r="AH404" s="2">
        <v>1</v>
      </c>
      <c r="AI404" s="2"/>
      <c r="AJ404">
        <v>1</v>
      </c>
      <c r="AK404" s="1">
        <f t="shared" si="143"/>
        <v>113.16068906248603</v>
      </c>
      <c r="AL404">
        <v>9</v>
      </c>
      <c r="AM404">
        <f t="shared" si="134"/>
        <v>197.11999999999998</v>
      </c>
      <c r="AN404">
        <f t="shared" si="135"/>
        <v>19.712</v>
      </c>
      <c r="AO404">
        <f t="shared" si="136"/>
        <v>2094.5454545454545</v>
      </c>
      <c r="AP404">
        <f t="shared" si="137"/>
        <v>209.45454545454547</v>
      </c>
      <c r="AQ404">
        <f t="shared" si="138"/>
        <v>30.326153846153844</v>
      </c>
      <c r="AR404">
        <f t="shared" si="145"/>
        <v>3.0326153846153847</v>
      </c>
      <c r="AS404">
        <f t="shared" si="139"/>
        <v>1.4</v>
      </c>
      <c r="AT404">
        <f t="shared" si="140"/>
        <v>2</v>
      </c>
      <c r="AU404">
        <f t="shared" si="141"/>
        <v>3</v>
      </c>
      <c r="AV404">
        <f t="shared" si="131"/>
        <v>3024</v>
      </c>
      <c r="AW404" s="1">
        <v>2</v>
      </c>
      <c r="AX404">
        <v>5</v>
      </c>
      <c r="AY404">
        <v>0.1</v>
      </c>
      <c r="BY404" s="13"/>
      <c r="BZ404" s="13"/>
      <c r="CA404" s="13"/>
      <c r="CE404" t="str">
        <f t="shared" si="130"/>
        <v>DATA_Class_Base41</v>
      </c>
      <c r="CF404" s="3" t="s">
        <v>413</v>
      </c>
    </row>
    <row r="405" spans="1:84">
      <c r="A405">
        <f t="shared" si="127"/>
        <v>5094501</v>
      </c>
      <c r="B405" t="s">
        <v>401</v>
      </c>
      <c r="C405">
        <v>9</v>
      </c>
      <c r="D405">
        <v>5</v>
      </c>
      <c r="E405">
        <v>4</v>
      </c>
      <c r="F405" s="3" t="s">
        <v>1706</v>
      </c>
      <c r="G405" s="3" t="s">
        <v>1706</v>
      </c>
      <c r="H405">
        <v>0</v>
      </c>
      <c r="I405">
        <v>0</v>
      </c>
      <c r="J405">
        <v>0</v>
      </c>
      <c r="K405" s="2" t="s">
        <v>334</v>
      </c>
      <c r="L405" s="2">
        <f t="shared" si="128"/>
        <v>6</v>
      </c>
      <c r="M405" s="2">
        <f t="shared" si="126"/>
        <v>1.6</v>
      </c>
      <c r="N405" s="2">
        <f t="shared" si="126"/>
        <v>2</v>
      </c>
      <c r="O405" s="2">
        <v>10</v>
      </c>
      <c r="P405" s="2">
        <f t="shared" si="144"/>
        <v>292.86</v>
      </c>
      <c r="Q405" s="2">
        <f t="shared" si="144"/>
        <v>29.29</v>
      </c>
      <c r="R405" s="2">
        <f t="shared" si="144"/>
        <v>1949.54</v>
      </c>
      <c r="S405" s="2">
        <f t="shared" si="142"/>
        <v>194.95</v>
      </c>
      <c r="T405" s="2">
        <f t="shared" si="142"/>
        <v>32.54</v>
      </c>
      <c r="U405" s="2">
        <f t="shared" si="142"/>
        <v>3.25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17">
        <v>545012</v>
      </c>
      <c r="AB405" s="14" t="s">
        <v>730</v>
      </c>
      <c r="AC405" s="15" t="s">
        <v>890</v>
      </c>
      <c r="AD405" s="2">
        <v>5104501</v>
      </c>
      <c r="AE405" s="2">
        <v>0</v>
      </c>
      <c r="AF405" s="2">
        <v>2</v>
      </c>
      <c r="AG405" s="2">
        <v>8</v>
      </c>
      <c r="AH405" s="2">
        <v>1</v>
      </c>
      <c r="AI405" s="2"/>
      <c r="AJ405">
        <v>1</v>
      </c>
      <c r="AK405" s="1">
        <f t="shared" si="143"/>
        <v>113.14204730090515</v>
      </c>
      <c r="AL405">
        <v>9</v>
      </c>
      <c r="AM405">
        <f t="shared" si="134"/>
        <v>266.24</v>
      </c>
      <c r="AN405">
        <f t="shared" si="135"/>
        <v>26.624000000000002</v>
      </c>
      <c r="AO405">
        <f t="shared" si="136"/>
        <v>1772.3076923076919</v>
      </c>
      <c r="AP405">
        <f t="shared" si="137"/>
        <v>177.2307692307692</v>
      </c>
      <c r="AQ405">
        <f t="shared" si="138"/>
        <v>29.582222222222224</v>
      </c>
      <c r="AR405">
        <f t="shared" si="145"/>
        <v>2.9582222222222225</v>
      </c>
      <c r="AS405">
        <f t="shared" si="139"/>
        <v>1.6</v>
      </c>
      <c r="AT405">
        <f t="shared" si="140"/>
        <v>2</v>
      </c>
      <c r="AU405">
        <f t="shared" si="141"/>
        <v>6</v>
      </c>
      <c r="AV405">
        <f t="shared" si="131"/>
        <v>5014</v>
      </c>
      <c r="AW405" s="1">
        <v>1</v>
      </c>
      <c r="AX405">
        <v>5</v>
      </c>
      <c r="AY405">
        <v>0.1</v>
      </c>
      <c r="BX405" t="str">
        <f t="shared" ref="BX405:BX407" si="146">BY405&amp;","&amp;BZ405&amp;","&amp;CA405</f>
        <v>1545011,2545011,3545011</v>
      </c>
      <c r="BY405" s="13">
        <v>1545011</v>
      </c>
      <c r="BZ405" s="13">
        <v>2545011</v>
      </c>
      <c r="CA405" s="13">
        <v>3545011</v>
      </c>
      <c r="CE405" t="str">
        <f t="shared" si="130"/>
        <v>DATA_Class_Base37</v>
      </c>
      <c r="CF405" s="3" t="s">
        <v>402</v>
      </c>
    </row>
    <row r="406" spans="1:84">
      <c r="A406">
        <f t="shared" si="127"/>
        <v>5094600</v>
      </c>
      <c r="B406" t="s">
        <v>404</v>
      </c>
      <c r="C406">
        <v>9</v>
      </c>
      <c r="D406">
        <v>6</v>
      </c>
      <c r="E406">
        <v>4</v>
      </c>
      <c r="F406" s="3" t="s">
        <v>1707</v>
      </c>
      <c r="G406" s="3" t="s">
        <v>1707</v>
      </c>
      <c r="H406">
        <v>0</v>
      </c>
      <c r="I406">
        <v>0</v>
      </c>
      <c r="J406" s="2">
        <v>0</v>
      </c>
      <c r="K406" s="2" t="s">
        <v>339</v>
      </c>
      <c r="L406" s="2">
        <f t="shared" si="128"/>
        <v>3</v>
      </c>
      <c r="M406" s="2">
        <f t="shared" si="126"/>
        <v>1.4000000000000001</v>
      </c>
      <c r="N406" s="2">
        <f t="shared" si="126"/>
        <v>1.9000000000000001</v>
      </c>
      <c r="O406" s="2">
        <v>10</v>
      </c>
      <c r="P406" s="2">
        <f t="shared" si="144"/>
        <v>216.83</v>
      </c>
      <c r="Q406" s="2">
        <f t="shared" si="144"/>
        <v>21.68</v>
      </c>
      <c r="R406" s="2">
        <f t="shared" si="144"/>
        <v>2304</v>
      </c>
      <c r="S406" s="2">
        <f t="shared" si="142"/>
        <v>230.4</v>
      </c>
      <c r="T406" s="2">
        <f t="shared" si="142"/>
        <v>54.21</v>
      </c>
      <c r="U406" s="2">
        <f t="shared" si="142"/>
        <v>5.42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17">
        <v>546002</v>
      </c>
      <c r="AB406" s="14" t="s">
        <v>731</v>
      </c>
      <c r="AC406" s="15" t="s">
        <v>890</v>
      </c>
      <c r="AD406" s="2">
        <v>5104600</v>
      </c>
      <c r="AE406" s="2">
        <v>0</v>
      </c>
      <c r="AF406" s="2">
        <v>2</v>
      </c>
      <c r="AG406" s="2">
        <v>8</v>
      </c>
      <c r="AH406" s="2">
        <v>1</v>
      </c>
      <c r="AI406" s="2"/>
      <c r="AJ406">
        <v>1</v>
      </c>
      <c r="AK406" s="1">
        <f t="shared" si="143"/>
        <v>113.63772354356995</v>
      </c>
      <c r="AL406">
        <v>9</v>
      </c>
      <c r="AM406">
        <f t="shared" si="134"/>
        <v>197.11999999999998</v>
      </c>
      <c r="AN406">
        <f t="shared" si="135"/>
        <v>19.712</v>
      </c>
      <c r="AO406">
        <f t="shared" si="136"/>
        <v>2094.5454545454545</v>
      </c>
      <c r="AP406">
        <f t="shared" si="137"/>
        <v>209.45454545454547</v>
      </c>
      <c r="AQ406">
        <f t="shared" si="138"/>
        <v>49.279999999999994</v>
      </c>
      <c r="AR406">
        <f t="shared" si="145"/>
        <v>4.9279999999999999</v>
      </c>
      <c r="AS406">
        <f t="shared" si="139"/>
        <v>1.4</v>
      </c>
      <c r="AT406">
        <f t="shared" si="140"/>
        <v>1.9</v>
      </c>
      <c r="AU406">
        <f t="shared" si="141"/>
        <v>3</v>
      </c>
      <c r="AV406">
        <f t="shared" si="131"/>
        <v>6004</v>
      </c>
      <c r="AW406" s="1">
        <v>0</v>
      </c>
      <c r="AX406">
        <v>5</v>
      </c>
      <c r="AY406">
        <v>0.1</v>
      </c>
      <c r="BX406" t="str">
        <f t="shared" si="146"/>
        <v>1546001,2546001,3546001</v>
      </c>
      <c r="BY406" s="13">
        <v>1546001</v>
      </c>
      <c r="BZ406" s="13">
        <v>2546001</v>
      </c>
      <c r="CA406" s="13">
        <v>3546001</v>
      </c>
      <c r="CE406" t="str">
        <f t="shared" si="130"/>
        <v>DATA_Class_Base38</v>
      </c>
      <c r="CF406" s="3" t="s">
        <v>198</v>
      </c>
    </row>
    <row r="407" spans="1:84">
      <c r="A407">
        <f t="shared" si="127"/>
        <v>5094602</v>
      </c>
      <c r="B407" t="s">
        <v>406</v>
      </c>
      <c r="C407">
        <v>9</v>
      </c>
      <c r="D407">
        <v>6</v>
      </c>
      <c r="E407">
        <v>4</v>
      </c>
      <c r="F407" s="3" t="s">
        <v>1708</v>
      </c>
      <c r="G407" s="3" t="s">
        <v>1708</v>
      </c>
      <c r="H407">
        <v>0</v>
      </c>
      <c r="I407">
        <v>0</v>
      </c>
      <c r="J407" t="s">
        <v>345</v>
      </c>
      <c r="K407" s="2" t="s">
        <v>346</v>
      </c>
      <c r="L407" s="2">
        <f t="shared" si="128"/>
        <v>6</v>
      </c>
      <c r="M407" s="2">
        <f t="shared" si="126"/>
        <v>1.8</v>
      </c>
      <c r="N407" s="2">
        <f t="shared" si="126"/>
        <v>2</v>
      </c>
      <c r="O407" s="2">
        <v>10</v>
      </c>
      <c r="P407" s="2">
        <f t="shared" si="144"/>
        <v>253.44</v>
      </c>
      <c r="Q407" s="2">
        <f t="shared" si="144"/>
        <v>25.34</v>
      </c>
      <c r="R407" s="2">
        <f t="shared" si="144"/>
        <v>2534.4</v>
      </c>
      <c r="S407" s="2">
        <f t="shared" si="142"/>
        <v>253.44</v>
      </c>
      <c r="T407" s="2">
        <f t="shared" si="142"/>
        <v>50.69</v>
      </c>
      <c r="U407" s="2">
        <f t="shared" si="142"/>
        <v>5.07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17">
        <v>546022</v>
      </c>
      <c r="AB407" s="14" t="s">
        <v>732</v>
      </c>
      <c r="AC407" s="15" t="s">
        <v>890</v>
      </c>
      <c r="AD407" s="2">
        <v>5104602</v>
      </c>
      <c r="AE407" s="2">
        <v>0</v>
      </c>
      <c r="AF407" s="2">
        <v>2</v>
      </c>
      <c r="AG407" s="2">
        <v>8</v>
      </c>
      <c r="AH407" s="2">
        <v>1</v>
      </c>
      <c r="AI407" s="2"/>
      <c r="AJ407">
        <v>1</v>
      </c>
      <c r="AK407" s="1">
        <f t="shared" si="143"/>
        <v>113.55690326251404</v>
      </c>
      <c r="AL407">
        <v>9</v>
      </c>
      <c r="AM407">
        <f t="shared" si="134"/>
        <v>230.39999999999998</v>
      </c>
      <c r="AN407">
        <f t="shared" si="135"/>
        <v>23.04</v>
      </c>
      <c r="AO407">
        <f t="shared" si="136"/>
        <v>2304</v>
      </c>
      <c r="AP407">
        <f t="shared" si="137"/>
        <v>230.4</v>
      </c>
      <c r="AQ407">
        <f t="shared" si="138"/>
        <v>46.08</v>
      </c>
      <c r="AR407">
        <f t="shared" si="145"/>
        <v>4.6079999999999997</v>
      </c>
      <c r="AS407">
        <f t="shared" si="139"/>
        <v>1.8</v>
      </c>
      <c r="AT407">
        <f t="shared" si="140"/>
        <v>2</v>
      </c>
      <c r="AU407">
        <f t="shared" si="141"/>
        <v>6</v>
      </c>
      <c r="AV407">
        <f t="shared" si="131"/>
        <v>6024</v>
      </c>
      <c r="AW407" s="1">
        <v>2</v>
      </c>
      <c r="AX407">
        <v>5</v>
      </c>
      <c r="AY407">
        <v>0.1</v>
      </c>
      <c r="BX407" t="str">
        <f t="shared" si="146"/>
        <v>1546021,2546021,3546021</v>
      </c>
      <c r="BY407" s="13">
        <v>1546021</v>
      </c>
      <c r="BZ407" s="13">
        <v>2546021</v>
      </c>
      <c r="CA407" s="13">
        <v>3546021</v>
      </c>
      <c r="CE407" t="str">
        <f t="shared" si="130"/>
        <v>DATA_Class_Base39</v>
      </c>
      <c r="CF407" s="3" t="s">
        <v>407</v>
      </c>
    </row>
    <row r="408" spans="1:84">
      <c r="A408">
        <f t="shared" si="127"/>
        <v>5095202</v>
      </c>
      <c r="B408" t="s">
        <v>380</v>
      </c>
      <c r="C408">
        <v>9</v>
      </c>
      <c r="D408">
        <v>2</v>
      </c>
      <c r="E408">
        <v>5</v>
      </c>
      <c r="F408" s="3" t="s">
        <v>1709</v>
      </c>
      <c r="G408" s="3" t="s">
        <v>1709</v>
      </c>
      <c r="H408">
        <v>0</v>
      </c>
      <c r="I408">
        <v>0</v>
      </c>
      <c r="J408" s="3">
        <v>0</v>
      </c>
      <c r="K408" s="2" t="s">
        <v>280</v>
      </c>
      <c r="L408" s="2">
        <f t="shared" si="128"/>
        <v>3</v>
      </c>
      <c r="M408" s="2">
        <f t="shared" si="126"/>
        <v>1.8</v>
      </c>
      <c r="N408" s="2">
        <f t="shared" si="126"/>
        <v>2</v>
      </c>
      <c r="O408" s="2">
        <v>10</v>
      </c>
      <c r="P408" s="2">
        <f t="shared" si="144"/>
        <v>228.1</v>
      </c>
      <c r="Q408" s="2">
        <f t="shared" si="144"/>
        <v>22.81</v>
      </c>
      <c r="R408" s="2">
        <f t="shared" si="144"/>
        <v>2816</v>
      </c>
      <c r="S408" s="2">
        <f t="shared" si="142"/>
        <v>281.60000000000002</v>
      </c>
      <c r="T408" s="2">
        <f t="shared" si="142"/>
        <v>76.03</v>
      </c>
      <c r="U408" s="2">
        <f t="shared" si="142"/>
        <v>7.6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17">
        <v>552022</v>
      </c>
      <c r="AB408" s="15" t="s">
        <v>733</v>
      </c>
      <c r="AC408" s="15" t="s">
        <v>890</v>
      </c>
      <c r="AD408" s="2">
        <v>5105202</v>
      </c>
      <c r="AE408" s="2">
        <v>0</v>
      </c>
      <c r="AF408" s="2">
        <v>2</v>
      </c>
      <c r="AG408" s="2">
        <v>8</v>
      </c>
      <c r="AH408" s="2">
        <v>1</v>
      </c>
      <c r="AI408" s="2"/>
      <c r="AJ408">
        <v>1</v>
      </c>
      <c r="AK408" s="1">
        <f t="shared" si="143"/>
        <v>114.14138840869802</v>
      </c>
      <c r="AL408">
        <v>9</v>
      </c>
      <c r="AM408">
        <f t="shared" si="134"/>
        <v>207.36</v>
      </c>
      <c r="AN408">
        <f t="shared" si="135"/>
        <v>20.736000000000004</v>
      </c>
      <c r="AO408">
        <f t="shared" si="136"/>
        <v>2560</v>
      </c>
      <c r="AP408">
        <f t="shared" si="137"/>
        <v>256</v>
      </c>
      <c r="AQ408">
        <f t="shared" si="138"/>
        <v>69.12</v>
      </c>
      <c r="AR408">
        <f t="shared" si="145"/>
        <v>6.9120000000000008</v>
      </c>
      <c r="AS408">
        <f t="shared" si="139"/>
        <v>1.8</v>
      </c>
      <c r="AT408">
        <f t="shared" si="140"/>
        <v>2</v>
      </c>
      <c r="AU408">
        <f t="shared" si="141"/>
        <v>3</v>
      </c>
      <c r="AV408">
        <f t="shared" si="131"/>
        <v>2025</v>
      </c>
      <c r="AW408" s="1">
        <v>2</v>
      </c>
      <c r="AX408">
        <v>5</v>
      </c>
      <c r="AY408">
        <v>0.1</v>
      </c>
      <c r="BY408" s="13"/>
      <c r="BZ408" s="13"/>
      <c r="CA408" s="13"/>
      <c r="CE408" t="str">
        <f t="shared" si="130"/>
        <v>DATA_Class_Base30</v>
      </c>
      <c r="CF408" s="3" t="s">
        <v>381</v>
      </c>
    </row>
    <row r="409" spans="1:84">
      <c r="A409">
        <f t="shared" si="127"/>
        <v>5095300</v>
      </c>
      <c r="B409" t="s">
        <v>410</v>
      </c>
      <c r="C409">
        <v>9</v>
      </c>
      <c r="D409">
        <v>3</v>
      </c>
      <c r="E409">
        <v>5</v>
      </c>
      <c r="F409" s="3" t="s">
        <v>1710</v>
      </c>
      <c r="G409" s="3" t="s">
        <v>1710</v>
      </c>
      <c r="H409">
        <v>0</v>
      </c>
      <c r="I409">
        <v>0</v>
      </c>
      <c r="J409" s="2">
        <v>0</v>
      </c>
      <c r="K409" s="2" t="s">
        <v>352</v>
      </c>
      <c r="L409" s="2">
        <f t="shared" si="128"/>
        <v>6</v>
      </c>
      <c r="M409" s="2">
        <f t="shared" si="126"/>
        <v>1.3</v>
      </c>
      <c r="N409" s="2">
        <f t="shared" si="126"/>
        <v>2</v>
      </c>
      <c r="O409" s="2">
        <v>10</v>
      </c>
      <c r="P409" s="2">
        <f t="shared" si="144"/>
        <v>210.5</v>
      </c>
      <c r="Q409" s="2">
        <f t="shared" si="144"/>
        <v>21.05</v>
      </c>
      <c r="R409" s="2">
        <f t="shared" si="144"/>
        <v>2203.83</v>
      </c>
      <c r="S409" s="2">
        <f t="shared" si="142"/>
        <v>220.38</v>
      </c>
      <c r="T409" s="2">
        <f t="shared" si="142"/>
        <v>26.31</v>
      </c>
      <c r="U409" s="2">
        <f t="shared" si="142"/>
        <v>2.63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17">
        <v>553002</v>
      </c>
      <c r="AB409" s="14" t="s">
        <v>734</v>
      </c>
      <c r="AC409" s="15" t="s">
        <v>890</v>
      </c>
      <c r="AD409" s="2">
        <v>5105300</v>
      </c>
      <c r="AE409" s="2">
        <v>0</v>
      </c>
      <c r="AF409" s="2">
        <v>2</v>
      </c>
      <c r="AG409" s="2">
        <v>8</v>
      </c>
      <c r="AH409" s="2">
        <v>1</v>
      </c>
      <c r="AI409" s="2"/>
      <c r="AJ409">
        <v>1</v>
      </c>
      <c r="AK409" s="1">
        <f t="shared" si="143"/>
        <v>113.00036190448616</v>
      </c>
      <c r="AL409">
        <v>9</v>
      </c>
      <c r="AM409">
        <f t="shared" si="134"/>
        <v>191.35999999999996</v>
      </c>
      <c r="AN409">
        <f t="shared" si="135"/>
        <v>19.135999999999996</v>
      </c>
      <c r="AO409">
        <f t="shared" si="136"/>
        <v>2003.4782608695652</v>
      </c>
      <c r="AP409">
        <f t="shared" si="137"/>
        <v>200.34782608695653</v>
      </c>
      <c r="AQ409">
        <f t="shared" si="138"/>
        <v>23.919999999999995</v>
      </c>
      <c r="AR409">
        <f t="shared" si="145"/>
        <v>2.3919999999999995</v>
      </c>
      <c r="AS409">
        <f t="shared" si="139"/>
        <v>1.3</v>
      </c>
      <c r="AT409">
        <f t="shared" si="140"/>
        <v>2</v>
      </c>
      <c r="AU409">
        <f t="shared" si="141"/>
        <v>6</v>
      </c>
      <c r="AV409">
        <f t="shared" si="131"/>
        <v>3005</v>
      </c>
      <c r="AW409" s="1">
        <v>0</v>
      </c>
      <c r="AX409">
        <v>5</v>
      </c>
      <c r="AY409">
        <v>0.1</v>
      </c>
      <c r="BX409" t="str">
        <f t="shared" ref="BX409:BX411" si="147">BY409&amp;","&amp;BZ409&amp;","&amp;CA409</f>
        <v>1553001,2553001,3553001</v>
      </c>
      <c r="BY409" s="13">
        <v>1553001</v>
      </c>
      <c r="BZ409" s="13">
        <v>2553001</v>
      </c>
      <c r="CA409" s="13">
        <v>3553001</v>
      </c>
      <c r="CE409" t="str">
        <f t="shared" si="130"/>
        <v>DATA_Class_Base40</v>
      </c>
      <c r="CF409" s="3" t="s">
        <v>411</v>
      </c>
    </row>
    <row r="410" spans="1:84">
      <c r="A410">
        <f t="shared" si="127"/>
        <v>5095302</v>
      </c>
      <c r="B410" t="s">
        <v>412</v>
      </c>
      <c r="C410">
        <v>9</v>
      </c>
      <c r="D410">
        <v>3</v>
      </c>
      <c r="E410">
        <v>5</v>
      </c>
      <c r="F410" s="3" t="s">
        <v>1711</v>
      </c>
      <c r="G410" s="3" t="s">
        <v>1711</v>
      </c>
      <c r="H410">
        <v>0</v>
      </c>
      <c r="I410">
        <v>0</v>
      </c>
      <c r="J410" s="2">
        <v>0</v>
      </c>
      <c r="K410" s="2" t="s">
        <v>358</v>
      </c>
      <c r="L410" s="2">
        <f t="shared" si="128"/>
        <v>3</v>
      </c>
      <c r="M410" s="2">
        <f t="shared" si="126"/>
        <v>1.4000000000000001</v>
      </c>
      <c r="N410" s="2">
        <f t="shared" si="126"/>
        <v>2</v>
      </c>
      <c r="O410" s="2">
        <v>10</v>
      </c>
      <c r="P410" s="2">
        <f t="shared" si="144"/>
        <v>236.54</v>
      </c>
      <c r="Q410" s="2">
        <f t="shared" si="144"/>
        <v>23.65</v>
      </c>
      <c r="R410" s="2">
        <f t="shared" si="144"/>
        <v>2112</v>
      </c>
      <c r="S410" s="2">
        <f t="shared" si="142"/>
        <v>211.2</v>
      </c>
      <c r="T410" s="2">
        <f t="shared" si="142"/>
        <v>33.79</v>
      </c>
      <c r="U410" s="2">
        <f t="shared" si="142"/>
        <v>3.38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17">
        <v>553022</v>
      </c>
      <c r="AB410" s="14" t="s">
        <v>735</v>
      </c>
      <c r="AC410" s="15" t="s">
        <v>890</v>
      </c>
      <c r="AD410" s="2">
        <v>5105302</v>
      </c>
      <c r="AE410" s="2">
        <v>0</v>
      </c>
      <c r="AF410" s="2">
        <v>2</v>
      </c>
      <c r="AG410" s="2">
        <v>8</v>
      </c>
      <c r="AH410" s="2">
        <v>1</v>
      </c>
      <c r="AI410" s="2"/>
      <c r="AJ410">
        <v>1</v>
      </c>
      <c r="AK410" s="1">
        <f t="shared" si="143"/>
        <v>113.17056071755353</v>
      </c>
      <c r="AL410">
        <v>9</v>
      </c>
      <c r="AM410">
        <f t="shared" si="134"/>
        <v>215.04</v>
      </c>
      <c r="AN410">
        <f t="shared" si="135"/>
        <v>21.504000000000001</v>
      </c>
      <c r="AO410">
        <f t="shared" si="136"/>
        <v>1920</v>
      </c>
      <c r="AP410">
        <f t="shared" si="137"/>
        <v>192</v>
      </c>
      <c r="AQ410">
        <f t="shared" si="138"/>
        <v>30.72</v>
      </c>
      <c r="AR410">
        <f t="shared" si="145"/>
        <v>3.0720000000000001</v>
      </c>
      <c r="AS410">
        <f t="shared" si="139"/>
        <v>1.4</v>
      </c>
      <c r="AT410">
        <f t="shared" si="140"/>
        <v>2</v>
      </c>
      <c r="AU410">
        <f t="shared" si="141"/>
        <v>3</v>
      </c>
      <c r="AV410">
        <f t="shared" si="131"/>
        <v>3025</v>
      </c>
      <c r="AW410" s="1">
        <v>2</v>
      </c>
      <c r="AX410">
        <v>5</v>
      </c>
      <c r="AY410">
        <v>0.1</v>
      </c>
      <c r="BX410" t="str">
        <f t="shared" si="147"/>
        <v>1553021,2553021,3553021</v>
      </c>
      <c r="BY410" s="13">
        <v>1553021</v>
      </c>
      <c r="BZ410" s="13">
        <v>2553021</v>
      </c>
      <c r="CA410" s="13">
        <v>3553021</v>
      </c>
      <c r="CE410" t="str">
        <f t="shared" si="130"/>
        <v>DATA_Class_Base41</v>
      </c>
      <c r="CF410" s="3" t="s">
        <v>413</v>
      </c>
    </row>
    <row r="411" spans="1:84">
      <c r="A411">
        <f t="shared" si="127"/>
        <v>5095400</v>
      </c>
      <c r="B411" t="s">
        <v>414</v>
      </c>
      <c r="C411">
        <v>9</v>
      </c>
      <c r="D411">
        <v>4</v>
      </c>
      <c r="E411">
        <v>5</v>
      </c>
      <c r="F411" s="3" t="s">
        <v>1712</v>
      </c>
      <c r="G411" s="3" t="s">
        <v>1712</v>
      </c>
      <c r="H411">
        <v>0</v>
      </c>
      <c r="I411">
        <v>0</v>
      </c>
      <c r="J411">
        <v>0</v>
      </c>
      <c r="K411" s="2" t="s">
        <v>364</v>
      </c>
      <c r="L411" s="2">
        <f t="shared" si="128"/>
        <v>6</v>
      </c>
      <c r="M411" s="2">
        <f t="shared" ref="M411:N426" si="148">FLOOR(AS411/1,0.01)</f>
        <v>1.4000000000000001</v>
      </c>
      <c r="N411" s="2">
        <f t="shared" si="148"/>
        <v>2</v>
      </c>
      <c r="O411" s="2">
        <v>10</v>
      </c>
      <c r="P411" s="2">
        <f t="shared" si="144"/>
        <v>246.4</v>
      </c>
      <c r="Q411" s="2">
        <f t="shared" si="144"/>
        <v>24.64</v>
      </c>
      <c r="R411" s="2">
        <f t="shared" si="144"/>
        <v>2027.52</v>
      </c>
      <c r="S411" s="2">
        <f t="shared" si="142"/>
        <v>202.75</v>
      </c>
      <c r="T411" s="2">
        <f t="shared" si="142"/>
        <v>41.07</v>
      </c>
      <c r="U411" s="2">
        <f t="shared" si="142"/>
        <v>4.1100000000000003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17">
        <v>554002</v>
      </c>
      <c r="AB411" s="14" t="s">
        <v>736</v>
      </c>
      <c r="AC411" s="15" t="s">
        <v>890</v>
      </c>
      <c r="AD411" s="2">
        <v>5105400</v>
      </c>
      <c r="AE411" s="2">
        <v>0</v>
      </c>
      <c r="AF411" s="2">
        <v>2</v>
      </c>
      <c r="AG411" s="2">
        <v>8</v>
      </c>
      <c r="AH411" s="2">
        <v>1</v>
      </c>
      <c r="AI411" s="2"/>
      <c r="AJ411">
        <v>1</v>
      </c>
      <c r="AK411" s="1">
        <f t="shared" si="143"/>
        <v>113.33657990965798</v>
      </c>
      <c r="AL411">
        <v>9</v>
      </c>
      <c r="AM411">
        <f t="shared" si="134"/>
        <v>224.00000000000003</v>
      </c>
      <c r="AN411">
        <f t="shared" si="135"/>
        <v>22.400000000000006</v>
      </c>
      <c r="AO411">
        <f t="shared" si="136"/>
        <v>1843.1999999999998</v>
      </c>
      <c r="AP411">
        <f t="shared" si="137"/>
        <v>184.32</v>
      </c>
      <c r="AQ411">
        <f t="shared" si="138"/>
        <v>37.333333333333336</v>
      </c>
      <c r="AR411">
        <f t="shared" si="145"/>
        <v>3.7333333333333338</v>
      </c>
      <c r="AS411">
        <f t="shared" si="139"/>
        <v>1.4</v>
      </c>
      <c r="AT411">
        <f t="shared" si="140"/>
        <v>2</v>
      </c>
      <c r="AU411">
        <f t="shared" si="141"/>
        <v>6</v>
      </c>
      <c r="AV411">
        <f t="shared" si="131"/>
        <v>4005</v>
      </c>
      <c r="AW411" s="1">
        <v>0</v>
      </c>
      <c r="AX411">
        <v>5</v>
      </c>
      <c r="AY411">
        <v>0.1</v>
      </c>
      <c r="BX411" t="str">
        <f t="shared" si="147"/>
        <v>1554001,2554001,3554001</v>
      </c>
      <c r="BY411" s="13">
        <v>1554001</v>
      </c>
      <c r="BZ411" s="13">
        <v>2554001</v>
      </c>
      <c r="CA411" s="13">
        <v>3554001</v>
      </c>
      <c r="CE411" t="str">
        <f t="shared" si="130"/>
        <v>DATA_Class_Base42</v>
      </c>
      <c r="CF411" s="3" t="s">
        <v>174</v>
      </c>
    </row>
    <row r="412" spans="1:84">
      <c r="A412">
        <f t="shared" si="127"/>
        <v>5095501</v>
      </c>
      <c r="B412" t="s">
        <v>401</v>
      </c>
      <c r="C412">
        <v>9</v>
      </c>
      <c r="D412">
        <v>5</v>
      </c>
      <c r="E412">
        <v>5</v>
      </c>
      <c r="F412" s="3" t="s">
        <v>1713</v>
      </c>
      <c r="G412" s="3" t="s">
        <v>1713</v>
      </c>
      <c r="H412">
        <v>0</v>
      </c>
      <c r="I412">
        <v>0</v>
      </c>
      <c r="J412" s="3">
        <v>0</v>
      </c>
      <c r="K412" s="2" t="s">
        <v>334</v>
      </c>
      <c r="L412" s="2">
        <f t="shared" si="128"/>
        <v>6</v>
      </c>
      <c r="M412" s="2">
        <f t="shared" si="148"/>
        <v>1.6</v>
      </c>
      <c r="N412" s="2">
        <f t="shared" si="148"/>
        <v>2</v>
      </c>
      <c r="O412" s="2">
        <v>10</v>
      </c>
      <c r="P412" s="2">
        <f t="shared" si="144"/>
        <v>326.66000000000003</v>
      </c>
      <c r="Q412" s="2">
        <f t="shared" si="144"/>
        <v>32.67</v>
      </c>
      <c r="R412" s="2">
        <f t="shared" si="144"/>
        <v>1747.86</v>
      </c>
      <c r="S412" s="2">
        <f t="shared" si="142"/>
        <v>174.79</v>
      </c>
      <c r="T412" s="2">
        <f t="shared" si="142"/>
        <v>36.299999999999997</v>
      </c>
      <c r="U412" s="2">
        <f t="shared" si="142"/>
        <v>3.63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17">
        <v>555012</v>
      </c>
      <c r="AB412" s="15" t="s">
        <v>737</v>
      </c>
      <c r="AC412" s="15" t="s">
        <v>890</v>
      </c>
      <c r="AD412" s="2">
        <v>5105501</v>
      </c>
      <c r="AE412" s="2">
        <v>0</v>
      </c>
      <c r="AF412" s="2">
        <v>2</v>
      </c>
      <c r="AG412" s="2">
        <v>8</v>
      </c>
      <c r="AH412" s="2">
        <v>1</v>
      </c>
      <c r="AI412" s="2"/>
      <c r="AJ412">
        <v>1</v>
      </c>
      <c r="AK412" s="1">
        <f t="shared" si="143"/>
        <v>113.22763068732887</v>
      </c>
      <c r="AL412">
        <v>9</v>
      </c>
      <c r="AM412">
        <f t="shared" si="134"/>
        <v>296.95999999999998</v>
      </c>
      <c r="AN412">
        <f t="shared" si="135"/>
        <v>29.695999999999998</v>
      </c>
      <c r="AO412">
        <f t="shared" si="136"/>
        <v>1588.9655172413793</v>
      </c>
      <c r="AP412">
        <f t="shared" si="137"/>
        <v>158.89655172413794</v>
      </c>
      <c r="AQ412">
        <f t="shared" si="138"/>
        <v>32.995555555555555</v>
      </c>
      <c r="AR412">
        <f t="shared" si="145"/>
        <v>3.2995555555555556</v>
      </c>
      <c r="AS412">
        <f t="shared" si="139"/>
        <v>1.6</v>
      </c>
      <c r="AT412">
        <f t="shared" si="140"/>
        <v>2</v>
      </c>
      <c r="AU412">
        <f t="shared" si="141"/>
        <v>6</v>
      </c>
      <c r="AV412">
        <f t="shared" si="131"/>
        <v>5015</v>
      </c>
      <c r="AW412" s="1">
        <v>1</v>
      </c>
      <c r="AX412">
        <v>5</v>
      </c>
      <c r="AY412">
        <v>0.1</v>
      </c>
      <c r="BY412" s="13"/>
      <c r="BZ412" s="13"/>
      <c r="CA412" s="13"/>
      <c r="CE412" t="str">
        <f t="shared" si="130"/>
        <v>DATA_Class_Base37</v>
      </c>
      <c r="CF412" s="3" t="s">
        <v>402</v>
      </c>
    </row>
    <row r="413" spans="1:84">
      <c r="A413">
        <f t="shared" si="127"/>
        <v>5101200</v>
      </c>
      <c r="B413" s="31" t="s">
        <v>373</v>
      </c>
      <c r="C413">
        <v>10</v>
      </c>
      <c r="D413">
        <v>2</v>
      </c>
      <c r="E413">
        <v>1</v>
      </c>
      <c r="F413" s="3" t="s">
        <v>1677</v>
      </c>
      <c r="G413" s="3" t="s">
        <v>1677</v>
      </c>
      <c r="H413">
        <v>0</v>
      </c>
      <c r="I413">
        <v>0</v>
      </c>
      <c r="J413" s="2">
        <v>0</v>
      </c>
      <c r="K413" s="2" t="s">
        <v>314</v>
      </c>
      <c r="L413" s="2">
        <f t="shared" si="128"/>
        <v>3</v>
      </c>
      <c r="M413" s="2">
        <f t="shared" si="148"/>
        <v>1.5</v>
      </c>
      <c r="N413" s="2">
        <f t="shared" si="148"/>
        <v>1.2</v>
      </c>
      <c r="O413" s="2">
        <v>10</v>
      </c>
      <c r="P413" s="2">
        <f t="shared" si="144"/>
        <v>183.04</v>
      </c>
      <c r="Q413" s="2">
        <f t="shared" si="144"/>
        <v>18.3</v>
      </c>
      <c r="R413" s="2">
        <f t="shared" si="144"/>
        <v>3432</v>
      </c>
      <c r="S413" s="2">
        <f t="shared" si="142"/>
        <v>343.2</v>
      </c>
      <c r="T413" s="2">
        <f t="shared" si="142"/>
        <v>61.01</v>
      </c>
      <c r="U413" s="2">
        <f t="shared" si="142"/>
        <v>6.1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17">
        <v>512003</v>
      </c>
      <c r="AB413" s="14" t="s">
        <v>701</v>
      </c>
      <c r="AC413" s="15" t="s">
        <v>890</v>
      </c>
      <c r="AD413" s="2">
        <v>5111200</v>
      </c>
      <c r="AE413" s="2">
        <v>0</v>
      </c>
      <c r="AF413" s="2">
        <v>1</v>
      </c>
      <c r="AG413" s="2">
        <f t="shared" ref="AG413:AG449" si="149">A265</f>
        <v>5061200</v>
      </c>
      <c r="AH413" s="2">
        <v>2</v>
      </c>
      <c r="AJ413">
        <v>1</v>
      </c>
      <c r="AK413" s="1">
        <f t="shared" si="143"/>
        <v>133.55025808262965</v>
      </c>
      <c r="AL413">
        <v>10</v>
      </c>
      <c r="AM413">
        <f t="shared" si="134"/>
        <v>166.40000000000003</v>
      </c>
      <c r="AN413">
        <f t="shared" si="135"/>
        <v>16.640000000000004</v>
      </c>
      <c r="AO413">
        <f t="shared" si="136"/>
        <v>3120</v>
      </c>
      <c r="AP413">
        <f t="shared" si="137"/>
        <v>312</v>
      </c>
      <c r="AQ413">
        <f t="shared" si="138"/>
        <v>55.466666666666676</v>
      </c>
      <c r="AR413">
        <f t="shared" si="145"/>
        <v>5.5466666666666677</v>
      </c>
      <c r="AS413">
        <f t="shared" si="139"/>
        <v>1.5</v>
      </c>
      <c r="AT413">
        <f t="shared" si="140"/>
        <v>1.2</v>
      </c>
      <c r="AU413">
        <f t="shared" si="141"/>
        <v>3</v>
      </c>
      <c r="AV413">
        <f t="shared" si="131"/>
        <v>2001</v>
      </c>
      <c r="AW413" s="1">
        <v>0</v>
      </c>
      <c r="AX413">
        <v>5</v>
      </c>
      <c r="AY413">
        <v>0.1</v>
      </c>
      <c r="CE413" t="str">
        <f t="shared" si="130"/>
        <v>DATA_Class_Base28</v>
      </c>
      <c r="CF413" s="3" t="s">
        <v>374</v>
      </c>
    </row>
    <row r="414" spans="1:84">
      <c r="A414">
        <f t="shared" si="127"/>
        <v>5101201</v>
      </c>
      <c r="B414" s="31" t="s">
        <v>377</v>
      </c>
      <c r="C414">
        <v>10</v>
      </c>
      <c r="D414">
        <v>2</v>
      </c>
      <c r="E414">
        <v>1</v>
      </c>
      <c r="F414" s="3" t="s">
        <v>1678</v>
      </c>
      <c r="G414" s="3" t="s">
        <v>1678</v>
      </c>
      <c r="H414">
        <v>0</v>
      </c>
      <c r="I414">
        <v>0</v>
      </c>
      <c r="J414" s="2">
        <v>0</v>
      </c>
      <c r="K414" s="8" t="s">
        <v>298</v>
      </c>
      <c r="L414" s="2">
        <f t="shared" si="128"/>
        <v>3</v>
      </c>
      <c r="M414" s="2">
        <f t="shared" si="148"/>
        <v>1.8</v>
      </c>
      <c r="N414" s="2">
        <f t="shared" si="148"/>
        <v>1.8</v>
      </c>
      <c r="O414" s="2">
        <v>10</v>
      </c>
      <c r="P414" s="2">
        <f t="shared" si="144"/>
        <v>137.28</v>
      </c>
      <c r="Q414" s="2">
        <f t="shared" si="144"/>
        <v>13.73</v>
      </c>
      <c r="R414" s="2">
        <f t="shared" si="144"/>
        <v>5491.2</v>
      </c>
      <c r="S414" s="2">
        <f t="shared" si="142"/>
        <v>549.12</v>
      </c>
      <c r="T414" s="2">
        <f t="shared" si="142"/>
        <v>68.64</v>
      </c>
      <c r="U414" s="2">
        <f t="shared" si="142"/>
        <v>6.86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17">
        <v>512013</v>
      </c>
      <c r="AB414" s="14" t="s">
        <v>702</v>
      </c>
      <c r="AC414" s="15" t="s">
        <v>890</v>
      </c>
      <c r="AD414" s="2">
        <v>5111201</v>
      </c>
      <c r="AE414" s="2">
        <v>0</v>
      </c>
      <c r="AF414" s="2">
        <v>1</v>
      </c>
      <c r="AG414" s="2">
        <f t="shared" si="149"/>
        <v>5061201</v>
      </c>
      <c r="AH414" s="2">
        <v>2</v>
      </c>
      <c r="AJ414">
        <v>1</v>
      </c>
      <c r="AK414" s="1">
        <f t="shared" si="143"/>
        <v>133.75680218033159</v>
      </c>
      <c r="AL414">
        <v>10</v>
      </c>
      <c r="AM414">
        <f t="shared" si="134"/>
        <v>124.80000000000001</v>
      </c>
      <c r="AN414">
        <f t="shared" si="135"/>
        <v>12.480000000000002</v>
      </c>
      <c r="AO414">
        <f t="shared" si="136"/>
        <v>4992</v>
      </c>
      <c r="AP414">
        <f t="shared" si="137"/>
        <v>499.20000000000005</v>
      </c>
      <c r="AQ414">
        <f t="shared" si="138"/>
        <v>62.400000000000006</v>
      </c>
      <c r="AR414">
        <f t="shared" si="145"/>
        <v>6.2400000000000011</v>
      </c>
      <c r="AS414">
        <f t="shared" si="139"/>
        <v>1.8</v>
      </c>
      <c r="AT414">
        <f t="shared" si="140"/>
        <v>1.8</v>
      </c>
      <c r="AU414">
        <f t="shared" si="141"/>
        <v>3</v>
      </c>
      <c r="AV414">
        <f t="shared" si="131"/>
        <v>2011</v>
      </c>
      <c r="AW414" s="1">
        <v>1</v>
      </c>
      <c r="AX414">
        <v>5</v>
      </c>
      <c r="AY414">
        <v>0.1</v>
      </c>
      <c r="CE414" t="str">
        <f t="shared" si="130"/>
        <v>DATA_Class_Base29</v>
      </c>
      <c r="CF414" s="3" t="s">
        <v>378</v>
      </c>
    </row>
    <row r="415" spans="1:84">
      <c r="A415">
        <f t="shared" si="127"/>
        <v>5101202</v>
      </c>
      <c r="B415" s="31" t="s">
        <v>380</v>
      </c>
      <c r="C415">
        <v>10</v>
      </c>
      <c r="D415">
        <v>2</v>
      </c>
      <c r="E415">
        <v>1</v>
      </c>
      <c r="F415" s="3" t="s">
        <v>1679</v>
      </c>
      <c r="G415" s="3" t="s">
        <v>1679</v>
      </c>
      <c r="H415">
        <v>0</v>
      </c>
      <c r="I415">
        <v>0</v>
      </c>
      <c r="J415">
        <v>0</v>
      </c>
      <c r="K415" s="2" t="s">
        <v>280</v>
      </c>
      <c r="L415" s="2">
        <f t="shared" si="128"/>
        <v>3</v>
      </c>
      <c r="M415" s="2">
        <f t="shared" si="148"/>
        <v>1.8</v>
      </c>
      <c r="N415" s="2">
        <f t="shared" si="148"/>
        <v>2</v>
      </c>
      <c r="O415" s="2">
        <v>10</v>
      </c>
      <c r="P415" s="2">
        <f t="shared" si="144"/>
        <v>219.65</v>
      </c>
      <c r="Q415" s="2">
        <f t="shared" si="144"/>
        <v>21.96</v>
      </c>
      <c r="R415" s="2">
        <f t="shared" si="144"/>
        <v>3432</v>
      </c>
      <c r="S415" s="2">
        <f t="shared" si="142"/>
        <v>343.2</v>
      </c>
      <c r="T415" s="2">
        <f t="shared" si="142"/>
        <v>54.91</v>
      </c>
      <c r="U415" s="2">
        <f t="shared" si="142"/>
        <v>5.49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17">
        <v>512023</v>
      </c>
      <c r="AB415" s="14" t="s">
        <v>703</v>
      </c>
      <c r="AC415" s="15" t="s">
        <v>890</v>
      </c>
      <c r="AD415" s="2">
        <v>5111202</v>
      </c>
      <c r="AE415" s="2">
        <v>0</v>
      </c>
      <c r="AF415" s="2">
        <v>1</v>
      </c>
      <c r="AG415" s="2">
        <f t="shared" si="149"/>
        <v>5061202</v>
      </c>
      <c r="AH415" s="2">
        <v>2</v>
      </c>
      <c r="AJ415">
        <v>1</v>
      </c>
      <c r="AK415" s="1">
        <f t="shared" si="143"/>
        <v>133.38548151215915</v>
      </c>
      <c r="AL415">
        <v>10</v>
      </c>
      <c r="AM415">
        <f t="shared" si="134"/>
        <v>199.68000000000004</v>
      </c>
      <c r="AN415">
        <f t="shared" si="135"/>
        <v>19.968000000000004</v>
      </c>
      <c r="AO415">
        <f t="shared" si="136"/>
        <v>3120</v>
      </c>
      <c r="AP415">
        <f t="shared" si="137"/>
        <v>312</v>
      </c>
      <c r="AQ415">
        <f t="shared" si="138"/>
        <v>49.920000000000009</v>
      </c>
      <c r="AR415">
        <f t="shared" si="145"/>
        <v>4.9920000000000009</v>
      </c>
      <c r="AS415">
        <f t="shared" si="139"/>
        <v>1.8</v>
      </c>
      <c r="AT415">
        <f t="shared" si="140"/>
        <v>2</v>
      </c>
      <c r="AU415">
        <f t="shared" si="141"/>
        <v>3</v>
      </c>
      <c r="AV415">
        <f t="shared" si="131"/>
        <v>2021</v>
      </c>
      <c r="AW415" s="1">
        <v>2</v>
      </c>
      <c r="AX415">
        <v>5</v>
      </c>
      <c r="AY415">
        <v>0.1</v>
      </c>
      <c r="CE415" t="str">
        <f t="shared" si="130"/>
        <v>DATA_Class_Base30</v>
      </c>
      <c r="CF415" s="3" t="s">
        <v>381</v>
      </c>
    </row>
    <row r="416" spans="1:84">
      <c r="A416">
        <f t="shared" si="127"/>
        <v>5101301</v>
      </c>
      <c r="B416" s="31" t="s">
        <v>383</v>
      </c>
      <c r="C416">
        <v>10</v>
      </c>
      <c r="D416">
        <v>3</v>
      </c>
      <c r="E416">
        <v>1</v>
      </c>
      <c r="F416" s="3" t="s">
        <v>1680</v>
      </c>
      <c r="G416" s="3" t="s">
        <v>1680</v>
      </c>
      <c r="H416">
        <v>0</v>
      </c>
      <c r="I416">
        <v>0</v>
      </c>
      <c r="J416" s="2">
        <v>0</v>
      </c>
      <c r="K416" s="2" t="s">
        <v>285</v>
      </c>
      <c r="L416" s="2">
        <f t="shared" si="128"/>
        <v>3</v>
      </c>
      <c r="M416" s="2">
        <f t="shared" si="148"/>
        <v>1.2</v>
      </c>
      <c r="N416" s="2">
        <f t="shared" si="148"/>
        <v>2</v>
      </c>
      <c r="O416" s="2">
        <v>10</v>
      </c>
      <c r="P416" s="2">
        <f t="shared" si="144"/>
        <v>201.34</v>
      </c>
      <c r="Q416" s="2">
        <f t="shared" si="144"/>
        <v>20.13</v>
      </c>
      <c r="R416" s="2">
        <f t="shared" si="144"/>
        <v>2496</v>
      </c>
      <c r="S416" s="2">
        <f t="shared" si="142"/>
        <v>249.6</v>
      </c>
      <c r="T416" s="2">
        <f t="shared" si="142"/>
        <v>33.56</v>
      </c>
      <c r="U416" s="2">
        <f t="shared" si="142"/>
        <v>3.36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17">
        <v>513013</v>
      </c>
      <c r="AB416" s="14" t="s">
        <v>704</v>
      </c>
      <c r="AC416" s="15" t="s">
        <v>890</v>
      </c>
      <c r="AD416" s="2">
        <v>5111301</v>
      </c>
      <c r="AE416" s="2">
        <v>0</v>
      </c>
      <c r="AF416" s="2">
        <v>1</v>
      </c>
      <c r="AG416" s="2">
        <f t="shared" si="149"/>
        <v>5061301</v>
      </c>
      <c r="AH416" s="2">
        <v>2</v>
      </c>
      <c r="AJ416">
        <v>1</v>
      </c>
      <c r="AK416" s="1">
        <f t="shared" si="143"/>
        <v>132.81195178735581</v>
      </c>
      <c r="AL416">
        <v>10</v>
      </c>
      <c r="AM416">
        <f t="shared" si="134"/>
        <v>183.04000000000002</v>
      </c>
      <c r="AN416">
        <f t="shared" si="135"/>
        <v>18.304000000000002</v>
      </c>
      <c r="AO416">
        <f t="shared" si="136"/>
        <v>2269.090909090909</v>
      </c>
      <c r="AP416">
        <f t="shared" si="137"/>
        <v>226.90909090909091</v>
      </c>
      <c r="AQ416">
        <f t="shared" si="138"/>
        <v>30.506666666666671</v>
      </c>
      <c r="AR416">
        <f t="shared" si="145"/>
        <v>3.0506666666666673</v>
      </c>
      <c r="AS416">
        <f t="shared" si="139"/>
        <v>1.2</v>
      </c>
      <c r="AT416">
        <f t="shared" si="140"/>
        <v>2</v>
      </c>
      <c r="AU416">
        <f t="shared" si="141"/>
        <v>3</v>
      </c>
      <c r="AV416">
        <f t="shared" si="131"/>
        <v>3011</v>
      </c>
      <c r="AW416" s="1">
        <v>1</v>
      </c>
      <c r="AX416">
        <v>5</v>
      </c>
      <c r="AY416">
        <v>0.1</v>
      </c>
      <c r="CE416" t="str">
        <f t="shared" si="130"/>
        <v>DATA_Class_Base31</v>
      </c>
      <c r="CF416" s="3" t="s">
        <v>384</v>
      </c>
    </row>
    <row r="417" spans="1:84">
      <c r="A417">
        <f t="shared" si="127"/>
        <v>5101401</v>
      </c>
      <c r="B417" s="31" t="s">
        <v>387</v>
      </c>
      <c r="C417">
        <v>10</v>
      </c>
      <c r="D417">
        <v>4</v>
      </c>
      <c r="E417">
        <v>1</v>
      </c>
      <c r="F417" s="3" t="s">
        <v>1681</v>
      </c>
      <c r="G417" s="3" t="s">
        <v>1681</v>
      </c>
      <c r="H417">
        <v>0</v>
      </c>
      <c r="I417">
        <v>0</v>
      </c>
      <c r="J417" s="2">
        <v>0</v>
      </c>
      <c r="K417" s="2" t="s">
        <v>161</v>
      </c>
      <c r="L417" s="2">
        <f t="shared" si="128"/>
        <v>6</v>
      </c>
      <c r="M417" s="2">
        <f t="shared" si="148"/>
        <v>1.6</v>
      </c>
      <c r="N417" s="2">
        <f t="shared" si="148"/>
        <v>2</v>
      </c>
      <c r="O417" s="2">
        <v>10</v>
      </c>
      <c r="P417" s="2">
        <f t="shared" si="144"/>
        <v>268.45999999999998</v>
      </c>
      <c r="Q417" s="2">
        <f t="shared" si="144"/>
        <v>26.85</v>
      </c>
      <c r="R417" s="2">
        <f t="shared" si="144"/>
        <v>2496</v>
      </c>
      <c r="S417" s="2">
        <f t="shared" si="142"/>
        <v>249.6</v>
      </c>
      <c r="T417" s="2">
        <f t="shared" si="142"/>
        <v>53.69</v>
      </c>
      <c r="U417" s="2">
        <f t="shared" si="142"/>
        <v>5.37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17">
        <v>514013</v>
      </c>
      <c r="AB417" s="14" t="s">
        <v>705</v>
      </c>
      <c r="AC417" s="15" t="s">
        <v>890</v>
      </c>
      <c r="AD417" s="2">
        <v>5111401</v>
      </c>
      <c r="AE417" s="2">
        <v>0</v>
      </c>
      <c r="AF417" s="2">
        <v>1</v>
      </c>
      <c r="AG417" s="2">
        <f t="shared" si="149"/>
        <v>5061401</v>
      </c>
      <c r="AH417" s="2">
        <v>2</v>
      </c>
      <c r="AJ417">
        <v>1</v>
      </c>
      <c r="AK417" s="1">
        <f t="shared" si="143"/>
        <v>133.35257497901736</v>
      </c>
      <c r="AL417">
        <v>10</v>
      </c>
      <c r="AM417">
        <f t="shared" si="134"/>
        <v>244.0533333333334</v>
      </c>
      <c r="AN417">
        <f t="shared" si="135"/>
        <v>24.405333333333342</v>
      </c>
      <c r="AO417">
        <f t="shared" si="136"/>
        <v>2269.090909090909</v>
      </c>
      <c r="AP417">
        <f t="shared" si="137"/>
        <v>226.90909090909091</v>
      </c>
      <c r="AQ417">
        <f t="shared" si="138"/>
        <v>48.810666666666677</v>
      </c>
      <c r="AR417">
        <f t="shared" si="145"/>
        <v>4.8810666666666682</v>
      </c>
      <c r="AS417">
        <f t="shared" si="139"/>
        <v>1.6</v>
      </c>
      <c r="AT417">
        <f t="shared" si="140"/>
        <v>2</v>
      </c>
      <c r="AU417">
        <f t="shared" si="141"/>
        <v>6</v>
      </c>
      <c r="AV417">
        <f t="shared" si="131"/>
        <v>4011</v>
      </c>
      <c r="AW417" s="1">
        <v>1</v>
      </c>
      <c r="AX417">
        <v>5</v>
      </c>
      <c r="AY417">
        <v>0.1</v>
      </c>
      <c r="CE417" t="str">
        <f t="shared" si="130"/>
        <v>DATA_Class_Base32</v>
      </c>
      <c r="CF417" s="3" t="s">
        <v>388</v>
      </c>
    </row>
    <row r="418" spans="1:84">
      <c r="A418">
        <f t="shared" si="127"/>
        <v>5101402</v>
      </c>
      <c r="B418" s="31" t="s">
        <v>390</v>
      </c>
      <c r="C418">
        <v>10</v>
      </c>
      <c r="D418">
        <v>4</v>
      </c>
      <c r="E418">
        <v>1</v>
      </c>
      <c r="F418" s="3" t="s">
        <v>1682</v>
      </c>
      <c r="G418" s="3" t="s">
        <v>1682</v>
      </c>
      <c r="H418">
        <v>0</v>
      </c>
      <c r="I418">
        <v>0</v>
      </c>
      <c r="J418">
        <v>0</v>
      </c>
      <c r="K418" s="2" t="s">
        <v>250</v>
      </c>
      <c r="L418" s="2">
        <f t="shared" si="128"/>
        <v>6</v>
      </c>
      <c r="M418" s="2">
        <f t="shared" si="148"/>
        <v>1.5</v>
      </c>
      <c r="N418" s="2">
        <f t="shared" si="148"/>
        <v>1.5</v>
      </c>
      <c r="O418" s="2">
        <v>10</v>
      </c>
      <c r="P418" s="2">
        <f t="shared" si="144"/>
        <v>274.56</v>
      </c>
      <c r="Q418" s="2">
        <f t="shared" si="144"/>
        <v>27.46</v>
      </c>
      <c r="R418" s="2">
        <f t="shared" si="144"/>
        <v>2288</v>
      </c>
      <c r="S418" s="2">
        <f t="shared" si="142"/>
        <v>228.8</v>
      </c>
      <c r="T418" s="2">
        <f t="shared" si="142"/>
        <v>45.76</v>
      </c>
      <c r="U418" s="2">
        <f t="shared" si="142"/>
        <v>4.58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17">
        <v>514023</v>
      </c>
      <c r="AB418" s="14" t="s">
        <v>706</v>
      </c>
      <c r="AC418" s="15" t="s">
        <v>890</v>
      </c>
      <c r="AD418" s="2">
        <v>5111402</v>
      </c>
      <c r="AE418" s="2">
        <v>0</v>
      </c>
      <c r="AF418" s="2">
        <v>1</v>
      </c>
      <c r="AG418" s="2">
        <f t="shared" si="149"/>
        <v>5061402</v>
      </c>
      <c r="AH418" s="2">
        <v>2</v>
      </c>
      <c r="AJ418">
        <v>1</v>
      </c>
      <c r="AK418" s="1">
        <f t="shared" si="143"/>
        <v>133.13907763854803</v>
      </c>
      <c r="AL418">
        <v>10</v>
      </c>
      <c r="AM418">
        <f t="shared" si="134"/>
        <v>249.60000000000002</v>
      </c>
      <c r="AN418">
        <f t="shared" si="135"/>
        <v>24.960000000000004</v>
      </c>
      <c r="AO418">
        <f t="shared" si="136"/>
        <v>2080</v>
      </c>
      <c r="AP418">
        <f t="shared" si="137"/>
        <v>208</v>
      </c>
      <c r="AQ418">
        <f t="shared" si="138"/>
        <v>41.6</v>
      </c>
      <c r="AR418">
        <f t="shared" si="145"/>
        <v>4.16</v>
      </c>
      <c r="AS418">
        <f t="shared" si="139"/>
        <v>1.5</v>
      </c>
      <c r="AT418">
        <f t="shared" si="140"/>
        <v>1.5</v>
      </c>
      <c r="AU418">
        <f t="shared" si="141"/>
        <v>6</v>
      </c>
      <c r="AV418">
        <f t="shared" si="131"/>
        <v>4021</v>
      </c>
      <c r="AW418" s="1">
        <v>2</v>
      </c>
      <c r="AX418">
        <v>5</v>
      </c>
      <c r="AY418">
        <v>0.1</v>
      </c>
      <c r="CE418" t="str">
        <f t="shared" si="130"/>
        <v>DATA_Class_Base33</v>
      </c>
      <c r="CF418" s="3" t="s">
        <v>391</v>
      </c>
    </row>
    <row r="419" spans="1:84">
      <c r="A419">
        <f t="shared" si="127"/>
        <v>5101500</v>
      </c>
      <c r="B419" s="31" t="s">
        <v>394</v>
      </c>
      <c r="C419">
        <v>10</v>
      </c>
      <c r="D419">
        <v>5</v>
      </c>
      <c r="E419">
        <v>1</v>
      </c>
      <c r="F419" s="3" t="s">
        <v>1683</v>
      </c>
      <c r="G419" s="3" t="s">
        <v>1683</v>
      </c>
      <c r="H419">
        <v>0</v>
      </c>
      <c r="I419">
        <v>0</v>
      </c>
      <c r="J419">
        <v>0</v>
      </c>
      <c r="K419" s="2" t="s">
        <v>303</v>
      </c>
      <c r="L419" s="2">
        <f t="shared" si="128"/>
        <v>6</v>
      </c>
      <c r="M419" s="2">
        <f t="shared" si="148"/>
        <v>1.5</v>
      </c>
      <c r="N419" s="2">
        <f t="shared" si="148"/>
        <v>1.5</v>
      </c>
      <c r="O419" s="2">
        <v>10</v>
      </c>
      <c r="P419" s="2">
        <f t="shared" si="144"/>
        <v>320.32</v>
      </c>
      <c r="Q419" s="2">
        <f t="shared" si="144"/>
        <v>32.03</v>
      </c>
      <c r="R419" s="2">
        <f t="shared" si="144"/>
        <v>1961.14</v>
      </c>
      <c r="S419" s="2">
        <f t="shared" si="142"/>
        <v>196.11</v>
      </c>
      <c r="T419" s="2">
        <f t="shared" si="142"/>
        <v>45.76</v>
      </c>
      <c r="U419" s="2">
        <f t="shared" si="142"/>
        <v>4.58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17">
        <v>515003</v>
      </c>
      <c r="AB419" s="14" t="s">
        <v>707</v>
      </c>
      <c r="AC419" s="15" t="s">
        <v>890</v>
      </c>
      <c r="AD419" s="2">
        <v>5111500</v>
      </c>
      <c r="AE419" s="2">
        <v>0</v>
      </c>
      <c r="AF419" s="2">
        <v>1</v>
      </c>
      <c r="AG419" s="2">
        <f t="shared" si="149"/>
        <v>5061500</v>
      </c>
      <c r="AH419" s="2">
        <v>2</v>
      </c>
      <c r="AJ419">
        <v>1</v>
      </c>
      <c r="AK419" s="1">
        <f t="shared" si="143"/>
        <v>133.139077638548</v>
      </c>
      <c r="AL419">
        <v>10</v>
      </c>
      <c r="AM419">
        <f t="shared" si="134"/>
        <v>291.19999999999993</v>
      </c>
      <c r="AN419">
        <f t="shared" si="135"/>
        <v>29.119999999999994</v>
      </c>
      <c r="AO419">
        <f t="shared" si="136"/>
        <v>1782.8571428571431</v>
      </c>
      <c r="AP419">
        <f t="shared" si="137"/>
        <v>178.28571428571433</v>
      </c>
      <c r="AQ419">
        <f t="shared" si="138"/>
        <v>41.599999999999987</v>
      </c>
      <c r="AR419">
        <f t="shared" si="145"/>
        <v>4.1599999999999993</v>
      </c>
      <c r="AS419">
        <f t="shared" si="139"/>
        <v>1.5</v>
      </c>
      <c r="AT419">
        <f t="shared" si="140"/>
        <v>1.5</v>
      </c>
      <c r="AU419">
        <f t="shared" si="141"/>
        <v>6</v>
      </c>
      <c r="AV419">
        <f t="shared" si="131"/>
        <v>5001</v>
      </c>
      <c r="AW419" s="1">
        <v>0</v>
      </c>
      <c r="AX419">
        <v>5</v>
      </c>
      <c r="AY419">
        <v>0.1</v>
      </c>
      <c r="CE419" t="str">
        <f t="shared" si="130"/>
        <v>DATA_Class_Base34</v>
      </c>
      <c r="CF419" s="3" t="s">
        <v>184</v>
      </c>
    </row>
    <row r="420" spans="1:84">
      <c r="A420">
        <f t="shared" si="127"/>
        <v>5101502</v>
      </c>
      <c r="B420" s="31" t="s">
        <v>396</v>
      </c>
      <c r="C420">
        <v>10</v>
      </c>
      <c r="D420">
        <v>5</v>
      </c>
      <c r="E420">
        <v>1</v>
      </c>
      <c r="F420" s="3" t="s">
        <v>1684</v>
      </c>
      <c r="G420" s="3" t="s">
        <v>1684</v>
      </c>
      <c r="H420">
        <v>0</v>
      </c>
      <c r="I420">
        <v>0</v>
      </c>
      <c r="J420" s="2">
        <v>0</v>
      </c>
      <c r="K420" s="2" t="s">
        <v>291</v>
      </c>
      <c r="L420" s="2">
        <f t="shared" si="128"/>
        <v>6</v>
      </c>
      <c r="M420" s="2">
        <f t="shared" si="148"/>
        <v>1.4000000000000001</v>
      </c>
      <c r="N420" s="2">
        <f t="shared" si="148"/>
        <v>2</v>
      </c>
      <c r="O420" s="2">
        <v>10</v>
      </c>
      <c r="P420" s="2">
        <f t="shared" si="144"/>
        <v>277.61</v>
      </c>
      <c r="Q420" s="2">
        <f t="shared" si="144"/>
        <v>27.76</v>
      </c>
      <c r="R420" s="2">
        <f t="shared" si="144"/>
        <v>2112</v>
      </c>
      <c r="S420" s="2">
        <f t="shared" si="142"/>
        <v>211.2</v>
      </c>
      <c r="T420" s="2">
        <f t="shared" si="142"/>
        <v>42.71</v>
      </c>
      <c r="U420" s="2">
        <f t="shared" si="142"/>
        <v>4.2699999999999996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17">
        <v>515023</v>
      </c>
      <c r="AB420" s="14" t="s">
        <v>708</v>
      </c>
      <c r="AC420" s="15" t="s">
        <v>890</v>
      </c>
      <c r="AD420" s="2">
        <v>5111502</v>
      </c>
      <c r="AE420" s="2">
        <v>0</v>
      </c>
      <c r="AF420" s="2">
        <v>1</v>
      </c>
      <c r="AG420" s="2">
        <f t="shared" si="149"/>
        <v>5061502</v>
      </c>
      <c r="AH420" s="2">
        <v>2</v>
      </c>
      <c r="AJ420">
        <v>1</v>
      </c>
      <c r="AK420" s="1">
        <f t="shared" si="143"/>
        <v>133.05714519328842</v>
      </c>
      <c r="AL420">
        <v>10</v>
      </c>
      <c r="AM420">
        <f t="shared" si="134"/>
        <v>252.37333333333331</v>
      </c>
      <c r="AN420">
        <f t="shared" si="135"/>
        <v>25.237333333333332</v>
      </c>
      <c r="AO420">
        <f t="shared" si="136"/>
        <v>1919.9999999999998</v>
      </c>
      <c r="AP420">
        <f t="shared" si="137"/>
        <v>192</v>
      </c>
      <c r="AQ420">
        <f t="shared" si="138"/>
        <v>38.826666666666661</v>
      </c>
      <c r="AR420">
        <f t="shared" si="145"/>
        <v>3.8826666666666663</v>
      </c>
      <c r="AS420">
        <f t="shared" si="139"/>
        <v>1.4</v>
      </c>
      <c r="AT420">
        <f t="shared" si="140"/>
        <v>2</v>
      </c>
      <c r="AU420">
        <f t="shared" si="141"/>
        <v>6</v>
      </c>
      <c r="AV420">
        <f t="shared" si="131"/>
        <v>5021</v>
      </c>
      <c r="AW420" s="1">
        <v>2</v>
      </c>
      <c r="AX420">
        <v>5</v>
      </c>
      <c r="AY420">
        <v>0.1</v>
      </c>
      <c r="CE420" t="str">
        <f t="shared" si="130"/>
        <v>DATA_Class_Base35</v>
      </c>
      <c r="CF420" s="3" t="s">
        <v>195</v>
      </c>
    </row>
    <row r="421" spans="1:84">
      <c r="A421">
        <f t="shared" si="127"/>
        <v>5101601</v>
      </c>
      <c r="B421" s="31" t="s">
        <v>398</v>
      </c>
      <c r="C421">
        <v>10</v>
      </c>
      <c r="D421">
        <v>6</v>
      </c>
      <c r="E421">
        <v>1</v>
      </c>
      <c r="F421" s="3" t="s">
        <v>1685</v>
      </c>
      <c r="G421" s="3" t="s">
        <v>1685</v>
      </c>
      <c r="H421">
        <v>0</v>
      </c>
      <c r="I421">
        <v>0</v>
      </c>
      <c r="J421">
        <v>0</v>
      </c>
      <c r="K421" s="2" t="s">
        <v>309</v>
      </c>
      <c r="L421" s="2">
        <f t="shared" si="128"/>
        <v>6</v>
      </c>
      <c r="M421" s="2">
        <f t="shared" si="148"/>
        <v>1.5</v>
      </c>
      <c r="N421" s="2">
        <f t="shared" si="148"/>
        <v>2</v>
      </c>
      <c r="O421" s="2">
        <v>10</v>
      </c>
      <c r="P421" s="2">
        <f t="shared" si="144"/>
        <v>228.8</v>
      </c>
      <c r="Q421" s="2">
        <f t="shared" si="144"/>
        <v>22.88</v>
      </c>
      <c r="R421" s="2">
        <f t="shared" si="144"/>
        <v>2745.6</v>
      </c>
      <c r="S421" s="2">
        <f t="shared" si="142"/>
        <v>274.56</v>
      </c>
      <c r="T421" s="2">
        <f t="shared" si="142"/>
        <v>57.2</v>
      </c>
      <c r="U421" s="2">
        <f t="shared" si="142"/>
        <v>5.72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17">
        <v>516013</v>
      </c>
      <c r="AB421" s="14" t="s">
        <v>709</v>
      </c>
      <c r="AC421" s="15" t="s">
        <v>890</v>
      </c>
      <c r="AD421" s="2">
        <v>5111601</v>
      </c>
      <c r="AE421" s="2">
        <v>0</v>
      </c>
      <c r="AF421" s="2">
        <v>1</v>
      </c>
      <c r="AG421" s="2">
        <f t="shared" si="149"/>
        <v>5061601</v>
      </c>
      <c r="AH421" s="2">
        <v>2</v>
      </c>
      <c r="AJ421">
        <v>1</v>
      </c>
      <c r="AK421" s="1">
        <f t="shared" si="143"/>
        <v>133.44722505462494</v>
      </c>
      <c r="AL421">
        <v>10</v>
      </c>
      <c r="AM421">
        <f t="shared" si="134"/>
        <v>208</v>
      </c>
      <c r="AN421">
        <f t="shared" si="135"/>
        <v>20.8</v>
      </c>
      <c r="AO421">
        <f t="shared" si="136"/>
        <v>2496</v>
      </c>
      <c r="AP421">
        <f t="shared" si="137"/>
        <v>249.60000000000002</v>
      </c>
      <c r="AQ421">
        <f t="shared" si="138"/>
        <v>52</v>
      </c>
      <c r="AR421">
        <f t="shared" si="145"/>
        <v>5.2</v>
      </c>
      <c r="AS421">
        <f t="shared" si="139"/>
        <v>1.5</v>
      </c>
      <c r="AT421">
        <f t="shared" si="140"/>
        <v>2</v>
      </c>
      <c r="AU421">
        <f t="shared" si="141"/>
        <v>6</v>
      </c>
      <c r="AV421">
        <f t="shared" si="131"/>
        <v>6011</v>
      </c>
      <c r="AW421" s="1">
        <v>1</v>
      </c>
      <c r="AX421">
        <v>5</v>
      </c>
      <c r="AY421">
        <v>0.1</v>
      </c>
      <c r="CE421" t="str">
        <f t="shared" si="130"/>
        <v>DATA_Class_Base36</v>
      </c>
      <c r="CF421" s="3" t="s">
        <v>201</v>
      </c>
    </row>
    <row r="422" spans="1:84">
      <c r="A422">
        <f t="shared" ref="A422:A493" si="150">AX422*1000000+C422*10000+E422*1000+D422*100+AW422</f>
        <v>5102200</v>
      </c>
      <c r="B422" s="31" t="s">
        <v>373</v>
      </c>
      <c r="C422">
        <v>10</v>
      </c>
      <c r="D422">
        <v>2</v>
      </c>
      <c r="E422">
        <v>2</v>
      </c>
      <c r="F422" s="3" t="s">
        <v>1686</v>
      </c>
      <c r="G422" s="3" t="s">
        <v>1686</v>
      </c>
      <c r="H422">
        <v>0</v>
      </c>
      <c r="I422">
        <v>0</v>
      </c>
      <c r="J422">
        <v>0</v>
      </c>
      <c r="K422" s="2" t="s">
        <v>314</v>
      </c>
      <c r="L422" s="2">
        <f t="shared" ref="L422:L493" si="151">AU422</f>
        <v>3</v>
      </c>
      <c r="M422" s="2">
        <f t="shared" si="148"/>
        <v>1.5</v>
      </c>
      <c r="N422" s="2">
        <f t="shared" si="148"/>
        <v>1.2</v>
      </c>
      <c r="O422" s="2">
        <v>10</v>
      </c>
      <c r="P422" s="2">
        <f t="shared" si="144"/>
        <v>228.8</v>
      </c>
      <c r="Q422" s="2">
        <f t="shared" si="144"/>
        <v>22.88</v>
      </c>
      <c r="R422" s="2">
        <f t="shared" si="144"/>
        <v>2745.6</v>
      </c>
      <c r="S422" s="2">
        <f t="shared" si="142"/>
        <v>274.56</v>
      </c>
      <c r="T422" s="2">
        <f t="shared" si="142"/>
        <v>57.2</v>
      </c>
      <c r="U422" s="2">
        <f t="shared" si="142"/>
        <v>5.72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17">
        <v>522003</v>
      </c>
      <c r="AB422" s="14" t="s">
        <v>710</v>
      </c>
      <c r="AC422" s="15" t="s">
        <v>890</v>
      </c>
      <c r="AD422" s="2">
        <v>5112200</v>
      </c>
      <c r="AE422" s="2">
        <v>0</v>
      </c>
      <c r="AF422" s="2">
        <v>1</v>
      </c>
      <c r="AG422" s="2">
        <f t="shared" si="149"/>
        <v>5062200</v>
      </c>
      <c r="AH422" s="2">
        <v>2</v>
      </c>
      <c r="AJ422">
        <v>1</v>
      </c>
      <c r="AK422" s="1">
        <f t="shared" si="143"/>
        <v>133.44722505462494</v>
      </c>
      <c r="AL422">
        <v>10</v>
      </c>
      <c r="AM422">
        <f t="shared" si="134"/>
        <v>208</v>
      </c>
      <c r="AN422">
        <f t="shared" si="135"/>
        <v>20.8</v>
      </c>
      <c r="AO422">
        <f t="shared" si="136"/>
        <v>2496</v>
      </c>
      <c r="AP422">
        <f t="shared" si="137"/>
        <v>249.60000000000002</v>
      </c>
      <c r="AQ422">
        <f t="shared" si="138"/>
        <v>52</v>
      </c>
      <c r="AR422">
        <f t="shared" si="145"/>
        <v>5.2</v>
      </c>
      <c r="AS422">
        <f t="shared" si="139"/>
        <v>1.5</v>
      </c>
      <c r="AT422">
        <f t="shared" si="140"/>
        <v>1.2</v>
      </c>
      <c r="AU422">
        <f t="shared" si="141"/>
        <v>3</v>
      </c>
      <c r="AV422">
        <f t="shared" si="131"/>
        <v>2002</v>
      </c>
      <c r="AW422" s="1">
        <v>0</v>
      </c>
      <c r="AX422">
        <v>5</v>
      </c>
      <c r="AY422">
        <v>0.1</v>
      </c>
      <c r="CE422" t="str">
        <f t="shared" si="130"/>
        <v>DATA_Class_Base28</v>
      </c>
      <c r="CF422" s="3" t="s">
        <v>374</v>
      </c>
    </row>
    <row r="423" spans="1:84">
      <c r="A423">
        <f t="shared" si="150"/>
        <v>5102201</v>
      </c>
      <c r="B423" s="31" t="s">
        <v>377</v>
      </c>
      <c r="C423">
        <v>10</v>
      </c>
      <c r="D423">
        <v>2</v>
      </c>
      <c r="E423">
        <v>2</v>
      </c>
      <c r="F423" s="3" t="s">
        <v>1687</v>
      </c>
      <c r="G423" s="3" t="s">
        <v>1687</v>
      </c>
      <c r="H423">
        <v>0</v>
      </c>
      <c r="I423">
        <v>0</v>
      </c>
      <c r="J423">
        <v>0</v>
      </c>
      <c r="K423" s="8" t="s">
        <v>298</v>
      </c>
      <c r="L423" s="2">
        <f t="shared" si="151"/>
        <v>3</v>
      </c>
      <c r="M423" s="2">
        <f t="shared" si="148"/>
        <v>1.8</v>
      </c>
      <c r="N423" s="2">
        <f t="shared" si="148"/>
        <v>1.8</v>
      </c>
      <c r="O423" s="2">
        <v>10</v>
      </c>
      <c r="P423" s="2">
        <f t="shared" si="144"/>
        <v>192.19</v>
      </c>
      <c r="Q423" s="2">
        <f t="shared" si="144"/>
        <v>19.22</v>
      </c>
      <c r="R423" s="2">
        <f t="shared" si="144"/>
        <v>3922.29</v>
      </c>
      <c r="S423" s="2">
        <f t="shared" si="142"/>
        <v>392.23</v>
      </c>
      <c r="T423" s="2">
        <f t="shared" si="142"/>
        <v>64.06</v>
      </c>
      <c r="U423" s="2">
        <f t="shared" si="142"/>
        <v>6.41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17">
        <v>522013</v>
      </c>
      <c r="AB423" s="14" t="s">
        <v>711</v>
      </c>
      <c r="AC423" s="15" t="s">
        <v>890</v>
      </c>
      <c r="AD423" s="2">
        <v>5112201</v>
      </c>
      <c r="AE423" s="2">
        <v>0</v>
      </c>
      <c r="AF423" s="2">
        <v>1</v>
      </c>
      <c r="AG423" s="2">
        <f t="shared" si="149"/>
        <v>5062201</v>
      </c>
      <c r="AH423" s="2">
        <v>2</v>
      </c>
      <c r="AJ423">
        <v>1</v>
      </c>
      <c r="AK423" s="1">
        <f t="shared" si="143"/>
        <v>133.63279912867594</v>
      </c>
      <c r="AL423">
        <v>10</v>
      </c>
      <c r="AM423">
        <f t="shared" si="134"/>
        <v>174.72000000000003</v>
      </c>
      <c r="AN423">
        <f t="shared" si="135"/>
        <v>17.472000000000005</v>
      </c>
      <c r="AO423">
        <f t="shared" si="136"/>
        <v>3565.7142857142862</v>
      </c>
      <c r="AP423">
        <f t="shared" si="137"/>
        <v>356.57142857142867</v>
      </c>
      <c r="AQ423">
        <f t="shared" si="138"/>
        <v>58.240000000000009</v>
      </c>
      <c r="AR423">
        <f t="shared" si="145"/>
        <v>5.8240000000000016</v>
      </c>
      <c r="AS423">
        <f t="shared" si="139"/>
        <v>1.8</v>
      </c>
      <c r="AT423">
        <f t="shared" si="140"/>
        <v>1.8</v>
      </c>
      <c r="AU423">
        <f t="shared" si="141"/>
        <v>3</v>
      </c>
      <c r="AV423">
        <f t="shared" si="131"/>
        <v>2012</v>
      </c>
      <c r="AW423" s="1">
        <v>1</v>
      </c>
      <c r="AX423">
        <v>5</v>
      </c>
      <c r="AY423">
        <v>0.1</v>
      </c>
      <c r="CE423" t="str">
        <f t="shared" ref="CE423:CE494" si="152">INDEX($CB$18:$CB$59,MATCH($CF423,$CC$18:$CC$59,0))</f>
        <v>DATA_Class_Base29</v>
      </c>
      <c r="CF423" s="3" t="s">
        <v>378</v>
      </c>
    </row>
    <row r="424" spans="1:84">
      <c r="A424">
        <f t="shared" si="150"/>
        <v>5102202</v>
      </c>
      <c r="B424" s="31" t="s">
        <v>380</v>
      </c>
      <c r="C424">
        <v>10</v>
      </c>
      <c r="D424">
        <v>2</v>
      </c>
      <c r="E424">
        <v>2</v>
      </c>
      <c r="F424" s="3" t="s">
        <v>1688</v>
      </c>
      <c r="G424" s="3" t="s">
        <v>1688</v>
      </c>
      <c r="H424">
        <v>0</v>
      </c>
      <c r="I424">
        <v>0</v>
      </c>
      <c r="J424" s="2">
        <v>0</v>
      </c>
      <c r="K424" s="2" t="s">
        <v>280</v>
      </c>
      <c r="L424" s="2">
        <f t="shared" si="151"/>
        <v>3</v>
      </c>
      <c r="M424" s="2">
        <f t="shared" si="148"/>
        <v>1.8</v>
      </c>
      <c r="N424" s="2">
        <f t="shared" si="148"/>
        <v>2</v>
      </c>
      <c r="O424" s="2">
        <v>10</v>
      </c>
      <c r="P424" s="2">
        <f t="shared" si="144"/>
        <v>315.74</v>
      </c>
      <c r="Q424" s="2">
        <f t="shared" si="144"/>
        <v>31.57</v>
      </c>
      <c r="R424" s="2">
        <f t="shared" si="144"/>
        <v>2387.48</v>
      </c>
      <c r="S424" s="2">
        <f t="shared" si="142"/>
        <v>238.75</v>
      </c>
      <c r="T424" s="2">
        <f t="shared" si="142"/>
        <v>63.15</v>
      </c>
      <c r="U424" s="2">
        <f t="shared" si="142"/>
        <v>6.31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17">
        <v>522023</v>
      </c>
      <c r="AB424" s="14" t="s">
        <v>712</v>
      </c>
      <c r="AC424" s="15" t="s">
        <v>890</v>
      </c>
      <c r="AD424" s="2">
        <v>5112202</v>
      </c>
      <c r="AE424" s="2">
        <v>0</v>
      </c>
      <c r="AF424" s="2">
        <v>1</v>
      </c>
      <c r="AG424" s="2">
        <f t="shared" si="149"/>
        <v>5062202</v>
      </c>
      <c r="AH424" s="2">
        <v>2</v>
      </c>
      <c r="AJ424">
        <v>1</v>
      </c>
      <c r="AK424" s="1">
        <f t="shared" si="143"/>
        <v>133.60802610376427</v>
      </c>
      <c r="AL424">
        <v>10</v>
      </c>
      <c r="AM424">
        <f t="shared" si="134"/>
        <v>287.03999999999996</v>
      </c>
      <c r="AN424">
        <f t="shared" si="135"/>
        <v>28.703999999999997</v>
      </c>
      <c r="AO424">
        <f t="shared" si="136"/>
        <v>2170.434782608696</v>
      </c>
      <c r="AP424">
        <f t="shared" si="137"/>
        <v>217.04347826086962</v>
      </c>
      <c r="AQ424">
        <f t="shared" si="138"/>
        <v>57.407999999999994</v>
      </c>
      <c r="AR424">
        <f t="shared" si="145"/>
        <v>5.7408000000000001</v>
      </c>
      <c r="AS424">
        <f t="shared" si="139"/>
        <v>1.8</v>
      </c>
      <c r="AT424">
        <f t="shared" si="140"/>
        <v>2</v>
      </c>
      <c r="AU424">
        <f t="shared" si="141"/>
        <v>3</v>
      </c>
      <c r="AV424">
        <f t="shared" si="131"/>
        <v>2022</v>
      </c>
      <c r="AW424" s="1">
        <v>2</v>
      </c>
      <c r="AX424">
        <v>5</v>
      </c>
      <c r="AY424">
        <v>0.1</v>
      </c>
      <c r="CE424" t="str">
        <f t="shared" si="152"/>
        <v>DATA_Class_Base30</v>
      </c>
      <c r="CF424" s="3" t="s">
        <v>381</v>
      </c>
    </row>
    <row r="425" spans="1:84">
      <c r="A425">
        <f t="shared" si="150"/>
        <v>5102301</v>
      </c>
      <c r="B425" s="31" t="s">
        <v>383</v>
      </c>
      <c r="C425">
        <v>10</v>
      </c>
      <c r="D425">
        <v>3</v>
      </c>
      <c r="E425">
        <v>2</v>
      </c>
      <c r="F425" s="3" t="s">
        <v>1689</v>
      </c>
      <c r="G425" s="3" t="s">
        <v>1689</v>
      </c>
      <c r="H425">
        <v>0</v>
      </c>
      <c r="I425">
        <v>0</v>
      </c>
      <c r="J425">
        <v>0</v>
      </c>
      <c r="K425" s="2" t="s">
        <v>285</v>
      </c>
      <c r="L425" s="2">
        <f t="shared" si="151"/>
        <v>3</v>
      </c>
      <c r="M425" s="2">
        <f t="shared" si="148"/>
        <v>1.2</v>
      </c>
      <c r="N425" s="2">
        <f t="shared" si="148"/>
        <v>1.7</v>
      </c>
      <c r="O425" s="2">
        <v>10</v>
      </c>
      <c r="P425" s="2">
        <f t="shared" si="144"/>
        <v>237.95</v>
      </c>
      <c r="Q425" s="2">
        <f t="shared" si="144"/>
        <v>23.8</v>
      </c>
      <c r="R425" s="2">
        <f t="shared" si="144"/>
        <v>2112</v>
      </c>
      <c r="S425" s="2">
        <f t="shared" si="142"/>
        <v>211.2</v>
      </c>
      <c r="T425" s="2">
        <f t="shared" si="142"/>
        <v>39.659999999999997</v>
      </c>
      <c r="U425" s="2">
        <f t="shared" si="142"/>
        <v>3.97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17">
        <v>523013</v>
      </c>
      <c r="AB425" s="14" t="s">
        <v>713</v>
      </c>
      <c r="AC425" s="15" t="s">
        <v>890</v>
      </c>
      <c r="AD425" s="2">
        <v>5112301</v>
      </c>
      <c r="AE425" s="2">
        <v>0</v>
      </c>
      <c r="AF425" s="2">
        <v>1</v>
      </c>
      <c r="AG425" s="2">
        <f t="shared" si="149"/>
        <v>5062301</v>
      </c>
      <c r="AH425" s="2">
        <v>2</v>
      </c>
      <c r="AJ425">
        <v>1</v>
      </c>
      <c r="AK425" s="1">
        <f t="shared" si="143"/>
        <v>132.97531352681108</v>
      </c>
      <c r="AL425">
        <v>10</v>
      </c>
      <c r="AM425">
        <f t="shared" si="134"/>
        <v>216.32000000000002</v>
      </c>
      <c r="AN425">
        <f t="shared" si="135"/>
        <v>21.632000000000005</v>
      </c>
      <c r="AO425">
        <f t="shared" si="136"/>
        <v>1919.9999999999998</v>
      </c>
      <c r="AP425">
        <f t="shared" si="137"/>
        <v>192</v>
      </c>
      <c r="AQ425">
        <f t="shared" si="138"/>
        <v>36.053333333333335</v>
      </c>
      <c r="AR425">
        <f t="shared" si="145"/>
        <v>3.6053333333333337</v>
      </c>
      <c r="AS425">
        <f t="shared" si="139"/>
        <v>1.2</v>
      </c>
      <c r="AT425">
        <f t="shared" si="140"/>
        <v>1.7</v>
      </c>
      <c r="AU425">
        <f t="shared" si="141"/>
        <v>3</v>
      </c>
      <c r="AV425">
        <f t="shared" si="131"/>
        <v>3012</v>
      </c>
      <c r="AW425" s="1">
        <v>1</v>
      </c>
      <c r="AX425">
        <v>5</v>
      </c>
      <c r="AY425">
        <v>0.1</v>
      </c>
      <c r="CE425" t="str">
        <f t="shared" si="152"/>
        <v>DATA_Class_Base31</v>
      </c>
      <c r="CF425" s="3" t="s">
        <v>384</v>
      </c>
    </row>
    <row r="426" spans="1:84">
      <c r="A426">
        <f t="shared" si="150"/>
        <v>5102401</v>
      </c>
      <c r="B426" s="31" t="s">
        <v>387</v>
      </c>
      <c r="C426">
        <v>10</v>
      </c>
      <c r="D426">
        <v>4</v>
      </c>
      <c r="E426">
        <v>2</v>
      </c>
      <c r="F426" s="3" t="s">
        <v>1690</v>
      </c>
      <c r="G426" s="3" t="s">
        <v>1690</v>
      </c>
      <c r="H426">
        <v>0</v>
      </c>
      <c r="I426">
        <v>0</v>
      </c>
      <c r="J426" s="2">
        <v>0</v>
      </c>
      <c r="K426" s="2" t="s">
        <v>161</v>
      </c>
      <c r="L426" s="2">
        <f t="shared" si="151"/>
        <v>6</v>
      </c>
      <c r="M426" s="2">
        <f t="shared" si="148"/>
        <v>1.6</v>
      </c>
      <c r="N426" s="2">
        <f t="shared" si="148"/>
        <v>1.5</v>
      </c>
      <c r="O426" s="2">
        <v>10</v>
      </c>
      <c r="P426" s="2">
        <f t="shared" si="144"/>
        <v>317.27</v>
      </c>
      <c r="Q426" s="2">
        <f t="shared" si="144"/>
        <v>31.73</v>
      </c>
      <c r="R426" s="2">
        <f t="shared" si="144"/>
        <v>2112</v>
      </c>
      <c r="S426" s="2">
        <f t="shared" si="142"/>
        <v>211.2</v>
      </c>
      <c r="T426" s="2">
        <f t="shared" si="142"/>
        <v>35.25</v>
      </c>
      <c r="U426" s="2">
        <f t="shared" si="142"/>
        <v>3.53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17">
        <v>524013</v>
      </c>
      <c r="AB426" s="14" t="s">
        <v>714</v>
      </c>
      <c r="AC426" s="15" t="s">
        <v>890</v>
      </c>
      <c r="AD426" s="2">
        <v>5112401</v>
      </c>
      <c r="AE426" s="2">
        <v>0</v>
      </c>
      <c r="AF426" s="2">
        <v>1</v>
      </c>
      <c r="AG426" s="2">
        <f t="shared" si="149"/>
        <v>5062401</v>
      </c>
      <c r="AH426" s="2">
        <v>2</v>
      </c>
      <c r="AJ426">
        <v>1</v>
      </c>
      <c r="AK426" s="1">
        <f t="shared" si="143"/>
        <v>132.8572897723231</v>
      </c>
      <c r="AL426">
        <v>10</v>
      </c>
      <c r="AM426">
        <f t="shared" si="134"/>
        <v>288.42666666666668</v>
      </c>
      <c r="AN426">
        <f t="shared" si="135"/>
        <v>28.84266666666667</v>
      </c>
      <c r="AO426">
        <f t="shared" si="136"/>
        <v>1919.9999999999998</v>
      </c>
      <c r="AP426">
        <f t="shared" si="137"/>
        <v>192</v>
      </c>
      <c r="AQ426">
        <f t="shared" si="138"/>
        <v>32.047407407407405</v>
      </c>
      <c r="AR426">
        <f t="shared" si="145"/>
        <v>3.2047407407407409</v>
      </c>
      <c r="AS426">
        <f t="shared" si="139"/>
        <v>1.6</v>
      </c>
      <c r="AT426">
        <f t="shared" si="140"/>
        <v>1.5</v>
      </c>
      <c r="AU426">
        <f t="shared" si="141"/>
        <v>6</v>
      </c>
      <c r="AV426">
        <f t="shared" si="131"/>
        <v>4012</v>
      </c>
      <c r="AW426" s="1">
        <v>1</v>
      </c>
      <c r="AX426">
        <v>5</v>
      </c>
      <c r="AY426">
        <v>0.1</v>
      </c>
      <c r="CE426" t="str">
        <f t="shared" si="152"/>
        <v>DATA_Class_Base32</v>
      </c>
      <c r="CF426" s="3" t="s">
        <v>388</v>
      </c>
    </row>
    <row r="427" spans="1:84">
      <c r="A427">
        <f t="shared" si="150"/>
        <v>5102402</v>
      </c>
      <c r="B427" s="31" t="s">
        <v>390</v>
      </c>
      <c r="C427">
        <v>10</v>
      </c>
      <c r="D427">
        <v>4</v>
      </c>
      <c r="E427">
        <v>2</v>
      </c>
      <c r="F427" s="3" t="s">
        <v>1691</v>
      </c>
      <c r="G427" s="3" t="s">
        <v>1691</v>
      </c>
      <c r="H427">
        <v>0</v>
      </c>
      <c r="I427">
        <v>0</v>
      </c>
      <c r="J427">
        <v>0</v>
      </c>
      <c r="K427" s="2" t="s">
        <v>250</v>
      </c>
      <c r="L427" s="2">
        <f t="shared" si="151"/>
        <v>6</v>
      </c>
      <c r="M427" s="2">
        <f t="shared" ref="M427:N490" si="153">FLOOR(AS427/1,0.01)</f>
        <v>1.5</v>
      </c>
      <c r="N427" s="2">
        <f t="shared" si="153"/>
        <v>1.5</v>
      </c>
      <c r="O427" s="2">
        <v>10</v>
      </c>
      <c r="P427" s="2">
        <f t="shared" si="144"/>
        <v>320.32</v>
      </c>
      <c r="Q427" s="2">
        <f t="shared" si="144"/>
        <v>32.03</v>
      </c>
      <c r="R427" s="2">
        <f t="shared" si="144"/>
        <v>1961.14</v>
      </c>
      <c r="S427" s="2">
        <f t="shared" si="142"/>
        <v>196.11</v>
      </c>
      <c r="T427" s="2">
        <f t="shared" si="142"/>
        <v>40.04</v>
      </c>
      <c r="U427" s="2">
        <f t="shared" si="142"/>
        <v>4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17">
        <v>524023</v>
      </c>
      <c r="AB427" s="14" t="s">
        <v>715</v>
      </c>
      <c r="AC427" s="15" t="s">
        <v>890</v>
      </c>
      <c r="AD427" s="2">
        <v>5112402</v>
      </c>
      <c r="AE427" s="2">
        <v>0</v>
      </c>
      <c r="AF427" s="2">
        <v>1</v>
      </c>
      <c r="AG427" s="2">
        <f t="shared" si="149"/>
        <v>5062402</v>
      </c>
      <c r="AH427" s="2">
        <v>2</v>
      </c>
      <c r="AJ427">
        <v>1</v>
      </c>
      <c r="AK427" s="1">
        <f t="shared" si="143"/>
        <v>132.98553698013694</v>
      </c>
      <c r="AL427">
        <v>10</v>
      </c>
      <c r="AM427">
        <f t="shared" si="134"/>
        <v>291.19999999999993</v>
      </c>
      <c r="AN427">
        <f t="shared" si="135"/>
        <v>29.119999999999994</v>
      </c>
      <c r="AO427">
        <f t="shared" si="136"/>
        <v>1782.8571428571431</v>
      </c>
      <c r="AP427">
        <f t="shared" si="137"/>
        <v>178.28571428571433</v>
      </c>
      <c r="AQ427">
        <f t="shared" si="138"/>
        <v>36.399999999999991</v>
      </c>
      <c r="AR427">
        <f t="shared" si="145"/>
        <v>3.6399999999999992</v>
      </c>
      <c r="AS427">
        <f t="shared" si="139"/>
        <v>1.5</v>
      </c>
      <c r="AT427">
        <f t="shared" si="140"/>
        <v>1.5</v>
      </c>
      <c r="AU427">
        <f t="shared" si="141"/>
        <v>6</v>
      </c>
      <c r="AV427">
        <f t="shared" si="131"/>
        <v>4022</v>
      </c>
      <c r="AW427" s="1">
        <v>2</v>
      </c>
      <c r="AX427">
        <v>5</v>
      </c>
      <c r="AY427">
        <v>0.1</v>
      </c>
      <c r="CE427" t="str">
        <f t="shared" si="152"/>
        <v>DATA_Class_Base33</v>
      </c>
      <c r="CF427" s="3" t="s">
        <v>391</v>
      </c>
    </row>
    <row r="428" spans="1:84">
      <c r="A428">
        <f t="shared" si="150"/>
        <v>5102500</v>
      </c>
      <c r="B428" s="31" t="s">
        <v>394</v>
      </c>
      <c r="C428">
        <v>10</v>
      </c>
      <c r="D428">
        <v>5</v>
      </c>
      <c r="E428">
        <v>2</v>
      </c>
      <c r="F428" s="3" t="s">
        <v>1692</v>
      </c>
      <c r="G428" s="3" t="s">
        <v>1692</v>
      </c>
      <c r="H428">
        <v>0</v>
      </c>
      <c r="I428">
        <v>0</v>
      </c>
      <c r="J428" s="2">
        <v>0</v>
      </c>
      <c r="K428" s="2" t="s">
        <v>303</v>
      </c>
      <c r="L428" s="2">
        <f t="shared" si="151"/>
        <v>6</v>
      </c>
      <c r="M428" s="2">
        <f t="shared" si="153"/>
        <v>1.5</v>
      </c>
      <c r="N428" s="2">
        <f t="shared" si="153"/>
        <v>2</v>
      </c>
      <c r="O428" s="2">
        <v>10</v>
      </c>
      <c r="P428" s="2">
        <f t="shared" si="144"/>
        <v>343.2</v>
      </c>
      <c r="Q428" s="2">
        <f t="shared" si="144"/>
        <v>34.32</v>
      </c>
      <c r="R428" s="2">
        <f t="shared" si="144"/>
        <v>1830.4</v>
      </c>
      <c r="S428" s="2">
        <f t="shared" si="142"/>
        <v>183.04</v>
      </c>
      <c r="T428" s="2">
        <f t="shared" si="142"/>
        <v>38.130000000000003</v>
      </c>
      <c r="U428" s="2">
        <f t="shared" si="142"/>
        <v>3.81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17">
        <v>525003</v>
      </c>
      <c r="AB428" s="14" t="s">
        <v>716</v>
      </c>
      <c r="AC428" s="15" t="s">
        <v>890</v>
      </c>
      <c r="AD428" s="2">
        <v>5112500</v>
      </c>
      <c r="AE428" s="2">
        <v>0</v>
      </c>
      <c r="AF428" s="2">
        <v>1</v>
      </c>
      <c r="AG428" s="2">
        <f t="shared" si="149"/>
        <v>5062500</v>
      </c>
      <c r="AH428" s="2">
        <v>2</v>
      </c>
      <c r="AJ428">
        <v>1</v>
      </c>
      <c r="AK428" s="1">
        <f t="shared" si="143"/>
        <v>132.93443542752729</v>
      </c>
      <c r="AL428">
        <v>10</v>
      </c>
      <c r="AM428">
        <f t="shared" si="134"/>
        <v>312</v>
      </c>
      <c r="AN428">
        <f t="shared" si="135"/>
        <v>31.200000000000003</v>
      </c>
      <c r="AO428">
        <f t="shared" si="136"/>
        <v>1664</v>
      </c>
      <c r="AP428">
        <f t="shared" si="137"/>
        <v>166.4</v>
      </c>
      <c r="AQ428">
        <f t="shared" si="138"/>
        <v>34.666666666666664</v>
      </c>
      <c r="AR428">
        <f t="shared" si="145"/>
        <v>3.4666666666666668</v>
      </c>
      <c r="AS428">
        <f t="shared" si="139"/>
        <v>1.5</v>
      </c>
      <c r="AT428">
        <f t="shared" si="140"/>
        <v>2</v>
      </c>
      <c r="AU428">
        <f t="shared" si="141"/>
        <v>6</v>
      </c>
      <c r="AV428">
        <f t="shared" si="131"/>
        <v>5002</v>
      </c>
      <c r="AW428" s="1">
        <v>0</v>
      </c>
      <c r="AX428">
        <v>5</v>
      </c>
      <c r="AY428">
        <v>0.1</v>
      </c>
      <c r="CE428" t="str">
        <f t="shared" si="152"/>
        <v>DATA_Class_Base34</v>
      </c>
      <c r="CF428" s="3" t="s">
        <v>184</v>
      </c>
    </row>
    <row r="429" spans="1:84">
      <c r="A429">
        <f t="shared" si="150"/>
        <v>5102502</v>
      </c>
      <c r="B429" s="31" t="s">
        <v>396</v>
      </c>
      <c r="C429">
        <v>10</v>
      </c>
      <c r="D429">
        <v>5</v>
      </c>
      <c r="E429">
        <v>2</v>
      </c>
      <c r="F429" s="3" t="s">
        <v>1693</v>
      </c>
      <c r="G429" s="3" t="s">
        <v>1693</v>
      </c>
      <c r="H429">
        <v>0</v>
      </c>
      <c r="I429">
        <v>0</v>
      </c>
      <c r="J429" s="2">
        <v>0</v>
      </c>
      <c r="K429" s="2" t="s">
        <v>291</v>
      </c>
      <c r="L429" s="2">
        <f t="shared" si="151"/>
        <v>6</v>
      </c>
      <c r="M429" s="2">
        <f t="shared" si="153"/>
        <v>1.4000000000000001</v>
      </c>
      <c r="N429" s="2">
        <f t="shared" si="153"/>
        <v>2</v>
      </c>
      <c r="O429" s="2">
        <v>10</v>
      </c>
      <c r="P429" s="2">
        <f t="shared" si="144"/>
        <v>331</v>
      </c>
      <c r="Q429" s="2">
        <f t="shared" si="144"/>
        <v>33.1</v>
      </c>
      <c r="R429" s="2">
        <f t="shared" si="144"/>
        <v>1771.35</v>
      </c>
      <c r="S429" s="2">
        <f t="shared" si="142"/>
        <v>177.14</v>
      </c>
      <c r="T429" s="2">
        <f t="shared" si="142"/>
        <v>33.1</v>
      </c>
      <c r="U429" s="2">
        <f t="shared" si="142"/>
        <v>3.31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17">
        <v>525023</v>
      </c>
      <c r="AB429" s="14" t="s">
        <v>717</v>
      </c>
      <c r="AC429" s="15" t="s">
        <v>890</v>
      </c>
      <c r="AD429" s="2">
        <v>5112502</v>
      </c>
      <c r="AE429" s="2">
        <v>0</v>
      </c>
      <c r="AF429" s="2">
        <v>1</v>
      </c>
      <c r="AG429" s="2">
        <f t="shared" si="149"/>
        <v>5062502</v>
      </c>
      <c r="AH429" s="2">
        <v>2</v>
      </c>
      <c r="AJ429">
        <v>1</v>
      </c>
      <c r="AK429" s="1">
        <f t="shared" si="143"/>
        <v>132.79971583618405</v>
      </c>
      <c r="AL429">
        <v>10</v>
      </c>
      <c r="AM429">
        <f t="shared" si="134"/>
        <v>300.90666666666664</v>
      </c>
      <c r="AN429">
        <f t="shared" si="135"/>
        <v>30.090666666666664</v>
      </c>
      <c r="AO429">
        <f t="shared" si="136"/>
        <v>1610.3225806451615</v>
      </c>
      <c r="AP429">
        <f t="shared" si="137"/>
        <v>161.03225806451616</v>
      </c>
      <c r="AQ429">
        <f t="shared" si="138"/>
        <v>30.090666666666664</v>
      </c>
      <c r="AR429">
        <f t="shared" si="145"/>
        <v>3.0090666666666666</v>
      </c>
      <c r="AS429">
        <f t="shared" si="139"/>
        <v>1.4</v>
      </c>
      <c r="AT429">
        <f t="shared" si="140"/>
        <v>2</v>
      </c>
      <c r="AU429">
        <f t="shared" si="141"/>
        <v>6</v>
      </c>
      <c r="AV429">
        <f t="shared" si="131"/>
        <v>5022</v>
      </c>
      <c r="AW429" s="1">
        <v>2</v>
      </c>
      <c r="AX429">
        <v>5</v>
      </c>
      <c r="AY429">
        <v>0.1</v>
      </c>
      <c r="CE429" t="str">
        <f t="shared" si="152"/>
        <v>DATA_Class_Base35</v>
      </c>
      <c r="CF429" s="3" t="s">
        <v>195</v>
      </c>
    </row>
    <row r="430" spans="1:84">
      <c r="A430">
        <f t="shared" si="150"/>
        <v>5102601</v>
      </c>
      <c r="B430" s="31" t="s">
        <v>398</v>
      </c>
      <c r="C430">
        <v>10</v>
      </c>
      <c r="D430">
        <v>6</v>
      </c>
      <c r="E430">
        <v>2</v>
      </c>
      <c r="F430" s="3" t="s">
        <v>1694</v>
      </c>
      <c r="G430" s="3" t="s">
        <v>1694</v>
      </c>
      <c r="H430">
        <v>0</v>
      </c>
      <c r="I430">
        <v>0</v>
      </c>
      <c r="J430" s="2">
        <v>0</v>
      </c>
      <c r="K430" s="2" t="s">
        <v>309</v>
      </c>
      <c r="L430" s="2">
        <f t="shared" si="151"/>
        <v>6</v>
      </c>
      <c r="M430" s="2">
        <f t="shared" si="153"/>
        <v>1.5</v>
      </c>
      <c r="N430" s="2">
        <f t="shared" si="153"/>
        <v>2</v>
      </c>
      <c r="O430" s="2">
        <v>10</v>
      </c>
      <c r="P430" s="2">
        <f t="shared" si="144"/>
        <v>251.68</v>
      </c>
      <c r="Q430" s="2">
        <f t="shared" si="144"/>
        <v>25.17</v>
      </c>
      <c r="R430" s="2">
        <f t="shared" si="144"/>
        <v>2496</v>
      </c>
      <c r="S430" s="2">
        <f t="shared" si="142"/>
        <v>249.6</v>
      </c>
      <c r="T430" s="2">
        <f t="shared" si="142"/>
        <v>50.34</v>
      </c>
      <c r="U430" s="2">
        <f t="shared" si="142"/>
        <v>5.03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17">
        <v>526013</v>
      </c>
      <c r="AB430" s="14" t="s">
        <v>718</v>
      </c>
      <c r="AC430" s="15" t="s">
        <v>890</v>
      </c>
      <c r="AD430" s="2">
        <v>5112601</v>
      </c>
      <c r="AE430" s="2">
        <v>0</v>
      </c>
      <c r="AF430" s="2">
        <v>1</v>
      </c>
      <c r="AG430" s="2">
        <f t="shared" si="149"/>
        <v>5062601</v>
      </c>
      <c r="AH430" s="2">
        <v>2</v>
      </c>
      <c r="AJ430">
        <v>1</v>
      </c>
      <c r="AK430" s="1">
        <f t="shared" si="143"/>
        <v>133.2621656742761</v>
      </c>
      <c r="AL430">
        <v>10</v>
      </c>
      <c r="AM430">
        <f t="shared" si="134"/>
        <v>228.8</v>
      </c>
      <c r="AN430">
        <f t="shared" si="135"/>
        <v>22.880000000000003</v>
      </c>
      <c r="AO430">
        <f t="shared" si="136"/>
        <v>2269.090909090909</v>
      </c>
      <c r="AP430">
        <f t="shared" si="137"/>
        <v>226.90909090909091</v>
      </c>
      <c r="AQ430">
        <f t="shared" si="138"/>
        <v>45.760000000000005</v>
      </c>
      <c r="AR430">
        <f t="shared" si="145"/>
        <v>4.5760000000000005</v>
      </c>
      <c r="AS430">
        <f t="shared" si="139"/>
        <v>1.5</v>
      </c>
      <c r="AT430">
        <f t="shared" si="140"/>
        <v>2</v>
      </c>
      <c r="AU430">
        <f t="shared" si="141"/>
        <v>6</v>
      </c>
      <c r="AV430">
        <f t="shared" si="131"/>
        <v>6012</v>
      </c>
      <c r="AW430" s="1">
        <v>1</v>
      </c>
      <c r="AX430">
        <v>5</v>
      </c>
      <c r="AY430">
        <v>0.1</v>
      </c>
      <c r="CE430" t="str">
        <f t="shared" si="152"/>
        <v>DATA_Class_Base36</v>
      </c>
      <c r="CF430" s="3" t="s">
        <v>201</v>
      </c>
    </row>
    <row r="431" spans="1:84">
      <c r="A431">
        <f t="shared" si="150"/>
        <v>5103200</v>
      </c>
      <c r="B431" s="31" t="s">
        <v>373</v>
      </c>
      <c r="C431">
        <v>10</v>
      </c>
      <c r="D431">
        <v>2</v>
      </c>
      <c r="E431">
        <v>3</v>
      </c>
      <c r="F431" s="3" t="s">
        <v>1695</v>
      </c>
      <c r="G431" s="3" t="s">
        <v>1695</v>
      </c>
      <c r="H431">
        <v>0</v>
      </c>
      <c r="I431">
        <v>0</v>
      </c>
      <c r="J431">
        <v>0</v>
      </c>
      <c r="K431" s="2" t="s">
        <v>314</v>
      </c>
      <c r="L431" s="2">
        <f t="shared" si="151"/>
        <v>3</v>
      </c>
      <c r="M431" s="2">
        <f t="shared" si="153"/>
        <v>1.5</v>
      </c>
      <c r="N431" s="2">
        <f t="shared" si="153"/>
        <v>1.2</v>
      </c>
      <c r="O431" s="2">
        <v>10</v>
      </c>
      <c r="P431" s="2">
        <f t="shared" si="144"/>
        <v>160.16</v>
      </c>
      <c r="Q431" s="2">
        <f t="shared" si="144"/>
        <v>16.02</v>
      </c>
      <c r="R431" s="2">
        <f t="shared" si="144"/>
        <v>3922.29</v>
      </c>
      <c r="S431" s="2">
        <f t="shared" si="142"/>
        <v>392.23</v>
      </c>
      <c r="T431" s="2">
        <f t="shared" si="142"/>
        <v>80.08</v>
      </c>
      <c r="U431" s="2">
        <f t="shared" si="142"/>
        <v>8.01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17">
        <v>532003</v>
      </c>
      <c r="AB431" s="14" t="s">
        <v>719</v>
      </c>
      <c r="AC431" s="15" t="s">
        <v>890</v>
      </c>
      <c r="AD431" s="2">
        <v>5113200</v>
      </c>
      <c r="AE431" s="2">
        <v>0</v>
      </c>
      <c r="AF431" s="2">
        <v>1</v>
      </c>
      <c r="AG431" s="2">
        <f t="shared" si="149"/>
        <v>5063200</v>
      </c>
      <c r="AH431" s="2">
        <v>2</v>
      </c>
      <c r="AJ431">
        <v>1</v>
      </c>
      <c r="AK431" s="1">
        <f t="shared" si="143"/>
        <v>134.06781898892666</v>
      </c>
      <c r="AL431">
        <v>10</v>
      </c>
      <c r="AM431">
        <f t="shared" si="134"/>
        <v>145.59999999999997</v>
      </c>
      <c r="AN431">
        <f t="shared" si="135"/>
        <v>14.559999999999997</v>
      </c>
      <c r="AO431">
        <f t="shared" si="136"/>
        <v>3565.7142857142862</v>
      </c>
      <c r="AP431">
        <f t="shared" si="137"/>
        <v>356.57142857142867</v>
      </c>
      <c r="AQ431">
        <f t="shared" si="138"/>
        <v>72.799999999999983</v>
      </c>
      <c r="AR431">
        <f t="shared" si="145"/>
        <v>7.2799999999999985</v>
      </c>
      <c r="AS431">
        <f t="shared" si="139"/>
        <v>1.5</v>
      </c>
      <c r="AT431">
        <f t="shared" si="140"/>
        <v>1.2</v>
      </c>
      <c r="AU431">
        <f t="shared" si="141"/>
        <v>3</v>
      </c>
      <c r="AV431">
        <f t="shared" si="131"/>
        <v>2003</v>
      </c>
      <c r="AW431" s="1">
        <v>0</v>
      </c>
      <c r="AX431">
        <v>5</v>
      </c>
      <c r="AY431">
        <v>0.1</v>
      </c>
      <c r="CE431" t="str">
        <f t="shared" si="152"/>
        <v>DATA_Class_Base28</v>
      </c>
      <c r="CF431" s="3" t="s">
        <v>374</v>
      </c>
    </row>
    <row r="432" spans="1:84">
      <c r="A432">
        <f t="shared" si="150"/>
        <v>5103201</v>
      </c>
      <c r="B432" s="31" t="s">
        <v>377</v>
      </c>
      <c r="C432">
        <v>10</v>
      </c>
      <c r="D432">
        <v>2</v>
      </c>
      <c r="E432">
        <v>3</v>
      </c>
      <c r="F432" s="3" t="s">
        <v>1696</v>
      </c>
      <c r="G432" s="3" t="s">
        <v>1696</v>
      </c>
      <c r="H432">
        <v>0</v>
      </c>
      <c r="I432">
        <v>0</v>
      </c>
      <c r="J432" s="2">
        <v>0</v>
      </c>
      <c r="K432" s="8" t="s">
        <v>298</v>
      </c>
      <c r="L432" s="2">
        <f t="shared" si="151"/>
        <v>3</v>
      </c>
      <c r="M432" s="2">
        <f t="shared" si="153"/>
        <v>1.8</v>
      </c>
      <c r="N432" s="2">
        <f t="shared" si="153"/>
        <v>1.8</v>
      </c>
      <c r="O432" s="2">
        <v>10</v>
      </c>
      <c r="P432" s="2">
        <f t="shared" si="144"/>
        <v>164.74</v>
      </c>
      <c r="Q432" s="2">
        <f t="shared" si="144"/>
        <v>16.47</v>
      </c>
      <c r="R432" s="2">
        <f t="shared" si="144"/>
        <v>4576</v>
      </c>
      <c r="S432" s="2">
        <f t="shared" si="142"/>
        <v>457.6</v>
      </c>
      <c r="T432" s="2">
        <f t="shared" si="142"/>
        <v>91.52</v>
      </c>
      <c r="U432" s="2">
        <f t="shared" si="142"/>
        <v>9.15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17">
        <v>532013</v>
      </c>
      <c r="AB432" s="14" t="s">
        <v>720</v>
      </c>
      <c r="AC432" s="15" t="s">
        <v>890</v>
      </c>
      <c r="AD432" s="2">
        <v>5113201</v>
      </c>
      <c r="AE432" s="2">
        <v>0</v>
      </c>
      <c r="AF432" s="2">
        <v>1</v>
      </c>
      <c r="AG432" s="2">
        <f t="shared" si="149"/>
        <v>5063201</v>
      </c>
      <c r="AH432" s="2">
        <v>2</v>
      </c>
      <c r="AJ432">
        <v>1</v>
      </c>
      <c r="AK432" s="1">
        <f t="shared" si="143"/>
        <v>134.38028554664584</v>
      </c>
      <c r="AL432">
        <v>10</v>
      </c>
      <c r="AM432">
        <f t="shared" si="134"/>
        <v>149.76000000000002</v>
      </c>
      <c r="AN432">
        <f t="shared" si="135"/>
        <v>14.976000000000003</v>
      </c>
      <c r="AO432">
        <f t="shared" si="136"/>
        <v>4160</v>
      </c>
      <c r="AP432">
        <f t="shared" si="137"/>
        <v>416</v>
      </c>
      <c r="AQ432">
        <f t="shared" si="138"/>
        <v>83.2</v>
      </c>
      <c r="AR432">
        <f t="shared" si="145"/>
        <v>8.32</v>
      </c>
      <c r="AS432">
        <f t="shared" si="139"/>
        <v>1.8</v>
      </c>
      <c r="AT432">
        <f t="shared" si="140"/>
        <v>1.8</v>
      </c>
      <c r="AU432">
        <f t="shared" si="141"/>
        <v>3</v>
      </c>
      <c r="AV432">
        <f t="shared" si="131"/>
        <v>2013</v>
      </c>
      <c r="AW432" s="1">
        <v>1</v>
      </c>
      <c r="AX432">
        <v>5</v>
      </c>
      <c r="AY432">
        <v>0.1</v>
      </c>
      <c r="CE432" t="str">
        <f t="shared" si="152"/>
        <v>DATA_Class_Base29</v>
      </c>
      <c r="CF432" s="3" t="s">
        <v>378</v>
      </c>
    </row>
    <row r="433" spans="1:84">
      <c r="A433">
        <f t="shared" si="150"/>
        <v>5103202</v>
      </c>
      <c r="B433" s="31" t="s">
        <v>380</v>
      </c>
      <c r="C433">
        <v>10</v>
      </c>
      <c r="D433">
        <v>2</v>
      </c>
      <c r="E433">
        <v>3</v>
      </c>
      <c r="F433" s="3" t="s">
        <v>1697</v>
      </c>
      <c r="G433" s="3" t="s">
        <v>1697</v>
      </c>
      <c r="H433">
        <v>0</v>
      </c>
      <c r="I433">
        <v>0</v>
      </c>
      <c r="J433">
        <v>0</v>
      </c>
      <c r="K433" s="2" t="s">
        <v>280</v>
      </c>
      <c r="L433" s="2">
        <f t="shared" si="151"/>
        <v>3</v>
      </c>
      <c r="M433" s="2">
        <f t="shared" si="153"/>
        <v>1.8</v>
      </c>
      <c r="N433" s="2">
        <f t="shared" si="153"/>
        <v>2</v>
      </c>
      <c r="O433" s="2">
        <v>10</v>
      </c>
      <c r="P433" s="2">
        <f t="shared" si="144"/>
        <v>247.1</v>
      </c>
      <c r="Q433" s="2">
        <f t="shared" si="144"/>
        <v>24.71</v>
      </c>
      <c r="R433" s="2">
        <f t="shared" si="144"/>
        <v>3050.67</v>
      </c>
      <c r="S433" s="2">
        <f t="shared" si="142"/>
        <v>305.07</v>
      </c>
      <c r="T433" s="2">
        <f t="shared" si="142"/>
        <v>82.37</v>
      </c>
      <c r="U433" s="2">
        <f t="shared" si="142"/>
        <v>8.24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17">
        <v>532023</v>
      </c>
      <c r="AB433" s="14" t="s">
        <v>721</v>
      </c>
      <c r="AC433" s="15" t="s">
        <v>890</v>
      </c>
      <c r="AD433" s="2">
        <v>5113202</v>
      </c>
      <c r="AE433" s="2">
        <v>0</v>
      </c>
      <c r="AF433" s="2">
        <v>1</v>
      </c>
      <c r="AG433" s="2">
        <f t="shared" si="149"/>
        <v>5063202</v>
      </c>
      <c r="AH433" s="2">
        <v>2</v>
      </c>
      <c r="AJ433">
        <v>1</v>
      </c>
      <c r="AK433" s="1">
        <f t="shared" si="143"/>
        <v>134.13019599677247</v>
      </c>
      <c r="AL433">
        <v>10</v>
      </c>
      <c r="AM433">
        <f t="shared" si="134"/>
        <v>224.64000000000001</v>
      </c>
      <c r="AN433">
        <f t="shared" si="135"/>
        <v>22.464000000000002</v>
      </c>
      <c r="AO433">
        <f t="shared" si="136"/>
        <v>2773.3333333333335</v>
      </c>
      <c r="AP433">
        <f t="shared" si="137"/>
        <v>277.33333333333337</v>
      </c>
      <c r="AQ433">
        <f t="shared" si="138"/>
        <v>74.88000000000001</v>
      </c>
      <c r="AR433">
        <f t="shared" si="145"/>
        <v>7.4880000000000013</v>
      </c>
      <c r="AS433">
        <f t="shared" si="139"/>
        <v>1.8</v>
      </c>
      <c r="AT433">
        <f t="shared" si="140"/>
        <v>2</v>
      </c>
      <c r="AU433">
        <f t="shared" si="141"/>
        <v>3</v>
      </c>
      <c r="AV433">
        <f t="shared" si="131"/>
        <v>2023</v>
      </c>
      <c r="AW433" s="1">
        <v>2</v>
      </c>
      <c r="AX433">
        <v>5</v>
      </c>
      <c r="AY433">
        <v>0.1</v>
      </c>
      <c r="CE433" t="str">
        <f t="shared" si="152"/>
        <v>DATA_Class_Base30</v>
      </c>
      <c r="CF433" s="3" t="s">
        <v>381</v>
      </c>
    </row>
    <row r="434" spans="1:84">
      <c r="A434">
        <f t="shared" si="150"/>
        <v>5103301</v>
      </c>
      <c r="B434" s="31" t="s">
        <v>383</v>
      </c>
      <c r="C434">
        <v>10</v>
      </c>
      <c r="D434">
        <v>3</v>
      </c>
      <c r="E434">
        <v>3</v>
      </c>
      <c r="F434" s="3" t="s">
        <v>1698</v>
      </c>
      <c r="G434" s="3" t="s">
        <v>1698</v>
      </c>
      <c r="H434">
        <v>0</v>
      </c>
      <c r="I434">
        <v>0</v>
      </c>
      <c r="J434" s="2">
        <v>0</v>
      </c>
      <c r="K434" s="2" t="s">
        <v>285</v>
      </c>
      <c r="L434" s="2">
        <f t="shared" si="151"/>
        <v>3</v>
      </c>
      <c r="M434" s="2">
        <f t="shared" si="153"/>
        <v>1.2</v>
      </c>
      <c r="N434" s="2">
        <f t="shared" si="153"/>
        <v>1.4000000000000001</v>
      </c>
      <c r="O434" s="2">
        <v>10</v>
      </c>
      <c r="P434" s="2">
        <f t="shared" si="144"/>
        <v>219.65</v>
      </c>
      <c r="Q434" s="2">
        <f t="shared" si="144"/>
        <v>21.96</v>
      </c>
      <c r="R434" s="2">
        <f t="shared" si="144"/>
        <v>2288</v>
      </c>
      <c r="S434" s="2">
        <f t="shared" si="142"/>
        <v>228.8</v>
      </c>
      <c r="T434" s="2">
        <f t="shared" si="142"/>
        <v>43.93</v>
      </c>
      <c r="U434" s="2">
        <f t="shared" si="142"/>
        <v>4.3899999999999997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17">
        <v>533013</v>
      </c>
      <c r="AB434" s="14" t="s">
        <v>722</v>
      </c>
      <c r="AC434" s="15" t="s">
        <v>890</v>
      </c>
      <c r="AD434" s="2">
        <v>5113301</v>
      </c>
      <c r="AE434" s="2">
        <v>0</v>
      </c>
      <c r="AF434" s="2">
        <v>1</v>
      </c>
      <c r="AG434" s="2">
        <f t="shared" si="149"/>
        <v>5063301</v>
      </c>
      <c r="AH434" s="2">
        <v>2</v>
      </c>
      <c r="AJ434">
        <v>1</v>
      </c>
      <c r="AK434" s="1">
        <f t="shared" si="143"/>
        <v>133.08990606751675</v>
      </c>
      <c r="AL434">
        <v>10</v>
      </c>
      <c r="AM434">
        <f t="shared" si="134"/>
        <v>199.68</v>
      </c>
      <c r="AN434">
        <f t="shared" si="135"/>
        <v>19.968000000000004</v>
      </c>
      <c r="AO434">
        <f t="shared" si="136"/>
        <v>2080</v>
      </c>
      <c r="AP434">
        <f t="shared" si="137"/>
        <v>208</v>
      </c>
      <c r="AQ434">
        <f t="shared" si="138"/>
        <v>39.936</v>
      </c>
      <c r="AR434">
        <f t="shared" si="145"/>
        <v>3.9936000000000003</v>
      </c>
      <c r="AS434">
        <f t="shared" si="139"/>
        <v>1.2</v>
      </c>
      <c r="AT434">
        <f t="shared" si="140"/>
        <v>1.4</v>
      </c>
      <c r="AU434">
        <f t="shared" si="141"/>
        <v>3</v>
      </c>
      <c r="AV434">
        <f t="shared" ref="AV434:AV505" si="154">D434*1000+AW434*10+E434</f>
        <v>3013</v>
      </c>
      <c r="AW434" s="1">
        <v>1</v>
      </c>
      <c r="AX434">
        <v>5</v>
      </c>
      <c r="AY434">
        <v>0.1</v>
      </c>
      <c r="CE434" t="str">
        <f t="shared" si="152"/>
        <v>DATA_Class_Base31</v>
      </c>
      <c r="CF434" s="3" t="s">
        <v>384</v>
      </c>
    </row>
    <row r="435" spans="1:84">
      <c r="A435">
        <f t="shared" si="150"/>
        <v>5103401</v>
      </c>
      <c r="B435" s="31" t="s">
        <v>387</v>
      </c>
      <c r="C435">
        <v>10</v>
      </c>
      <c r="D435">
        <v>4</v>
      </c>
      <c r="E435">
        <v>3</v>
      </c>
      <c r="F435" s="3" t="s">
        <v>1699</v>
      </c>
      <c r="G435" s="3" t="s">
        <v>1699</v>
      </c>
      <c r="H435">
        <v>0</v>
      </c>
      <c r="I435">
        <v>0</v>
      </c>
      <c r="J435">
        <v>0</v>
      </c>
      <c r="K435" s="2" t="s">
        <v>161</v>
      </c>
      <c r="L435" s="2">
        <f t="shared" si="151"/>
        <v>6</v>
      </c>
      <c r="M435" s="2">
        <f t="shared" si="153"/>
        <v>1.6</v>
      </c>
      <c r="N435" s="2">
        <f t="shared" si="153"/>
        <v>1.5</v>
      </c>
      <c r="O435" s="2">
        <v>10</v>
      </c>
      <c r="P435" s="2">
        <f t="shared" si="144"/>
        <v>292.86</v>
      </c>
      <c r="Q435" s="2">
        <f t="shared" si="144"/>
        <v>29.29</v>
      </c>
      <c r="R435" s="2">
        <f t="shared" si="144"/>
        <v>2288</v>
      </c>
      <c r="S435" s="2">
        <f t="shared" si="142"/>
        <v>228.8</v>
      </c>
      <c r="T435" s="2">
        <f t="shared" si="142"/>
        <v>48.81</v>
      </c>
      <c r="U435" s="2">
        <f t="shared" si="142"/>
        <v>4.88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17">
        <v>534013</v>
      </c>
      <c r="AB435" s="14" t="s">
        <v>723</v>
      </c>
      <c r="AC435" s="15" t="s">
        <v>890</v>
      </c>
      <c r="AD435" s="2">
        <v>5113401</v>
      </c>
      <c r="AE435" s="2">
        <v>0</v>
      </c>
      <c r="AF435" s="2">
        <v>1</v>
      </c>
      <c r="AG435" s="2">
        <f t="shared" si="149"/>
        <v>5063401</v>
      </c>
      <c r="AH435" s="2">
        <v>2</v>
      </c>
      <c r="AJ435">
        <v>1</v>
      </c>
      <c r="AK435" s="1">
        <f t="shared" si="143"/>
        <v>133.22111104887395</v>
      </c>
      <c r="AL435">
        <v>10</v>
      </c>
      <c r="AM435">
        <f t="shared" si="134"/>
        <v>266.24</v>
      </c>
      <c r="AN435">
        <f t="shared" si="135"/>
        <v>26.624000000000002</v>
      </c>
      <c r="AO435">
        <f t="shared" si="136"/>
        <v>2080</v>
      </c>
      <c r="AP435">
        <f t="shared" si="137"/>
        <v>208</v>
      </c>
      <c r="AQ435">
        <f t="shared" si="138"/>
        <v>44.373333333333335</v>
      </c>
      <c r="AR435">
        <f t="shared" si="145"/>
        <v>4.437333333333334</v>
      </c>
      <c r="AS435">
        <f t="shared" si="139"/>
        <v>1.6</v>
      </c>
      <c r="AT435">
        <f t="shared" si="140"/>
        <v>1.5</v>
      </c>
      <c r="AU435">
        <f t="shared" si="141"/>
        <v>6</v>
      </c>
      <c r="AV435">
        <f t="shared" si="154"/>
        <v>4013</v>
      </c>
      <c r="AW435" s="1">
        <v>1</v>
      </c>
      <c r="AX435">
        <v>5</v>
      </c>
      <c r="AY435">
        <v>0.1</v>
      </c>
      <c r="CE435" t="str">
        <f t="shared" si="152"/>
        <v>DATA_Class_Base32</v>
      </c>
      <c r="CF435" s="3" t="s">
        <v>388</v>
      </c>
    </row>
    <row r="436" spans="1:84">
      <c r="A436">
        <f t="shared" si="150"/>
        <v>5103402</v>
      </c>
      <c r="B436" s="31" t="s">
        <v>390</v>
      </c>
      <c r="C436">
        <v>10</v>
      </c>
      <c r="D436">
        <v>4</v>
      </c>
      <c r="E436">
        <v>3</v>
      </c>
      <c r="F436" s="3" t="s">
        <v>1700</v>
      </c>
      <c r="G436" s="3" t="s">
        <v>1700</v>
      </c>
      <c r="H436">
        <v>0</v>
      </c>
      <c r="I436">
        <v>0</v>
      </c>
      <c r="J436" s="2">
        <v>0</v>
      </c>
      <c r="K436" s="2" t="s">
        <v>250</v>
      </c>
      <c r="L436" s="2">
        <f t="shared" si="151"/>
        <v>6</v>
      </c>
      <c r="M436" s="2">
        <f t="shared" si="153"/>
        <v>1.5</v>
      </c>
      <c r="N436" s="2">
        <f t="shared" si="153"/>
        <v>1.5</v>
      </c>
      <c r="O436" s="2">
        <v>10</v>
      </c>
      <c r="P436" s="2">
        <f t="shared" si="144"/>
        <v>297.44</v>
      </c>
      <c r="Q436" s="2">
        <f t="shared" si="144"/>
        <v>29.74</v>
      </c>
      <c r="R436" s="2">
        <f t="shared" si="144"/>
        <v>2112</v>
      </c>
      <c r="S436" s="2">
        <f t="shared" si="142"/>
        <v>211.2</v>
      </c>
      <c r="T436" s="2">
        <f t="shared" si="142"/>
        <v>42.49</v>
      </c>
      <c r="U436" s="2">
        <f t="shared" si="142"/>
        <v>4.25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17">
        <v>534023</v>
      </c>
      <c r="AB436" s="14" t="s">
        <v>724</v>
      </c>
      <c r="AC436" s="15" t="s">
        <v>890</v>
      </c>
      <c r="AD436" s="2">
        <v>5113402</v>
      </c>
      <c r="AE436" s="2">
        <v>0</v>
      </c>
      <c r="AF436" s="2">
        <v>1</v>
      </c>
      <c r="AG436" s="2">
        <f t="shared" si="149"/>
        <v>5063402</v>
      </c>
      <c r="AH436" s="2">
        <v>2</v>
      </c>
      <c r="AJ436">
        <v>1</v>
      </c>
      <c r="AK436" s="1">
        <f t="shared" si="143"/>
        <v>133.05129673430434</v>
      </c>
      <c r="AL436">
        <v>10</v>
      </c>
      <c r="AM436">
        <f t="shared" si="134"/>
        <v>270.40000000000003</v>
      </c>
      <c r="AN436">
        <f t="shared" si="135"/>
        <v>27.040000000000006</v>
      </c>
      <c r="AO436">
        <f t="shared" si="136"/>
        <v>1919.9999999999998</v>
      </c>
      <c r="AP436">
        <f t="shared" si="137"/>
        <v>192</v>
      </c>
      <c r="AQ436">
        <f t="shared" si="138"/>
        <v>38.628571428571433</v>
      </c>
      <c r="AR436">
        <f t="shared" si="145"/>
        <v>3.8628571428571434</v>
      </c>
      <c r="AS436">
        <f t="shared" si="139"/>
        <v>1.5</v>
      </c>
      <c r="AT436">
        <f t="shared" si="140"/>
        <v>1.5</v>
      </c>
      <c r="AU436">
        <f t="shared" si="141"/>
        <v>6</v>
      </c>
      <c r="AV436">
        <f t="shared" si="154"/>
        <v>4023</v>
      </c>
      <c r="AW436" s="1">
        <v>2</v>
      </c>
      <c r="AX436">
        <v>5</v>
      </c>
      <c r="AY436">
        <v>0.1</v>
      </c>
      <c r="CE436" t="str">
        <f t="shared" si="152"/>
        <v>DATA_Class_Base33</v>
      </c>
      <c r="CF436" s="3" t="s">
        <v>391</v>
      </c>
    </row>
    <row r="437" spans="1:84">
      <c r="A437">
        <f t="shared" si="150"/>
        <v>5103500</v>
      </c>
      <c r="B437" s="31" t="s">
        <v>394</v>
      </c>
      <c r="C437">
        <v>10</v>
      </c>
      <c r="D437">
        <v>5</v>
      </c>
      <c r="E437">
        <v>3</v>
      </c>
      <c r="F437" s="3" t="s">
        <v>1701</v>
      </c>
      <c r="G437" s="3" t="s">
        <v>1701</v>
      </c>
      <c r="H437">
        <v>0</v>
      </c>
      <c r="I437">
        <v>0</v>
      </c>
      <c r="J437" s="2">
        <v>0</v>
      </c>
      <c r="K437" s="2" t="s">
        <v>303</v>
      </c>
      <c r="L437" s="2">
        <f t="shared" si="151"/>
        <v>6</v>
      </c>
      <c r="M437" s="2">
        <f t="shared" si="153"/>
        <v>1.5</v>
      </c>
      <c r="N437" s="2">
        <f t="shared" si="153"/>
        <v>2</v>
      </c>
      <c r="O437" s="2">
        <v>10</v>
      </c>
      <c r="P437" s="2">
        <f t="shared" si="144"/>
        <v>297.44</v>
      </c>
      <c r="Q437" s="2">
        <f t="shared" si="144"/>
        <v>29.74</v>
      </c>
      <c r="R437" s="2">
        <f t="shared" si="144"/>
        <v>2112</v>
      </c>
      <c r="S437" s="2">
        <f t="shared" si="142"/>
        <v>211.2</v>
      </c>
      <c r="T437" s="2">
        <f t="shared" si="142"/>
        <v>49.57</v>
      </c>
      <c r="U437" s="2">
        <f t="shared" si="142"/>
        <v>4.96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17">
        <v>535003</v>
      </c>
      <c r="AB437" s="14" t="s">
        <v>725</v>
      </c>
      <c r="AC437" s="15" t="s">
        <v>890</v>
      </c>
      <c r="AD437" s="2">
        <v>5113500</v>
      </c>
      <c r="AE437" s="2">
        <v>0</v>
      </c>
      <c r="AF437" s="2">
        <v>1</v>
      </c>
      <c r="AG437" s="2">
        <f t="shared" si="149"/>
        <v>5063500</v>
      </c>
      <c r="AH437" s="2">
        <v>2</v>
      </c>
      <c r="AJ437">
        <v>1</v>
      </c>
      <c r="AK437" s="1">
        <f t="shared" si="143"/>
        <v>133.24163519912091</v>
      </c>
      <c r="AL437">
        <v>10</v>
      </c>
      <c r="AM437">
        <f t="shared" si="134"/>
        <v>270.40000000000003</v>
      </c>
      <c r="AN437">
        <f t="shared" si="135"/>
        <v>27.040000000000006</v>
      </c>
      <c r="AO437">
        <f t="shared" si="136"/>
        <v>1919.9999999999998</v>
      </c>
      <c r="AP437">
        <f t="shared" si="137"/>
        <v>192</v>
      </c>
      <c r="AQ437">
        <f t="shared" si="138"/>
        <v>45.06666666666667</v>
      </c>
      <c r="AR437">
        <f t="shared" si="145"/>
        <v>4.5066666666666668</v>
      </c>
      <c r="AS437">
        <f t="shared" si="139"/>
        <v>1.5</v>
      </c>
      <c r="AT437">
        <f t="shared" si="140"/>
        <v>2</v>
      </c>
      <c r="AU437">
        <f t="shared" si="141"/>
        <v>6</v>
      </c>
      <c r="AV437">
        <f t="shared" si="154"/>
        <v>5003</v>
      </c>
      <c r="AW437" s="1">
        <v>0</v>
      </c>
      <c r="AX437">
        <v>5</v>
      </c>
      <c r="AY437">
        <v>0.1</v>
      </c>
      <c r="CE437" t="str">
        <f t="shared" si="152"/>
        <v>DATA_Class_Base34</v>
      </c>
      <c r="CF437" s="3" t="s">
        <v>184</v>
      </c>
    </row>
    <row r="438" spans="1:84">
      <c r="A438">
        <f t="shared" si="150"/>
        <v>5103502</v>
      </c>
      <c r="B438" s="31" t="s">
        <v>396</v>
      </c>
      <c r="C438">
        <v>10</v>
      </c>
      <c r="D438">
        <v>5</v>
      </c>
      <c r="E438">
        <v>3</v>
      </c>
      <c r="F438" s="3" t="s">
        <v>1702</v>
      </c>
      <c r="G438" s="3" t="s">
        <v>1702</v>
      </c>
      <c r="H438">
        <v>0</v>
      </c>
      <c r="I438">
        <v>0</v>
      </c>
      <c r="J438" s="2">
        <v>0</v>
      </c>
      <c r="K438" s="2" t="s">
        <v>291</v>
      </c>
      <c r="L438" s="2">
        <f t="shared" si="151"/>
        <v>6</v>
      </c>
      <c r="M438" s="2">
        <f t="shared" si="153"/>
        <v>1.4000000000000001</v>
      </c>
      <c r="N438" s="2">
        <f t="shared" si="153"/>
        <v>2</v>
      </c>
      <c r="O438" s="2">
        <v>10</v>
      </c>
      <c r="P438" s="2">
        <f t="shared" si="144"/>
        <v>288.29000000000002</v>
      </c>
      <c r="Q438" s="2">
        <f t="shared" si="144"/>
        <v>28.83</v>
      </c>
      <c r="R438" s="2">
        <f t="shared" si="144"/>
        <v>2033.78</v>
      </c>
      <c r="S438" s="2">
        <f t="shared" si="142"/>
        <v>203.38</v>
      </c>
      <c r="T438" s="2">
        <f t="shared" si="142"/>
        <v>41.18</v>
      </c>
      <c r="U438" s="2">
        <f t="shared" si="142"/>
        <v>4.12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17">
        <v>535023</v>
      </c>
      <c r="AB438" s="14" t="s">
        <v>726</v>
      </c>
      <c r="AC438" s="15" t="s">
        <v>890</v>
      </c>
      <c r="AD438" s="2">
        <v>5113502</v>
      </c>
      <c r="AE438" s="2">
        <v>0</v>
      </c>
      <c r="AF438" s="2">
        <v>1</v>
      </c>
      <c r="AG438" s="2">
        <f t="shared" si="149"/>
        <v>5063502</v>
      </c>
      <c r="AH438" s="2">
        <v>2</v>
      </c>
      <c r="AJ438">
        <v>1</v>
      </c>
      <c r="AK438" s="1">
        <f t="shared" si="143"/>
        <v>133.01621677432681</v>
      </c>
      <c r="AL438">
        <v>10</v>
      </c>
      <c r="AM438">
        <f t="shared" si="134"/>
        <v>262.08</v>
      </c>
      <c r="AN438">
        <f t="shared" si="135"/>
        <v>26.207999999999998</v>
      </c>
      <c r="AO438">
        <f t="shared" si="136"/>
        <v>1848.8888888888889</v>
      </c>
      <c r="AP438">
        <f t="shared" si="137"/>
        <v>184.88888888888891</v>
      </c>
      <c r="AQ438">
        <f t="shared" si="138"/>
        <v>37.44</v>
      </c>
      <c r="AR438">
        <f t="shared" si="145"/>
        <v>3.7439999999999998</v>
      </c>
      <c r="AS438">
        <f t="shared" si="139"/>
        <v>1.4</v>
      </c>
      <c r="AT438">
        <f t="shared" si="140"/>
        <v>2</v>
      </c>
      <c r="AU438">
        <f t="shared" si="141"/>
        <v>6</v>
      </c>
      <c r="AV438">
        <f t="shared" si="154"/>
        <v>5023</v>
      </c>
      <c r="AW438" s="1">
        <v>2</v>
      </c>
      <c r="AX438">
        <v>5</v>
      </c>
      <c r="AY438">
        <v>0.1</v>
      </c>
      <c r="CE438" t="str">
        <f t="shared" si="152"/>
        <v>DATA_Class_Base35</v>
      </c>
      <c r="CF438" s="3" t="s">
        <v>195</v>
      </c>
    </row>
    <row r="439" spans="1:84">
      <c r="A439">
        <f t="shared" si="150"/>
        <v>5103601</v>
      </c>
      <c r="B439" s="31" t="s">
        <v>398</v>
      </c>
      <c r="C439">
        <v>10</v>
      </c>
      <c r="D439">
        <v>6</v>
      </c>
      <c r="E439">
        <v>3</v>
      </c>
      <c r="F439" s="3" t="s">
        <v>1703</v>
      </c>
      <c r="G439" s="3" t="s">
        <v>1703</v>
      </c>
      <c r="H439">
        <v>0</v>
      </c>
      <c r="I439">
        <v>0</v>
      </c>
      <c r="J439">
        <v>0</v>
      </c>
      <c r="K439" s="2" t="s">
        <v>309</v>
      </c>
      <c r="L439" s="2">
        <f t="shared" si="151"/>
        <v>6</v>
      </c>
      <c r="M439" s="2">
        <f t="shared" si="153"/>
        <v>1.5</v>
      </c>
      <c r="N439" s="2">
        <f t="shared" si="153"/>
        <v>2</v>
      </c>
      <c r="O439" s="2">
        <v>10</v>
      </c>
      <c r="P439" s="2">
        <f t="shared" si="144"/>
        <v>205.92</v>
      </c>
      <c r="Q439" s="2">
        <f t="shared" si="144"/>
        <v>20.59</v>
      </c>
      <c r="R439" s="2">
        <f t="shared" si="144"/>
        <v>3050.67</v>
      </c>
      <c r="S439" s="2">
        <f t="shared" si="142"/>
        <v>305.07</v>
      </c>
      <c r="T439" s="2">
        <f t="shared" si="142"/>
        <v>68.64</v>
      </c>
      <c r="U439" s="2">
        <f t="shared" si="142"/>
        <v>6.86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17">
        <v>536013</v>
      </c>
      <c r="AB439" s="14" t="s">
        <v>727</v>
      </c>
      <c r="AC439" s="15" t="s">
        <v>890</v>
      </c>
      <c r="AD439" s="2">
        <v>5113601</v>
      </c>
      <c r="AE439" s="2">
        <v>0</v>
      </c>
      <c r="AF439" s="2">
        <v>1</v>
      </c>
      <c r="AG439" s="2">
        <f t="shared" si="149"/>
        <v>5063601</v>
      </c>
      <c r="AH439" s="2">
        <v>2</v>
      </c>
      <c r="AJ439">
        <v>1</v>
      </c>
      <c r="AK439" s="1">
        <f t="shared" si="143"/>
        <v>133.75680218033162</v>
      </c>
      <c r="AL439">
        <v>10</v>
      </c>
      <c r="AM439">
        <f t="shared" si="134"/>
        <v>187.20000000000002</v>
      </c>
      <c r="AN439">
        <f t="shared" si="135"/>
        <v>18.720000000000002</v>
      </c>
      <c r="AO439">
        <f t="shared" si="136"/>
        <v>2773.3333333333335</v>
      </c>
      <c r="AP439">
        <f t="shared" si="137"/>
        <v>277.33333333333337</v>
      </c>
      <c r="AQ439">
        <f t="shared" si="138"/>
        <v>62.400000000000006</v>
      </c>
      <c r="AR439">
        <f t="shared" si="145"/>
        <v>6.2400000000000011</v>
      </c>
      <c r="AS439">
        <f t="shared" si="139"/>
        <v>1.5</v>
      </c>
      <c r="AT439">
        <f t="shared" si="140"/>
        <v>2</v>
      </c>
      <c r="AU439">
        <f t="shared" si="141"/>
        <v>6</v>
      </c>
      <c r="AV439">
        <f t="shared" si="154"/>
        <v>6013</v>
      </c>
      <c r="AW439" s="1">
        <v>1</v>
      </c>
      <c r="AX439">
        <v>5</v>
      </c>
      <c r="AY439">
        <v>0.1</v>
      </c>
      <c r="CE439" t="str">
        <f t="shared" si="152"/>
        <v>DATA_Class_Base36</v>
      </c>
      <c r="CF439" s="3" t="s">
        <v>201</v>
      </c>
    </row>
    <row r="440" spans="1:84">
      <c r="A440">
        <f t="shared" si="150"/>
        <v>5104201</v>
      </c>
      <c r="B440" t="s">
        <v>377</v>
      </c>
      <c r="C440">
        <v>10</v>
      </c>
      <c r="D440">
        <v>2</v>
      </c>
      <c r="E440">
        <v>4</v>
      </c>
      <c r="F440" s="3" t="s">
        <v>1704</v>
      </c>
      <c r="G440" s="3" t="s">
        <v>1704</v>
      </c>
      <c r="H440">
        <v>0</v>
      </c>
      <c r="I440">
        <v>0</v>
      </c>
      <c r="J440" s="30">
        <v>0</v>
      </c>
      <c r="K440" s="8" t="s">
        <v>298</v>
      </c>
      <c r="L440" s="2">
        <f t="shared" si="151"/>
        <v>3</v>
      </c>
      <c r="M440" s="2">
        <f t="shared" si="153"/>
        <v>1.8</v>
      </c>
      <c r="N440" s="2">
        <f t="shared" si="153"/>
        <v>1.8</v>
      </c>
      <c r="O440" s="2">
        <v>10</v>
      </c>
      <c r="P440" s="2">
        <f t="shared" si="144"/>
        <v>219.65</v>
      </c>
      <c r="Q440" s="2">
        <f t="shared" si="144"/>
        <v>21.96</v>
      </c>
      <c r="R440" s="2">
        <f t="shared" si="144"/>
        <v>3432</v>
      </c>
      <c r="S440" s="2">
        <f t="shared" si="142"/>
        <v>343.2</v>
      </c>
      <c r="T440" s="2">
        <f t="shared" si="142"/>
        <v>84.48</v>
      </c>
      <c r="U440" s="2">
        <f t="shared" si="142"/>
        <v>8.4499999999999993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17">
        <v>542013</v>
      </c>
      <c r="AB440" s="15" t="s">
        <v>728</v>
      </c>
      <c r="AC440" s="15" t="s">
        <v>890</v>
      </c>
      <c r="AD440" s="2">
        <v>5114201</v>
      </c>
      <c r="AE440" s="2">
        <v>0</v>
      </c>
      <c r="AF440" s="2">
        <v>1</v>
      </c>
      <c r="AG440" s="2">
        <f t="shared" si="149"/>
        <v>5064201</v>
      </c>
      <c r="AH440" s="2">
        <v>2</v>
      </c>
      <c r="AI440" s="2"/>
      <c r="AJ440">
        <v>1</v>
      </c>
      <c r="AK440" s="1">
        <f t="shared" si="143"/>
        <v>134.1878263133911</v>
      </c>
      <c r="AL440">
        <v>10</v>
      </c>
      <c r="AM440">
        <f t="shared" si="134"/>
        <v>199.68000000000004</v>
      </c>
      <c r="AN440">
        <f t="shared" si="135"/>
        <v>19.968000000000004</v>
      </c>
      <c r="AO440">
        <f t="shared" si="136"/>
        <v>3120</v>
      </c>
      <c r="AP440">
        <f t="shared" si="137"/>
        <v>312</v>
      </c>
      <c r="AQ440">
        <f t="shared" si="138"/>
        <v>76.800000000000011</v>
      </c>
      <c r="AR440">
        <f t="shared" si="145"/>
        <v>7.6800000000000015</v>
      </c>
      <c r="AS440">
        <f t="shared" si="139"/>
        <v>1.8</v>
      </c>
      <c r="AT440">
        <f t="shared" si="140"/>
        <v>1.8</v>
      </c>
      <c r="AU440">
        <f t="shared" si="141"/>
        <v>3</v>
      </c>
      <c r="AV440">
        <f t="shared" si="154"/>
        <v>2014</v>
      </c>
      <c r="AW440" s="1">
        <v>1</v>
      </c>
      <c r="AX440">
        <v>5</v>
      </c>
      <c r="AY440">
        <v>0.1</v>
      </c>
      <c r="BY440" s="13"/>
      <c r="BZ440" s="13"/>
      <c r="CA440" s="13"/>
      <c r="CE440" t="str">
        <f t="shared" si="152"/>
        <v>DATA_Class_Base29</v>
      </c>
      <c r="CF440" s="3" t="s">
        <v>378</v>
      </c>
    </row>
    <row r="441" spans="1:84">
      <c r="A441">
        <f t="shared" si="150"/>
        <v>5104302</v>
      </c>
      <c r="B441" t="s">
        <v>412</v>
      </c>
      <c r="C441">
        <v>10</v>
      </c>
      <c r="D441">
        <v>3</v>
      </c>
      <c r="E441">
        <v>4</v>
      </c>
      <c r="F441" s="3" t="s">
        <v>1705</v>
      </c>
      <c r="G441" s="3" t="s">
        <v>1705</v>
      </c>
      <c r="H441">
        <v>0</v>
      </c>
      <c r="I441">
        <v>0</v>
      </c>
      <c r="J441" s="30">
        <v>0</v>
      </c>
      <c r="K441" s="2" t="s">
        <v>358</v>
      </c>
      <c r="L441" s="2">
        <f t="shared" si="151"/>
        <v>3</v>
      </c>
      <c r="M441" s="2">
        <f t="shared" si="153"/>
        <v>1.4000000000000001</v>
      </c>
      <c r="N441" s="2">
        <f t="shared" si="153"/>
        <v>2</v>
      </c>
      <c r="O441" s="2">
        <v>10</v>
      </c>
      <c r="P441" s="2">
        <f t="shared" si="144"/>
        <v>234.9</v>
      </c>
      <c r="Q441" s="2">
        <f t="shared" si="144"/>
        <v>23.49</v>
      </c>
      <c r="R441" s="2">
        <f t="shared" si="144"/>
        <v>2496</v>
      </c>
      <c r="S441" s="2">
        <f t="shared" si="142"/>
        <v>249.6</v>
      </c>
      <c r="T441" s="2">
        <f t="shared" si="142"/>
        <v>36.14</v>
      </c>
      <c r="U441" s="2">
        <f t="shared" si="142"/>
        <v>3.61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17">
        <v>543023</v>
      </c>
      <c r="AB441" s="15" t="s">
        <v>729</v>
      </c>
      <c r="AC441" s="15" t="s">
        <v>890</v>
      </c>
      <c r="AD441" s="2">
        <v>5114302</v>
      </c>
      <c r="AE441" s="2">
        <v>0</v>
      </c>
      <c r="AF441" s="2">
        <v>1</v>
      </c>
      <c r="AG441" s="2">
        <f t="shared" si="149"/>
        <v>5064302</v>
      </c>
      <c r="AH441" s="2">
        <v>2</v>
      </c>
      <c r="AI441" s="2"/>
      <c r="AJ441">
        <v>1</v>
      </c>
      <c r="AK441" s="1">
        <f t="shared" si="143"/>
        <v>132.8810173585295</v>
      </c>
      <c r="AL441">
        <v>10</v>
      </c>
      <c r="AM441">
        <f t="shared" si="134"/>
        <v>213.54666666666665</v>
      </c>
      <c r="AN441">
        <f t="shared" si="135"/>
        <v>21.354666666666667</v>
      </c>
      <c r="AO441">
        <f t="shared" si="136"/>
        <v>2269.090909090909</v>
      </c>
      <c r="AP441">
        <f t="shared" si="137"/>
        <v>226.90909090909091</v>
      </c>
      <c r="AQ441">
        <f t="shared" si="138"/>
        <v>32.853333333333332</v>
      </c>
      <c r="AR441">
        <f t="shared" si="145"/>
        <v>3.2853333333333334</v>
      </c>
      <c r="AS441">
        <f t="shared" si="139"/>
        <v>1.4</v>
      </c>
      <c r="AT441">
        <f t="shared" si="140"/>
        <v>2</v>
      </c>
      <c r="AU441">
        <f t="shared" si="141"/>
        <v>3</v>
      </c>
      <c r="AV441">
        <f t="shared" si="154"/>
        <v>3024</v>
      </c>
      <c r="AW441" s="1">
        <v>2</v>
      </c>
      <c r="AX441">
        <v>5</v>
      </c>
      <c r="AY441">
        <v>0.1</v>
      </c>
      <c r="BY441" s="13"/>
      <c r="BZ441" s="13"/>
      <c r="CA441" s="13"/>
      <c r="CE441" t="str">
        <f t="shared" si="152"/>
        <v>DATA_Class_Base41</v>
      </c>
      <c r="CF441" s="3" t="s">
        <v>413</v>
      </c>
    </row>
    <row r="442" spans="1:84">
      <c r="A442">
        <f t="shared" si="150"/>
        <v>5104501</v>
      </c>
      <c r="B442" t="s">
        <v>401</v>
      </c>
      <c r="C442">
        <v>10</v>
      </c>
      <c r="D442">
        <v>5</v>
      </c>
      <c r="E442">
        <v>4</v>
      </c>
      <c r="F442" s="3" t="s">
        <v>1706</v>
      </c>
      <c r="G442" s="3" t="s">
        <v>1706</v>
      </c>
      <c r="H442">
        <v>0</v>
      </c>
      <c r="I442">
        <v>0</v>
      </c>
      <c r="J442">
        <v>0</v>
      </c>
      <c r="K442" s="2" t="s">
        <v>334</v>
      </c>
      <c r="L442" s="2">
        <f t="shared" si="151"/>
        <v>6</v>
      </c>
      <c r="M442" s="2">
        <f t="shared" si="153"/>
        <v>1.6</v>
      </c>
      <c r="N442" s="2">
        <f t="shared" si="153"/>
        <v>2</v>
      </c>
      <c r="O442" s="2">
        <v>10</v>
      </c>
      <c r="P442" s="2">
        <f t="shared" si="144"/>
        <v>317.27</v>
      </c>
      <c r="Q442" s="2">
        <f t="shared" si="144"/>
        <v>31.73</v>
      </c>
      <c r="R442" s="2">
        <f t="shared" si="144"/>
        <v>2112</v>
      </c>
      <c r="S442" s="2">
        <f t="shared" si="142"/>
        <v>211.2</v>
      </c>
      <c r="T442" s="2">
        <f t="shared" si="142"/>
        <v>35.25</v>
      </c>
      <c r="U442" s="2">
        <f t="shared" si="142"/>
        <v>3.53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17">
        <v>545013</v>
      </c>
      <c r="AB442" s="14" t="s">
        <v>730</v>
      </c>
      <c r="AC442" s="15" t="s">
        <v>890</v>
      </c>
      <c r="AD442" s="2">
        <v>5114501</v>
      </c>
      <c r="AE442" s="2">
        <v>0</v>
      </c>
      <c r="AF442" s="2">
        <v>1</v>
      </c>
      <c r="AG442" s="2">
        <f t="shared" si="149"/>
        <v>5064501</v>
      </c>
      <c r="AH442" s="2">
        <v>2</v>
      </c>
      <c r="AI442" s="2"/>
      <c r="AJ442">
        <v>1</v>
      </c>
      <c r="AK442" s="1">
        <f t="shared" si="143"/>
        <v>132.8572897723231</v>
      </c>
      <c r="AL442">
        <v>10</v>
      </c>
      <c r="AM442">
        <f t="shared" si="134"/>
        <v>288.42666666666668</v>
      </c>
      <c r="AN442">
        <f t="shared" si="135"/>
        <v>28.84266666666667</v>
      </c>
      <c r="AO442">
        <f t="shared" si="136"/>
        <v>1919.9999999999998</v>
      </c>
      <c r="AP442">
        <f t="shared" si="137"/>
        <v>192</v>
      </c>
      <c r="AQ442">
        <f t="shared" si="138"/>
        <v>32.047407407407405</v>
      </c>
      <c r="AR442">
        <f t="shared" si="145"/>
        <v>3.2047407407407409</v>
      </c>
      <c r="AS442">
        <f t="shared" si="139"/>
        <v>1.6</v>
      </c>
      <c r="AT442">
        <f t="shared" si="140"/>
        <v>2</v>
      </c>
      <c r="AU442">
        <f t="shared" si="141"/>
        <v>6</v>
      </c>
      <c r="AV442">
        <f t="shared" si="154"/>
        <v>5014</v>
      </c>
      <c r="AW442" s="1">
        <v>1</v>
      </c>
      <c r="AX442">
        <v>5</v>
      </c>
      <c r="AY442">
        <v>0.1</v>
      </c>
      <c r="BX442" t="str">
        <f t="shared" ref="BX442:BX444" si="155">BY442&amp;","&amp;BZ442&amp;","&amp;CA442</f>
        <v>1545011,2545011,3545011</v>
      </c>
      <c r="BY442" s="13">
        <v>1545011</v>
      </c>
      <c r="BZ442" s="13">
        <v>2545011</v>
      </c>
      <c r="CA442" s="13">
        <v>3545011</v>
      </c>
      <c r="CE442" t="str">
        <f t="shared" si="152"/>
        <v>DATA_Class_Base37</v>
      </c>
      <c r="CF442" s="3" t="s">
        <v>402</v>
      </c>
    </row>
    <row r="443" spans="1:84">
      <c r="A443">
        <f t="shared" si="150"/>
        <v>5104600</v>
      </c>
      <c r="B443" t="s">
        <v>404</v>
      </c>
      <c r="C443">
        <v>10</v>
      </c>
      <c r="D443">
        <v>6</v>
      </c>
      <c r="E443">
        <v>4</v>
      </c>
      <c r="F443" s="3" t="s">
        <v>1707</v>
      </c>
      <c r="G443" s="3" t="s">
        <v>1707</v>
      </c>
      <c r="H443">
        <v>0</v>
      </c>
      <c r="I443">
        <v>0</v>
      </c>
      <c r="J443" s="2">
        <v>0</v>
      </c>
      <c r="K443" s="2" t="s">
        <v>339</v>
      </c>
      <c r="L443" s="2">
        <f t="shared" si="151"/>
        <v>3</v>
      </c>
      <c r="M443" s="2">
        <f t="shared" si="153"/>
        <v>1.4000000000000001</v>
      </c>
      <c r="N443" s="2">
        <f t="shared" si="153"/>
        <v>1.9000000000000001</v>
      </c>
      <c r="O443" s="2">
        <v>10</v>
      </c>
      <c r="P443" s="2">
        <f t="shared" si="144"/>
        <v>234.9</v>
      </c>
      <c r="Q443" s="2">
        <f t="shared" si="144"/>
        <v>23.49</v>
      </c>
      <c r="R443" s="2">
        <f t="shared" si="144"/>
        <v>2496</v>
      </c>
      <c r="S443" s="2">
        <f t="shared" si="142"/>
        <v>249.6</v>
      </c>
      <c r="T443" s="2">
        <f t="shared" si="142"/>
        <v>58.73</v>
      </c>
      <c r="U443" s="2">
        <f t="shared" si="142"/>
        <v>5.87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17">
        <v>546003</v>
      </c>
      <c r="AB443" s="14" t="s">
        <v>731</v>
      </c>
      <c r="AC443" s="15" t="s">
        <v>890</v>
      </c>
      <c r="AD443" s="2">
        <v>5114600</v>
      </c>
      <c r="AE443" s="2">
        <v>0</v>
      </c>
      <c r="AF443" s="2">
        <v>1</v>
      </c>
      <c r="AG443" s="2">
        <f t="shared" si="149"/>
        <v>5064600</v>
      </c>
      <c r="AH443" s="2">
        <v>2</v>
      </c>
      <c r="AI443" s="2"/>
      <c r="AJ443">
        <v>1</v>
      </c>
      <c r="AK443" s="1">
        <f t="shared" si="143"/>
        <v>133.48841918252674</v>
      </c>
      <c r="AL443">
        <v>10</v>
      </c>
      <c r="AM443">
        <f t="shared" si="134"/>
        <v>213.54666666666665</v>
      </c>
      <c r="AN443">
        <f t="shared" si="135"/>
        <v>21.354666666666667</v>
      </c>
      <c r="AO443">
        <f t="shared" si="136"/>
        <v>2269.090909090909</v>
      </c>
      <c r="AP443">
        <f t="shared" si="137"/>
        <v>226.90909090909091</v>
      </c>
      <c r="AQ443">
        <f t="shared" si="138"/>
        <v>53.386666666666663</v>
      </c>
      <c r="AR443">
        <f t="shared" si="145"/>
        <v>5.3386666666666667</v>
      </c>
      <c r="AS443">
        <f t="shared" si="139"/>
        <v>1.4</v>
      </c>
      <c r="AT443">
        <f t="shared" si="140"/>
        <v>1.9</v>
      </c>
      <c r="AU443">
        <f t="shared" si="141"/>
        <v>3</v>
      </c>
      <c r="AV443">
        <f t="shared" si="154"/>
        <v>6004</v>
      </c>
      <c r="AW443" s="1">
        <v>0</v>
      </c>
      <c r="AX443">
        <v>5</v>
      </c>
      <c r="AY443">
        <v>0.1</v>
      </c>
      <c r="BX443" t="str">
        <f t="shared" si="155"/>
        <v>1546001,2546001,3546001</v>
      </c>
      <c r="BY443" s="13">
        <v>1546001</v>
      </c>
      <c r="BZ443" s="13">
        <v>2546001</v>
      </c>
      <c r="CA443" s="13">
        <v>3546001</v>
      </c>
      <c r="CE443" t="str">
        <f t="shared" si="152"/>
        <v>DATA_Class_Base38</v>
      </c>
      <c r="CF443" s="3" t="s">
        <v>198</v>
      </c>
    </row>
    <row r="444" spans="1:84">
      <c r="A444">
        <f t="shared" si="150"/>
        <v>5104602</v>
      </c>
      <c r="B444" t="s">
        <v>406</v>
      </c>
      <c r="C444">
        <v>10</v>
      </c>
      <c r="D444">
        <v>6</v>
      </c>
      <c r="E444">
        <v>4</v>
      </c>
      <c r="F444" s="3" t="s">
        <v>1708</v>
      </c>
      <c r="G444" s="3" t="s">
        <v>1708</v>
      </c>
      <c r="H444">
        <v>0</v>
      </c>
      <c r="I444">
        <v>0</v>
      </c>
      <c r="J444" t="s">
        <v>345</v>
      </c>
      <c r="K444" s="2" t="s">
        <v>346</v>
      </c>
      <c r="L444" s="2">
        <f t="shared" si="151"/>
        <v>6</v>
      </c>
      <c r="M444" s="2">
        <f t="shared" si="153"/>
        <v>1.8</v>
      </c>
      <c r="N444" s="2">
        <f t="shared" si="153"/>
        <v>2</v>
      </c>
      <c r="O444" s="2">
        <v>10</v>
      </c>
      <c r="P444" s="2">
        <f t="shared" si="144"/>
        <v>274.56</v>
      </c>
      <c r="Q444" s="2">
        <f t="shared" si="144"/>
        <v>27.46</v>
      </c>
      <c r="R444" s="2">
        <f t="shared" si="144"/>
        <v>2745.6</v>
      </c>
      <c r="S444" s="2">
        <f t="shared" si="142"/>
        <v>274.56</v>
      </c>
      <c r="T444" s="2">
        <f t="shared" si="142"/>
        <v>54.91</v>
      </c>
      <c r="U444" s="2">
        <f t="shared" si="142"/>
        <v>5.49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17">
        <v>546023</v>
      </c>
      <c r="AB444" s="14" t="s">
        <v>732</v>
      </c>
      <c r="AC444" s="15" t="s">
        <v>890</v>
      </c>
      <c r="AD444" s="2">
        <v>5114602</v>
      </c>
      <c r="AE444" s="2">
        <v>0</v>
      </c>
      <c r="AF444" s="2">
        <v>1</v>
      </c>
      <c r="AG444" s="2">
        <f t="shared" si="149"/>
        <v>5064602</v>
      </c>
      <c r="AH444" s="2">
        <v>2</v>
      </c>
      <c r="AI444" s="2"/>
      <c r="AJ444">
        <v>1</v>
      </c>
      <c r="AK444" s="1">
        <f t="shared" si="143"/>
        <v>133.38548151215912</v>
      </c>
      <c r="AL444">
        <v>10</v>
      </c>
      <c r="AM444">
        <f t="shared" si="134"/>
        <v>249.60000000000002</v>
      </c>
      <c r="AN444">
        <f t="shared" si="135"/>
        <v>24.960000000000004</v>
      </c>
      <c r="AO444">
        <f t="shared" si="136"/>
        <v>2496</v>
      </c>
      <c r="AP444">
        <f t="shared" si="137"/>
        <v>249.60000000000002</v>
      </c>
      <c r="AQ444">
        <f t="shared" si="138"/>
        <v>49.92</v>
      </c>
      <c r="AR444">
        <f t="shared" si="145"/>
        <v>4.9920000000000009</v>
      </c>
      <c r="AS444">
        <f t="shared" si="139"/>
        <v>1.8</v>
      </c>
      <c r="AT444">
        <f t="shared" si="140"/>
        <v>2</v>
      </c>
      <c r="AU444">
        <f t="shared" si="141"/>
        <v>6</v>
      </c>
      <c r="AV444">
        <f t="shared" si="154"/>
        <v>6024</v>
      </c>
      <c r="AW444" s="1">
        <v>2</v>
      </c>
      <c r="AX444">
        <v>5</v>
      </c>
      <c r="AY444">
        <v>0.1</v>
      </c>
      <c r="BX444" t="str">
        <f t="shared" si="155"/>
        <v>1546021,2546021,3546021</v>
      </c>
      <c r="BY444" s="13">
        <v>1546021</v>
      </c>
      <c r="BZ444" s="13">
        <v>2546021</v>
      </c>
      <c r="CA444" s="13">
        <v>3546021</v>
      </c>
      <c r="CE444" t="str">
        <f t="shared" si="152"/>
        <v>DATA_Class_Base39</v>
      </c>
      <c r="CF444" s="3" t="s">
        <v>407</v>
      </c>
    </row>
    <row r="445" spans="1:84">
      <c r="A445">
        <f t="shared" si="150"/>
        <v>5105202</v>
      </c>
      <c r="B445" t="s">
        <v>380</v>
      </c>
      <c r="C445">
        <v>10</v>
      </c>
      <c r="D445">
        <v>2</v>
      </c>
      <c r="E445">
        <v>5</v>
      </c>
      <c r="F445" s="3" t="s">
        <v>1709</v>
      </c>
      <c r="G445" s="3" t="s">
        <v>1709</v>
      </c>
      <c r="H445">
        <v>0</v>
      </c>
      <c r="I445">
        <v>0</v>
      </c>
      <c r="J445" s="3">
        <v>0</v>
      </c>
      <c r="K445" s="2" t="s">
        <v>280</v>
      </c>
      <c r="L445" s="2">
        <f t="shared" si="151"/>
        <v>3</v>
      </c>
      <c r="M445" s="2">
        <f t="shared" si="153"/>
        <v>1.8</v>
      </c>
      <c r="N445" s="2">
        <f t="shared" si="153"/>
        <v>2</v>
      </c>
      <c r="O445" s="2">
        <v>10</v>
      </c>
      <c r="P445" s="2">
        <f t="shared" si="144"/>
        <v>247.1</v>
      </c>
      <c r="Q445" s="2">
        <f t="shared" si="144"/>
        <v>24.71</v>
      </c>
      <c r="R445" s="2">
        <f t="shared" si="144"/>
        <v>3050.67</v>
      </c>
      <c r="S445" s="2">
        <f t="shared" si="142"/>
        <v>305.07</v>
      </c>
      <c r="T445" s="2">
        <f t="shared" si="142"/>
        <v>82.37</v>
      </c>
      <c r="U445" s="2">
        <f t="shared" si="142"/>
        <v>8.24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17">
        <v>552023</v>
      </c>
      <c r="AB445" s="15" t="s">
        <v>733</v>
      </c>
      <c r="AC445" s="15" t="s">
        <v>890</v>
      </c>
      <c r="AD445" s="2">
        <v>5115202</v>
      </c>
      <c r="AE445" s="2">
        <v>0</v>
      </c>
      <c r="AF445" s="2">
        <v>1</v>
      </c>
      <c r="AG445" s="2">
        <f t="shared" si="149"/>
        <v>5065202</v>
      </c>
      <c r="AH445" s="2">
        <v>2</v>
      </c>
      <c r="AI445" s="2"/>
      <c r="AJ445">
        <v>1</v>
      </c>
      <c r="AK445" s="1">
        <f t="shared" si="143"/>
        <v>134.13019599677247</v>
      </c>
      <c r="AL445">
        <v>10</v>
      </c>
      <c r="AM445">
        <f t="shared" si="134"/>
        <v>224.64000000000001</v>
      </c>
      <c r="AN445">
        <f t="shared" si="135"/>
        <v>22.464000000000002</v>
      </c>
      <c r="AO445">
        <f t="shared" si="136"/>
        <v>2773.3333333333335</v>
      </c>
      <c r="AP445">
        <f t="shared" si="137"/>
        <v>277.33333333333337</v>
      </c>
      <c r="AQ445">
        <f t="shared" si="138"/>
        <v>74.88000000000001</v>
      </c>
      <c r="AR445">
        <f t="shared" si="145"/>
        <v>7.4880000000000013</v>
      </c>
      <c r="AS445">
        <f t="shared" si="139"/>
        <v>1.8</v>
      </c>
      <c r="AT445">
        <f t="shared" si="140"/>
        <v>2</v>
      </c>
      <c r="AU445">
        <f t="shared" si="141"/>
        <v>3</v>
      </c>
      <c r="AV445">
        <f t="shared" si="154"/>
        <v>2025</v>
      </c>
      <c r="AW445" s="1">
        <v>2</v>
      </c>
      <c r="AX445">
        <v>5</v>
      </c>
      <c r="AY445">
        <v>0.1</v>
      </c>
      <c r="BY445" s="13"/>
      <c r="BZ445" s="13"/>
      <c r="CA445" s="13"/>
      <c r="CE445" t="str">
        <f t="shared" si="152"/>
        <v>DATA_Class_Base30</v>
      </c>
      <c r="CF445" s="3" t="s">
        <v>381</v>
      </c>
    </row>
    <row r="446" spans="1:84">
      <c r="A446">
        <f t="shared" si="150"/>
        <v>5105300</v>
      </c>
      <c r="B446" t="s">
        <v>410</v>
      </c>
      <c r="C446">
        <v>10</v>
      </c>
      <c r="D446">
        <v>3</v>
      </c>
      <c r="E446">
        <v>5</v>
      </c>
      <c r="F446" s="3" t="s">
        <v>1710</v>
      </c>
      <c r="G446" s="3" t="s">
        <v>1710</v>
      </c>
      <c r="H446">
        <v>0</v>
      </c>
      <c r="I446">
        <v>0</v>
      </c>
      <c r="J446" s="2">
        <v>0</v>
      </c>
      <c r="K446" s="2" t="s">
        <v>352</v>
      </c>
      <c r="L446" s="2">
        <f t="shared" si="151"/>
        <v>6</v>
      </c>
      <c r="M446" s="2">
        <f t="shared" si="153"/>
        <v>1.3</v>
      </c>
      <c r="N446" s="2">
        <f t="shared" si="153"/>
        <v>2</v>
      </c>
      <c r="O446" s="2">
        <v>10</v>
      </c>
      <c r="P446" s="2">
        <f t="shared" si="144"/>
        <v>228.04</v>
      </c>
      <c r="Q446" s="2">
        <f t="shared" si="144"/>
        <v>22.8</v>
      </c>
      <c r="R446" s="2">
        <f t="shared" si="144"/>
        <v>2387.48</v>
      </c>
      <c r="S446" s="2">
        <f t="shared" si="142"/>
        <v>238.75</v>
      </c>
      <c r="T446" s="2">
        <f t="shared" si="142"/>
        <v>28.5</v>
      </c>
      <c r="U446" s="2">
        <f t="shared" si="142"/>
        <v>2.85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17">
        <v>553003</v>
      </c>
      <c r="AB446" s="14" t="s">
        <v>734</v>
      </c>
      <c r="AC446" s="15" t="s">
        <v>890</v>
      </c>
      <c r="AD446" s="2">
        <v>5115300</v>
      </c>
      <c r="AE446" s="2">
        <v>0</v>
      </c>
      <c r="AF446" s="2">
        <v>1</v>
      </c>
      <c r="AG446" s="2">
        <f t="shared" si="149"/>
        <v>5065300</v>
      </c>
      <c r="AH446" s="2">
        <v>2</v>
      </c>
      <c r="AI446" s="2"/>
      <c r="AJ446">
        <v>1</v>
      </c>
      <c r="AK446" s="1">
        <f t="shared" si="143"/>
        <v>132.6769713686412</v>
      </c>
      <c r="AL446">
        <v>10</v>
      </c>
      <c r="AM446">
        <f t="shared" si="134"/>
        <v>207.30666666666664</v>
      </c>
      <c r="AN446">
        <f t="shared" si="135"/>
        <v>20.730666666666664</v>
      </c>
      <c r="AO446">
        <f t="shared" si="136"/>
        <v>2170.434782608696</v>
      </c>
      <c r="AP446">
        <f t="shared" si="137"/>
        <v>217.04347826086962</v>
      </c>
      <c r="AQ446">
        <f t="shared" si="138"/>
        <v>25.91333333333333</v>
      </c>
      <c r="AR446">
        <f t="shared" si="145"/>
        <v>2.591333333333333</v>
      </c>
      <c r="AS446">
        <f t="shared" si="139"/>
        <v>1.3</v>
      </c>
      <c r="AT446">
        <f t="shared" si="140"/>
        <v>2</v>
      </c>
      <c r="AU446">
        <f t="shared" si="141"/>
        <v>6</v>
      </c>
      <c r="AV446">
        <f t="shared" si="154"/>
        <v>3005</v>
      </c>
      <c r="AW446" s="1">
        <v>0</v>
      </c>
      <c r="AX446">
        <v>5</v>
      </c>
      <c r="AY446">
        <v>0.1</v>
      </c>
      <c r="BX446" t="str">
        <f t="shared" ref="BX446:BX448" si="156">BY446&amp;","&amp;BZ446&amp;","&amp;CA446</f>
        <v>1553001,2553001,3553001</v>
      </c>
      <c r="BY446" s="13">
        <v>1553001</v>
      </c>
      <c r="BZ446" s="13">
        <v>2553001</v>
      </c>
      <c r="CA446" s="13">
        <v>3553001</v>
      </c>
      <c r="CE446" t="str">
        <f t="shared" si="152"/>
        <v>DATA_Class_Base40</v>
      </c>
      <c r="CF446" s="3" t="s">
        <v>411</v>
      </c>
    </row>
    <row r="447" spans="1:84">
      <c r="A447">
        <f t="shared" si="150"/>
        <v>5105302</v>
      </c>
      <c r="B447" t="s">
        <v>412</v>
      </c>
      <c r="C447">
        <v>10</v>
      </c>
      <c r="D447">
        <v>3</v>
      </c>
      <c r="E447">
        <v>5</v>
      </c>
      <c r="F447" s="3" t="s">
        <v>1711</v>
      </c>
      <c r="G447" s="3" t="s">
        <v>1711</v>
      </c>
      <c r="H447">
        <v>0</v>
      </c>
      <c r="I447">
        <v>0</v>
      </c>
      <c r="J447" s="2">
        <v>0</v>
      </c>
      <c r="K447" s="2" t="s">
        <v>358</v>
      </c>
      <c r="L447" s="2">
        <f t="shared" si="151"/>
        <v>3</v>
      </c>
      <c r="M447" s="2">
        <f t="shared" si="153"/>
        <v>1.4000000000000001</v>
      </c>
      <c r="N447" s="2">
        <f t="shared" si="153"/>
        <v>2</v>
      </c>
      <c r="O447" s="2">
        <v>10</v>
      </c>
      <c r="P447" s="2">
        <f t="shared" si="144"/>
        <v>256.26</v>
      </c>
      <c r="Q447" s="2">
        <f t="shared" si="144"/>
        <v>25.63</v>
      </c>
      <c r="R447" s="2">
        <f t="shared" si="144"/>
        <v>2288</v>
      </c>
      <c r="S447" s="2">
        <f t="shared" si="142"/>
        <v>228.8</v>
      </c>
      <c r="T447" s="2">
        <f t="shared" si="142"/>
        <v>36.61</v>
      </c>
      <c r="U447" s="2">
        <f t="shared" si="142"/>
        <v>3.66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17">
        <v>553023</v>
      </c>
      <c r="AB447" s="14" t="s">
        <v>735</v>
      </c>
      <c r="AC447" s="15" t="s">
        <v>890</v>
      </c>
      <c r="AD447" s="2">
        <v>5115302</v>
      </c>
      <c r="AE447" s="2">
        <v>0</v>
      </c>
      <c r="AF447" s="2">
        <v>1</v>
      </c>
      <c r="AG447" s="2">
        <f t="shared" si="149"/>
        <v>5065302</v>
      </c>
      <c r="AH447" s="2">
        <v>2</v>
      </c>
      <c r="AI447" s="2"/>
      <c r="AJ447">
        <v>1</v>
      </c>
      <c r="AK447" s="1">
        <f t="shared" si="143"/>
        <v>132.89358245329001</v>
      </c>
      <c r="AL447">
        <v>10</v>
      </c>
      <c r="AM447">
        <f t="shared" si="134"/>
        <v>232.95999999999998</v>
      </c>
      <c r="AN447">
        <f t="shared" si="135"/>
        <v>23.295999999999999</v>
      </c>
      <c r="AO447">
        <f t="shared" si="136"/>
        <v>2080</v>
      </c>
      <c r="AP447">
        <f t="shared" si="137"/>
        <v>208</v>
      </c>
      <c r="AQ447">
        <f t="shared" si="138"/>
        <v>33.279999999999994</v>
      </c>
      <c r="AR447">
        <f t="shared" si="145"/>
        <v>3.3279999999999994</v>
      </c>
      <c r="AS447">
        <f t="shared" si="139"/>
        <v>1.4</v>
      </c>
      <c r="AT447">
        <f t="shared" si="140"/>
        <v>2</v>
      </c>
      <c r="AU447">
        <f t="shared" si="141"/>
        <v>3</v>
      </c>
      <c r="AV447">
        <f t="shared" si="154"/>
        <v>3025</v>
      </c>
      <c r="AW447" s="1">
        <v>2</v>
      </c>
      <c r="AX447">
        <v>5</v>
      </c>
      <c r="AY447">
        <v>0.1</v>
      </c>
      <c r="BX447" t="str">
        <f t="shared" si="156"/>
        <v>1553021,2553021,3553021</v>
      </c>
      <c r="BY447" s="13">
        <v>1553021</v>
      </c>
      <c r="BZ447" s="13">
        <v>2553021</v>
      </c>
      <c r="CA447" s="13">
        <v>3553021</v>
      </c>
      <c r="CE447" t="str">
        <f t="shared" si="152"/>
        <v>DATA_Class_Base41</v>
      </c>
      <c r="CF447" s="3" t="s">
        <v>413</v>
      </c>
    </row>
    <row r="448" spans="1:84">
      <c r="A448">
        <f t="shared" si="150"/>
        <v>5105400</v>
      </c>
      <c r="B448" t="s">
        <v>414</v>
      </c>
      <c r="C448">
        <v>10</v>
      </c>
      <c r="D448">
        <v>4</v>
      </c>
      <c r="E448">
        <v>5</v>
      </c>
      <c r="F448" s="3" t="s">
        <v>1712</v>
      </c>
      <c r="G448" s="3" t="s">
        <v>1712</v>
      </c>
      <c r="H448">
        <v>0</v>
      </c>
      <c r="I448">
        <v>0</v>
      </c>
      <c r="J448">
        <v>0</v>
      </c>
      <c r="K448" s="2" t="s">
        <v>364</v>
      </c>
      <c r="L448" s="2">
        <f t="shared" si="151"/>
        <v>6</v>
      </c>
      <c r="M448" s="2">
        <f t="shared" si="153"/>
        <v>1.4000000000000001</v>
      </c>
      <c r="N448" s="2">
        <f t="shared" si="153"/>
        <v>2</v>
      </c>
      <c r="O448" s="2">
        <v>10</v>
      </c>
      <c r="P448" s="2">
        <f t="shared" si="144"/>
        <v>266.93</v>
      </c>
      <c r="Q448" s="2">
        <f t="shared" si="144"/>
        <v>26.69</v>
      </c>
      <c r="R448" s="2">
        <f t="shared" si="144"/>
        <v>2196.48</v>
      </c>
      <c r="S448" s="2">
        <f t="shared" si="142"/>
        <v>219.65</v>
      </c>
      <c r="T448" s="2">
        <f t="shared" si="142"/>
        <v>44.49</v>
      </c>
      <c r="U448" s="2">
        <f t="shared" si="142"/>
        <v>4.45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17">
        <v>554003</v>
      </c>
      <c r="AB448" s="14" t="s">
        <v>736</v>
      </c>
      <c r="AC448" s="15" t="s">
        <v>890</v>
      </c>
      <c r="AD448" s="2">
        <v>5115400</v>
      </c>
      <c r="AE448" s="2">
        <v>0</v>
      </c>
      <c r="AF448" s="2">
        <v>1</v>
      </c>
      <c r="AG448" s="2">
        <f t="shared" si="149"/>
        <v>5065400</v>
      </c>
      <c r="AH448" s="2">
        <v>2</v>
      </c>
      <c r="AI448" s="2"/>
      <c r="AJ448">
        <v>1</v>
      </c>
      <c r="AK448" s="1">
        <f t="shared" si="143"/>
        <v>133.10492686033061</v>
      </c>
      <c r="AL448">
        <v>10</v>
      </c>
      <c r="AM448">
        <f>INDEX($BB$5:$BB$58,MATCH($AV448,$AZ$5:$AZ$58,0))*$AS448/1.5*$BF$4*INDEX($BB$109:$BO$109,MATCH($AL448,$BB$108:$BO$108,0))</f>
        <v>242.66666666666669</v>
      </c>
      <c r="AN448">
        <f>(INDEX($BB$5:$BB$58,MATCH($AV448,$AZ$5:$AZ$58,0))*$AS448/1.5*$BF$4*INDEX($BB$109:$BO$109,MATCH($AL448,$BB$108:$BO$108,0)))*0.1</f>
        <v>24.266666666666669</v>
      </c>
      <c r="AO448">
        <f>INDEX($BC$5:$BC$58,MATCH($AV448,$AZ$5:$AZ$58,0))*$BG$4*INDEX($BB$109:$BO$109,MATCH($AL448,$BB$108:$BO$108,0))</f>
        <v>1996.8000000000002</v>
      </c>
      <c r="AP448">
        <f>(INDEX($BC$5:$BC$58,MATCH($AV448,$AZ$5:$AZ$58,0))*$BG$4*INDEX($BB$109:$BO$109,MATCH($AL448,$BB$108:$BO$108,0)))*0.1</f>
        <v>199.68000000000004</v>
      </c>
      <c r="AQ448">
        <f>$AM448/INDEX($BD$5:$BD$58,MATCH($AV448,$AZ$5:$AZ$58,0))</f>
        <v>40.44444444444445</v>
      </c>
      <c r="AR448">
        <f t="shared" si="145"/>
        <v>4.0444444444444452</v>
      </c>
      <c r="AS448">
        <f>INDEX($BE$5:$BE$58,MATCH($AV448,$AZ$5:$AZ$58,0))</f>
        <v>1.4</v>
      </c>
      <c r="AT448">
        <f>ROUND(IF(INDEX($BM$5:$BM$58,MATCH($AV448,$AZ$5:$AZ$58,0))&lt;2,INDEX($BM$5:$BM$58,MATCH($AV448,$AZ$5:$AZ$58,0))+0.2,2),1)</f>
        <v>2</v>
      </c>
      <c r="AU448">
        <f>INDEX($BI$5:$BI$58,MATCH($AV448,$AZ$5:$AZ$58,0))</f>
        <v>6</v>
      </c>
      <c r="AV448">
        <f t="shared" si="154"/>
        <v>4005</v>
      </c>
      <c r="AW448" s="1">
        <v>0</v>
      </c>
      <c r="AX448">
        <v>5</v>
      </c>
      <c r="AY448">
        <v>0.1</v>
      </c>
      <c r="BX448" t="str">
        <f t="shared" si="156"/>
        <v>1554001,2554001,3554001</v>
      </c>
      <c r="BY448" s="13">
        <v>1554001</v>
      </c>
      <c r="BZ448" s="13">
        <v>2554001</v>
      </c>
      <c r="CA448" s="13">
        <v>3554001</v>
      </c>
      <c r="CE448" t="str">
        <f t="shared" si="152"/>
        <v>DATA_Class_Base42</v>
      </c>
      <c r="CF448" s="3" t="s">
        <v>174</v>
      </c>
    </row>
    <row r="449" spans="1:84">
      <c r="A449">
        <f t="shared" si="150"/>
        <v>5105501</v>
      </c>
      <c r="B449" t="s">
        <v>401</v>
      </c>
      <c r="C449">
        <v>10</v>
      </c>
      <c r="D449">
        <v>5</v>
      </c>
      <c r="E449">
        <v>5</v>
      </c>
      <c r="F449" s="3" t="s">
        <v>1713</v>
      </c>
      <c r="G449" s="3" t="s">
        <v>1713</v>
      </c>
      <c r="H449">
        <v>0</v>
      </c>
      <c r="I449">
        <v>0</v>
      </c>
      <c r="J449" s="3">
        <v>0</v>
      </c>
      <c r="K449" s="2" t="s">
        <v>334</v>
      </c>
      <c r="L449" s="2">
        <f t="shared" si="151"/>
        <v>6</v>
      </c>
      <c r="M449" s="2">
        <f t="shared" si="153"/>
        <v>1.6</v>
      </c>
      <c r="N449" s="2">
        <f t="shared" si="153"/>
        <v>2</v>
      </c>
      <c r="O449" s="2">
        <v>10</v>
      </c>
      <c r="P449" s="2">
        <f t="shared" si="144"/>
        <v>353.88</v>
      </c>
      <c r="Q449" s="2">
        <f t="shared" si="144"/>
        <v>35.39</v>
      </c>
      <c r="R449" s="2">
        <f t="shared" si="144"/>
        <v>1893.52</v>
      </c>
      <c r="S449" s="2">
        <f t="shared" si="142"/>
        <v>189.35</v>
      </c>
      <c r="T449" s="2">
        <f t="shared" si="142"/>
        <v>39.32</v>
      </c>
      <c r="U449" s="2">
        <f t="shared" si="142"/>
        <v>3.93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17">
        <v>555013</v>
      </c>
      <c r="AB449" s="15" t="s">
        <v>737</v>
      </c>
      <c r="AC449" s="15" t="s">
        <v>890</v>
      </c>
      <c r="AD449" s="2">
        <v>5115501</v>
      </c>
      <c r="AE449" s="2">
        <v>0</v>
      </c>
      <c r="AF449" s="2">
        <v>1</v>
      </c>
      <c r="AG449" s="2">
        <f t="shared" si="149"/>
        <v>5065501</v>
      </c>
      <c r="AH449" s="2">
        <v>2</v>
      </c>
      <c r="AI449" s="2"/>
      <c r="AJ449">
        <v>1</v>
      </c>
      <c r="AK449" s="1">
        <f t="shared" si="143"/>
        <v>132.96622733226079</v>
      </c>
      <c r="AL449">
        <v>10</v>
      </c>
      <c r="AM449">
        <f>INDEX($BB$5:$BB$58,MATCH($AV449,$AZ$5:$AZ$58,0))*$AS449/1.5*$BF$4*INDEX($BB$109:$BO$109,MATCH($AL449,$BB$108:$BO$108,0))</f>
        <v>321.70666666666671</v>
      </c>
      <c r="AN449">
        <f>(INDEX($BB$5:$BB$58,MATCH($AV449,$AZ$5:$AZ$58,0))*$AS449/1.5*$BF$4*INDEX($BB$109:$BO$109,MATCH($AL449,$BB$108:$BO$108,0)))*0.1</f>
        <v>32.170666666666669</v>
      </c>
      <c r="AO449">
        <f>INDEX($BC$5:$BC$58,MATCH($AV449,$AZ$5:$AZ$58,0))*$BG$4*INDEX($BB$109:$BO$109,MATCH($AL449,$BB$108:$BO$108,0))</f>
        <v>1721.3793103448277</v>
      </c>
      <c r="AP449">
        <f>(INDEX($BC$5:$BC$58,MATCH($AV449,$AZ$5:$AZ$58,0))*$BG$4*INDEX($BB$109:$BO$109,MATCH($AL449,$BB$108:$BO$108,0)))*0.1</f>
        <v>172.13793103448279</v>
      </c>
      <c r="AQ449">
        <f>$AM449/INDEX($BD$5:$BD$58,MATCH($AV449,$AZ$5:$AZ$58,0))</f>
        <v>35.745185185185193</v>
      </c>
      <c r="AR449">
        <f t="shared" si="145"/>
        <v>3.5745185185185195</v>
      </c>
      <c r="AS449">
        <f>INDEX($BE$5:$BE$58,MATCH($AV449,$AZ$5:$AZ$58,0))</f>
        <v>1.6</v>
      </c>
      <c r="AT449">
        <f>ROUND(IF(INDEX($BM$5:$BM$58,MATCH($AV449,$AZ$5:$AZ$58,0))&lt;2,INDEX($BM$5:$BM$58,MATCH($AV449,$AZ$5:$AZ$58,0))+0.2,2),1)</f>
        <v>2</v>
      </c>
      <c r="AU449">
        <f>INDEX($BI$5:$BI$58,MATCH($AV449,$AZ$5:$AZ$58,0))</f>
        <v>6</v>
      </c>
      <c r="AV449">
        <f t="shared" si="154"/>
        <v>5015</v>
      </c>
      <c r="AW449" s="1">
        <v>1</v>
      </c>
      <c r="AX449">
        <v>5</v>
      </c>
      <c r="AY449">
        <v>0.1</v>
      </c>
      <c r="BY449" s="13"/>
      <c r="BZ449" s="13"/>
      <c r="CA449" s="13"/>
      <c r="CE449" t="str">
        <f t="shared" si="152"/>
        <v>DATA_Class_Base37</v>
      </c>
      <c r="CF449" s="3" t="s">
        <v>402</v>
      </c>
    </row>
    <row r="450" spans="1:84">
      <c r="A450">
        <f t="shared" si="150"/>
        <v>5111200</v>
      </c>
      <c r="B450" s="31" t="s">
        <v>373</v>
      </c>
      <c r="C450">
        <v>11</v>
      </c>
      <c r="D450">
        <v>2</v>
      </c>
      <c r="E450">
        <v>1</v>
      </c>
      <c r="F450" s="3" t="s">
        <v>1677</v>
      </c>
      <c r="G450" s="3" t="s">
        <v>1677</v>
      </c>
      <c r="H450">
        <v>0</v>
      </c>
      <c r="I450">
        <v>0</v>
      </c>
      <c r="J450" s="2">
        <v>0</v>
      </c>
      <c r="K450" s="2" t="s">
        <v>314</v>
      </c>
      <c r="L450" s="2">
        <f t="shared" si="151"/>
        <v>3</v>
      </c>
      <c r="M450" s="2">
        <f t="shared" si="153"/>
        <v>1.5</v>
      </c>
      <c r="N450" s="2">
        <f t="shared" si="153"/>
        <v>1.2</v>
      </c>
      <c r="O450" s="2">
        <v>10</v>
      </c>
      <c r="P450" s="2">
        <f t="shared" si="144"/>
        <v>197.12</v>
      </c>
      <c r="Q450" s="2">
        <f t="shared" si="144"/>
        <v>19.71</v>
      </c>
      <c r="R450" s="2">
        <f t="shared" si="144"/>
        <v>3696</v>
      </c>
      <c r="S450" s="2">
        <f t="shared" si="142"/>
        <v>369.6</v>
      </c>
      <c r="T450" s="2">
        <f t="shared" si="142"/>
        <v>65.709999999999994</v>
      </c>
      <c r="U450" s="2">
        <f t="shared" si="142"/>
        <v>6.57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17">
        <v>512003</v>
      </c>
      <c r="AB450" s="14" t="s">
        <v>738</v>
      </c>
      <c r="AC450" s="15" t="s">
        <v>890</v>
      </c>
      <c r="AD450" s="2">
        <v>5121200</v>
      </c>
      <c r="AE450" s="2">
        <v>0</v>
      </c>
      <c r="AF450" s="2">
        <v>1</v>
      </c>
      <c r="AG450" s="2">
        <f t="shared" ref="AG450:AG486" si="157">A265</f>
        <v>5061200</v>
      </c>
      <c r="AH450" s="2">
        <v>2</v>
      </c>
      <c r="AJ450">
        <v>1</v>
      </c>
      <c r="AK450" s="1">
        <f t="shared" si="143"/>
        <v>155.03401284074451</v>
      </c>
      <c r="AL450">
        <v>11</v>
      </c>
      <c r="AM450">
        <f t="shared" ref="AM450:AM515" si="158">INDEX($BB$5:$BB$58,MATCH($AV450,$AZ$5:$AZ$58,0))*$AS450/1.5*$BF$4*INDEX($BB$109:$BO$109,MATCH($AL450,$BB$108:$BO$108,0))</f>
        <v>179.20000000000002</v>
      </c>
      <c r="AN450">
        <f t="shared" ref="AN450:AN515" si="159">(INDEX($BB$5:$BB$58,MATCH($AV450,$AZ$5:$AZ$58,0))*$AS450/1.5*$BF$4*INDEX($BB$109:$BO$109,MATCH($AL450,$BB$108:$BO$108,0)))*0.1</f>
        <v>17.920000000000002</v>
      </c>
      <c r="AO450">
        <f t="shared" ref="AO450:AO515" si="160">INDEX($BC$5:$BC$58,MATCH($AV450,$AZ$5:$AZ$58,0))*$BG$4*INDEX($BB$109:$BO$109,MATCH($AL450,$BB$108:$BO$108,0))</f>
        <v>3360</v>
      </c>
      <c r="AP450">
        <f t="shared" ref="AP450:AP515" si="161">(INDEX($BC$5:$BC$58,MATCH($AV450,$AZ$5:$AZ$58,0))*$BG$4*INDEX($BB$109:$BO$109,MATCH($AL450,$BB$108:$BO$108,0)))*0.1</f>
        <v>336</v>
      </c>
      <c r="AQ450">
        <f t="shared" ref="AQ450:AQ515" si="162">$AM450/INDEX($BD$5:$BD$58,MATCH($AV450,$AZ$5:$AZ$58,0))</f>
        <v>59.733333333333341</v>
      </c>
      <c r="AR450">
        <f t="shared" si="145"/>
        <v>5.9733333333333345</v>
      </c>
      <c r="AS450">
        <f t="shared" ref="AS450:AS515" si="163">INDEX($BE$5:$BE$58,MATCH($AV450,$AZ$5:$AZ$58,0))</f>
        <v>1.5</v>
      </c>
      <c r="AT450">
        <f t="shared" ref="AT450:AT515" si="164">ROUND(IF(INDEX($BM$5:$BM$58,MATCH($AV450,$AZ$5:$AZ$58,0))&lt;2,INDEX($BM$5:$BM$58,MATCH($AV450,$AZ$5:$AZ$58,0))+0.2,2),1)</f>
        <v>1.2</v>
      </c>
      <c r="AU450">
        <f t="shared" ref="AU450:AU515" si="165">INDEX($BI$5:$BI$58,MATCH($AV450,$AZ$5:$AZ$58,0))</f>
        <v>3</v>
      </c>
      <c r="AV450">
        <f t="shared" si="154"/>
        <v>2001</v>
      </c>
      <c r="AW450" s="1">
        <v>0</v>
      </c>
      <c r="AX450">
        <v>5</v>
      </c>
      <c r="AY450">
        <v>0.1</v>
      </c>
      <c r="CE450" t="str">
        <f t="shared" si="152"/>
        <v>DATA_Class_Base28</v>
      </c>
      <c r="CF450" s="3" t="s">
        <v>374</v>
      </c>
    </row>
    <row r="451" spans="1:84">
      <c r="A451">
        <f t="shared" si="150"/>
        <v>5111201</v>
      </c>
      <c r="B451" s="31" t="s">
        <v>377</v>
      </c>
      <c r="C451">
        <v>11</v>
      </c>
      <c r="D451">
        <v>2</v>
      </c>
      <c r="E451">
        <v>1</v>
      </c>
      <c r="F451" s="3" t="s">
        <v>1678</v>
      </c>
      <c r="G451" s="3" t="s">
        <v>1678</v>
      </c>
      <c r="H451">
        <v>0</v>
      </c>
      <c r="I451">
        <v>0</v>
      </c>
      <c r="J451" s="2">
        <v>0</v>
      </c>
      <c r="K451" s="8" t="s">
        <v>298</v>
      </c>
      <c r="L451" s="2">
        <f t="shared" si="151"/>
        <v>3</v>
      </c>
      <c r="M451" s="2">
        <f t="shared" si="153"/>
        <v>1.8</v>
      </c>
      <c r="N451" s="2">
        <f t="shared" si="153"/>
        <v>1.8</v>
      </c>
      <c r="O451" s="2">
        <v>10</v>
      </c>
      <c r="P451" s="2">
        <f t="shared" si="144"/>
        <v>147.84</v>
      </c>
      <c r="Q451" s="2">
        <f t="shared" si="144"/>
        <v>14.78</v>
      </c>
      <c r="R451" s="2">
        <f t="shared" si="144"/>
        <v>5913.6</v>
      </c>
      <c r="S451" s="2">
        <f t="shared" si="142"/>
        <v>591.36</v>
      </c>
      <c r="T451" s="2">
        <f t="shared" si="142"/>
        <v>73.92</v>
      </c>
      <c r="U451" s="2">
        <f t="shared" si="142"/>
        <v>7.39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17">
        <v>512013</v>
      </c>
      <c r="AB451" s="14" t="s">
        <v>739</v>
      </c>
      <c r="AC451" s="15" t="s">
        <v>890</v>
      </c>
      <c r="AD451" s="2">
        <v>5121201</v>
      </c>
      <c r="AE451" s="2">
        <v>0</v>
      </c>
      <c r="AF451" s="2">
        <v>1</v>
      </c>
      <c r="AG451" s="2">
        <f t="shared" si="157"/>
        <v>5061201</v>
      </c>
      <c r="AH451" s="2">
        <v>2</v>
      </c>
      <c r="AJ451">
        <v>1</v>
      </c>
      <c r="AK451" s="1">
        <f t="shared" si="143"/>
        <v>155.29250357282058</v>
      </c>
      <c r="AL451">
        <v>11</v>
      </c>
      <c r="AM451">
        <f t="shared" si="158"/>
        <v>134.39999999999998</v>
      </c>
      <c r="AN451">
        <f t="shared" si="159"/>
        <v>13.439999999999998</v>
      </c>
      <c r="AO451">
        <f t="shared" si="160"/>
        <v>5376</v>
      </c>
      <c r="AP451">
        <f t="shared" si="161"/>
        <v>537.6</v>
      </c>
      <c r="AQ451">
        <f t="shared" si="162"/>
        <v>67.199999999999989</v>
      </c>
      <c r="AR451">
        <f t="shared" si="145"/>
        <v>6.7199999999999989</v>
      </c>
      <c r="AS451">
        <f t="shared" si="163"/>
        <v>1.8</v>
      </c>
      <c r="AT451">
        <f t="shared" si="164"/>
        <v>1.8</v>
      </c>
      <c r="AU451">
        <f t="shared" si="165"/>
        <v>3</v>
      </c>
      <c r="AV451">
        <f t="shared" si="154"/>
        <v>2011</v>
      </c>
      <c r="AW451" s="1">
        <v>1</v>
      </c>
      <c r="AX451">
        <v>5</v>
      </c>
      <c r="AY451">
        <v>0.1</v>
      </c>
      <c r="CE451" t="str">
        <f t="shared" si="152"/>
        <v>DATA_Class_Base29</v>
      </c>
      <c r="CF451" s="3" t="s">
        <v>378</v>
      </c>
    </row>
    <row r="452" spans="1:84">
      <c r="A452">
        <f t="shared" si="150"/>
        <v>5111202</v>
      </c>
      <c r="B452" s="31" t="s">
        <v>380</v>
      </c>
      <c r="C452">
        <v>11</v>
      </c>
      <c r="D452">
        <v>2</v>
      </c>
      <c r="E452">
        <v>1</v>
      </c>
      <c r="F452" s="3" t="s">
        <v>1679</v>
      </c>
      <c r="G452" s="3" t="s">
        <v>1679</v>
      </c>
      <c r="H452">
        <v>0</v>
      </c>
      <c r="I452">
        <v>0</v>
      </c>
      <c r="J452">
        <v>0</v>
      </c>
      <c r="K452" s="2" t="s">
        <v>280</v>
      </c>
      <c r="L452" s="2">
        <f t="shared" si="151"/>
        <v>3</v>
      </c>
      <c r="M452" s="2">
        <f t="shared" si="153"/>
        <v>1.8</v>
      </c>
      <c r="N452" s="2">
        <f t="shared" si="153"/>
        <v>2</v>
      </c>
      <c r="O452" s="2">
        <v>10</v>
      </c>
      <c r="P452" s="2">
        <f t="shared" si="144"/>
        <v>236.54</v>
      </c>
      <c r="Q452" s="2">
        <f t="shared" si="144"/>
        <v>23.65</v>
      </c>
      <c r="R452" s="2">
        <f t="shared" si="144"/>
        <v>3696</v>
      </c>
      <c r="S452" s="2">
        <f t="shared" si="142"/>
        <v>369.6</v>
      </c>
      <c r="T452" s="2">
        <f t="shared" si="142"/>
        <v>59.14</v>
      </c>
      <c r="U452" s="2">
        <f t="shared" si="142"/>
        <v>5.91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17">
        <v>512023</v>
      </c>
      <c r="AB452" s="14" t="s">
        <v>740</v>
      </c>
      <c r="AC452" s="15" t="s">
        <v>890</v>
      </c>
      <c r="AD452" s="2">
        <v>5121202</v>
      </c>
      <c r="AE452" s="2">
        <v>0</v>
      </c>
      <c r="AF452" s="2">
        <v>1</v>
      </c>
      <c r="AG452" s="2">
        <f t="shared" si="157"/>
        <v>5061202</v>
      </c>
      <c r="AH452" s="2">
        <v>2</v>
      </c>
      <c r="AJ452">
        <v>1</v>
      </c>
      <c r="AK452" s="1">
        <f t="shared" si="143"/>
        <v>154.82783901762934</v>
      </c>
      <c r="AL452">
        <v>11</v>
      </c>
      <c r="AM452">
        <f t="shared" si="158"/>
        <v>215.04000000000002</v>
      </c>
      <c r="AN452">
        <f t="shared" si="159"/>
        <v>21.504000000000005</v>
      </c>
      <c r="AO452">
        <f t="shared" si="160"/>
        <v>3360</v>
      </c>
      <c r="AP452">
        <f t="shared" si="161"/>
        <v>336</v>
      </c>
      <c r="AQ452">
        <f t="shared" si="162"/>
        <v>53.760000000000005</v>
      </c>
      <c r="AR452">
        <f t="shared" si="145"/>
        <v>5.3760000000000012</v>
      </c>
      <c r="AS452">
        <f t="shared" si="163"/>
        <v>1.8</v>
      </c>
      <c r="AT452">
        <f t="shared" si="164"/>
        <v>2</v>
      </c>
      <c r="AU452">
        <f t="shared" si="165"/>
        <v>3</v>
      </c>
      <c r="AV452">
        <f t="shared" si="154"/>
        <v>2021</v>
      </c>
      <c r="AW452" s="1">
        <v>2</v>
      </c>
      <c r="AX452">
        <v>5</v>
      </c>
      <c r="AY452">
        <v>0.1</v>
      </c>
      <c r="CE452" t="str">
        <f t="shared" si="152"/>
        <v>DATA_Class_Base30</v>
      </c>
      <c r="CF452" s="3" t="s">
        <v>381</v>
      </c>
    </row>
    <row r="453" spans="1:84">
      <c r="A453">
        <f t="shared" si="150"/>
        <v>5111301</v>
      </c>
      <c r="B453" s="31" t="s">
        <v>383</v>
      </c>
      <c r="C453">
        <v>11</v>
      </c>
      <c r="D453">
        <v>3</v>
      </c>
      <c r="E453">
        <v>1</v>
      </c>
      <c r="F453" s="3" t="s">
        <v>1680</v>
      </c>
      <c r="G453" s="3" t="s">
        <v>1680</v>
      </c>
      <c r="H453">
        <v>0</v>
      </c>
      <c r="I453">
        <v>0</v>
      </c>
      <c r="J453" s="2">
        <v>0</v>
      </c>
      <c r="K453" s="2" t="s">
        <v>285</v>
      </c>
      <c r="L453" s="2">
        <f t="shared" si="151"/>
        <v>3</v>
      </c>
      <c r="M453" s="2">
        <f t="shared" si="153"/>
        <v>1.2</v>
      </c>
      <c r="N453" s="2">
        <f t="shared" si="153"/>
        <v>2</v>
      </c>
      <c r="O453" s="2">
        <v>10</v>
      </c>
      <c r="P453" s="2">
        <f t="shared" si="144"/>
        <v>216.83</v>
      </c>
      <c r="Q453" s="2">
        <f t="shared" si="144"/>
        <v>21.68</v>
      </c>
      <c r="R453" s="2">
        <f t="shared" si="144"/>
        <v>2688</v>
      </c>
      <c r="S453" s="2">
        <f t="shared" si="142"/>
        <v>268.8</v>
      </c>
      <c r="T453" s="2">
        <f t="shared" si="142"/>
        <v>36.14</v>
      </c>
      <c r="U453" s="2">
        <f t="shared" si="142"/>
        <v>3.61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17">
        <v>513013</v>
      </c>
      <c r="AB453" s="14" t="s">
        <v>741</v>
      </c>
      <c r="AC453" s="15" t="s">
        <v>890</v>
      </c>
      <c r="AD453" s="2">
        <v>5121301</v>
      </c>
      <c r="AE453" s="2">
        <v>0</v>
      </c>
      <c r="AF453" s="2">
        <v>1</v>
      </c>
      <c r="AG453" s="2">
        <f t="shared" si="157"/>
        <v>5061301</v>
      </c>
      <c r="AH453" s="2">
        <v>2</v>
      </c>
      <c r="AJ453">
        <v>1</v>
      </c>
      <c r="AK453" s="1">
        <f t="shared" si="143"/>
        <v>154.11052900752532</v>
      </c>
      <c r="AL453">
        <v>11</v>
      </c>
      <c r="AM453">
        <f t="shared" si="158"/>
        <v>197.12</v>
      </c>
      <c r="AN453">
        <f t="shared" si="159"/>
        <v>19.712000000000003</v>
      </c>
      <c r="AO453">
        <f t="shared" si="160"/>
        <v>2443.6363636363635</v>
      </c>
      <c r="AP453">
        <f t="shared" si="161"/>
        <v>244.36363636363637</v>
      </c>
      <c r="AQ453">
        <f t="shared" si="162"/>
        <v>32.853333333333332</v>
      </c>
      <c r="AR453">
        <f t="shared" si="145"/>
        <v>3.2853333333333334</v>
      </c>
      <c r="AS453">
        <f t="shared" si="163"/>
        <v>1.2</v>
      </c>
      <c r="AT453">
        <f t="shared" si="164"/>
        <v>2</v>
      </c>
      <c r="AU453">
        <f t="shared" si="165"/>
        <v>3</v>
      </c>
      <c r="AV453">
        <f t="shared" si="154"/>
        <v>3011</v>
      </c>
      <c r="AW453" s="1">
        <v>1</v>
      </c>
      <c r="AX453">
        <v>5</v>
      </c>
      <c r="AY453">
        <v>0.1</v>
      </c>
      <c r="CE453" t="str">
        <f t="shared" si="152"/>
        <v>DATA_Class_Base31</v>
      </c>
      <c r="CF453" s="3" t="s">
        <v>384</v>
      </c>
    </row>
    <row r="454" spans="1:84">
      <c r="A454">
        <f t="shared" si="150"/>
        <v>5111401</v>
      </c>
      <c r="B454" s="31" t="s">
        <v>387</v>
      </c>
      <c r="C454">
        <v>11</v>
      </c>
      <c r="D454">
        <v>4</v>
      </c>
      <c r="E454">
        <v>1</v>
      </c>
      <c r="F454" s="3" t="s">
        <v>1681</v>
      </c>
      <c r="G454" s="3" t="s">
        <v>1681</v>
      </c>
      <c r="H454">
        <v>0</v>
      </c>
      <c r="I454">
        <v>0</v>
      </c>
      <c r="J454" s="2">
        <v>0</v>
      </c>
      <c r="K454" s="2" t="s">
        <v>161</v>
      </c>
      <c r="L454" s="2">
        <f t="shared" si="151"/>
        <v>6</v>
      </c>
      <c r="M454" s="2">
        <f t="shared" si="153"/>
        <v>1.6</v>
      </c>
      <c r="N454" s="2">
        <f t="shared" si="153"/>
        <v>2</v>
      </c>
      <c r="O454" s="2">
        <v>10</v>
      </c>
      <c r="P454" s="2">
        <f t="shared" si="144"/>
        <v>289.11</v>
      </c>
      <c r="Q454" s="2">
        <f t="shared" si="144"/>
        <v>28.91</v>
      </c>
      <c r="R454" s="2">
        <f t="shared" si="144"/>
        <v>2688</v>
      </c>
      <c r="S454" s="2">
        <f t="shared" si="142"/>
        <v>268.8</v>
      </c>
      <c r="T454" s="2">
        <f t="shared" si="142"/>
        <v>57.82</v>
      </c>
      <c r="U454" s="2">
        <f t="shared" si="142"/>
        <v>5.78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17">
        <v>514013</v>
      </c>
      <c r="AB454" s="14" t="s">
        <v>742</v>
      </c>
      <c r="AC454" s="15" t="s">
        <v>890</v>
      </c>
      <c r="AD454" s="2">
        <v>5121401</v>
      </c>
      <c r="AE454" s="2">
        <v>0</v>
      </c>
      <c r="AF454" s="2">
        <v>1</v>
      </c>
      <c r="AG454" s="2">
        <f t="shared" si="157"/>
        <v>5061401</v>
      </c>
      <c r="AH454" s="2">
        <v>2</v>
      </c>
      <c r="AJ454">
        <v>1</v>
      </c>
      <c r="AK454" s="1">
        <f t="shared" si="143"/>
        <v>154.78667003935865</v>
      </c>
      <c r="AL454">
        <v>11</v>
      </c>
      <c r="AM454">
        <f t="shared" si="158"/>
        <v>262.82666666666671</v>
      </c>
      <c r="AN454">
        <f t="shared" si="159"/>
        <v>26.282666666666671</v>
      </c>
      <c r="AO454">
        <f t="shared" si="160"/>
        <v>2443.6363636363635</v>
      </c>
      <c r="AP454">
        <f t="shared" si="161"/>
        <v>244.36363636363637</v>
      </c>
      <c r="AQ454">
        <f t="shared" si="162"/>
        <v>52.565333333333342</v>
      </c>
      <c r="AR454">
        <f t="shared" si="145"/>
        <v>5.2565333333333344</v>
      </c>
      <c r="AS454">
        <f t="shared" si="163"/>
        <v>1.6</v>
      </c>
      <c r="AT454">
        <f t="shared" si="164"/>
        <v>2</v>
      </c>
      <c r="AU454">
        <f t="shared" si="165"/>
        <v>6</v>
      </c>
      <c r="AV454">
        <f t="shared" si="154"/>
        <v>4011</v>
      </c>
      <c r="AW454" s="1">
        <v>1</v>
      </c>
      <c r="AX454">
        <v>5</v>
      </c>
      <c r="AY454">
        <v>0.1</v>
      </c>
      <c r="CE454" t="str">
        <f t="shared" si="152"/>
        <v>DATA_Class_Base32</v>
      </c>
      <c r="CF454" s="3" t="s">
        <v>388</v>
      </c>
    </row>
    <row r="455" spans="1:84">
      <c r="A455">
        <f t="shared" si="150"/>
        <v>5111402</v>
      </c>
      <c r="B455" s="31" t="s">
        <v>390</v>
      </c>
      <c r="C455">
        <v>11</v>
      </c>
      <c r="D455">
        <v>4</v>
      </c>
      <c r="E455">
        <v>1</v>
      </c>
      <c r="F455" s="3" t="s">
        <v>1682</v>
      </c>
      <c r="G455" s="3" t="s">
        <v>1682</v>
      </c>
      <c r="H455">
        <v>0</v>
      </c>
      <c r="I455">
        <v>0</v>
      </c>
      <c r="J455">
        <v>0</v>
      </c>
      <c r="K455" s="2" t="s">
        <v>250</v>
      </c>
      <c r="L455" s="2">
        <f t="shared" si="151"/>
        <v>6</v>
      </c>
      <c r="M455" s="2">
        <f t="shared" si="153"/>
        <v>1.5</v>
      </c>
      <c r="N455" s="2">
        <f t="shared" si="153"/>
        <v>1.5</v>
      </c>
      <c r="O455" s="2">
        <v>10</v>
      </c>
      <c r="P455" s="2">
        <f t="shared" si="144"/>
        <v>295.68</v>
      </c>
      <c r="Q455" s="2">
        <f t="shared" si="144"/>
        <v>29.57</v>
      </c>
      <c r="R455" s="2">
        <f t="shared" si="144"/>
        <v>2464</v>
      </c>
      <c r="S455" s="2">
        <f t="shared" si="142"/>
        <v>246.4</v>
      </c>
      <c r="T455" s="2">
        <f t="shared" si="142"/>
        <v>49.28</v>
      </c>
      <c r="U455" s="2">
        <f t="shared" si="142"/>
        <v>4.93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17">
        <v>514023</v>
      </c>
      <c r="AB455" s="14" t="s">
        <v>743</v>
      </c>
      <c r="AC455" s="15" t="s">
        <v>890</v>
      </c>
      <c r="AD455" s="2">
        <v>5121402</v>
      </c>
      <c r="AE455" s="2">
        <v>0</v>
      </c>
      <c r="AF455" s="2">
        <v>1</v>
      </c>
      <c r="AG455" s="2">
        <f t="shared" si="157"/>
        <v>5061402</v>
      </c>
      <c r="AH455" s="2">
        <v>2</v>
      </c>
      <c r="AJ455">
        <v>1</v>
      </c>
      <c r="AK455" s="1">
        <f t="shared" si="143"/>
        <v>154.51960442117507</v>
      </c>
      <c r="AL455">
        <v>11</v>
      </c>
      <c r="AM455">
        <f t="shared" si="158"/>
        <v>268.79999999999995</v>
      </c>
      <c r="AN455">
        <f t="shared" si="159"/>
        <v>26.879999999999995</v>
      </c>
      <c r="AO455">
        <f t="shared" si="160"/>
        <v>2240</v>
      </c>
      <c r="AP455">
        <f t="shared" si="161"/>
        <v>224</v>
      </c>
      <c r="AQ455">
        <f t="shared" si="162"/>
        <v>44.79999999999999</v>
      </c>
      <c r="AR455">
        <f t="shared" si="145"/>
        <v>4.4799999999999995</v>
      </c>
      <c r="AS455">
        <f t="shared" si="163"/>
        <v>1.5</v>
      </c>
      <c r="AT455">
        <f t="shared" si="164"/>
        <v>1.5</v>
      </c>
      <c r="AU455">
        <f t="shared" si="165"/>
        <v>6</v>
      </c>
      <c r="AV455">
        <f t="shared" si="154"/>
        <v>4021</v>
      </c>
      <c r="AW455" s="1">
        <v>2</v>
      </c>
      <c r="AX455">
        <v>5</v>
      </c>
      <c r="AY455">
        <v>0.1</v>
      </c>
      <c r="CE455" t="str">
        <f t="shared" si="152"/>
        <v>DATA_Class_Base33</v>
      </c>
      <c r="CF455" s="3" t="s">
        <v>391</v>
      </c>
    </row>
    <row r="456" spans="1:84">
      <c r="A456">
        <f t="shared" si="150"/>
        <v>5111500</v>
      </c>
      <c r="B456" s="31" t="s">
        <v>394</v>
      </c>
      <c r="C456">
        <v>11</v>
      </c>
      <c r="D456">
        <v>5</v>
      </c>
      <c r="E456">
        <v>1</v>
      </c>
      <c r="F456" s="3" t="s">
        <v>1683</v>
      </c>
      <c r="G456" s="3" t="s">
        <v>1683</v>
      </c>
      <c r="H456">
        <v>0</v>
      </c>
      <c r="I456">
        <v>0</v>
      </c>
      <c r="J456">
        <v>0</v>
      </c>
      <c r="K456" s="2" t="s">
        <v>303</v>
      </c>
      <c r="L456" s="2">
        <f t="shared" si="151"/>
        <v>6</v>
      </c>
      <c r="M456" s="2">
        <f t="shared" si="153"/>
        <v>1.5</v>
      </c>
      <c r="N456" s="2">
        <f t="shared" si="153"/>
        <v>1.5</v>
      </c>
      <c r="O456" s="2">
        <v>10</v>
      </c>
      <c r="P456" s="2">
        <f t="shared" si="144"/>
        <v>344.96</v>
      </c>
      <c r="Q456" s="2">
        <f t="shared" si="144"/>
        <v>34.5</v>
      </c>
      <c r="R456" s="2">
        <f t="shared" si="144"/>
        <v>2112</v>
      </c>
      <c r="S456" s="2">
        <f t="shared" si="144"/>
        <v>211.2</v>
      </c>
      <c r="T456" s="2">
        <f t="shared" si="144"/>
        <v>49.28</v>
      </c>
      <c r="U456" s="2">
        <f t="shared" si="144"/>
        <v>4.93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17">
        <v>515003</v>
      </c>
      <c r="AB456" s="14" t="s">
        <v>744</v>
      </c>
      <c r="AC456" s="15" t="s">
        <v>890</v>
      </c>
      <c r="AD456" s="2">
        <v>5121500</v>
      </c>
      <c r="AE456" s="2">
        <v>0</v>
      </c>
      <c r="AF456" s="2">
        <v>1</v>
      </c>
      <c r="AG456" s="2">
        <f t="shared" si="157"/>
        <v>5061500</v>
      </c>
      <c r="AH456" s="2">
        <v>2</v>
      </c>
      <c r="AJ456">
        <v>1</v>
      </c>
      <c r="AK456" s="1">
        <f t="shared" ref="AK456:AK519" si="166">(AO456+AP456*AJ456)*(AM456+AN456*AJ456)/AS456*(0.9)*(1+0.5*0.1)*1/1/(1-(AQ456+AR456*AJ456)*0.0002)/3000</f>
        <v>154.51960442117507</v>
      </c>
      <c r="AL456">
        <v>11</v>
      </c>
      <c r="AM456">
        <f t="shared" si="158"/>
        <v>313.59999999999991</v>
      </c>
      <c r="AN456">
        <f t="shared" si="159"/>
        <v>31.359999999999992</v>
      </c>
      <c r="AO456">
        <f t="shared" si="160"/>
        <v>1920</v>
      </c>
      <c r="AP456">
        <f t="shared" si="161"/>
        <v>192</v>
      </c>
      <c r="AQ456">
        <f t="shared" si="162"/>
        <v>44.79999999999999</v>
      </c>
      <c r="AR456">
        <f t="shared" si="145"/>
        <v>4.4799999999999995</v>
      </c>
      <c r="AS456">
        <f t="shared" si="163"/>
        <v>1.5</v>
      </c>
      <c r="AT456">
        <f t="shared" si="164"/>
        <v>1.5</v>
      </c>
      <c r="AU456">
        <f t="shared" si="165"/>
        <v>6</v>
      </c>
      <c r="AV456">
        <f t="shared" si="154"/>
        <v>5001</v>
      </c>
      <c r="AW456" s="1">
        <v>0</v>
      </c>
      <c r="AX456">
        <v>5</v>
      </c>
      <c r="AY456">
        <v>0.1</v>
      </c>
      <c r="CE456" t="str">
        <f t="shared" si="152"/>
        <v>DATA_Class_Base34</v>
      </c>
      <c r="CF456" s="3" t="s">
        <v>184</v>
      </c>
    </row>
    <row r="457" spans="1:84">
      <c r="A457">
        <f t="shared" si="150"/>
        <v>5111502</v>
      </c>
      <c r="B457" s="31" t="s">
        <v>396</v>
      </c>
      <c r="C457">
        <v>11</v>
      </c>
      <c r="D457">
        <v>5</v>
      </c>
      <c r="E457">
        <v>1</v>
      </c>
      <c r="F457" s="3" t="s">
        <v>1684</v>
      </c>
      <c r="G457" s="3" t="s">
        <v>1684</v>
      </c>
      <c r="H457">
        <v>0</v>
      </c>
      <c r="I457">
        <v>0</v>
      </c>
      <c r="J457" s="2">
        <v>0</v>
      </c>
      <c r="K457" s="2" t="s">
        <v>291</v>
      </c>
      <c r="L457" s="2">
        <f t="shared" si="151"/>
        <v>6</v>
      </c>
      <c r="M457" s="2">
        <f t="shared" si="153"/>
        <v>1.4000000000000001</v>
      </c>
      <c r="N457" s="2">
        <f t="shared" si="153"/>
        <v>2</v>
      </c>
      <c r="O457" s="2">
        <v>10</v>
      </c>
      <c r="P457" s="2">
        <f t="shared" ref="P457:U499" si="167">ROUND(AM457*(1+$AY457),2)</f>
        <v>298.97000000000003</v>
      </c>
      <c r="Q457" s="2">
        <f t="shared" si="167"/>
        <v>29.9</v>
      </c>
      <c r="R457" s="2">
        <f t="shared" si="167"/>
        <v>2274.46</v>
      </c>
      <c r="S457" s="2">
        <f t="shared" si="167"/>
        <v>227.45</v>
      </c>
      <c r="T457" s="2">
        <f t="shared" si="167"/>
        <v>45.99</v>
      </c>
      <c r="U457" s="2">
        <f t="shared" si="167"/>
        <v>4.5999999999999996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17">
        <v>515023</v>
      </c>
      <c r="AB457" s="14" t="s">
        <v>745</v>
      </c>
      <c r="AC457" s="15" t="s">
        <v>890</v>
      </c>
      <c r="AD457" s="2">
        <v>5121502</v>
      </c>
      <c r="AE457" s="2">
        <v>0</v>
      </c>
      <c r="AF457" s="2">
        <v>1</v>
      </c>
      <c r="AG457" s="2">
        <f t="shared" si="157"/>
        <v>5061502</v>
      </c>
      <c r="AH457" s="2">
        <v>2</v>
      </c>
      <c r="AJ457">
        <v>1</v>
      </c>
      <c r="AK457" s="1">
        <f t="shared" si="166"/>
        <v>154.41713210374684</v>
      </c>
      <c r="AL457">
        <v>11</v>
      </c>
      <c r="AM457">
        <f t="shared" si="158"/>
        <v>271.78666666666658</v>
      </c>
      <c r="AN457">
        <f t="shared" si="159"/>
        <v>27.178666666666658</v>
      </c>
      <c r="AO457">
        <f t="shared" si="160"/>
        <v>2067.6923076923072</v>
      </c>
      <c r="AP457">
        <f t="shared" si="161"/>
        <v>206.76923076923072</v>
      </c>
      <c r="AQ457">
        <f t="shared" si="162"/>
        <v>41.813333333333318</v>
      </c>
      <c r="AR457">
        <f t="shared" si="145"/>
        <v>4.181333333333332</v>
      </c>
      <c r="AS457">
        <f t="shared" si="163"/>
        <v>1.4</v>
      </c>
      <c r="AT457">
        <f t="shared" si="164"/>
        <v>2</v>
      </c>
      <c r="AU457">
        <f t="shared" si="165"/>
        <v>6</v>
      </c>
      <c r="AV457">
        <f t="shared" si="154"/>
        <v>5021</v>
      </c>
      <c r="AW457" s="1">
        <v>2</v>
      </c>
      <c r="AX457">
        <v>5</v>
      </c>
      <c r="AY457">
        <v>0.1</v>
      </c>
      <c r="CE457" t="str">
        <f t="shared" si="152"/>
        <v>DATA_Class_Base35</v>
      </c>
      <c r="CF457" s="3" t="s">
        <v>195</v>
      </c>
    </row>
    <row r="458" spans="1:84">
      <c r="A458">
        <f t="shared" si="150"/>
        <v>5111601</v>
      </c>
      <c r="B458" s="31" t="s">
        <v>398</v>
      </c>
      <c r="C458">
        <v>11</v>
      </c>
      <c r="D458">
        <v>6</v>
      </c>
      <c r="E458">
        <v>1</v>
      </c>
      <c r="F458" s="3" t="s">
        <v>1685</v>
      </c>
      <c r="G458" s="3" t="s">
        <v>1685</v>
      </c>
      <c r="H458">
        <v>0</v>
      </c>
      <c r="I458">
        <v>0</v>
      </c>
      <c r="J458">
        <v>0</v>
      </c>
      <c r="K458" s="2" t="s">
        <v>309</v>
      </c>
      <c r="L458" s="2">
        <f t="shared" si="151"/>
        <v>6</v>
      </c>
      <c r="M458" s="2">
        <f t="shared" si="153"/>
        <v>1.5</v>
      </c>
      <c r="N458" s="2">
        <f t="shared" si="153"/>
        <v>2</v>
      </c>
      <c r="O458" s="2">
        <v>10</v>
      </c>
      <c r="P458" s="2">
        <f t="shared" si="167"/>
        <v>246.4</v>
      </c>
      <c r="Q458" s="2">
        <f t="shared" si="167"/>
        <v>24.64</v>
      </c>
      <c r="R458" s="2">
        <f t="shared" si="167"/>
        <v>2956.8</v>
      </c>
      <c r="S458" s="2">
        <f t="shared" si="167"/>
        <v>295.68</v>
      </c>
      <c r="T458" s="2">
        <f t="shared" si="167"/>
        <v>61.6</v>
      </c>
      <c r="U458" s="2">
        <f t="shared" si="167"/>
        <v>6.16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17">
        <v>516013</v>
      </c>
      <c r="AB458" s="14" t="s">
        <v>746</v>
      </c>
      <c r="AC458" s="15" t="s">
        <v>890</v>
      </c>
      <c r="AD458" s="2">
        <v>5121601</v>
      </c>
      <c r="AE458" s="2">
        <v>0</v>
      </c>
      <c r="AF458" s="2">
        <v>1</v>
      </c>
      <c r="AG458" s="2">
        <f t="shared" si="157"/>
        <v>5061601</v>
      </c>
      <c r="AH458" s="2">
        <v>2</v>
      </c>
      <c r="AJ458">
        <v>1</v>
      </c>
      <c r="AK458" s="1">
        <f t="shared" si="166"/>
        <v>154.90508990766239</v>
      </c>
      <c r="AL458">
        <v>11</v>
      </c>
      <c r="AM458">
        <f t="shared" si="158"/>
        <v>224</v>
      </c>
      <c r="AN458">
        <f t="shared" si="159"/>
        <v>22.400000000000002</v>
      </c>
      <c r="AO458">
        <f t="shared" si="160"/>
        <v>2688</v>
      </c>
      <c r="AP458">
        <f t="shared" si="161"/>
        <v>268.8</v>
      </c>
      <c r="AQ458">
        <f t="shared" si="162"/>
        <v>56</v>
      </c>
      <c r="AR458">
        <f t="shared" si="145"/>
        <v>5.6000000000000005</v>
      </c>
      <c r="AS458">
        <f t="shared" si="163"/>
        <v>1.5</v>
      </c>
      <c r="AT458">
        <f t="shared" si="164"/>
        <v>2</v>
      </c>
      <c r="AU458">
        <f t="shared" si="165"/>
        <v>6</v>
      </c>
      <c r="AV458">
        <f t="shared" si="154"/>
        <v>6011</v>
      </c>
      <c r="AW458" s="1">
        <v>1</v>
      </c>
      <c r="AX458">
        <v>5</v>
      </c>
      <c r="AY458">
        <v>0.1</v>
      </c>
      <c r="CE458" t="str">
        <f t="shared" si="152"/>
        <v>DATA_Class_Base36</v>
      </c>
      <c r="CF458" s="3" t="s">
        <v>201</v>
      </c>
    </row>
    <row r="459" spans="1:84">
      <c r="A459">
        <f t="shared" si="150"/>
        <v>5112200</v>
      </c>
      <c r="B459" s="31" t="s">
        <v>373</v>
      </c>
      <c r="C459">
        <v>11</v>
      </c>
      <c r="D459">
        <v>2</v>
      </c>
      <c r="E459">
        <v>2</v>
      </c>
      <c r="F459" s="3" t="s">
        <v>1686</v>
      </c>
      <c r="G459" s="3" t="s">
        <v>1686</v>
      </c>
      <c r="H459">
        <v>0</v>
      </c>
      <c r="I459">
        <v>0</v>
      </c>
      <c r="J459">
        <v>0</v>
      </c>
      <c r="K459" s="2" t="s">
        <v>314</v>
      </c>
      <c r="L459" s="2">
        <f t="shared" si="151"/>
        <v>3</v>
      </c>
      <c r="M459" s="2">
        <f t="shared" si="153"/>
        <v>1.5</v>
      </c>
      <c r="N459" s="2">
        <f t="shared" si="153"/>
        <v>1.2</v>
      </c>
      <c r="O459" s="2">
        <v>10</v>
      </c>
      <c r="P459" s="2">
        <f t="shared" si="167"/>
        <v>246.4</v>
      </c>
      <c r="Q459" s="2">
        <f t="shared" si="167"/>
        <v>24.64</v>
      </c>
      <c r="R459" s="2">
        <f t="shared" si="167"/>
        <v>2956.8</v>
      </c>
      <c r="S459" s="2">
        <f t="shared" si="167"/>
        <v>295.68</v>
      </c>
      <c r="T459" s="2">
        <f t="shared" si="167"/>
        <v>61.6</v>
      </c>
      <c r="U459" s="2">
        <f t="shared" si="167"/>
        <v>6.16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17">
        <v>522003</v>
      </c>
      <c r="AB459" s="14" t="s">
        <v>747</v>
      </c>
      <c r="AC459" s="15" t="s">
        <v>890</v>
      </c>
      <c r="AD459" s="2">
        <v>5122200</v>
      </c>
      <c r="AE459" s="2">
        <v>0</v>
      </c>
      <c r="AF459" s="2">
        <v>1</v>
      </c>
      <c r="AG459" s="2">
        <f t="shared" si="157"/>
        <v>5062200</v>
      </c>
      <c r="AH459" s="2">
        <v>2</v>
      </c>
      <c r="AJ459">
        <v>1</v>
      </c>
      <c r="AK459" s="1">
        <f t="shared" si="166"/>
        <v>154.90508990766239</v>
      </c>
      <c r="AL459">
        <v>11</v>
      </c>
      <c r="AM459">
        <f t="shared" si="158"/>
        <v>224</v>
      </c>
      <c r="AN459">
        <f t="shared" si="159"/>
        <v>22.400000000000002</v>
      </c>
      <c r="AO459">
        <f t="shared" si="160"/>
        <v>2688</v>
      </c>
      <c r="AP459">
        <f t="shared" si="161"/>
        <v>268.8</v>
      </c>
      <c r="AQ459">
        <f t="shared" si="162"/>
        <v>56</v>
      </c>
      <c r="AR459">
        <f t="shared" si="145"/>
        <v>5.6000000000000005</v>
      </c>
      <c r="AS459">
        <f t="shared" si="163"/>
        <v>1.5</v>
      </c>
      <c r="AT459">
        <f t="shared" si="164"/>
        <v>1.2</v>
      </c>
      <c r="AU459">
        <f t="shared" si="165"/>
        <v>3</v>
      </c>
      <c r="AV459">
        <f t="shared" si="154"/>
        <v>2002</v>
      </c>
      <c r="AW459" s="1">
        <v>0</v>
      </c>
      <c r="AX459">
        <v>5</v>
      </c>
      <c r="AY459">
        <v>0.1</v>
      </c>
      <c r="CE459" t="str">
        <f t="shared" si="152"/>
        <v>DATA_Class_Base28</v>
      </c>
      <c r="CF459" s="3" t="s">
        <v>374</v>
      </c>
    </row>
    <row r="460" spans="1:84">
      <c r="A460">
        <f t="shared" si="150"/>
        <v>5112201</v>
      </c>
      <c r="B460" s="31" t="s">
        <v>377</v>
      </c>
      <c r="C460">
        <v>11</v>
      </c>
      <c r="D460">
        <v>2</v>
      </c>
      <c r="E460">
        <v>2</v>
      </c>
      <c r="F460" s="3" t="s">
        <v>1687</v>
      </c>
      <c r="G460" s="3" t="s">
        <v>1687</v>
      </c>
      <c r="H460">
        <v>0</v>
      </c>
      <c r="I460">
        <v>0</v>
      </c>
      <c r="J460">
        <v>0</v>
      </c>
      <c r="K460" s="8" t="s">
        <v>298</v>
      </c>
      <c r="L460" s="2">
        <f t="shared" si="151"/>
        <v>3</v>
      </c>
      <c r="M460" s="2">
        <f t="shared" si="153"/>
        <v>1.8</v>
      </c>
      <c r="N460" s="2">
        <f t="shared" si="153"/>
        <v>1.8</v>
      </c>
      <c r="O460" s="2">
        <v>10</v>
      </c>
      <c r="P460" s="2">
        <f t="shared" si="167"/>
        <v>206.98</v>
      </c>
      <c r="Q460" s="2">
        <f t="shared" si="167"/>
        <v>20.7</v>
      </c>
      <c r="R460" s="2">
        <f t="shared" si="167"/>
        <v>4224</v>
      </c>
      <c r="S460" s="2">
        <f t="shared" si="167"/>
        <v>422.4</v>
      </c>
      <c r="T460" s="2">
        <f t="shared" si="167"/>
        <v>68.989999999999995</v>
      </c>
      <c r="U460" s="2">
        <f t="shared" si="167"/>
        <v>6.9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17">
        <v>522013</v>
      </c>
      <c r="AB460" s="14" t="s">
        <v>748</v>
      </c>
      <c r="AC460" s="15" t="s">
        <v>890</v>
      </c>
      <c r="AD460" s="2">
        <v>5122201</v>
      </c>
      <c r="AE460" s="2">
        <v>0</v>
      </c>
      <c r="AF460" s="2">
        <v>1</v>
      </c>
      <c r="AG460" s="2">
        <f t="shared" si="157"/>
        <v>5062201</v>
      </c>
      <c r="AH460" s="2">
        <v>2</v>
      </c>
      <c r="AJ460">
        <v>1</v>
      </c>
      <c r="AK460" s="1">
        <f t="shared" si="166"/>
        <v>155.13730580035562</v>
      </c>
      <c r="AL460">
        <v>11</v>
      </c>
      <c r="AM460">
        <f t="shared" si="158"/>
        <v>188.16</v>
      </c>
      <c r="AN460">
        <f t="shared" si="159"/>
        <v>18.815999999999999</v>
      </c>
      <c r="AO460">
        <f t="shared" si="160"/>
        <v>3840</v>
      </c>
      <c r="AP460">
        <f t="shared" si="161"/>
        <v>384</v>
      </c>
      <c r="AQ460">
        <f t="shared" si="162"/>
        <v>62.72</v>
      </c>
      <c r="AR460">
        <f t="shared" si="145"/>
        <v>6.2720000000000002</v>
      </c>
      <c r="AS460">
        <f t="shared" si="163"/>
        <v>1.8</v>
      </c>
      <c r="AT460">
        <f t="shared" si="164"/>
        <v>1.8</v>
      </c>
      <c r="AU460">
        <f t="shared" si="165"/>
        <v>3</v>
      </c>
      <c r="AV460">
        <f t="shared" si="154"/>
        <v>2012</v>
      </c>
      <c r="AW460" s="1">
        <v>1</v>
      </c>
      <c r="AX460">
        <v>5</v>
      </c>
      <c r="AY460">
        <v>0.1</v>
      </c>
      <c r="CE460" t="str">
        <f t="shared" si="152"/>
        <v>DATA_Class_Base29</v>
      </c>
      <c r="CF460" s="3" t="s">
        <v>378</v>
      </c>
    </row>
    <row r="461" spans="1:84">
      <c r="A461">
        <f t="shared" si="150"/>
        <v>5112202</v>
      </c>
      <c r="B461" s="31" t="s">
        <v>380</v>
      </c>
      <c r="C461">
        <v>11</v>
      </c>
      <c r="D461">
        <v>2</v>
      </c>
      <c r="E461">
        <v>2</v>
      </c>
      <c r="F461" s="3" t="s">
        <v>1688</v>
      </c>
      <c r="G461" s="3" t="s">
        <v>1688</v>
      </c>
      <c r="H461">
        <v>0</v>
      </c>
      <c r="I461">
        <v>0</v>
      </c>
      <c r="J461" s="2">
        <v>0</v>
      </c>
      <c r="K461" s="2" t="s">
        <v>280</v>
      </c>
      <c r="L461" s="2">
        <f t="shared" si="151"/>
        <v>3</v>
      </c>
      <c r="M461" s="2">
        <f t="shared" si="153"/>
        <v>1.8</v>
      </c>
      <c r="N461" s="2">
        <f t="shared" si="153"/>
        <v>2</v>
      </c>
      <c r="O461" s="2">
        <v>10</v>
      </c>
      <c r="P461" s="2">
        <f t="shared" si="167"/>
        <v>340.03</v>
      </c>
      <c r="Q461" s="2">
        <f t="shared" si="167"/>
        <v>34</v>
      </c>
      <c r="R461" s="2">
        <f t="shared" si="167"/>
        <v>2571.13</v>
      </c>
      <c r="S461" s="2">
        <f t="shared" si="167"/>
        <v>257.11</v>
      </c>
      <c r="T461" s="2">
        <f t="shared" si="167"/>
        <v>68.010000000000005</v>
      </c>
      <c r="U461" s="2">
        <f t="shared" si="167"/>
        <v>6.8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17">
        <v>522023</v>
      </c>
      <c r="AB461" s="14" t="s">
        <v>749</v>
      </c>
      <c r="AC461" s="15" t="s">
        <v>890</v>
      </c>
      <c r="AD461" s="2">
        <v>5122202</v>
      </c>
      <c r="AE461" s="2">
        <v>0</v>
      </c>
      <c r="AF461" s="2">
        <v>1</v>
      </c>
      <c r="AG461" s="2">
        <f t="shared" si="157"/>
        <v>5062202</v>
      </c>
      <c r="AH461" s="2">
        <v>2</v>
      </c>
      <c r="AJ461">
        <v>1</v>
      </c>
      <c r="AK461" s="1">
        <f t="shared" si="166"/>
        <v>155.10630346316748</v>
      </c>
      <c r="AL461">
        <v>11</v>
      </c>
      <c r="AM461">
        <f t="shared" si="158"/>
        <v>309.11999999999995</v>
      </c>
      <c r="AN461">
        <f t="shared" si="159"/>
        <v>30.911999999999995</v>
      </c>
      <c r="AO461">
        <f t="shared" si="160"/>
        <v>2337.391304347826</v>
      </c>
      <c r="AP461">
        <f t="shared" si="161"/>
        <v>233.73913043478262</v>
      </c>
      <c r="AQ461">
        <f t="shared" si="162"/>
        <v>61.823999999999991</v>
      </c>
      <c r="AR461">
        <f t="shared" si="145"/>
        <v>6.1823999999999995</v>
      </c>
      <c r="AS461">
        <f t="shared" si="163"/>
        <v>1.8</v>
      </c>
      <c r="AT461">
        <f t="shared" si="164"/>
        <v>2</v>
      </c>
      <c r="AU461">
        <f t="shared" si="165"/>
        <v>3</v>
      </c>
      <c r="AV461">
        <f t="shared" si="154"/>
        <v>2022</v>
      </c>
      <c r="AW461" s="1">
        <v>2</v>
      </c>
      <c r="AX461">
        <v>5</v>
      </c>
      <c r="AY461">
        <v>0.1</v>
      </c>
      <c r="CE461" t="str">
        <f t="shared" si="152"/>
        <v>DATA_Class_Base30</v>
      </c>
      <c r="CF461" s="3" t="s">
        <v>381</v>
      </c>
    </row>
    <row r="462" spans="1:84">
      <c r="A462">
        <f t="shared" si="150"/>
        <v>5112301</v>
      </c>
      <c r="B462" s="31" t="s">
        <v>383</v>
      </c>
      <c r="C462">
        <v>11</v>
      </c>
      <c r="D462">
        <v>3</v>
      </c>
      <c r="E462">
        <v>2</v>
      </c>
      <c r="F462" s="3" t="s">
        <v>1689</v>
      </c>
      <c r="G462" s="3" t="s">
        <v>1689</v>
      </c>
      <c r="H462">
        <v>0</v>
      </c>
      <c r="I462">
        <v>0</v>
      </c>
      <c r="J462">
        <v>0</v>
      </c>
      <c r="K462" s="2" t="s">
        <v>285</v>
      </c>
      <c r="L462" s="2">
        <f t="shared" si="151"/>
        <v>3</v>
      </c>
      <c r="M462" s="2">
        <f t="shared" si="153"/>
        <v>1.2</v>
      </c>
      <c r="N462" s="2">
        <f t="shared" si="153"/>
        <v>1.7</v>
      </c>
      <c r="O462" s="2">
        <v>10</v>
      </c>
      <c r="P462" s="2">
        <f t="shared" si="167"/>
        <v>256.26</v>
      </c>
      <c r="Q462" s="2">
        <f t="shared" si="167"/>
        <v>25.63</v>
      </c>
      <c r="R462" s="2">
        <f t="shared" si="167"/>
        <v>2274.46</v>
      </c>
      <c r="S462" s="2">
        <f t="shared" si="167"/>
        <v>227.45</v>
      </c>
      <c r="T462" s="2">
        <f t="shared" si="167"/>
        <v>42.71</v>
      </c>
      <c r="U462" s="2">
        <f t="shared" si="167"/>
        <v>4.2699999999999996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17">
        <v>523013</v>
      </c>
      <c r="AB462" s="14" t="s">
        <v>750</v>
      </c>
      <c r="AC462" s="15" t="s">
        <v>890</v>
      </c>
      <c r="AD462" s="2">
        <v>5122301</v>
      </c>
      <c r="AE462" s="2">
        <v>0</v>
      </c>
      <c r="AF462" s="2">
        <v>1</v>
      </c>
      <c r="AG462" s="2">
        <f t="shared" si="157"/>
        <v>5062301</v>
      </c>
      <c r="AH462" s="2">
        <v>2</v>
      </c>
      <c r="AJ462">
        <v>1</v>
      </c>
      <c r="AK462" s="1">
        <f t="shared" si="166"/>
        <v>154.31479560878412</v>
      </c>
      <c r="AL462">
        <v>11</v>
      </c>
      <c r="AM462">
        <f t="shared" si="158"/>
        <v>232.95999999999998</v>
      </c>
      <c r="AN462">
        <f t="shared" si="159"/>
        <v>23.295999999999999</v>
      </c>
      <c r="AO462">
        <f t="shared" si="160"/>
        <v>2067.6923076923072</v>
      </c>
      <c r="AP462">
        <f t="shared" si="161"/>
        <v>206.76923076923072</v>
      </c>
      <c r="AQ462">
        <f t="shared" si="162"/>
        <v>38.826666666666661</v>
      </c>
      <c r="AR462">
        <f t="shared" si="145"/>
        <v>3.8826666666666663</v>
      </c>
      <c r="AS462">
        <f t="shared" si="163"/>
        <v>1.2</v>
      </c>
      <c r="AT462">
        <f t="shared" si="164"/>
        <v>1.7</v>
      </c>
      <c r="AU462">
        <f t="shared" si="165"/>
        <v>3</v>
      </c>
      <c r="AV462">
        <f t="shared" si="154"/>
        <v>3012</v>
      </c>
      <c r="AW462" s="1">
        <v>1</v>
      </c>
      <c r="AX462">
        <v>5</v>
      </c>
      <c r="AY462">
        <v>0.1</v>
      </c>
      <c r="CE462" t="str">
        <f t="shared" si="152"/>
        <v>DATA_Class_Base31</v>
      </c>
      <c r="CF462" s="3" t="s">
        <v>384</v>
      </c>
    </row>
    <row r="463" spans="1:84">
      <c r="A463">
        <f t="shared" si="150"/>
        <v>5112401</v>
      </c>
      <c r="B463" s="31" t="s">
        <v>387</v>
      </c>
      <c r="C463">
        <v>11</v>
      </c>
      <c r="D463">
        <v>4</v>
      </c>
      <c r="E463">
        <v>2</v>
      </c>
      <c r="F463" s="3" t="s">
        <v>1690</v>
      </c>
      <c r="G463" s="3" t="s">
        <v>1690</v>
      </c>
      <c r="H463">
        <v>0</v>
      </c>
      <c r="I463">
        <v>0</v>
      </c>
      <c r="J463" s="2">
        <v>0</v>
      </c>
      <c r="K463" s="2" t="s">
        <v>161</v>
      </c>
      <c r="L463" s="2">
        <f t="shared" si="151"/>
        <v>6</v>
      </c>
      <c r="M463" s="2">
        <f t="shared" si="153"/>
        <v>1.6</v>
      </c>
      <c r="N463" s="2">
        <f t="shared" si="153"/>
        <v>1.5</v>
      </c>
      <c r="O463" s="2">
        <v>10</v>
      </c>
      <c r="P463" s="2">
        <f t="shared" si="167"/>
        <v>341.67</v>
      </c>
      <c r="Q463" s="2">
        <f t="shared" si="167"/>
        <v>34.17</v>
      </c>
      <c r="R463" s="2">
        <f t="shared" si="167"/>
        <v>2274.46</v>
      </c>
      <c r="S463" s="2">
        <f t="shared" si="167"/>
        <v>227.45</v>
      </c>
      <c r="T463" s="2">
        <f t="shared" si="167"/>
        <v>37.96</v>
      </c>
      <c r="U463" s="2">
        <f t="shared" si="167"/>
        <v>3.8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17">
        <v>524013</v>
      </c>
      <c r="AB463" s="14" t="s">
        <v>751</v>
      </c>
      <c r="AC463" s="15" t="s">
        <v>890</v>
      </c>
      <c r="AD463" s="2">
        <v>5122401</v>
      </c>
      <c r="AE463" s="2">
        <v>0</v>
      </c>
      <c r="AF463" s="2">
        <v>1</v>
      </c>
      <c r="AG463" s="2">
        <f t="shared" si="157"/>
        <v>5062401</v>
      </c>
      <c r="AH463" s="2">
        <v>2</v>
      </c>
      <c r="AJ463">
        <v>1</v>
      </c>
      <c r="AK463" s="1">
        <f t="shared" si="166"/>
        <v>154.16721546567027</v>
      </c>
      <c r="AL463">
        <v>11</v>
      </c>
      <c r="AM463">
        <f t="shared" si="158"/>
        <v>310.61333333333334</v>
      </c>
      <c r="AN463">
        <f t="shared" si="159"/>
        <v>31.061333333333337</v>
      </c>
      <c r="AO463">
        <f t="shared" si="160"/>
        <v>2067.6923076923072</v>
      </c>
      <c r="AP463">
        <f t="shared" si="161"/>
        <v>206.76923076923072</v>
      </c>
      <c r="AQ463">
        <f t="shared" si="162"/>
        <v>34.512592592592597</v>
      </c>
      <c r="AR463">
        <f t="shared" si="145"/>
        <v>3.4512592592592597</v>
      </c>
      <c r="AS463">
        <f t="shared" si="163"/>
        <v>1.6</v>
      </c>
      <c r="AT463">
        <f t="shared" si="164"/>
        <v>1.5</v>
      </c>
      <c r="AU463">
        <f t="shared" si="165"/>
        <v>6</v>
      </c>
      <c r="AV463">
        <f t="shared" si="154"/>
        <v>4012</v>
      </c>
      <c r="AW463" s="1">
        <v>1</v>
      </c>
      <c r="AX463">
        <v>5</v>
      </c>
      <c r="AY463">
        <v>0.1</v>
      </c>
      <c r="CE463" t="str">
        <f t="shared" si="152"/>
        <v>DATA_Class_Base32</v>
      </c>
      <c r="CF463" s="3" t="s">
        <v>388</v>
      </c>
    </row>
    <row r="464" spans="1:84">
      <c r="A464">
        <f t="shared" si="150"/>
        <v>5112402</v>
      </c>
      <c r="B464" s="31" t="s">
        <v>390</v>
      </c>
      <c r="C464">
        <v>11</v>
      </c>
      <c r="D464">
        <v>4</v>
      </c>
      <c r="E464">
        <v>2</v>
      </c>
      <c r="F464" s="3" t="s">
        <v>1691</v>
      </c>
      <c r="G464" s="3" t="s">
        <v>1691</v>
      </c>
      <c r="H464">
        <v>0</v>
      </c>
      <c r="I464">
        <v>0</v>
      </c>
      <c r="J464">
        <v>0</v>
      </c>
      <c r="K464" s="2" t="s">
        <v>250</v>
      </c>
      <c r="L464" s="2">
        <f t="shared" si="151"/>
        <v>6</v>
      </c>
      <c r="M464" s="2">
        <f t="shared" si="153"/>
        <v>1.5</v>
      </c>
      <c r="N464" s="2">
        <f t="shared" si="153"/>
        <v>1.5</v>
      </c>
      <c r="O464" s="2">
        <v>10</v>
      </c>
      <c r="P464" s="2">
        <f t="shared" si="167"/>
        <v>344.96</v>
      </c>
      <c r="Q464" s="2">
        <f t="shared" si="167"/>
        <v>34.5</v>
      </c>
      <c r="R464" s="2">
        <f t="shared" si="167"/>
        <v>2112</v>
      </c>
      <c r="S464" s="2">
        <f t="shared" si="167"/>
        <v>211.2</v>
      </c>
      <c r="T464" s="2">
        <f t="shared" si="167"/>
        <v>43.12</v>
      </c>
      <c r="U464" s="2">
        <f t="shared" si="167"/>
        <v>4.3099999999999996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17">
        <v>524023</v>
      </c>
      <c r="AB464" s="14" t="s">
        <v>752</v>
      </c>
      <c r="AC464" s="15" t="s">
        <v>890</v>
      </c>
      <c r="AD464" s="2">
        <v>5122402</v>
      </c>
      <c r="AE464" s="2">
        <v>0</v>
      </c>
      <c r="AF464" s="2">
        <v>1</v>
      </c>
      <c r="AG464" s="2">
        <f t="shared" si="157"/>
        <v>5062402</v>
      </c>
      <c r="AH464" s="2">
        <v>2</v>
      </c>
      <c r="AJ464">
        <v>1</v>
      </c>
      <c r="AK464" s="1">
        <f t="shared" si="166"/>
        <v>154.32758025209401</v>
      </c>
      <c r="AL464">
        <v>11</v>
      </c>
      <c r="AM464">
        <f t="shared" si="158"/>
        <v>313.59999999999991</v>
      </c>
      <c r="AN464">
        <f t="shared" si="159"/>
        <v>31.359999999999992</v>
      </c>
      <c r="AO464">
        <f t="shared" si="160"/>
        <v>1920</v>
      </c>
      <c r="AP464">
        <f t="shared" si="161"/>
        <v>192</v>
      </c>
      <c r="AQ464">
        <f t="shared" si="162"/>
        <v>39.199999999999989</v>
      </c>
      <c r="AR464">
        <f t="shared" si="145"/>
        <v>3.919999999999999</v>
      </c>
      <c r="AS464">
        <f t="shared" si="163"/>
        <v>1.5</v>
      </c>
      <c r="AT464">
        <f t="shared" si="164"/>
        <v>1.5</v>
      </c>
      <c r="AU464">
        <f t="shared" si="165"/>
        <v>6</v>
      </c>
      <c r="AV464">
        <f t="shared" si="154"/>
        <v>4022</v>
      </c>
      <c r="AW464" s="1">
        <v>2</v>
      </c>
      <c r="AX464">
        <v>5</v>
      </c>
      <c r="AY464">
        <v>0.1</v>
      </c>
      <c r="CE464" t="str">
        <f t="shared" si="152"/>
        <v>DATA_Class_Base33</v>
      </c>
      <c r="CF464" s="3" t="s">
        <v>391</v>
      </c>
    </row>
    <row r="465" spans="1:84">
      <c r="A465">
        <f t="shared" si="150"/>
        <v>5112500</v>
      </c>
      <c r="B465" s="31" t="s">
        <v>394</v>
      </c>
      <c r="C465">
        <v>11</v>
      </c>
      <c r="D465">
        <v>5</v>
      </c>
      <c r="E465">
        <v>2</v>
      </c>
      <c r="F465" s="3" t="s">
        <v>1692</v>
      </c>
      <c r="G465" s="3" t="s">
        <v>1692</v>
      </c>
      <c r="H465">
        <v>0</v>
      </c>
      <c r="I465">
        <v>0</v>
      </c>
      <c r="J465" s="2">
        <v>0</v>
      </c>
      <c r="K465" s="2" t="s">
        <v>303</v>
      </c>
      <c r="L465" s="2">
        <f t="shared" si="151"/>
        <v>6</v>
      </c>
      <c r="M465" s="2">
        <f t="shared" si="153"/>
        <v>1.5</v>
      </c>
      <c r="N465" s="2">
        <f t="shared" si="153"/>
        <v>2</v>
      </c>
      <c r="O465" s="2">
        <v>10</v>
      </c>
      <c r="P465" s="2">
        <f t="shared" si="167"/>
        <v>369.6</v>
      </c>
      <c r="Q465" s="2">
        <f t="shared" si="167"/>
        <v>36.96</v>
      </c>
      <c r="R465" s="2">
        <f t="shared" si="167"/>
        <v>1971.2</v>
      </c>
      <c r="S465" s="2">
        <f t="shared" si="167"/>
        <v>197.12</v>
      </c>
      <c r="T465" s="2">
        <f t="shared" si="167"/>
        <v>41.07</v>
      </c>
      <c r="U465" s="2">
        <f t="shared" si="167"/>
        <v>4.1100000000000003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17">
        <v>525003</v>
      </c>
      <c r="AB465" s="14" t="s">
        <v>753</v>
      </c>
      <c r="AC465" s="15" t="s">
        <v>890</v>
      </c>
      <c r="AD465" s="2">
        <v>5122500</v>
      </c>
      <c r="AE465" s="2">
        <v>0</v>
      </c>
      <c r="AF465" s="2">
        <v>1</v>
      </c>
      <c r="AG465" s="2">
        <f t="shared" si="157"/>
        <v>5062500</v>
      </c>
      <c r="AH465" s="2">
        <v>2</v>
      </c>
      <c r="AJ465">
        <v>1</v>
      </c>
      <c r="AK465" s="1">
        <f t="shared" si="166"/>
        <v>154.26367821036783</v>
      </c>
      <c r="AL465">
        <v>11</v>
      </c>
      <c r="AM465">
        <f t="shared" si="158"/>
        <v>336</v>
      </c>
      <c r="AN465">
        <f t="shared" si="159"/>
        <v>33.6</v>
      </c>
      <c r="AO465">
        <f t="shared" si="160"/>
        <v>1792</v>
      </c>
      <c r="AP465">
        <f t="shared" si="161"/>
        <v>179.20000000000002</v>
      </c>
      <c r="AQ465">
        <f t="shared" si="162"/>
        <v>37.333333333333336</v>
      </c>
      <c r="AR465">
        <f t="shared" si="145"/>
        <v>3.7333333333333338</v>
      </c>
      <c r="AS465">
        <f t="shared" si="163"/>
        <v>1.5</v>
      </c>
      <c r="AT465">
        <f t="shared" si="164"/>
        <v>2</v>
      </c>
      <c r="AU465">
        <f t="shared" si="165"/>
        <v>6</v>
      </c>
      <c r="AV465">
        <f t="shared" si="154"/>
        <v>5002</v>
      </c>
      <c r="AW465" s="1">
        <v>0</v>
      </c>
      <c r="AX465">
        <v>5</v>
      </c>
      <c r="AY465">
        <v>0.1</v>
      </c>
      <c r="CE465" t="str">
        <f t="shared" si="152"/>
        <v>DATA_Class_Base34</v>
      </c>
      <c r="CF465" s="3" t="s">
        <v>184</v>
      </c>
    </row>
    <row r="466" spans="1:84">
      <c r="A466">
        <f t="shared" si="150"/>
        <v>5112502</v>
      </c>
      <c r="B466" s="31" t="s">
        <v>396</v>
      </c>
      <c r="C466">
        <v>11</v>
      </c>
      <c r="D466">
        <v>5</v>
      </c>
      <c r="E466">
        <v>2</v>
      </c>
      <c r="F466" s="3" t="s">
        <v>1693</v>
      </c>
      <c r="G466" s="3" t="s">
        <v>1693</v>
      </c>
      <c r="H466">
        <v>0</v>
      </c>
      <c r="I466">
        <v>0</v>
      </c>
      <c r="J466" s="2">
        <v>0</v>
      </c>
      <c r="K466" s="2" t="s">
        <v>291</v>
      </c>
      <c r="L466" s="2">
        <f t="shared" si="151"/>
        <v>6</v>
      </c>
      <c r="M466" s="2">
        <f t="shared" si="153"/>
        <v>1.4000000000000001</v>
      </c>
      <c r="N466" s="2">
        <f t="shared" si="153"/>
        <v>2</v>
      </c>
      <c r="O466" s="2">
        <v>10</v>
      </c>
      <c r="P466" s="2">
        <f t="shared" si="167"/>
        <v>356.46</v>
      </c>
      <c r="Q466" s="2">
        <f t="shared" si="167"/>
        <v>35.65</v>
      </c>
      <c r="R466" s="2">
        <f t="shared" si="167"/>
        <v>1907.61</v>
      </c>
      <c r="S466" s="2">
        <f t="shared" si="167"/>
        <v>190.76</v>
      </c>
      <c r="T466" s="2">
        <f t="shared" si="167"/>
        <v>35.65</v>
      </c>
      <c r="U466" s="2">
        <f t="shared" si="167"/>
        <v>3.56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17">
        <v>525023</v>
      </c>
      <c r="AB466" s="14" t="s">
        <v>754</v>
      </c>
      <c r="AC466" s="15" t="s">
        <v>890</v>
      </c>
      <c r="AD466" s="2">
        <v>5122502</v>
      </c>
      <c r="AE466" s="2">
        <v>0</v>
      </c>
      <c r="AF466" s="2">
        <v>1</v>
      </c>
      <c r="AG466" s="2">
        <f t="shared" si="157"/>
        <v>5062502</v>
      </c>
      <c r="AH466" s="2">
        <v>2</v>
      </c>
      <c r="AJ466">
        <v>1</v>
      </c>
      <c r="AK466" s="1">
        <f t="shared" si="166"/>
        <v>154.09523081028652</v>
      </c>
      <c r="AL466">
        <v>11</v>
      </c>
      <c r="AM466">
        <f t="shared" si="158"/>
        <v>324.05333333333328</v>
      </c>
      <c r="AN466">
        <f t="shared" si="159"/>
        <v>32.405333333333331</v>
      </c>
      <c r="AO466">
        <f t="shared" si="160"/>
        <v>1734.1935483870968</v>
      </c>
      <c r="AP466">
        <f t="shared" si="161"/>
        <v>173.41935483870969</v>
      </c>
      <c r="AQ466">
        <f t="shared" si="162"/>
        <v>32.405333333333331</v>
      </c>
      <c r="AR466">
        <f t="shared" si="145"/>
        <v>3.2405333333333335</v>
      </c>
      <c r="AS466">
        <f t="shared" si="163"/>
        <v>1.4</v>
      </c>
      <c r="AT466">
        <f t="shared" si="164"/>
        <v>2</v>
      </c>
      <c r="AU466">
        <f t="shared" si="165"/>
        <v>6</v>
      </c>
      <c r="AV466">
        <f t="shared" si="154"/>
        <v>5022</v>
      </c>
      <c r="AW466" s="1">
        <v>2</v>
      </c>
      <c r="AX466">
        <v>5</v>
      </c>
      <c r="AY466">
        <v>0.1</v>
      </c>
      <c r="CE466" t="str">
        <f t="shared" si="152"/>
        <v>DATA_Class_Base35</v>
      </c>
      <c r="CF466" s="3" t="s">
        <v>195</v>
      </c>
    </row>
    <row r="467" spans="1:84">
      <c r="A467">
        <f t="shared" si="150"/>
        <v>5112601</v>
      </c>
      <c r="B467" s="31" t="s">
        <v>398</v>
      </c>
      <c r="C467">
        <v>11</v>
      </c>
      <c r="D467">
        <v>6</v>
      </c>
      <c r="E467">
        <v>2</v>
      </c>
      <c r="F467" s="3" t="s">
        <v>1694</v>
      </c>
      <c r="G467" s="3" t="s">
        <v>1694</v>
      </c>
      <c r="H467">
        <v>0</v>
      </c>
      <c r="I467">
        <v>0</v>
      </c>
      <c r="J467" s="2">
        <v>0</v>
      </c>
      <c r="K467" s="2" t="s">
        <v>309</v>
      </c>
      <c r="L467" s="2">
        <f t="shared" si="151"/>
        <v>6</v>
      </c>
      <c r="M467" s="2">
        <f t="shared" si="153"/>
        <v>1.5</v>
      </c>
      <c r="N467" s="2">
        <f t="shared" si="153"/>
        <v>2</v>
      </c>
      <c r="O467" s="2">
        <v>10</v>
      </c>
      <c r="P467" s="2">
        <f t="shared" si="167"/>
        <v>271.04000000000002</v>
      </c>
      <c r="Q467" s="2">
        <f t="shared" si="167"/>
        <v>27.1</v>
      </c>
      <c r="R467" s="2">
        <f t="shared" si="167"/>
        <v>2688</v>
      </c>
      <c r="S467" s="2">
        <f t="shared" si="167"/>
        <v>268.8</v>
      </c>
      <c r="T467" s="2">
        <f t="shared" si="167"/>
        <v>54.21</v>
      </c>
      <c r="U467" s="2">
        <f t="shared" si="167"/>
        <v>5.42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17">
        <v>526013</v>
      </c>
      <c r="AB467" s="14" t="s">
        <v>755</v>
      </c>
      <c r="AC467" s="15" t="s">
        <v>890</v>
      </c>
      <c r="AD467" s="2">
        <v>5122601</v>
      </c>
      <c r="AE467" s="2">
        <v>0</v>
      </c>
      <c r="AF467" s="2">
        <v>1</v>
      </c>
      <c r="AG467" s="2">
        <f t="shared" si="157"/>
        <v>5062601</v>
      </c>
      <c r="AH467" s="2">
        <v>2</v>
      </c>
      <c r="AJ467">
        <v>1</v>
      </c>
      <c r="AK467" s="1">
        <f t="shared" si="166"/>
        <v>154.67356815652579</v>
      </c>
      <c r="AL467">
        <v>11</v>
      </c>
      <c r="AM467">
        <f t="shared" si="158"/>
        <v>246.39999999999998</v>
      </c>
      <c r="AN467">
        <f t="shared" si="159"/>
        <v>24.64</v>
      </c>
      <c r="AO467">
        <f t="shared" si="160"/>
        <v>2443.6363636363635</v>
      </c>
      <c r="AP467">
        <f t="shared" si="161"/>
        <v>244.36363636363637</v>
      </c>
      <c r="AQ467">
        <f t="shared" si="162"/>
        <v>49.279999999999994</v>
      </c>
      <c r="AR467">
        <f t="shared" si="145"/>
        <v>4.9279999999999999</v>
      </c>
      <c r="AS467">
        <f t="shared" si="163"/>
        <v>1.5</v>
      </c>
      <c r="AT467">
        <f t="shared" si="164"/>
        <v>2</v>
      </c>
      <c r="AU467">
        <f t="shared" si="165"/>
        <v>6</v>
      </c>
      <c r="AV467">
        <f t="shared" si="154"/>
        <v>6012</v>
      </c>
      <c r="AW467" s="1">
        <v>1</v>
      </c>
      <c r="AX467">
        <v>5</v>
      </c>
      <c r="AY467">
        <v>0.1</v>
      </c>
      <c r="CE467" t="str">
        <f t="shared" si="152"/>
        <v>DATA_Class_Base36</v>
      </c>
      <c r="CF467" s="3" t="s">
        <v>201</v>
      </c>
    </row>
    <row r="468" spans="1:84">
      <c r="A468">
        <f t="shared" si="150"/>
        <v>5113200</v>
      </c>
      <c r="B468" s="31" t="s">
        <v>373</v>
      </c>
      <c r="C468">
        <v>11</v>
      </c>
      <c r="D468">
        <v>2</v>
      </c>
      <c r="E468">
        <v>3</v>
      </c>
      <c r="F468" s="3" t="s">
        <v>1695</v>
      </c>
      <c r="G468" s="3" t="s">
        <v>1695</v>
      </c>
      <c r="H468">
        <v>0</v>
      </c>
      <c r="I468">
        <v>0</v>
      </c>
      <c r="J468">
        <v>0</v>
      </c>
      <c r="K468" s="2" t="s">
        <v>314</v>
      </c>
      <c r="L468" s="2">
        <f t="shared" si="151"/>
        <v>3</v>
      </c>
      <c r="M468" s="2">
        <f t="shared" si="153"/>
        <v>1.5</v>
      </c>
      <c r="N468" s="2">
        <f t="shared" si="153"/>
        <v>1.2</v>
      </c>
      <c r="O468" s="2">
        <v>10</v>
      </c>
      <c r="P468" s="2">
        <f t="shared" si="167"/>
        <v>172.48</v>
      </c>
      <c r="Q468" s="2">
        <f t="shared" si="167"/>
        <v>17.25</v>
      </c>
      <c r="R468" s="2">
        <f t="shared" si="167"/>
        <v>4224</v>
      </c>
      <c r="S468" s="2">
        <f t="shared" si="167"/>
        <v>422.4</v>
      </c>
      <c r="T468" s="2">
        <f t="shared" si="167"/>
        <v>86.24</v>
      </c>
      <c r="U468" s="2">
        <f t="shared" si="167"/>
        <v>8.6199999999999992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17">
        <v>532003</v>
      </c>
      <c r="AB468" s="14" t="s">
        <v>756</v>
      </c>
      <c r="AC468" s="15" t="s">
        <v>890</v>
      </c>
      <c r="AD468" s="2">
        <v>5123200</v>
      </c>
      <c r="AE468" s="2">
        <v>0</v>
      </c>
      <c r="AF468" s="2">
        <v>1</v>
      </c>
      <c r="AG468" s="2">
        <f t="shared" si="157"/>
        <v>5063200</v>
      </c>
      <c r="AH468" s="2">
        <v>2</v>
      </c>
      <c r="AJ468">
        <v>1</v>
      </c>
      <c r="AK468" s="1">
        <f t="shared" si="166"/>
        <v>155.68185991989839</v>
      </c>
      <c r="AL468">
        <v>11</v>
      </c>
      <c r="AM468">
        <f t="shared" si="158"/>
        <v>156.79999999999995</v>
      </c>
      <c r="AN468">
        <f t="shared" si="159"/>
        <v>15.679999999999996</v>
      </c>
      <c r="AO468">
        <f t="shared" si="160"/>
        <v>3840</v>
      </c>
      <c r="AP468">
        <f t="shared" si="161"/>
        <v>384</v>
      </c>
      <c r="AQ468">
        <f t="shared" si="162"/>
        <v>78.399999999999977</v>
      </c>
      <c r="AR468">
        <f t="shared" ref="AR468:AR539" si="168">AQ468*0.1</f>
        <v>7.8399999999999981</v>
      </c>
      <c r="AS468">
        <f t="shared" si="163"/>
        <v>1.5</v>
      </c>
      <c r="AT468">
        <f t="shared" si="164"/>
        <v>1.2</v>
      </c>
      <c r="AU468">
        <f t="shared" si="165"/>
        <v>3</v>
      </c>
      <c r="AV468">
        <f t="shared" si="154"/>
        <v>2003</v>
      </c>
      <c r="AW468" s="1">
        <v>0</v>
      </c>
      <c r="AX468">
        <v>5</v>
      </c>
      <c r="AY468">
        <v>0.1</v>
      </c>
      <c r="CE468" t="str">
        <f t="shared" si="152"/>
        <v>DATA_Class_Base28</v>
      </c>
      <c r="CF468" s="3" t="s">
        <v>374</v>
      </c>
    </row>
    <row r="469" spans="1:84">
      <c r="A469">
        <f t="shared" si="150"/>
        <v>5113201</v>
      </c>
      <c r="B469" s="31" t="s">
        <v>377</v>
      </c>
      <c r="C469">
        <v>11</v>
      </c>
      <c r="D469">
        <v>2</v>
      </c>
      <c r="E469">
        <v>3</v>
      </c>
      <c r="F469" s="3" t="s">
        <v>1696</v>
      </c>
      <c r="G469" s="3" t="s">
        <v>1696</v>
      </c>
      <c r="H469">
        <v>0</v>
      </c>
      <c r="I469">
        <v>0</v>
      </c>
      <c r="J469" s="2">
        <v>0</v>
      </c>
      <c r="K469" s="8" t="s">
        <v>298</v>
      </c>
      <c r="L469" s="2">
        <f t="shared" si="151"/>
        <v>3</v>
      </c>
      <c r="M469" s="2">
        <f t="shared" si="153"/>
        <v>1.8</v>
      </c>
      <c r="N469" s="2">
        <f t="shared" si="153"/>
        <v>1.8</v>
      </c>
      <c r="O469" s="2">
        <v>10</v>
      </c>
      <c r="P469" s="2">
        <f t="shared" si="167"/>
        <v>177.41</v>
      </c>
      <c r="Q469" s="2">
        <f t="shared" si="167"/>
        <v>17.739999999999998</v>
      </c>
      <c r="R469" s="2">
        <f t="shared" si="167"/>
        <v>4928</v>
      </c>
      <c r="S469" s="2">
        <f t="shared" si="167"/>
        <v>492.8</v>
      </c>
      <c r="T469" s="2">
        <f t="shared" si="167"/>
        <v>98.56</v>
      </c>
      <c r="U469" s="2">
        <f t="shared" si="167"/>
        <v>9.86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17">
        <v>532013</v>
      </c>
      <c r="AB469" s="14" t="s">
        <v>757</v>
      </c>
      <c r="AC469" s="15" t="s">
        <v>890</v>
      </c>
      <c r="AD469" s="2">
        <v>5123201</v>
      </c>
      <c r="AE469" s="2">
        <v>0</v>
      </c>
      <c r="AF469" s="2">
        <v>1</v>
      </c>
      <c r="AG469" s="2">
        <f t="shared" si="157"/>
        <v>5063201</v>
      </c>
      <c r="AH469" s="2">
        <v>2</v>
      </c>
      <c r="AJ469">
        <v>1</v>
      </c>
      <c r="AK469" s="1">
        <f t="shared" si="166"/>
        <v>156.07317359796306</v>
      </c>
      <c r="AL469">
        <v>11</v>
      </c>
      <c r="AM469">
        <f t="shared" si="158"/>
        <v>161.28</v>
      </c>
      <c r="AN469">
        <f t="shared" si="159"/>
        <v>16.128</v>
      </c>
      <c r="AO469">
        <f t="shared" si="160"/>
        <v>4480</v>
      </c>
      <c r="AP469">
        <f t="shared" si="161"/>
        <v>448</v>
      </c>
      <c r="AQ469">
        <f t="shared" si="162"/>
        <v>89.6</v>
      </c>
      <c r="AR469">
        <f t="shared" si="168"/>
        <v>8.9599999999999991</v>
      </c>
      <c r="AS469">
        <f t="shared" si="163"/>
        <v>1.8</v>
      </c>
      <c r="AT469">
        <f t="shared" si="164"/>
        <v>1.8</v>
      </c>
      <c r="AU469">
        <f t="shared" si="165"/>
        <v>3</v>
      </c>
      <c r="AV469">
        <f t="shared" si="154"/>
        <v>2013</v>
      </c>
      <c r="AW469" s="1">
        <v>1</v>
      </c>
      <c r="AX469">
        <v>5</v>
      </c>
      <c r="AY469">
        <v>0.1</v>
      </c>
      <c r="CE469" t="str">
        <f t="shared" si="152"/>
        <v>DATA_Class_Base29</v>
      </c>
      <c r="CF469" s="3" t="s">
        <v>378</v>
      </c>
    </row>
    <row r="470" spans="1:84">
      <c r="A470">
        <f t="shared" si="150"/>
        <v>5113202</v>
      </c>
      <c r="B470" s="31" t="s">
        <v>380</v>
      </c>
      <c r="C470">
        <v>11</v>
      </c>
      <c r="D470">
        <v>2</v>
      </c>
      <c r="E470">
        <v>3</v>
      </c>
      <c r="F470" s="3" t="s">
        <v>1697</v>
      </c>
      <c r="G470" s="3" t="s">
        <v>1697</v>
      </c>
      <c r="H470">
        <v>0</v>
      </c>
      <c r="I470">
        <v>0</v>
      </c>
      <c r="J470">
        <v>0</v>
      </c>
      <c r="K470" s="2" t="s">
        <v>280</v>
      </c>
      <c r="L470" s="2">
        <f t="shared" si="151"/>
        <v>3</v>
      </c>
      <c r="M470" s="2">
        <f t="shared" si="153"/>
        <v>1.8</v>
      </c>
      <c r="N470" s="2">
        <f t="shared" si="153"/>
        <v>2</v>
      </c>
      <c r="O470" s="2">
        <v>10</v>
      </c>
      <c r="P470" s="2">
        <f t="shared" si="167"/>
        <v>266.11</v>
      </c>
      <c r="Q470" s="2">
        <f t="shared" si="167"/>
        <v>26.61</v>
      </c>
      <c r="R470" s="2">
        <f t="shared" si="167"/>
        <v>3285.33</v>
      </c>
      <c r="S470" s="2">
        <f t="shared" si="167"/>
        <v>328.53</v>
      </c>
      <c r="T470" s="2">
        <f t="shared" si="167"/>
        <v>88.7</v>
      </c>
      <c r="U470" s="2">
        <f t="shared" si="167"/>
        <v>8.8699999999999992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17">
        <v>532023</v>
      </c>
      <c r="AB470" s="14" t="s">
        <v>758</v>
      </c>
      <c r="AC470" s="15" t="s">
        <v>890</v>
      </c>
      <c r="AD470" s="2">
        <v>5123202</v>
      </c>
      <c r="AE470" s="2">
        <v>0</v>
      </c>
      <c r="AF470" s="2">
        <v>1</v>
      </c>
      <c r="AG470" s="2">
        <f t="shared" si="157"/>
        <v>5063202</v>
      </c>
      <c r="AH470" s="2">
        <v>2</v>
      </c>
      <c r="AJ470">
        <v>1</v>
      </c>
      <c r="AK470" s="1">
        <f t="shared" si="166"/>
        <v>155.75996559767523</v>
      </c>
      <c r="AL470">
        <v>11</v>
      </c>
      <c r="AM470">
        <f t="shared" si="158"/>
        <v>241.92</v>
      </c>
      <c r="AN470">
        <f t="shared" si="159"/>
        <v>24.192</v>
      </c>
      <c r="AO470">
        <f t="shared" si="160"/>
        <v>2986.6666666666665</v>
      </c>
      <c r="AP470">
        <f t="shared" si="161"/>
        <v>298.66666666666669</v>
      </c>
      <c r="AQ470">
        <f t="shared" si="162"/>
        <v>80.64</v>
      </c>
      <c r="AR470">
        <f t="shared" si="168"/>
        <v>8.0640000000000001</v>
      </c>
      <c r="AS470">
        <f t="shared" si="163"/>
        <v>1.8</v>
      </c>
      <c r="AT470">
        <f t="shared" si="164"/>
        <v>2</v>
      </c>
      <c r="AU470">
        <f t="shared" si="165"/>
        <v>3</v>
      </c>
      <c r="AV470">
        <f t="shared" si="154"/>
        <v>2023</v>
      </c>
      <c r="AW470" s="1">
        <v>2</v>
      </c>
      <c r="AX470">
        <v>5</v>
      </c>
      <c r="AY470">
        <v>0.1</v>
      </c>
      <c r="CE470" t="str">
        <f t="shared" si="152"/>
        <v>DATA_Class_Base30</v>
      </c>
      <c r="CF470" s="3" t="s">
        <v>381</v>
      </c>
    </row>
    <row r="471" spans="1:84">
      <c r="A471">
        <f t="shared" si="150"/>
        <v>5113301</v>
      </c>
      <c r="B471" s="31" t="s">
        <v>383</v>
      </c>
      <c r="C471">
        <v>11</v>
      </c>
      <c r="D471">
        <v>3</v>
      </c>
      <c r="E471">
        <v>3</v>
      </c>
      <c r="F471" s="3" t="s">
        <v>1698</v>
      </c>
      <c r="G471" s="3" t="s">
        <v>1698</v>
      </c>
      <c r="H471">
        <v>0</v>
      </c>
      <c r="I471">
        <v>0</v>
      </c>
      <c r="J471" s="2">
        <v>0</v>
      </c>
      <c r="K471" s="2" t="s">
        <v>285</v>
      </c>
      <c r="L471" s="2">
        <f t="shared" si="151"/>
        <v>3</v>
      </c>
      <c r="M471" s="2">
        <f t="shared" si="153"/>
        <v>1.2</v>
      </c>
      <c r="N471" s="2">
        <f t="shared" si="153"/>
        <v>1.4000000000000001</v>
      </c>
      <c r="O471" s="2">
        <v>10</v>
      </c>
      <c r="P471" s="2">
        <f t="shared" si="167"/>
        <v>236.54</v>
      </c>
      <c r="Q471" s="2">
        <f t="shared" si="167"/>
        <v>23.65</v>
      </c>
      <c r="R471" s="2">
        <f t="shared" si="167"/>
        <v>2464</v>
      </c>
      <c r="S471" s="2">
        <f t="shared" si="167"/>
        <v>246.4</v>
      </c>
      <c r="T471" s="2">
        <f t="shared" si="167"/>
        <v>47.31</v>
      </c>
      <c r="U471" s="2">
        <f t="shared" si="167"/>
        <v>4.7300000000000004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17">
        <v>533013</v>
      </c>
      <c r="AB471" s="14" t="s">
        <v>759</v>
      </c>
      <c r="AC471" s="15" t="s">
        <v>890</v>
      </c>
      <c r="AD471" s="2">
        <v>5123301</v>
      </c>
      <c r="AE471" s="2">
        <v>0</v>
      </c>
      <c r="AF471" s="2">
        <v>1</v>
      </c>
      <c r="AG471" s="2">
        <f t="shared" si="157"/>
        <v>5063301</v>
      </c>
      <c r="AH471" s="2">
        <v>2</v>
      </c>
      <c r="AJ471">
        <v>1</v>
      </c>
      <c r="AK471" s="1">
        <f t="shared" si="166"/>
        <v>154.45810471688603</v>
      </c>
      <c r="AL471">
        <v>11</v>
      </c>
      <c r="AM471">
        <f t="shared" si="158"/>
        <v>215.04</v>
      </c>
      <c r="AN471">
        <f t="shared" si="159"/>
        <v>21.504000000000001</v>
      </c>
      <c r="AO471">
        <f t="shared" si="160"/>
        <v>2240</v>
      </c>
      <c r="AP471">
        <f t="shared" si="161"/>
        <v>224</v>
      </c>
      <c r="AQ471">
        <f t="shared" si="162"/>
        <v>43.007999999999996</v>
      </c>
      <c r="AR471">
        <f t="shared" si="168"/>
        <v>4.3007999999999997</v>
      </c>
      <c r="AS471">
        <f t="shared" si="163"/>
        <v>1.2</v>
      </c>
      <c r="AT471">
        <f t="shared" si="164"/>
        <v>1.4</v>
      </c>
      <c r="AU471">
        <f t="shared" si="165"/>
        <v>3</v>
      </c>
      <c r="AV471">
        <f t="shared" si="154"/>
        <v>3013</v>
      </c>
      <c r="AW471" s="1">
        <v>1</v>
      </c>
      <c r="AX471">
        <v>5</v>
      </c>
      <c r="AY471">
        <v>0.1</v>
      </c>
      <c r="CE471" t="str">
        <f t="shared" si="152"/>
        <v>DATA_Class_Base31</v>
      </c>
      <c r="CF471" s="3" t="s">
        <v>384</v>
      </c>
    </row>
    <row r="472" spans="1:84">
      <c r="A472">
        <f t="shared" si="150"/>
        <v>5113401</v>
      </c>
      <c r="B472" s="31" t="s">
        <v>387</v>
      </c>
      <c r="C472">
        <v>11</v>
      </c>
      <c r="D472">
        <v>4</v>
      </c>
      <c r="E472">
        <v>3</v>
      </c>
      <c r="F472" s="3" t="s">
        <v>1699</v>
      </c>
      <c r="G472" s="3" t="s">
        <v>1699</v>
      </c>
      <c r="H472">
        <v>0</v>
      </c>
      <c r="I472">
        <v>0</v>
      </c>
      <c r="J472">
        <v>0</v>
      </c>
      <c r="K472" s="2" t="s">
        <v>161</v>
      </c>
      <c r="L472" s="2">
        <f t="shared" si="151"/>
        <v>6</v>
      </c>
      <c r="M472" s="2">
        <f t="shared" si="153"/>
        <v>1.6</v>
      </c>
      <c r="N472" s="2">
        <f t="shared" si="153"/>
        <v>1.5</v>
      </c>
      <c r="O472" s="2">
        <v>10</v>
      </c>
      <c r="P472" s="2">
        <f t="shared" si="167"/>
        <v>315.39</v>
      </c>
      <c r="Q472" s="2">
        <f t="shared" si="167"/>
        <v>31.54</v>
      </c>
      <c r="R472" s="2">
        <f t="shared" si="167"/>
        <v>2464</v>
      </c>
      <c r="S472" s="2">
        <f t="shared" si="167"/>
        <v>246.4</v>
      </c>
      <c r="T472" s="2">
        <f t="shared" si="167"/>
        <v>52.57</v>
      </c>
      <c r="U472" s="2">
        <f t="shared" si="167"/>
        <v>5.26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17">
        <v>534013</v>
      </c>
      <c r="AB472" s="14" t="s">
        <v>760</v>
      </c>
      <c r="AC472" s="15" t="s">
        <v>890</v>
      </c>
      <c r="AD472" s="2">
        <v>5123401</v>
      </c>
      <c r="AE472" s="2">
        <v>0</v>
      </c>
      <c r="AF472" s="2">
        <v>1</v>
      </c>
      <c r="AG472" s="2">
        <f t="shared" si="157"/>
        <v>5063401</v>
      </c>
      <c r="AH472" s="2">
        <v>2</v>
      </c>
      <c r="AJ472">
        <v>1</v>
      </c>
      <c r="AK472" s="1">
        <f t="shared" si="166"/>
        <v>154.62221283164658</v>
      </c>
      <c r="AL472">
        <v>11</v>
      </c>
      <c r="AM472">
        <f t="shared" si="158"/>
        <v>286.71999999999997</v>
      </c>
      <c r="AN472">
        <f t="shared" si="159"/>
        <v>28.671999999999997</v>
      </c>
      <c r="AO472">
        <f t="shared" si="160"/>
        <v>2240</v>
      </c>
      <c r="AP472">
        <f t="shared" si="161"/>
        <v>224</v>
      </c>
      <c r="AQ472">
        <f t="shared" si="162"/>
        <v>47.786666666666662</v>
      </c>
      <c r="AR472">
        <f t="shared" si="168"/>
        <v>4.7786666666666662</v>
      </c>
      <c r="AS472">
        <f t="shared" si="163"/>
        <v>1.6</v>
      </c>
      <c r="AT472">
        <f t="shared" si="164"/>
        <v>1.5</v>
      </c>
      <c r="AU472">
        <f t="shared" si="165"/>
        <v>6</v>
      </c>
      <c r="AV472">
        <f t="shared" si="154"/>
        <v>4013</v>
      </c>
      <c r="AW472" s="1">
        <v>1</v>
      </c>
      <c r="AX472">
        <v>5</v>
      </c>
      <c r="AY472">
        <v>0.1</v>
      </c>
      <c r="CE472" t="str">
        <f t="shared" si="152"/>
        <v>DATA_Class_Base32</v>
      </c>
      <c r="CF472" s="3" t="s">
        <v>388</v>
      </c>
    </row>
    <row r="473" spans="1:84">
      <c r="A473">
        <f t="shared" si="150"/>
        <v>5113402</v>
      </c>
      <c r="B473" s="31" t="s">
        <v>390</v>
      </c>
      <c r="C473">
        <v>11</v>
      </c>
      <c r="D473">
        <v>4</v>
      </c>
      <c r="E473">
        <v>3</v>
      </c>
      <c r="F473" s="3" t="s">
        <v>1700</v>
      </c>
      <c r="G473" s="3" t="s">
        <v>1700</v>
      </c>
      <c r="H473">
        <v>0</v>
      </c>
      <c r="I473">
        <v>0</v>
      </c>
      <c r="J473" s="2">
        <v>0</v>
      </c>
      <c r="K473" s="2" t="s">
        <v>250</v>
      </c>
      <c r="L473" s="2">
        <f t="shared" si="151"/>
        <v>6</v>
      </c>
      <c r="M473" s="2">
        <f t="shared" si="153"/>
        <v>1.5</v>
      </c>
      <c r="N473" s="2">
        <f t="shared" si="153"/>
        <v>1.5</v>
      </c>
      <c r="O473" s="2">
        <v>10</v>
      </c>
      <c r="P473" s="2">
        <f t="shared" si="167"/>
        <v>320.32</v>
      </c>
      <c r="Q473" s="2">
        <f t="shared" si="167"/>
        <v>32.03</v>
      </c>
      <c r="R473" s="2">
        <f t="shared" si="167"/>
        <v>2274.46</v>
      </c>
      <c r="S473" s="2">
        <f t="shared" si="167"/>
        <v>227.45</v>
      </c>
      <c r="T473" s="2">
        <f t="shared" si="167"/>
        <v>45.76</v>
      </c>
      <c r="U473" s="2">
        <f t="shared" si="167"/>
        <v>4.58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17">
        <v>534023</v>
      </c>
      <c r="AB473" s="14" t="s">
        <v>761</v>
      </c>
      <c r="AC473" s="15" t="s">
        <v>890</v>
      </c>
      <c r="AD473" s="2">
        <v>5123402</v>
      </c>
      <c r="AE473" s="2">
        <v>0</v>
      </c>
      <c r="AF473" s="2">
        <v>1</v>
      </c>
      <c r="AG473" s="2">
        <f t="shared" si="157"/>
        <v>5063402</v>
      </c>
      <c r="AH473" s="2">
        <v>2</v>
      </c>
      <c r="AJ473">
        <v>1</v>
      </c>
      <c r="AK473" s="1">
        <f t="shared" si="166"/>
        <v>154.40981785299056</v>
      </c>
      <c r="AL473">
        <v>11</v>
      </c>
      <c r="AM473">
        <f t="shared" si="158"/>
        <v>291.2</v>
      </c>
      <c r="AN473">
        <f t="shared" si="159"/>
        <v>29.12</v>
      </c>
      <c r="AO473">
        <f t="shared" si="160"/>
        <v>2067.6923076923072</v>
      </c>
      <c r="AP473">
        <f t="shared" si="161"/>
        <v>206.76923076923072</v>
      </c>
      <c r="AQ473">
        <f t="shared" si="162"/>
        <v>41.6</v>
      </c>
      <c r="AR473">
        <f t="shared" si="168"/>
        <v>4.16</v>
      </c>
      <c r="AS473">
        <f t="shared" si="163"/>
        <v>1.5</v>
      </c>
      <c r="AT473">
        <f t="shared" si="164"/>
        <v>1.5</v>
      </c>
      <c r="AU473">
        <f t="shared" si="165"/>
        <v>6</v>
      </c>
      <c r="AV473">
        <f t="shared" si="154"/>
        <v>4023</v>
      </c>
      <c r="AW473" s="1">
        <v>2</v>
      </c>
      <c r="AX473">
        <v>5</v>
      </c>
      <c r="AY473">
        <v>0.1</v>
      </c>
      <c r="CE473" t="str">
        <f t="shared" si="152"/>
        <v>DATA_Class_Base33</v>
      </c>
      <c r="CF473" s="3" t="s">
        <v>391</v>
      </c>
    </row>
    <row r="474" spans="1:84">
      <c r="A474">
        <f t="shared" si="150"/>
        <v>5113500</v>
      </c>
      <c r="B474" s="31" t="s">
        <v>394</v>
      </c>
      <c r="C474">
        <v>11</v>
      </c>
      <c r="D474">
        <v>5</v>
      </c>
      <c r="E474">
        <v>3</v>
      </c>
      <c r="F474" s="3" t="s">
        <v>1701</v>
      </c>
      <c r="G474" s="3" t="s">
        <v>1701</v>
      </c>
      <c r="H474">
        <v>0</v>
      </c>
      <c r="I474">
        <v>0</v>
      </c>
      <c r="J474" s="2">
        <v>0</v>
      </c>
      <c r="K474" s="2" t="s">
        <v>303</v>
      </c>
      <c r="L474" s="2">
        <f t="shared" si="151"/>
        <v>6</v>
      </c>
      <c r="M474" s="2">
        <f t="shared" si="153"/>
        <v>1.5</v>
      </c>
      <c r="N474" s="2">
        <f t="shared" si="153"/>
        <v>2</v>
      </c>
      <c r="O474" s="2">
        <v>10</v>
      </c>
      <c r="P474" s="2">
        <f t="shared" si="167"/>
        <v>320.32</v>
      </c>
      <c r="Q474" s="2">
        <f t="shared" si="167"/>
        <v>32.03</v>
      </c>
      <c r="R474" s="2">
        <f t="shared" si="167"/>
        <v>2274.46</v>
      </c>
      <c r="S474" s="2">
        <f t="shared" si="167"/>
        <v>227.45</v>
      </c>
      <c r="T474" s="2">
        <f t="shared" si="167"/>
        <v>53.39</v>
      </c>
      <c r="U474" s="2">
        <f t="shared" si="167"/>
        <v>5.34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17">
        <v>535003</v>
      </c>
      <c r="AB474" s="14" t="s">
        <v>762</v>
      </c>
      <c r="AC474" s="15" t="s">
        <v>890</v>
      </c>
      <c r="AD474" s="2">
        <v>5123500</v>
      </c>
      <c r="AE474" s="2">
        <v>0</v>
      </c>
      <c r="AF474" s="2">
        <v>1</v>
      </c>
      <c r="AG474" s="2">
        <f t="shared" si="157"/>
        <v>5063500</v>
      </c>
      <c r="AH474" s="2">
        <v>2</v>
      </c>
      <c r="AJ474">
        <v>1</v>
      </c>
      <c r="AK474" s="1">
        <f t="shared" si="166"/>
        <v>154.6478862305793</v>
      </c>
      <c r="AL474">
        <v>11</v>
      </c>
      <c r="AM474">
        <f t="shared" si="158"/>
        <v>291.2</v>
      </c>
      <c r="AN474">
        <f t="shared" si="159"/>
        <v>29.12</v>
      </c>
      <c r="AO474">
        <f t="shared" si="160"/>
        <v>2067.6923076923072</v>
      </c>
      <c r="AP474">
        <f t="shared" si="161"/>
        <v>206.76923076923072</v>
      </c>
      <c r="AQ474">
        <f t="shared" si="162"/>
        <v>48.533333333333331</v>
      </c>
      <c r="AR474">
        <f t="shared" si="168"/>
        <v>4.8533333333333335</v>
      </c>
      <c r="AS474">
        <f t="shared" si="163"/>
        <v>1.5</v>
      </c>
      <c r="AT474">
        <f t="shared" si="164"/>
        <v>2</v>
      </c>
      <c r="AU474">
        <f t="shared" si="165"/>
        <v>6</v>
      </c>
      <c r="AV474">
        <f t="shared" si="154"/>
        <v>5003</v>
      </c>
      <c r="AW474" s="1">
        <v>0</v>
      </c>
      <c r="AX474">
        <v>5</v>
      </c>
      <c r="AY474">
        <v>0.1</v>
      </c>
      <c r="CE474" t="str">
        <f t="shared" si="152"/>
        <v>DATA_Class_Base34</v>
      </c>
      <c r="CF474" s="3" t="s">
        <v>184</v>
      </c>
    </row>
    <row r="475" spans="1:84">
      <c r="A475">
        <f t="shared" si="150"/>
        <v>5113502</v>
      </c>
      <c r="B475" s="31" t="s">
        <v>396</v>
      </c>
      <c r="C475">
        <v>11</v>
      </c>
      <c r="D475">
        <v>5</v>
      </c>
      <c r="E475">
        <v>3</v>
      </c>
      <c r="F475" s="3" t="s">
        <v>1702</v>
      </c>
      <c r="G475" s="3" t="s">
        <v>1702</v>
      </c>
      <c r="H475">
        <v>0</v>
      </c>
      <c r="I475">
        <v>0</v>
      </c>
      <c r="J475" s="2">
        <v>0</v>
      </c>
      <c r="K475" s="2" t="s">
        <v>291</v>
      </c>
      <c r="L475" s="2">
        <f t="shared" si="151"/>
        <v>6</v>
      </c>
      <c r="M475" s="2">
        <f t="shared" si="153"/>
        <v>1.4000000000000001</v>
      </c>
      <c r="N475" s="2">
        <f t="shared" si="153"/>
        <v>2</v>
      </c>
      <c r="O475" s="2">
        <v>10</v>
      </c>
      <c r="P475" s="2">
        <f t="shared" si="167"/>
        <v>310.45999999999998</v>
      </c>
      <c r="Q475" s="2">
        <f t="shared" si="167"/>
        <v>31.05</v>
      </c>
      <c r="R475" s="2">
        <f t="shared" si="167"/>
        <v>2190.2199999999998</v>
      </c>
      <c r="S475" s="2">
        <f t="shared" si="167"/>
        <v>219.02</v>
      </c>
      <c r="T475" s="2">
        <f t="shared" si="167"/>
        <v>44.35</v>
      </c>
      <c r="U475" s="2">
        <f t="shared" si="167"/>
        <v>4.4400000000000004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17">
        <v>535023</v>
      </c>
      <c r="AB475" s="14" t="s">
        <v>763</v>
      </c>
      <c r="AC475" s="15" t="s">
        <v>890</v>
      </c>
      <c r="AD475" s="2">
        <v>5123502</v>
      </c>
      <c r="AE475" s="2">
        <v>0</v>
      </c>
      <c r="AF475" s="2">
        <v>1</v>
      </c>
      <c r="AG475" s="2">
        <f t="shared" si="157"/>
        <v>5063502</v>
      </c>
      <c r="AH475" s="2">
        <v>2</v>
      </c>
      <c r="AJ475">
        <v>1</v>
      </c>
      <c r="AK475" s="1">
        <f t="shared" si="166"/>
        <v>154.36594689534039</v>
      </c>
      <c r="AL475">
        <v>11</v>
      </c>
      <c r="AM475">
        <f t="shared" si="158"/>
        <v>282.23999999999995</v>
      </c>
      <c r="AN475">
        <f t="shared" si="159"/>
        <v>28.223999999999997</v>
      </c>
      <c r="AO475">
        <f t="shared" si="160"/>
        <v>1991.1111111111109</v>
      </c>
      <c r="AP475">
        <f t="shared" si="161"/>
        <v>199.11111111111109</v>
      </c>
      <c r="AQ475">
        <f t="shared" si="162"/>
        <v>40.319999999999993</v>
      </c>
      <c r="AR475">
        <f t="shared" si="168"/>
        <v>4.0319999999999991</v>
      </c>
      <c r="AS475">
        <f t="shared" si="163"/>
        <v>1.4</v>
      </c>
      <c r="AT475">
        <f t="shared" si="164"/>
        <v>2</v>
      </c>
      <c r="AU475">
        <f t="shared" si="165"/>
        <v>6</v>
      </c>
      <c r="AV475">
        <f t="shared" si="154"/>
        <v>5023</v>
      </c>
      <c r="AW475" s="1">
        <v>2</v>
      </c>
      <c r="AX475">
        <v>5</v>
      </c>
      <c r="AY475">
        <v>0.1</v>
      </c>
      <c r="CE475" t="str">
        <f t="shared" si="152"/>
        <v>DATA_Class_Base35</v>
      </c>
      <c r="CF475" s="3" t="s">
        <v>195</v>
      </c>
    </row>
    <row r="476" spans="1:84">
      <c r="A476">
        <f t="shared" si="150"/>
        <v>5113601</v>
      </c>
      <c r="B476" s="31" t="s">
        <v>398</v>
      </c>
      <c r="C476">
        <v>11</v>
      </c>
      <c r="D476">
        <v>6</v>
      </c>
      <c r="E476">
        <v>3</v>
      </c>
      <c r="F476" s="3" t="s">
        <v>1703</v>
      </c>
      <c r="G476" s="3" t="s">
        <v>1703</v>
      </c>
      <c r="H476">
        <v>0</v>
      </c>
      <c r="I476">
        <v>0</v>
      </c>
      <c r="J476">
        <v>0</v>
      </c>
      <c r="K476" s="2" t="s">
        <v>309</v>
      </c>
      <c r="L476" s="2">
        <f t="shared" si="151"/>
        <v>6</v>
      </c>
      <c r="M476" s="2">
        <f t="shared" si="153"/>
        <v>1.5</v>
      </c>
      <c r="N476" s="2">
        <f t="shared" si="153"/>
        <v>2</v>
      </c>
      <c r="O476" s="2">
        <v>10</v>
      </c>
      <c r="P476" s="2">
        <f t="shared" si="167"/>
        <v>221.76</v>
      </c>
      <c r="Q476" s="2">
        <f t="shared" si="167"/>
        <v>22.18</v>
      </c>
      <c r="R476" s="2">
        <f t="shared" si="167"/>
        <v>3285.33</v>
      </c>
      <c r="S476" s="2">
        <f t="shared" si="167"/>
        <v>328.53</v>
      </c>
      <c r="T476" s="2">
        <f t="shared" si="167"/>
        <v>73.92</v>
      </c>
      <c r="U476" s="2">
        <f t="shared" si="167"/>
        <v>7.39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17">
        <v>536013</v>
      </c>
      <c r="AB476" s="14" t="s">
        <v>764</v>
      </c>
      <c r="AC476" s="15" t="s">
        <v>890</v>
      </c>
      <c r="AD476" s="2">
        <v>5123601</v>
      </c>
      <c r="AE476" s="2">
        <v>0</v>
      </c>
      <c r="AF476" s="2">
        <v>1</v>
      </c>
      <c r="AG476" s="2">
        <f t="shared" si="157"/>
        <v>5063601</v>
      </c>
      <c r="AH476" s="2">
        <v>2</v>
      </c>
      <c r="AJ476">
        <v>1</v>
      </c>
      <c r="AK476" s="1">
        <f t="shared" si="166"/>
        <v>155.29250357282058</v>
      </c>
      <c r="AL476">
        <v>11</v>
      </c>
      <c r="AM476">
        <f t="shared" si="158"/>
        <v>201.6</v>
      </c>
      <c r="AN476">
        <f t="shared" si="159"/>
        <v>20.16</v>
      </c>
      <c r="AO476">
        <f t="shared" si="160"/>
        <v>2986.6666666666665</v>
      </c>
      <c r="AP476">
        <f t="shared" si="161"/>
        <v>298.66666666666669</v>
      </c>
      <c r="AQ476">
        <f t="shared" si="162"/>
        <v>67.2</v>
      </c>
      <c r="AR476">
        <f t="shared" si="168"/>
        <v>6.7200000000000006</v>
      </c>
      <c r="AS476">
        <f t="shared" si="163"/>
        <v>1.5</v>
      </c>
      <c r="AT476">
        <f t="shared" si="164"/>
        <v>2</v>
      </c>
      <c r="AU476">
        <f t="shared" si="165"/>
        <v>6</v>
      </c>
      <c r="AV476">
        <f t="shared" si="154"/>
        <v>6013</v>
      </c>
      <c r="AW476" s="1">
        <v>1</v>
      </c>
      <c r="AX476">
        <v>5</v>
      </c>
      <c r="AY476">
        <v>0.1</v>
      </c>
      <c r="CE476" t="str">
        <f t="shared" si="152"/>
        <v>DATA_Class_Base36</v>
      </c>
      <c r="CF476" s="3" t="s">
        <v>201</v>
      </c>
    </row>
    <row r="477" spans="1:84">
      <c r="A477">
        <f t="shared" si="150"/>
        <v>5114201</v>
      </c>
      <c r="B477" t="s">
        <v>377</v>
      </c>
      <c r="C477">
        <v>11</v>
      </c>
      <c r="D477">
        <v>2</v>
      </c>
      <c r="E477">
        <v>4</v>
      </c>
      <c r="F477" s="3" t="s">
        <v>1704</v>
      </c>
      <c r="G477" s="3" t="s">
        <v>1704</v>
      </c>
      <c r="H477">
        <v>0</v>
      </c>
      <c r="I477">
        <v>0</v>
      </c>
      <c r="J477" s="30">
        <v>0</v>
      </c>
      <c r="K477" s="8" t="s">
        <v>298</v>
      </c>
      <c r="L477" s="2">
        <f t="shared" si="151"/>
        <v>3</v>
      </c>
      <c r="M477" s="2">
        <f t="shared" si="153"/>
        <v>1.8</v>
      </c>
      <c r="N477" s="2">
        <f t="shared" si="153"/>
        <v>1.8</v>
      </c>
      <c r="O477" s="2">
        <v>10</v>
      </c>
      <c r="P477" s="2">
        <f t="shared" si="167"/>
        <v>236.54</v>
      </c>
      <c r="Q477" s="2">
        <f t="shared" si="167"/>
        <v>23.65</v>
      </c>
      <c r="R477" s="2">
        <f t="shared" si="167"/>
        <v>3696</v>
      </c>
      <c r="S477" s="2">
        <f t="shared" si="167"/>
        <v>369.6</v>
      </c>
      <c r="T477" s="2">
        <f t="shared" si="167"/>
        <v>90.98</v>
      </c>
      <c r="U477" s="2">
        <f t="shared" si="167"/>
        <v>9.1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17">
        <v>542013</v>
      </c>
      <c r="AB477" s="15" t="s">
        <v>765</v>
      </c>
      <c r="AC477" s="15" t="s">
        <v>890</v>
      </c>
      <c r="AD477" s="2">
        <v>5124201</v>
      </c>
      <c r="AE477" s="2">
        <v>0</v>
      </c>
      <c r="AF477" s="2">
        <v>1</v>
      </c>
      <c r="AG477" s="2">
        <f t="shared" si="157"/>
        <v>5064201</v>
      </c>
      <c r="AH477" s="2">
        <v>2</v>
      </c>
      <c r="AI477" s="2"/>
      <c r="AJ477">
        <v>1</v>
      </c>
      <c r="AK477" s="1">
        <f t="shared" si="166"/>
        <v>155.83213273896979</v>
      </c>
      <c r="AL477">
        <v>11</v>
      </c>
      <c r="AM477">
        <f t="shared" si="158"/>
        <v>215.04000000000002</v>
      </c>
      <c r="AN477">
        <f t="shared" si="159"/>
        <v>21.504000000000005</v>
      </c>
      <c r="AO477">
        <f t="shared" si="160"/>
        <v>3360</v>
      </c>
      <c r="AP477">
        <f t="shared" si="161"/>
        <v>336</v>
      </c>
      <c r="AQ477">
        <f t="shared" si="162"/>
        <v>82.707692307692312</v>
      </c>
      <c r="AR477">
        <f t="shared" si="168"/>
        <v>8.2707692307692309</v>
      </c>
      <c r="AS477">
        <f t="shared" si="163"/>
        <v>1.8</v>
      </c>
      <c r="AT477">
        <f t="shared" si="164"/>
        <v>1.8</v>
      </c>
      <c r="AU477">
        <f t="shared" si="165"/>
        <v>3</v>
      </c>
      <c r="AV477">
        <f t="shared" si="154"/>
        <v>2014</v>
      </c>
      <c r="AW477" s="1">
        <v>1</v>
      </c>
      <c r="AX477">
        <v>5</v>
      </c>
      <c r="AY477">
        <v>0.1</v>
      </c>
      <c r="BY477" s="13"/>
      <c r="BZ477" s="13"/>
      <c r="CA477" s="13"/>
      <c r="CE477" t="str">
        <f t="shared" si="152"/>
        <v>DATA_Class_Base29</v>
      </c>
      <c r="CF477" s="3" t="s">
        <v>378</v>
      </c>
    </row>
    <row r="478" spans="1:84">
      <c r="A478">
        <f t="shared" si="150"/>
        <v>5114302</v>
      </c>
      <c r="B478" t="s">
        <v>412</v>
      </c>
      <c r="C478">
        <v>11</v>
      </c>
      <c r="D478">
        <v>3</v>
      </c>
      <c r="E478">
        <v>4</v>
      </c>
      <c r="F478" s="3" t="s">
        <v>1705</v>
      </c>
      <c r="G478" s="3" t="s">
        <v>1705</v>
      </c>
      <c r="H478">
        <v>0</v>
      </c>
      <c r="I478">
        <v>0</v>
      </c>
      <c r="J478" s="30">
        <v>0</v>
      </c>
      <c r="K478" s="2" t="s">
        <v>358</v>
      </c>
      <c r="L478" s="2">
        <f t="shared" si="151"/>
        <v>3</v>
      </c>
      <c r="M478" s="2">
        <f t="shared" si="153"/>
        <v>1.4000000000000001</v>
      </c>
      <c r="N478" s="2">
        <f t="shared" si="153"/>
        <v>2</v>
      </c>
      <c r="O478" s="2">
        <v>10</v>
      </c>
      <c r="P478" s="2">
        <f t="shared" si="167"/>
        <v>252.97</v>
      </c>
      <c r="Q478" s="2">
        <f t="shared" si="167"/>
        <v>25.3</v>
      </c>
      <c r="R478" s="2">
        <f t="shared" si="167"/>
        <v>2688</v>
      </c>
      <c r="S478" s="2">
        <f t="shared" si="167"/>
        <v>268.8</v>
      </c>
      <c r="T478" s="2">
        <f t="shared" si="167"/>
        <v>38.92</v>
      </c>
      <c r="U478" s="2">
        <f t="shared" si="167"/>
        <v>3.89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17">
        <v>543023</v>
      </c>
      <c r="AB478" s="15" t="s">
        <v>766</v>
      </c>
      <c r="AC478" s="15" t="s">
        <v>890</v>
      </c>
      <c r="AD478" s="2">
        <v>5124302</v>
      </c>
      <c r="AE478" s="2">
        <v>0</v>
      </c>
      <c r="AF478" s="2">
        <v>1</v>
      </c>
      <c r="AG478" s="2">
        <f t="shared" si="157"/>
        <v>5064302</v>
      </c>
      <c r="AH478" s="2">
        <v>2</v>
      </c>
      <c r="AI478" s="2"/>
      <c r="AJ478">
        <v>1</v>
      </c>
      <c r="AK478" s="1">
        <f t="shared" si="166"/>
        <v>154.1968834586603</v>
      </c>
      <c r="AL478">
        <v>11</v>
      </c>
      <c r="AM478">
        <f t="shared" si="158"/>
        <v>229.9733333333333</v>
      </c>
      <c r="AN478">
        <f t="shared" si="159"/>
        <v>22.99733333333333</v>
      </c>
      <c r="AO478">
        <f t="shared" si="160"/>
        <v>2443.6363636363635</v>
      </c>
      <c r="AP478">
        <f t="shared" si="161"/>
        <v>244.36363636363637</v>
      </c>
      <c r="AQ478">
        <f t="shared" si="162"/>
        <v>35.380512820512813</v>
      </c>
      <c r="AR478">
        <f t="shared" si="168"/>
        <v>3.5380512820512813</v>
      </c>
      <c r="AS478">
        <f t="shared" si="163"/>
        <v>1.4</v>
      </c>
      <c r="AT478">
        <f t="shared" si="164"/>
        <v>2</v>
      </c>
      <c r="AU478">
        <f t="shared" si="165"/>
        <v>3</v>
      </c>
      <c r="AV478">
        <f t="shared" si="154"/>
        <v>3024</v>
      </c>
      <c r="AW478" s="1">
        <v>2</v>
      </c>
      <c r="AX478">
        <v>5</v>
      </c>
      <c r="AY478">
        <v>0.1</v>
      </c>
      <c r="BY478" s="13"/>
      <c r="BZ478" s="13"/>
      <c r="CA478" s="13"/>
      <c r="CE478" t="str">
        <f t="shared" si="152"/>
        <v>DATA_Class_Base41</v>
      </c>
      <c r="CF478" s="3" t="s">
        <v>413</v>
      </c>
    </row>
    <row r="479" spans="1:84">
      <c r="A479">
        <f t="shared" si="150"/>
        <v>5114501</v>
      </c>
      <c r="B479" t="s">
        <v>401</v>
      </c>
      <c r="C479">
        <v>11</v>
      </c>
      <c r="D479">
        <v>5</v>
      </c>
      <c r="E479">
        <v>4</v>
      </c>
      <c r="F479" s="3" t="s">
        <v>1706</v>
      </c>
      <c r="G479" s="3" t="s">
        <v>1706</v>
      </c>
      <c r="H479">
        <v>0</v>
      </c>
      <c r="I479">
        <v>0</v>
      </c>
      <c r="J479">
        <v>0</v>
      </c>
      <c r="K479" s="2" t="s">
        <v>334</v>
      </c>
      <c r="L479" s="2">
        <f t="shared" si="151"/>
        <v>6</v>
      </c>
      <c r="M479" s="2">
        <f t="shared" si="153"/>
        <v>1.6</v>
      </c>
      <c r="N479" s="2">
        <f t="shared" si="153"/>
        <v>2</v>
      </c>
      <c r="O479" s="2">
        <v>10</v>
      </c>
      <c r="P479" s="2">
        <f t="shared" si="167"/>
        <v>341.67</v>
      </c>
      <c r="Q479" s="2">
        <f t="shared" si="167"/>
        <v>34.17</v>
      </c>
      <c r="R479" s="2">
        <f t="shared" si="167"/>
        <v>2274.46</v>
      </c>
      <c r="S479" s="2">
        <f t="shared" si="167"/>
        <v>227.45</v>
      </c>
      <c r="T479" s="2">
        <f t="shared" si="167"/>
        <v>37.96</v>
      </c>
      <c r="U479" s="2">
        <f t="shared" si="167"/>
        <v>3.8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17">
        <v>545013</v>
      </c>
      <c r="AB479" s="14" t="s">
        <v>767</v>
      </c>
      <c r="AC479" s="15" t="s">
        <v>890</v>
      </c>
      <c r="AD479" s="2">
        <v>5124501</v>
      </c>
      <c r="AE479" s="2">
        <v>0</v>
      </c>
      <c r="AF479" s="2">
        <v>1</v>
      </c>
      <c r="AG479" s="2">
        <f t="shared" si="157"/>
        <v>5064501</v>
      </c>
      <c r="AH479" s="2">
        <v>2</v>
      </c>
      <c r="AI479" s="2"/>
      <c r="AJ479">
        <v>1</v>
      </c>
      <c r="AK479" s="1">
        <f t="shared" si="166"/>
        <v>154.16721546567027</v>
      </c>
      <c r="AL479">
        <v>11</v>
      </c>
      <c r="AM479">
        <f t="shared" si="158"/>
        <v>310.61333333333334</v>
      </c>
      <c r="AN479">
        <f t="shared" si="159"/>
        <v>31.061333333333337</v>
      </c>
      <c r="AO479">
        <f t="shared" si="160"/>
        <v>2067.6923076923072</v>
      </c>
      <c r="AP479">
        <f t="shared" si="161"/>
        <v>206.76923076923072</v>
      </c>
      <c r="AQ479">
        <f t="shared" si="162"/>
        <v>34.512592592592597</v>
      </c>
      <c r="AR479">
        <f t="shared" si="168"/>
        <v>3.4512592592592597</v>
      </c>
      <c r="AS479">
        <f t="shared" si="163"/>
        <v>1.6</v>
      </c>
      <c r="AT479">
        <f t="shared" si="164"/>
        <v>2</v>
      </c>
      <c r="AU479">
        <f t="shared" si="165"/>
        <v>6</v>
      </c>
      <c r="AV479">
        <f t="shared" si="154"/>
        <v>5014</v>
      </c>
      <c r="AW479" s="1">
        <v>1</v>
      </c>
      <c r="AX479">
        <v>5</v>
      </c>
      <c r="AY479">
        <v>0.1</v>
      </c>
      <c r="BX479" t="str">
        <f t="shared" ref="BX479:BX481" si="169">BY479&amp;","&amp;BZ479&amp;","&amp;CA479</f>
        <v>1545011,2545011,3545011</v>
      </c>
      <c r="BY479" s="13">
        <v>1545011</v>
      </c>
      <c r="BZ479" s="13">
        <v>2545011</v>
      </c>
      <c r="CA479" s="13">
        <v>3545011</v>
      </c>
      <c r="CE479" t="str">
        <f t="shared" si="152"/>
        <v>DATA_Class_Base37</v>
      </c>
      <c r="CF479" s="3" t="s">
        <v>402</v>
      </c>
    </row>
    <row r="480" spans="1:84">
      <c r="A480">
        <f t="shared" si="150"/>
        <v>5114600</v>
      </c>
      <c r="B480" t="s">
        <v>404</v>
      </c>
      <c r="C480">
        <v>11</v>
      </c>
      <c r="D480">
        <v>6</v>
      </c>
      <c r="E480">
        <v>4</v>
      </c>
      <c r="F480" s="3" t="s">
        <v>1707</v>
      </c>
      <c r="G480" s="3" t="s">
        <v>1707</v>
      </c>
      <c r="H480">
        <v>0</v>
      </c>
      <c r="I480">
        <v>0</v>
      </c>
      <c r="J480" s="2">
        <v>0</v>
      </c>
      <c r="K480" s="2" t="s">
        <v>339</v>
      </c>
      <c r="L480" s="2">
        <f t="shared" si="151"/>
        <v>3</v>
      </c>
      <c r="M480" s="2">
        <f t="shared" si="153"/>
        <v>1.4000000000000001</v>
      </c>
      <c r="N480" s="2">
        <f t="shared" si="153"/>
        <v>1.9000000000000001</v>
      </c>
      <c r="O480" s="2">
        <v>10</v>
      </c>
      <c r="P480" s="2">
        <f t="shared" si="167"/>
        <v>252.97</v>
      </c>
      <c r="Q480" s="2">
        <f t="shared" si="167"/>
        <v>25.3</v>
      </c>
      <c r="R480" s="2">
        <f t="shared" si="167"/>
        <v>2688</v>
      </c>
      <c r="S480" s="2">
        <f t="shared" si="167"/>
        <v>268.8</v>
      </c>
      <c r="T480" s="2">
        <f t="shared" si="167"/>
        <v>63.24</v>
      </c>
      <c r="U480" s="2">
        <f t="shared" si="167"/>
        <v>6.32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17">
        <v>546003</v>
      </c>
      <c r="AB480" s="14" t="s">
        <v>768</v>
      </c>
      <c r="AC480" s="15" t="s">
        <v>890</v>
      </c>
      <c r="AD480" s="2">
        <v>5124600</v>
      </c>
      <c r="AE480" s="2">
        <v>0</v>
      </c>
      <c r="AF480" s="2">
        <v>1</v>
      </c>
      <c r="AG480" s="2">
        <f t="shared" si="157"/>
        <v>5064600</v>
      </c>
      <c r="AH480" s="2">
        <v>2</v>
      </c>
      <c r="AI480" s="2"/>
      <c r="AJ480">
        <v>1</v>
      </c>
      <c r="AK480" s="1">
        <f t="shared" si="166"/>
        <v>154.95663334204801</v>
      </c>
      <c r="AL480">
        <v>11</v>
      </c>
      <c r="AM480">
        <f t="shared" si="158"/>
        <v>229.9733333333333</v>
      </c>
      <c r="AN480">
        <f t="shared" si="159"/>
        <v>22.99733333333333</v>
      </c>
      <c r="AO480">
        <f t="shared" si="160"/>
        <v>2443.6363636363635</v>
      </c>
      <c r="AP480">
        <f t="shared" si="161"/>
        <v>244.36363636363637</v>
      </c>
      <c r="AQ480">
        <f t="shared" si="162"/>
        <v>57.493333333333325</v>
      </c>
      <c r="AR480">
        <f t="shared" si="168"/>
        <v>5.7493333333333325</v>
      </c>
      <c r="AS480">
        <f t="shared" si="163"/>
        <v>1.4</v>
      </c>
      <c r="AT480">
        <f t="shared" si="164"/>
        <v>1.9</v>
      </c>
      <c r="AU480">
        <f t="shared" si="165"/>
        <v>3</v>
      </c>
      <c r="AV480">
        <f t="shared" si="154"/>
        <v>6004</v>
      </c>
      <c r="AW480" s="1">
        <v>0</v>
      </c>
      <c r="AX480">
        <v>5</v>
      </c>
      <c r="AY480">
        <v>0.1</v>
      </c>
      <c r="BX480" t="str">
        <f t="shared" si="169"/>
        <v>1546001,2546001,3546001</v>
      </c>
      <c r="BY480" s="13">
        <v>1546001</v>
      </c>
      <c r="BZ480" s="13">
        <v>2546001</v>
      </c>
      <c r="CA480" s="13">
        <v>3546001</v>
      </c>
      <c r="CE480" t="str">
        <f t="shared" si="152"/>
        <v>DATA_Class_Base38</v>
      </c>
      <c r="CF480" s="3" t="s">
        <v>198</v>
      </c>
    </row>
    <row r="481" spans="1:84">
      <c r="A481">
        <f t="shared" si="150"/>
        <v>5114602</v>
      </c>
      <c r="B481" t="s">
        <v>406</v>
      </c>
      <c r="C481">
        <v>11</v>
      </c>
      <c r="D481">
        <v>6</v>
      </c>
      <c r="E481">
        <v>4</v>
      </c>
      <c r="F481" s="3" t="s">
        <v>1708</v>
      </c>
      <c r="G481" s="3" t="s">
        <v>1708</v>
      </c>
      <c r="H481">
        <v>0</v>
      </c>
      <c r="I481">
        <v>0</v>
      </c>
      <c r="J481" t="s">
        <v>345</v>
      </c>
      <c r="K481" s="2" t="s">
        <v>346</v>
      </c>
      <c r="L481" s="2">
        <f t="shared" si="151"/>
        <v>6</v>
      </c>
      <c r="M481" s="2">
        <f t="shared" si="153"/>
        <v>1.8</v>
      </c>
      <c r="N481" s="2">
        <f t="shared" si="153"/>
        <v>2</v>
      </c>
      <c r="O481" s="2">
        <v>10</v>
      </c>
      <c r="P481" s="2">
        <f t="shared" si="167"/>
        <v>295.68</v>
      </c>
      <c r="Q481" s="2">
        <f t="shared" si="167"/>
        <v>29.57</v>
      </c>
      <c r="R481" s="2">
        <f t="shared" si="167"/>
        <v>2956.8</v>
      </c>
      <c r="S481" s="2">
        <f t="shared" si="167"/>
        <v>295.68</v>
      </c>
      <c r="T481" s="2">
        <f t="shared" si="167"/>
        <v>59.14</v>
      </c>
      <c r="U481" s="2">
        <f t="shared" si="167"/>
        <v>5.91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17">
        <v>546023</v>
      </c>
      <c r="AB481" s="14" t="s">
        <v>769</v>
      </c>
      <c r="AC481" s="15" t="s">
        <v>890</v>
      </c>
      <c r="AD481" s="2">
        <v>5124602</v>
      </c>
      <c r="AE481" s="2">
        <v>0</v>
      </c>
      <c r="AF481" s="2">
        <v>1</v>
      </c>
      <c r="AG481" s="2">
        <f t="shared" si="157"/>
        <v>5064602</v>
      </c>
      <c r="AH481" s="2">
        <v>2</v>
      </c>
      <c r="AI481" s="2"/>
      <c r="AJ481">
        <v>1</v>
      </c>
      <c r="AK481" s="1">
        <f t="shared" si="166"/>
        <v>154.82783901762932</v>
      </c>
      <c r="AL481">
        <v>11</v>
      </c>
      <c r="AM481">
        <f t="shared" si="158"/>
        <v>268.79999999999995</v>
      </c>
      <c r="AN481">
        <f t="shared" si="159"/>
        <v>26.879999999999995</v>
      </c>
      <c r="AO481">
        <f t="shared" si="160"/>
        <v>2688</v>
      </c>
      <c r="AP481">
        <f t="shared" si="161"/>
        <v>268.8</v>
      </c>
      <c r="AQ481">
        <f t="shared" si="162"/>
        <v>53.759999999999991</v>
      </c>
      <c r="AR481">
        <f t="shared" si="168"/>
        <v>5.3759999999999994</v>
      </c>
      <c r="AS481">
        <f t="shared" si="163"/>
        <v>1.8</v>
      </c>
      <c r="AT481">
        <f t="shared" si="164"/>
        <v>2</v>
      </c>
      <c r="AU481">
        <f t="shared" si="165"/>
        <v>6</v>
      </c>
      <c r="AV481">
        <f t="shared" si="154"/>
        <v>6024</v>
      </c>
      <c r="AW481" s="1">
        <v>2</v>
      </c>
      <c r="AX481">
        <v>5</v>
      </c>
      <c r="AY481">
        <v>0.1</v>
      </c>
      <c r="BX481" t="str">
        <f t="shared" si="169"/>
        <v>1546021,2546021,3546021</v>
      </c>
      <c r="BY481" s="13">
        <v>1546021</v>
      </c>
      <c r="BZ481" s="13">
        <v>2546021</v>
      </c>
      <c r="CA481" s="13">
        <v>3546021</v>
      </c>
      <c r="CE481" t="str">
        <f t="shared" si="152"/>
        <v>DATA_Class_Base39</v>
      </c>
      <c r="CF481" s="3" t="s">
        <v>407</v>
      </c>
    </row>
    <row r="482" spans="1:84">
      <c r="A482">
        <f t="shared" si="150"/>
        <v>5115202</v>
      </c>
      <c r="B482" t="s">
        <v>380</v>
      </c>
      <c r="C482">
        <v>11</v>
      </c>
      <c r="D482">
        <v>2</v>
      </c>
      <c r="E482">
        <v>5</v>
      </c>
      <c r="F482" s="3" t="s">
        <v>1709</v>
      </c>
      <c r="G482" s="3" t="s">
        <v>1709</v>
      </c>
      <c r="H482">
        <v>0</v>
      </c>
      <c r="I482">
        <v>0</v>
      </c>
      <c r="J482" s="3">
        <v>0</v>
      </c>
      <c r="K482" s="2" t="s">
        <v>280</v>
      </c>
      <c r="L482" s="2">
        <f t="shared" si="151"/>
        <v>3</v>
      </c>
      <c r="M482" s="2">
        <f t="shared" si="153"/>
        <v>1.8</v>
      </c>
      <c r="N482" s="2">
        <f t="shared" si="153"/>
        <v>2</v>
      </c>
      <c r="O482" s="2">
        <v>10</v>
      </c>
      <c r="P482" s="2">
        <f t="shared" si="167"/>
        <v>266.11</v>
      </c>
      <c r="Q482" s="2">
        <f t="shared" si="167"/>
        <v>26.61</v>
      </c>
      <c r="R482" s="2">
        <f t="shared" si="167"/>
        <v>3285.33</v>
      </c>
      <c r="S482" s="2">
        <f t="shared" si="167"/>
        <v>328.53</v>
      </c>
      <c r="T482" s="2">
        <f t="shared" si="167"/>
        <v>88.7</v>
      </c>
      <c r="U482" s="2">
        <f t="shared" si="167"/>
        <v>8.8699999999999992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17">
        <v>552023</v>
      </c>
      <c r="AB482" s="15" t="s">
        <v>770</v>
      </c>
      <c r="AC482" s="15" t="s">
        <v>890</v>
      </c>
      <c r="AD482" s="2">
        <v>5125202</v>
      </c>
      <c r="AE482" s="2">
        <v>0</v>
      </c>
      <c r="AF482" s="2">
        <v>1</v>
      </c>
      <c r="AG482" s="2">
        <f t="shared" si="157"/>
        <v>5065202</v>
      </c>
      <c r="AH482" s="2">
        <v>2</v>
      </c>
      <c r="AI482" s="2"/>
      <c r="AJ482">
        <v>1</v>
      </c>
      <c r="AK482" s="1">
        <f t="shared" si="166"/>
        <v>155.75996559767523</v>
      </c>
      <c r="AL482">
        <v>11</v>
      </c>
      <c r="AM482">
        <f t="shared" si="158"/>
        <v>241.92</v>
      </c>
      <c r="AN482">
        <f t="shared" si="159"/>
        <v>24.192</v>
      </c>
      <c r="AO482">
        <f t="shared" si="160"/>
        <v>2986.6666666666665</v>
      </c>
      <c r="AP482">
        <f t="shared" si="161"/>
        <v>298.66666666666669</v>
      </c>
      <c r="AQ482">
        <f t="shared" si="162"/>
        <v>80.64</v>
      </c>
      <c r="AR482">
        <f t="shared" si="168"/>
        <v>8.0640000000000001</v>
      </c>
      <c r="AS482">
        <f t="shared" si="163"/>
        <v>1.8</v>
      </c>
      <c r="AT482">
        <f t="shared" si="164"/>
        <v>2</v>
      </c>
      <c r="AU482">
        <f t="shared" si="165"/>
        <v>3</v>
      </c>
      <c r="AV482">
        <f t="shared" si="154"/>
        <v>2025</v>
      </c>
      <c r="AW482" s="1">
        <v>2</v>
      </c>
      <c r="AX482">
        <v>5</v>
      </c>
      <c r="AY482">
        <v>0.1</v>
      </c>
      <c r="BY482" s="13"/>
      <c r="BZ482" s="13"/>
      <c r="CA482" s="13"/>
      <c r="CE482" t="str">
        <f t="shared" si="152"/>
        <v>DATA_Class_Base30</v>
      </c>
      <c r="CF482" s="3" t="s">
        <v>381</v>
      </c>
    </row>
    <row r="483" spans="1:84">
      <c r="A483">
        <f t="shared" si="150"/>
        <v>5115300</v>
      </c>
      <c r="B483" t="s">
        <v>410</v>
      </c>
      <c r="C483">
        <v>11</v>
      </c>
      <c r="D483">
        <v>3</v>
      </c>
      <c r="E483">
        <v>5</v>
      </c>
      <c r="F483" s="3" t="s">
        <v>1710</v>
      </c>
      <c r="G483" s="3" t="s">
        <v>1710</v>
      </c>
      <c r="H483">
        <v>0</v>
      </c>
      <c r="I483">
        <v>0</v>
      </c>
      <c r="J483" s="2">
        <v>0</v>
      </c>
      <c r="K483" s="2" t="s">
        <v>352</v>
      </c>
      <c r="L483" s="2">
        <f t="shared" si="151"/>
        <v>6</v>
      </c>
      <c r="M483" s="2">
        <f t="shared" si="153"/>
        <v>1.3</v>
      </c>
      <c r="N483" s="2">
        <f t="shared" si="153"/>
        <v>2</v>
      </c>
      <c r="O483" s="2">
        <v>10</v>
      </c>
      <c r="P483" s="2">
        <f t="shared" si="167"/>
        <v>245.58</v>
      </c>
      <c r="Q483" s="2">
        <f t="shared" si="167"/>
        <v>24.56</v>
      </c>
      <c r="R483" s="2">
        <f t="shared" si="167"/>
        <v>2571.13</v>
      </c>
      <c r="S483" s="2">
        <f t="shared" si="167"/>
        <v>257.11</v>
      </c>
      <c r="T483" s="2">
        <f t="shared" si="167"/>
        <v>30.7</v>
      </c>
      <c r="U483" s="2">
        <f t="shared" si="167"/>
        <v>3.07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17">
        <v>553003</v>
      </c>
      <c r="AB483" s="14" t="s">
        <v>771</v>
      </c>
      <c r="AC483" s="15" t="s">
        <v>890</v>
      </c>
      <c r="AD483" s="2">
        <v>5125300</v>
      </c>
      <c r="AE483" s="2">
        <v>0</v>
      </c>
      <c r="AF483" s="2">
        <v>1</v>
      </c>
      <c r="AG483" s="2">
        <f t="shared" si="157"/>
        <v>5065300</v>
      </c>
      <c r="AH483" s="2">
        <v>2</v>
      </c>
      <c r="AI483" s="2"/>
      <c r="AJ483">
        <v>1</v>
      </c>
      <c r="AK483" s="1">
        <f t="shared" si="166"/>
        <v>153.94177962461262</v>
      </c>
      <c r="AL483">
        <v>11</v>
      </c>
      <c r="AM483">
        <f t="shared" si="158"/>
        <v>223.25333333333327</v>
      </c>
      <c r="AN483">
        <f t="shared" si="159"/>
        <v>22.325333333333329</v>
      </c>
      <c r="AO483">
        <f t="shared" si="160"/>
        <v>2337.391304347826</v>
      </c>
      <c r="AP483">
        <f t="shared" si="161"/>
        <v>233.73913043478262</v>
      </c>
      <c r="AQ483">
        <f t="shared" si="162"/>
        <v>27.906666666666659</v>
      </c>
      <c r="AR483">
        <f t="shared" si="168"/>
        <v>2.7906666666666662</v>
      </c>
      <c r="AS483">
        <f t="shared" si="163"/>
        <v>1.3</v>
      </c>
      <c r="AT483">
        <f t="shared" si="164"/>
        <v>2</v>
      </c>
      <c r="AU483">
        <f t="shared" si="165"/>
        <v>6</v>
      </c>
      <c r="AV483">
        <f t="shared" si="154"/>
        <v>3005</v>
      </c>
      <c r="AW483" s="1">
        <v>0</v>
      </c>
      <c r="AX483">
        <v>5</v>
      </c>
      <c r="AY483">
        <v>0.1</v>
      </c>
      <c r="BX483" t="str">
        <f t="shared" ref="BX483:BX485" si="170">BY483&amp;","&amp;BZ483&amp;","&amp;CA483</f>
        <v>1553001,2553001,3553001</v>
      </c>
      <c r="BY483" s="13">
        <v>1553001</v>
      </c>
      <c r="BZ483" s="13">
        <v>2553001</v>
      </c>
      <c r="CA483" s="13">
        <v>3553001</v>
      </c>
      <c r="CE483" t="str">
        <f t="shared" si="152"/>
        <v>DATA_Class_Base40</v>
      </c>
      <c r="CF483" s="3" t="s">
        <v>411</v>
      </c>
    </row>
    <row r="484" spans="1:84">
      <c r="A484">
        <f t="shared" si="150"/>
        <v>5115302</v>
      </c>
      <c r="B484" t="s">
        <v>412</v>
      </c>
      <c r="C484">
        <v>11</v>
      </c>
      <c r="D484">
        <v>3</v>
      </c>
      <c r="E484">
        <v>5</v>
      </c>
      <c r="F484" s="3" t="s">
        <v>1711</v>
      </c>
      <c r="G484" s="3" t="s">
        <v>1711</v>
      </c>
      <c r="H484">
        <v>0</v>
      </c>
      <c r="I484">
        <v>0</v>
      </c>
      <c r="J484" s="2">
        <v>0</v>
      </c>
      <c r="K484" s="2" t="s">
        <v>358</v>
      </c>
      <c r="L484" s="2">
        <f t="shared" si="151"/>
        <v>3</v>
      </c>
      <c r="M484" s="2">
        <f t="shared" si="153"/>
        <v>1.4000000000000001</v>
      </c>
      <c r="N484" s="2">
        <f t="shared" si="153"/>
        <v>2</v>
      </c>
      <c r="O484" s="2">
        <v>10</v>
      </c>
      <c r="P484" s="2">
        <f t="shared" si="167"/>
        <v>275.97000000000003</v>
      </c>
      <c r="Q484" s="2">
        <f t="shared" si="167"/>
        <v>27.6</v>
      </c>
      <c r="R484" s="2">
        <f t="shared" si="167"/>
        <v>2464</v>
      </c>
      <c r="S484" s="2">
        <f t="shared" si="167"/>
        <v>246.4</v>
      </c>
      <c r="T484" s="2">
        <f t="shared" si="167"/>
        <v>39.42</v>
      </c>
      <c r="U484" s="2">
        <f t="shared" si="167"/>
        <v>3.94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17">
        <v>553023</v>
      </c>
      <c r="AB484" s="14" t="s">
        <v>772</v>
      </c>
      <c r="AC484" s="15" t="s">
        <v>890</v>
      </c>
      <c r="AD484" s="2">
        <v>5125302</v>
      </c>
      <c r="AE484" s="2">
        <v>0</v>
      </c>
      <c r="AF484" s="2">
        <v>1</v>
      </c>
      <c r="AG484" s="2">
        <f t="shared" si="157"/>
        <v>5065302</v>
      </c>
      <c r="AH484" s="2">
        <v>2</v>
      </c>
      <c r="AI484" s="2"/>
      <c r="AJ484">
        <v>1</v>
      </c>
      <c r="AK484" s="1">
        <f t="shared" si="166"/>
        <v>154.21259466642584</v>
      </c>
      <c r="AL484">
        <v>11</v>
      </c>
      <c r="AM484">
        <f t="shared" si="158"/>
        <v>250.87999999999997</v>
      </c>
      <c r="AN484">
        <f t="shared" si="159"/>
        <v>25.087999999999997</v>
      </c>
      <c r="AO484">
        <f t="shared" si="160"/>
        <v>2240</v>
      </c>
      <c r="AP484">
        <f t="shared" si="161"/>
        <v>224</v>
      </c>
      <c r="AQ484">
        <f t="shared" si="162"/>
        <v>35.839999999999996</v>
      </c>
      <c r="AR484">
        <f t="shared" si="168"/>
        <v>3.5839999999999996</v>
      </c>
      <c r="AS484">
        <f t="shared" si="163"/>
        <v>1.4</v>
      </c>
      <c r="AT484">
        <f t="shared" si="164"/>
        <v>2</v>
      </c>
      <c r="AU484">
        <f t="shared" si="165"/>
        <v>3</v>
      </c>
      <c r="AV484">
        <f t="shared" si="154"/>
        <v>3025</v>
      </c>
      <c r="AW484" s="1">
        <v>2</v>
      </c>
      <c r="AX484">
        <v>5</v>
      </c>
      <c r="AY484">
        <v>0.1</v>
      </c>
      <c r="BX484" t="str">
        <f t="shared" si="170"/>
        <v>1553021,2553021,3553021</v>
      </c>
      <c r="BY484" s="13">
        <v>1553021</v>
      </c>
      <c r="BZ484" s="13">
        <v>2553021</v>
      </c>
      <c r="CA484" s="13">
        <v>3553021</v>
      </c>
      <c r="CE484" t="str">
        <f t="shared" si="152"/>
        <v>DATA_Class_Base41</v>
      </c>
      <c r="CF484" s="3" t="s">
        <v>413</v>
      </c>
    </row>
    <row r="485" spans="1:84">
      <c r="A485">
        <f t="shared" si="150"/>
        <v>5115400</v>
      </c>
      <c r="B485" t="s">
        <v>414</v>
      </c>
      <c r="C485">
        <v>11</v>
      </c>
      <c r="D485">
        <v>4</v>
      </c>
      <c r="E485">
        <v>5</v>
      </c>
      <c r="F485" s="3" t="s">
        <v>1712</v>
      </c>
      <c r="G485" s="3" t="s">
        <v>1712</v>
      </c>
      <c r="H485">
        <v>0</v>
      </c>
      <c r="I485">
        <v>0</v>
      </c>
      <c r="J485">
        <v>0</v>
      </c>
      <c r="K485" s="2" t="s">
        <v>364</v>
      </c>
      <c r="L485" s="2">
        <f t="shared" si="151"/>
        <v>6</v>
      </c>
      <c r="M485" s="2">
        <f t="shared" si="153"/>
        <v>1.4000000000000001</v>
      </c>
      <c r="N485" s="2">
        <f t="shared" si="153"/>
        <v>2</v>
      </c>
      <c r="O485" s="2">
        <v>10</v>
      </c>
      <c r="P485" s="2">
        <f t="shared" si="167"/>
        <v>287.47000000000003</v>
      </c>
      <c r="Q485" s="2">
        <f t="shared" si="167"/>
        <v>28.75</v>
      </c>
      <c r="R485" s="2">
        <f t="shared" si="167"/>
        <v>2365.44</v>
      </c>
      <c r="S485" s="2">
        <f t="shared" si="167"/>
        <v>236.54</v>
      </c>
      <c r="T485" s="2">
        <f t="shared" si="167"/>
        <v>47.91</v>
      </c>
      <c r="U485" s="2">
        <f t="shared" si="167"/>
        <v>4.79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17">
        <v>554003</v>
      </c>
      <c r="AB485" s="14" t="s">
        <v>773</v>
      </c>
      <c r="AC485" s="15" t="s">
        <v>890</v>
      </c>
      <c r="AD485" s="2">
        <v>5125400</v>
      </c>
      <c r="AE485" s="2">
        <v>0</v>
      </c>
      <c r="AF485" s="2">
        <v>1</v>
      </c>
      <c r="AG485" s="2">
        <f t="shared" si="157"/>
        <v>5065400</v>
      </c>
      <c r="AH485" s="2">
        <v>2</v>
      </c>
      <c r="AI485" s="2"/>
      <c r="AJ485">
        <v>1</v>
      </c>
      <c r="AK485" s="1">
        <f t="shared" si="166"/>
        <v>154.47689109870583</v>
      </c>
      <c r="AL485">
        <v>11</v>
      </c>
      <c r="AM485">
        <f t="shared" si="158"/>
        <v>261.33333333333337</v>
      </c>
      <c r="AN485">
        <f t="shared" si="159"/>
        <v>26.13333333333334</v>
      </c>
      <c r="AO485">
        <f t="shared" si="160"/>
        <v>2150.3999999999996</v>
      </c>
      <c r="AP485">
        <f t="shared" si="161"/>
        <v>215.03999999999996</v>
      </c>
      <c r="AQ485">
        <f t="shared" si="162"/>
        <v>43.555555555555564</v>
      </c>
      <c r="AR485">
        <f t="shared" si="168"/>
        <v>4.355555555555557</v>
      </c>
      <c r="AS485">
        <f t="shared" si="163"/>
        <v>1.4</v>
      </c>
      <c r="AT485">
        <f t="shared" si="164"/>
        <v>2</v>
      </c>
      <c r="AU485">
        <f t="shared" si="165"/>
        <v>6</v>
      </c>
      <c r="AV485">
        <f t="shared" si="154"/>
        <v>4005</v>
      </c>
      <c r="AW485" s="1">
        <v>0</v>
      </c>
      <c r="AX485">
        <v>5</v>
      </c>
      <c r="AY485">
        <v>0.1</v>
      </c>
      <c r="BX485" t="str">
        <f t="shared" si="170"/>
        <v>1554001,2554001,3554001</v>
      </c>
      <c r="BY485" s="13">
        <v>1554001</v>
      </c>
      <c r="BZ485" s="13">
        <v>2554001</v>
      </c>
      <c r="CA485" s="13">
        <v>3554001</v>
      </c>
      <c r="CE485" t="str">
        <f t="shared" si="152"/>
        <v>DATA_Class_Base42</v>
      </c>
      <c r="CF485" s="3" t="s">
        <v>174</v>
      </c>
    </row>
    <row r="486" spans="1:84">
      <c r="A486">
        <f t="shared" si="150"/>
        <v>5115501</v>
      </c>
      <c r="B486" t="s">
        <v>401</v>
      </c>
      <c r="C486">
        <v>11</v>
      </c>
      <c r="D486">
        <v>5</v>
      </c>
      <c r="E486">
        <v>5</v>
      </c>
      <c r="F486" s="3" t="s">
        <v>1713</v>
      </c>
      <c r="G486" s="3" t="s">
        <v>1713</v>
      </c>
      <c r="H486">
        <v>0</v>
      </c>
      <c r="I486">
        <v>0</v>
      </c>
      <c r="J486" s="3">
        <v>0</v>
      </c>
      <c r="K486" s="2" t="s">
        <v>334</v>
      </c>
      <c r="L486" s="2">
        <f t="shared" si="151"/>
        <v>6</v>
      </c>
      <c r="M486" s="2">
        <f t="shared" si="153"/>
        <v>1.6</v>
      </c>
      <c r="N486" s="2">
        <f t="shared" si="153"/>
        <v>2</v>
      </c>
      <c r="O486" s="2">
        <v>10</v>
      </c>
      <c r="P486" s="2">
        <f t="shared" si="167"/>
        <v>381.1</v>
      </c>
      <c r="Q486" s="2">
        <f t="shared" si="167"/>
        <v>38.11</v>
      </c>
      <c r="R486" s="2">
        <f t="shared" si="167"/>
        <v>2039.17</v>
      </c>
      <c r="S486" s="2">
        <f t="shared" si="167"/>
        <v>203.92</v>
      </c>
      <c r="T486" s="2">
        <f t="shared" si="167"/>
        <v>42.34</v>
      </c>
      <c r="U486" s="2">
        <f t="shared" si="167"/>
        <v>4.2300000000000004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17">
        <v>555013</v>
      </c>
      <c r="AB486" s="15" t="s">
        <v>774</v>
      </c>
      <c r="AC486" s="15" t="s">
        <v>890</v>
      </c>
      <c r="AD486" s="2">
        <v>5125501</v>
      </c>
      <c r="AE486" s="2">
        <v>0</v>
      </c>
      <c r="AF486" s="2">
        <v>1</v>
      </c>
      <c r="AG486" s="2">
        <f t="shared" si="157"/>
        <v>5065501</v>
      </c>
      <c r="AH486" s="2">
        <v>2</v>
      </c>
      <c r="AI486" s="2"/>
      <c r="AJ486">
        <v>1</v>
      </c>
      <c r="AK486" s="1">
        <f t="shared" si="166"/>
        <v>154.30343325949516</v>
      </c>
      <c r="AL486">
        <v>11</v>
      </c>
      <c r="AM486">
        <f t="shared" si="158"/>
        <v>346.45333333333332</v>
      </c>
      <c r="AN486">
        <f t="shared" si="159"/>
        <v>34.645333333333333</v>
      </c>
      <c r="AO486">
        <f t="shared" si="160"/>
        <v>1853.7931034482758</v>
      </c>
      <c r="AP486">
        <f t="shared" si="161"/>
        <v>185.37931034482759</v>
      </c>
      <c r="AQ486">
        <f t="shared" si="162"/>
        <v>38.494814814814816</v>
      </c>
      <c r="AR486">
        <f t="shared" si="168"/>
        <v>3.8494814814814817</v>
      </c>
      <c r="AS486">
        <f t="shared" si="163"/>
        <v>1.6</v>
      </c>
      <c r="AT486">
        <f t="shared" si="164"/>
        <v>2</v>
      </c>
      <c r="AU486">
        <f t="shared" si="165"/>
        <v>6</v>
      </c>
      <c r="AV486">
        <f t="shared" si="154"/>
        <v>5015</v>
      </c>
      <c r="AW486" s="1">
        <v>1</v>
      </c>
      <c r="AX486">
        <v>5</v>
      </c>
      <c r="AY486">
        <v>0.1</v>
      </c>
      <c r="BY486" s="13"/>
      <c r="BZ486" s="13"/>
      <c r="CA486" s="13"/>
      <c r="CE486" t="str">
        <f t="shared" si="152"/>
        <v>DATA_Class_Base37</v>
      </c>
      <c r="CF486" s="3" t="s">
        <v>402</v>
      </c>
    </row>
    <row r="487" spans="1:84">
      <c r="A487">
        <f t="shared" si="150"/>
        <v>5121200</v>
      </c>
      <c r="B487" s="31" t="s">
        <v>373</v>
      </c>
      <c r="C487">
        <v>12</v>
      </c>
      <c r="D487">
        <v>2</v>
      </c>
      <c r="E487">
        <v>1</v>
      </c>
      <c r="F487" s="3" t="s">
        <v>1677</v>
      </c>
      <c r="G487" s="3" t="s">
        <v>1677</v>
      </c>
      <c r="H487">
        <v>0</v>
      </c>
      <c r="I487">
        <v>0</v>
      </c>
      <c r="J487" s="2">
        <v>0</v>
      </c>
      <c r="K487" s="2" t="s">
        <v>314</v>
      </c>
      <c r="L487" s="2">
        <f t="shared" si="151"/>
        <v>3</v>
      </c>
      <c r="M487" s="2">
        <f t="shared" si="153"/>
        <v>1.5</v>
      </c>
      <c r="N487" s="2">
        <f t="shared" si="153"/>
        <v>1.2</v>
      </c>
      <c r="O487" s="2">
        <v>10</v>
      </c>
      <c r="P487" s="2">
        <f t="shared" si="167"/>
        <v>211.2</v>
      </c>
      <c r="Q487" s="2">
        <f t="shared" si="167"/>
        <v>21.12</v>
      </c>
      <c r="R487" s="2">
        <f t="shared" si="167"/>
        <v>3960</v>
      </c>
      <c r="S487" s="2">
        <f t="shared" si="167"/>
        <v>396</v>
      </c>
      <c r="T487" s="2">
        <f t="shared" si="167"/>
        <v>70.400000000000006</v>
      </c>
      <c r="U487" s="2">
        <f t="shared" si="167"/>
        <v>7.04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17">
        <v>512003</v>
      </c>
      <c r="AB487" s="14" t="s">
        <v>775</v>
      </c>
      <c r="AC487" s="15" t="s">
        <v>890</v>
      </c>
      <c r="AD487" s="2">
        <v>5131200</v>
      </c>
      <c r="AE487" s="2">
        <v>0</v>
      </c>
      <c r="AF487" s="2">
        <v>1</v>
      </c>
      <c r="AG487" s="2">
        <f t="shared" ref="AG487:AG523" si="171">A265</f>
        <v>5061200</v>
      </c>
      <c r="AH487" s="2">
        <v>2</v>
      </c>
      <c r="AJ487">
        <v>1</v>
      </c>
      <c r="AK487" s="1">
        <f t="shared" si="166"/>
        <v>178.14216163583259</v>
      </c>
      <c r="AL487">
        <v>12</v>
      </c>
      <c r="AM487">
        <f t="shared" si="158"/>
        <v>192.00000000000006</v>
      </c>
      <c r="AN487">
        <f t="shared" si="159"/>
        <v>19.200000000000006</v>
      </c>
      <c r="AO487">
        <f t="shared" si="160"/>
        <v>3600</v>
      </c>
      <c r="AP487">
        <f t="shared" si="161"/>
        <v>360</v>
      </c>
      <c r="AQ487">
        <f t="shared" si="162"/>
        <v>64.000000000000014</v>
      </c>
      <c r="AR487">
        <f t="shared" si="168"/>
        <v>6.4000000000000021</v>
      </c>
      <c r="AS487">
        <f t="shared" si="163"/>
        <v>1.5</v>
      </c>
      <c r="AT487">
        <f t="shared" si="164"/>
        <v>1.2</v>
      </c>
      <c r="AU487">
        <f t="shared" si="165"/>
        <v>3</v>
      </c>
      <c r="AV487">
        <f t="shared" si="154"/>
        <v>2001</v>
      </c>
      <c r="AW487" s="1">
        <v>0</v>
      </c>
      <c r="AX487">
        <v>5</v>
      </c>
      <c r="AY487">
        <v>0.1</v>
      </c>
      <c r="CE487" t="str">
        <f t="shared" si="152"/>
        <v>DATA_Class_Base28</v>
      </c>
      <c r="CF487" s="3" t="s">
        <v>374</v>
      </c>
    </row>
    <row r="488" spans="1:84">
      <c r="A488">
        <f t="shared" si="150"/>
        <v>5121201</v>
      </c>
      <c r="B488" s="31" t="s">
        <v>377</v>
      </c>
      <c r="C488">
        <v>12</v>
      </c>
      <c r="D488">
        <v>2</v>
      </c>
      <c r="E488">
        <v>1</v>
      </c>
      <c r="F488" s="3" t="s">
        <v>1678</v>
      </c>
      <c r="G488" s="3" t="s">
        <v>1678</v>
      </c>
      <c r="H488">
        <v>0</v>
      </c>
      <c r="I488">
        <v>0</v>
      </c>
      <c r="J488" s="2">
        <v>0</v>
      </c>
      <c r="K488" s="8" t="s">
        <v>298</v>
      </c>
      <c r="L488" s="2">
        <f t="shared" si="151"/>
        <v>3</v>
      </c>
      <c r="M488" s="2">
        <f t="shared" si="153"/>
        <v>1.8</v>
      </c>
      <c r="N488" s="2">
        <f t="shared" si="153"/>
        <v>1.8</v>
      </c>
      <c r="O488" s="2">
        <v>10</v>
      </c>
      <c r="P488" s="2">
        <f t="shared" si="167"/>
        <v>158.4</v>
      </c>
      <c r="Q488" s="2">
        <f t="shared" si="167"/>
        <v>15.84</v>
      </c>
      <c r="R488" s="2">
        <f t="shared" si="167"/>
        <v>6336</v>
      </c>
      <c r="S488" s="2">
        <f t="shared" si="167"/>
        <v>633.6</v>
      </c>
      <c r="T488" s="2">
        <f t="shared" si="167"/>
        <v>79.2</v>
      </c>
      <c r="U488" s="2">
        <f t="shared" si="167"/>
        <v>7.92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17">
        <v>512013</v>
      </c>
      <c r="AB488" s="14" t="s">
        <v>776</v>
      </c>
      <c r="AC488" s="15" t="s">
        <v>890</v>
      </c>
      <c r="AD488" s="2">
        <v>5131201</v>
      </c>
      <c r="AE488" s="2">
        <v>0</v>
      </c>
      <c r="AF488" s="2">
        <v>1</v>
      </c>
      <c r="AG488" s="2">
        <f t="shared" si="171"/>
        <v>5061201</v>
      </c>
      <c r="AH488" s="2">
        <v>2</v>
      </c>
      <c r="AJ488">
        <v>1</v>
      </c>
      <c r="AK488" s="1">
        <f t="shared" si="166"/>
        <v>178.46073809136726</v>
      </c>
      <c r="AL488">
        <v>12</v>
      </c>
      <c r="AM488">
        <f t="shared" si="158"/>
        <v>144</v>
      </c>
      <c r="AN488">
        <f t="shared" si="159"/>
        <v>14.4</v>
      </c>
      <c r="AO488">
        <f t="shared" si="160"/>
        <v>5760</v>
      </c>
      <c r="AP488">
        <f t="shared" si="161"/>
        <v>576</v>
      </c>
      <c r="AQ488">
        <f t="shared" si="162"/>
        <v>72</v>
      </c>
      <c r="AR488">
        <f t="shared" si="168"/>
        <v>7.2</v>
      </c>
      <c r="AS488">
        <f t="shared" si="163"/>
        <v>1.8</v>
      </c>
      <c r="AT488">
        <f t="shared" si="164"/>
        <v>1.8</v>
      </c>
      <c r="AU488">
        <f t="shared" si="165"/>
        <v>3</v>
      </c>
      <c r="AV488">
        <f t="shared" si="154"/>
        <v>2011</v>
      </c>
      <c r="AW488" s="1">
        <v>1</v>
      </c>
      <c r="AX488">
        <v>5</v>
      </c>
      <c r="AY488">
        <v>0.1</v>
      </c>
      <c r="CE488" t="str">
        <f t="shared" si="152"/>
        <v>DATA_Class_Base29</v>
      </c>
      <c r="CF488" s="3" t="s">
        <v>378</v>
      </c>
    </row>
    <row r="489" spans="1:84">
      <c r="A489">
        <f t="shared" si="150"/>
        <v>5121202</v>
      </c>
      <c r="B489" s="31" t="s">
        <v>380</v>
      </c>
      <c r="C489">
        <v>12</v>
      </c>
      <c r="D489">
        <v>2</v>
      </c>
      <c r="E489">
        <v>1</v>
      </c>
      <c r="F489" s="3" t="s">
        <v>1679</v>
      </c>
      <c r="G489" s="3" t="s">
        <v>1679</v>
      </c>
      <c r="H489">
        <v>0</v>
      </c>
      <c r="I489">
        <v>0</v>
      </c>
      <c r="J489">
        <v>0</v>
      </c>
      <c r="K489" s="2" t="s">
        <v>280</v>
      </c>
      <c r="L489" s="2">
        <f t="shared" si="151"/>
        <v>3</v>
      </c>
      <c r="M489" s="2">
        <f t="shared" si="153"/>
        <v>1.8</v>
      </c>
      <c r="N489" s="2">
        <f t="shared" si="153"/>
        <v>2</v>
      </c>
      <c r="O489" s="2">
        <v>10</v>
      </c>
      <c r="P489" s="2">
        <f t="shared" si="167"/>
        <v>253.44</v>
      </c>
      <c r="Q489" s="2">
        <f t="shared" si="167"/>
        <v>25.34</v>
      </c>
      <c r="R489" s="2">
        <f t="shared" si="167"/>
        <v>3960</v>
      </c>
      <c r="S489" s="2">
        <f t="shared" si="167"/>
        <v>396</v>
      </c>
      <c r="T489" s="2">
        <f t="shared" si="167"/>
        <v>63.36</v>
      </c>
      <c r="U489" s="2">
        <f t="shared" si="167"/>
        <v>6.34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17">
        <v>512023</v>
      </c>
      <c r="AB489" s="14" t="s">
        <v>777</v>
      </c>
      <c r="AC489" s="15" t="s">
        <v>890</v>
      </c>
      <c r="AD489" s="2">
        <v>5131202</v>
      </c>
      <c r="AE489" s="2">
        <v>0</v>
      </c>
      <c r="AF489" s="2">
        <v>1</v>
      </c>
      <c r="AG489" s="2">
        <f t="shared" si="171"/>
        <v>5061202</v>
      </c>
      <c r="AH489" s="2">
        <v>2</v>
      </c>
      <c r="AJ489">
        <v>1</v>
      </c>
      <c r="AK489" s="1">
        <f t="shared" si="166"/>
        <v>177.88811823426465</v>
      </c>
      <c r="AL489">
        <v>12</v>
      </c>
      <c r="AM489">
        <f t="shared" si="158"/>
        <v>230.40000000000003</v>
      </c>
      <c r="AN489">
        <f t="shared" si="159"/>
        <v>23.040000000000006</v>
      </c>
      <c r="AO489">
        <f t="shared" si="160"/>
        <v>3600</v>
      </c>
      <c r="AP489">
        <f t="shared" si="161"/>
        <v>360</v>
      </c>
      <c r="AQ489">
        <f t="shared" si="162"/>
        <v>57.600000000000009</v>
      </c>
      <c r="AR489">
        <f t="shared" si="168"/>
        <v>5.7600000000000016</v>
      </c>
      <c r="AS489">
        <f t="shared" si="163"/>
        <v>1.8</v>
      </c>
      <c r="AT489">
        <f t="shared" si="164"/>
        <v>2</v>
      </c>
      <c r="AU489">
        <f t="shared" si="165"/>
        <v>3</v>
      </c>
      <c r="AV489">
        <f t="shared" si="154"/>
        <v>2021</v>
      </c>
      <c r="AW489" s="1">
        <v>2</v>
      </c>
      <c r="AX489">
        <v>5</v>
      </c>
      <c r="AY489">
        <v>0.1</v>
      </c>
      <c r="CE489" t="str">
        <f t="shared" si="152"/>
        <v>DATA_Class_Base30</v>
      </c>
      <c r="CF489" s="3" t="s">
        <v>381</v>
      </c>
    </row>
    <row r="490" spans="1:84">
      <c r="A490">
        <f t="shared" si="150"/>
        <v>5121301</v>
      </c>
      <c r="B490" s="31" t="s">
        <v>383</v>
      </c>
      <c r="C490">
        <v>12</v>
      </c>
      <c r="D490">
        <v>3</v>
      </c>
      <c r="E490">
        <v>1</v>
      </c>
      <c r="F490" s="3" t="s">
        <v>1680</v>
      </c>
      <c r="G490" s="3" t="s">
        <v>1680</v>
      </c>
      <c r="H490">
        <v>0</v>
      </c>
      <c r="I490">
        <v>0</v>
      </c>
      <c r="J490" s="2">
        <v>0</v>
      </c>
      <c r="K490" s="2" t="s">
        <v>285</v>
      </c>
      <c r="L490" s="2">
        <f t="shared" si="151"/>
        <v>3</v>
      </c>
      <c r="M490" s="2">
        <f t="shared" si="153"/>
        <v>1.2</v>
      </c>
      <c r="N490" s="2">
        <f t="shared" si="153"/>
        <v>2</v>
      </c>
      <c r="O490" s="2">
        <v>10</v>
      </c>
      <c r="P490" s="2">
        <f t="shared" si="167"/>
        <v>232.32</v>
      </c>
      <c r="Q490" s="2">
        <f t="shared" si="167"/>
        <v>23.23</v>
      </c>
      <c r="R490" s="2">
        <f t="shared" si="167"/>
        <v>2880</v>
      </c>
      <c r="S490" s="2">
        <f t="shared" si="167"/>
        <v>288</v>
      </c>
      <c r="T490" s="2">
        <f t="shared" si="167"/>
        <v>38.72</v>
      </c>
      <c r="U490" s="2">
        <f t="shared" si="167"/>
        <v>3.87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17">
        <v>513013</v>
      </c>
      <c r="AB490" s="14" t="s">
        <v>778</v>
      </c>
      <c r="AC490" s="15" t="s">
        <v>890</v>
      </c>
      <c r="AD490" s="2">
        <v>5131301</v>
      </c>
      <c r="AE490" s="2">
        <v>0</v>
      </c>
      <c r="AF490" s="2">
        <v>1</v>
      </c>
      <c r="AG490" s="2">
        <f t="shared" si="171"/>
        <v>5061301</v>
      </c>
      <c r="AH490" s="2">
        <v>2</v>
      </c>
      <c r="AJ490">
        <v>1</v>
      </c>
      <c r="AK490" s="1">
        <f t="shared" si="166"/>
        <v>177.00464396284835</v>
      </c>
      <c r="AL490">
        <v>12</v>
      </c>
      <c r="AM490">
        <f t="shared" si="158"/>
        <v>211.20000000000002</v>
      </c>
      <c r="AN490">
        <f t="shared" si="159"/>
        <v>21.120000000000005</v>
      </c>
      <c r="AO490">
        <f t="shared" si="160"/>
        <v>2618.181818181818</v>
      </c>
      <c r="AP490">
        <f t="shared" si="161"/>
        <v>261.81818181818181</v>
      </c>
      <c r="AQ490">
        <f t="shared" si="162"/>
        <v>35.200000000000003</v>
      </c>
      <c r="AR490">
        <f t="shared" si="168"/>
        <v>3.5200000000000005</v>
      </c>
      <c r="AS490">
        <f t="shared" si="163"/>
        <v>1.2</v>
      </c>
      <c r="AT490">
        <f t="shared" si="164"/>
        <v>2</v>
      </c>
      <c r="AU490">
        <f t="shared" si="165"/>
        <v>3</v>
      </c>
      <c r="AV490">
        <f t="shared" si="154"/>
        <v>3011</v>
      </c>
      <c r="AW490" s="1">
        <v>1</v>
      </c>
      <c r="AX490">
        <v>5</v>
      </c>
      <c r="AY490">
        <v>0.1</v>
      </c>
      <c r="CE490" t="str">
        <f t="shared" si="152"/>
        <v>DATA_Class_Base31</v>
      </c>
      <c r="CF490" s="3" t="s">
        <v>384</v>
      </c>
    </row>
    <row r="491" spans="1:84">
      <c r="A491">
        <f t="shared" si="150"/>
        <v>5121401</v>
      </c>
      <c r="B491" s="31" t="s">
        <v>387</v>
      </c>
      <c r="C491">
        <v>12</v>
      </c>
      <c r="D491">
        <v>4</v>
      </c>
      <c r="E491">
        <v>1</v>
      </c>
      <c r="F491" s="3" t="s">
        <v>1681</v>
      </c>
      <c r="G491" s="3" t="s">
        <v>1681</v>
      </c>
      <c r="H491">
        <v>0</v>
      </c>
      <c r="I491">
        <v>0</v>
      </c>
      <c r="J491" s="2">
        <v>0</v>
      </c>
      <c r="K491" s="2" t="s">
        <v>161</v>
      </c>
      <c r="L491" s="2">
        <f t="shared" si="151"/>
        <v>6</v>
      </c>
      <c r="M491" s="2">
        <f t="shared" ref="M491:N554" si="172">FLOOR(AS491/1,0.01)</f>
        <v>1.6</v>
      </c>
      <c r="N491" s="2">
        <f t="shared" si="172"/>
        <v>2</v>
      </c>
      <c r="O491" s="2">
        <v>10</v>
      </c>
      <c r="P491" s="2">
        <f t="shared" si="167"/>
        <v>309.76</v>
      </c>
      <c r="Q491" s="2">
        <f t="shared" si="167"/>
        <v>30.98</v>
      </c>
      <c r="R491" s="2">
        <f t="shared" si="167"/>
        <v>2880</v>
      </c>
      <c r="S491" s="2">
        <f t="shared" si="167"/>
        <v>288</v>
      </c>
      <c r="T491" s="2">
        <f t="shared" si="167"/>
        <v>61.95</v>
      </c>
      <c r="U491" s="2">
        <f t="shared" si="167"/>
        <v>6.2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17">
        <v>514013</v>
      </c>
      <c r="AB491" s="14" t="s">
        <v>779</v>
      </c>
      <c r="AC491" s="15" t="s">
        <v>890</v>
      </c>
      <c r="AD491" s="2">
        <v>5131401</v>
      </c>
      <c r="AE491" s="2">
        <v>0</v>
      </c>
      <c r="AF491" s="2">
        <v>1</v>
      </c>
      <c r="AG491" s="2">
        <f t="shared" si="171"/>
        <v>5061401</v>
      </c>
      <c r="AH491" s="2">
        <v>2</v>
      </c>
      <c r="AJ491">
        <v>1</v>
      </c>
      <c r="AK491" s="1">
        <f t="shared" si="166"/>
        <v>177.83739647731255</v>
      </c>
      <c r="AL491">
        <v>12</v>
      </c>
      <c r="AM491">
        <f t="shared" si="158"/>
        <v>281.60000000000008</v>
      </c>
      <c r="AN491">
        <f t="shared" si="159"/>
        <v>28.160000000000011</v>
      </c>
      <c r="AO491">
        <f t="shared" si="160"/>
        <v>2618.181818181818</v>
      </c>
      <c r="AP491">
        <f t="shared" si="161"/>
        <v>261.81818181818181</v>
      </c>
      <c r="AQ491">
        <f t="shared" si="162"/>
        <v>56.320000000000014</v>
      </c>
      <c r="AR491">
        <f t="shared" si="168"/>
        <v>5.6320000000000014</v>
      </c>
      <c r="AS491">
        <f t="shared" si="163"/>
        <v>1.6</v>
      </c>
      <c r="AT491">
        <f t="shared" si="164"/>
        <v>2</v>
      </c>
      <c r="AU491">
        <f t="shared" si="165"/>
        <v>6</v>
      </c>
      <c r="AV491">
        <f t="shared" si="154"/>
        <v>4011</v>
      </c>
      <c r="AW491" s="1">
        <v>1</v>
      </c>
      <c r="AX491">
        <v>5</v>
      </c>
      <c r="AY491">
        <v>0.1</v>
      </c>
      <c r="CE491" t="str">
        <f t="shared" si="152"/>
        <v>DATA_Class_Base32</v>
      </c>
      <c r="CF491" s="3" t="s">
        <v>388</v>
      </c>
    </row>
    <row r="492" spans="1:84">
      <c r="A492">
        <f t="shared" si="150"/>
        <v>5121402</v>
      </c>
      <c r="B492" s="31" t="s">
        <v>390</v>
      </c>
      <c r="C492">
        <v>12</v>
      </c>
      <c r="D492">
        <v>4</v>
      </c>
      <c r="E492">
        <v>1</v>
      </c>
      <c r="F492" s="3" t="s">
        <v>1682</v>
      </c>
      <c r="G492" s="3" t="s">
        <v>1682</v>
      </c>
      <c r="H492">
        <v>0</v>
      </c>
      <c r="I492">
        <v>0</v>
      </c>
      <c r="J492">
        <v>0</v>
      </c>
      <c r="K492" s="2" t="s">
        <v>250</v>
      </c>
      <c r="L492" s="2">
        <f t="shared" si="151"/>
        <v>6</v>
      </c>
      <c r="M492" s="2">
        <f t="shared" si="172"/>
        <v>1.5</v>
      </c>
      <c r="N492" s="2">
        <f t="shared" si="172"/>
        <v>1.5</v>
      </c>
      <c r="O492" s="2">
        <v>10</v>
      </c>
      <c r="P492" s="2">
        <f t="shared" si="167"/>
        <v>316.8</v>
      </c>
      <c r="Q492" s="2">
        <f t="shared" si="167"/>
        <v>31.68</v>
      </c>
      <c r="R492" s="2">
        <f t="shared" si="167"/>
        <v>2640</v>
      </c>
      <c r="S492" s="2">
        <f t="shared" si="167"/>
        <v>264</v>
      </c>
      <c r="T492" s="2">
        <f t="shared" si="167"/>
        <v>52.8</v>
      </c>
      <c r="U492" s="2">
        <f t="shared" si="167"/>
        <v>5.28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17">
        <v>514023</v>
      </c>
      <c r="AB492" s="14" t="s">
        <v>780</v>
      </c>
      <c r="AC492" s="15" t="s">
        <v>890</v>
      </c>
      <c r="AD492" s="2">
        <v>5131402</v>
      </c>
      <c r="AE492" s="2">
        <v>0</v>
      </c>
      <c r="AF492" s="2">
        <v>1</v>
      </c>
      <c r="AG492" s="2">
        <f t="shared" si="171"/>
        <v>5061402</v>
      </c>
      <c r="AH492" s="2">
        <v>2</v>
      </c>
      <c r="AJ492">
        <v>1</v>
      </c>
      <c r="AK492" s="1">
        <f t="shared" si="166"/>
        <v>177.50840879689522</v>
      </c>
      <c r="AL492">
        <v>12</v>
      </c>
      <c r="AM492">
        <f t="shared" si="158"/>
        <v>288</v>
      </c>
      <c r="AN492">
        <f t="shared" si="159"/>
        <v>28.8</v>
      </c>
      <c r="AO492">
        <f t="shared" si="160"/>
        <v>2400</v>
      </c>
      <c r="AP492">
        <f t="shared" si="161"/>
        <v>240</v>
      </c>
      <c r="AQ492">
        <f t="shared" si="162"/>
        <v>48</v>
      </c>
      <c r="AR492">
        <f t="shared" si="168"/>
        <v>4.8000000000000007</v>
      </c>
      <c r="AS492">
        <f t="shared" si="163"/>
        <v>1.5</v>
      </c>
      <c r="AT492">
        <f t="shared" si="164"/>
        <v>1.5</v>
      </c>
      <c r="AU492">
        <f t="shared" si="165"/>
        <v>6</v>
      </c>
      <c r="AV492">
        <f t="shared" si="154"/>
        <v>4021</v>
      </c>
      <c r="AW492" s="1">
        <v>2</v>
      </c>
      <c r="AX492">
        <v>5</v>
      </c>
      <c r="AY492">
        <v>0.1</v>
      </c>
      <c r="CE492" t="str">
        <f t="shared" si="152"/>
        <v>DATA_Class_Base33</v>
      </c>
      <c r="CF492" s="3" t="s">
        <v>391</v>
      </c>
    </row>
    <row r="493" spans="1:84">
      <c r="A493">
        <f t="shared" si="150"/>
        <v>5121500</v>
      </c>
      <c r="B493" s="31" t="s">
        <v>394</v>
      </c>
      <c r="C493">
        <v>12</v>
      </c>
      <c r="D493">
        <v>5</v>
      </c>
      <c r="E493">
        <v>1</v>
      </c>
      <c r="F493" s="3" t="s">
        <v>1683</v>
      </c>
      <c r="G493" s="3" t="s">
        <v>1683</v>
      </c>
      <c r="H493">
        <v>0</v>
      </c>
      <c r="I493">
        <v>0</v>
      </c>
      <c r="J493">
        <v>0</v>
      </c>
      <c r="K493" s="2" t="s">
        <v>303</v>
      </c>
      <c r="L493" s="2">
        <f t="shared" si="151"/>
        <v>6</v>
      </c>
      <c r="M493" s="2">
        <f t="shared" si="172"/>
        <v>1.5</v>
      </c>
      <c r="N493" s="2">
        <f t="shared" si="172"/>
        <v>1.5</v>
      </c>
      <c r="O493" s="2">
        <v>10</v>
      </c>
      <c r="P493" s="2">
        <f t="shared" si="167"/>
        <v>369.6</v>
      </c>
      <c r="Q493" s="2">
        <f t="shared" si="167"/>
        <v>36.96</v>
      </c>
      <c r="R493" s="2">
        <f t="shared" si="167"/>
        <v>2262.86</v>
      </c>
      <c r="S493" s="2">
        <f t="shared" si="167"/>
        <v>226.29</v>
      </c>
      <c r="T493" s="2">
        <f t="shared" si="167"/>
        <v>52.8</v>
      </c>
      <c r="U493" s="2">
        <f t="shared" si="167"/>
        <v>5.28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17">
        <v>515003</v>
      </c>
      <c r="AB493" s="14" t="s">
        <v>781</v>
      </c>
      <c r="AC493" s="15" t="s">
        <v>890</v>
      </c>
      <c r="AD493" s="2">
        <v>5131500</v>
      </c>
      <c r="AE493" s="2">
        <v>0</v>
      </c>
      <c r="AF493" s="2">
        <v>1</v>
      </c>
      <c r="AG493" s="2">
        <f t="shared" si="171"/>
        <v>5061500</v>
      </c>
      <c r="AH493" s="2">
        <v>2</v>
      </c>
      <c r="AJ493">
        <v>1</v>
      </c>
      <c r="AK493" s="1">
        <f t="shared" si="166"/>
        <v>177.50840879689517</v>
      </c>
      <c r="AL493">
        <v>12</v>
      </c>
      <c r="AM493">
        <f t="shared" si="158"/>
        <v>335.99999999999989</v>
      </c>
      <c r="AN493">
        <f t="shared" si="159"/>
        <v>33.599999999999987</v>
      </c>
      <c r="AO493">
        <f t="shared" si="160"/>
        <v>2057.1428571428573</v>
      </c>
      <c r="AP493">
        <f t="shared" si="161"/>
        <v>205.71428571428575</v>
      </c>
      <c r="AQ493">
        <f t="shared" si="162"/>
        <v>47.999999999999986</v>
      </c>
      <c r="AR493">
        <f t="shared" si="168"/>
        <v>4.7999999999999989</v>
      </c>
      <c r="AS493">
        <f t="shared" si="163"/>
        <v>1.5</v>
      </c>
      <c r="AT493">
        <f t="shared" si="164"/>
        <v>1.5</v>
      </c>
      <c r="AU493">
        <f t="shared" si="165"/>
        <v>6</v>
      </c>
      <c r="AV493">
        <f t="shared" si="154"/>
        <v>5001</v>
      </c>
      <c r="AW493" s="1">
        <v>0</v>
      </c>
      <c r="AX493">
        <v>5</v>
      </c>
      <c r="AY493">
        <v>0.1</v>
      </c>
      <c r="CE493" t="str">
        <f t="shared" si="152"/>
        <v>DATA_Class_Base34</v>
      </c>
      <c r="CF493" s="3" t="s">
        <v>184</v>
      </c>
    </row>
    <row r="494" spans="1:84">
      <c r="A494">
        <f t="shared" ref="A494:A557" si="173">AX494*1000000+C494*10000+E494*1000+D494*100+AW494</f>
        <v>5121502</v>
      </c>
      <c r="B494" s="31" t="s">
        <v>396</v>
      </c>
      <c r="C494">
        <v>12</v>
      </c>
      <c r="D494">
        <v>5</v>
      </c>
      <c r="E494">
        <v>1</v>
      </c>
      <c r="F494" s="3" t="s">
        <v>1684</v>
      </c>
      <c r="G494" s="3" t="s">
        <v>1684</v>
      </c>
      <c r="H494">
        <v>0</v>
      </c>
      <c r="I494">
        <v>0</v>
      </c>
      <c r="J494" s="2">
        <v>0</v>
      </c>
      <c r="K494" s="2" t="s">
        <v>291</v>
      </c>
      <c r="L494" s="2">
        <f t="shared" ref="L494:L557" si="174">AU494</f>
        <v>6</v>
      </c>
      <c r="M494" s="2">
        <f t="shared" si="172"/>
        <v>1.4000000000000001</v>
      </c>
      <c r="N494" s="2">
        <f t="shared" si="172"/>
        <v>2</v>
      </c>
      <c r="O494" s="2">
        <v>10</v>
      </c>
      <c r="P494" s="2">
        <f t="shared" si="167"/>
        <v>320.32</v>
      </c>
      <c r="Q494" s="2">
        <f t="shared" si="167"/>
        <v>32.03</v>
      </c>
      <c r="R494" s="2">
        <f t="shared" si="167"/>
        <v>2436.92</v>
      </c>
      <c r="S494" s="2">
        <f t="shared" si="167"/>
        <v>243.69</v>
      </c>
      <c r="T494" s="2">
        <f t="shared" si="167"/>
        <v>49.28</v>
      </c>
      <c r="U494" s="2">
        <f t="shared" si="167"/>
        <v>4.93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17">
        <v>515023</v>
      </c>
      <c r="AB494" s="14" t="s">
        <v>782</v>
      </c>
      <c r="AC494" s="15" t="s">
        <v>890</v>
      </c>
      <c r="AD494" s="2">
        <v>5131502</v>
      </c>
      <c r="AE494" s="2">
        <v>0</v>
      </c>
      <c r="AF494" s="2">
        <v>1</v>
      </c>
      <c r="AG494" s="2">
        <f t="shared" si="171"/>
        <v>5061502</v>
      </c>
      <c r="AH494" s="2">
        <v>2</v>
      </c>
      <c r="AJ494">
        <v>1</v>
      </c>
      <c r="AK494" s="1">
        <f t="shared" si="166"/>
        <v>177.38219895287952</v>
      </c>
      <c r="AL494">
        <v>12</v>
      </c>
      <c r="AM494">
        <f t="shared" si="158"/>
        <v>291.19999999999993</v>
      </c>
      <c r="AN494">
        <f t="shared" si="159"/>
        <v>29.119999999999994</v>
      </c>
      <c r="AO494">
        <f t="shared" si="160"/>
        <v>2215.3846153846152</v>
      </c>
      <c r="AP494">
        <f t="shared" si="161"/>
        <v>221.53846153846155</v>
      </c>
      <c r="AQ494">
        <f t="shared" si="162"/>
        <v>44.79999999999999</v>
      </c>
      <c r="AR494">
        <f t="shared" si="168"/>
        <v>4.4799999999999995</v>
      </c>
      <c r="AS494">
        <f t="shared" si="163"/>
        <v>1.4</v>
      </c>
      <c r="AT494">
        <f t="shared" si="164"/>
        <v>2</v>
      </c>
      <c r="AU494">
        <f t="shared" si="165"/>
        <v>6</v>
      </c>
      <c r="AV494">
        <f t="shared" si="154"/>
        <v>5021</v>
      </c>
      <c r="AW494" s="1">
        <v>2</v>
      </c>
      <c r="AX494">
        <v>5</v>
      </c>
      <c r="AY494">
        <v>0.1</v>
      </c>
      <c r="CE494" t="str">
        <f t="shared" si="152"/>
        <v>DATA_Class_Base35</v>
      </c>
      <c r="CF494" s="3" t="s">
        <v>195</v>
      </c>
    </row>
    <row r="495" spans="1:84">
      <c r="A495">
        <f t="shared" si="173"/>
        <v>5121601</v>
      </c>
      <c r="B495" s="31" t="s">
        <v>398</v>
      </c>
      <c r="C495">
        <v>12</v>
      </c>
      <c r="D495">
        <v>6</v>
      </c>
      <c r="E495">
        <v>1</v>
      </c>
      <c r="F495" s="3" t="s">
        <v>1685</v>
      </c>
      <c r="G495" s="3" t="s">
        <v>1685</v>
      </c>
      <c r="H495">
        <v>0</v>
      </c>
      <c r="I495">
        <v>0</v>
      </c>
      <c r="J495">
        <v>0</v>
      </c>
      <c r="K495" s="2" t="s">
        <v>309</v>
      </c>
      <c r="L495" s="2">
        <f t="shared" si="174"/>
        <v>6</v>
      </c>
      <c r="M495" s="2">
        <f t="shared" si="172"/>
        <v>1.5</v>
      </c>
      <c r="N495" s="2">
        <f t="shared" si="172"/>
        <v>2</v>
      </c>
      <c r="O495" s="2">
        <v>10</v>
      </c>
      <c r="P495" s="2">
        <f t="shared" si="167"/>
        <v>264</v>
      </c>
      <c r="Q495" s="2">
        <f t="shared" si="167"/>
        <v>26.4</v>
      </c>
      <c r="R495" s="2">
        <f t="shared" si="167"/>
        <v>3168</v>
      </c>
      <c r="S495" s="2">
        <f t="shared" si="167"/>
        <v>316.8</v>
      </c>
      <c r="T495" s="2">
        <f t="shared" si="167"/>
        <v>66</v>
      </c>
      <c r="U495" s="2">
        <f t="shared" si="167"/>
        <v>6.6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17">
        <v>516013</v>
      </c>
      <c r="AB495" s="14" t="s">
        <v>783</v>
      </c>
      <c r="AC495" s="15" t="s">
        <v>890</v>
      </c>
      <c r="AD495" s="2">
        <v>5131601</v>
      </c>
      <c r="AE495" s="2">
        <v>0</v>
      </c>
      <c r="AF495" s="2">
        <v>1</v>
      </c>
      <c r="AG495" s="2">
        <f t="shared" si="171"/>
        <v>5061601</v>
      </c>
      <c r="AH495" s="2">
        <v>2</v>
      </c>
      <c r="AJ495">
        <v>1</v>
      </c>
      <c r="AK495" s="1">
        <f t="shared" si="166"/>
        <v>177.9832995541143</v>
      </c>
      <c r="AL495">
        <v>12</v>
      </c>
      <c r="AM495">
        <f t="shared" si="158"/>
        <v>240</v>
      </c>
      <c r="AN495">
        <f t="shared" si="159"/>
        <v>24</v>
      </c>
      <c r="AO495">
        <f t="shared" si="160"/>
        <v>2880</v>
      </c>
      <c r="AP495">
        <f t="shared" si="161"/>
        <v>288</v>
      </c>
      <c r="AQ495">
        <f t="shared" si="162"/>
        <v>60</v>
      </c>
      <c r="AR495">
        <f t="shared" si="168"/>
        <v>6</v>
      </c>
      <c r="AS495">
        <f t="shared" si="163"/>
        <v>1.5</v>
      </c>
      <c r="AT495">
        <f t="shared" si="164"/>
        <v>2</v>
      </c>
      <c r="AU495">
        <f t="shared" si="165"/>
        <v>6</v>
      </c>
      <c r="AV495">
        <f t="shared" si="154"/>
        <v>6011</v>
      </c>
      <c r="AW495" s="1">
        <v>1</v>
      </c>
      <c r="AX495">
        <v>5</v>
      </c>
      <c r="AY495">
        <v>0.1</v>
      </c>
      <c r="CE495" t="str">
        <f t="shared" ref="CE495:CE558" si="175">INDEX($CB$18:$CB$59,MATCH($CF495,$CC$18:$CC$59,0))</f>
        <v>DATA_Class_Base36</v>
      </c>
      <c r="CF495" s="3" t="s">
        <v>201</v>
      </c>
    </row>
    <row r="496" spans="1:84">
      <c r="A496">
        <f t="shared" si="173"/>
        <v>5122200</v>
      </c>
      <c r="B496" s="31" t="s">
        <v>373</v>
      </c>
      <c r="C496">
        <v>12</v>
      </c>
      <c r="D496">
        <v>2</v>
      </c>
      <c r="E496">
        <v>2</v>
      </c>
      <c r="F496" s="3" t="s">
        <v>1686</v>
      </c>
      <c r="G496" s="3" t="s">
        <v>1686</v>
      </c>
      <c r="H496">
        <v>0</v>
      </c>
      <c r="I496">
        <v>0</v>
      </c>
      <c r="J496">
        <v>0</v>
      </c>
      <c r="K496" s="2" t="s">
        <v>314</v>
      </c>
      <c r="L496" s="2">
        <f t="shared" si="174"/>
        <v>3</v>
      </c>
      <c r="M496" s="2">
        <f t="shared" si="172"/>
        <v>1.5</v>
      </c>
      <c r="N496" s="2">
        <f t="shared" si="172"/>
        <v>1.2</v>
      </c>
      <c r="O496" s="2">
        <v>10</v>
      </c>
      <c r="P496" s="2">
        <f t="shared" si="167"/>
        <v>264</v>
      </c>
      <c r="Q496" s="2">
        <f t="shared" si="167"/>
        <v>26.4</v>
      </c>
      <c r="R496" s="2">
        <f t="shared" si="167"/>
        <v>3168</v>
      </c>
      <c r="S496" s="2">
        <f t="shared" si="167"/>
        <v>316.8</v>
      </c>
      <c r="T496" s="2">
        <f t="shared" si="167"/>
        <v>66</v>
      </c>
      <c r="U496" s="2">
        <f t="shared" si="167"/>
        <v>6.6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17">
        <v>522003</v>
      </c>
      <c r="AB496" s="14" t="s">
        <v>784</v>
      </c>
      <c r="AC496" s="15" t="s">
        <v>890</v>
      </c>
      <c r="AD496" s="2">
        <v>5132200</v>
      </c>
      <c r="AE496" s="2">
        <v>0</v>
      </c>
      <c r="AF496" s="2">
        <v>1</v>
      </c>
      <c r="AG496" s="2">
        <f t="shared" si="171"/>
        <v>5062200</v>
      </c>
      <c r="AH496" s="2">
        <v>2</v>
      </c>
      <c r="AJ496">
        <v>1</v>
      </c>
      <c r="AK496" s="1">
        <f t="shared" si="166"/>
        <v>177.9832995541143</v>
      </c>
      <c r="AL496">
        <v>12</v>
      </c>
      <c r="AM496">
        <f t="shared" si="158"/>
        <v>240</v>
      </c>
      <c r="AN496">
        <f t="shared" si="159"/>
        <v>24</v>
      </c>
      <c r="AO496">
        <f t="shared" si="160"/>
        <v>2880</v>
      </c>
      <c r="AP496">
        <f t="shared" si="161"/>
        <v>288</v>
      </c>
      <c r="AQ496">
        <f t="shared" si="162"/>
        <v>60</v>
      </c>
      <c r="AR496">
        <f t="shared" si="168"/>
        <v>6</v>
      </c>
      <c r="AS496">
        <f t="shared" si="163"/>
        <v>1.5</v>
      </c>
      <c r="AT496">
        <f t="shared" si="164"/>
        <v>1.2</v>
      </c>
      <c r="AU496">
        <f t="shared" si="165"/>
        <v>3</v>
      </c>
      <c r="AV496">
        <f t="shared" si="154"/>
        <v>2002</v>
      </c>
      <c r="AW496" s="1">
        <v>0</v>
      </c>
      <c r="AX496">
        <v>5</v>
      </c>
      <c r="AY496">
        <v>0.1</v>
      </c>
      <c r="CE496" t="str">
        <f t="shared" si="175"/>
        <v>DATA_Class_Base28</v>
      </c>
      <c r="CF496" s="3" t="s">
        <v>374</v>
      </c>
    </row>
    <row r="497" spans="1:84">
      <c r="A497">
        <f t="shared" si="173"/>
        <v>5122201</v>
      </c>
      <c r="B497" s="31" t="s">
        <v>377</v>
      </c>
      <c r="C497">
        <v>12</v>
      </c>
      <c r="D497">
        <v>2</v>
      </c>
      <c r="E497">
        <v>2</v>
      </c>
      <c r="F497" s="3" t="s">
        <v>1687</v>
      </c>
      <c r="G497" s="3" t="s">
        <v>1687</v>
      </c>
      <c r="H497">
        <v>0</v>
      </c>
      <c r="I497">
        <v>0</v>
      </c>
      <c r="J497">
        <v>0</v>
      </c>
      <c r="K497" s="8" t="s">
        <v>298</v>
      </c>
      <c r="L497" s="2">
        <f t="shared" si="174"/>
        <v>3</v>
      </c>
      <c r="M497" s="2">
        <f t="shared" si="172"/>
        <v>1.8</v>
      </c>
      <c r="N497" s="2">
        <f t="shared" si="172"/>
        <v>1.8</v>
      </c>
      <c r="O497" s="2">
        <v>10</v>
      </c>
      <c r="P497" s="2">
        <f t="shared" si="167"/>
        <v>221.76</v>
      </c>
      <c r="Q497" s="2">
        <f t="shared" si="167"/>
        <v>22.18</v>
      </c>
      <c r="R497" s="2">
        <f t="shared" si="167"/>
        <v>4525.71</v>
      </c>
      <c r="S497" s="2">
        <f t="shared" si="167"/>
        <v>452.57</v>
      </c>
      <c r="T497" s="2">
        <f t="shared" si="167"/>
        <v>73.92</v>
      </c>
      <c r="U497" s="2">
        <f t="shared" si="167"/>
        <v>7.39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17">
        <v>522013</v>
      </c>
      <c r="AB497" s="14" t="s">
        <v>785</v>
      </c>
      <c r="AC497" s="15" t="s">
        <v>890</v>
      </c>
      <c r="AD497" s="2">
        <v>5132201</v>
      </c>
      <c r="AE497" s="2">
        <v>0</v>
      </c>
      <c r="AF497" s="2">
        <v>1</v>
      </c>
      <c r="AG497" s="2">
        <f t="shared" si="171"/>
        <v>5062201</v>
      </c>
      <c r="AH497" s="2">
        <v>2</v>
      </c>
      <c r="AJ497">
        <v>1</v>
      </c>
      <c r="AK497" s="1">
        <f t="shared" si="166"/>
        <v>178.26945563206448</v>
      </c>
      <c r="AL497">
        <v>12</v>
      </c>
      <c r="AM497">
        <f t="shared" si="158"/>
        <v>201.60000000000002</v>
      </c>
      <c r="AN497">
        <f t="shared" si="159"/>
        <v>20.160000000000004</v>
      </c>
      <c r="AO497">
        <f t="shared" si="160"/>
        <v>4114.2857142857147</v>
      </c>
      <c r="AP497">
        <f t="shared" si="161"/>
        <v>411.4285714285715</v>
      </c>
      <c r="AQ497">
        <f t="shared" si="162"/>
        <v>67.2</v>
      </c>
      <c r="AR497">
        <f t="shared" si="168"/>
        <v>6.7200000000000006</v>
      </c>
      <c r="AS497">
        <f t="shared" si="163"/>
        <v>1.8</v>
      </c>
      <c r="AT497">
        <f t="shared" si="164"/>
        <v>1.8</v>
      </c>
      <c r="AU497">
        <f t="shared" si="165"/>
        <v>3</v>
      </c>
      <c r="AV497">
        <f t="shared" si="154"/>
        <v>2012</v>
      </c>
      <c r="AW497" s="1">
        <v>1</v>
      </c>
      <c r="AX497">
        <v>5</v>
      </c>
      <c r="AY497">
        <v>0.1</v>
      </c>
      <c r="CE497" t="str">
        <f t="shared" si="175"/>
        <v>DATA_Class_Base29</v>
      </c>
      <c r="CF497" s="3" t="s">
        <v>378</v>
      </c>
    </row>
    <row r="498" spans="1:84">
      <c r="A498">
        <f t="shared" si="173"/>
        <v>5122202</v>
      </c>
      <c r="B498" s="31" t="s">
        <v>380</v>
      </c>
      <c r="C498">
        <v>12</v>
      </c>
      <c r="D498">
        <v>2</v>
      </c>
      <c r="E498">
        <v>2</v>
      </c>
      <c r="F498" s="3" t="s">
        <v>1688</v>
      </c>
      <c r="G498" s="3" t="s">
        <v>1688</v>
      </c>
      <c r="H498">
        <v>0</v>
      </c>
      <c r="I498">
        <v>0</v>
      </c>
      <c r="J498" s="2">
        <v>0</v>
      </c>
      <c r="K498" s="2" t="s">
        <v>280</v>
      </c>
      <c r="L498" s="2">
        <f t="shared" si="174"/>
        <v>3</v>
      </c>
      <c r="M498" s="2">
        <f t="shared" si="172"/>
        <v>1.8</v>
      </c>
      <c r="N498" s="2">
        <f t="shared" si="172"/>
        <v>2</v>
      </c>
      <c r="O498" s="2">
        <v>10</v>
      </c>
      <c r="P498" s="2">
        <f t="shared" si="167"/>
        <v>364.32</v>
      </c>
      <c r="Q498" s="2">
        <f t="shared" si="167"/>
        <v>36.43</v>
      </c>
      <c r="R498" s="2">
        <f t="shared" si="167"/>
        <v>2754.78</v>
      </c>
      <c r="S498" s="2">
        <f t="shared" si="167"/>
        <v>275.48</v>
      </c>
      <c r="T498" s="2">
        <f t="shared" si="167"/>
        <v>72.86</v>
      </c>
      <c r="U498" s="2">
        <f t="shared" si="167"/>
        <v>7.29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17">
        <v>522023</v>
      </c>
      <c r="AB498" s="14" t="s">
        <v>786</v>
      </c>
      <c r="AC498" s="15" t="s">
        <v>890</v>
      </c>
      <c r="AD498" s="2">
        <v>5132202</v>
      </c>
      <c r="AE498" s="2">
        <v>0</v>
      </c>
      <c r="AF498" s="2">
        <v>1</v>
      </c>
      <c r="AG498" s="2">
        <f t="shared" si="171"/>
        <v>5062202</v>
      </c>
      <c r="AH498" s="2">
        <v>2</v>
      </c>
      <c r="AJ498">
        <v>1</v>
      </c>
      <c r="AK498" s="1">
        <f t="shared" si="166"/>
        <v>178.23124833574724</v>
      </c>
      <c r="AL498">
        <v>12</v>
      </c>
      <c r="AM498">
        <f t="shared" si="158"/>
        <v>331.2</v>
      </c>
      <c r="AN498">
        <f t="shared" si="159"/>
        <v>33.119999999999997</v>
      </c>
      <c r="AO498">
        <f t="shared" si="160"/>
        <v>2504.347826086957</v>
      </c>
      <c r="AP498">
        <f t="shared" si="161"/>
        <v>250.43478260869571</v>
      </c>
      <c r="AQ498">
        <f t="shared" si="162"/>
        <v>66.239999999999995</v>
      </c>
      <c r="AR498">
        <f t="shared" si="168"/>
        <v>6.6239999999999997</v>
      </c>
      <c r="AS498">
        <f t="shared" si="163"/>
        <v>1.8</v>
      </c>
      <c r="AT498">
        <f t="shared" si="164"/>
        <v>2</v>
      </c>
      <c r="AU498">
        <f t="shared" si="165"/>
        <v>3</v>
      </c>
      <c r="AV498">
        <f t="shared" si="154"/>
        <v>2022</v>
      </c>
      <c r="AW498" s="1">
        <v>2</v>
      </c>
      <c r="AX498">
        <v>5</v>
      </c>
      <c r="AY498">
        <v>0.1</v>
      </c>
      <c r="CE498" t="str">
        <f t="shared" si="175"/>
        <v>DATA_Class_Base30</v>
      </c>
      <c r="CF498" s="3" t="s">
        <v>381</v>
      </c>
    </row>
    <row r="499" spans="1:84">
      <c r="A499">
        <f t="shared" si="173"/>
        <v>5122301</v>
      </c>
      <c r="B499" s="31" t="s">
        <v>383</v>
      </c>
      <c r="C499">
        <v>12</v>
      </c>
      <c r="D499">
        <v>3</v>
      </c>
      <c r="E499">
        <v>2</v>
      </c>
      <c r="F499" s="3" t="s">
        <v>1689</v>
      </c>
      <c r="G499" s="3" t="s">
        <v>1689</v>
      </c>
      <c r="H499">
        <v>0</v>
      </c>
      <c r="I499">
        <v>0</v>
      </c>
      <c r="J499">
        <v>0</v>
      </c>
      <c r="K499" s="2" t="s">
        <v>285</v>
      </c>
      <c r="L499" s="2">
        <f t="shared" si="174"/>
        <v>3</v>
      </c>
      <c r="M499" s="2">
        <f t="shared" si="172"/>
        <v>1.2</v>
      </c>
      <c r="N499" s="2">
        <f t="shared" si="172"/>
        <v>1.7</v>
      </c>
      <c r="O499" s="2">
        <v>10</v>
      </c>
      <c r="P499" s="2">
        <f t="shared" si="167"/>
        <v>274.56</v>
      </c>
      <c r="Q499" s="2">
        <f t="shared" si="167"/>
        <v>27.46</v>
      </c>
      <c r="R499" s="2">
        <f t="shared" si="167"/>
        <v>2436.92</v>
      </c>
      <c r="S499" s="2">
        <f t="shared" ref="S499:U560" si="176">ROUND(AP499*(1+$AY499),2)</f>
        <v>243.69</v>
      </c>
      <c r="T499" s="2">
        <f t="shared" si="176"/>
        <v>45.76</v>
      </c>
      <c r="U499" s="2">
        <f t="shared" si="176"/>
        <v>4.58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17">
        <v>523013</v>
      </c>
      <c r="AB499" s="14" t="s">
        <v>787</v>
      </c>
      <c r="AC499" s="15" t="s">
        <v>890</v>
      </c>
      <c r="AD499" s="2">
        <v>5132301</v>
      </c>
      <c r="AE499" s="2">
        <v>0</v>
      </c>
      <c r="AF499" s="2">
        <v>1</v>
      </c>
      <c r="AG499" s="2">
        <f t="shared" si="171"/>
        <v>5062301</v>
      </c>
      <c r="AH499" s="2">
        <v>2</v>
      </c>
      <c r="AJ499">
        <v>1</v>
      </c>
      <c r="AK499" s="1">
        <f t="shared" si="166"/>
        <v>177.25616845368816</v>
      </c>
      <c r="AL499">
        <v>12</v>
      </c>
      <c r="AM499">
        <f t="shared" si="158"/>
        <v>249.60000000000002</v>
      </c>
      <c r="AN499">
        <f t="shared" si="159"/>
        <v>24.960000000000004</v>
      </c>
      <c r="AO499">
        <f t="shared" si="160"/>
        <v>2215.3846153846152</v>
      </c>
      <c r="AP499">
        <f t="shared" si="161"/>
        <v>221.53846153846155</v>
      </c>
      <c r="AQ499">
        <f t="shared" si="162"/>
        <v>41.6</v>
      </c>
      <c r="AR499">
        <f t="shared" si="168"/>
        <v>4.16</v>
      </c>
      <c r="AS499">
        <f t="shared" si="163"/>
        <v>1.2</v>
      </c>
      <c r="AT499">
        <f t="shared" si="164"/>
        <v>1.7</v>
      </c>
      <c r="AU499">
        <f t="shared" si="165"/>
        <v>3</v>
      </c>
      <c r="AV499">
        <f t="shared" si="154"/>
        <v>3012</v>
      </c>
      <c r="AW499" s="1">
        <v>1</v>
      </c>
      <c r="AX499">
        <v>5</v>
      </c>
      <c r="AY499">
        <v>0.1</v>
      </c>
      <c r="CE499" t="str">
        <f t="shared" si="175"/>
        <v>DATA_Class_Base31</v>
      </c>
      <c r="CF499" s="3" t="s">
        <v>384</v>
      </c>
    </row>
    <row r="500" spans="1:84">
      <c r="A500">
        <f t="shared" si="173"/>
        <v>5122401</v>
      </c>
      <c r="B500" s="31" t="s">
        <v>387</v>
      </c>
      <c r="C500">
        <v>12</v>
      </c>
      <c r="D500">
        <v>4</v>
      </c>
      <c r="E500">
        <v>2</v>
      </c>
      <c r="F500" s="3" t="s">
        <v>1690</v>
      </c>
      <c r="G500" s="3" t="s">
        <v>1690</v>
      </c>
      <c r="H500">
        <v>0</v>
      </c>
      <c r="I500">
        <v>0</v>
      </c>
      <c r="J500" s="2">
        <v>0</v>
      </c>
      <c r="K500" s="2" t="s">
        <v>161</v>
      </c>
      <c r="L500" s="2">
        <f t="shared" si="174"/>
        <v>6</v>
      </c>
      <c r="M500" s="2">
        <f t="shared" si="172"/>
        <v>1.6</v>
      </c>
      <c r="N500" s="2">
        <f t="shared" si="172"/>
        <v>1.5</v>
      </c>
      <c r="O500" s="2">
        <v>10</v>
      </c>
      <c r="P500" s="2">
        <f t="shared" ref="P500:R560" si="177">ROUND(AM500*(1+$AY500),2)</f>
        <v>366.08</v>
      </c>
      <c r="Q500" s="2">
        <f t="shared" si="177"/>
        <v>36.61</v>
      </c>
      <c r="R500" s="2">
        <f t="shared" si="177"/>
        <v>2436.92</v>
      </c>
      <c r="S500" s="2">
        <f t="shared" si="176"/>
        <v>243.69</v>
      </c>
      <c r="T500" s="2">
        <f t="shared" si="176"/>
        <v>40.68</v>
      </c>
      <c r="U500" s="2">
        <f t="shared" si="176"/>
        <v>4.07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17">
        <v>524013</v>
      </c>
      <c r="AB500" s="14" t="s">
        <v>788</v>
      </c>
      <c r="AC500" s="15" t="s">
        <v>890</v>
      </c>
      <c r="AD500" s="2">
        <v>5132401</v>
      </c>
      <c r="AE500" s="2">
        <v>0</v>
      </c>
      <c r="AF500" s="2">
        <v>1</v>
      </c>
      <c r="AG500" s="2">
        <f t="shared" si="171"/>
        <v>5062401</v>
      </c>
      <c r="AH500" s="2">
        <v>2</v>
      </c>
      <c r="AJ500">
        <v>1</v>
      </c>
      <c r="AK500" s="1">
        <f t="shared" si="166"/>
        <v>177.07444024634179</v>
      </c>
      <c r="AL500">
        <v>12</v>
      </c>
      <c r="AM500">
        <f t="shared" si="158"/>
        <v>332.8</v>
      </c>
      <c r="AN500">
        <f t="shared" si="159"/>
        <v>33.28</v>
      </c>
      <c r="AO500">
        <f t="shared" si="160"/>
        <v>2215.3846153846152</v>
      </c>
      <c r="AP500">
        <f t="shared" si="161"/>
        <v>221.53846153846155</v>
      </c>
      <c r="AQ500">
        <f t="shared" si="162"/>
        <v>36.977777777777781</v>
      </c>
      <c r="AR500">
        <f t="shared" si="168"/>
        <v>3.6977777777777785</v>
      </c>
      <c r="AS500">
        <f t="shared" si="163"/>
        <v>1.6</v>
      </c>
      <c r="AT500">
        <f t="shared" si="164"/>
        <v>1.5</v>
      </c>
      <c r="AU500">
        <f t="shared" si="165"/>
        <v>6</v>
      </c>
      <c r="AV500">
        <f t="shared" si="154"/>
        <v>4012</v>
      </c>
      <c r="AW500" s="1">
        <v>1</v>
      </c>
      <c r="AX500">
        <v>5</v>
      </c>
      <c r="AY500">
        <v>0.1</v>
      </c>
      <c r="CE500" t="str">
        <f t="shared" si="175"/>
        <v>DATA_Class_Base32</v>
      </c>
      <c r="CF500" s="3" t="s">
        <v>388</v>
      </c>
    </row>
    <row r="501" spans="1:84">
      <c r="A501">
        <f t="shared" si="173"/>
        <v>5122402</v>
      </c>
      <c r="B501" s="31" t="s">
        <v>390</v>
      </c>
      <c r="C501">
        <v>12</v>
      </c>
      <c r="D501">
        <v>4</v>
      </c>
      <c r="E501">
        <v>2</v>
      </c>
      <c r="F501" s="3" t="s">
        <v>1691</v>
      </c>
      <c r="G501" s="3" t="s">
        <v>1691</v>
      </c>
      <c r="H501">
        <v>0</v>
      </c>
      <c r="I501">
        <v>0</v>
      </c>
      <c r="J501">
        <v>0</v>
      </c>
      <c r="K501" s="2" t="s">
        <v>250</v>
      </c>
      <c r="L501" s="2">
        <f t="shared" si="174"/>
        <v>6</v>
      </c>
      <c r="M501" s="2">
        <f t="shared" si="172"/>
        <v>1.5</v>
      </c>
      <c r="N501" s="2">
        <f t="shared" si="172"/>
        <v>1.5</v>
      </c>
      <c r="O501" s="2">
        <v>10</v>
      </c>
      <c r="P501" s="2">
        <f t="shared" si="177"/>
        <v>369.6</v>
      </c>
      <c r="Q501" s="2">
        <f t="shared" si="177"/>
        <v>36.96</v>
      </c>
      <c r="R501" s="2">
        <f t="shared" si="177"/>
        <v>2262.86</v>
      </c>
      <c r="S501" s="2">
        <f t="shared" si="176"/>
        <v>226.29</v>
      </c>
      <c r="T501" s="2">
        <f t="shared" si="176"/>
        <v>46.2</v>
      </c>
      <c r="U501" s="2">
        <f t="shared" si="176"/>
        <v>4.62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17">
        <v>524023</v>
      </c>
      <c r="AB501" s="14" t="s">
        <v>789</v>
      </c>
      <c r="AC501" s="15" t="s">
        <v>890</v>
      </c>
      <c r="AD501" s="2">
        <v>5132402</v>
      </c>
      <c r="AE501" s="2">
        <v>0</v>
      </c>
      <c r="AF501" s="2">
        <v>1</v>
      </c>
      <c r="AG501" s="2">
        <f t="shared" si="171"/>
        <v>5062402</v>
      </c>
      <c r="AH501" s="2">
        <v>2</v>
      </c>
      <c r="AJ501">
        <v>1</v>
      </c>
      <c r="AK501" s="1">
        <f t="shared" si="166"/>
        <v>177.27191247123417</v>
      </c>
      <c r="AL501">
        <v>12</v>
      </c>
      <c r="AM501">
        <f t="shared" si="158"/>
        <v>335.99999999999989</v>
      </c>
      <c r="AN501">
        <f t="shared" si="159"/>
        <v>33.599999999999987</v>
      </c>
      <c r="AO501">
        <f t="shared" si="160"/>
        <v>2057.1428571428573</v>
      </c>
      <c r="AP501">
        <f t="shared" si="161"/>
        <v>205.71428571428575</v>
      </c>
      <c r="AQ501">
        <f t="shared" si="162"/>
        <v>41.999999999999986</v>
      </c>
      <c r="AR501">
        <f t="shared" si="168"/>
        <v>4.1999999999999984</v>
      </c>
      <c r="AS501">
        <f t="shared" si="163"/>
        <v>1.5</v>
      </c>
      <c r="AT501">
        <f t="shared" si="164"/>
        <v>1.5</v>
      </c>
      <c r="AU501">
        <f t="shared" si="165"/>
        <v>6</v>
      </c>
      <c r="AV501">
        <f t="shared" si="154"/>
        <v>4022</v>
      </c>
      <c r="AW501" s="1">
        <v>2</v>
      </c>
      <c r="AX501">
        <v>5</v>
      </c>
      <c r="AY501">
        <v>0.1</v>
      </c>
      <c r="CE501" t="str">
        <f t="shared" si="175"/>
        <v>DATA_Class_Base33</v>
      </c>
      <c r="CF501" s="3" t="s">
        <v>391</v>
      </c>
    </row>
    <row r="502" spans="1:84">
      <c r="A502">
        <f t="shared" si="173"/>
        <v>5122500</v>
      </c>
      <c r="B502" s="31" t="s">
        <v>394</v>
      </c>
      <c r="C502">
        <v>12</v>
      </c>
      <c r="D502">
        <v>5</v>
      </c>
      <c r="E502">
        <v>2</v>
      </c>
      <c r="F502" s="3" t="s">
        <v>1692</v>
      </c>
      <c r="G502" s="3" t="s">
        <v>1692</v>
      </c>
      <c r="H502">
        <v>0</v>
      </c>
      <c r="I502">
        <v>0</v>
      </c>
      <c r="J502" s="2">
        <v>0</v>
      </c>
      <c r="K502" s="2" t="s">
        <v>303</v>
      </c>
      <c r="L502" s="2">
        <f t="shared" si="174"/>
        <v>6</v>
      </c>
      <c r="M502" s="2">
        <f t="shared" si="172"/>
        <v>1.5</v>
      </c>
      <c r="N502" s="2">
        <f t="shared" si="172"/>
        <v>2</v>
      </c>
      <c r="O502" s="2">
        <v>10</v>
      </c>
      <c r="P502" s="2">
        <f t="shared" si="177"/>
        <v>396</v>
      </c>
      <c r="Q502" s="2">
        <f t="shared" si="177"/>
        <v>39.6</v>
      </c>
      <c r="R502" s="2">
        <f t="shared" si="177"/>
        <v>2112</v>
      </c>
      <c r="S502" s="2">
        <f t="shared" si="176"/>
        <v>211.2</v>
      </c>
      <c r="T502" s="2">
        <f t="shared" si="176"/>
        <v>44</v>
      </c>
      <c r="U502" s="2">
        <f t="shared" si="176"/>
        <v>4.4000000000000004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17">
        <v>525003</v>
      </c>
      <c r="AB502" s="14" t="s">
        <v>790</v>
      </c>
      <c r="AC502" s="15" t="s">
        <v>890</v>
      </c>
      <c r="AD502" s="2">
        <v>5132500</v>
      </c>
      <c r="AE502" s="2">
        <v>0</v>
      </c>
      <c r="AF502" s="2">
        <v>1</v>
      </c>
      <c r="AG502" s="2">
        <f t="shared" si="171"/>
        <v>5062500</v>
      </c>
      <c r="AH502" s="2">
        <v>2</v>
      </c>
      <c r="AJ502">
        <v>1</v>
      </c>
      <c r="AK502" s="1">
        <f t="shared" si="166"/>
        <v>177.19322033898308</v>
      </c>
      <c r="AL502">
        <v>12</v>
      </c>
      <c r="AM502">
        <f t="shared" si="158"/>
        <v>360</v>
      </c>
      <c r="AN502">
        <f t="shared" si="159"/>
        <v>36</v>
      </c>
      <c r="AO502">
        <f t="shared" si="160"/>
        <v>1920</v>
      </c>
      <c r="AP502">
        <f t="shared" si="161"/>
        <v>192</v>
      </c>
      <c r="AQ502">
        <f t="shared" si="162"/>
        <v>40</v>
      </c>
      <c r="AR502">
        <f t="shared" si="168"/>
        <v>4</v>
      </c>
      <c r="AS502">
        <f t="shared" si="163"/>
        <v>1.5</v>
      </c>
      <c r="AT502">
        <f t="shared" si="164"/>
        <v>2</v>
      </c>
      <c r="AU502">
        <f t="shared" si="165"/>
        <v>6</v>
      </c>
      <c r="AV502">
        <f t="shared" si="154"/>
        <v>5002</v>
      </c>
      <c r="AW502" s="1">
        <v>0</v>
      </c>
      <c r="AX502">
        <v>5</v>
      </c>
      <c r="AY502">
        <v>0.1</v>
      </c>
      <c r="CE502" t="str">
        <f t="shared" si="175"/>
        <v>DATA_Class_Base34</v>
      </c>
      <c r="CF502" s="3" t="s">
        <v>184</v>
      </c>
    </row>
    <row r="503" spans="1:84">
      <c r="A503">
        <f t="shared" si="173"/>
        <v>5122502</v>
      </c>
      <c r="B503" s="31" t="s">
        <v>396</v>
      </c>
      <c r="C503">
        <v>12</v>
      </c>
      <c r="D503">
        <v>5</v>
      </c>
      <c r="E503">
        <v>2</v>
      </c>
      <c r="F503" s="3" t="s">
        <v>1693</v>
      </c>
      <c r="G503" s="3" t="s">
        <v>1693</v>
      </c>
      <c r="H503">
        <v>0</v>
      </c>
      <c r="I503">
        <v>0</v>
      </c>
      <c r="J503" s="2">
        <v>0</v>
      </c>
      <c r="K503" s="2" t="s">
        <v>291</v>
      </c>
      <c r="L503" s="2">
        <f t="shared" si="174"/>
        <v>6</v>
      </c>
      <c r="M503" s="2">
        <f t="shared" si="172"/>
        <v>1.4000000000000001</v>
      </c>
      <c r="N503" s="2">
        <f t="shared" si="172"/>
        <v>2</v>
      </c>
      <c r="O503" s="2">
        <v>10</v>
      </c>
      <c r="P503" s="2">
        <f t="shared" si="177"/>
        <v>381.92</v>
      </c>
      <c r="Q503" s="2">
        <f t="shared" si="177"/>
        <v>38.19</v>
      </c>
      <c r="R503" s="2">
        <f t="shared" si="177"/>
        <v>2043.87</v>
      </c>
      <c r="S503" s="2">
        <f t="shared" si="176"/>
        <v>204.39</v>
      </c>
      <c r="T503" s="2">
        <f t="shared" si="176"/>
        <v>38.19</v>
      </c>
      <c r="U503" s="2">
        <f t="shared" si="176"/>
        <v>3.82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17">
        <v>525023</v>
      </c>
      <c r="AB503" s="14" t="s">
        <v>791</v>
      </c>
      <c r="AC503" s="15" t="s">
        <v>890</v>
      </c>
      <c r="AD503" s="2">
        <v>5132502</v>
      </c>
      <c r="AE503" s="2">
        <v>0</v>
      </c>
      <c r="AF503" s="2">
        <v>1</v>
      </c>
      <c r="AG503" s="2">
        <f t="shared" si="171"/>
        <v>5062502</v>
      </c>
      <c r="AH503" s="2">
        <v>2</v>
      </c>
      <c r="AJ503">
        <v>1</v>
      </c>
      <c r="AK503" s="1">
        <f t="shared" si="166"/>
        <v>176.98580839887393</v>
      </c>
      <c r="AL503">
        <v>12</v>
      </c>
      <c r="AM503">
        <f t="shared" si="158"/>
        <v>347.19999999999993</v>
      </c>
      <c r="AN503">
        <f t="shared" si="159"/>
        <v>34.719999999999992</v>
      </c>
      <c r="AO503">
        <f t="shared" si="160"/>
        <v>1858.0645161290322</v>
      </c>
      <c r="AP503">
        <f t="shared" si="161"/>
        <v>185.80645161290323</v>
      </c>
      <c r="AQ503">
        <f t="shared" si="162"/>
        <v>34.719999999999992</v>
      </c>
      <c r="AR503">
        <f t="shared" si="168"/>
        <v>3.4719999999999995</v>
      </c>
      <c r="AS503">
        <f t="shared" si="163"/>
        <v>1.4</v>
      </c>
      <c r="AT503">
        <f t="shared" si="164"/>
        <v>2</v>
      </c>
      <c r="AU503">
        <f t="shared" si="165"/>
        <v>6</v>
      </c>
      <c r="AV503">
        <f t="shared" si="154"/>
        <v>5022</v>
      </c>
      <c r="AW503" s="1">
        <v>2</v>
      </c>
      <c r="AX503">
        <v>5</v>
      </c>
      <c r="AY503">
        <v>0.1</v>
      </c>
      <c r="CE503" t="str">
        <f t="shared" si="175"/>
        <v>DATA_Class_Base35</v>
      </c>
      <c r="CF503" s="3" t="s">
        <v>195</v>
      </c>
    </row>
    <row r="504" spans="1:84">
      <c r="A504">
        <f t="shared" si="173"/>
        <v>5122601</v>
      </c>
      <c r="B504" s="31" t="s">
        <v>398</v>
      </c>
      <c r="C504">
        <v>12</v>
      </c>
      <c r="D504">
        <v>6</v>
      </c>
      <c r="E504">
        <v>2</v>
      </c>
      <c r="F504" s="3" t="s">
        <v>1694</v>
      </c>
      <c r="G504" s="3" t="s">
        <v>1694</v>
      </c>
      <c r="H504">
        <v>0</v>
      </c>
      <c r="I504">
        <v>0</v>
      </c>
      <c r="J504" s="2">
        <v>0</v>
      </c>
      <c r="K504" s="2" t="s">
        <v>309</v>
      </c>
      <c r="L504" s="2">
        <f t="shared" si="174"/>
        <v>6</v>
      </c>
      <c r="M504" s="2">
        <f t="shared" si="172"/>
        <v>1.5</v>
      </c>
      <c r="N504" s="2">
        <f t="shared" si="172"/>
        <v>2</v>
      </c>
      <c r="O504" s="2">
        <v>10</v>
      </c>
      <c r="P504" s="2">
        <f t="shared" si="177"/>
        <v>290.39999999999998</v>
      </c>
      <c r="Q504" s="2">
        <f t="shared" si="177"/>
        <v>29.04</v>
      </c>
      <c r="R504" s="2">
        <f t="shared" si="177"/>
        <v>2880</v>
      </c>
      <c r="S504" s="2">
        <f t="shared" si="176"/>
        <v>288</v>
      </c>
      <c r="T504" s="2">
        <f t="shared" si="176"/>
        <v>58.08</v>
      </c>
      <c r="U504" s="2">
        <f t="shared" si="176"/>
        <v>5.81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17">
        <v>526013</v>
      </c>
      <c r="AB504" s="14" t="s">
        <v>792</v>
      </c>
      <c r="AC504" s="15" t="s">
        <v>890</v>
      </c>
      <c r="AD504" s="2">
        <v>5132601</v>
      </c>
      <c r="AE504" s="2">
        <v>0</v>
      </c>
      <c r="AF504" s="2">
        <v>1</v>
      </c>
      <c r="AG504" s="2">
        <f t="shared" si="171"/>
        <v>5062601</v>
      </c>
      <c r="AH504" s="2">
        <v>2</v>
      </c>
      <c r="AJ504">
        <v>1</v>
      </c>
      <c r="AK504" s="1">
        <f t="shared" si="166"/>
        <v>177.69806067277491</v>
      </c>
      <c r="AL504">
        <v>12</v>
      </c>
      <c r="AM504">
        <f t="shared" si="158"/>
        <v>264</v>
      </c>
      <c r="AN504">
        <f t="shared" si="159"/>
        <v>26.400000000000002</v>
      </c>
      <c r="AO504">
        <f t="shared" si="160"/>
        <v>2618.181818181818</v>
      </c>
      <c r="AP504">
        <f t="shared" si="161"/>
        <v>261.81818181818181</v>
      </c>
      <c r="AQ504">
        <f t="shared" si="162"/>
        <v>52.8</v>
      </c>
      <c r="AR504">
        <f t="shared" si="168"/>
        <v>5.28</v>
      </c>
      <c r="AS504">
        <f t="shared" si="163"/>
        <v>1.5</v>
      </c>
      <c r="AT504">
        <f t="shared" si="164"/>
        <v>2</v>
      </c>
      <c r="AU504">
        <f t="shared" si="165"/>
        <v>6</v>
      </c>
      <c r="AV504">
        <f t="shared" si="154"/>
        <v>6012</v>
      </c>
      <c r="AW504" s="1">
        <v>1</v>
      </c>
      <c r="AX504">
        <v>5</v>
      </c>
      <c r="AY504">
        <v>0.1</v>
      </c>
      <c r="CE504" t="str">
        <f t="shared" si="175"/>
        <v>DATA_Class_Base36</v>
      </c>
      <c r="CF504" s="3" t="s">
        <v>201</v>
      </c>
    </row>
    <row r="505" spans="1:84">
      <c r="A505">
        <f t="shared" si="173"/>
        <v>5123200</v>
      </c>
      <c r="B505" s="31" t="s">
        <v>373</v>
      </c>
      <c r="C505">
        <v>12</v>
      </c>
      <c r="D505">
        <v>2</v>
      </c>
      <c r="E505">
        <v>3</v>
      </c>
      <c r="F505" s="3" t="s">
        <v>1695</v>
      </c>
      <c r="G505" s="3" t="s">
        <v>1695</v>
      </c>
      <c r="H505">
        <v>0</v>
      </c>
      <c r="I505">
        <v>0</v>
      </c>
      <c r="J505">
        <v>0</v>
      </c>
      <c r="K505" s="2" t="s">
        <v>314</v>
      </c>
      <c r="L505" s="2">
        <f t="shared" si="174"/>
        <v>3</v>
      </c>
      <c r="M505" s="2">
        <f t="shared" si="172"/>
        <v>1.5</v>
      </c>
      <c r="N505" s="2">
        <f t="shared" si="172"/>
        <v>1.2</v>
      </c>
      <c r="O505" s="2">
        <v>10</v>
      </c>
      <c r="P505" s="2">
        <f t="shared" si="177"/>
        <v>184.8</v>
      </c>
      <c r="Q505" s="2">
        <f t="shared" si="177"/>
        <v>18.48</v>
      </c>
      <c r="R505" s="2">
        <f t="shared" si="177"/>
        <v>4525.71</v>
      </c>
      <c r="S505" s="2">
        <f t="shared" si="176"/>
        <v>452.57</v>
      </c>
      <c r="T505" s="2">
        <f t="shared" si="176"/>
        <v>92.4</v>
      </c>
      <c r="U505" s="2">
        <f t="shared" si="176"/>
        <v>9.24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17">
        <v>532003</v>
      </c>
      <c r="AB505" s="14" t="s">
        <v>793</v>
      </c>
      <c r="AC505" s="15" t="s">
        <v>890</v>
      </c>
      <c r="AD505" s="2">
        <v>5133200</v>
      </c>
      <c r="AE505" s="2">
        <v>0</v>
      </c>
      <c r="AF505" s="2">
        <v>1</v>
      </c>
      <c r="AG505" s="2">
        <f t="shared" si="171"/>
        <v>5063200</v>
      </c>
      <c r="AH505" s="2">
        <v>2</v>
      </c>
      <c r="AJ505">
        <v>1</v>
      </c>
      <c r="AK505" s="1">
        <f t="shared" si="166"/>
        <v>178.94074496698994</v>
      </c>
      <c r="AL505">
        <v>12</v>
      </c>
      <c r="AM505">
        <f t="shared" si="158"/>
        <v>167.99999999999994</v>
      </c>
      <c r="AN505">
        <f t="shared" si="159"/>
        <v>16.799999999999994</v>
      </c>
      <c r="AO505">
        <f t="shared" si="160"/>
        <v>4114.2857142857147</v>
      </c>
      <c r="AP505">
        <f t="shared" si="161"/>
        <v>411.4285714285715</v>
      </c>
      <c r="AQ505">
        <f t="shared" si="162"/>
        <v>83.999999999999972</v>
      </c>
      <c r="AR505">
        <f t="shared" si="168"/>
        <v>8.3999999999999968</v>
      </c>
      <c r="AS505">
        <f t="shared" si="163"/>
        <v>1.5</v>
      </c>
      <c r="AT505">
        <f t="shared" si="164"/>
        <v>1.2</v>
      </c>
      <c r="AU505">
        <f t="shared" si="165"/>
        <v>3</v>
      </c>
      <c r="AV505">
        <f t="shared" si="154"/>
        <v>2003</v>
      </c>
      <c r="AW505" s="1">
        <v>0</v>
      </c>
      <c r="AX505">
        <v>5</v>
      </c>
      <c r="AY505">
        <v>0.1</v>
      </c>
      <c r="CE505" t="str">
        <f t="shared" si="175"/>
        <v>DATA_Class_Base28</v>
      </c>
      <c r="CF505" s="3" t="s">
        <v>374</v>
      </c>
    </row>
    <row r="506" spans="1:84">
      <c r="A506">
        <f t="shared" si="173"/>
        <v>5123201</v>
      </c>
      <c r="B506" s="31" t="s">
        <v>377</v>
      </c>
      <c r="C506">
        <v>12</v>
      </c>
      <c r="D506">
        <v>2</v>
      </c>
      <c r="E506">
        <v>3</v>
      </c>
      <c r="F506" s="3" t="s">
        <v>1696</v>
      </c>
      <c r="G506" s="3" t="s">
        <v>1696</v>
      </c>
      <c r="H506">
        <v>0</v>
      </c>
      <c r="I506">
        <v>0</v>
      </c>
      <c r="J506" s="2">
        <v>0</v>
      </c>
      <c r="K506" s="8" t="s">
        <v>298</v>
      </c>
      <c r="L506" s="2">
        <f t="shared" si="174"/>
        <v>3</v>
      </c>
      <c r="M506" s="2">
        <f t="shared" si="172"/>
        <v>1.8</v>
      </c>
      <c r="N506" s="2">
        <f t="shared" si="172"/>
        <v>1.8</v>
      </c>
      <c r="O506" s="2">
        <v>10</v>
      </c>
      <c r="P506" s="2">
        <f t="shared" si="177"/>
        <v>190.08</v>
      </c>
      <c r="Q506" s="2">
        <f t="shared" si="177"/>
        <v>19.010000000000002</v>
      </c>
      <c r="R506" s="2">
        <f t="shared" si="177"/>
        <v>5280</v>
      </c>
      <c r="S506" s="2">
        <f t="shared" si="176"/>
        <v>528</v>
      </c>
      <c r="T506" s="2">
        <f t="shared" si="176"/>
        <v>105.6</v>
      </c>
      <c r="U506" s="2">
        <f t="shared" si="176"/>
        <v>10.56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17">
        <v>532013</v>
      </c>
      <c r="AB506" s="14" t="s">
        <v>794</v>
      </c>
      <c r="AC506" s="15" t="s">
        <v>890</v>
      </c>
      <c r="AD506" s="2">
        <v>5133201</v>
      </c>
      <c r="AE506" s="2">
        <v>0</v>
      </c>
      <c r="AF506" s="2">
        <v>1</v>
      </c>
      <c r="AG506" s="2">
        <f t="shared" si="171"/>
        <v>5063201</v>
      </c>
      <c r="AH506" s="2">
        <v>2</v>
      </c>
      <c r="AJ506">
        <v>1</v>
      </c>
      <c r="AK506" s="1">
        <f t="shared" si="166"/>
        <v>179.4233409610984</v>
      </c>
      <c r="AL506">
        <v>12</v>
      </c>
      <c r="AM506">
        <f t="shared" si="158"/>
        <v>172.8</v>
      </c>
      <c r="AN506">
        <f t="shared" si="159"/>
        <v>17.28</v>
      </c>
      <c r="AO506">
        <f t="shared" si="160"/>
        <v>4800</v>
      </c>
      <c r="AP506">
        <f t="shared" si="161"/>
        <v>480</v>
      </c>
      <c r="AQ506">
        <f t="shared" si="162"/>
        <v>96</v>
      </c>
      <c r="AR506">
        <f t="shared" si="168"/>
        <v>9.6000000000000014</v>
      </c>
      <c r="AS506">
        <f t="shared" si="163"/>
        <v>1.8</v>
      </c>
      <c r="AT506">
        <f t="shared" si="164"/>
        <v>1.8</v>
      </c>
      <c r="AU506">
        <f t="shared" si="165"/>
        <v>3</v>
      </c>
      <c r="AV506">
        <f t="shared" ref="AV506:AV560" si="178">D506*1000+AW506*10+E506</f>
        <v>2013</v>
      </c>
      <c r="AW506" s="1">
        <v>1</v>
      </c>
      <c r="AX506">
        <v>5</v>
      </c>
      <c r="AY506">
        <v>0.1</v>
      </c>
      <c r="CE506" t="str">
        <f t="shared" si="175"/>
        <v>DATA_Class_Base29</v>
      </c>
      <c r="CF506" s="3" t="s">
        <v>378</v>
      </c>
    </row>
    <row r="507" spans="1:84">
      <c r="A507">
        <f t="shared" si="173"/>
        <v>5123202</v>
      </c>
      <c r="B507" s="31" t="s">
        <v>380</v>
      </c>
      <c r="C507">
        <v>12</v>
      </c>
      <c r="D507">
        <v>2</v>
      </c>
      <c r="E507">
        <v>3</v>
      </c>
      <c r="F507" s="3" t="s">
        <v>1697</v>
      </c>
      <c r="G507" s="3" t="s">
        <v>1697</v>
      </c>
      <c r="H507">
        <v>0</v>
      </c>
      <c r="I507">
        <v>0</v>
      </c>
      <c r="J507">
        <v>0</v>
      </c>
      <c r="K507" s="2" t="s">
        <v>280</v>
      </c>
      <c r="L507" s="2">
        <f t="shared" si="174"/>
        <v>3</v>
      </c>
      <c r="M507" s="2">
        <f t="shared" si="172"/>
        <v>1.8</v>
      </c>
      <c r="N507" s="2">
        <f t="shared" si="172"/>
        <v>2</v>
      </c>
      <c r="O507" s="2">
        <v>10</v>
      </c>
      <c r="P507" s="2">
        <f t="shared" si="177"/>
        <v>285.12</v>
      </c>
      <c r="Q507" s="2">
        <f t="shared" si="177"/>
        <v>28.51</v>
      </c>
      <c r="R507" s="2">
        <f t="shared" si="177"/>
        <v>3520</v>
      </c>
      <c r="S507" s="2">
        <f t="shared" si="176"/>
        <v>352</v>
      </c>
      <c r="T507" s="2">
        <f t="shared" si="176"/>
        <v>95.04</v>
      </c>
      <c r="U507" s="2">
        <f t="shared" si="176"/>
        <v>9.5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17">
        <v>532023</v>
      </c>
      <c r="AB507" s="14" t="s">
        <v>795</v>
      </c>
      <c r="AC507" s="15" t="s">
        <v>890</v>
      </c>
      <c r="AD507" s="2">
        <v>5133202</v>
      </c>
      <c r="AE507" s="2">
        <v>0</v>
      </c>
      <c r="AF507" s="2">
        <v>1</v>
      </c>
      <c r="AG507" s="2">
        <f t="shared" si="171"/>
        <v>5063202</v>
      </c>
      <c r="AH507" s="2">
        <v>2</v>
      </c>
      <c r="AJ507">
        <v>1</v>
      </c>
      <c r="AK507" s="1">
        <f t="shared" si="166"/>
        <v>179.0370563674322</v>
      </c>
      <c r="AL507">
        <v>12</v>
      </c>
      <c r="AM507">
        <f t="shared" si="158"/>
        <v>259.20000000000005</v>
      </c>
      <c r="AN507">
        <f t="shared" si="159"/>
        <v>25.920000000000005</v>
      </c>
      <c r="AO507">
        <f t="shared" si="160"/>
        <v>3200</v>
      </c>
      <c r="AP507">
        <f t="shared" si="161"/>
        <v>320</v>
      </c>
      <c r="AQ507">
        <f t="shared" si="162"/>
        <v>86.40000000000002</v>
      </c>
      <c r="AR507">
        <f t="shared" si="168"/>
        <v>8.6400000000000023</v>
      </c>
      <c r="AS507">
        <f t="shared" si="163"/>
        <v>1.8</v>
      </c>
      <c r="AT507">
        <f t="shared" si="164"/>
        <v>2</v>
      </c>
      <c r="AU507">
        <f t="shared" si="165"/>
        <v>3</v>
      </c>
      <c r="AV507">
        <f t="shared" si="178"/>
        <v>2023</v>
      </c>
      <c r="AW507" s="1">
        <v>2</v>
      </c>
      <c r="AX507">
        <v>5</v>
      </c>
      <c r="AY507">
        <v>0.1</v>
      </c>
      <c r="CE507" t="str">
        <f t="shared" si="175"/>
        <v>DATA_Class_Base30</v>
      </c>
      <c r="CF507" s="3" t="s">
        <v>381</v>
      </c>
    </row>
    <row r="508" spans="1:84">
      <c r="A508">
        <f t="shared" si="173"/>
        <v>5123301</v>
      </c>
      <c r="B508" s="31" t="s">
        <v>383</v>
      </c>
      <c r="C508">
        <v>12</v>
      </c>
      <c r="D508">
        <v>3</v>
      </c>
      <c r="E508">
        <v>3</v>
      </c>
      <c r="F508" s="3" t="s">
        <v>1698</v>
      </c>
      <c r="G508" s="3" t="s">
        <v>1698</v>
      </c>
      <c r="H508">
        <v>0</v>
      </c>
      <c r="I508">
        <v>0</v>
      </c>
      <c r="J508" s="2">
        <v>0</v>
      </c>
      <c r="K508" s="2" t="s">
        <v>285</v>
      </c>
      <c r="L508" s="2">
        <f t="shared" si="174"/>
        <v>3</v>
      </c>
      <c r="M508" s="2">
        <f t="shared" si="172"/>
        <v>1.2</v>
      </c>
      <c r="N508" s="2">
        <f t="shared" si="172"/>
        <v>1.4000000000000001</v>
      </c>
      <c r="O508" s="2">
        <v>10</v>
      </c>
      <c r="P508" s="2">
        <f t="shared" si="177"/>
        <v>253.44</v>
      </c>
      <c r="Q508" s="2">
        <f t="shared" si="177"/>
        <v>25.34</v>
      </c>
      <c r="R508" s="2">
        <f t="shared" si="177"/>
        <v>2640</v>
      </c>
      <c r="S508" s="2">
        <f t="shared" si="176"/>
        <v>264</v>
      </c>
      <c r="T508" s="2">
        <f t="shared" si="176"/>
        <v>50.69</v>
      </c>
      <c r="U508" s="2">
        <f t="shared" si="176"/>
        <v>5.07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17">
        <v>533013</v>
      </c>
      <c r="AB508" s="14" t="s">
        <v>796</v>
      </c>
      <c r="AC508" s="15" t="s">
        <v>890</v>
      </c>
      <c r="AD508" s="2">
        <v>5133301</v>
      </c>
      <c r="AE508" s="2">
        <v>0</v>
      </c>
      <c r="AF508" s="2">
        <v>1</v>
      </c>
      <c r="AG508" s="2">
        <f t="shared" si="171"/>
        <v>5063301</v>
      </c>
      <c r="AH508" s="2">
        <v>2</v>
      </c>
      <c r="AJ508">
        <v>1</v>
      </c>
      <c r="AK508" s="1">
        <f t="shared" si="166"/>
        <v>177.43266134767819</v>
      </c>
      <c r="AL508">
        <v>12</v>
      </c>
      <c r="AM508">
        <f t="shared" si="158"/>
        <v>230.39999999999998</v>
      </c>
      <c r="AN508">
        <f t="shared" si="159"/>
        <v>23.04</v>
      </c>
      <c r="AO508">
        <f t="shared" si="160"/>
        <v>2400</v>
      </c>
      <c r="AP508">
        <f t="shared" si="161"/>
        <v>240</v>
      </c>
      <c r="AQ508">
        <f t="shared" si="162"/>
        <v>46.08</v>
      </c>
      <c r="AR508">
        <f t="shared" si="168"/>
        <v>4.6079999999999997</v>
      </c>
      <c r="AS508">
        <f t="shared" si="163"/>
        <v>1.2</v>
      </c>
      <c r="AT508">
        <f t="shared" si="164"/>
        <v>1.4</v>
      </c>
      <c r="AU508">
        <f t="shared" si="165"/>
        <v>3</v>
      </c>
      <c r="AV508">
        <f t="shared" si="178"/>
        <v>3013</v>
      </c>
      <c r="AW508" s="1">
        <v>1</v>
      </c>
      <c r="AX508">
        <v>5</v>
      </c>
      <c r="AY508">
        <v>0.1</v>
      </c>
      <c r="CE508" t="str">
        <f t="shared" si="175"/>
        <v>DATA_Class_Base31</v>
      </c>
      <c r="CF508" s="3" t="s">
        <v>384</v>
      </c>
    </row>
    <row r="509" spans="1:84">
      <c r="A509">
        <f t="shared" si="173"/>
        <v>5123401</v>
      </c>
      <c r="B509" s="31" t="s">
        <v>387</v>
      </c>
      <c r="C509">
        <v>12</v>
      </c>
      <c r="D509">
        <v>4</v>
      </c>
      <c r="E509">
        <v>3</v>
      </c>
      <c r="F509" s="3" t="s">
        <v>1699</v>
      </c>
      <c r="G509" s="3" t="s">
        <v>1699</v>
      </c>
      <c r="H509">
        <v>0</v>
      </c>
      <c r="I509">
        <v>0</v>
      </c>
      <c r="J509">
        <v>0</v>
      </c>
      <c r="K509" s="2" t="s">
        <v>161</v>
      </c>
      <c r="L509" s="2">
        <f t="shared" si="174"/>
        <v>6</v>
      </c>
      <c r="M509" s="2">
        <f t="shared" si="172"/>
        <v>1.6</v>
      </c>
      <c r="N509" s="2">
        <f t="shared" si="172"/>
        <v>1.5</v>
      </c>
      <c r="O509" s="2">
        <v>10</v>
      </c>
      <c r="P509" s="2">
        <f t="shared" si="177"/>
        <v>337.92</v>
      </c>
      <c r="Q509" s="2">
        <f t="shared" si="177"/>
        <v>33.79</v>
      </c>
      <c r="R509" s="2">
        <f t="shared" si="177"/>
        <v>2640</v>
      </c>
      <c r="S509" s="2">
        <f t="shared" si="176"/>
        <v>264</v>
      </c>
      <c r="T509" s="2">
        <f t="shared" si="176"/>
        <v>56.32</v>
      </c>
      <c r="U509" s="2">
        <f t="shared" si="176"/>
        <v>5.63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17">
        <v>534013</v>
      </c>
      <c r="AB509" s="14" t="s">
        <v>797</v>
      </c>
      <c r="AC509" s="15" t="s">
        <v>890</v>
      </c>
      <c r="AD509" s="2">
        <v>5133401</v>
      </c>
      <c r="AE509" s="2">
        <v>0</v>
      </c>
      <c r="AF509" s="2">
        <v>1</v>
      </c>
      <c r="AG509" s="2">
        <f t="shared" si="171"/>
        <v>5063401</v>
      </c>
      <c r="AH509" s="2">
        <v>2</v>
      </c>
      <c r="AJ509">
        <v>1</v>
      </c>
      <c r="AK509" s="1">
        <f t="shared" si="166"/>
        <v>177.63479836882649</v>
      </c>
      <c r="AL509">
        <v>12</v>
      </c>
      <c r="AM509">
        <f t="shared" si="158"/>
        <v>307.20000000000005</v>
      </c>
      <c r="AN509">
        <f t="shared" si="159"/>
        <v>30.720000000000006</v>
      </c>
      <c r="AO509">
        <f t="shared" si="160"/>
        <v>2400</v>
      </c>
      <c r="AP509">
        <f t="shared" si="161"/>
        <v>240</v>
      </c>
      <c r="AQ509">
        <f t="shared" si="162"/>
        <v>51.20000000000001</v>
      </c>
      <c r="AR509">
        <f t="shared" si="168"/>
        <v>5.120000000000001</v>
      </c>
      <c r="AS509">
        <f t="shared" si="163"/>
        <v>1.6</v>
      </c>
      <c r="AT509">
        <f t="shared" si="164"/>
        <v>1.5</v>
      </c>
      <c r="AU509">
        <f t="shared" si="165"/>
        <v>6</v>
      </c>
      <c r="AV509">
        <f t="shared" si="178"/>
        <v>4013</v>
      </c>
      <c r="AW509" s="1">
        <v>1</v>
      </c>
      <c r="AX509">
        <v>5</v>
      </c>
      <c r="AY509">
        <v>0.1</v>
      </c>
      <c r="CE509" t="str">
        <f t="shared" si="175"/>
        <v>DATA_Class_Base32</v>
      </c>
      <c r="CF509" s="3" t="s">
        <v>388</v>
      </c>
    </row>
    <row r="510" spans="1:84">
      <c r="A510">
        <f t="shared" si="173"/>
        <v>5123402</v>
      </c>
      <c r="B510" s="31" t="s">
        <v>390</v>
      </c>
      <c r="C510">
        <v>12</v>
      </c>
      <c r="D510">
        <v>4</v>
      </c>
      <c r="E510">
        <v>3</v>
      </c>
      <c r="F510" s="3" t="s">
        <v>1700</v>
      </c>
      <c r="G510" s="3" t="s">
        <v>1700</v>
      </c>
      <c r="H510">
        <v>0</v>
      </c>
      <c r="I510">
        <v>0</v>
      </c>
      <c r="J510" s="2">
        <v>0</v>
      </c>
      <c r="K510" s="2" t="s">
        <v>250</v>
      </c>
      <c r="L510" s="2">
        <f t="shared" si="174"/>
        <v>6</v>
      </c>
      <c r="M510" s="2">
        <f t="shared" si="172"/>
        <v>1.5</v>
      </c>
      <c r="N510" s="2">
        <f t="shared" si="172"/>
        <v>1.5</v>
      </c>
      <c r="O510" s="2">
        <v>10</v>
      </c>
      <c r="P510" s="2">
        <f t="shared" si="177"/>
        <v>343.2</v>
      </c>
      <c r="Q510" s="2">
        <f t="shared" si="177"/>
        <v>34.32</v>
      </c>
      <c r="R510" s="2">
        <f t="shared" si="177"/>
        <v>2436.92</v>
      </c>
      <c r="S510" s="2">
        <f t="shared" si="176"/>
        <v>243.69</v>
      </c>
      <c r="T510" s="2">
        <f t="shared" si="176"/>
        <v>49.03</v>
      </c>
      <c r="U510" s="2">
        <f t="shared" si="176"/>
        <v>4.9000000000000004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17">
        <v>534023</v>
      </c>
      <c r="AB510" s="14" t="s">
        <v>798</v>
      </c>
      <c r="AC510" s="15" t="s">
        <v>890</v>
      </c>
      <c r="AD510" s="2">
        <v>5133402</v>
      </c>
      <c r="AE510" s="2">
        <v>0</v>
      </c>
      <c r="AF510" s="2">
        <v>1</v>
      </c>
      <c r="AG510" s="2">
        <f t="shared" si="171"/>
        <v>5063402</v>
      </c>
      <c r="AH510" s="2">
        <v>2</v>
      </c>
      <c r="AJ510">
        <v>1</v>
      </c>
      <c r="AK510" s="1">
        <f t="shared" si="166"/>
        <v>177.37319083123654</v>
      </c>
      <c r="AL510">
        <v>12</v>
      </c>
      <c r="AM510">
        <f t="shared" si="158"/>
        <v>312</v>
      </c>
      <c r="AN510">
        <f t="shared" si="159"/>
        <v>31.200000000000003</v>
      </c>
      <c r="AO510">
        <f t="shared" si="160"/>
        <v>2215.3846153846152</v>
      </c>
      <c r="AP510">
        <f t="shared" si="161"/>
        <v>221.53846153846155</v>
      </c>
      <c r="AQ510">
        <f t="shared" si="162"/>
        <v>44.571428571428569</v>
      </c>
      <c r="AR510">
        <f t="shared" si="168"/>
        <v>4.4571428571428573</v>
      </c>
      <c r="AS510">
        <f t="shared" si="163"/>
        <v>1.5</v>
      </c>
      <c r="AT510">
        <f t="shared" si="164"/>
        <v>1.5</v>
      </c>
      <c r="AU510">
        <f t="shared" si="165"/>
        <v>6</v>
      </c>
      <c r="AV510">
        <f t="shared" si="178"/>
        <v>4023</v>
      </c>
      <c r="AW510" s="1">
        <v>2</v>
      </c>
      <c r="AX510">
        <v>5</v>
      </c>
      <c r="AY510">
        <v>0.1</v>
      </c>
      <c r="CE510" t="str">
        <f t="shared" si="175"/>
        <v>DATA_Class_Base33</v>
      </c>
      <c r="CF510" s="3" t="s">
        <v>391</v>
      </c>
    </row>
    <row r="511" spans="1:84">
      <c r="A511">
        <f t="shared" si="173"/>
        <v>5123500</v>
      </c>
      <c r="B511" s="31" t="s">
        <v>394</v>
      </c>
      <c r="C511">
        <v>12</v>
      </c>
      <c r="D511">
        <v>5</v>
      </c>
      <c r="E511">
        <v>3</v>
      </c>
      <c r="F511" s="3" t="s">
        <v>1701</v>
      </c>
      <c r="G511" s="3" t="s">
        <v>1701</v>
      </c>
      <c r="H511">
        <v>0</v>
      </c>
      <c r="I511">
        <v>0</v>
      </c>
      <c r="J511" s="2">
        <v>0</v>
      </c>
      <c r="K511" s="2" t="s">
        <v>303</v>
      </c>
      <c r="L511" s="2">
        <f t="shared" si="174"/>
        <v>6</v>
      </c>
      <c r="M511" s="2">
        <f t="shared" si="172"/>
        <v>1.5</v>
      </c>
      <c r="N511" s="2">
        <f t="shared" si="172"/>
        <v>2</v>
      </c>
      <c r="O511" s="2">
        <v>10</v>
      </c>
      <c r="P511" s="2">
        <f t="shared" si="177"/>
        <v>343.2</v>
      </c>
      <c r="Q511" s="2">
        <f t="shared" si="177"/>
        <v>34.32</v>
      </c>
      <c r="R511" s="2">
        <f t="shared" si="177"/>
        <v>2436.92</v>
      </c>
      <c r="S511" s="2">
        <f t="shared" si="176"/>
        <v>243.69</v>
      </c>
      <c r="T511" s="2">
        <f t="shared" si="176"/>
        <v>57.2</v>
      </c>
      <c r="U511" s="2">
        <f t="shared" si="176"/>
        <v>5.72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17">
        <v>535003</v>
      </c>
      <c r="AB511" s="14" t="s">
        <v>799</v>
      </c>
      <c r="AC511" s="15" t="s">
        <v>890</v>
      </c>
      <c r="AD511" s="2">
        <v>5133500</v>
      </c>
      <c r="AE511" s="2">
        <v>0</v>
      </c>
      <c r="AF511" s="2">
        <v>1</v>
      </c>
      <c r="AG511" s="2">
        <f t="shared" si="171"/>
        <v>5063500</v>
      </c>
      <c r="AH511" s="2">
        <v>2</v>
      </c>
      <c r="AJ511">
        <v>1</v>
      </c>
      <c r="AK511" s="1">
        <f t="shared" si="166"/>
        <v>177.6664238892935</v>
      </c>
      <c r="AL511">
        <v>12</v>
      </c>
      <c r="AM511">
        <f t="shared" si="158"/>
        <v>312</v>
      </c>
      <c r="AN511">
        <f t="shared" si="159"/>
        <v>31.200000000000003</v>
      </c>
      <c r="AO511">
        <f t="shared" si="160"/>
        <v>2215.3846153846152</v>
      </c>
      <c r="AP511">
        <f t="shared" si="161"/>
        <v>221.53846153846155</v>
      </c>
      <c r="AQ511">
        <f t="shared" si="162"/>
        <v>52</v>
      </c>
      <c r="AR511">
        <f t="shared" si="168"/>
        <v>5.2</v>
      </c>
      <c r="AS511">
        <f t="shared" si="163"/>
        <v>1.5</v>
      </c>
      <c r="AT511">
        <f t="shared" si="164"/>
        <v>2</v>
      </c>
      <c r="AU511">
        <f t="shared" si="165"/>
        <v>6</v>
      </c>
      <c r="AV511">
        <f t="shared" si="178"/>
        <v>5003</v>
      </c>
      <c r="AW511" s="1">
        <v>0</v>
      </c>
      <c r="AX511">
        <v>5</v>
      </c>
      <c r="AY511">
        <v>0.1</v>
      </c>
      <c r="CE511" t="str">
        <f t="shared" si="175"/>
        <v>DATA_Class_Base34</v>
      </c>
      <c r="CF511" s="3" t="s">
        <v>184</v>
      </c>
    </row>
    <row r="512" spans="1:84">
      <c r="A512">
        <f t="shared" si="173"/>
        <v>5123502</v>
      </c>
      <c r="B512" s="31" t="s">
        <v>396</v>
      </c>
      <c r="C512">
        <v>12</v>
      </c>
      <c r="D512">
        <v>5</v>
      </c>
      <c r="E512">
        <v>3</v>
      </c>
      <c r="F512" s="3" t="s">
        <v>1702</v>
      </c>
      <c r="G512" s="3" t="s">
        <v>1702</v>
      </c>
      <c r="H512">
        <v>0</v>
      </c>
      <c r="I512">
        <v>0</v>
      </c>
      <c r="J512" s="2">
        <v>0</v>
      </c>
      <c r="K512" s="2" t="s">
        <v>291</v>
      </c>
      <c r="L512" s="2">
        <f t="shared" si="174"/>
        <v>6</v>
      </c>
      <c r="M512" s="2">
        <f t="shared" si="172"/>
        <v>1.4000000000000001</v>
      </c>
      <c r="N512" s="2">
        <f t="shared" si="172"/>
        <v>2</v>
      </c>
      <c r="O512" s="2">
        <v>10</v>
      </c>
      <c r="P512" s="2">
        <f t="shared" si="177"/>
        <v>332.64</v>
      </c>
      <c r="Q512" s="2">
        <f t="shared" si="177"/>
        <v>33.26</v>
      </c>
      <c r="R512" s="2">
        <f t="shared" si="177"/>
        <v>2346.67</v>
      </c>
      <c r="S512" s="2">
        <f t="shared" si="176"/>
        <v>234.67</v>
      </c>
      <c r="T512" s="2">
        <f t="shared" si="176"/>
        <v>47.52</v>
      </c>
      <c r="U512" s="2">
        <f t="shared" si="176"/>
        <v>4.75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17">
        <v>535023</v>
      </c>
      <c r="AB512" s="14" t="s">
        <v>800</v>
      </c>
      <c r="AC512" s="15" t="s">
        <v>890</v>
      </c>
      <c r="AD512" s="2">
        <v>5133502</v>
      </c>
      <c r="AE512" s="2">
        <v>0</v>
      </c>
      <c r="AF512" s="2">
        <v>1</v>
      </c>
      <c r="AG512" s="2">
        <f t="shared" si="171"/>
        <v>5063502</v>
      </c>
      <c r="AH512" s="2">
        <v>2</v>
      </c>
      <c r="AJ512">
        <v>1</v>
      </c>
      <c r="AK512" s="1">
        <f t="shared" si="166"/>
        <v>177.31916130908152</v>
      </c>
      <c r="AL512">
        <v>12</v>
      </c>
      <c r="AM512">
        <f t="shared" si="158"/>
        <v>302.39999999999998</v>
      </c>
      <c r="AN512">
        <f t="shared" si="159"/>
        <v>30.24</v>
      </c>
      <c r="AO512">
        <f t="shared" si="160"/>
        <v>2133.333333333333</v>
      </c>
      <c r="AP512">
        <f t="shared" si="161"/>
        <v>213.33333333333331</v>
      </c>
      <c r="AQ512">
        <f t="shared" si="162"/>
        <v>43.199999999999996</v>
      </c>
      <c r="AR512">
        <f t="shared" si="168"/>
        <v>4.3199999999999994</v>
      </c>
      <c r="AS512">
        <f t="shared" si="163"/>
        <v>1.4</v>
      </c>
      <c r="AT512">
        <f t="shared" si="164"/>
        <v>2</v>
      </c>
      <c r="AU512">
        <f t="shared" si="165"/>
        <v>6</v>
      </c>
      <c r="AV512">
        <f t="shared" si="178"/>
        <v>5023</v>
      </c>
      <c r="AW512" s="1">
        <v>2</v>
      </c>
      <c r="AX512">
        <v>5</v>
      </c>
      <c r="AY512">
        <v>0.1</v>
      </c>
      <c r="CE512" t="str">
        <f t="shared" si="175"/>
        <v>DATA_Class_Base35</v>
      </c>
      <c r="CF512" s="3" t="s">
        <v>195</v>
      </c>
    </row>
    <row r="513" spans="1:84">
      <c r="A513">
        <f t="shared" si="173"/>
        <v>5123601</v>
      </c>
      <c r="B513" s="31" t="s">
        <v>398</v>
      </c>
      <c r="C513">
        <v>12</v>
      </c>
      <c r="D513">
        <v>6</v>
      </c>
      <c r="E513">
        <v>3</v>
      </c>
      <c r="F513" s="3" t="s">
        <v>1703</v>
      </c>
      <c r="G513" s="3" t="s">
        <v>1703</v>
      </c>
      <c r="H513">
        <v>0</v>
      </c>
      <c r="I513">
        <v>0</v>
      </c>
      <c r="J513">
        <v>0</v>
      </c>
      <c r="K513" s="2" t="s">
        <v>309</v>
      </c>
      <c r="L513" s="2">
        <f t="shared" si="174"/>
        <v>6</v>
      </c>
      <c r="M513" s="2">
        <f t="shared" si="172"/>
        <v>1.5</v>
      </c>
      <c r="N513" s="2">
        <f t="shared" si="172"/>
        <v>2</v>
      </c>
      <c r="O513" s="2">
        <v>10</v>
      </c>
      <c r="P513" s="2">
        <f t="shared" si="177"/>
        <v>237.6</v>
      </c>
      <c r="Q513" s="2">
        <f t="shared" si="177"/>
        <v>23.76</v>
      </c>
      <c r="R513" s="2">
        <f t="shared" si="177"/>
        <v>3520</v>
      </c>
      <c r="S513" s="2">
        <f t="shared" si="176"/>
        <v>352</v>
      </c>
      <c r="T513" s="2">
        <f t="shared" si="176"/>
        <v>79.2</v>
      </c>
      <c r="U513" s="2">
        <f t="shared" si="176"/>
        <v>7.92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17">
        <v>536013</v>
      </c>
      <c r="AB513" s="14" t="s">
        <v>801</v>
      </c>
      <c r="AC513" s="15" t="s">
        <v>890</v>
      </c>
      <c r="AD513" s="2">
        <v>5133601</v>
      </c>
      <c r="AE513" s="2">
        <v>0</v>
      </c>
      <c r="AF513" s="2">
        <v>1</v>
      </c>
      <c r="AG513" s="2">
        <f t="shared" si="171"/>
        <v>5063601</v>
      </c>
      <c r="AH513" s="2">
        <v>2</v>
      </c>
      <c r="AJ513">
        <v>1</v>
      </c>
      <c r="AK513" s="1">
        <f t="shared" si="166"/>
        <v>178.46073809136726</v>
      </c>
      <c r="AL513">
        <v>12</v>
      </c>
      <c r="AM513">
        <f t="shared" si="158"/>
        <v>216</v>
      </c>
      <c r="AN513">
        <f t="shared" si="159"/>
        <v>21.6</v>
      </c>
      <c r="AO513">
        <f t="shared" si="160"/>
        <v>3200</v>
      </c>
      <c r="AP513">
        <f t="shared" si="161"/>
        <v>320</v>
      </c>
      <c r="AQ513">
        <f t="shared" si="162"/>
        <v>72</v>
      </c>
      <c r="AR513">
        <f t="shared" si="168"/>
        <v>7.2</v>
      </c>
      <c r="AS513">
        <f t="shared" si="163"/>
        <v>1.5</v>
      </c>
      <c r="AT513">
        <f t="shared" si="164"/>
        <v>2</v>
      </c>
      <c r="AU513">
        <f t="shared" si="165"/>
        <v>6</v>
      </c>
      <c r="AV513">
        <f t="shared" si="178"/>
        <v>6013</v>
      </c>
      <c r="AW513" s="1">
        <v>1</v>
      </c>
      <c r="AX513">
        <v>5</v>
      </c>
      <c r="AY513">
        <v>0.1</v>
      </c>
      <c r="CE513" t="str">
        <f t="shared" si="175"/>
        <v>DATA_Class_Base36</v>
      </c>
      <c r="CF513" s="3" t="s">
        <v>201</v>
      </c>
    </row>
    <row r="514" spans="1:84">
      <c r="A514">
        <f t="shared" si="173"/>
        <v>5124201</v>
      </c>
      <c r="B514" t="s">
        <v>377</v>
      </c>
      <c r="C514">
        <v>12</v>
      </c>
      <c r="D514">
        <v>2</v>
      </c>
      <c r="E514">
        <v>4</v>
      </c>
      <c r="F514" s="3" t="s">
        <v>1704</v>
      </c>
      <c r="G514" s="3" t="s">
        <v>1704</v>
      </c>
      <c r="H514">
        <v>0</v>
      </c>
      <c r="I514">
        <v>0</v>
      </c>
      <c r="J514" s="30">
        <v>0</v>
      </c>
      <c r="K514" s="8" t="s">
        <v>298</v>
      </c>
      <c r="L514" s="2">
        <f t="shared" si="174"/>
        <v>3</v>
      </c>
      <c r="M514" s="2">
        <f t="shared" si="172"/>
        <v>1.8</v>
      </c>
      <c r="N514" s="2">
        <f t="shared" si="172"/>
        <v>1.8</v>
      </c>
      <c r="O514" s="2">
        <v>10</v>
      </c>
      <c r="P514" s="2">
        <f t="shared" si="177"/>
        <v>253.44</v>
      </c>
      <c r="Q514" s="2">
        <f t="shared" si="177"/>
        <v>25.34</v>
      </c>
      <c r="R514" s="2">
        <f t="shared" si="177"/>
        <v>3960</v>
      </c>
      <c r="S514" s="2">
        <f t="shared" si="176"/>
        <v>396</v>
      </c>
      <c r="T514" s="2">
        <f t="shared" si="176"/>
        <v>97.48</v>
      </c>
      <c r="U514" s="2">
        <f t="shared" si="176"/>
        <v>9.75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17">
        <v>542013</v>
      </c>
      <c r="AB514" s="15" t="s">
        <v>802</v>
      </c>
      <c r="AC514" s="15" t="s">
        <v>890</v>
      </c>
      <c r="AD514" s="2">
        <v>5134201</v>
      </c>
      <c r="AE514" s="2">
        <v>0</v>
      </c>
      <c r="AF514" s="2">
        <v>1</v>
      </c>
      <c r="AG514" s="2">
        <f t="shared" si="171"/>
        <v>5064201</v>
      </c>
      <c r="AH514" s="2">
        <v>2</v>
      </c>
      <c r="AI514" s="2"/>
      <c r="AJ514">
        <v>1</v>
      </c>
      <c r="AK514" s="1">
        <f t="shared" si="166"/>
        <v>179.12605126402735</v>
      </c>
      <c r="AL514">
        <v>12</v>
      </c>
      <c r="AM514">
        <f t="shared" si="158"/>
        <v>230.40000000000003</v>
      </c>
      <c r="AN514">
        <f t="shared" si="159"/>
        <v>23.040000000000006</v>
      </c>
      <c r="AO514">
        <f t="shared" si="160"/>
        <v>3600</v>
      </c>
      <c r="AP514">
        <f t="shared" si="161"/>
        <v>360</v>
      </c>
      <c r="AQ514">
        <f t="shared" si="162"/>
        <v>88.615384615384627</v>
      </c>
      <c r="AR514">
        <f t="shared" si="168"/>
        <v>8.8615384615384638</v>
      </c>
      <c r="AS514">
        <f t="shared" si="163"/>
        <v>1.8</v>
      </c>
      <c r="AT514">
        <f t="shared" si="164"/>
        <v>1.8</v>
      </c>
      <c r="AU514">
        <f t="shared" si="165"/>
        <v>3</v>
      </c>
      <c r="AV514">
        <f t="shared" si="178"/>
        <v>2014</v>
      </c>
      <c r="AW514" s="1">
        <v>1</v>
      </c>
      <c r="AX514">
        <v>5</v>
      </c>
      <c r="AY514">
        <v>0.1</v>
      </c>
      <c r="BY514" s="13"/>
      <c r="BZ514" s="13"/>
      <c r="CA514" s="13"/>
      <c r="CE514" t="str">
        <f t="shared" si="175"/>
        <v>DATA_Class_Base29</v>
      </c>
      <c r="CF514" s="3" t="s">
        <v>378</v>
      </c>
    </row>
    <row r="515" spans="1:84">
      <c r="A515">
        <f t="shared" si="173"/>
        <v>5124302</v>
      </c>
      <c r="B515" t="s">
        <v>412</v>
      </c>
      <c r="C515">
        <v>12</v>
      </c>
      <c r="D515">
        <v>3</v>
      </c>
      <c r="E515">
        <v>4</v>
      </c>
      <c r="F515" s="3" t="s">
        <v>1705</v>
      </c>
      <c r="G515" s="3" t="s">
        <v>1705</v>
      </c>
      <c r="H515">
        <v>0</v>
      </c>
      <c r="I515">
        <v>0</v>
      </c>
      <c r="J515" s="30">
        <v>0</v>
      </c>
      <c r="K515" s="2" t="s">
        <v>358</v>
      </c>
      <c r="L515" s="2">
        <f t="shared" si="174"/>
        <v>3</v>
      </c>
      <c r="M515" s="2">
        <f t="shared" si="172"/>
        <v>1.4000000000000001</v>
      </c>
      <c r="N515" s="2">
        <f t="shared" si="172"/>
        <v>2</v>
      </c>
      <c r="O515" s="2">
        <v>10</v>
      </c>
      <c r="P515" s="2">
        <f t="shared" si="177"/>
        <v>271.04000000000002</v>
      </c>
      <c r="Q515" s="2">
        <f t="shared" si="177"/>
        <v>27.1</v>
      </c>
      <c r="R515" s="2">
        <f t="shared" si="177"/>
        <v>2880</v>
      </c>
      <c r="S515" s="2">
        <f t="shared" si="176"/>
        <v>288</v>
      </c>
      <c r="T515" s="2">
        <f t="shared" si="176"/>
        <v>41.7</v>
      </c>
      <c r="U515" s="2">
        <f t="shared" si="176"/>
        <v>4.17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17">
        <v>543023</v>
      </c>
      <c r="AB515" s="15" t="s">
        <v>803</v>
      </c>
      <c r="AC515" s="15" t="s">
        <v>890</v>
      </c>
      <c r="AD515" s="2">
        <v>5134302</v>
      </c>
      <c r="AE515" s="2">
        <v>0</v>
      </c>
      <c r="AF515" s="2">
        <v>1</v>
      </c>
      <c r="AG515" s="2">
        <f t="shared" si="171"/>
        <v>5064302</v>
      </c>
      <c r="AH515" s="2">
        <v>2</v>
      </c>
      <c r="AI515" s="2"/>
      <c r="AJ515">
        <v>1</v>
      </c>
      <c r="AK515" s="1">
        <f t="shared" si="166"/>
        <v>177.11097100247727</v>
      </c>
      <c r="AL515">
        <v>12</v>
      </c>
      <c r="AM515">
        <f t="shared" si="158"/>
        <v>246.39999999999998</v>
      </c>
      <c r="AN515">
        <f t="shared" si="159"/>
        <v>24.64</v>
      </c>
      <c r="AO515">
        <f t="shared" si="160"/>
        <v>2618.181818181818</v>
      </c>
      <c r="AP515">
        <f t="shared" si="161"/>
        <v>261.81818181818181</v>
      </c>
      <c r="AQ515">
        <f t="shared" si="162"/>
        <v>37.907692307692301</v>
      </c>
      <c r="AR515">
        <f t="shared" si="168"/>
        <v>3.7907692307692304</v>
      </c>
      <c r="AS515">
        <f t="shared" si="163"/>
        <v>1.4</v>
      </c>
      <c r="AT515">
        <f t="shared" si="164"/>
        <v>2</v>
      </c>
      <c r="AU515">
        <f t="shared" si="165"/>
        <v>3</v>
      </c>
      <c r="AV515">
        <f t="shared" si="178"/>
        <v>3024</v>
      </c>
      <c r="AW515" s="1">
        <v>2</v>
      </c>
      <c r="AX515">
        <v>5</v>
      </c>
      <c r="AY515">
        <v>0.1</v>
      </c>
      <c r="BY515" s="13"/>
      <c r="BZ515" s="13"/>
      <c r="CA515" s="13"/>
      <c r="CE515" t="str">
        <f t="shared" si="175"/>
        <v>DATA_Class_Base41</v>
      </c>
      <c r="CF515" s="3" t="s">
        <v>413</v>
      </c>
    </row>
    <row r="516" spans="1:84">
      <c r="A516">
        <f t="shared" si="173"/>
        <v>5124501</v>
      </c>
      <c r="B516" t="s">
        <v>401</v>
      </c>
      <c r="C516">
        <v>12</v>
      </c>
      <c r="D516">
        <v>5</v>
      </c>
      <c r="E516">
        <v>4</v>
      </c>
      <c r="F516" s="3" t="s">
        <v>1706</v>
      </c>
      <c r="G516" s="3" t="s">
        <v>1706</v>
      </c>
      <c r="H516">
        <v>0</v>
      </c>
      <c r="I516">
        <v>0</v>
      </c>
      <c r="J516">
        <v>0</v>
      </c>
      <c r="K516" s="2" t="s">
        <v>334</v>
      </c>
      <c r="L516" s="2">
        <f t="shared" si="174"/>
        <v>6</v>
      </c>
      <c r="M516" s="2">
        <f t="shared" si="172"/>
        <v>1.6</v>
      </c>
      <c r="N516" s="2">
        <f t="shared" si="172"/>
        <v>2</v>
      </c>
      <c r="O516" s="2">
        <v>10</v>
      </c>
      <c r="P516" s="2">
        <f t="shared" si="177"/>
        <v>366.08</v>
      </c>
      <c r="Q516" s="2">
        <f t="shared" si="177"/>
        <v>36.61</v>
      </c>
      <c r="R516" s="2">
        <f t="shared" si="177"/>
        <v>2436.92</v>
      </c>
      <c r="S516" s="2">
        <f t="shared" si="176"/>
        <v>243.69</v>
      </c>
      <c r="T516" s="2">
        <f t="shared" si="176"/>
        <v>40.68</v>
      </c>
      <c r="U516" s="2">
        <f t="shared" si="176"/>
        <v>4.07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17">
        <v>545013</v>
      </c>
      <c r="AB516" s="14" t="s">
        <v>804</v>
      </c>
      <c r="AC516" s="15" t="s">
        <v>890</v>
      </c>
      <c r="AD516" s="2">
        <v>5134501</v>
      </c>
      <c r="AE516" s="2">
        <v>0</v>
      </c>
      <c r="AF516" s="2">
        <v>1</v>
      </c>
      <c r="AG516" s="2">
        <f t="shared" si="171"/>
        <v>5064501</v>
      </c>
      <c r="AH516" s="2">
        <v>2</v>
      </c>
      <c r="AI516" s="2"/>
      <c r="AJ516">
        <v>1</v>
      </c>
      <c r="AK516" s="1">
        <f t="shared" si="166"/>
        <v>177.07444024634179</v>
      </c>
      <c r="AL516">
        <v>12</v>
      </c>
      <c r="AM516">
        <f t="shared" ref="AM516:AM560" si="179">INDEX($BB$5:$BB$58,MATCH($AV516,$AZ$5:$AZ$58,0))*$AS516/1.5*$BF$4*INDEX($BB$109:$BO$109,MATCH($AL516,$BB$108:$BO$108,0))</f>
        <v>332.8</v>
      </c>
      <c r="AN516">
        <f t="shared" ref="AN516:AN560" si="180">(INDEX($BB$5:$BB$58,MATCH($AV516,$AZ$5:$AZ$58,0))*$AS516/1.5*$BF$4*INDEX($BB$109:$BO$109,MATCH($AL516,$BB$108:$BO$108,0)))*0.1</f>
        <v>33.28</v>
      </c>
      <c r="AO516">
        <f t="shared" ref="AO516:AO560" si="181">INDEX($BC$5:$BC$58,MATCH($AV516,$AZ$5:$AZ$58,0))*$BG$4*INDEX($BB$109:$BO$109,MATCH($AL516,$BB$108:$BO$108,0))</f>
        <v>2215.3846153846152</v>
      </c>
      <c r="AP516">
        <f t="shared" ref="AP516:AP560" si="182">(INDEX($BC$5:$BC$58,MATCH($AV516,$AZ$5:$AZ$58,0))*$BG$4*INDEX($BB$109:$BO$109,MATCH($AL516,$BB$108:$BO$108,0)))*0.1</f>
        <v>221.53846153846155</v>
      </c>
      <c r="AQ516">
        <f t="shared" ref="AQ516:AQ560" si="183">$AM516/INDEX($BD$5:$BD$58,MATCH($AV516,$AZ$5:$AZ$58,0))</f>
        <v>36.977777777777781</v>
      </c>
      <c r="AR516">
        <f t="shared" si="168"/>
        <v>3.6977777777777785</v>
      </c>
      <c r="AS516">
        <f t="shared" ref="AS516:AS560" si="184">INDEX($BE$5:$BE$58,MATCH($AV516,$AZ$5:$AZ$58,0))</f>
        <v>1.6</v>
      </c>
      <c r="AT516">
        <f t="shared" ref="AT516:AT560" si="185">ROUND(IF(INDEX($BM$5:$BM$58,MATCH($AV516,$AZ$5:$AZ$58,0))&lt;2,INDEX($BM$5:$BM$58,MATCH($AV516,$AZ$5:$AZ$58,0))+0.2,2),1)</f>
        <v>2</v>
      </c>
      <c r="AU516">
        <f t="shared" ref="AU516:AU560" si="186">INDEX($BI$5:$BI$58,MATCH($AV516,$AZ$5:$AZ$58,0))</f>
        <v>6</v>
      </c>
      <c r="AV516">
        <f t="shared" si="178"/>
        <v>5014</v>
      </c>
      <c r="AW516" s="1">
        <v>1</v>
      </c>
      <c r="AX516">
        <v>5</v>
      </c>
      <c r="AY516">
        <v>0.1</v>
      </c>
      <c r="BX516" t="str">
        <f t="shared" ref="BX516:BX518" si="187">BY516&amp;","&amp;BZ516&amp;","&amp;CA516</f>
        <v>1545011,2545011,3545011</v>
      </c>
      <c r="BY516" s="13">
        <v>1545011</v>
      </c>
      <c r="BZ516" s="13">
        <v>2545011</v>
      </c>
      <c r="CA516" s="13">
        <v>3545011</v>
      </c>
      <c r="CE516" t="str">
        <f t="shared" si="175"/>
        <v>DATA_Class_Base37</v>
      </c>
      <c r="CF516" s="3" t="s">
        <v>402</v>
      </c>
    </row>
    <row r="517" spans="1:84">
      <c r="A517">
        <f t="shared" si="173"/>
        <v>5124600</v>
      </c>
      <c r="B517" t="s">
        <v>404</v>
      </c>
      <c r="C517">
        <v>12</v>
      </c>
      <c r="D517">
        <v>6</v>
      </c>
      <c r="E517">
        <v>4</v>
      </c>
      <c r="F517" s="3" t="s">
        <v>1707</v>
      </c>
      <c r="G517" s="3" t="s">
        <v>1707</v>
      </c>
      <c r="H517">
        <v>0</v>
      </c>
      <c r="I517">
        <v>0</v>
      </c>
      <c r="J517" s="2">
        <v>0</v>
      </c>
      <c r="K517" s="2" t="s">
        <v>339</v>
      </c>
      <c r="L517" s="2">
        <f t="shared" si="174"/>
        <v>3</v>
      </c>
      <c r="M517" s="2">
        <f t="shared" si="172"/>
        <v>1.4000000000000001</v>
      </c>
      <c r="N517" s="2">
        <f t="shared" si="172"/>
        <v>1.9000000000000001</v>
      </c>
      <c r="O517" s="2">
        <v>10</v>
      </c>
      <c r="P517" s="2">
        <f t="shared" si="177"/>
        <v>271.04000000000002</v>
      </c>
      <c r="Q517" s="2">
        <f t="shared" si="177"/>
        <v>27.1</v>
      </c>
      <c r="R517" s="2">
        <f t="shared" si="177"/>
        <v>2880</v>
      </c>
      <c r="S517" s="2">
        <f t="shared" si="176"/>
        <v>288</v>
      </c>
      <c r="T517" s="2">
        <f t="shared" si="176"/>
        <v>67.760000000000005</v>
      </c>
      <c r="U517" s="2">
        <f t="shared" si="176"/>
        <v>6.78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17">
        <v>546003</v>
      </c>
      <c r="AB517" s="14" t="s">
        <v>805</v>
      </c>
      <c r="AC517" s="15" t="s">
        <v>890</v>
      </c>
      <c r="AD517" s="2">
        <v>5134600</v>
      </c>
      <c r="AE517" s="2">
        <v>0</v>
      </c>
      <c r="AF517" s="2">
        <v>1</v>
      </c>
      <c r="AG517" s="2">
        <f t="shared" si="171"/>
        <v>5064600</v>
      </c>
      <c r="AH517" s="2">
        <v>2</v>
      </c>
      <c r="AI517" s="2"/>
      <c r="AJ517">
        <v>1</v>
      </c>
      <c r="AK517" s="1">
        <f t="shared" si="166"/>
        <v>178.04681037419104</v>
      </c>
      <c r="AL517">
        <v>12</v>
      </c>
      <c r="AM517">
        <f t="shared" si="179"/>
        <v>246.39999999999998</v>
      </c>
      <c r="AN517">
        <f t="shared" si="180"/>
        <v>24.64</v>
      </c>
      <c r="AO517">
        <f t="shared" si="181"/>
        <v>2618.181818181818</v>
      </c>
      <c r="AP517">
        <f t="shared" si="182"/>
        <v>261.81818181818181</v>
      </c>
      <c r="AQ517">
        <f t="shared" si="183"/>
        <v>61.599999999999994</v>
      </c>
      <c r="AR517">
        <f t="shared" si="168"/>
        <v>6.16</v>
      </c>
      <c r="AS517">
        <f t="shared" si="184"/>
        <v>1.4</v>
      </c>
      <c r="AT517">
        <f t="shared" si="185"/>
        <v>1.9</v>
      </c>
      <c r="AU517">
        <f t="shared" si="186"/>
        <v>3</v>
      </c>
      <c r="AV517">
        <f t="shared" si="178"/>
        <v>6004</v>
      </c>
      <c r="AW517" s="1">
        <v>0</v>
      </c>
      <c r="AX517">
        <v>5</v>
      </c>
      <c r="AY517">
        <v>0.1</v>
      </c>
      <c r="BX517" t="str">
        <f t="shared" si="187"/>
        <v>1546001,2546001,3546001</v>
      </c>
      <c r="BY517" s="13">
        <v>1546001</v>
      </c>
      <c r="BZ517" s="13">
        <v>2546001</v>
      </c>
      <c r="CA517" s="13">
        <v>3546001</v>
      </c>
      <c r="CE517" t="str">
        <f t="shared" si="175"/>
        <v>DATA_Class_Base38</v>
      </c>
      <c r="CF517" s="3" t="s">
        <v>198</v>
      </c>
    </row>
    <row r="518" spans="1:84">
      <c r="A518">
        <f t="shared" si="173"/>
        <v>5124602</v>
      </c>
      <c r="B518" t="s">
        <v>406</v>
      </c>
      <c r="C518">
        <v>12</v>
      </c>
      <c r="D518">
        <v>6</v>
      </c>
      <c r="E518">
        <v>4</v>
      </c>
      <c r="F518" s="3" t="s">
        <v>1708</v>
      </c>
      <c r="G518" s="3" t="s">
        <v>1708</v>
      </c>
      <c r="H518">
        <v>0</v>
      </c>
      <c r="I518">
        <v>0</v>
      </c>
      <c r="J518" t="s">
        <v>345</v>
      </c>
      <c r="K518" s="2" t="s">
        <v>346</v>
      </c>
      <c r="L518" s="2">
        <f t="shared" si="174"/>
        <v>6</v>
      </c>
      <c r="M518" s="2">
        <f t="shared" si="172"/>
        <v>1.8</v>
      </c>
      <c r="N518" s="2">
        <f t="shared" si="172"/>
        <v>2</v>
      </c>
      <c r="O518" s="2">
        <v>10</v>
      </c>
      <c r="P518" s="2">
        <f t="shared" si="177"/>
        <v>316.8</v>
      </c>
      <c r="Q518" s="2">
        <f t="shared" si="177"/>
        <v>31.68</v>
      </c>
      <c r="R518" s="2">
        <f t="shared" si="177"/>
        <v>3168</v>
      </c>
      <c r="S518" s="2">
        <f t="shared" si="176"/>
        <v>316.8</v>
      </c>
      <c r="T518" s="2">
        <f t="shared" si="176"/>
        <v>63.36</v>
      </c>
      <c r="U518" s="2">
        <f t="shared" si="176"/>
        <v>6.34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17">
        <v>546023</v>
      </c>
      <c r="AB518" s="14" t="s">
        <v>806</v>
      </c>
      <c r="AC518" s="15" t="s">
        <v>890</v>
      </c>
      <c r="AD518" s="2">
        <v>5134602</v>
      </c>
      <c r="AE518" s="2">
        <v>0</v>
      </c>
      <c r="AF518" s="2">
        <v>1</v>
      </c>
      <c r="AG518" s="2">
        <f t="shared" si="171"/>
        <v>5064602</v>
      </c>
      <c r="AH518" s="2">
        <v>2</v>
      </c>
      <c r="AI518" s="2"/>
      <c r="AJ518">
        <v>1</v>
      </c>
      <c r="AK518" s="1">
        <f t="shared" si="166"/>
        <v>177.88811823426462</v>
      </c>
      <c r="AL518">
        <v>12</v>
      </c>
      <c r="AM518">
        <f t="shared" si="179"/>
        <v>288</v>
      </c>
      <c r="AN518">
        <f t="shared" si="180"/>
        <v>28.8</v>
      </c>
      <c r="AO518">
        <f t="shared" si="181"/>
        <v>2880</v>
      </c>
      <c r="AP518">
        <f t="shared" si="182"/>
        <v>288</v>
      </c>
      <c r="AQ518">
        <f t="shared" si="183"/>
        <v>57.6</v>
      </c>
      <c r="AR518">
        <f t="shared" si="168"/>
        <v>5.7600000000000007</v>
      </c>
      <c r="AS518">
        <f t="shared" si="184"/>
        <v>1.8</v>
      </c>
      <c r="AT518">
        <f t="shared" si="185"/>
        <v>2</v>
      </c>
      <c r="AU518">
        <f t="shared" si="186"/>
        <v>6</v>
      </c>
      <c r="AV518">
        <f t="shared" si="178"/>
        <v>6024</v>
      </c>
      <c r="AW518" s="1">
        <v>2</v>
      </c>
      <c r="AX518">
        <v>5</v>
      </c>
      <c r="AY518">
        <v>0.1</v>
      </c>
      <c r="BX518" t="str">
        <f t="shared" si="187"/>
        <v>1546021,2546021,3546021</v>
      </c>
      <c r="BY518" s="13">
        <v>1546021</v>
      </c>
      <c r="BZ518" s="13">
        <v>2546021</v>
      </c>
      <c r="CA518" s="13">
        <v>3546021</v>
      </c>
      <c r="CE518" t="str">
        <f t="shared" si="175"/>
        <v>DATA_Class_Base39</v>
      </c>
      <c r="CF518" s="3" t="s">
        <v>407</v>
      </c>
    </row>
    <row r="519" spans="1:84">
      <c r="A519">
        <f t="shared" si="173"/>
        <v>5125202</v>
      </c>
      <c r="B519" t="s">
        <v>380</v>
      </c>
      <c r="C519">
        <v>12</v>
      </c>
      <c r="D519">
        <v>2</v>
      </c>
      <c r="E519">
        <v>5</v>
      </c>
      <c r="F519" s="3" t="s">
        <v>1709</v>
      </c>
      <c r="G519" s="3" t="s">
        <v>1709</v>
      </c>
      <c r="H519">
        <v>0</v>
      </c>
      <c r="I519">
        <v>0</v>
      </c>
      <c r="J519" s="3">
        <v>0</v>
      </c>
      <c r="K519" s="2" t="s">
        <v>280</v>
      </c>
      <c r="L519" s="2">
        <f t="shared" si="174"/>
        <v>3</v>
      </c>
      <c r="M519" s="2">
        <f t="shared" si="172"/>
        <v>1.8</v>
      </c>
      <c r="N519" s="2">
        <f t="shared" si="172"/>
        <v>2</v>
      </c>
      <c r="O519" s="2">
        <v>10</v>
      </c>
      <c r="P519" s="2">
        <f t="shared" si="177"/>
        <v>285.12</v>
      </c>
      <c r="Q519" s="2">
        <f t="shared" si="177"/>
        <v>28.51</v>
      </c>
      <c r="R519" s="2">
        <f t="shared" si="177"/>
        <v>3520</v>
      </c>
      <c r="S519" s="2">
        <f t="shared" si="176"/>
        <v>352</v>
      </c>
      <c r="T519" s="2">
        <f t="shared" si="176"/>
        <v>95.04</v>
      </c>
      <c r="U519" s="2">
        <f t="shared" si="176"/>
        <v>9.5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17">
        <v>552023</v>
      </c>
      <c r="AB519" s="15" t="s">
        <v>807</v>
      </c>
      <c r="AC519" s="15" t="s">
        <v>890</v>
      </c>
      <c r="AD519" s="2">
        <v>5135202</v>
      </c>
      <c r="AE519" s="2">
        <v>0</v>
      </c>
      <c r="AF519" s="2">
        <v>1</v>
      </c>
      <c r="AG519" s="2">
        <f t="shared" si="171"/>
        <v>5065202</v>
      </c>
      <c r="AH519" s="2">
        <v>2</v>
      </c>
      <c r="AI519" s="2"/>
      <c r="AJ519">
        <v>1</v>
      </c>
      <c r="AK519" s="1">
        <f t="shared" si="166"/>
        <v>179.0370563674322</v>
      </c>
      <c r="AL519">
        <v>12</v>
      </c>
      <c r="AM519">
        <f t="shared" si="179"/>
        <v>259.20000000000005</v>
      </c>
      <c r="AN519">
        <f t="shared" si="180"/>
        <v>25.920000000000005</v>
      </c>
      <c r="AO519">
        <f t="shared" si="181"/>
        <v>3200</v>
      </c>
      <c r="AP519">
        <f t="shared" si="182"/>
        <v>320</v>
      </c>
      <c r="AQ519">
        <f t="shared" si="183"/>
        <v>86.40000000000002</v>
      </c>
      <c r="AR519">
        <f t="shared" si="168"/>
        <v>8.6400000000000023</v>
      </c>
      <c r="AS519">
        <f t="shared" si="184"/>
        <v>1.8</v>
      </c>
      <c r="AT519">
        <f t="shared" si="185"/>
        <v>2</v>
      </c>
      <c r="AU519">
        <f t="shared" si="186"/>
        <v>3</v>
      </c>
      <c r="AV519">
        <f t="shared" si="178"/>
        <v>2025</v>
      </c>
      <c r="AW519" s="1">
        <v>2</v>
      </c>
      <c r="AX519">
        <v>5</v>
      </c>
      <c r="AY519">
        <v>0.1</v>
      </c>
      <c r="BY519" s="13"/>
      <c r="BZ519" s="13"/>
      <c r="CA519" s="13"/>
      <c r="CE519" t="str">
        <f t="shared" si="175"/>
        <v>DATA_Class_Base30</v>
      </c>
      <c r="CF519" s="3" t="s">
        <v>381</v>
      </c>
    </row>
    <row r="520" spans="1:84">
      <c r="A520">
        <f t="shared" si="173"/>
        <v>5125300</v>
      </c>
      <c r="B520" t="s">
        <v>410</v>
      </c>
      <c r="C520">
        <v>12</v>
      </c>
      <c r="D520">
        <v>3</v>
      </c>
      <c r="E520">
        <v>5</v>
      </c>
      <c r="F520" s="3" t="s">
        <v>1710</v>
      </c>
      <c r="G520" s="3" t="s">
        <v>1710</v>
      </c>
      <c r="H520">
        <v>0</v>
      </c>
      <c r="I520">
        <v>0</v>
      </c>
      <c r="J520" s="2">
        <v>0</v>
      </c>
      <c r="K520" s="2" t="s">
        <v>352</v>
      </c>
      <c r="L520" s="2">
        <f t="shared" si="174"/>
        <v>6</v>
      </c>
      <c r="M520" s="2">
        <f t="shared" si="172"/>
        <v>1.3</v>
      </c>
      <c r="N520" s="2">
        <f t="shared" si="172"/>
        <v>2</v>
      </c>
      <c r="O520" s="2">
        <v>10</v>
      </c>
      <c r="P520" s="2">
        <f t="shared" si="177"/>
        <v>263.12</v>
      </c>
      <c r="Q520" s="2">
        <f t="shared" si="177"/>
        <v>26.31</v>
      </c>
      <c r="R520" s="2">
        <f t="shared" si="177"/>
        <v>2754.78</v>
      </c>
      <c r="S520" s="2">
        <f t="shared" si="176"/>
        <v>275.48</v>
      </c>
      <c r="T520" s="2">
        <f t="shared" si="176"/>
        <v>32.89</v>
      </c>
      <c r="U520" s="2">
        <f t="shared" si="176"/>
        <v>3.29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17">
        <v>553003</v>
      </c>
      <c r="AB520" s="14" t="s">
        <v>808</v>
      </c>
      <c r="AC520" s="15" t="s">
        <v>890</v>
      </c>
      <c r="AD520" s="2">
        <v>5135300</v>
      </c>
      <c r="AE520" s="2">
        <v>0</v>
      </c>
      <c r="AF520" s="2">
        <v>1</v>
      </c>
      <c r="AG520" s="2">
        <f t="shared" si="171"/>
        <v>5065300</v>
      </c>
      <c r="AH520" s="2">
        <v>2</v>
      </c>
      <c r="AI520" s="2"/>
      <c r="AJ520">
        <v>1</v>
      </c>
      <c r="AK520" s="1">
        <f t="shared" ref="AK520:AK560" si="188">(AO520+AP520*AJ520)*(AM520+AN520*AJ520)/AS520*(0.9)*(1+0.5*0.1)*1/1/(1-(AQ520+AR520*AJ520)*0.0002)/3000</f>
        <v>176.79688994203869</v>
      </c>
      <c r="AL520">
        <v>12</v>
      </c>
      <c r="AM520">
        <f t="shared" si="179"/>
        <v>239.19999999999996</v>
      </c>
      <c r="AN520">
        <f t="shared" si="180"/>
        <v>23.919999999999998</v>
      </c>
      <c r="AO520">
        <f t="shared" si="181"/>
        <v>2504.347826086957</v>
      </c>
      <c r="AP520">
        <f t="shared" si="182"/>
        <v>250.43478260869571</v>
      </c>
      <c r="AQ520">
        <f t="shared" si="183"/>
        <v>29.899999999999995</v>
      </c>
      <c r="AR520">
        <f t="shared" si="168"/>
        <v>2.9899999999999998</v>
      </c>
      <c r="AS520">
        <f t="shared" si="184"/>
        <v>1.3</v>
      </c>
      <c r="AT520">
        <f t="shared" si="185"/>
        <v>2</v>
      </c>
      <c r="AU520">
        <f t="shared" si="186"/>
        <v>6</v>
      </c>
      <c r="AV520">
        <f t="shared" si="178"/>
        <v>3005</v>
      </c>
      <c r="AW520" s="1">
        <v>0</v>
      </c>
      <c r="AX520">
        <v>5</v>
      </c>
      <c r="AY520">
        <v>0.1</v>
      </c>
      <c r="BX520" t="str">
        <f t="shared" ref="BX520:BX522" si="189">BY520&amp;","&amp;BZ520&amp;","&amp;CA520</f>
        <v>1553001,2553001,3553001</v>
      </c>
      <c r="BY520" s="13">
        <v>1553001</v>
      </c>
      <c r="BZ520" s="13">
        <v>2553001</v>
      </c>
      <c r="CA520" s="13">
        <v>3553001</v>
      </c>
      <c r="CE520" t="str">
        <f t="shared" si="175"/>
        <v>DATA_Class_Base40</v>
      </c>
      <c r="CF520" s="3" t="s">
        <v>411</v>
      </c>
    </row>
    <row r="521" spans="1:84">
      <c r="A521">
        <f t="shared" si="173"/>
        <v>5125302</v>
      </c>
      <c r="B521" t="s">
        <v>412</v>
      </c>
      <c r="C521">
        <v>12</v>
      </c>
      <c r="D521">
        <v>3</v>
      </c>
      <c r="E521">
        <v>5</v>
      </c>
      <c r="F521" s="3" t="s">
        <v>1711</v>
      </c>
      <c r="G521" s="3" t="s">
        <v>1711</v>
      </c>
      <c r="H521">
        <v>0</v>
      </c>
      <c r="I521">
        <v>0</v>
      </c>
      <c r="J521" s="2">
        <v>0</v>
      </c>
      <c r="K521" s="2" t="s">
        <v>358</v>
      </c>
      <c r="L521" s="2">
        <f t="shared" si="174"/>
        <v>3</v>
      </c>
      <c r="M521" s="2">
        <f t="shared" si="172"/>
        <v>1.4000000000000001</v>
      </c>
      <c r="N521" s="2">
        <f t="shared" si="172"/>
        <v>2</v>
      </c>
      <c r="O521" s="2">
        <v>10</v>
      </c>
      <c r="P521" s="2">
        <f t="shared" si="177"/>
        <v>295.68</v>
      </c>
      <c r="Q521" s="2">
        <f t="shared" si="177"/>
        <v>29.57</v>
      </c>
      <c r="R521" s="2">
        <f t="shared" si="177"/>
        <v>2640</v>
      </c>
      <c r="S521" s="2">
        <f t="shared" si="176"/>
        <v>264</v>
      </c>
      <c r="T521" s="2">
        <f t="shared" si="176"/>
        <v>42.24</v>
      </c>
      <c r="U521" s="2">
        <f t="shared" si="176"/>
        <v>4.22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17">
        <v>553023</v>
      </c>
      <c r="AB521" s="14" t="s">
        <v>809</v>
      </c>
      <c r="AC521" s="15" t="s">
        <v>890</v>
      </c>
      <c r="AD521" s="2">
        <v>5135302</v>
      </c>
      <c r="AE521" s="2">
        <v>0</v>
      </c>
      <c r="AF521" s="2">
        <v>1</v>
      </c>
      <c r="AG521" s="2">
        <f t="shared" si="171"/>
        <v>5065302</v>
      </c>
      <c r="AH521" s="2">
        <v>2</v>
      </c>
      <c r="AI521" s="2"/>
      <c r="AJ521">
        <v>1</v>
      </c>
      <c r="AK521" s="1">
        <f t="shared" si="188"/>
        <v>177.13031691731746</v>
      </c>
      <c r="AL521">
        <v>12</v>
      </c>
      <c r="AM521">
        <f t="shared" si="179"/>
        <v>268.79999999999995</v>
      </c>
      <c r="AN521">
        <f t="shared" si="180"/>
        <v>26.879999999999995</v>
      </c>
      <c r="AO521">
        <f t="shared" si="181"/>
        <v>2400</v>
      </c>
      <c r="AP521">
        <f t="shared" si="182"/>
        <v>240</v>
      </c>
      <c r="AQ521">
        <f t="shared" si="183"/>
        <v>38.399999999999991</v>
      </c>
      <c r="AR521">
        <f t="shared" si="168"/>
        <v>3.8399999999999994</v>
      </c>
      <c r="AS521">
        <f t="shared" si="184"/>
        <v>1.4</v>
      </c>
      <c r="AT521">
        <f t="shared" si="185"/>
        <v>2</v>
      </c>
      <c r="AU521">
        <f t="shared" si="186"/>
        <v>3</v>
      </c>
      <c r="AV521">
        <f t="shared" si="178"/>
        <v>3025</v>
      </c>
      <c r="AW521" s="1">
        <v>2</v>
      </c>
      <c r="AX521">
        <v>5</v>
      </c>
      <c r="AY521">
        <v>0.1</v>
      </c>
      <c r="BX521" t="str">
        <f t="shared" si="189"/>
        <v>1553021,2553021,3553021</v>
      </c>
      <c r="BY521" s="13">
        <v>1553021</v>
      </c>
      <c r="BZ521" s="13">
        <v>2553021</v>
      </c>
      <c r="CA521" s="13">
        <v>3553021</v>
      </c>
      <c r="CE521" t="str">
        <f t="shared" si="175"/>
        <v>DATA_Class_Base41</v>
      </c>
      <c r="CF521" s="3" t="s">
        <v>413</v>
      </c>
    </row>
    <row r="522" spans="1:84">
      <c r="A522">
        <f t="shared" si="173"/>
        <v>5125400</v>
      </c>
      <c r="B522" t="s">
        <v>414</v>
      </c>
      <c r="C522">
        <v>12</v>
      </c>
      <c r="D522">
        <v>4</v>
      </c>
      <c r="E522">
        <v>5</v>
      </c>
      <c r="F522" s="3" t="s">
        <v>1712</v>
      </c>
      <c r="G522" s="3" t="s">
        <v>1712</v>
      </c>
      <c r="H522">
        <v>0</v>
      </c>
      <c r="I522">
        <v>0</v>
      </c>
      <c r="J522">
        <v>0</v>
      </c>
      <c r="K522" s="2" t="s">
        <v>364</v>
      </c>
      <c r="L522" s="2">
        <f t="shared" si="174"/>
        <v>6</v>
      </c>
      <c r="M522" s="2">
        <f t="shared" si="172"/>
        <v>1.4000000000000001</v>
      </c>
      <c r="N522" s="2">
        <f t="shared" si="172"/>
        <v>2</v>
      </c>
      <c r="O522" s="2">
        <v>10</v>
      </c>
      <c r="P522" s="2">
        <f t="shared" si="177"/>
        <v>308</v>
      </c>
      <c r="Q522" s="2">
        <f t="shared" si="177"/>
        <v>30.8</v>
      </c>
      <c r="R522" s="2">
        <f t="shared" si="177"/>
        <v>2534.4</v>
      </c>
      <c r="S522" s="2">
        <f t="shared" si="176"/>
        <v>253.44</v>
      </c>
      <c r="T522" s="2">
        <f t="shared" si="176"/>
        <v>51.33</v>
      </c>
      <c r="U522" s="2">
        <f t="shared" si="176"/>
        <v>5.13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17">
        <v>554003</v>
      </c>
      <c r="AB522" s="14" t="s">
        <v>810</v>
      </c>
      <c r="AC522" s="15" t="s">
        <v>890</v>
      </c>
      <c r="AD522" s="2">
        <v>5135400</v>
      </c>
      <c r="AE522" s="2">
        <v>0</v>
      </c>
      <c r="AF522" s="2">
        <v>1</v>
      </c>
      <c r="AG522" s="2">
        <f t="shared" si="171"/>
        <v>5065400</v>
      </c>
      <c r="AH522" s="2">
        <v>2</v>
      </c>
      <c r="AI522" s="2"/>
      <c r="AJ522">
        <v>1</v>
      </c>
      <c r="AK522" s="1">
        <f t="shared" si="188"/>
        <v>177.45579954196418</v>
      </c>
      <c r="AL522">
        <v>12</v>
      </c>
      <c r="AM522">
        <f t="shared" si="179"/>
        <v>280</v>
      </c>
      <c r="AN522">
        <f t="shared" si="180"/>
        <v>28</v>
      </c>
      <c r="AO522">
        <f t="shared" si="181"/>
        <v>2304</v>
      </c>
      <c r="AP522">
        <f t="shared" si="182"/>
        <v>230.4</v>
      </c>
      <c r="AQ522">
        <f t="shared" si="183"/>
        <v>46.666666666666664</v>
      </c>
      <c r="AR522">
        <f t="shared" si="168"/>
        <v>4.666666666666667</v>
      </c>
      <c r="AS522">
        <f t="shared" si="184"/>
        <v>1.4</v>
      </c>
      <c r="AT522">
        <f t="shared" si="185"/>
        <v>2</v>
      </c>
      <c r="AU522">
        <f t="shared" si="186"/>
        <v>6</v>
      </c>
      <c r="AV522">
        <f t="shared" si="178"/>
        <v>4005</v>
      </c>
      <c r="AW522" s="1">
        <v>0</v>
      </c>
      <c r="AX522">
        <v>5</v>
      </c>
      <c r="AY522">
        <v>0.1</v>
      </c>
      <c r="BX522" t="str">
        <f t="shared" si="189"/>
        <v>1554001,2554001,3554001</v>
      </c>
      <c r="BY522" s="13">
        <v>1554001</v>
      </c>
      <c r="BZ522" s="13">
        <v>2554001</v>
      </c>
      <c r="CA522" s="13">
        <v>3554001</v>
      </c>
      <c r="CE522" t="str">
        <f t="shared" si="175"/>
        <v>DATA_Class_Base42</v>
      </c>
      <c r="CF522" s="3" t="s">
        <v>174</v>
      </c>
    </row>
    <row r="523" spans="1:84">
      <c r="A523">
        <f t="shared" si="173"/>
        <v>5125501</v>
      </c>
      <c r="B523" t="s">
        <v>401</v>
      </c>
      <c r="C523">
        <v>12</v>
      </c>
      <c r="D523">
        <v>5</v>
      </c>
      <c r="E523">
        <v>5</v>
      </c>
      <c r="F523" s="3" t="s">
        <v>1713</v>
      </c>
      <c r="G523" s="3" t="s">
        <v>1713</v>
      </c>
      <c r="H523">
        <v>0</v>
      </c>
      <c r="I523">
        <v>0</v>
      </c>
      <c r="J523" s="3">
        <v>0</v>
      </c>
      <c r="K523" s="2" t="s">
        <v>334</v>
      </c>
      <c r="L523" s="2">
        <f t="shared" si="174"/>
        <v>6</v>
      </c>
      <c r="M523" s="2">
        <f t="shared" si="172"/>
        <v>1.6</v>
      </c>
      <c r="N523" s="2">
        <f t="shared" si="172"/>
        <v>2</v>
      </c>
      <c r="O523" s="2">
        <v>10</v>
      </c>
      <c r="P523" s="2">
        <f t="shared" si="177"/>
        <v>408.32</v>
      </c>
      <c r="Q523" s="2">
        <f t="shared" si="177"/>
        <v>40.83</v>
      </c>
      <c r="R523" s="2">
        <f t="shared" si="177"/>
        <v>2184.83</v>
      </c>
      <c r="S523" s="2">
        <f t="shared" si="176"/>
        <v>218.48</v>
      </c>
      <c r="T523" s="2">
        <f t="shared" si="176"/>
        <v>45.37</v>
      </c>
      <c r="U523" s="2">
        <f t="shared" si="176"/>
        <v>4.54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17">
        <v>555013</v>
      </c>
      <c r="AB523" s="15" t="s">
        <v>811</v>
      </c>
      <c r="AC523" s="15" t="s">
        <v>890</v>
      </c>
      <c r="AD523" s="2">
        <v>5135501</v>
      </c>
      <c r="AE523" s="2">
        <v>0</v>
      </c>
      <c r="AF523" s="2">
        <v>1</v>
      </c>
      <c r="AG523" s="2">
        <f t="shared" si="171"/>
        <v>5065501</v>
      </c>
      <c r="AH523" s="2">
        <v>2</v>
      </c>
      <c r="AI523" s="2"/>
      <c r="AJ523">
        <v>1</v>
      </c>
      <c r="AK523" s="1">
        <f t="shared" si="188"/>
        <v>177.24217611895313</v>
      </c>
      <c r="AL523">
        <v>12</v>
      </c>
      <c r="AM523">
        <f t="shared" si="179"/>
        <v>371.2</v>
      </c>
      <c r="AN523">
        <f t="shared" si="180"/>
        <v>37.119999999999997</v>
      </c>
      <c r="AO523">
        <f t="shared" si="181"/>
        <v>1986.2068965517242</v>
      </c>
      <c r="AP523">
        <f t="shared" si="182"/>
        <v>198.62068965517244</v>
      </c>
      <c r="AQ523">
        <f t="shared" si="183"/>
        <v>41.24444444444444</v>
      </c>
      <c r="AR523">
        <f t="shared" si="168"/>
        <v>4.1244444444444444</v>
      </c>
      <c r="AS523">
        <f t="shared" si="184"/>
        <v>1.6</v>
      </c>
      <c r="AT523">
        <f t="shared" si="185"/>
        <v>2</v>
      </c>
      <c r="AU523">
        <f t="shared" si="186"/>
        <v>6</v>
      </c>
      <c r="AV523">
        <f t="shared" si="178"/>
        <v>5015</v>
      </c>
      <c r="AW523" s="1">
        <v>1</v>
      </c>
      <c r="AX523">
        <v>5</v>
      </c>
      <c r="AY523">
        <v>0.1</v>
      </c>
      <c r="BY523" s="13"/>
      <c r="BZ523" s="13"/>
      <c r="CA523" s="13"/>
      <c r="CE523" t="str">
        <f t="shared" si="175"/>
        <v>DATA_Class_Base37</v>
      </c>
      <c r="CF523" s="3" t="s">
        <v>402</v>
      </c>
    </row>
    <row r="524" spans="1:84">
      <c r="A524">
        <f t="shared" si="173"/>
        <v>5131200</v>
      </c>
      <c r="B524" s="31" t="s">
        <v>373</v>
      </c>
      <c r="C524">
        <v>13</v>
      </c>
      <c r="D524">
        <v>2</v>
      </c>
      <c r="E524">
        <v>1</v>
      </c>
      <c r="F524" s="3" t="s">
        <v>1677</v>
      </c>
      <c r="G524" s="3" t="s">
        <v>1677</v>
      </c>
      <c r="H524" s="3">
        <v>0</v>
      </c>
      <c r="I524">
        <v>50</v>
      </c>
      <c r="J524" s="2">
        <v>0</v>
      </c>
      <c r="K524" s="2" t="s">
        <v>314</v>
      </c>
      <c r="L524" s="2">
        <f t="shared" si="174"/>
        <v>3</v>
      </c>
      <c r="M524" s="2">
        <f t="shared" si="172"/>
        <v>1.5</v>
      </c>
      <c r="N524" s="2">
        <f t="shared" si="172"/>
        <v>1.2</v>
      </c>
      <c r="O524" s="2">
        <v>10</v>
      </c>
      <c r="P524" s="2">
        <f t="shared" si="177"/>
        <v>225.28</v>
      </c>
      <c r="Q524" s="2">
        <f t="shared" si="177"/>
        <v>22.53</v>
      </c>
      <c r="R524" s="2">
        <f t="shared" si="177"/>
        <v>4224</v>
      </c>
      <c r="S524" s="2">
        <f t="shared" si="176"/>
        <v>422.4</v>
      </c>
      <c r="T524" s="2">
        <f t="shared" si="176"/>
        <v>75.09</v>
      </c>
      <c r="U524" s="2">
        <f t="shared" si="176"/>
        <v>7.51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17">
        <v>512003</v>
      </c>
      <c r="AB524" s="14" t="s">
        <v>775</v>
      </c>
      <c r="AC524" s="15" t="s">
        <v>890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J524">
        <v>1</v>
      </c>
      <c r="AK524" s="1">
        <f t="shared" si="188"/>
        <v>202.8793485088043</v>
      </c>
      <c r="AL524">
        <v>13</v>
      </c>
      <c r="AM524">
        <f t="shared" si="179"/>
        <v>204.80000000000007</v>
      </c>
      <c r="AN524">
        <f t="shared" si="180"/>
        <v>20.480000000000008</v>
      </c>
      <c r="AO524">
        <f t="shared" si="181"/>
        <v>3840</v>
      </c>
      <c r="AP524">
        <f t="shared" si="182"/>
        <v>384</v>
      </c>
      <c r="AQ524">
        <f t="shared" si="183"/>
        <v>68.266666666666694</v>
      </c>
      <c r="AR524">
        <f t="shared" si="168"/>
        <v>6.8266666666666698</v>
      </c>
      <c r="AS524">
        <f t="shared" si="184"/>
        <v>1.5</v>
      </c>
      <c r="AT524">
        <f t="shared" si="185"/>
        <v>1.2</v>
      </c>
      <c r="AU524">
        <f t="shared" si="186"/>
        <v>3</v>
      </c>
      <c r="AV524">
        <f t="shared" si="178"/>
        <v>2001</v>
      </c>
      <c r="AW524" s="1">
        <v>0</v>
      </c>
      <c r="AX524">
        <v>5</v>
      </c>
      <c r="AY524">
        <v>0.1</v>
      </c>
      <c r="CE524" t="str">
        <f t="shared" si="175"/>
        <v>DATA_Class_Base28</v>
      </c>
      <c r="CF524" s="3" t="s">
        <v>374</v>
      </c>
    </row>
    <row r="525" spans="1:84">
      <c r="A525">
        <f t="shared" si="173"/>
        <v>5131201</v>
      </c>
      <c r="B525" s="31" t="s">
        <v>377</v>
      </c>
      <c r="C525">
        <v>13</v>
      </c>
      <c r="D525">
        <v>2</v>
      </c>
      <c r="E525">
        <v>1</v>
      </c>
      <c r="F525" s="3" t="s">
        <v>1678</v>
      </c>
      <c r="G525" s="3" t="s">
        <v>1678</v>
      </c>
      <c r="H525" s="3">
        <v>-30</v>
      </c>
      <c r="I525">
        <v>35</v>
      </c>
      <c r="J525" s="2">
        <v>0</v>
      </c>
      <c r="K525" s="8" t="s">
        <v>298</v>
      </c>
      <c r="L525" s="2">
        <f t="shared" si="174"/>
        <v>3</v>
      </c>
      <c r="M525" s="2">
        <f t="shared" si="172"/>
        <v>1.8</v>
      </c>
      <c r="N525" s="2">
        <f t="shared" si="172"/>
        <v>1.8</v>
      </c>
      <c r="O525" s="2">
        <v>10</v>
      </c>
      <c r="P525" s="2">
        <f t="shared" si="177"/>
        <v>168.96</v>
      </c>
      <c r="Q525" s="2">
        <f t="shared" si="177"/>
        <v>16.899999999999999</v>
      </c>
      <c r="R525" s="2">
        <f t="shared" si="177"/>
        <v>6758.4</v>
      </c>
      <c r="S525" s="2">
        <f t="shared" si="176"/>
        <v>675.84</v>
      </c>
      <c r="T525" s="2">
        <f t="shared" si="176"/>
        <v>84.48</v>
      </c>
      <c r="U525" s="2">
        <f t="shared" si="176"/>
        <v>8.4499999999999993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17">
        <v>512013</v>
      </c>
      <c r="AB525" s="14" t="s">
        <v>776</v>
      </c>
      <c r="AC525" s="15" t="s">
        <v>890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J525">
        <v>1</v>
      </c>
      <c r="AK525" s="1">
        <f t="shared" si="188"/>
        <v>203.26676648655692</v>
      </c>
      <c r="AL525">
        <v>13</v>
      </c>
      <c r="AM525">
        <f t="shared" si="179"/>
        <v>153.60000000000002</v>
      </c>
      <c r="AN525">
        <f t="shared" si="180"/>
        <v>15.360000000000003</v>
      </c>
      <c r="AO525">
        <f t="shared" si="181"/>
        <v>6144</v>
      </c>
      <c r="AP525">
        <f t="shared" si="182"/>
        <v>614.40000000000009</v>
      </c>
      <c r="AQ525">
        <f t="shared" si="183"/>
        <v>76.800000000000011</v>
      </c>
      <c r="AR525">
        <f t="shared" si="168"/>
        <v>7.6800000000000015</v>
      </c>
      <c r="AS525">
        <f t="shared" si="184"/>
        <v>1.8</v>
      </c>
      <c r="AT525">
        <f t="shared" si="185"/>
        <v>1.8</v>
      </c>
      <c r="AU525">
        <f t="shared" si="186"/>
        <v>3</v>
      </c>
      <c r="AV525">
        <f t="shared" si="178"/>
        <v>2011</v>
      </c>
      <c r="AW525" s="1">
        <v>1</v>
      </c>
      <c r="AX525">
        <v>5</v>
      </c>
      <c r="AY525">
        <v>0.1</v>
      </c>
      <c r="CE525" t="str">
        <f t="shared" si="175"/>
        <v>DATA_Class_Base29</v>
      </c>
      <c r="CF525" s="3" t="s">
        <v>378</v>
      </c>
    </row>
    <row r="526" spans="1:84">
      <c r="A526">
        <f t="shared" si="173"/>
        <v>5131202</v>
      </c>
      <c r="B526" s="31" t="s">
        <v>380</v>
      </c>
      <c r="C526">
        <v>13</v>
      </c>
      <c r="D526">
        <v>2</v>
      </c>
      <c r="E526">
        <v>1</v>
      </c>
      <c r="F526" s="3" t="s">
        <v>1679</v>
      </c>
      <c r="G526" s="3" t="s">
        <v>1679</v>
      </c>
      <c r="H526" s="3">
        <v>-10</v>
      </c>
      <c r="I526">
        <v>40</v>
      </c>
      <c r="J526">
        <v>0</v>
      </c>
      <c r="K526" s="2" t="s">
        <v>280</v>
      </c>
      <c r="L526" s="2">
        <f t="shared" si="174"/>
        <v>3</v>
      </c>
      <c r="M526" s="2">
        <f t="shared" si="172"/>
        <v>1.8</v>
      </c>
      <c r="N526" s="2">
        <f t="shared" si="172"/>
        <v>2</v>
      </c>
      <c r="O526" s="2">
        <v>10</v>
      </c>
      <c r="P526" s="2">
        <f t="shared" si="177"/>
        <v>270.33999999999997</v>
      </c>
      <c r="Q526" s="2">
        <f t="shared" si="177"/>
        <v>27.03</v>
      </c>
      <c r="R526" s="2">
        <f t="shared" si="177"/>
        <v>4224</v>
      </c>
      <c r="S526" s="2">
        <f t="shared" si="176"/>
        <v>422.4</v>
      </c>
      <c r="T526" s="2">
        <f t="shared" si="176"/>
        <v>67.58</v>
      </c>
      <c r="U526" s="2">
        <f t="shared" si="176"/>
        <v>6.76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17">
        <v>512023</v>
      </c>
      <c r="AB526" s="14" t="s">
        <v>777</v>
      </c>
      <c r="AC526" s="15" t="s">
        <v>890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J526">
        <v>1</v>
      </c>
      <c r="AK526" s="1">
        <f t="shared" si="188"/>
        <v>202.57047580739342</v>
      </c>
      <c r="AL526">
        <v>13</v>
      </c>
      <c r="AM526">
        <f t="shared" si="179"/>
        <v>245.76000000000005</v>
      </c>
      <c r="AN526">
        <f t="shared" si="180"/>
        <v>24.576000000000008</v>
      </c>
      <c r="AO526">
        <f t="shared" si="181"/>
        <v>3840</v>
      </c>
      <c r="AP526">
        <f t="shared" si="182"/>
        <v>384</v>
      </c>
      <c r="AQ526">
        <f t="shared" si="183"/>
        <v>61.440000000000012</v>
      </c>
      <c r="AR526">
        <f t="shared" si="168"/>
        <v>6.1440000000000019</v>
      </c>
      <c r="AS526">
        <f t="shared" si="184"/>
        <v>1.8</v>
      </c>
      <c r="AT526">
        <f t="shared" si="185"/>
        <v>2</v>
      </c>
      <c r="AU526">
        <f t="shared" si="186"/>
        <v>3</v>
      </c>
      <c r="AV526">
        <f t="shared" si="178"/>
        <v>2021</v>
      </c>
      <c r="AW526" s="1">
        <v>2</v>
      </c>
      <c r="AX526">
        <v>5</v>
      </c>
      <c r="AY526">
        <v>0.1</v>
      </c>
      <c r="CE526" t="str">
        <f t="shared" si="175"/>
        <v>DATA_Class_Base30</v>
      </c>
      <c r="CF526" s="3" t="s">
        <v>381</v>
      </c>
    </row>
    <row r="527" spans="1:84">
      <c r="A527">
        <f t="shared" si="173"/>
        <v>5131301</v>
      </c>
      <c r="B527" s="31" t="s">
        <v>383</v>
      </c>
      <c r="C527">
        <v>13</v>
      </c>
      <c r="D527">
        <v>3</v>
      </c>
      <c r="E527">
        <v>1</v>
      </c>
      <c r="F527" s="3" t="s">
        <v>1680</v>
      </c>
      <c r="G527" s="3" t="s">
        <v>1680</v>
      </c>
      <c r="H527" s="3">
        <v>-10</v>
      </c>
      <c r="I527">
        <v>35</v>
      </c>
      <c r="J527" s="2">
        <v>0</v>
      </c>
      <c r="K527" s="2" t="s">
        <v>285</v>
      </c>
      <c r="L527" s="2">
        <f t="shared" si="174"/>
        <v>3</v>
      </c>
      <c r="M527" s="2">
        <f t="shared" si="172"/>
        <v>1.2</v>
      </c>
      <c r="N527" s="2">
        <f t="shared" si="172"/>
        <v>2</v>
      </c>
      <c r="O527" s="2">
        <v>10</v>
      </c>
      <c r="P527" s="2">
        <f t="shared" si="177"/>
        <v>247.81</v>
      </c>
      <c r="Q527" s="2">
        <f t="shared" si="177"/>
        <v>24.78</v>
      </c>
      <c r="R527" s="2">
        <f t="shared" si="177"/>
        <v>3072</v>
      </c>
      <c r="S527" s="2">
        <f t="shared" si="176"/>
        <v>307.2</v>
      </c>
      <c r="T527" s="2">
        <f t="shared" si="176"/>
        <v>41.3</v>
      </c>
      <c r="U527" s="2">
        <f t="shared" si="176"/>
        <v>4.13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17">
        <v>513013</v>
      </c>
      <c r="AB527" s="14" t="s">
        <v>778</v>
      </c>
      <c r="AC527" s="15" t="s">
        <v>890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J527">
        <v>1</v>
      </c>
      <c r="AK527" s="1">
        <f t="shared" si="188"/>
        <v>201.49678840469983</v>
      </c>
      <c r="AL527">
        <v>13</v>
      </c>
      <c r="AM527">
        <f t="shared" si="179"/>
        <v>225.28000000000003</v>
      </c>
      <c r="AN527">
        <f t="shared" si="180"/>
        <v>22.528000000000006</v>
      </c>
      <c r="AO527">
        <f t="shared" si="181"/>
        <v>2792.727272727273</v>
      </c>
      <c r="AP527">
        <f t="shared" si="182"/>
        <v>279.27272727272731</v>
      </c>
      <c r="AQ527">
        <f t="shared" si="183"/>
        <v>37.546666666666674</v>
      </c>
      <c r="AR527">
        <f t="shared" si="168"/>
        <v>3.7546666666666675</v>
      </c>
      <c r="AS527">
        <f t="shared" si="184"/>
        <v>1.2</v>
      </c>
      <c r="AT527">
        <f t="shared" si="185"/>
        <v>2</v>
      </c>
      <c r="AU527">
        <f t="shared" si="186"/>
        <v>3</v>
      </c>
      <c r="AV527">
        <f t="shared" si="178"/>
        <v>3011</v>
      </c>
      <c r="AW527" s="1">
        <v>1</v>
      </c>
      <c r="AX527">
        <v>5</v>
      </c>
      <c r="AY527">
        <v>0.1</v>
      </c>
      <c r="CE527" t="str">
        <f t="shared" si="175"/>
        <v>DATA_Class_Base31</v>
      </c>
      <c r="CF527" s="3" t="s">
        <v>384</v>
      </c>
    </row>
    <row r="528" spans="1:84">
      <c r="A528">
        <f t="shared" si="173"/>
        <v>5131401</v>
      </c>
      <c r="B528" s="31" t="s">
        <v>387</v>
      </c>
      <c r="C528">
        <v>13</v>
      </c>
      <c r="D528">
        <v>4</v>
      </c>
      <c r="E528">
        <v>1</v>
      </c>
      <c r="F528" s="3" t="s">
        <v>1681</v>
      </c>
      <c r="G528" s="3" t="s">
        <v>1681</v>
      </c>
      <c r="H528" s="3">
        <v>-10</v>
      </c>
      <c r="I528">
        <v>45</v>
      </c>
      <c r="J528" s="2">
        <v>0</v>
      </c>
      <c r="K528" s="2" t="s">
        <v>161</v>
      </c>
      <c r="L528" s="2">
        <f t="shared" si="174"/>
        <v>6</v>
      </c>
      <c r="M528" s="2">
        <f t="shared" si="172"/>
        <v>1.6</v>
      </c>
      <c r="N528" s="2">
        <f t="shared" si="172"/>
        <v>2</v>
      </c>
      <c r="O528" s="2">
        <v>10</v>
      </c>
      <c r="P528" s="2">
        <f t="shared" si="177"/>
        <v>330.41</v>
      </c>
      <c r="Q528" s="2">
        <f t="shared" si="177"/>
        <v>33.04</v>
      </c>
      <c r="R528" s="2">
        <f t="shared" si="177"/>
        <v>3072</v>
      </c>
      <c r="S528" s="2">
        <f t="shared" si="176"/>
        <v>307.2</v>
      </c>
      <c r="T528" s="2">
        <f t="shared" si="176"/>
        <v>66.08</v>
      </c>
      <c r="U528" s="2">
        <f t="shared" si="176"/>
        <v>6.61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17">
        <v>514013</v>
      </c>
      <c r="AB528" s="14" t="s">
        <v>779</v>
      </c>
      <c r="AC528" s="15" t="s">
        <v>890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J528">
        <v>1</v>
      </c>
      <c r="AK528" s="1">
        <f t="shared" si="188"/>
        <v>202.50881409078457</v>
      </c>
      <c r="AL528">
        <v>13</v>
      </c>
      <c r="AM528">
        <f t="shared" si="179"/>
        <v>300.37333333333339</v>
      </c>
      <c r="AN528">
        <f t="shared" si="180"/>
        <v>30.03733333333334</v>
      </c>
      <c r="AO528">
        <f t="shared" si="181"/>
        <v>2792.727272727273</v>
      </c>
      <c r="AP528">
        <f t="shared" si="182"/>
        <v>279.27272727272731</v>
      </c>
      <c r="AQ528">
        <f t="shared" si="183"/>
        <v>60.07466666666668</v>
      </c>
      <c r="AR528">
        <f t="shared" si="168"/>
        <v>6.0074666666666685</v>
      </c>
      <c r="AS528">
        <f t="shared" si="184"/>
        <v>1.6</v>
      </c>
      <c r="AT528">
        <f t="shared" si="185"/>
        <v>2</v>
      </c>
      <c r="AU528">
        <f t="shared" si="186"/>
        <v>6</v>
      </c>
      <c r="AV528">
        <f t="shared" si="178"/>
        <v>4011</v>
      </c>
      <c r="AW528" s="1">
        <v>1</v>
      </c>
      <c r="AX528">
        <v>5</v>
      </c>
      <c r="AY528">
        <v>0.1</v>
      </c>
      <c r="CE528" t="str">
        <f t="shared" si="175"/>
        <v>DATA_Class_Base32</v>
      </c>
      <c r="CF528" s="3" t="s">
        <v>388</v>
      </c>
    </row>
    <row r="529" spans="1:84">
      <c r="A529">
        <f t="shared" si="173"/>
        <v>5131402</v>
      </c>
      <c r="B529" s="31" t="s">
        <v>390</v>
      </c>
      <c r="C529">
        <v>13</v>
      </c>
      <c r="D529">
        <v>4</v>
      </c>
      <c r="E529">
        <v>1</v>
      </c>
      <c r="F529" s="3" t="s">
        <v>1682</v>
      </c>
      <c r="G529" s="3" t="s">
        <v>1682</v>
      </c>
      <c r="H529" s="3">
        <v>0</v>
      </c>
      <c r="I529">
        <v>45</v>
      </c>
      <c r="J529">
        <v>0</v>
      </c>
      <c r="K529" s="2" t="s">
        <v>250</v>
      </c>
      <c r="L529" s="2">
        <f t="shared" si="174"/>
        <v>6</v>
      </c>
      <c r="M529" s="2">
        <f t="shared" si="172"/>
        <v>1.5</v>
      </c>
      <c r="N529" s="2">
        <f t="shared" si="172"/>
        <v>1.5</v>
      </c>
      <c r="O529" s="2">
        <v>10</v>
      </c>
      <c r="P529" s="2">
        <f t="shared" si="177"/>
        <v>337.92</v>
      </c>
      <c r="Q529" s="2">
        <f t="shared" si="177"/>
        <v>33.79</v>
      </c>
      <c r="R529" s="2">
        <f t="shared" si="177"/>
        <v>2816</v>
      </c>
      <c r="S529" s="2">
        <f t="shared" si="176"/>
        <v>281.60000000000002</v>
      </c>
      <c r="T529" s="2">
        <f t="shared" si="176"/>
        <v>56.32</v>
      </c>
      <c r="U529" s="2">
        <f t="shared" si="176"/>
        <v>5.63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17">
        <v>514023</v>
      </c>
      <c r="AB529" s="14" t="s">
        <v>780</v>
      </c>
      <c r="AC529" s="15" t="s">
        <v>890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J529">
        <v>1</v>
      </c>
      <c r="AK529" s="1">
        <f t="shared" si="188"/>
        <v>202.10892614408706</v>
      </c>
      <c r="AL529">
        <v>13</v>
      </c>
      <c r="AM529">
        <f t="shared" si="179"/>
        <v>307.20000000000005</v>
      </c>
      <c r="AN529">
        <f t="shared" si="180"/>
        <v>30.720000000000006</v>
      </c>
      <c r="AO529">
        <f t="shared" si="181"/>
        <v>2560</v>
      </c>
      <c r="AP529">
        <f t="shared" si="182"/>
        <v>256</v>
      </c>
      <c r="AQ529">
        <f t="shared" si="183"/>
        <v>51.20000000000001</v>
      </c>
      <c r="AR529">
        <f t="shared" si="168"/>
        <v>5.120000000000001</v>
      </c>
      <c r="AS529">
        <f t="shared" si="184"/>
        <v>1.5</v>
      </c>
      <c r="AT529">
        <f t="shared" si="185"/>
        <v>1.5</v>
      </c>
      <c r="AU529">
        <f t="shared" si="186"/>
        <v>6</v>
      </c>
      <c r="AV529">
        <f t="shared" si="178"/>
        <v>4021</v>
      </c>
      <c r="AW529" s="1">
        <v>2</v>
      </c>
      <c r="AX529">
        <v>5</v>
      </c>
      <c r="AY529">
        <v>0.1</v>
      </c>
      <c r="CE529" t="str">
        <f t="shared" si="175"/>
        <v>DATA_Class_Base33</v>
      </c>
      <c r="CF529" s="3" t="s">
        <v>391</v>
      </c>
    </row>
    <row r="530" spans="1:84">
      <c r="A530">
        <f t="shared" si="173"/>
        <v>5131500</v>
      </c>
      <c r="B530" s="31" t="s">
        <v>394</v>
      </c>
      <c r="C530">
        <v>13</v>
      </c>
      <c r="D530">
        <v>5</v>
      </c>
      <c r="E530">
        <v>1</v>
      </c>
      <c r="F530" s="3" t="s">
        <v>1683</v>
      </c>
      <c r="G530" s="3" t="s">
        <v>1683</v>
      </c>
      <c r="H530" s="3">
        <v>0</v>
      </c>
      <c r="I530">
        <v>30</v>
      </c>
      <c r="J530">
        <v>0</v>
      </c>
      <c r="K530" s="2" t="s">
        <v>303</v>
      </c>
      <c r="L530" s="2">
        <f t="shared" si="174"/>
        <v>6</v>
      </c>
      <c r="M530" s="2">
        <f t="shared" si="172"/>
        <v>1.5</v>
      </c>
      <c r="N530" s="2">
        <f t="shared" si="172"/>
        <v>1.5</v>
      </c>
      <c r="O530" s="2">
        <v>10</v>
      </c>
      <c r="P530" s="2">
        <f t="shared" si="177"/>
        <v>394.24</v>
      </c>
      <c r="Q530" s="2">
        <f t="shared" si="177"/>
        <v>39.42</v>
      </c>
      <c r="R530" s="2">
        <f t="shared" si="177"/>
        <v>2413.71</v>
      </c>
      <c r="S530" s="2">
        <f t="shared" si="176"/>
        <v>241.37</v>
      </c>
      <c r="T530" s="2">
        <f t="shared" si="176"/>
        <v>56.32</v>
      </c>
      <c r="U530" s="2">
        <f t="shared" si="176"/>
        <v>5.63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17">
        <v>515003</v>
      </c>
      <c r="AB530" s="14" t="s">
        <v>781</v>
      </c>
      <c r="AC530" s="15" t="s">
        <v>890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J530">
        <v>1</v>
      </c>
      <c r="AK530" s="1">
        <f t="shared" si="188"/>
        <v>202.10892614408704</v>
      </c>
      <c r="AL530">
        <v>13</v>
      </c>
      <c r="AM530">
        <f t="shared" si="179"/>
        <v>358.39999999999992</v>
      </c>
      <c r="AN530">
        <f t="shared" si="180"/>
        <v>35.839999999999996</v>
      </c>
      <c r="AO530">
        <f t="shared" si="181"/>
        <v>2194.2857142857147</v>
      </c>
      <c r="AP530">
        <f t="shared" si="182"/>
        <v>219.42857142857147</v>
      </c>
      <c r="AQ530">
        <f t="shared" si="183"/>
        <v>51.199999999999989</v>
      </c>
      <c r="AR530">
        <f t="shared" si="168"/>
        <v>5.1199999999999992</v>
      </c>
      <c r="AS530">
        <f t="shared" si="184"/>
        <v>1.5</v>
      </c>
      <c r="AT530">
        <f t="shared" si="185"/>
        <v>1.5</v>
      </c>
      <c r="AU530">
        <f t="shared" si="186"/>
        <v>6</v>
      </c>
      <c r="AV530">
        <f t="shared" si="178"/>
        <v>5001</v>
      </c>
      <c r="AW530" s="1">
        <v>0</v>
      </c>
      <c r="AX530">
        <v>5</v>
      </c>
      <c r="AY530">
        <v>0.1</v>
      </c>
      <c r="CE530" t="str">
        <f t="shared" si="175"/>
        <v>DATA_Class_Base34</v>
      </c>
      <c r="CF530" s="3" t="s">
        <v>184</v>
      </c>
    </row>
    <row r="531" spans="1:84">
      <c r="A531">
        <f t="shared" si="173"/>
        <v>5131502</v>
      </c>
      <c r="B531" s="31" t="s">
        <v>396</v>
      </c>
      <c r="C531">
        <v>13</v>
      </c>
      <c r="D531">
        <v>5</v>
      </c>
      <c r="E531">
        <v>1</v>
      </c>
      <c r="F531" s="3" t="s">
        <v>1684</v>
      </c>
      <c r="G531" s="3" t="s">
        <v>1684</v>
      </c>
      <c r="H531" s="3">
        <v>-10</v>
      </c>
      <c r="I531">
        <v>50</v>
      </c>
      <c r="J531" s="2">
        <v>0</v>
      </c>
      <c r="K531" s="2" t="s">
        <v>291</v>
      </c>
      <c r="L531" s="2">
        <f t="shared" si="174"/>
        <v>6</v>
      </c>
      <c r="M531" s="2">
        <f t="shared" si="172"/>
        <v>1.4000000000000001</v>
      </c>
      <c r="N531" s="2">
        <f t="shared" si="172"/>
        <v>2</v>
      </c>
      <c r="O531" s="2">
        <v>10</v>
      </c>
      <c r="P531" s="2">
        <f t="shared" si="177"/>
        <v>341.67</v>
      </c>
      <c r="Q531" s="2">
        <f t="shared" si="177"/>
        <v>34.17</v>
      </c>
      <c r="R531" s="2">
        <f t="shared" si="177"/>
        <v>2599.38</v>
      </c>
      <c r="S531" s="2">
        <f t="shared" si="176"/>
        <v>259.94</v>
      </c>
      <c r="T531" s="2">
        <f t="shared" si="176"/>
        <v>52.57</v>
      </c>
      <c r="U531" s="2">
        <f t="shared" si="176"/>
        <v>5.26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17">
        <v>515023</v>
      </c>
      <c r="AB531" s="14" t="s">
        <v>782</v>
      </c>
      <c r="AC531" s="15" t="s">
        <v>890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J531">
        <v>1</v>
      </c>
      <c r="AK531" s="1">
        <f t="shared" si="188"/>
        <v>201.95554329031395</v>
      </c>
      <c r="AL531">
        <v>13</v>
      </c>
      <c r="AM531">
        <f t="shared" si="179"/>
        <v>310.61333333333329</v>
      </c>
      <c r="AN531">
        <f t="shared" si="180"/>
        <v>31.06133333333333</v>
      </c>
      <c r="AO531">
        <f t="shared" si="181"/>
        <v>2363.0769230769229</v>
      </c>
      <c r="AP531">
        <f t="shared" si="182"/>
        <v>236.30769230769229</v>
      </c>
      <c r="AQ531">
        <f t="shared" si="183"/>
        <v>47.786666666666662</v>
      </c>
      <c r="AR531">
        <f t="shared" si="168"/>
        <v>4.7786666666666662</v>
      </c>
      <c r="AS531">
        <f t="shared" si="184"/>
        <v>1.4</v>
      </c>
      <c r="AT531">
        <f t="shared" si="185"/>
        <v>2</v>
      </c>
      <c r="AU531">
        <f t="shared" si="186"/>
        <v>6</v>
      </c>
      <c r="AV531">
        <f t="shared" si="178"/>
        <v>5021</v>
      </c>
      <c r="AW531" s="1">
        <v>2</v>
      </c>
      <c r="AX531">
        <v>5</v>
      </c>
      <c r="AY531">
        <v>0.1</v>
      </c>
      <c r="CE531" t="str">
        <f t="shared" si="175"/>
        <v>DATA_Class_Base35</v>
      </c>
      <c r="CF531" s="3" t="s">
        <v>195</v>
      </c>
    </row>
    <row r="532" spans="1:84">
      <c r="A532">
        <f t="shared" si="173"/>
        <v>5131601</v>
      </c>
      <c r="B532" s="31" t="s">
        <v>398</v>
      </c>
      <c r="C532">
        <v>13</v>
      </c>
      <c r="D532">
        <v>6</v>
      </c>
      <c r="E532">
        <v>1</v>
      </c>
      <c r="F532" s="3" t="s">
        <v>1685</v>
      </c>
      <c r="G532" s="3" t="s">
        <v>1685</v>
      </c>
      <c r="H532" s="3">
        <v>0</v>
      </c>
      <c r="I532">
        <v>50</v>
      </c>
      <c r="J532">
        <v>0</v>
      </c>
      <c r="K532" s="2" t="s">
        <v>309</v>
      </c>
      <c r="L532" s="2">
        <f t="shared" si="174"/>
        <v>6</v>
      </c>
      <c r="M532" s="2">
        <f t="shared" si="172"/>
        <v>1.5</v>
      </c>
      <c r="N532" s="2">
        <f t="shared" si="172"/>
        <v>2</v>
      </c>
      <c r="O532" s="2">
        <v>10</v>
      </c>
      <c r="P532" s="2">
        <f t="shared" si="177"/>
        <v>281.60000000000002</v>
      </c>
      <c r="Q532" s="2">
        <f t="shared" si="177"/>
        <v>28.16</v>
      </c>
      <c r="R532" s="2">
        <f t="shared" si="177"/>
        <v>3379.2</v>
      </c>
      <c r="S532" s="2">
        <f t="shared" si="176"/>
        <v>337.92</v>
      </c>
      <c r="T532" s="2">
        <f t="shared" si="176"/>
        <v>70.400000000000006</v>
      </c>
      <c r="U532" s="2">
        <f t="shared" si="176"/>
        <v>7.04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17">
        <v>516013</v>
      </c>
      <c r="AB532" s="14" t="s">
        <v>783</v>
      </c>
      <c r="AC532" s="15" t="s">
        <v>890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J532">
        <v>1</v>
      </c>
      <c r="AK532" s="1">
        <f t="shared" si="188"/>
        <v>202.68619279454722</v>
      </c>
      <c r="AL532">
        <v>13</v>
      </c>
      <c r="AM532">
        <f t="shared" si="179"/>
        <v>256</v>
      </c>
      <c r="AN532">
        <f t="shared" si="180"/>
        <v>25.6</v>
      </c>
      <c r="AO532">
        <f t="shared" si="181"/>
        <v>3072</v>
      </c>
      <c r="AP532">
        <f t="shared" si="182"/>
        <v>307.20000000000005</v>
      </c>
      <c r="AQ532">
        <f t="shared" si="183"/>
        <v>64</v>
      </c>
      <c r="AR532">
        <f t="shared" si="168"/>
        <v>6.4</v>
      </c>
      <c r="AS532">
        <f t="shared" si="184"/>
        <v>1.5</v>
      </c>
      <c r="AT532">
        <f t="shared" si="185"/>
        <v>2</v>
      </c>
      <c r="AU532">
        <f t="shared" si="186"/>
        <v>6</v>
      </c>
      <c r="AV532">
        <f t="shared" si="178"/>
        <v>6011</v>
      </c>
      <c r="AW532" s="1">
        <v>1</v>
      </c>
      <c r="AX532">
        <v>5</v>
      </c>
      <c r="AY532">
        <v>0.1</v>
      </c>
      <c r="CE532" t="str">
        <f t="shared" si="175"/>
        <v>DATA_Class_Base36</v>
      </c>
      <c r="CF532" s="3" t="s">
        <v>201</v>
      </c>
    </row>
    <row r="533" spans="1:84">
      <c r="A533">
        <f t="shared" si="173"/>
        <v>5132200</v>
      </c>
      <c r="B533" s="31" t="s">
        <v>373</v>
      </c>
      <c r="C533">
        <v>13</v>
      </c>
      <c r="D533">
        <v>2</v>
      </c>
      <c r="E533">
        <v>2</v>
      </c>
      <c r="F533" s="3" t="s">
        <v>1686</v>
      </c>
      <c r="G533" s="3" t="s">
        <v>1686</v>
      </c>
      <c r="H533" s="3">
        <v>0</v>
      </c>
      <c r="I533">
        <v>50</v>
      </c>
      <c r="J533">
        <v>0</v>
      </c>
      <c r="K533" s="2" t="s">
        <v>314</v>
      </c>
      <c r="L533" s="2">
        <f t="shared" si="174"/>
        <v>3</v>
      </c>
      <c r="M533" s="2">
        <f t="shared" si="172"/>
        <v>1.5</v>
      </c>
      <c r="N533" s="2">
        <f t="shared" si="172"/>
        <v>1.2</v>
      </c>
      <c r="O533" s="2">
        <v>10</v>
      </c>
      <c r="P533" s="2">
        <f t="shared" si="177"/>
        <v>281.60000000000002</v>
      </c>
      <c r="Q533" s="2">
        <f t="shared" si="177"/>
        <v>28.16</v>
      </c>
      <c r="R533" s="2">
        <f t="shared" si="177"/>
        <v>3379.2</v>
      </c>
      <c r="S533" s="2">
        <f t="shared" si="176"/>
        <v>337.92</v>
      </c>
      <c r="T533" s="2">
        <f t="shared" si="176"/>
        <v>70.400000000000006</v>
      </c>
      <c r="U533" s="2">
        <f t="shared" si="176"/>
        <v>7.04</v>
      </c>
      <c r="V533" s="2">
        <v>0</v>
      </c>
      <c r="W533" s="2">
        <v>0</v>
      </c>
      <c r="X533" s="2">
        <v>0</v>
      </c>
      <c r="Y533" s="2">
        <v>0</v>
      </c>
      <c r="Z533" s="2">
        <v>0</v>
      </c>
      <c r="AA533" s="17">
        <v>522003</v>
      </c>
      <c r="AB533" s="14" t="s">
        <v>784</v>
      </c>
      <c r="AC533" s="15" t="s">
        <v>890</v>
      </c>
      <c r="AD533" s="2">
        <v>0</v>
      </c>
      <c r="AE533" s="2">
        <v>0</v>
      </c>
      <c r="AF533" s="2">
        <v>0</v>
      </c>
      <c r="AG533" s="2">
        <v>0</v>
      </c>
      <c r="AH533" s="2">
        <v>0</v>
      </c>
      <c r="AJ533">
        <v>1</v>
      </c>
      <c r="AK533" s="1">
        <f t="shared" si="188"/>
        <v>202.68619279454722</v>
      </c>
      <c r="AL533">
        <v>13</v>
      </c>
      <c r="AM533">
        <f t="shared" si="179"/>
        <v>256</v>
      </c>
      <c r="AN533">
        <f t="shared" si="180"/>
        <v>25.6</v>
      </c>
      <c r="AO533">
        <f t="shared" si="181"/>
        <v>3072</v>
      </c>
      <c r="AP533">
        <f t="shared" si="182"/>
        <v>307.20000000000005</v>
      </c>
      <c r="AQ533">
        <f t="shared" si="183"/>
        <v>64</v>
      </c>
      <c r="AR533">
        <f t="shared" si="168"/>
        <v>6.4</v>
      </c>
      <c r="AS533">
        <f t="shared" si="184"/>
        <v>1.5</v>
      </c>
      <c r="AT533">
        <f t="shared" si="185"/>
        <v>1.2</v>
      </c>
      <c r="AU533">
        <f t="shared" si="186"/>
        <v>3</v>
      </c>
      <c r="AV533">
        <f t="shared" si="178"/>
        <v>2002</v>
      </c>
      <c r="AW533" s="1">
        <v>0</v>
      </c>
      <c r="AX533">
        <v>5</v>
      </c>
      <c r="AY533">
        <v>0.1</v>
      </c>
      <c r="CE533" t="str">
        <f t="shared" si="175"/>
        <v>DATA_Class_Base28</v>
      </c>
      <c r="CF533" s="3" t="s">
        <v>374</v>
      </c>
    </row>
    <row r="534" spans="1:84">
      <c r="A534">
        <f t="shared" si="173"/>
        <v>5132201</v>
      </c>
      <c r="B534" s="31" t="s">
        <v>377</v>
      </c>
      <c r="C534">
        <v>13</v>
      </c>
      <c r="D534">
        <v>2</v>
      </c>
      <c r="E534">
        <v>2</v>
      </c>
      <c r="F534" s="3" t="s">
        <v>1687</v>
      </c>
      <c r="G534" s="3" t="s">
        <v>1687</v>
      </c>
      <c r="H534" s="3">
        <v>-30</v>
      </c>
      <c r="I534">
        <v>35</v>
      </c>
      <c r="J534">
        <v>0</v>
      </c>
      <c r="K534" s="8" t="s">
        <v>298</v>
      </c>
      <c r="L534" s="2">
        <f t="shared" si="174"/>
        <v>3</v>
      </c>
      <c r="M534" s="2">
        <f t="shared" si="172"/>
        <v>1.8</v>
      </c>
      <c r="N534" s="2">
        <f t="shared" si="172"/>
        <v>1.8</v>
      </c>
      <c r="O534" s="2">
        <v>10</v>
      </c>
      <c r="P534" s="2">
        <f t="shared" si="177"/>
        <v>236.54</v>
      </c>
      <c r="Q534" s="2">
        <f t="shared" si="177"/>
        <v>23.65</v>
      </c>
      <c r="R534" s="2">
        <f t="shared" si="177"/>
        <v>4827.43</v>
      </c>
      <c r="S534" s="2">
        <f t="shared" si="176"/>
        <v>482.74</v>
      </c>
      <c r="T534" s="2">
        <f t="shared" si="176"/>
        <v>78.849999999999994</v>
      </c>
      <c r="U534" s="2">
        <f t="shared" si="176"/>
        <v>7.88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17">
        <v>522013</v>
      </c>
      <c r="AB534" s="14" t="s">
        <v>785</v>
      </c>
      <c r="AC534" s="15" t="s">
        <v>890</v>
      </c>
      <c r="AD534" s="2">
        <v>0</v>
      </c>
      <c r="AE534" s="2">
        <v>0</v>
      </c>
      <c r="AF534" s="2">
        <v>0</v>
      </c>
      <c r="AG534" s="2">
        <v>0</v>
      </c>
      <c r="AH534" s="2">
        <v>0</v>
      </c>
      <c r="AJ534">
        <v>1</v>
      </c>
      <c r="AK534" s="1">
        <f t="shared" si="188"/>
        <v>203.03413834809422</v>
      </c>
      <c r="AL534">
        <v>13</v>
      </c>
      <c r="AM534">
        <f t="shared" si="179"/>
        <v>215.04000000000002</v>
      </c>
      <c r="AN534">
        <f t="shared" si="180"/>
        <v>21.504000000000005</v>
      </c>
      <c r="AO534">
        <f t="shared" si="181"/>
        <v>4388.5714285714294</v>
      </c>
      <c r="AP534">
        <f t="shared" si="182"/>
        <v>438.85714285714295</v>
      </c>
      <c r="AQ534">
        <f t="shared" si="183"/>
        <v>71.680000000000007</v>
      </c>
      <c r="AR534">
        <f t="shared" si="168"/>
        <v>7.168000000000001</v>
      </c>
      <c r="AS534">
        <f t="shared" si="184"/>
        <v>1.8</v>
      </c>
      <c r="AT534">
        <f t="shared" si="185"/>
        <v>1.8</v>
      </c>
      <c r="AU534">
        <f t="shared" si="186"/>
        <v>3</v>
      </c>
      <c r="AV534">
        <f t="shared" si="178"/>
        <v>2012</v>
      </c>
      <c r="AW534" s="1">
        <v>1</v>
      </c>
      <c r="AX534">
        <v>5</v>
      </c>
      <c r="AY534">
        <v>0.1</v>
      </c>
      <c r="CE534" t="str">
        <f t="shared" si="175"/>
        <v>DATA_Class_Base29</v>
      </c>
      <c r="CF534" s="3" t="s">
        <v>378</v>
      </c>
    </row>
    <row r="535" spans="1:84">
      <c r="A535">
        <f t="shared" si="173"/>
        <v>5132202</v>
      </c>
      <c r="B535" s="31" t="s">
        <v>380</v>
      </c>
      <c r="C535">
        <v>13</v>
      </c>
      <c r="D535">
        <v>2</v>
      </c>
      <c r="E535">
        <v>2</v>
      </c>
      <c r="F535" s="3" t="s">
        <v>1688</v>
      </c>
      <c r="G535" s="3" t="s">
        <v>1688</v>
      </c>
      <c r="H535" s="3">
        <v>-10</v>
      </c>
      <c r="I535">
        <v>40</v>
      </c>
      <c r="J535" s="2">
        <v>0</v>
      </c>
      <c r="K535" s="2" t="s">
        <v>280</v>
      </c>
      <c r="L535" s="2">
        <f t="shared" si="174"/>
        <v>3</v>
      </c>
      <c r="M535" s="2">
        <f t="shared" si="172"/>
        <v>1.8</v>
      </c>
      <c r="N535" s="2">
        <f t="shared" si="172"/>
        <v>2</v>
      </c>
      <c r="O535" s="2">
        <v>10</v>
      </c>
      <c r="P535" s="2">
        <f t="shared" si="177"/>
        <v>388.61</v>
      </c>
      <c r="Q535" s="2">
        <f t="shared" si="177"/>
        <v>38.86</v>
      </c>
      <c r="R535" s="2">
        <f t="shared" si="177"/>
        <v>2938.43</v>
      </c>
      <c r="S535" s="2">
        <f t="shared" si="176"/>
        <v>293.83999999999997</v>
      </c>
      <c r="T535" s="2">
        <f t="shared" si="176"/>
        <v>77.72</v>
      </c>
      <c r="U535" s="2">
        <f t="shared" si="176"/>
        <v>7.77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17">
        <v>522023</v>
      </c>
      <c r="AB535" s="14" t="s">
        <v>786</v>
      </c>
      <c r="AC535" s="15" t="s">
        <v>890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J535">
        <v>1</v>
      </c>
      <c r="AK535" s="1">
        <f t="shared" si="188"/>
        <v>202.98767660114473</v>
      </c>
      <c r="AL535">
        <v>13</v>
      </c>
      <c r="AM535">
        <f t="shared" si="179"/>
        <v>353.28</v>
      </c>
      <c r="AN535">
        <f t="shared" si="180"/>
        <v>35.327999999999996</v>
      </c>
      <c r="AO535">
        <f t="shared" si="181"/>
        <v>2671.3043478260875</v>
      </c>
      <c r="AP535">
        <f t="shared" si="182"/>
        <v>267.13043478260875</v>
      </c>
      <c r="AQ535">
        <f t="shared" si="183"/>
        <v>70.655999999999992</v>
      </c>
      <c r="AR535">
        <f t="shared" si="168"/>
        <v>7.0655999999999999</v>
      </c>
      <c r="AS535">
        <f t="shared" si="184"/>
        <v>1.8</v>
      </c>
      <c r="AT535">
        <f t="shared" si="185"/>
        <v>2</v>
      </c>
      <c r="AU535">
        <f t="shared" si="186"/>
        <v>3</v>
      </c>
      <c r="AV535">
        <f t="shared" si="178"/>
        <v>2022</v>
      </c>
      <c r="AW535" s="1">
        <v>2</v>
      </c>
      <c r="AX535">
        <v>5</v>
      </c>
      <c r="AY535">
        <v>0.1</v>
      </c>
      <c r="CE535" t="str">
        <f t="shared" si="175"/>
        <v>DATA_Class_Base30</v>
      </c>
      <c r="CF535" s="3" t="s">
        <v>381</v>
      </c>
    </row>
    <row r="536" spans="1:84">
      <c r="A536">
        <f t="shared" si="173"/>
        <v>5132301</v>
      </c>
      <c r="B536" s="31" t="s">
        <v>383</v>
      </c>
      <c r="C536">
        <v>13</v>
      </c>
      <c r="D536">
        <v>3</v>
      </c>
      <c r="E536">
        <v>2</v>
      </c>
      <c r="F536" s="3" t="s">
        <v>1689</v>
      </c>
      <c r="G536" s="3" t="s">
        <v>1689</v>
      </c>
      <c r="H536" s="3">
        <v>-10</v>
      </c>
      <c r="I536">
        <v>35</v>
      </c>
      <c r="J536">
        <v>0</v>
      </c>
      <c r="K536" s="2" t="s">
        <v>285</v>
      </c>
      <c r="L536" s="2">
        <f t="shared" si="174"/>
        <v>3</v>
      </c>
      <c r="M536" s="2">
        <f t="shared" si="172"/>
        <v>1.2</v>
      </c>
      <c r="N536" s="2">
        <f t="shared" si="172"/>
        <v>1.7</v>
      </c>
      <c r="O536" s="2">
        <v>10</v>
      </c>
      <c r="P536" s="2">
        <f t="shared" si="177"/>
        <v>292.86</v>
      </c>
      <c r="Q536" s="2">
        <f t="shared" si="177"/>
        <v>29.29</v>
      </c>
      <c r="R536" s="2">
        <f t="shared" si="177"/>
        <v>2599.38</v>
      </c>
      <c r="S536" s="2">
        <f t="shared" si="176"/>
        <v>259.94</v>
      </c>
      <c r="T536" s="2">
        <f t="shared" si="176"/>
        <v>48.81</v>
      </c>
      <c r="U536" s="2">
        <f t="shared" si="176"/>
        <v>4.88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17">
        <v>523013</v>
      </c>
      <c r="AB536" s="14" t="s">
        <v>787</v>
      </c>
      <c r="AC536" s="15" t="s">
        <v>890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J536">
        <v>1</v>
      </c>
      <c r="AK536" s="1">
        <f t="shared" si="188"/>
        <v>201.80239306811674</v>
      </c>
      <c r="AL536">
        <v>13</v>
      </c>
      <c r="AM536">
        <f t="shared" si="179"/>
        <v>266.24</v>
      </c>
      <c r="AN536">
        <f t="shared" si="180"/>
        <v>26.624000000000002</v>
      </c>
      <c r="AO536">
        <f t="shared" si="181"/>
        <v>2363.0769230769229</v>
      </c>
      <c r="AP536">
        <f t="shared" si="182"/>
        <v>236.30769230769229</v>
      </c>
      <c r="AQ536">
        <f t="shared" si="183"/>
        <v>44.373333333333335</v>
      </c>
      <c r="AR536">
        <f t="shared" si="168"/>
        <v>4.437333333333334</v>
      </c>
      <c r="AS536">
        <f t="shared" si="184"/>
        <v>1.2</v>
      </c>
      <c r="AT536">
        <f t="shared" si="185"/>
        <v>1.7</v>
      </c>
      <c r="AU536">
        <f t="shared" si="186"/>
        <v>3</v>
      </c>
      <c r="AV536">
        <f t="shared" si="178"/>
        <v>3012</v>
      </c>
      <c r="AW536" s="1">
        <v>1</v>
      </c>
      <c r="AX536">
        <v>5</v>
      </c>
      <c r="AY536">
        <v>0.1</v>
      </c>
      <c r="CE536" t="str">
        <f t="shared" si="175"/>
        <v>DATA_Class_Base31</v>
      </c>
      <c r="CF536" s="3" t="s">
        <v>384</v>
      </c>
    </row>
    <row r="537" spans="1:84">
      <c r="A537">
        <f t="shared" si="173"/>
        <v>5132401</v>
      </c>
      <c r="B537" s="31" t="s">
        <v>387</v>
      </c>
      <c r="C537">
        <v>13</v>
      </c>
      <c r="D537">
        <v>4</v>
      </c>
      <c r="E537">
        <v>2</v>
      </c>
      <c r="F537" s="3" t="s">
        <v>1690</v>
      </c>
      <c r="G537" s="3" t="s">
        <v>1690</v>
      </c>
      <c r="H537" s="3">
        <v>-10</v>
      </c>
      <c r="I537">
        <v>45</v>
      </c>
      <c r="J537" s="2">
        <v>0</v>
      </c>
      <c r="K537" s="2" t="s">
        <v>161</v>
      </c>
      <c r="L537" s="2">
        <f t="shared" si="174"/>
        <v>6</v>
      </c>
      <c r="M537" s="2">
        <f t="shared" si="172"/>
        <v>1.6</v>
      </c>
      <c r="N537" s="2">
        <f t="shared" si="172"/>
        <v>1.5</v>
      </c>
      <c r="O537" s="2">
        <v>10</v>
      </c>
      <c r="P537" s="2">
        <f t="shared" si="177"/>
        <v>390.49</v>
      </c>
      <c r="Q537" s="2">
        <f t="shared" si="177"/>
        <v>39.049999999999997</v>
      </c>
      <c r="R537" s="2">
        <f t="shared" si="177"/>
        <v>2599.38</v>
      </c>
      <c r="S537" s="2">
        <f t="shared" si="176"/>
        <v>259.94</v>
      </c>
      <c r="T537" s="2">
        <f t="shared" si="176"/>
        <v>43.39</v>
      </c>
      <c r="U537" s="2">
        <f t="shared" si="176"/>
        <v>4.34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17">
        <v>524013</v>
      </c>
      <c r="AB537" s="14" t="s">
        <v>788</v>
      </c>
      <c r="AC537" s="15" t="s">
        <v>890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J537">
        <v>1</v>
      </c>
      <c r="AK537" s="1">
        <f t="shared" si="188"/>
        <v>201.58158570416788</v>
      </c>
      <c r="AL537">
        <v>13</v>
      </c>
      <c r="AM537">
        <f t="shared" si="179"/>
        <v>354.98666666666668</v>
      </c>
      <c r="AN537">
        <f t="shared" si="180"/>
        <v>35.498666666666672</v>
      </c>
      <c r="AO537">
        <f t="shared" si="181"/>
        <v>2363.0769230769229</v>
      </c>
      <c r="AP537">
        <f t="shared" si="182"/>
        <v>236.30769230769229</v>
      </c>
      <c r="AQ537">
        <f t="shared" si="183"/>
        <v>39.442962962962966</v>
      </c>
      <c r="AR537">
        <f t="shared" si="168"/>
        <v>3.9442962962962969</v>
      </c>
      <c r="AS537">
        <f t="shared" si="184"/>
        <v>1.6</v>
      </c>
      <c r="AT537">
        <f t="shared" si="185"/>
        <v>1.5</v>
      </c>
      <c r="AU537">
        <f t="shared" si="186"/>
        <v>6</v>
      </c>
      <c r="AV537">
        <f t="shared" si="178"/>
        <v>4012</v>
      </c>
      <c r="AW537" s="1">
        <v>1</v>
      </c>
      <c r="AX537">
        <v>5</v>
      </c>
      <c r="AY537">
        <v>0.1</v>
      </c>
      <c r="CE537" t="str">
        <f t="shared" si="175"/>
        <v>DATA_Class_Base32</v>
      </c>
      <c r="CF537" s="3" t="s">
        <v>388</v>
      </c>
    </row>
    <row r="538" spans="1:84">
      <c r="A538">
        <f t="shared" si="173"/>
        <v>5132402</v>
      </c>
      <c r="B538" s="31" t="s">
        <v>390</v>
      </c>
      <c r="C538">
        <v>13</v>
      </c>
      <c r="D538">
        <v>4</v>
      </c>
      <c r="E538">
        <v>2</v>
      </c>
      <c r="F538" s="3" t="s">
        <v>1691</v>
      </c>
      <c r="G538" s="3" t="s">
        <v>1691</v>
      </c>
      <c r="H538" s="3">
        <v>0</v>
      </c>
      <c r="I538">
        <v>45</v>
      </c>
      <c r="J538">
        <v>0</v>
      </c>
      <c r="K538" s="2" t="s">
        <v>250</v>
      </c>
      <c r="L538" s="2">
        <f t="shared" si="174"/>
        <v>6</v>
      </c>
      <c r="M538" s="2">
        <f t="shared" si="172"/>
        <v>1.5</v>
      </c>
      <c r="N538" s="2">
        <f t="shared" si="172"/>
        <v>1.5</v>
      </c>
      <c r="O538" s="2">
        <v>10</v>
      </c>
      <c r="P538" s="2">
        <f t="shared" si="177"/>
        <v>394.24</v>
      </c>
      <c r="Q538" s="2">
        <f t="shared" si="177"/>
        <v>39.42</v>
      </c>
      <c r="R538" s="2">
        <f t="shared" si="177"/>
        <v>2413.71</v>
      </c>
      <c r="S538" s="2">
        <f t="shared" si="176"/>
        <v>241.37</v>
      </c>
      <c r="T538" s="2">
        <f t="shared" si="176"/>
        <v>49.28</v>
      </c>
      <c r="U538" s="2">
        <f t="shared" si="176"/>
        <v>4.93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17">
        <v>524023</v>
      </c>
      <c r="AB538" s="14" t="s">
        <v>789</v>
      </c>
      <c r="AC538" s="15" t="s">
        <v>890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J538">
        <v>1</v>
      </c>
      <c r="AK538" s="1">
        <f t="shared" si="188"/>
        <v>201.821524141943</v>
      </c>
      <c r="AL538">
        <v>13</v>
      </c>
      <c r="AM538">
        <f t="shared" si="179"/>
        <v>358.39999999999992</v>
      </c>
      <c r="AN538">
        <f t="shared" si="180"/>
        <v>35.839999999999996</v>
      </c>
      <c r="AO538">
        <f t="shared" si="181"/>
        <v>2194.2857142857147</v>
      </c>
      <c r="AP538">
        <f t="shared" si="182"/>
        <v>219.42857142857147</v>
      </c>
      <c r="AQ538">
        <f t="shared" si="183"/>
        <v>44.79999999999999</v>
      </c>
      <c r="AR538">
        <f t="shared" si="168"/>
        <v>4.4799999999999995</v>
      </c>
      <c r="AS538">
        <f t="shared" si="184"/>
        <v>1.5</v>
      </c>
      <c r="AT538">
        <f t="shared" si="185"/>
        <v>1.5</v>
      </c>
      <c r="AU538">
        <f t="shared" si="186"/>
        <v>6</v>
      </c>
      <c r="AV538">
        <f t="shared" si="178"/>
        <v>4022</v>
      </c>
      <c r="AW538" s="1">
        <v>2</v>
      </c>
      <c r="AX538">
        <v>5</v>
      </c>
      <c r="AY538">
        <v>0.1</v>
      </c>
      <c r="CE538" t="str">
        <f t="shared" si="175"/>
        <v>DATA_Class_Base33</v>
      </c>
      <c r="CF538" s="3" t="s">
        <v>391</v>
      </c>
    </row>
    <row r="539" spans="1:84">
      <c r="A539">
        <f t="shared" si="173"/>
        <v>5132500</v>
      </c>
      <c r="B539" s="31" t="s">
        <v>394</v>
      </c>
      <c r="C539">
        <v>13</v>
      </c>
      <c r="D539">
        <v>5</v>
      </c>
      <c r="E539">
        <v>2</v>
      </c>
      <c r="F539" s="3" t="s">
        <v>1692</v>
      </c>
      <c r="G539" s="3" t="s">
        <v>1692</v>
      </c>
      <c r="H539" s="3">
        <v>0</v>
      </c>
      <c r="I539">
        <v>30</v>
      </c>
      <c r="J539" s="2">
        <v>0</v>
      </c>
      <c r="K539" s="2" t="s">
        <v>303</v>
      </c>
      <c r="L539" s="2">
        <f t="shared" si="174"/>
        <v>6</v>
      </c>
      <c r="M539" s="2">
        <f t="shared" si="172"/>
        <v>1.5</v>
      </c>
      <c r="N539" s="2">
        <f t="shared" si="172"/>
        <v>2</v>
      </c>
      <c r="O539" s="2">
        <v>10</v>
      </c>
      <c r="P539" s="2">
        <f t="shared" si="177"/>
        <v>422.4</v>
      </c>
      <c r="Q539" s="2">
        <f t="shared" si="177"/>
        <v>42.24</v>
      </c>
      <c r="R539" s="2">
        <f t="shared" si="177"/>
        <v>2252.8000000000002</v>
      </c>
      <c r="S539" s="2">
        <f t="shared" si="176"/>
        <v>225.28</v>
      </c>
      <c r="T539" s="2">
        <f t="shared" si="176"/>
        <v>46.93</v>
      </c>
      <c r="U539" s="2">
        <f t="shared" si="176"/>
        <v>4.6900000000000004</v>
      </c>
      <c r="V539" s="2">
        <v>0</v>
      </c>
      <c r="W539" s="2">
        <v>0</v>
      </c>
      <c r="X539" s="2">
        <v>0</v>
      </c>
      <c r="Y539" s="2">
        <v>0</v>
      </c>
      <c r="Z539" s="2">
        <v>0</v>
      </c>
      <c r="AA539" s="17">
        <v>525003</v>
      </c>
      <c r="AB539" s="14" t="s">
        <v>790</v>
      </c>
      <c r="AC539" s="15" t="s">
        <v>890</v>
      </c>
      <c r="AD539" s="2">
        <v>0</v>
      </c>
      <c r="AE539" s="2">
        <v>0</v>
      </c>
      <c r="AF539" s="2">
        <v>0</v>
      </c>
      <c r="AG539" s="2">
        <v>0</v>
      </c>
      <c r="AH539" s="2">
        <v>0</v>
      </c>
      <c r="AJ539">
        <v>1</v>
      </c>
      <c r="AK539" s="1">
        <f t="shared" si="188"/>
        <v>201.7259050285345</v>
      </c>
      <c r="AL539">
        <v>13</v>
      </c>
      <c r="AM539">
        <f t="shared" si="179"/>
        <v>384</v>
      </c>
      <c r="AN539">
        <f t="shared" si="180"/>
        <v>38.400000000000006</v>
      </c>
      <c r="AO539">
        <f t="shared" si="181"/>
        <v>2048</v>
      </c>
      <c r="AP539">
        <f t="shared" si="182"/>
        <v>204.8</v>
      </c>
      <c r="AQ539">
        <f t="shared" si="183"/>
        <v>42.666666666666664</v>
      </c>
      <c r="AR539">
        <f t="shared" si="168"/>
        <v>4.2666666666666666</v>
      </c>
      <c r="AS539">
        <f t="shared" si="184"/>
        <v>1.5</v>
      </c>
      <c r="AT539">
        <f t="shared" si="185"/>
        <v>2</v>
      </c>
      <c r="AU539">
        <f t="shared" si="186"/>
        <v>6</v>
      </c>
      <c r="AV539">
        <f t="shared" si="178"/>
        <v>5002</v>
      </c>
      <c r="AW539" s="1">
        <v>0</v>
      </c>
      <c r="AX539">
        <v>5</v>
      </c>
      <c r="AY539">
        <v>0.1</v>
      </c>
      <c r="CE539" t="str">
        <f t="shared" si="175"/>
        <v>DATA_Class_Base34</v>
      </c>
      <c r="CF539" s="3" t="s">
        <v>184</v>
      </c>
    </row>
    <row r="540" spans="1:84">
      <c r="A540">
        <f t="shared" si="173"/>
        <v>5132502</v>
      </c>
      <c r="B540" s="31" t="s">
        <v>396</v>
      </c>
      <c r="C540">
        <v>13</v>
      </c>
      <c r="D540">
        <v>5</v>
      </c>
      <c r="E540">
        <v>2</v>
      </c>
      <c r="F540" s="3" t="s">
        <v>1693</v>
      </c>
      <c r="G540" s="3" t="s">
        <v>1693</v>
      </c>
      <c r="H540" s="3">
        <v>-10</v>
      </c>
      <c r="I540">
        <v>50</v>
      </c>
      <c r="J540" s="2">
        <v>0</v>
      </c>
      <c r="K540" s="2" t="s">
        <v>291</v>
      </c>
      <c r="L540" s="2">
        <f t="shared" si="174"/>
        <v>6</v>
      </c>
      <c r="M540" s="2">
        <f t="shared" si="172"/>
        <v>1.4000000000000001</v>
      </c>
      <c r="N540" s="2">
        <f t="shared" si="172"/>
        <v>2</v>
      </c>
      <c r="O540" s="2">
        <v>10</v>
      </c>
      <c r="P540" s="2">
        <f t="shared" si="177"/>
        <v>407.38</v>
      </c>
      <c r="Q540" s="2">
        <f t="shared" si="177"/>
        <v>40.74</v>
      </c>
      <c r="R540" s="2">
        <f t="shared" si="177"/>
        <v>2180.13</v>
      </c>
      <c r="S540" s="2">
        <f t="shared" si="176"/>
        <v>218.01</v>
      </c>
      <c r="T540" s="2">
        <f t="shared" si="176"/>
        <v>40.74</v>
      </c>
      <c r="U540" s="2">
        <f t="shared" si="176"/>
        <v>4.07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17">
        <v>525023</v>
      </c>
      <c r="AB540" s="14" t="s">
        <v>791</v>
      </c>
      <c r="AC540" s="15" t="s">
        <v>890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J540">
        <v>1</v>
      </c>
      <c r="AK540" s="1">
        <f t="shared" si="188"/>
        <v>201.47390536398106</v>
      </c>
      <c r="AL540">
        <v>13</v>
      </c>
      <c r="AM540">
        <f t="shared" si="179"/>
        <v>370.34666666666664</v>
      </c>
      <c r="AN540">
        <f t="shared" si="180"/>
        <v>37.034666666666666</v>
      </c>
      <c r="AO540">
        <f t="shared" si="181"/>
        <v>1981.9354838709678</v>
      </c>
      <c r="AP540">
        <f t="shared" si="182"/>
        <v>198.1935483870968</v>
      </c>
      <c r="AQ540">
        <f t="shared" si="183"/>
        <v>37.034666666666666</v>
      </c>
      <c r="AR540">
        <f t="shared" ref="AR540:AR560" si="190">AQ540*0.1</f>
        <v>3.7034666666666669</v>
      </c>
      <c r="AS540">
        <f t="shared" si="184"/>
        <v>1.4</v>
      </c>
      <c r="AT540">
        <f t="shared" si="185"/>
        <v>2</v>
      </c>
      <c r="AU540">
        <f t="shared" si="186"/>
        <v>6</v>
      </c>
      <c r="AV540">
        <f t="shared" si="178"/>
        <v>5022</v>
      </c>
      <c r="AW540" s="1">
        <v>2</v>
      </c>
      <c r="AX540">
        <v>5</v>
      </c>
      <c r="AY540">
        <v>0.1</v>
      </c>
      <c r="CE540" t="str">
        <f t="shared" si="175"/>
        <v>DATA_Class_Base35</v>
      </c>
      <c r="CF540" s="3" t="s">
        <v>195</v>
      </c>
    </row>
    <row r="541" spans="1:84">
      <c r="A541">
        <f t="shared" si="173"/>
        <v>5132601</v>
      </c>
      <c r="B541" s="31" t="s">
        <v>398</v>
      </c>
      <c r="C541">
        <v>13</v>
      </c>
      <c r="D541">
        <v>6</v>
      </c>
      <c r="E541">
        <v>2</v>
      </c>
      <c r="F541" s="3" t="s">
        <v>1694</v>
      </c>
      <c r="G541" s="3" t="s">
        <v>1694</v>
      </c>
      <c r="H541" s="3">
        <v>0</v>
      </c>
      <c r="I541">
        <v>50</v>
      </c>
      <c r="J541" s="2">
        <v>0</v>
      </c>
      <c r="K541" s="2" t="s">
        <v>309</v>
      </c>
      <c r="L541" s="2">
        <f t="shared" si="174"/>
        <v>6</v>
      </c>
      <c r="M541" s="2">
        <f t="shared" si="172"/>
        <v>1.5</v>
      </c>
      <c r="N541" s="2">
        <f t="shared" si="172"/>
        <v>2</v>
      </c>
      <c r="O541" s="2">
        <v>10</v>
      </c>
      <c r="P541" s="2">
        <f t="shared" si="177"/>
        <v>309.76</v>
      </c>
      <c r="Q541" s="2">
        <f t="shared" si="177"/>
        <v>30.98</v>
      </c>
      <c r="R541" s="2">
        <f t="shared" si="177"/>
        <v>3072</v>
      </c>
      <c r="S541" s="2">
        <f t="shared" si="176"/>
        <v>307.2</v>
      </c>
      <c r="T541" s="2">
        <f t="shared" si="176"/>
        <v>61.95</v>
      </c>
      <c r="U541" s="2">
        <f t="shared" si="176"/>
        <v>6.2</v>
      </c>
      <c r="V541" s="2">
        <v>0</v>
      </c>
      <c r="W541" s="2">
        <v>0</v>
      </c>
      <c r="X541" s="2">
        <v>0</v>
      </c>
      <c r="Y541" s="2">
        <v>0</v>
      </c>
      <c r="Z541" s="2">
        <v>0</v>
      </c>
      <c r="AA541" s="17">
        <v>526013</v>
      </c>
      <c r="AB541" s="14" t="s">
        <v>792</v>
      </c>
      <c r="AC541" s="15" t="s">
        <v>890</v>
      </c>
      <c r="AD541" s="2">
        <v>0</v>
      </c>
      <c r="AE541" s="2">
        <v>0</v>
      </c>
      <c r="AF541" s="2">
        <v>0</v>
      </c>
      <c r="AG541" s="2">
        <v>0</v>
      </c>
      <c r="AH541" s="2">
        <v>0</v>
      </c>
      <c r="AJ541">
        <v>1</v>
      </c>
      <c r="AK541" s="1">
        <f t="shared" si="188"/>
        <v>202.33943776974229</v>
      </c>
      <c r="AL541">
        <v>13</v>
      </c>
      <c r="AM541">
        <f t="shared" si="179"/>
        <v>281.60000000000002</v>
      </c>
      <c r="AN541">
        <f t="shared" si="180"/>
        <v>28.160000000000004</v>
      </c>
      <c r="AO541">
        <f t="shared" si="181"/>
        <v>2792.727272727273</v>
      </c>
      <c r="AP541">
        <f t="shared" si="182"/>
        <v>279.27272727272731</v>
      </c>
      <c r="AQ541">
        <f t="shared" si="183"/>
        <v>56.320000000000007</v>
      </c>
      <c r="AR541">
        <f t="shared" si="190"/>
        <v>5.6320000000000014</v>
      </c>
      <c r="AS541">
        <f t="shared" si="184"/>
        <v>1.5</v>
      </c>
      <c r="AT541">
        <f t="shared" si="185"/>
        <v>2</v>
      </c>
      <c r="AU541">
        <f t="shared" si="186"/>
        <v>6</v>
      </c>
      <c r="AV541">
        <f t="shared" si="178"/>
        <v>6012</v>
      </c>
      <c r="AW541" s="1">
        <v>1</v>
      </c>
      <c r="AX541">
        <v>5</v>
      </c>
      <c r="AY541">
        <v>0.1</v>
      </c>
      <c r="CE541" t="str">
        <f t="shared" si="175"/>
        <v>DATA_Class_Base36</v>
      </c>
      <c r="CF541" s="3" t="s">
        <v>201</v>
      </c>
    </row>
    <row r="542" spans="1:84">
      <c r="A542">
        <f t="shared" si="173"/>
        <v>5133200</v>
      </c>
      <c r="B542" s="31" t="s">
        <v>373</v>
      </c>
      <c r="C542">
        <v>13</v>
      </c>
      <c r="D542">
        <v>2</v>
      </c>
      <c r="E542">
        <v>3</v>
      </c>
      <c r="F542" s="3" t="s">
        <v>1695</v>
      </c>
      <c r="G542" s="3" t="s">
        <v>1695</v>
      </c>
      <c r="H542" s="3">
        <v>0</v>
      </c>
      <c r="I542">
        <v>50</v>
      </c>
      <c r="J542">
        <v>0</v>
      </c>
      <c r="K542" s="2" t="s">
        <v>314</v>
      </c>
      <c r="L542" s="2">
        <f t="shared" si="174"/>
        <v>3</v>
      </c>
      <c r="M542" s="2">
        <f t="shared" si="172"/>
        <v>1.5</v>
      </c>
      <c r="N542" s="2">
        <f t="shared" si="172"/>
        <v>1.2</v>
      </c>
      <c r="O542" s="2">
        <v>10</v>
      </c>
      <c r="P542" s="2">
        <f t="shared" si="177"/>
        <v>197.12</v>
      </c>
      <c r="Q542" s="2">
        <f t="shared" si="177"/>
        <v>19.71</v>
      </c>
      <c r="R542" s="2">
        <f t="shared" si="177"/>
        <v>4827.43</v>
      </c>
      <c r="S542" s="2">
        <f t="shared" si="176"/>
        <v>482.74</v>
      </c>
      <c r="T542" s="2">
        <f t="shared" si="176"/>
        <v>98.56</v>
      </c>
      <c r="U542" s="2">
        <f t="shared" si="176"/>
        <v>9.86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17">
        <v>532003</v>
      </c>
      <c r="AB542" s="14" t="s">
        <v>793</v>
      </c>
      <c r="AC542" s="15" t="s">
        <v>890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J542">
        <v>1</v>
      </c>
      <c r="AK542" s="1">
        <f t="shared" si="188"/>
        <v>203.85067571978848</v>
      </c>
      <c r="AL542">
        <v>13</v>
      </c>
      <c r="AM542">
        <f t="shared" si="179"/>
        <v>179.19999999999996</v>
      </c>
      <c r="AN542">
        <f t="shared" si="180"/>
        <v>17.919999999999998</v>
      </c>
      <c r="AO542">
        <f t="shared" si="181"/>
        <v>4388.5714285714294</v>
      </c>
      <c r="AP542">
        <f t="shared" si="182"/>
        <v>438.85714285714295</v>
      </c>
      <c r="AQ542">
        <f t="shared" si="183"/>
        <v>89.59999999999998</v>
      </c>
      <c r="AR542">
        <f t="shared" si="190"/>
        <v>8.9599999999999991</v>
      </c>
      <c r="AS542">
        <f t="shared" si="184"/>
        <v>1.5</v>
      </c>
      <c r="AT542">
        <f t="shared" si="185"/>
        <v>1.2</v>
      </c>
      <c r="AU542">
        <f t="shared" si="186"/>
        <v>3</v>
      </c>
      <c r="AV542">
        <f t="shared" si="178"/>
        <v>2003</v>
      </c>
      <c r="AW542" s="1">
        <v>0</v>
      </c>
      <c r="AX542">
        <v>5</v>
      </c>
      <c r="AY542">
        <v>0.1</v>
      </c>
      <c r="CE542" t="str">
        <f t="shared" si="175"/>
        <v>DATA_Class_Base28</v>
      </c>
      <c r="CF542" s="3" t="s">
        <v>374</v>
      </c>
    </row>
    <row r="543" spans="1:84">
      <c r="A543">
        <f t="shared" si="173"/>
        <v>5133201</v>
      </c>
      <c r="B543" s="31" t="s">
        <v>377</v>
      </c>
      <c r="C543">
        <v>13</v>
      </c>
      <c r="D543">
        <v>2</v>
      </c>
      <c r="E543">
        <v>3</v>
      </c>
      <c r="F543" s="3" t="s">
        <v>1696</v>
      </c>
      <c r="G543" s="3" t="s">
        <v>1696</v>
      </c>
      <c r="H543" s="3">
        <v>-30</v>
      </c>
      <c r="I543">
        <v>35</v>
      </c>
      <c r="J543" s="2">
        <v>0</v>
      </c>
      <c r="K543" s="8" t="s">
        <v>298</v>
      </c>
      <c r="L543" s="2">
        <f t="shared" si="174"/>
        <v>3</v>
      </c>
      <c r="M543" s="2">
        <f t="shared" si="172"/>
        <v>1.8</v>
      </c>
      <c r="N543" s="2">
        <f t="shared" si="172"/>
        <v>1.8</v>
      </c>
      <c r="O543" s="2">
        <v>10</v>
      </c>
      <c r="P543" s="2">
        <f t="shared" si="177"/>
        <v>202.75</v>
      </c>
      <c r="Q543" s="2">
        <f t="shared" si="177"/>
        <v>20.28</v>
      </c>
      <c r="R543" s="2">
        <f t="shared" si="177"/>
        <v>5632</v>
      </c>
      <c r="S543" s="2">
        <f t="shared" si="176"/>
        <v>563.20000000000005</v>
      </c>
      <c r="T543" s="2">
        <f t="shared" si="176"/>
        <v>112.64</v>
      </c>
      <c r="U543" s="2">
        <f t="shared" si="176"/>
        <v>11.26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17">
        <v>532013</v>
      </c>
      <c r="AB543" s="14" t="s">
        <v>794</v>
      </c>
      <c r="AC543" s="15" t="s">
        <v>890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J543">
        <v>1</v>
      </c>
      <c r="AK543" s="1">
        <f t="shared" si="188"/>
        <v>204.43794932233365</v>
      </c>
      <c r="AL543">
        <v>13</v>
      </c>
      <c r="AM543">
        <f t="shared" si="179"/>
        <v>184.32000000000005</v>
      </c>
      <c r="AN543">
        <f t="shared" si="180"/>
        <v>18.432000000000006</v>
      </c>
      <c r="AO543">
        <f t="shared" si="181"/>
        <v>5120</v>
      </c>
      <c r="AP543">
        <f t="shared" si="182"/>
        <v>512</v>
      </c>
      <c r="AQ543">
        <f t="shared" si="183"/>
        <v>102.40000000000002</v>
      </c>
      <c r="AR543">
        <f t="shared" si="190"/>
        <v>10.240000000000002</v>
      </c>
      <c r="AS543">
        <f t="shared" si="184"/>
        <v>1.8</v>
      </c>
      <c r="AT543">
        <f t="shared" si="185"/>
        <v>1.8</v>
      </c>
      <c r="AU543">
        <f t="shared" si="186"/>
        <v>3</v>
      </c>
      <c r="AV543">
        <f t="shared" si="178"/>
        <v>2013</v>
      </c>
      <c r="AW543" s="1">
        <v>1</v>
      </c>
      <c r="AX543">
        <v>5</v>
      </c>
      <c r="AY543">
        <v>0.1</v>
      </c>
      <c r="CE543" t="str">
        <f t="shared" si="175"/>
        <v>DATA_Class_Base29</v>
      </c>
      <c r="CF543" s="3" t="s">
        <v>378</v>
      </c>
    </row>
    <row r="544" spans="1:84">
      <c r="A544">
        <f t="shared" si="173"/>
        <v>5133202</v>
      </c>
      <c r="B544" s="31" t="s">
        <v>380</v>
      </c>
      <c r="C544">
        <v>13</v>
      </c>
      <c r="D544">
        <v>2</v>
      </c>
      <c r="E544">
        <v>3</v>
      </c>
      <c r="F544" s="3" t="s">
        <v>1697</v>
      </c>
      <c r="G544" s="3" t="s">
        <v>1697</v>
      </c>
      <c r="H544" s="3">
        <v>-10</v>
      </c>
      <c r="I544">
        <v>40</v>
      </c>
      <c r="J544">
        <v>0</v>
      </c>
      <c r="K544" s="2" t="s">
        <v>280</v>
      </c>
      <c r="L544" s="2">
        <f t="shared" si="174"/>
        <v>3</v>
      </c>
      <c r="M544" s="2">
        <f t="shared" si="172"/>
        <v>1.8</v>
      </c>
      <c r="N544" s="2">
        <f t="shared" si="172"/>
        <v>2</v>
      </c>
      <c r="O544" s="2">
        <v>10</v>
      </c>
      <c r="P544" s="2">
        <f t="shared" si="177"/>
        <v>304.13</v>
      </c>
      <c r="Q544" s="2">
        <f t="shared" si="177"/>
        <v>30.41</v>
      </c>
      <c r="R544" s="2">
        <f t="shared" si="177"/>
        <v>3754.67</v>
      </c>
      <c r="S544" s="2">
        <f t="shared" si="176"/>
        <v>375.47</v>
      </c>
      <c r="T544" s="2">
        <f t="shared" si="176"/>
        <v>101.38</v>
      </c>
      <c r="U544" s="2">
        <f t="shared" si="176"/>
        <v>10.14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17">
        <v>532023</v>
      </c>
      <c r="AB544" s="14" t="s">
        <v>795</v>
      </c>
      <c r="AC544" s="15" t="s">
        <v>890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J544">
        <v>1</v>
      </c>
      <c r="AK544" s="1">
        <f t="shared" si="188"/>
        <v>203.96786036242025</v>
      </c>
      <c r="AL544">
        <v>13</v>
      </c>
      <c r="AM544">
        <f t="shared" si="179"/>
        <v>276.48</v>
      </c>
      <c r="AN544">
        <f t="shared" si="180"/>
        <v>27.648000000000003</v>
      </c>
      <c r="AO544">
        <f t="shared" si="181"/>
        <v>3413.3333333333339</v>
      </c>
      <c r="AP544">
        <f t="shared" si="182"/>
        <v>341.33333333333343</v>
      </c>
      <c r="AQ544">
        <f t="shared" si="183"/>
        <v>92.160000000000011</v>
      </c>
      <c r="AR544">
        <f t="shared" si="190"/>
        <v>9.2160000000000011</v>
      </c>
      <c r="AS544">
        <f t="shared" si="184"/>
        <v>1.8</v>
      </c>
      <c r="AT544">
        <f t="shared" si="185"/>
        <v>2</v>
      </c>
      <c r="AU544">
        <f t="shared" si="186"/>
        <v>3</v>
      </c>
      <c r="AV544">
        <f t="shared" si="178"/>
        <v>2023</v>
      </c>
      <c r="AW544" s="1">
        <v>2</v>
      </c>
      <c r="AX544">
        <v>5</v>
      </c>
      <c r="AY544">
        <v>0.1</v>
      </c>
      <c r="CE544" t="str">
        <f t="shared" si="175"/>
        <v>DATA_Class_Base30</v>
      </c>
      <c r="CF544" s="3" t="s">
        <v>381</v>
      </c>
    </row>
    <row r="545" spans="1:84">
      <c r="A545">
        <f t="shared" si="173"/>
        <v>5133301</v>
      </c>
      <c r="B545" s="31" t="s">
        <v>383</v>
      </c>
      <c r="C545">
        <v>13</v>
      </c>
      <c r="D545">
        <v>3</v>
      </c>
      <c r="E545">
        <v>3</v>
      </c>
      <c r="F545" s="3" t="s">
        <v>1698</v>
      </c>
      <c r="G545" s="3" t="s">
        <v>1698</v>
      </c>
      <c r="H545" s="3">
        <v>-10</v>
      </c>
      <c r="I545">
        <v>35</v>
      </c>
      <c r="J545" s="2">
        <v>0</v>
      </c>
      <c r="K545" s="2" t="s">
        <v>285</v>
      </c>
      <c r="L545" s="2">
        <f t="shared" si="174"/>
        <v>3</v>
      </c>
      <c r="M545" s="2">
        <f t="shared" si="172"/>
        <v>1.2</v>
      </c>
      <c r="N545" s="2">
        <f t="shared" si="172"/>
        <v>1.4000000000000001</v>
      </c>
      <c r="O545" s="2">
        <v>10</v>
      </c>
      <c r="P545" s="2">
        <f t="shared" si="177"/>
        <v>270.33999999999997</v>
      </c>
      <c r="Q545" s="2">
        <f t="shared" si="177"/>
        <v>27.03</v>
      </c>
      <c r="R545" s="2">
        <f t="shared" si="177"/>
        <v>2816</v>
      </c>
      <c r="S545" s="2">
        <f t="shared" si="176"/>
        <v>281.60000000000002</v>
      </c>
      <c r="T545" s="2">
        <f t="shared" si="176"/>
        <v>54.07</v>
      </c>
      <c r="U545" s="2">
        <f t="shared" si="176"/>
        <v>5.41</v>
      </c>
      <c r="V545" s="2">
        <v>0</v>
      </c>
      <c r="W545" s="2">
        <v>0</v>
      </c>
      <c r="X545" s="2">
        <v>0</v>
      </c>
      <c r="Y545" s="2">
        <v>0</v>
      </c>
      <c r="Z545" s="2">
        <v>0</v>
      </c>
      <c r="AA545" s="17">
        <v>533013</v>
      </c>
      <c r="AB545" s="14" t="s">
        <v>796</v>
      </c>
      <c r="AC545" s="15" t="s">
        <v>890</v>
      </c>
      <c r="AD545" s="2">
        <v>0</v>
      </c>
      <c r="AE545" s="2">
        <v>0</v>
      </c>
      <c r="AF545" s="2">
        <v>0</v>
      </c>
      <c r="AG545" s="2">
        <v>0</v>
      </c>
      <c r="AH545" s="2">
        <v>0</v>
      </c>
      <c r="AJ545">
        <v>1</v>
      </c>
      <c r="AK545" s="1">
        <f t="shared" si="188"/>
        <v>202.01686848636518</v>
      </c>
      <c r="AL545">
        <v>13</v>
      </c>
      <c r="AM545">
        <f t="shared" si="179"/>
        <v>245.76</v>
      </c>
      <c r="AN545">
        <f t="shared" si="180"/>
        <v>24.576000000000001</v>
      </c>
      <c r="AO545">
        <f t="shared" si="181"/>
        <v>2560</v>
      </c>
      <c r="AP545">
        <f t="shared" si="182"/>
        <v>256</v>
      </c>
      <c r="AQ545">
        <f t="shared" si="183"/>
        <v>49.152000000000001</v>
      </c>
      <c r="AR545">
        <f t="shared" si="190"/>
        <v>4.9152000000000005</v>
      </c>
      <c r="AS545">
        <f t="shared" si="184"/>
        <v>1.2</v>
      </c>
      <c r="AT545">
        <f t="shared" si="185"/>
        <v>1.4</v>
      </c>
      <c r="AU545">
        <f t="shared" si="186"/>
        <v>3</v>
      </c>
      <c r="AV545">
        <f t="shared" si="178"/>
        <v>3013</v>
      </c>
      <c r="AW545" s="1">
        <v>1</v>
      </c>
      <c r="AX545">
        <v>5</v>
      </c>
      <c r="AY545">
        <v>0.1</v>
      </c>
      <c r="CE545" t="str">
        <f t="shared" si="175"/>
        <v>DATA_Class_Base31</v>
      </c>
      <c r="CF545" s="3" t="s">
        <v>384</v>
      </c>
    </row>
    <row r="546" spans="1:84">
      <c r="A546">
        <f t="shared" si="173"/>
        <v>5133401</v>
      </c>
      <c r="B546" s="31" t="s">
        <v>387</v>
      </c>
      <c r="C546">
        <v>13</v>
      </c>
      <c r="D546">
        <v>4</v>
      </c>
      <c r="E546">
        <v>3</v>
      </c>
      <c r="F546" s="3" t="s">
        <v>1699</v>
      </c>
      <c r="G546" s="3" t="s">
        <v>1699</v>
      </c>
      <c r="H546" s="3">
        <v>-10</v>
      </c>
      <c r="I546">
        <v>45</v>
      </c>
      <c r="J546">
        <v>0</v>
      </c>
      <c r="K546" s="2" t="s">
        <v>161</v>
      </c>
      <c r="L546" s="2">
        <f t="shared" si="174"/>
        <v>6</v>
      </c>
      <c r="M546" s="2">
        <f t="shared" si="172"/>
        <v>1.6</v>
      </c>
      <c r="N546" s="2">
        <f t="shared" si="172"/>
        <v>1.5</v>
      </c>
      <c r="O546" s="2">
        <v>10</v>
      </c>
      <c r="P546" s="2">
        <f t="shared" si="177"/>
        <v>360.45</v>
      </c>
      <c r="Q546" s="2">
        <f t="shared" si="177"/>
        <v>36.04</v>
      </c>
      <c r="R546" s="2">
        <f t="shared" si="177"/>
        <v>2816</v>
      </c>
      <c r="S546" s="2">
        <f t="shared" si="176"/>
        <v>281.60000000000002</v>
      </c>
      <c r="T546" s="2">
        <f t="shared" si="176"/>
        <v>60.07</v>
      </c>
      <c r="U546" s="2">
        <f t="shared" si="176"/>
        <v>6.01</v>
      </c>
      <c r="V546" s="2">
        <v>0</v>
      </c>
      <c r="W546" s="2">
        <v>0</v>
      </c>
      <c r="X546" s="2">
        <v>0</v>
      </c>
      <c r="Y546" s="2">
        <v>0</v>
      </c>
      <c r="Z546" s="2">
        <v>0</v>
      </c>
      <c r="AA546" s="17">
        <v>534013</v>
      </c>
      <c r="AB546" s="14" t="s">
        <v>797</v>
      </c>
      <c r="AC546" s="15" t="s">
        <v>890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J546">
        <v>1</v>
      </c>
      <c r="AK546" s="1">
        <f t="shared" si="188"/>
        <v>202.26254215988155</v>
      </c>
      <c r="AL546">
        <v>13</v>
      </c>
      <c r="AM546">
        <f t="shared" si="179"/>
        <v>327.68000000000006</v>
      </c>
      <c r="AN546">
        <f t="shared" si="180"/>
        <v>32.768000000000008</v>
      </c>
      <c r="AO546">
        <f t="shared" si="181"/>
        <v>2560</v>
      </c>
      <c r="AP546">
        <f t="shared" si="182"/>
        <v>256</v>
      </c>
      <c r="AQ546">
        <f t="shared" si="183"/>
        <v>54.613333333333344</v>
      </c>
      <c r="AR546">
        <f t="shared" si="190"/>
        <v>5.4613333333333349</v>
      </c>
      <c r="AS546">
        <f t="shared" si="184"/>
        <v>1.6</v>
      </c>
      <c r="AT546">
        <f t="shared" si="185"/>
        <v>1.5</v>
      </c>
      <c r="AU546">
        <f t="shared" si="186"/>
        <v>6</v>
      </c>
      <c r="AV546">
        <f t="shared" si="178"/>
        <v>4013</v>
      </c>
      <c r="AW546" s="1">
        <v>1</v>
      </c>
      <c r="AX546">
        <v>5</v>
      </c>
      <c r="AY546">
        <v>0.1</v>
      </c>
      <c r="CE546" t="str">
        <f t="shared" si="175"/>
        <v>DATA_Class_Base32</v>
      </c>
      <c r="CF546" s="3" t="s">
        <v>388</v>
      </c>
    </row>
    <row r="547" spans="1:84">
      <c r="A547">
        <f t="shared" si="173"/>
        <v>5133402</v>
      </c>
      <c r="B547" s="31" t="s">
        <v>390</v>
      </c>
      <c r="C547">
        <v>13</v>
      </c>
      <c r="D547">
        <v>4</v>
      </c>
      <c r="E547">
        <v>3</v>
      </c>
      <c r="F547" s="3" t="s">
        <v>1700</v>
      </c>
      <c r="G547" s="3" t="s">
        <v>1700</v>
      </c>
      <c r="H547" s="3">
        <v>0</v>
      </c>
      <c r="I547">
        <v>45</v>
      </c>
      <c r="J547" s="2">
        <v>0</v>
      </c>
      <c r="K547" s="2" t="s">
        <v>250</v>
      </c>
      <c r="L547" s="2">
        <f t="shared" si="174"/>
        <v>6</v>
      </c>
      <c r="M547" s="2">
        <f t="shared" si="172"/>
        <v>1.5</v>
      </c>
      <c r="N547" s="2">
        <f t="shared" si="172"/>
        <v>1.5</v>
      </c>
      <c r="O547" s="2">
        <v>10</v>
      </c>
      <c r="P547" s="2">
        <f t="shared" si="177"/>
        <v>366.08</v>
      </c>
      <c r="Q547" s="2">
        <f t="shared" si="177"/>
        <v>36.61</v>
      </c>
      <c r="R547" s="2">
        <f t="shared" si="177"/>
        <v>2599.38</v>
      </c>
      <c r="S547" s="2">
        <f t="shared" si="176"/>
        <v>259.94</v>
      </c>
      <c r="T547" s="2">
        <f t="shared" si="176"/>
        <v>52.3</v>
      </c>
      <c r="U547" s="2">
        <f t="shared" si="176"/>
        <v>5.23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17">
        <v>534023</v>
      </c>
      <c r="AB547" s="14" t="s">
        <v>798</v>
      </c>
      <c r="AC547" s="15" t="s">
        <v>890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J547">
        <v>1</v>
      </c>
      <c r="AK547" s="1">
        <f t="shared" si="188"/>
        <v>201.94459628017856</v>
      </c>
      <c r="AL547">
        <v>13</v>
      </c>
      <c r="AM547">
        <f t="shared" si="179"/>
        <v>332.8</v>
      </c>
      <c r="AN547">
        <f t="shared" si="180"/>
        <v>33.28</v>
      </c>
      <c r="AO547">
        <f t="shared" si="181"/>
        <v>2363.0769230769229</v>
      </c>
      <c r="AP547">
        <f t="shared" si="182"/>
        <v>236.30769230769229</v>
      </c>
      <c r="AQ547">
        <f t="shared" si="183"/>
        <v>47.542857142857144</v>
      </c>
      <c r="AR547">
        <f t="shared" si="190"/>
        <v>4.7542857142857144</v>
      </c>
      <c r="AS547">
        <f t="shared" si="184"/>
        <v>1.5</v>
      </c>
      <c r="AT547">
        <f t="shared" si="185"/>
        <v>1.5</v>
      </c>
      <c r="AU547">
        <f t="shared" si="186"/>
        <v>6</v>
      </c>
      <c r="AV547">
        <f t="shared" si="178"/>
        <v>4023</v>
      </c>
      <c r="AW547" s="1">
        <v>2</v>
      </c>
      <c r="AX547">
        <v>5</v>
      </c>
      <c r="AY547">
        <v>0.1</v>
      </c>
      <c r="CE547" t="str">
        <f t="shared" si="175"/>
        <v>DATA_Class_Base33</v>
      </c>
      <c r="CF547" s="3" t="s">
        <v>391</v>
      </c>
    </row>
    <row r="548" spans="1:84">
      <c r="A548">
        <f t="shared" si="173"/>
        <v>5133500</v>
      </c>
      <c r="B548" s="31" t="s">
        <v>394</v>
      </c>
      <c r="C548">
        <v>13</v>
      </c>
      <c r="D548">
        <v>5</v>
      </c>
      <c r="E548">
        <v>3</v>
      </c>
      <c r="F548" s="3" t="s">
        <v>1701</v>
      </c>
      <c r="G548" s="3" t="s">
        <v>1701</v>
      </c>
      <c r="H548" s="3">
        <v>0</v>
      </c>
      <c r="I548">
        <v>30</v>
      </c>
      <c r="J548" s="2">
        <v>0</v>
      </c>
      <c r="K548" s="2" t="s">
        <v>303</v>
      </c>
      <c r="L548" s="2">
        <f t="shared" si="174"/>
        <v>6</v>
      </c>
      <c r="M548" s="2">
        <f t="shared" si="172"/>
        <v>1.5</v>
      </c>
      <c r="N548" s="2">
        <f t="shared" si="172"/>
        <v>2</v>
      </c>
      <c r="O548" s="2">
        <v>10</v>
      </c>
      <c r="P548" s="2">
        <f t="shared" si="177"/>
        <v>366.08</v>
      </c>
      <c r="Q548" s="2">
        <f t="shared" si="177"/>
        <v>36.61</v>
      </c>
      <c r="R548" s="2">
        <f t="shared" si="177"/>
        <v>2599.38</v>
      </c>
      <c r="S548" s="2">
        <f t="shared" si="176"/>
        <v>259.94</v>
      </c>
      <c r="T548" s="2">
        <f t="shared" si="176"/>
        <v>61.01</v>
      </c>
      <c r="U548" s="2">
        <f t="shared" si="176"/>
        <v>6.1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17">
        <v>535003</v>
      </c>
      <c r="AB548" s="14" t="s">
        <v>799</v>
      </c>
      <c r="AC548" s="15" t="s">
        <v>890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J548">
        <v>1</v>
      </c>
      <c r="AK548" s="1">
        <f t="shared" si="188"/>
        <v>202.30098265771122</v>
      </c>
      <c r="AL548">
        <v>13</v>
      </c>
      <c r="AM548">
        <f t="shared" si="179"/>
        <v>332.8</v>
      </c>
      <c r="AN548">
        <f t="shared" si="180"/>
        <v>33.28</v>
      </c>
      <c r="AO548">
        <f t="shared" si="181"/>
        <v>2363.0769230769229</v>
      </c>
      <c r="AP548">
        <f t="shared" si="182"/>
        <v>236.30769230769229</v>
      </c>
      <c r="AQ548">
        <f t="shared" si="183"/>
        <v>55.466666666666669</v>
      </c>
      <c r="AR548">
        <f t="shared" si="190"/>
        <v>5.5466666666666669</v>
      </c>
      <c r="AS548">
        <f t="shared" si="184"/>
        <v>1.5</v>
      </c>
      <c r="AT548">
        <f t="shared" si="185"/>
        <v>2</v>
      </c>
      <c r="AU548">
        <f t="shared" si="186"/>
        <v>6</v>
      </c>
      <c r="AV548">
        <f t="shared" si="178"/>
        <v>5003</v>
      </c>
      <c r="AW548" s="1">
        <v>0</v>
      </c>
      <c r="AX548">
        <v>5</v>
      </c>
      <c r="AY548">
        <v>0.1</v>
      </c>
      <c r="CE548" t="str">
        <f t="shared" si="175"/>
        <v>DATA_Class_Base34</v>
      </c>
      <c r="CF548" s="3" t="s">
        <v>184</v>
      </c>
    </row>
    <row r="549" spans="1:84">
      <c r="A549">
        <f t="shared" si="173"/>
        <v>5133502</v>
      </c>
      <c r="B549" s="31" t="s">
        <v>396</v>
      </c>
      <c r="C549">
        <v>13</v>
      </c>
      <c r="D549">
        <v>5</v>
      </c>
      <c r="E549">
        <v>3</v>
      </c>
      <c r="F549" s="3" t="s">
        <v>1702</v>
      </c>
      <c r="G549" s="3" t="s">
        <v>1702</v>
      </c>
      <c r="H549" s="3">
        <v>-10</v>
      </c>
      <c r="I549">
        <v>50</v>
      </c>
      <c r="J549" s="2">
        <v>0</v>
      </c>
      <c r="K549" s="2" t="s">
        <v>291</v>
      </c>
      <c r="L549" s="2">
        <f t="shared" si="174"/>
        <v>6</v>
      </c>
      <c r="M549" s="2">
        <f t="shared" si="172"/>
        <v>1.4000000000000001</v>
      </c>
      <c r="N549" s="2">
        <f t="shared" si="172"/>
        <v>2</v>
      </c>
      <c r="O549" s="2">
        <v>10</v>
      </c>
      <c r="P549" s="2">
        <f t="shared" si="177"/>
        <v>354.82</v>
      </c>
      <c r="Q549" s="2">
        <f t="shared" si="177"/>
        <v>35.479999999999997</v>
      </c>
      <c r="R549" s="2">
        <f t="shared" si="177"/>
        <v>2503.11</v>
      </c>
      <c r="S549" s="2">
        <f t="shared" si="176"/>
        <v>250.31</v>
      </c>
      <c r="T549" s="2">
        <f t="shared" si="176"/>
        <v>50.69</v>
      </c>
      <c r="U549" s="2">
        <f t="shared" si="176"/>
        <v>5.07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17">
        <v>535023</v>
      </c>
      <c r="AB549" s="14" t="s">
        <v>800</v>
      </c>
      <c r="AC549" s="15" t="s">
        <v>890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J549">
        <v>1</v>
      </c>
      <c r="AK549" s="1">
        <f t="shared" si="188"/>
        <v>201.87893913335841</v>
      </c>
      <c r="AL549">
        <v>13</v>
      </c>
      <c r="AM549">
        <f t="shared" si="179"/>
        <v>322.56</v>
      </c>
      <c r="AN549">
        <f t="shared" si="180"/>
        <v>32.256</v>
      </c>
      <c r="AO549">
        <f t="shared" si="181"/>
        <v>2275.5555555555557</v>
      </c>
      <c r="AP549">
        <f t="shared" si="182"/>
        <v>227.55555555555557</v>
      </c>
      <c r="AQ549">
        <f t="shared" si="183"/>
        <v>46.08</v>
      </c>
      <c r="AR549">
        <f t="shared" si="190"/>
        <v>4.6079999999999997</v>
      </c>
      <c r="AS549">
        <f t="shared" si="184"/>
        <v>1.4</v>
      </c>
      <c r="AT549">
        <f t="shared" si="185"/>
        <v>2</v>
      </c>
      <c r="AU549">
        <f t="shared" si="186"/>
        <v>6</v>
      </c>
      <c r="AV549">
        <f t="shared" si="178"/>
        <v>5023</v>
      </c>
      <c r="AW549" s="1">
        <v>2</v>
      </c>
      <c r="AX549">
        <v>5</v>
      </c>
      <c r="AY549">
        <v>0.1</v>
      </c>
      <c r="CE549" t="str">
        <f t="shared" si="175"/>
        <v>DATA_Class_Base35</v>
      </c>
      <c r="CF549" s="3" t="s">
        <v>195</v>
      </c>
    </row>
    <row r="550" spans="1:84">
      <c r="A550">
        <f t="shared" si="173"/>
        <v>5133601</v>
      </c>
      <c r="B550" s="31" t="s">
        <v>398</v>
      </c>
      <c r="C550">
        <v>13</v>
      </c>
      <c r="D550">
        <v>6</v>
      </c>
      <c r="E550">
        <v>3</v>
      </c>
      <c r="F550" s="3" t="s">
        <v>1703</v>
      </c>
      <c r="G550" s="3" t="s">
        <v>1703</v>
      </c>
      <c r="H550" s="3">
        <v>0</v>
      </c>
      <c r="I550">
        <v>50</v>
      </c>
      <c r="J550">
        <v>0</v>
      </c>
      <c r="K550" s="2" t="s">
        <v>309</v>
      </c>
      <c r="L550" s="2">
        <f t="shared" si="174"/>
        <v>6</v>
      </c>
      <c r="M550" s="2">
        <f t="shared" si="172"/>
        <v>1.5</v>
      </c>
      <c r="N550" s="2">
        <f t="shared" si="172"/>
        <v>2</v>
      </c>
      <c r="O550" s="2">
        <v>10</v>
      </c>
      <c r="P550" s="2">
        <f t="shared" si="177"/>
        <v>253.44</v>
      </c>
      <c r="Q550" s="2">
        <f t="shared" si="177"/>
        <v>25.34</v>
      </c>
      <c r="R550" s="2">
        <f t="shared" si="177"/>
        <v>3754.67</v>
      </c>
      <c r="S550" s="2">
        <f t="shared" si="176"/>
        <v>375.47</v>
      </c>
      <c r="T550" s="2">
        <f t="shared" si="176"/>
        <v>84.48</v>
      </c>
      <c r="U550" s="2">
        <f t="shared" si="176"/>
        <v>8.4499999999999993</v>
      </c>
      <c r="V550" s="2">
        <v>0</v>
      </c>
      <c r="W550" s="2">
        <v>0</v>
      </c>
      <c r="X550" s="2">
        <v>0</v>
      </c>
      <c r="Y550" s="2">
        <v>0</v>
      </c>
      <c r="Z550" s="2">
        <v>0</v>
      </c>
      <c r="AA550" s="17">
        <v>536013</v>
      </c>
      <c r="AB550" s="14" t="s">
        <v>801</v>
      </c>
      <c r="AC550" s="15" t="s">
        <v>890</v>
      </c>
      <c r="AD550" s="2">
        <v>0</v>
      </c>
      <c r="AE550" s="2">
        <v>0</v>
      </c>
      <c r="AF550" s="2">
        <v>0</v>
      </c>
      <c r="AG550" s="2">
        <v>0</v>
      </c>
      <c r="AH550" s="2">
        <v>0</v>
      </c>
      <c r="AJ550">
        <v>1</v>
      </c>
      <c r="AK550" s="1">
        <f t="shared" si="188"/>
        <v>203.26676648655692</v>
      </c>
      <c r="AL550">
        <v>13</v>
      </c>
      <c r="AM550">
        <f t="shared" si="179"/>
        <v>230.4</v>
      </c>
      <c r="AN550">
        <f t="shared" si="180"/>
        <v>23.040000000000003</v>
      </c>
      <c r="AO550">
        <f t="shared" si="181"/>
        <v>3413.3333333333339</v>
      </c>
      <c r="AP550">
        <f t="shared" si="182"/>
        <v>341.33333333333343</v>
      </c>
      <c r="AQ550">
        <f t="shared" si="183"/>
        <v>76.8</v>
      </c>
      <c r="AR550">
        <f t="shared" si="190"/>
        <v>7.68</v>
      </c>
      <c r="AS550">
        <f t="shared" si="184"/>
        <v>1.5</v>
      </c>
      <c r="AT550">
        <f t="shared" si="185"/>
        <v>2</v>
      </c>
      <c r="AU550">
        <f t="shared" si="186"/>
        <v>6</v>
      </c>
      <c r="AV550">
        <f t="shared" si="178"/>
        <v>6013</v>
      </c>
      <c r="AW550" s="1">
        <v>1</v>
      </c>
      <c r="AX550">
        <v>5</v>
      </c>
      <c r="AY550">
        <v>0.1</v>
      </c>
      <c r="CE550" t="str">
        <f t="shared" si="175"/>
        <v>DATA_Class_Base36</v>
      </c>
      <c r="CF550" s="3" t="s">
        <v>201</v>
      </c>
    </row>
    <row r="551" spans="1:84">
      <c r="A551">
        <f t="shared" si="173"/>
        <v>5134201</v>
      </c>
      <c r="B551" t="s">
        <v>377</v>
      </c>
      <c r="C551">
        <v>13</v>
      </c>
      <c r="D551">
        <v>2</v>
      </c>
      <c r="E551">
        <v>4</v>
      </c>
      <c r="F551" s="3" t="s">
        <v>1704</v>
      </c>
      <c r="G551" s="3" t="s">
        <v>1704</v>
      </c>
      <c r="H551" s="3">
        <v>0</v>
      </c>
      <c r="I551">
        <v>35</v>
      </c>
      <c r="J551" s="30">
        <v>0</v>
      </c>
      <c r="K551" s="8" t="s">
        <v>298</v>
      </c>
      <c r="L551" s="2">
        <f t="shared" si="174"/>
        <v>3</v>
      </c>
      <c r="M551" s="2">
        <f t="shared" si="172"/>
        <v>1.8</v>
      </c>
      <c r="N551" s="2">
        <f t="shared" si="172"/>
        <v>1.8</v>
      </c>
      <c r="O551" s="2">
        <v>10</v>
      </c>
      <c r="P551" s="2">
        <f t="shared" si="177"/>
        <v>270.33999999999997</v>
      </c>
      <c r="Q551" s="2">
        <f t="shared" si="177"/>
        <v>27.03</v>
      </c>
      <c r="R551" s="2">
        <f t="shared" si="177"/>
        <v>4224</v>
      </c>
      <c r="S551" s="2">
        <f t="shared" si="176"/>
        <v>422.4</v>
      </c>
      <c r="T551" s="2">
        <f t="shared" si="176"/>
        <v>103.98</v>
      </c>
      <c r="U551" s="2">
        <f t="shared" si="176"/>
        <v>10.4</v>
      </c>
      <c r="V551" s="2">
        <v>0</v>
      </c>
      <c r="W551" s="2">
        <v>0</v>
      </c>
      <c r="X551" s="2">
        <v>0</v>
      </c>
      <c r="Y551" s="2">
        <v>0</v>
      </c>
      <c r="Z551" s="2">
        <v>0</v>
      </c>
      <c r="AA551" s="17">
        <v>542013</v>
      </c>
      <c r="AB551" s="15" t="s">
        <v>802</v>
      </c>
      <c r="AC551" s="15" t="s">
        <v>890</v>
      </c>
      <c r="AD551" s="2">
        <v>0</v>
      </c>
      <c r="AE551" s="2">
        <v>0</v>
      </c>
      <c r="AF551" s="2">
        <v>0</v>
      </c>
      <c r="AG551" s="2">
        <v>0</v>
      </c>
      <c r="AH551" s="2">
        <v>0</v>
      </c>
      <c r="AI551" s="2"/>
      <c r="AJ551">
        <v>1</v>
      </c>
      <c r="AK551" s="1">
        <f t="shared" si="188"/>
        <v>204.0761504467047</v>
      </c>
      <c r="AL551">
        <v>13</v>
      </c>
      <c r="AM551">
        <f t="shared" si="179"/>
        <v>245.76000000000005</v>
      </c>
      <c r="AN551">
        <f t="shared" si="180"/>
        <v>24.576000000000008</v>
      </c>
      <c r="AO551">
        <f t="shared" si="181"/>
        <v>3840</v>
      </c>
      <c r="AP551">
        <f t="shared" si="182"/>
        <v>384</v>
      </c>
      <c r="AQ551">
        <f t="shared" si="183"/>
        <v>94.523076923076943</v>
      </c>
      <c r="AR551">
        <f t="shared" si="190"/>
        <v>9.452307692307695</v>
      </c>
      <c r="AS551">
        <f t="shared" si="184"/>
        <v>1.8</v>
      </c>
      <c r="AT551">
        <f t="shared" si="185"/>
        <v>1.8</v>
      </c>
      <c r="AU551">
        <f t="shared" si="186"/>
        <v>3</v>
      </c>
      <c r="AV551">
        <f t="shared" si="178"/>
        <v>2014</v>
      </c>
      <c r="AW551" s="1">
        <v>1</v>
      </c>
      <c r="AX551">
        <v>5</v>
      </c>
      <c r="AY551">
        <v>0.1</v>
      </c>
      <c r="BY551" s="13"/>
      <c r="BZ551" s="13"/>
      <c r="CA551" s="13"/>
      <c r="CE551" t="str">
        <f t="shared" si="175"/>
        <v>DATA_Class_Base29</v>
      </c>
      <c r="CF551" s="3" t="s">
        <v>378</v>
      </c>
    </row>
    <row r="552" spans="1:84">
      <c r="A552">
        <f t="shared" si="173"/>
        <v>5134302</v>
      </c>
      <c r="B552" t="s">
        <v>412</v>
      </c>
      <c r="C552">
        <v>13</v>
      </c>
      <c r="D552">
        <v>3</v>
      </c>
      <c r="E552">
        <v>4</v>
      </c>
      <c r="F552" s="3" t="s">
        <v>1705</v>
      </c>
      <c r="G552" s="3" t="s">
        <v>1705</v>
      </c>
      <c r="H552" s="3">
        <v>0</v>
      </c>
      <c r="I552">
        <v>40</v>
      </c>
      <c r="J552" s="30">
        <v>0</v>
      </c>
      <c r="K552" s="2" t="s">
        <v>358</v>
      </c>
      <c r="L552" s="2">
        <f t="shared" si="174"/>
        <v>3</v>
      </c>
      <c r="M552" s="2">
        <f t="shared" si="172"/>
        <v>1.4000000000000001</v>
      </c>
      <c r="N552" s="2">
        <f t="shared" si="172"/>
        <v>2</v>
      </c>
      <c r="O552" s="2">
        <v>10</v>
      </c>
      <c r="P552" s="2">
        <f t="shared" si="177"/>
        <v>289.11</v>
      </c>
      <c r="Q552" s="2">
        <f t="shared" si="177"/>
        <v>28.91</v>
      </c>
      <c r="R552" s="2">
        <f t="shared" si="177"/>
        <v>3072</v>
      </c>
      <c r="S552" s="2">
        <f t="shared" si="176"/>
        <v>307.2</v>
      </c>
      <c r="T552" s="2">
        <f t="shared" si="176"/>
        <v>44.48</v>
      </c>
      <c r="U552" s="2">
        <f t="shared" si="176"/>
        <v>4.45</v>
      </c>
      <c r="V552" s="2">
        <v>0</v>
      </c>
      <c r="W552" s="2">
        <v>0</v>
      </c>
      <c r="X552" s="2">
        <v>0</v>
      </c>
      <c r="Y552" s="2">
        <v>0</v>
      </c>
      <c r="Z552" s="2">
        <v>0</v>
      </c>
      <c r="AA552" s="17">
        <v>543023</v>
      </c>
      <c r="AB552" s="15" t="s">
        <v>803</v>
      </c>
      <c r="AC552" s="15" t="s">
        <v>890</v>
      </c>
      <c r="AD552" s="2">
        <v>0</v>
      </c>
      <c r="AE552" s="2">
        <v>0</v>
      </c>
      <c r="AF552" s="2">
        <v>0</v>
      </c>
      <c r="AG552" s="2">
        <v>0</v>
      </c>
      <c r="AH552" s="2">
        <v>0</v>
      </c>
      <c r="AI552" s="2"/>
      <c r="AJ552">
        <v>1</v>
      </c>
      <c r="AK552" s="1">
        <f t="shared" si="188"/>
        <v>201.62596965134117</v>
      </c>
      <c r="AL552">
        <v>13</v>
      </c>
      <c r="AM552">
        <f t="shared" si="179"/>
        <v>262.82666666666665</v>
      </c>
      <c r="AN552">
        <f t="shared" si="180"/>
        <v>26.282666666666668</v>
      </c>
      <c r="AO552">
        <f t="shared" si="181"/>
        <v>2792.727272727273</v>
      </c>
      <c r="AP552">
        <f t="shared" si="182"/>
        <v>279.27272727272731</v>
      </c>
      <c r="AQ552">
        <f t="shared" si="183"/>
        <v>40.434871794871796</v>
      </c>
      <c r="AR552">
        <f t="shared" si="190"/>
        <v>4.0434871794871796</v>
      </c>
      <c r="AS552">
        <f t="shared" si="184"/>
        <v>1.4</v>
      </c>
      <c r="AT552">
        <f t="shared" si="185"/>
        <v>2</v>
      </c>
      <c r="AU552">
        <f t="shared" si="186"/>
        <v>3</v>
      </c>
      <c r="AV552">
        <f t="shared" si="178"/>
        <v>3024</v>
      </c>
      <c r="AW552" s="1">
        <v>2</v>
      </c>
      <c r="AX552">
        <v>5</v>
      </c>
      <c r="AY552">
        <v>0.1</v>
      </c>
      <c r="BY552" s="13"/>
      <c r="BZ552" s="13"/>
      <c r="CA552" s="13"/>
      <c r="CE552" t="str">
        <f t="shared" si="175"/>
        <v>DATA_Class_Base41</v>
      </c>
      <c r="CF552" s="3" t="s">
        <v>413</v>
      </c>
    </row>
    <row r="553" spans="1:84">
      <c r="A553">
        <f t="shared" si="173"/>
        <v>5134501</v>
      </c>
      <c r="B553" t="s">
        <v>401</v>
      </c>
      <c r="C553">
        <v>13</v>
      </c>
      <c r="D553">
        <v>5</v>
      </c>
      <c r="E553">
        <v>4</v>
      </c>
      <c r="F553" s="3" t="s">
        <v>1706</v>
      </c>
      <c r="G553" s="3" t="s">
        <v>1706</v>
      </c>
      <c r="H553" s="3">
        <v>0</v>
      </c>
      <c r="I553">
        <v>40</v>
      </c>
      <c r="J553">
        <v>0</v>
      </c>
      <c r="K553" s="2" t="s">
        <v>334</v>
      </c>
      <c r="L553" s="2">
        <f t="shared" si="174"/>
        <v>6</v>
      </c>
      <c r="M553" s="2">
        <f t="shared" si="172"/>
        <v>1.6</v>
      </c>
      <c r="N553" s="2">
        <f t="shared" si="172"/>
        <v>2</v>
      </c>
      <c r="O553" s="2">
        <v>10</v>
      </c>
      <c r="P553" s="2">
        <f t="shared" si="177"/>
        <v>390.49</v>
      </c>
      <c r="Q553" s="2">
        <f t="shared" si="177"/>
        <v>39.049999999999997</v>
      </c>
      <c r="R553" s="2">
        <f t="shared" si="177"/>
        <v>2599.38</v>
      </c>
      <c r="S553" s="2">
        <f t="shared" si="176"/>
        <v>259.94</v>
      </c>
      <c r="T553" s="2">
        <f t="shared" si="176"/>
        <v>43.39</v>
      </c>
      <c r="U553" s="2">
        <f t="shared" si="176"/>
        <v>4.34</v>
      </c>
      <c r="V553" s="2">
        <v>0</v>
      </c>
      <c r="W553" s="2">
        <v>0</v>
      </c>
      <c r="X553" s="2">
        <v>0</v>
      </c>
      <c r="Y553" s="2">
        <v>0</v>
      </c>
      <c r="Z553" s="2">
        <v>0</v>
      </c>
      <c r="AA553" s="17">
        <v>545013</v>
      </c>
      <c r="AB553" s="14" t="s">
        <v>804</v>
      </c>
      <c r="AC553" s="15" t="s">
        <v>890</v>
      </c>
      <c r="AD553" s="2">
        <v>0</v>
      </c>
      <c r="AE553" s="2">
        <v>0</v>
      </c>
      <c r="AF553" s="2">
        <v>0</v>
      </c>
      <c r="AG553" s="2">
        <v>0</v>
      </c>
      <c r="AH553" s="2">
        <v>0</v>
      </c>
      <c r="AI553" s="2"/>
      <c r="AJ553">
        <v>1</v>
      </c>
      <c r="AK553" s="1">
        <f t="shared" si="188"/>
        <v>201.58158570416788</v>
      </c>
      <c r="AL553">
        <v>13</v>
      </c>
      <c r="AM553">
        <f t="shared" si="179"/>
        <v>354.98666666666668</v>
      </c>
      <c r="AN553">
        <f t="shared" si="180"/>
        <v>35.498666666666672</v>
      </c>
      <c r="AO553">
        <f t="shared" si="181"/>
        <v>2363.0769230769229</v>
      </c>
      <c r="AP553">
        <f t="shared" si="182"/>
        <v>236.30769230769229</v>
      </c>
      <c r="AQ553">
        <f t="shared" si="183"/>
        <v>39.442962962962966</v>
      </c>
      <c r="AR553">
        <f t="shared" si="190"/>
        <v>3.9442962962962969</v>
      </c>
      <c r="AS553">
        <f t="shared" si="184"/>
        <v>1.6</v>
      </c>
      <c r="AT553">
        <f t="shared" si="185"/>
        <v>2</v>
      </c>
      <c r="AU553">
        <f t="shared" si="186"/>
        <v>6</v>
      </c>
      <c r="AV553">
        <f t="shared" si="178"/>
        <v>5014</v>
      </c>
      <c r="AW553" s="1">
        <v>1</v>
      </c>
      <c r="AX553">
        <v>5</v>
      </c>
      <c r="AY553">
        <v>0.1</v>
      </c>
      <c r="BX553" t="str">
        <f t="shared" ref="BX553:BX555" si="191">BY553&amp;","&amp;BZ553&amp;","&amp;CA553</f>
        <v>1545011,2545011,3545011</v>
      </c>
      <c r="BY553" s="13">
        <v>1545011</v>
      </c>
      <c r="BZ553" s="13">
        <v>2545011</v>
      </c>
      <c r="CA553" s="13">
        <v>3545011</v>
      </c>
      <c r="CE553" t="str">
        <f t="shared" si="175"/>
        <v>DATA_Class_Base37</v>
      </c>
      <c r="CF553" s="3" t="s">
        <v>402</v>
      </c>
    </row>
    <row r="554" spans="1:84">
      <c r="A554">
        <f t="shared" si="173"/>
        <v>5134600</v>
      </c>
      <c r="B554" t="s">
        <v>404</v>
      </c>
      <c r="C554">
        <v>13</v>
      </c>
      <c r="D554">
        <v>6</v>
      </c>
      <c r="E554">
        <v>4</v>
      </c>
      <c r="F554" s="3" t="s">
        <v>1707</v>
      </c>
      <c r="G554" s="3" t="s">
        <v>1707</v>
      </c>
      <c r="H554" s="3">
        <v>0</v>
      </c>
      <c r="I554">
        <v>45</v>
      </c>
      <c r="J554" s="2">
        <v>0</v>
      </c>
      <c r="K554" s="2" t="s">
        <v>339</v>
      </c>
      <c r="L554" s="2">
        <f t="shared" si="174"/>
        <v>3</v>
      </c>
      <c r="M554" s="2">
        <f t="shared" si="172"/>
        <v>1.4000000000000001</v>
      </c>
      <c r="N554" s="2">
        <f t="shared" si="172"/>
        <v>1.9000000000000001</v>
      </c>
      <c r="O554" s="2">
        <v>10</v>
      </c>
      <c r="P554" s="2">
        <f t="shared" si="177"/>
        <v>289.11</v>
      </c>
      <c r="Q554" s="2">
        <f t="shared" si="177"/>
        <v>28.91</v>
      </c>
      <c r="R554" s="2">
        <f t="shared" si="177"/>
        <v>3072</v>
      </c>
      <c r="S554" s="2">
        <f t="shared" si="176"/>
        <v>307.2</v>
      </c>
      <c r="T554" s="2">
        <f t="shared" si="176"/>
        <v>72.28</v>
      </c>
      <c r="U554" s="2">
        <f t="shared" si="176"/>
        <v>7.23</v>
      </c>
      <c r="V554" s="2">
        <v>0</v>
      </c>
      <c r="W554" s="2">
        <v>0</v>
      </c>
      <c r="X554" s="2">
        <v>0</v>
      </c>
      <c r="Y554" s="2">
        <v>0</v>
      </c>
      <c r="Z554" s="2">
        <v>0</v>
      </c>
      <c r="AA554" s="17">
        <v>546003</v>
      </c>
      <c r="AB554" s="14" t="s">
        <v>805</v>
      </c>
      <c r="AC554" s="15" t="s">
        <v>890</v>
      </c>
      <c r="AD554" s="2">
        <v>0</v>
      </c>
      <c r="AE554" s="2">
        <v>0</v>
      </c>
      <c r="AF554" s="2">
        <v>0</v>
      </c>
      <c r="AG554" s="2">
        <v>0</v>
      </c>
      <c r="AH554" s="2">
        <v>0</v>
      </c>
      <c r="AI554" s="2"/>
      <c r="AJ554">
        <v>1</v>
      </c>
      <c r="AK554" s="1">
        <f t="shared" si="188"/>
        <v>202.76341092788778</v>
      </c>
      <c r="AL554">
        <v>13</v>
      </c>
      <c r="AM554">
        <f t="shared" si="179"/>
        <v>262.82666666666665</v>
      </c>
      <c r="AN554">
        <f t="shared" si="180"/>
        <v>26.282666666666668</v>
      </c>
      <c r="AO554">
        <f t="shared" si="181"/>
        <v>2792.727272727273</v>
      </c>
      <c r="AP554">
        <f t="shared" si="182"/>
        <v>279.27272727272731</v>
      </c>
      <c r="AQ554">
        <f t="shared" si="183"/>
        <v>65.706666666666663</v>
      </c>
      <c r="AR554">
        <f t="shared" si="190"/>
        <v>6.5706666666666669</v>
      </c>
      <c r="AS554">
        <f t="shared" si="184"/>
        <v>1.4</v>
      </c>
      <c r="AT554">
        <f t="shared" si="185"/>
        <v>1.9</v>
      </c>
      <c r="AU554">
        <f t="shared" si="186"/>
        <v>3</v>
      </c>
      <c r="AV554">
        <f t="shared" si="178"/>
        <v>6004</v>
      </c>
      <c r="AW554" s="1">
        <v>0</v>
      </c>
      <c r="AX554">
        <v>5</v>
      </c>
      <c r="AY554">
        <v>0.1</v>
      </c>
      <c r="BX554" t="str">
        <f t="shared" si="191"/>
        <v>1546001,2546001,3546001</v>
      </c>
      <c r="BY554" s="13">
        <v>1546001</v>
      </c>
      <c r="BZ554" s="13">
        <v>2546001</v>
      </c>
      <c r="CA554" s="13">
        <v>3546001</v>
      </c>
      <c r="CE554" t="str">
        <f t="shared" si="175"/>
        <v>DATA_Class_Base38</v>
      </c>
      <c r="CF554" s="3" t="s">
        <v>198</v>
      </c>
    </row>
    <row r="555" spans="1:84">
      <c r="A555">
        <f t="shared" si="173"/>
        <v>5134602</v>
      </c>
      <c r="B555" t="s">
        <v>406</v>
      </c>
      <c r="C555">
        <v>13</v>
      </c>
      <c r="D555">
        <v>6</v>
      </c>
      <c r="E555">
        <v>4</v>
      </c>
      <c r="F555" s="3" t="s">
        <v>1708</v>
      </c>
      <c r="G555" s="3" t="s">
        <v>1708</v>
      </c>
      <c r="H555" s="3">
        <v>10</v>
      </c>
      <c r="I555">
        <v>40</v>
      </c>
      <c r="J555" t="s">
        <v>345</v>
      </c>
      <c r="K555" s="2" t="s">
        <v>346</v>
      </c>
      <c r="L555" s="2">
        <f t="shared" si="174"/>
        <v>6</v>
      </c>
      <c r="M555" s="2">
        <f t="shared" ref="M555:N560" si="192">FLOOR(AS555/1,0.01)</f>
        <v>1.8</v>
      </c>
      <c r="N555" s="2">
        <f t="shared" si="192"/>
        <v>2</v>
      </c>
      <c r="O555" s="2">
        <v>10</v>
      </c>
      <c r="P555" s="2">
        <f t="shared" si="177"/>
        <v>337.92</v>
      </c>
      <c r="Q555" s="2">
        <f t="shared" si="177"/>
        <v>33.79</v>
      </c>
      <c r="R555" s="2">
        <f t="shared" si="177"/>
        <v>3379.2</v>
      </c>
      <c r="S555" s="2">
        <f t="shared" si="176"/>
        <v>337.92</v>
      </c>
      <c r="T555" s="2">
        <f t="shared" si="176"/>
        <v>67.58</v>
      </c>
      <c r="U555" s="2">
        <f t="shared" si="176"/>
        <v>6.76</v>
      </c>
      <c r="V555" s="2">
        <v>0</v>
      </c>
      <c r="W555" s="2">
        <v>0</v>
      </c>
      <c r="X555" s="2">
        <v>0</v>
      </c>
      <c r="Y555" s="2">
        <v>0</v>
      </c>
      <c r="Z555" s="2">
        <v>0</v>
      </c>
      <c r="AA555" s="17">
        <v>546023</v>
      </c>
      <c r="AB555" s="14" t="s">
        <v>806</v>
      </c>
      <c r="AC555" s="15" t="s">
        <v>890</v>
      </c>
      <c r="AD555" s="2">
        <v>0</v>
      </c>
      <c r="AE555" s="2">
        <v>0</v>
      </c>
      <c r="AF555" s="2">
        <v>0</v>
      </c>
      <c r="AG555" s="2">
        <v>0</v>
      </c>
      <c r="AH555" s="2">
        <v>0</v>
      </c>
      <c r="AI555" s="2"/>
      <c r="AJ555">
        <v>1</v>
      </c>
      <c r="AK555" s="1">
        <f t="shared" si="188"/>
        <v>202.57047580739342</v>
      </c>
      <c r="AL555">
        <v>13</v>
      </c>
      <c r="AM555">
        <f t="shared" si="179"/>
        <v>307.20000000000005</v>
      </c>
      <c r="AN555">
        <f t="shared" si="180"/>
        <v>30.720000000000006</v>
      </c>
      <c r="AO555">
        <f t="shared" si="181"/>
        <v>3072</v>
      </c>
      <c r="AP555">
        <f t="shared" si="182"/>
        <v>307.20000000000005</v>
      </c>
      <c r="AQ555">
        <f t="shared" si="183"/>
        <v>61.440000000000012</v>
      </c>
      <c r="AR555">
        <f t="shared" si="190"/>
        <v>6.1440000000000019</v>
      </c>
      <c r="AS555">
        <f t="shared" si="184"/>
        <v>1.8</v>
      </c>
      <c r="AT555">
        <f t="shared" si="185"/>
        <v>2</v>
      </c>
      <c r="AU555">
        <f t="shared" si="186"/>
        <v>6</v>
      </c>
      <c r="AV555">
        <f t="shared" si="178"/>
        <v>6024</v>
      </c>
      <c r="AW555" s="1">
        <v>2</v>
      </c>
      <c r="AX555">
        <v>5</v>
      </c>
      <c r="AY555">
        <v>0.1</v>
      </c>
      <c r="BX555" t="str">
        <f t="shared" si="191"/>
        <v>1546021,2546021,3546021</v>
      </c>
      <c r="BY555" s="13">
        <v>1546021</v>
      </c>
      <c r="BZ555" s="13">
        <v>2546021</v>
      </c>
      <c r="CA555" s="13">
        <v>3546021</v>
      </c>
      <c r="CE555" t="str">
        <f t="shared" si="175"/>
        <v>DATA_Class_Base39</v>
      </c>
      <c r="CF555" s="3" t="s">
        <v>407</v>
      </c>
    </row>
    <row r="556" spans="1:84">
      <c r="A556">
        <f t="shared" si="173"/>
        <v>5135202</v>
      </c>
      <c r="B556" t="s">
        <v>380</v>
      </c>
      <c r="C556">
        <v>13</v>
      </c>
      <c r="D556">
        <v>2</v>
      </c>
      <c r="E556">
        <v>5</v>
      </c>
      <c r="F556" s="3" t="s">
        <v>1709</v>
      </c>
      <c r="G556" s="3" t="s">
        <v>1709</v>
      </c>
      <c r="H556" s="3">
        <v>0</v>
      </c>
      <c r="I556">
        <v>20</v>
      </c>
      <c r="J556" s="3">
        <v>0</v>
      </c>
      <c r="K556" s="2" t="s">
        <v>280</v>
      </c>
      <c r="L556" s="2">
        <f t="shared" si="174"/>
        <v>3</v>
      </c>
      <c r="M556" s="2">
        <f t="shared" si="192"/>
        <v>1.8</v>
      </c>
      <c r="N556" s="2">
        <f t="shared" si="192"/>
        <v>2</v>
      </c>
      <c r="O556" s="2">
        <v>10</v>
      </c>
      <c r="P556" s="2">
        <f t="shared" si="177"/>
        <v>304.13</v>
      </c>
      <c r="Q556" s="2">
        <f t="shared" si="177"/>
        <v>30.41</v>
      </c>
      <c r="R556" s="2">
        <f t="shared" si="177"/>
        <v>3754.67</v>
      </c>
      <c r="S556" s="2">
        <f t="shared" si="176"/>
        <v>375.47</v>
      </c>
      <c r="T556" s="2">
        <f t="shared" si="176"/>
        <v>101.38</v>
      </c>
      <c r="U556" s="2">
        <f t="shared" si="176"/>
        <v>10.14</v>
      </c>
      <c r="V556" s="2">
        <v>0</v>
      </c>
      <c r="W556" s="2">
        <v>0</v>
      </c>
      <c r="X556" s="2">
        <v>0</v>
      </c>
      <c r="Y556" s="2">
        <v>0</v>
      </c>
      <c r="Z556" s="2">
        <v>0</v>
      </c>
      <c r="AA556" s="17">
        <v>552023</v>
      </c>
      <c r="AB556" s="15" t="s">
        <v>807</v>
      </c>
      <c r="AC556" s="15" t="s">
        <v>890</v>
      </c>
      <c r="AD556" s="2">
        <v>0</v>
      </c>
      <c r="AE556" s="2">
        <v>0</v>
      </c>
      <c r="AF556" s="2">
        <v>0</v>
      </c>
      <c r="AG556" s="2">
        <v>0</v>
      </c>
      <c r="AH556" s="2">
        <v>0</v>
      </c>
      <c r="AI556" s="2"/>
      <c r="AJ556">
        <v>1</v>
      </c>
      <c r="AK556" s="1">
        <f t="shared" si="188"/>
        <v>203.96786036242025</v>
      </c>
      <c r="AL556">
        <v>13</v>
      </c>
      <c r="AM556">
        <f t="shared" si="179"/>
        <v>276.48</v>
      </c>
      <c r="AN556">
        <f t="shared" si="180"/>
        <v>27.648000000000003</v>
      </c>
      <c r="AO556">
        <f t="shared" si="181"/>
        <v>3413.3333333333339</v>
      </c>
      <c r="AP556">
        <f t="shared" si="182"/>
        <v>341.33333333333343</v>
      </c>
      <c r="AQ556">
        <f t="shared" si="183"/>
        <v>92.160000000000011</v>
      </c>
      <c r="AR556">
        <f t="shared" si="190"/>
        <v>9.2160000000000011</v>
      </c>
      <c r="AS556">
        <f t="shared" si="184"/>
        <v>1.8</v>
      </c>
      <c r="AT556">
        <f t="shared" si="185"/>
        <v>2</v>
      </c>
      <c r="AU556">
        <f t="shared" si="186"/>
        <v>3</v>
      </c>
      <c r="AV556">
        <f t="shared" si="178"/>
        <v>2025</v>
      </c>
      <c r="AW556" s="1">
        <v>2</v>
      </c>
      <c r="AX556">
        <v>5</v>
      </c>
      <c r="AY556">
        <v>0.1</v>
      </c>
      <c r="BY556" s="13"/>
      <c r="BZ556" s="13"/>
      <c r="CA556" s="13"/>
      <c r="CE556" t="str">
        <f t="shared" si="175"/>
        <v>DATA_Class_Base30</v>
      </c>
      <c r="CF556" s="3" t="s">
        <v>381</v>
      </c>
    </row>
    <row r="557" spans="1:84">
      <c r="A557">
        <f t="shared" si="173"/>
        <v>5135300</v>
      </c>
      <c r="B557" t="s">
        <v>410</v>
      </c>
      <c r="C557">
        <v>13</v>
      </c>
      <c r="D557">
        <v>3</v>
      </c>
      <c r="E557">
        <v>5</v>
      </c>
      <c r="F557" s="3" t="s">
        <v>1710</v>
      </c>
      <c r="G557" s="3" t="s">
        <v>1710</v>
      </c>
      <c r="H557" s="3">
        <v>10</v>
      </c>
      <c r="I557">
        <v>50</v>
      </c>
      <c r="J557" s="2">
        <v>0</v>
      </c>
      <c r="K557" s="2" t="s">
        <v>352</v>
      </c>
      <c r="L557" s="2">
        <f t="shared" si="174"/>
        <v>6</v>
      </c>
      <c r="M557" s="2">
        <f t="shared" si="192"/>
        <v>1.3</v>
      </c>
      <c r="N557" s="2">
        <f t="shared" si="192"/>
        <v>2</v>
      </c>
      <c r="O557" s="2">
        <v>10</v>
      </c>
      <c r="P557" s="2">
        <f t="shared" si="177"/>
        <v>280.66000000000003</v>
      </c>
      <c r="Q557" s="2">
        <f t="shared" si="177"/>
        <v>28.07</v>
      </c>
      <c r="R557" s="2">
        <f t="shared" si="177"/>
        <v>2938.43</v>
      </c>
      <c r="S557" s="2">
        <f t="shared" si="176"/>
        <v>293.83999999999997</v>
      </c>
      <c r="T557" s="2">
        <f t="shared" si="176"/>
        <v>35.08</v>
      </c>
      <c r="U557" s="2">
        <f t="shared" si="176"/>
        <v>3.51</v>
      </c>
      <c r="V557" s="2">
        <v>0</v>
      </c>
      <c r="W557" s="2">
        <v>0</v>
      </c>
      <c r="X557" s="2">
        <v>0</v>
      </c>
      <c r="Y557" s="2">
        <v>0</v>
      </c>
      <c r="Z557" s="2">
        <v>0</v>
      </c>
      <c r="AA557" s="17">
        <v>553003</v>
      </c>
      <c r="AB557" s="14" t="s">
        <v>808</v>
      </c>
      <c r="AC557" s="15" t="s">
        <v>890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/>
      <c r="AJ557">
        <v>1</v>
      </c>
      <c r="AK557" s="1">
        <f t="shared" si="188"/>
        <v>201.24440930604283</v>
      </c>
      <c r="AL557">
        <v>13</v>
      </c>
      <c r="AM557">
        <f t="shared" si="179"/>
        <v>255.14666666666665</v>
      </c>
      <c r="AN557">
        <f t="shared" si="180"/>
        <v>25.514666666666667</v>
      </c>
      <c r="AO557">
        <f t="shared" si="181"/>
        <v>2671.3043478260875</v>
      </c>
      <c r="AP557">
        <f t="shared" si="182"/>
        <v>267.13043478260875</v>
      </c>
      <c r="AQ557">
        <f t="shared" si="183"/>
        <v>31.893333333333331</v>
      </c>
      <c r="AR557">
        <f t="shared" si="190"/>
        <v>3.1893333333333334</v>
      </c>
      <c r="AS557">
        <f t="shared" si="184"/>
        <v>1.3</v>
      </c>
      <c r="AT557">
        <f t="shared" si="185"/>
        <v>2</v>
      </c>
      <c r="AU557">
        <f t="shared" si="186"/>
        <v>6</v>
      </c>
      <c r="AV557">
        <f t="shared" si="178"/>
        <v>3005</v>
      </c>
      <c r="AW557" s="1">
        <v>0</v>
      </c>
      <c r="AX557">
        <v>5</v>
      </c>
      <c r="AY557">
        <v>0.1</v>
      </c>
      <c r="BX557" t="str">
        <f t="shared" ref="BX557:BX559" si="193">BY557&amp;","&amp;BZ557&amp;","&amp;CA557</f>
        <v>1553001,2553001,3553001</v>
      </c>
      <c r="BY557" s="13">
        <v>1553001</v>
      </c>
      <c r="BZ557" s="13">
        <v>2553001</v>
      </c>
      <c r="CA557" s="13">
        <v>3553001</v>
      </c>
      <c r="CE557" t="str">
        <f t="shared" si="175"/>
        <v>DATA_Class_Base40</v>
      </c>
      <c r="CF557" s="3" t="s">
        <v>411</v>
      </c>
    </row>
    <row r="558" spans="1:84">
      <c r="A558">
        <f t="shared" ref="A558:A560" si="194">AX558*1000000+C558*10000+E558*1000+D558*100+AW558</f>
        <v>5135302</v>
      </c>
      <c r="B558" t="s">
        <v>412</v>
      </c>
      <c r="C558">
        <v>13</v>
      </c>
      <c r="D558">
        <v>3</v>
      </c>
      <c r="E558">
        <v>5</v>
      </c>
      <c r="F558" s="3" t="s">
        <v>1711</v>
      </c>
      <c r="G558" s="3" t="s">
        <v>1711</v>
      </c>
      <c r="H558" s="3">
        <v>30</v>
      </c>
      <c r="I558">
        <v>40</v>
      </c>
      <c r="J558" s="2">
        <v>0</v>
      </c>
      <c r="K558" s="2" t="s">
        <v>358</v>
      </c>
      <c r="L558" s="2">
        <f t="shared" ref="L558:L560" si="195">AU558</f>
        <v>3</v>
      </c>
      <c r="M558" s="2">
        <f t="shared" si="192"/>
        <v>1.4000000000000001</v>
      </c>
      <c r="N558" s="2">
        <f t="shared" si="192"/>
        <v>2</v>
      </c>
      <c r="O558" s="2">
        <v>10</v>
      </c>
      <c r="P558" s="2">
        <f t="shared" si="177"/>
        <v>315.39</v>
      </c>
      <c r="Q558" s="2">
        <f t="shared" si="177"/>
        <v>31.54</v>
      </c>
      <c r="R558" s="2">
        <f t="shared" si="177"/>
        <v>2816</v>
      </c>
      <c r="S558" s="2">
        <f t="shared" si="176"/>
        <v>281.60000000000002</v>
      </c>
      <c r="T558" s="2">
        <f t="shared" si="176"/>
        <v>45.06</v>
      </c>
      <c r="U558" s="2">
        <f t="shared" si="176"/>
        <v>4.51</v>
      </c>
      <c r="V558" s="2">
        <v>0</v>
      </c>
      <c r="W558" s="2">
        <v>0</v>
      </c>
      <c r="X558" s="2">
        <v>0</v>
      </c>
      <c r="Y558" s="2">
        <v>0</v>
      </c>
      <c r="Z558" s="2">
        <v>0</v>
      </c>
      <c r="AA558" s="17">
        <v>553023</v>
      </c>
      <c r="AB558" s="14" t="s">
        <v>809</v>
      </c>
      <c r="AC558" s="15" t="s">
        <v>890</v>
      </c>
      <c r="AD558" s="2">
        <v>0</v>
      </c>
      <c r="AE558" s="2">
        <v>0</v>
      </c>
      <c r="AF558" s="2">
        <v>0</v>
      </c>
      <c r="AG558" s="2">
        <v>0</v>
      </c>
      <c r="AH558" s="2">
        <v>0</v>
      </c>
      <c r="AI558" s="2"/>
      <c r="AJ558">
        <v>1</v>
      </c>
      <c r="AK558" s="1">
        <f t="shared" si="188"/>
        <v>201.64947494865737</v>
      </c>
      <c r="AL558">
        <v>13</v>
      </c>
      <c r="AM558">
        <f t="shared" si="179"/>
        <v>286.71999999999997</v>
      </c>
      <c r="AN558">
        <f t="shared" si="180"/>
        <v>28.671999999999997</v>
      </c>
      <c r="AO558">
        <f t="shared" si="181"/>
        <v>2560</v>
      </c>
      <c r="AP558">
        <f t="shared" si="182"/>
        <v>256</v>
      </c>
      <c r="AQ558">
        <f t="shared" si="183"/>
        <v>40.959999999999994</v>
      </c>
      <c r="AR558">
        <f t="shared" si="190"/>
        <v>4.0959999999999992</v>
      </c>
      <c r="AS558">
        <f t="shared" si="184"/>
        <v>1.4</v>
      </c>
      <c r="AT558">
        <f t="shared" si="185"/>
        <v>2</v>
      </c>
      <c r="AU558">
        <f t="shared" si="186"/>
        <v>3</v>
      </c>
      <c r="AV558">
        <f t="shared" si="178"/>
        <v>3025</v>
      </c>
      <c r="AW558" s="1">
        <v>2</v>
      </c>
      <c r="AX558">
        <v>5</v>
      </c>
      <c r="AY558">
        <v>0.1</v>
      </c>
      <c r="BX558" t="str">
        <f t="shared" si="193"/>
        <v>1553021,2553021,3553021</v>
      </c>
      <c r="BY558" s="13">
        <v>1553021</v>
      </c>
      <c r="BZ558" s="13">
        <v>2553021</v>
      </c>
      <c r="CA558" s="13">
        <v>3553021</v>
      </c>
      <c r="CE558" t="str">
        <f t="shared" si="175"/>
        <v>DATA_Class_Base41</v>
      </c>
      <c r="CF558" s="3" t="s">
        <v>413</v>
      </c>
    </row>
    <row r="559" spans="1:84">
      <c r="A559">
        <f t="shared" si="194"/>
        <v>5135400</v>
      </c>
      <c r="B559" t="s">
        <v>414</v>
      </c>
      <c r="C559">
        <v>13</v>
      </c>
      <c r="D559">
        <v>4</v>
      </c>
      <c r="E559">
        <v>5</v>
      </c>
      <c r="F559" s="3" t="s">
        <v>1712</v>
      </c>
      <c r="G559" s="3" t="s">
        <v>1712</v>
      </c>
      <c r="H559" s="3">
        <v>0</v>
      </c>
      <c r="I559">
        <v>35</v>
      </c>
      <c r="J559">
        <v>0</v>
      </c>
      <c r="K559" s="2" t="s">
        <v>364</v>
      </c>
      <c r="L559" s="2">
        <f t="shared" si="195"/>
        <v>6</v>
      </c>
      <c r="M559" s="2">
        <f t="shared" si="192"/>
        <v>1.4000000000000001</v>
      </c>
      <c r="N559" s="2">
        <f t="shared" si="192"/>
        <v>2</v>
      </c>
      <c r="O559" s="2">
        <v>10</v>
      </c>
      <c r="P559" s="2">
        <f t="shared" si="177"/>
        <v>328.53</v>
      </c>
      <c r="Q559" s="2">
        <f t="shared" si="177"/>
        <v>32.85</v>
      </c>
      <c r="R559" s="2">
        <f t="shared" si="177"/>
        <v>2703.36</v>
      </c>
      <c r="S559" s="2">
        <f t="shared" si="176"/>
        <v>270.33999999999997</v>
      </c>
      <c r="T559" s="2">
        <f t="shared" si="176"/>
        <v>54.76</v>
      </c>
      <c r="U559" s="2">
        <f t="shared" si="176"/>
        <v>5.48</v>
      </c>
      <c r="V559" s="2">
        <v>0</v>
      </c>
      <c r="W559" s="2">
        <v>0</v>
      </c>
      <c r="X559" s="2">
        <v>0</v>
      </c>
      <c r="Y559" s="2">
        <v>0</v>
      </c>
      <c r="Z559" s="2">
        <v>0</v>
      </c>
      <c r="AA559" s="17">
        <v>554003</v>
      </c>
      <c r="AB559" s="14" t="s">
        <v>810</v>
      </c>
      <c r="AC559" s="15" t="s">
        <v>890</v>
      </c>
      <c r="AD559" s="2">
        <v>0</v>
      </c>
      <c r="AE559" s="2">
        <v>0</v>
      </c>
      <c r="AF559" s="2">
        <v>0</v>
      </c>
      <c r="AG559" s="2">
        <v>0</v>
      </c>
      <c r="AH559" s="2">
        <v>0</v>
      </c>
      <c r="AI559" s="2"/>
      <c r="AJ559">
        <v>1</v>
      </c>
      <c r="AK559" s="1">
        <f t="shared" si="188"/>
        <v>202.04498831649721</v>
      </c>
      <c r="AL559">
        <v>13</v>
      </c>
      <c r="AM559">
        <f t="shared" si="179"/>
        <v>298.66666666666669</v>
      </c>
      <c r="AN559">
        <f t="shared" si="180"/>
        <v>29.866666666666671</v>
      </c>
      <c r="AO559">
        <f t="shared" si="181"/>
        <v>2457.6000000000004</v>
      </c>
      <c r="AP559">
        <f t="shared" si="182"/>
        <v>245.76000000000005</v>
      </c>
      <c r="AQ559">
        <f t="shared" si="183"/>
        <v>49.777777777777779</v>
      </c>
      <c r="AR559">
        <f t="shared" si="190"/>
        <v>4.9777777777777779</v>
      </c>
      <c r="AS559">
        <f t="shared" si="184"/>
        <v>1.4</v>
      </c>
      <c r="AT559">
        <f t="shared" si="185"/>
        <v>2</v>
      </c>
      <c r="AU559">
        <f t="shared" si="186"/>
        <v>6</v>
      </c>
      <c r="AV559">
        <f t="shared" si="178"/>
        <v>4005</v>
      </c>
      <c r="AW559" s="1">
        <v>0</v>
      </c>
      <c r="AX559">
        <v>5</v>
      </c>
      <c r="AY559">
        <v>0.1</v>
      </c>
      <c r="BX559" t="str">
        <f t="shared" si="193"/>
        <v>1554001,2554001,3554001</v>
      </c>
      <c r="BY559" s="13">
        <v>1554001</v>
      </c>
      <c r="BZ559" s="13">
        <v>2554001</v>
      </c>
      <c r="CA559" s="13">
        <v>3554001</v>
      </c>
      <c r="CE559" t="str">
        <f t="shared" ref="CE559:CE560" si="196">INDEX($CB$18:$CB$59,MATCH($CF559,$CC$18:$CC$59,0))</f>
        <v>DATA_Class_Base42</v>
      </c>
      <c r="CF559" s="3" t="s">
        <v>174</v>
      </c>
    </row>
    <row r="560" spans="1:84">
      <c r="A560">
        <f t="shared" si="194"/>
        <v>5135501</v>
      </c>
      <c r="B560" t="s">
        <v>401</v>
      </c>
      <c r="C560">
        <v>13</v>
      </c>
      <c r="D560">
        <v>5</v>
      </c>
      <c r="E560">
        <v>5</v>
      </c>
      <c r="F560" s="3" t="s">
        <v>1713</v>
      </c>
      <c r="G560" s="3" t="s">
        <v>1713</v>
      </c>
      <c r="H560" s="3">
        <v>10</v>
      </c>
      <c r="I560">
        <v>25</v>
      </c>
      <c r="J560" s="3">
        <v>0</v>
      </c>
      <c r="K560" s="2" t="s">
        <v>334</v>
      </c>
      <c r="L560" s="2">
        <f t="shared" si="195"/>
        <v>6</v>
      </c>
      <c r="M560" s="2">
        <f t="shared" si="192"/>
        <v>1.6</v>
      </c>
      <c r="N560" s="2">
        <f t="shared" si="192"/>
        <v>2</v>
      </c>
      <c r="O560" s="2">
        <v>10</v>
      </c>
      <c r="P560" s="2">
        <f t="shared" si="177"/>
        <v>435.54</v>
      </c>
      <c r="Q560" s="2">
        <f t="shared" si="177"/>
        <v>43.55</v>
      </c>
      <c r="R560" s="2">
        <f t="shared" si="177"/>
        <v>2330.48</v>
      </c>
      <c r="S560" s="2">
        <f t="shared" si="176"/>
        <v>233.05</v>
      </c>
      <c r="T560" s="2">
        <f t="shared" si="176"/>
        <v>48.39</v>
      </c>
      <c r="U560" s="2">
        <f t="shared" si="176"/>
        <v>4.84</v>
      </c>
      <c r="V560" s="2">
        <v>0</v>
      </c>
      <c r="W560" s="2">
        <v>0</v>
      </c>
      <c r="X560" s="2">
        <v>0</v>
      </c>
      <c r="Y560" s="2">
        <v>0</v>
      </c>
      <c r="Z560" s="2">
        <v>0</v>
      </c>
      <c r="AA560" s="17">
        <v>555013</v>
      </c>
      <c r="AB560" s="15" t="s">
        <v>811</v>
      </c>
      <c r="AC560" s="15" t="s">
        <v>890</v>
      </c>
      <c r="AD560" s="2">
        <v>0</v>
      </c>
      <c r="AE560" s="2">
        <v>0</v>
      </c>
      <c r="AF560" s="2">
        <v>0</v>
      </c>
      <c r="AG560" s="2">
        <v>0</v>
      </c>
      <c r="AH560" s="2">
        <v>0</v>
      </c>
      <c r="AI560" s="2"/>
      <c r="AJ560">
        <v>1</v>
      </c>
      <c r="AK560" s="1">
        <f t="shared" si="188"/>
        <v>201.78539071374789</v>
      </c>
      <c r="AL560">
        <v>13</v>
      </c>
      <c r="AM560">
        <f t="shared" si="179"/>
        <v>395.94666666666672</v>
      </c>
      <c r="AN560">
        <f t="shared" si="180"/>
        <v>39.594666666666676</v>
      </c>
      <c r="AO560">
        <f t="shared" si="181"/>
        <v>2118.6206896551726</v>
      </c>
      <c r="AP560">
        <f t="shared" si="182"/>
        <v>211.86206896551727</v>
      </c>
      <c r="AQ560">
        <f t="shared" si="183"/>
        <v>43.994074074074078</v>
      </c>
      <c r="AR560">
        <f t="shared" si="190"/>
        <v>4.3994074074074083</v>
      </c>
      <c r="AS560">
        <f t="shared" si="184"/>
        <v>1.6</v>
      </c>
      <c r="AT560">
        <f t="shared" si="185"/>
        <v>2</v>
      </c>
      <c r="AU560">
        <f t="shared" si="186"/>
        <v>6</v>
      </c>
      <c r="AV560">
        <f t="shared" si="178"/>
        <v>5015</v>
      </c>
      <c r="AW560" s="1">
        <v>1</v>
      </c>
      <c r="AX560">
        <v>5</v>
      </c>
      <c r="AY560">
        <v>0.1</v>
      </c>
      <c r="BY560" s="13"/>
      <c r="BZ560" s="13"/>
      <c r="CA560" s="13"/>
      <c r="CE560" t="str">
        <f t="shared" si="196"/>
        <v>DATA_Class_Base37</v>
      </c>
      <c r="CF560" s="3" t="s">
        <v>402</v>
      </c>
    </row>
  </sheetData>
  <mergeCells count="11">
    <mergeCell ref="BA41:BA43"/>
    <mergeCell ref="BA26:BA28"/>
    <mergeCell ref="BA29:BA31"/>
    <mergeCell ref="BA32:BA34"/>
    <mergeCell ref="BA35:BA36"/>
    <mergeCell ref="BA37:BA39"/>
    <mergeCell ref="BA6:BA8"/>
    <mergeCell ref="BA9:BA12"/>
    <mergeCell ref="BA13:BA18"/>
    <mergeCell ref="BA20:BA22"/>
    <mergeCell ref="BA23:BA24"/>
  </mergeCells>
  <phoneticPr fontId="9" type="noConversion"/>
  <conditionalFormatting sqref="A16">
    <cfRule type="duplicateValues" dxfId="25" priority="5"/>
  </conditionalFormatting>
  <conditionalFormatting sqref="CC16">
    <cfRule type="duplicateValues" dxfId="24" priority="6"/>
  </conditionalFormatting>
  <conditionalFormatting sqref="CF16">
    <cfRule type="duplicateValues" dxfId="23" priority="4"/>
  </conditionalFormatting>
  <conditionalFormatting sqref="A17">
    <cfRule type="duplicateValues" dxfId="22" priority="2"/>
  </conditionalFormatting>
  <conditionalFormatting sqref="CC17">
    <cfRule type="duplicateValues" dxfId="21" priority="3"/>
  </conditionalFormatting>
  <conditionalFormatting sqref="CF17">
    <cfRule type="duplicateValues" dxfId="20" priority="1"/>
  </conditionalFormatting>
  <conditionalFormatting sqref="A292:A301">
    <cfRule type="duplicateValues" dxfId="19" priority="21"/>
  </conditionalFormatting>
  <conditionalFormatting sqref="A329:A338">
    <cfRule type="duplicateValues" dxfId="18" priority="19"/>
  </conditionalFormatting>
  <conditionalFormatting sqref="A366:A375">
    <cfRule type="duplicateValues" dxfId="17" priority="17"/>
  </conditionalFormatting>
  <conditionalFormatting sqref="A403:A412">
    <cfRule type="duplicateValues" dxfId="16" priority="15"/>
  </conditionalFormatting>
  <conditionalFormatting sqref="A440:A449">
    <cfRule type="duplicateValues" dxfId="15" priority="13"/>
  </conditionalFormatting>
  <conditionalFormatting sqref="A477:A486">
    <cfRule type="duplicateValues" dxfId="14" priority="11"/>
  </conditionalFormatting>
  <conditionalFormatting sqref="A514:A523">
    <cfRule type="duplicateValues" dxfId="13" priority="9"/>
  </conditionalFormatting>
  <conditionalFormatting sqref="A551:A560">
    <cfRule type="duplicateValues" dxfId="12" priority="7"/>
  </conditionalFormatting>
  <conditionalFormatting sqref="CC292:CC301">
    <cfRule type="duplicateValues" dxfId="11" priority="22"/>
  </conditionalFormatting>
  <conditionalFormatting sqref="CC329:CC338">
    <cfRule type="duplicateValues" dxfId="10" priority="20"/>
  </conditionalFormatting>
  <conditionalFormatting sqref="CC366:CC375">
    <cfRule type="duplicateValues" dxfId="9" priority="18"/>
  </conditionalFormatting>
  <conditionalFormatting sqref="CC403:CC412">
    <cfRule type="duplicateValues" dxfId="8" priority="16"/>
  </conditionalFormatting>
  <conditionalFormatting sqref="CC440:CC449">
    <cfRule type="duplicateValues" dxfId="7" priority="14"/>
  </conditionalFormatting>
  <conditionalFormatting sqref="CC477:CC486">
    <cfRule type="duplicateValues" dxfId="6" priority="12"/>
  </conditionalFormatting>
  <conditionalFormatting sqref="CC514:CC523">
    <cfRule type="duplicateValues" dxfId="5" priority="10"/>
  </conditionalFormatting>
  <conditionalFormatting sqref="CC551:CC560">
    <cfRule type="duplicateValues" dxfId="4" priority="8"/>
  </conditionalFormatting>
  <conditionalFormatting sqref="CF4:CF15">
    <cfRule type="duplicateValues" dxfId="3" priority="23"/>
  </conditionalFormatting>
  <conditionalFormatting sqref="CC1:CC3 CC60:CC193 CC561:CC1048576 CC524:CC550 CC487:CC513 CC450:CC476 CC413:CC439 CC376:CC402 CC339:CC365 CC302:CC328 CC227:CC291">
    <cfRule type="duplicateValues" dxfId="2" priority="25"/>
  </conditionalFormatting>
  <conditionalFormatting sqref="CC4:CC15 CC18:CC29">
    <cfRule type="duplicateValues" dxfId="1" priority="26"/>
  </conditionalFormatting>
  <conditionalFormatting sqref="A6:A15 A18:A291 A302:A328 A339:A365 A376:A402 A413:A439 A450:A476 A487:A513 A524:A550 A561:A1048576">
    <cfRule type="duplicateValues" dxfId="0" priority="2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heroes</vt:lpstr>
      <vt:lpstr>Sheet4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2021-03-05T03:22:47Z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