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/>
  <workbookPr/>
  <mc:AlternateContent xmlns:mc="http://schemas.openxmlformats.org/markup-compatibility/2006">
    <mc:Choice Requires="x15">
      <x15ac:absPath xmlns:x15ac="http://schemas.microsoft.com/office/spreadsheetml/2010/11/ac" url="D:\KnightRes\config\input\"/>
    </mc:Choice>
  </mc:AlternateContent>
  <xr:revisionPtr revIDLastSave="0" documentId="13_ncr:1_{E569A7A5-D7C7-4F88-B58E-DF6C7106C075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book_hero_property" sheetId="1" r:id="rId1"/>
  </sheets>
  <calcPr calcId="181029"/>
</workbook>
</file>

<file path=xl/calcChain.xml><?xml version="1.0" encoding="utf-8"?>
<calcChain xmlns="http://schemas.openxmlformats.org/spreadsheetml/2006/main">
  <c r="G27" i="1" l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H35" i="1"/>
  <c r="H36" i="1"/>
  <c r="F35" i="1"/>
  <c r="F36" i="1" s="1"/>
  <c r="H32" i="1"/>
  <c r="H33" i="1" s="1"/>
  <c r="F32" i="1"/>
  <c r="F33" i="1" s="1"/>
  <c r="H29" i="1"/>
  <c r="H30" i="1" s="1"/>
  <c r="F29" i="1" l="1"/>
  <c r="F30" i="1" s="1"/>
  <c r="G35" i="1"/>
  <c r="G36" i="1" s="1"/>
  <c r="G32" i="1" l="1"/>
  <c r="G33" i="1" s="1"/>
  <c r="G29" i="1"/>
  <c r="G30" i="1" s="1"/>
  <c r="J5" i="1"/>
  <c r="K5" i="1"/>
  <c r="J6" i="1"/>
  <c r="K6" i="1"/>
  <c r="I6" i="1"/>
  <c r="I5" i="1"/>
  <c r="K27" i="1"/>
  <c r="J27" i="1"/>
  <c r="I27" i="1"/>
  <c r="K26" i="1"/>
  <c r="J26" i="1"/>
  <c r="I26" i="1"/>
  <c r="K25" i="1"/>
  <c r="J25" i="1"/>
  <c r="I25" i="1"/>
  <c r="K24" i="1"/>
  <c r="J24" i="1"/>
  <c r="I24" i="1"/>
  <c r="K23" i="1"/>
  <c r="J23" i="1"/>
  <c r="I23" i="1"/>
  <c r="K22" i="1"/>
  <c r="J22" i="1"/>
  <c r="I22" i="1"/>
  <c r="K21" i="1"/>
  <c r="J21" i="1"/>
  <c r="I21" i="1"/>
  <c r="K20" i="1"/>
  <c r="J20" i="1"/>
  <c r="I20" i="1"/>
  <c r="K19" i="1"/>
  <c r="J19" i="1"/>
  <c r="I19" i="1"/>
  <c r="K18" i="1"/>
  <c r="J18" i="1"/>
  <c r="I18" i="1"/>
  <c r="K17" i="1"/>
  <c r="J17" i="1"/>
  <c r="I17" i="1"/>
  <c r="K16" i="1"/>
  <c r="J16" i="1"/>
  <c r="I16" i="1"/>
  <c r="K15" i="1"/>
  <c r="J15" i="1"/>
  <c r="I15" i="1"/>
  <c r="K14" i="1"/>
  <c r="J14" i="1"/>
  <c r="I14" i="1"/>
  <c r="K13" i="1"/>
  <c r="J13" i="1"/>
  <c r="I13" i="1"/>
  <c r="K12" i="1"/>
  <c r="J12" i="1"/>
  <c r="I12" i="1"/>
  <c r="K11" i="1"/>
  <c r="J11" i="1"/>
  <c r="I11" i="1"/>
  <c r="K10" i="1"/>
  <c r="J10" i="1"/>
  <c r="I10" i="1"/>
  <c r="K9" i="1"/>
  <c r="J9" i="1"/>
  <c r="I9" i="1"/>
  <c r="K8" i="1"/>
  <c r="J8" i="1"/>
  <c r="I8" i="1"/>
  <c r="K7" i="1"/>
  <c r="J7" i="1"/>
  <c r="I7" i="1"/>
  <c r="K4" i="1"/>
  <c r="J4" i="1"/>
  <c r="I4" i="1"/>
  <c r="C15" i="1" l="1"/>
  <c r="C23" i="1"/>
  <c r="C8" i="1"/>
  <c r="C12" i="1"/>
  <c r="C7" i="1"/>
  <c r="C11" i="1"/>
  <c r="C19" i="1"/>
  <c r="C16" i="1"/>
  <c r="C20" i="1"/>
  <c r="C24" i="1"/>
  <c r="C27" i="1"/>
  <c r="C6" i="1"/>
  <c r="C5" i="1"/>
  <c r="C10" i="1"/>
  <c r="C14" i="1"/>
  <c r="C18" i="1"/>
  <c r="C22" i="1"/>
  <c r="C26" i="1"/>
  <c r="C9" i="1"/>
  <c r="C13" i="1"/>
  <c r="C17" i="1"/>
  <c r="C21" i="1"/>
  <c r="C25" i="1"/>
  <c r="C4" i="1"/>
</calcChain>
</file>

<file path=xl/sharedStrings.xml><?xml version="1.0" encoding="utf-8"?>
<sst xmlns="http://schemas.openxmlformats.org/spreadsheetml/2006/main" count="66" uniqueCount="41">
  <si>
    <t>id</t>
  </si>
  <si>
    <t>pro_type</t>
  </si>
  <si>
    <t>pro_num</t>
  </si>
  <si>
    <t>id = 英雄起始星级*100 + 当前等级</t>
  </si>
  <si>
    <t>int32</t>
  </si>
  <si>
    <t>list&lt;int32&gt;</t>
  </si>
  <si>
    <t>等级未激活时为0，激活后从1级开始。满级为1+最大星级-初始星级</t>
  </si>
  <si>
    <t>ID</t>
  </si>
  <si>
    <t>属性类型列表</t>
  </si>
  <si>
    <t>属性值列表</t>
  </si>
  <si>
    <t>攻击力</t>
  </si>
  <si>
    <t>生命</t>
  </si>
  <si>
    <t>护甲</t>
  </si>
  <si>
    <t>求和取整</t>
  </si>
  <si>
    <t>普1</t>
  </si>
  <si>
    <t>普2</t>
  </si>
  <si>
    <t>高1</t>
  </si>
  <si>
    <t>高2</t>
  </si>
  <si>
    <t>高3</t>
  </si>
  <si>
    <t>高4</t>
  </si>
  <si>
    <t>高5</t>
  </si>
  <si>
    <t>高6</t>
  </si>
  <si>
    <t>高7</t>
  </si>
  <si>
    <t>高8</t>
  </si>
  <si>
    <t>传奇1</t>
  </si>
  <si>
    <t>传奇2</t>
  </si>
  <si>
    <t>传奇3</t>
  </si>
  <si>
    <t>传奇4</t>
  </si>
  <si>
    <t>传奇5</t>
  </si>
  <si>
    <t>传奇6</t>
  </si>
  <si>
    <t>传奇7</t>
  </si>
  <si>
    <t>传奇8</t>
  </si>
  <si>
    <t>传奇9</t>
  </si>
  <si>
    <t>传奇10</t>
  </si>
  <si>
    <t>传奇11</t>
  </si>
  <si>
    <t>传奇12</t>
  </si>
  <si>
    <t>传奇13</t>
  </si>
  <si>
    <t>2,1,3</t>
    <phoneticPr fontId="2" type="noConversion"/>
  </si>
  <si>
    <t>传奇</t>
    <phoneticPr fontId="2" type="noConversion"/>
  </si>
  <si>
    <t>高级</t>
    <phoneticPr fontId="2" type="noConversion"/>
  </si>
  <si>
    <t>普通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</si>
</sst>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0" borderId="0" xfId="0" applyFont="1" applyAlignment="1"/>
    <xf numFmtId="49" fontId="0" fillId="0" borderId="0" xfId="0" applyNumberFormat="1" applyFont="1" applyAlignment="1"/>
    <xf numFmtId="0" fontId="0" fillId="0" borderId="0" xfId="0" applyFont="1" applyAlignment="1">
      <alignment horizontal="right"/>
    </xf>
    <xf numFmtId="0" fontId="1" fillId="0" borderId="0" xfId="0" applyFont="1" applyFill="1" applyAlignment="1">
      <alignment horizontal="right" vertical="center"/>
    </xf>
    <xf numFmtId="0" fontId="0" fillId="0" borderId="0" xfId="0" applyFont="1" applyAlignment="1">
      <alignment vertical="center"/>
    </xf>
    <xf numFmtId="0" fontId="0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0" fillId="0" borderId="0" xfId="0" applyFont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36"/>
  <sheetViews>
    <sheetView tabSelected="1" workbookViewId="0"/>
  </sheetViews>
  <sheetFormatPr defaultColWidth="9" defaultRowHeight="13.5" x14ac:dyDescent="0.15"/>
  <cols>
    <col min="1" max="1" width="11" customWidth="1"/>
    <col min="2" max="2" width="28.25" customWidth="1"/>
    <col min="3" max="3" width="15" style="1" customWidth="1"/>
    <col min="4" max="4" width="43.75" customWidth="1"/>
    <col min="5" max="5" width="62.25" customWidth="1"/>
    <col min="6" max="7" width="15" customWidth="1"/>
    <col min="8" max="8" width="12.75" customWidth="1"/>
    <col min="9" max="9" width="12.375" customWidth="1"/>
    <col min="10" max="10" width="11.125" customWidth="1"/>
    <col min="11" max="11" width="8.625" customWidth="1"/>
    <col min="12" max="12" width="17.5" customWidth="1"/>
    <col min="13" max="13" width="9.5" customWidth="1"/>
  </cols>
  <sheetData>
    <row r="1" spans="1:18" x14ac:dyDescent="0.15">
      <c r="A1" s="2" t="s">
        <v>0</v>
      </c>
      <c r="B1" s="3" t="s">
        <v>1</v>
      </c>
      <c r="C1" s="4" t="s">
        <v>2</v>
      </c>
      <c r="D1" s="3"/>
      <c r="E1" s="2" t="s">
        <v>3</v>
      </c>
      <c r="F1" s="2"/>
      <c r="G1" s="2"/>
      <c r="H1" s="2"/>
      <c r="L1" s="2"/>
      <c r="M1" s="2"/>
      <c r="N1" s="2"/>
      <c r="O1" s="2"/>
      <c r="P1" s="3"/>
      <c r="Q1" s="2"/>
      <c r="R1" s="9"/>
    </row>
    <row r="2" spans="1:18" x14ac:dyDescent="0.15">
      <c r="A2" s="2" t="s">
        <v>4</v>
      </c>
      <c r="B2" s="3" t="s">
        <v>5</v>
      </c>
      <c r="C2" s="4" t="s">
        <v>5</v>
      </c>
      <c r="D2" s="3"/>
      <c r="E2" s="3" t="s">
        <v>6</v>
      </c>
      <c r="F2" s="3"/>
      <c r="G2" s="3"/>
      <c r="H2" s="3"/>
      <c r="L2" s="2"/>
      <c r="N2" s="7"/>
      <c r="O2" s="7"/>
      <c r="P2" s="7"/>
      <c r="Q2" s="7"/>
      <c r="R2" s="7"/>
    </row>
    <row r="3" spans="1:18" x14ac:dyDescent="0.15">
      <c r="A3" s="2" t="s">
        <v>7</v>
      </c>
      <c r="B3" s="3" t="s">
        <v>8</v>
      </c>
      <c r="C3" s="4" t="s">
        <v>9</v>
      </c>
      <c r="D3" s="3"/>
      <c r="E3" s="3"/>
      <c r="F3" s="3" t="s">
        <v>10</v>
      </c>
      <c r="G3" s="3" t="s">
        <v>11</v>
      </c>
      <c r="H3" s="3" t="s">
        <v>12</v>
      </c>
      <c r="I3" s="13" t="s">
        <v>13</v>
      </c>
      <c r="J3" s="13"/>
      <c r="K3" s="13"/>
    </row>
    <row r="4" spans="1:18" x14ac:dyDescent="0.15">
      <c r="A4" s="2">
        <v>101</v>
      </c>
      <c r="B4" s="10" t="s">
        <v>37</v>
      </c>
      <c r="C4" s="2" t="str">
        <f t="shared" ref="C4:C6" si="0">I4&amp;","&amp;J4&amp;","&amp;K4</f>
        <v>1,5,1</v>
      </c>
      <c r="D4" s="3"/>
      <c r="E4" s="5" t="s">
        <v>14</v>
      </c>
      <c r="F4" s="6">
        <v>1</v>
      </c>
      <c r="G4" s="6">
        <f>F4*5</f>
        <v>5</v>
      </c>
      <c r="H4" s="6">
        <v>1</v>
      </c>
      <c r="I4" s="8">
        <f t="shared" ref="I4" si="1">FLOOR(F4,1)</f>
        <v>1</v>
      </c>
      <c r="J4" s="8">
        <f t="shared" ref="J4:K4" si="2">FLOOR(G4,1)</f>
        <v>5</v>
      </c>
      <c r="K4" s="8">
        <f t="shared" si="2"/>
        <v>1</v>
      </c>
    </row>
    <row r="5" spans="1:18" x14ac:dyDescent="0.15">
      <c r="A5">
        <v>201</v>
      </c>
      <c r="B5" s="10" t="s">
        <v>37</v>
      </c>
      <c r="C5" s="2" t="str">
        <f t="shared" si="0"/>
        <v>1,5,1</v>
      </c>
      <c r="D5" s="3"/>
      <c r="E5" s="5" t="s">
        <v>15</v>
      </c>
      <c r="F5" s="6">
        <v>1</v>
      </c>
      <c r="G5" s="6">
        <f t="shared" ref="G5:G27" si="3">F5*5</f>
        <v>5</v>
      </c>
      <c r="H5" s="6">
        <v>1</v>
      </c>
      <c r="I5" s="8">
        <f>FLOOR(SUM(F$5:F5),1)</f>
        <v>1</v>
      </c>
      <c r="J5" s="8">
        <f>FLOOR(SUM(G$5:G5),1)</f>
        <v>5</v>
      </c>
      <c r="K5" s="8">
        <f>FLOOR(SUM(H$5:H5),1)</f>
        <v>1</v>
      </c>
    </row>
    <row r="6" spans="1:18" x14ac:dyDescent="0.15">
      <c r="A6">
        <v>202</v>
      </c>
      <c r="B6" s="10" t="s">
        <v>37</v>
      </c>
      <c r="C6" s="2" t="str">
        <f t="shared" si="0"/>
        <v>2,10,2</v>
      </c>
      <c r="D6" s="3"/>
      <c r="E6" s="5" t="s">
        <v>15</v>
      </c>
      <c r="F6" s="6">
        <v>1</v>
      </c>
      <c r="G6" s="6">
        <f t="shared" si="3"/>
        <v>5</v>
      </c>
      <c r="H6" s="6">
        <v>1</v>
      </c>
      <c r="I6" s="8">
        <f>FLOOR(SUM(F$5:F6),1)</f>
        <v>2</v>
      </c>
      <c r="J6" s="8">
        <f>FLOOR(SUM(G$5:G6),1)</f>
        <v>10</v>
      </c>
      <c r="K6" s="8">
        <f>FLOOR(SUM(H$5:H6),1)</f>
        <v>2</v>
      </c>
    </row>
    <row r="7" spans="1:18" x14ac:dyDescent="0.15">
      <c r="A7" s="2">
        <v>301</v>
      </c>
      <c r="B7" s="10" t="s">
        <v>37</v>
      </c>
      <c r="C7" s="2" t="str">
        <f t="shared" ref="C7:C14" si="4">I7&amp;","&amp;J7&amp;","&amp;K7</f>
        <v>1,5,1</v>
      </c>
      <c r="D7" s="3"/>
      <c r="E7" s="5" t="s">
        <v>16</v>
      </c>
      <c r="F7" s="6">
        <v>1</v>
      </c>
      <c r="G7" s="6">
        <f t="shared" si="3"/>
        <v>5</v>
      </c>
      <c r="H7" s="6">
        <v>1</v>
      </c>
      <c r="I7" s="8">
        <f>FLOOR(SUM(F$7:F7),1)</f>
        <v>1</v>
      </c>
      <c r="J7" s="8">
        <f>FLOOR(SUM(G$7:G7),1)</f>
        <v>5</v>
      </c>
      <c r="K7" s="8">
        <f>FLOOR(SUM(H$7:H7),1)</f>
        <v>1</v>
      </c>
    </row>
    <row r="8" spans="1:18" x14ac:dyDescent="0.15">
      <c r="A8">
        <v>302</v>
      </c>
      <c r="B8" s="10" t="s">
        <v>37</v>
      </c>
      <c r="C8" s="2" t="str">
        <f t="shared" si="4"/>
        <v>2,10,2</v>
      </c>
      <c r="D8" s="3"/>
      <c r="E8" s="5" t="s">
        <v>17</v>
      </c>
      <c r="F8" s="6">
        <v>1</v>
      </c>
      <c r="G8" s="6">
        <f t="shared" si="3"/>
        <v>5</v>
      </c>
      <c r="H8" s="6">
        <v>1</v>
      </c>
      <c r="I8" s="8">
        <f>FLOOR(SUM(F$7:F8),1)</f>
        <v>2</v>
      </c>
      <c r="J8" s="8">
        <f>FLOOR(SUM(G$7:G8),1)</f>
        <v>10</v>
      </c>
      <c r="K8" s="8">
        <f>FLOOR(SUM(H$7:H8),1)</f>
        <v>2</v>
      </c>
    </row>
    <row r="9" spans="1:18" x14ac:dyDescent="0.15">
      <c r="A9" s="2">
        <v>303</v>
      </c>
      <c r="B9" s="10" t="s">
        <v>37</v>
      </c>
      <c r="C9" s="2" t="str">
        <f t="shared" si="4"/>
        <v>4,20,4</v>
      </c>
      <c r="D9" s="3"/>
      <c r="E9" s="5" t="s">
        <v>18</v>
      </c>
      <c r="F9" s="6">
        <v>2</v>
      </c>
      <c r="G9" s="6">
        <f t="shared" si="3"/>
        <v>10</v>
      </c>
      <c r="H9" s="6">
        <v>2</v>
      </c>
      <c r="I9" s="8">
        <f>FLOOR(SUM(F$7:F9),1)</f>
        <v>4</v>
      </c>
      <c r="J9" s="8">
        <f>FLOOR(SUM(G$7:G9),1)</f>
        <v>20</v>
      </c>
      <c r="K9" s="8">
        <f>FLOOR(SUM(H$7:H9),1)</f>
        <v>4</v>
      </c>
    </row>
    <row r="10" spans="1:18" x14ac:dyDescent="0.15">
      <c r="A10">
        <v>304</v>
      </c>
      <c r="B10" s="10" t="s">
        <v>37</v>
      </c>
      <c r="C10" s="2" t="str">
        <f t="shared" si="4"/>
        <v>6,30,6</v>
      </c>
      <c r="D10" s="3"/>
      <c r="E10" s="5" t="s">
        <v>19</v>
      </c>
      <c r="F10" s="6">
        <v>2</v>
      </c>
      <c r="G10" s="6">
        <f t="shared" si="3"/>
        <v>10</v>
      </c>
      <c r="H10" s="6">
        <v>2</v>
      </c>
      <c r="I10" s="8">
        <f>FLOOR(SUM(F$7:F10),1)</f>
        <v>6</v>
      </c>
      <c r="J10" s="8">
        <f>FLOOR(SUM(G$7:G10),1)</f>
        <v>30</v>
      </c>
      <c r="K10" s="8">
        <f>FLOOR(SUM(H$7:H10),1)</f>
        <v>6</v>
      </c>
    </row>
    <row r="11" spans="1:18" x14ac:dyDescent="0.15">
      <c r="A11" s="2">
        <v>305</v>
      </c>
      <c r="B11" s="10" t="s">
        <v>37</v>
      </c>
      <c r="C11" s="2" t="str">
        <f t="shared" si="4"/>
        <v>8,40,8</v>
      </c>
      <c r="D11" s="3"/>
      <c r="E11" s="5" t="s">
        <v>20</v>
      </c>
      <c r="F11" s="6">
        <v>2</v>
      </c>
      <c r="G11" s="6">
        <f t="shared" si="3"/>
        <v>10</v>
      </c>
      <c r="H11" s="6">
        <v>2</v>
      </c>
      <c r="I11" s="8">
        <f>FLOOR(SUM(F$7:F11),1)</f>
        <v>8</v>
      </c>
      <c r="J11" s="8">
        <f>FLOOR(SUM(G$7:G11),1)</f>
        <v>40</v>
      </c>
      <c r="K11" s="8">
        <f>FLOOR(SUM(H$7:H11),1)</f>
        <v>8</v>
      </c>
    </row>
    <row r="12" spans="1:18" x14ac:dyDescent="0.15">
      <c r="A12">
        <v>306</v>
      </c>
      <c r="B12" s="10" t="s">
        <v>37</v>
      </c>
      <c r="C12" s="2" t="str">
        <f t="shared" si="4"/>
        <v>11,55,11</v>
      </c>
      <c r="D12" s="3"/>
      <c r="E12" s="5" t="s">
        <v>21</v>
      </c>
      <c r="F12" s="6">
        <v>3</v>
      </c>
      <c r="G12" s="6">
        <f t="shared" si="3"/>
        <v>15</v>
      </c>
      <c r="H12" s="6">
        <v>3</v>
      </c>
      <c r="I12" s="8">
        <f>FLOOR(SUM(F$7:F12),1)</f>
        <v>11</v>
      </c>
      <c r="J12" s="8">
        <f>FLOOR(SUM(G$7:G12),1)</f>
        <v>55</v>
      </c>
      <c r="K12" s="8">
        <f>FLOOR(SUM(H$7:H12),1)</f>
        <v>11</v>
      </c>
    </row>
    <row r="13" spans="1:18" x14ac:dyDescent="0.15">
      <c r="A13">
        <v>307</v>
      </c>
      <c r="B13" s="10" t="s">
        <v>37</v>
      </c>
      <c r="C13" s="2" t="str">
        <f t="shared" si="4"/>
        <v>14,70,14</v>
      </c>
      <c r="D13" s="3"/>
      <c r="E13" s="5" t="s">
        <v>22</v>
      </c>
      <c r="F13" s="6">
        <v>3</v>
      </c>
      <c r="G13" s="6">
        <f t="shared" si="3"/>
        <v>15</v>
      </c>
      <c r="H13" s="6">
        <v>3</v>
      </c>
      <c r="I13" s="8">
        <f>FLOOR(SUM(F$7:F13),1)</f>
        <v>14</v>
      </c>
      <c r="J13" s="8">
        <f>FLOOR(SUM(G$7:G13),1)</f>
        <v>70</v>
      </c>
      <c r="K13" s="8">
        <f>FLOOR(SUM(H$7:H13),1)</f>
        <v>14</v>
      </c>
    </row>
    <row r="14" spans="1:18" x14ac:dyDescent="0.15">
      <c r="A14">
        <v>308</v>
      </c>
      <c r="B14" s="10" t="s">
        <v>37</v>
      </c>
      <c r="C14" s="2" t="str">
        <f t="shared" si="4"/>
        <v>17,85,17</v>
      </c>
      <c r="D14" s="3"/>
      <c r="E14" s="5" t="s">
        <v>23</v>
      </c>
      <c r="F14" s="6">
        <v>3</v>
      </c>
      <c r="G14" s="6">
        <f t="shared" si="3"/>
        <v>15</v>
      </c>
      <c r="H14" s="6">
        <v>3</v>
      </c>
      <c r="I14" s="8">
        <f>FLOOR(SUM(F$7:F14),1)</f>
        <v>17</v>
      </c>
      <c r="J14" s="8">
        <f>FLOOR(SUM(G$7:G14),1)</f>
        <v>85</v>
      </c>
      <c r="K14" s="8">
        <f>FLOOR(SUM(H$7:H14),1)</f>
        <v>17</v>
      </c>
    </row>
    <row r="15" spans="1:18" x14ac:dyDescent="0.15">
      <c r="A15" s="2">
        <v>501</v>
      </c>
      <c r="B15" s="10" t="s">
        <v>37</v>
      </c>
      <c r="C15" s="2" t="str">
        <f t="shared" ref="C15:C23" si="5">I15&amp;","&amp;J15&amp;","&amp;K15</f>
        <v>1,5,1</v>
      </c>
      <c r="D15" s="3"/>
      <c r="E15" s="5" t="s">
        <v>24</v>
      </c>
      <c r="F15" s="6">
        <v>1</v>
      </c>
      <c r="G15" s="6">
        <f t="shared" si="3"/>
        <v>5</v>
      </c>
      <c r="H15" s="6">
        <v>1</v>
      </c>
      <c r="I15" s="8">
        <f>FLOOR(SUM(F$15:F15),1)</f>
        <v>1</v>
      </c>
      <c r="J15" s="8">
        <f>FLOOR(SUM(G$15:G15),1)</f>
        <v>5</v>
      </c>
      <c r="K15" s="8">
        <f>FLOOR(SUM(H$15:H15),1)</f>
        <v>1</v>
      </c>
    </row>
    <row r="16" spans="1:18" x14ac:dyDescent="0.15">
      <c r="A16">
        <v>502</v>
      </c>
      <c r="B16" s="10" t="s">
        <v>37</v>
      </c>
      <c r="C16" s="2" t="str">
        <f t="shared" si="5"/>
        <v>2,10,2</v>
      </c>
      <c r="D16" s="3"/>
      <c r="E16" s="5" t="s">
        <v>25</v>
      </c>
      <c r="F16" s="6">
        <v>1</v>
      </c>
      <c r="G16" s="6">
        <f t="shared" si="3"/>
        <v>5</v>
      </c>
      <c r="H16" s="6">
        <v>1</v>
      </c>
      <c r="I16" s="8">
        <f>FLOOR(SUM(F$15:F16),1)</f>
        <v>2</v>
      </c>
      <c r="J16" s="8">
        <f>FLOOR(SUM(G$15:G16),1)</f>
        <v>10</v>
      </c>
      <c r="K16" s="8">
        <f>FLOOR(SUM(H$15:H16),1)</f>
        <v>2</v>
      </c>
    </row>
    <row r="17" spans="1:11" x14ac:dyDescent="0.15">
      <c r="A17" s="2">
        <v>503</v>
      </c>
      <c r="B17" s="10" t="s">
        <v>37</v>
      </c>
      <c r="C17" s="2" t="str">
        <f t="shared" si="5"/>
        <v>4,20,4</v>
      </c>
      <c r="D17" s="3"/>
      <c r="E17" s="5" t="s">
        <v>26</v>
      </c>
      <c r="F17" s="6">
        <v>2</v>
      </c>
      <c r="G17" s="6">
        <f t="shared" si="3"/>
        <v>10</v>
      </c>
      <c r="H17" s="6">
        <v>2</v>
      </c>
      <c r="I17" s="8">
        <f>FLOOR(SUM(F$15:F17),1)</f>
        <v>4</v>
      </c>
      <c r="J17" s="8">
        <f>FLOOR(SUM(G$15:G17),1)</f>
        <v>20</v>
      </c>
      <c r="K17" s="8">
        <f>FLOOR(SUM(H$15:H17),1)</f>
        <v>4</v>
      </c>
    </row>
    <row r="18" spans="1:11" x14ac:dyDescent="0.15">
      <c r="A18">
        <v>504</v>
      </c>
      <c r="B18" s="10" t="s">
        <v>37</v>
      </c>
      <c r="C18" s="2" t="str">
        <f t="shared" si="5"/>
        <v>6,30,6</v>
      </c>
      <c r="D18" s="3"/>
      <c r="E18" s="5" t="s">
        <v>27</v>
      </c>
      <c r="F18" s="6">
        <v>2</v>
      </c>
      <c r="G18" s="6">
        <f t="shared" si="3"/>
        <v>10</v>
      </c>
      <c r="H18" s="6">
        <v>2</v>
      </c>
      <c r="I18" s="8">
        <f>FLOOR(SUM(F$15:F18),1)</f>
        <v>6</v>
      </c>
      <c r="J18" s="8">
        <f>FLOOR(SUM(G$15:G18),1)</f>
        <v>30</v>
      </c>
      <c r="K18" s="8">
        <f>FLOOR(SUM(H$15:H18),1)</f>
        <v>6</v>
      </c>
    </row>
    <row r="19" spans="1:11" x14ac:dyDescent="0.15">
      <c r="A19" s="2">
        <v>505</v>
      </c>
      <c r="B19" s="10" t="s">
        <v>37</v>
      </c>
      <c r="C19" s="2" t="str">
        <f t="shared" si="5"/>
        <v>8,40,8</v>
      </c>
      <c r="D19" s="3"/>
      <c r="E19" s="5" t="s">
        <v>28</v>
      </c>
      <c r="F19" s="6">
        <v>2</v>
      </c>
      <c r="G19" s="6">
        <f t="shared" si="3"/>
        <v>10</v>
      </c>
      <c r="H19" s="6">
        <v>2</v>
      </c>
      <c r="I19" s="8">
        <f>FLOOR(SUM(F$15:F19),1)</f>
        <v>8</v>
      </c>
      <c r="J19" s="8">
        <f>FLOOR(SUM(G$15:G19),1)</f>
        <v>40</v>
      </c>
      <c r="K19" s="8">
        <f>FLOOR(SUM(H$15:H19),1)</f>
        <v>8</v>
      </c>
    </row>
    <row r="20" spans="1:11" x14ac:dyDescent="0.15">
      <c r="A20">
        <v>506</v>
      </c>
      <c r="B20" s="10" t="s">
        <v>37</v>
      </c>
      <c r="C20" s="2" t="str">
        <f t="shared" si="5"/>
        <v>11,55,11</v>
      </c>
      <c r="D20" s="3"/>
      <c r="E20" s="5" t="s">
        <v>29</v>
      </c>
      <c r="F20" s="6">
        <v>3</v>
      </c>
      <c r="G20" s="6">
        <f t="shared" si="3"/>
        <v>15</v>
      </c>
      <c r="H20" s="6">
        <v>3</v>
      </c>
      <c r="I20" s="8">
        <f>FLOOR(SUM(F$15:F20),1)</f>
        <v>11</v>
      </c>
      <c r="J20" s="8">
        <f>FLOOR(SUM(G$15:G20),1)</f>
        <v>55</v>
      </c>
      <c r="K20" s="8">
        <f>FLOOR(SUM(H$15:H20),1)</f>
        <v>11</v>
      </c>
    </row>
    <row r="21" spans="1:11" x14ac:dyDescent="0.15">
      <c r="A21" s="2">
        <v>507</v>
      </c>
      <c r="B21" s="10" t="s">
        <v>37</v>
      </c>
      <c r="C21" s="2" t="str">
        <f t="shared" si="5"/>
        <v>14,70,14</v>
      </c>
      <c r="D21" s="3"/>
      <c r="E21" s="5" t="s">
        <v>30</v>
      </c>
      <c r="F21" s="6">
        <v>3</v>
      </c>
      <c r="G21" s="6">
        <f t="shared" si="3"/>
        <v>15</v>
      </c>
      <c r="H21" s="6">
        <v>3</v>
      </c>
      <c r="I21" s="8">
        <f>FLOOR(SUM(F$15:F21),1)</f>
        <v>14</v>
      </c>
      <c r="J21" s="8">
        <f>FLOOR(SUM(G$15:G21),1)</f>
        <v>70</v>
      </c>
      <c r="K21" s="8">
        <f>FLOOR(SUM(H$15:H21),1)</f>
        <v>14</v>
      </c>
    </row>
    <row r="22" spans="1:11" x14ac:dyDescent="0.15">
      <c r="A22">
        <v>508</v>
      </c>
      <c r="B22" s="10" t="s">
        <v>37</v>
      </c>
      <c r="C22" s="2" t="str">
        <f t="shared" si="5"/>
        <v>18,90,18</v>
      </c>
      <c r="D22" s="3"/>
      <c r="E22" s="5" t="s">
        <v>31</v>
      </c>
      <c r="F22" s="6">
        <v>4</v>
      </c>
      <c r="G22" s="6">
        <f t="shared" si="3"/>
        <v>20</v>
      </c>
      <c r="H22" s="6">
        <v>4</v>
      </c>
      <c r="I22" s="8">
        <f>FLOOR(SUM(F$15:F22),1)</f>
        <v>18</v>
      </c>
      <c r="J22" s="8">
        <f>FLOOR(SUM(G$15:G22),1)</f>
        <v>90</v>
      </c>
      <c r="K22" s="8">
        <f>FLOOR(SUM(H$15:H22),1)</f>
        <v>18</v>
      </c>
    </row>
    <row r="23" spans="1:11" x14ac:dyDescent="0.15">
      <c r="A23" s="2">
        <v>509</v>
      </c>
      <c r="B23" s="10" t="s">
        <v>37</v>
      </c>
      <c r="C23" s="2" t="str">
        <f t="shared" si="5"/>
        <v>22,110,22</v>
      </c>
      <c r="D23" s="3"/>
      <c r="E23" s="5" t="s">
        <v>32</v>
      </c>
      <c r="F23" s="6">
        <v>4</v>
      </c>
      <c r="G23" s="6">
        <f t="shared" si="3"/>
        <v>20</v>
      </c>
      <c r="H23" s="6">
        <v>4</v>
      </c>
      <c r="I23" s="8">
        <f>FLOOR(SUM(F$15:F23),1)</f>
        <v>22</v>
      </c>
      <c r="J23" s="8">
        <f>FLOOR(SUM(G$15:G23),1)</f>
        <v>110</v>
      </c>
      <c r="K23" s="8">
        <f>FLOOR(SUM(H$15:H23),1)</f>
        <v>22</v>
      </c>
    </row>
    <row r="24" spans="1:11" x14ac:dyDescent="0.15">
      <c r="A24">
        <v>510</v>
      </c>
      <c r="B24" s="10" t="s">
        <v>37</v>
      </c>
      <c r="C24" s="2" t="str">
        <f>I24&amp;","&amp;J24&amp;","&amp;K24</f>
        <v>26,130,26</v>
      </c>
      <c r="D24" s="3"/>
      <c r="E24" s="5" t="s">
        <v>33</v>
      </c>
      <c r="F24" s="6">
        <v>4</v>
      </c>
      <c r="G24" s="6">
        <f t="shared" si="3"/>
        <v>20</v>
      </c>
      <c r="H24" s="6">
        <v>4</v>
      </c>
      <c r="I24" s="8">
        <f>FLOOR(SUM(F$15:F24),1)</f>
        <v>26</v>
      </c>
      <c r="J24" s="8">
        <f>FLOOR(SUM(G$15:G24),1)</f>
        <v>130</v>
      </c>
      <c r="K24" s="8">
        <f>FLOOR(SUM(H$15:H24),1)</f>
        <v>26</v>
      </c>
    </row>
    <row r="25" spans="1:11" x14ac:dyDescent="0.15">
      <c r="A25" s="2">
        <v>511</v>
      </c>
      <c r="B25" s="10" t="s">
        <v>37</v>
      </c>
      <c r="C25" s="2" t="str">
        <f>I25&amp;","&amp;J25&amp;","&amp;K25</f>
        <v>31,155,31</v>
      </c>
      <c r="E25" s="5" t="s">
        <v>34</v>
      </c>
      <c r="F25" s="6">
        <v>5</v>
      </c>
      <c r="G25" s="6">
        <f t="shared" si="3"/>
        <v>25</v>
      </c>
      <c r="H25" s="6">
        <v>5</v>
      </c>
      <c r="I25" s="8">
        <f>FLOOR(SUM(F$15:F25),1)</f>
        <v>31</v>
      </c>
      <c r="J25" s="8">
        <f>FLOOR(SUM(G$15:G25),1)</f>
        <v>155</v>
      </c>
      <c r="K25" s="8">
        <f>FLOOR(SUM(H$15:H25),1)</f>
        <v>31</v>
      </c>
    </row>
    <row r="26" spans="1:11" x14ac:dyDescent="0.15">
      <c r="A26">
        <v>512</v>
      </c>
      <c r="B26" s="10" t="s">
        <v>37</v>
      </c>
      <c r="C26" s="2" t="str">
        <f>I26&amp;","&amp;J26&amp;","&amp;K26</f>
        <v>36,180,36</v>
      </c>
      <c r="E26" s="5" t="s">
        <v>35</v>
      </c>
      <c r="F26" s="6">
        <v>5</v>
      </c>
      <c r="G26" s="6">
        <f t="shared" si="3"/>
        <v>25</v>
      </c>
      <c r="H26" s="6">
        <v>5</v>
      </c>
      <c r="I26" s="8">
        <f>FLOOR(SUM(F$15:F26),1)</f>
        <v>36</v>
      </c>
      <c r="J26" s="8">
        <f>FLOOR(SUM(G$15:G26),1)</f>
        <v>180</v>
      </c>
      <c r="K26" s="8">
        <f>FLOOR(SUM(H$15:H26),1)</f>
        <v>36</v>
      </c>
    </row>
    <row r="27" spans="1:11" x14ac:dyDescent="0.15">
      <c r="A27" s="2">
        <v>513</v>
      </c>
      <c r="B27" s="10" t="s">
        <v>37</v>
      </c>
      <c r="C27" s="2" t="str">
        <f>I27&amp;","&amp;J27&amp;","&amp;K27</f>
        <v>41,205,41</v>
      </c>
      <c r="E27" s="5" t="s">
        <v>36</v>
      </c>
      <c r="F27" s="6">
        <v>5</v>
      </c>
      <c r="G27" s="6">
        <f t="shared" si="3"/>
        <v>25</v>
      </c>
      <c r="H27" s="6">
        <v>5</v>
      </c>
      <c r="I27" s="8">
        <f>FLOOR(SUM(F$15:F27),1)</f>
        <v>41</v>
      </c>
      <c r="J27" s="8">
        <f>FLOOR(SUM(G$15:G27),1)</f>
        <v>205</v>
      </c>
      <c r="K27" s="8">
        <f>FLOOR(SUM(H$15:H27),1)</f>
        <v>41</v>
      </c>
    </row>
    <row r="29" spans="1:11" x14ac:dyDescent="0.15">
      <c r="E29" s="5" t="s">
        <v>38</v>
      </c>
      <c r="F29">
        <f>SUM(F15:F27)</f>
        <v>41</v>
      </c>
      <c r="G29">
        <f>SUM(G15:G27)</f>
        <v>205</v>
      </c>
      <c r="H29">
        <f>SUM(H15:H27)</f>
        <v>41</v>
      </c>
    </row>
    <row r="30" spans="1:11" x14ac:dyDescent="0.15">
      <c r="E30" s="11"/>
      <c r="F30">
        <f>F29*37</f>
        <v>1517</v>
      </c>
      <c r="G30">
        <f>G29*37</f>
        <v>7585</v>
      </c>
      <c r="H30">
        <f>H29*37</f>
        <v>1517</v>
      </c>
    </row>
    <row r="31" spans="1:11" x14ac:dyDescent="0.15">
      <c r="E31" s="11"/>
    </row>
    <row r="32" spans="1:11" x14ac:dyDescent="0.15">
      <c r="E32" s="12" t="s">
        <v>39</v>
      </c>
      <c r="F32">
        <f>SUM(F7:F14)</f>
        <v>17</v>
      </c>
      <c r="G32">
        <f t="shared" ref="G32:H32" si="6">SUM(G7:G14)</f>
        <v>85</v>
      </c>
      <c r="H32">
        <f t="shared" si="6"/>
        <v>17</v>
      </c>
    </row>
    <row r="33" spans="5:8" x14ac:dyDescent="0.15">
      <c r="E33" s="11"/>
      <c r="F33">
        <f>F32*15</f>
        <v>255</v>
      </c>
      <c r="G33">
        <f t="shared" ref="G33:H33" si="7">G32*15</f>
        <v>1275</v>
      </c>
      <c r="H33">
        <f t="shared" si="7"/>
        <v>255</v>
      </c>
    </row>
    <row r="34" spans="5:8" x14ac:dyDescent="0.15">
      <c r="E34" s="11"/>
    </row>
    <row r="35" spans="5:8" x14ac:dyDescent="0.15">
      <c r="E35" s="12" t="s">
        <v>40</v>
      </c>
      <c r="F35">
        <f>SUM(F4:F9)</f>
        <v>7</v>
      </c>
      <c r="G35">
        <f t="shared" ref="G35:H35" si="8">SUM(G4:G9)</f>
        <v>35</v>
      </c>
      <c r="H35">
        <f t="shared" si="8"/>
        <v>7</v>
      </c>
    </row>
    <row r="36" spans="5:8" x14ac:dyDescent="0.15">
      <c r="E36" s="11"/>
      <c r="F36">
        <f>F35*12</f>
        <v>84</v>
      </c>
      <c r="G36">
        <f t="shared" ref="G36:H36" si="9">G35*12</f>
        <v>420</v>
      </c>
      <c r="H36">
        <f t="shared" si="9"/>
        <v>84</v>
      </c>
    </row>
  </sheetData>
  <mergeCells count="1">
    <mergeCell ref="I3:K3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book_hero_property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BinBin</cp:lastModifiedBy>
  <dcterms:created xsi:type="dcterms:W3CDTF">2017-06-13T02:34:00Z</dcterms:created>
  <dcterms:modified xsi:type="dcterms:W3CDTF">2021-01-19T15:31:56Z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2052-11.1.0.10228</vt:lpwstr>
  </property>
</Properties>
</file>