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B8B3690B-8EAB-4192-B7F3-26AC805BEB4A}" xr6:coauthVersionLast="45" xr6:coauthVersionMax="45" xr10:uidLastSave="{00000000-0000-0000-0000-000000000000}"/>
  <bookViews>
    <workbookView xWindow="0" yWindow="15" windowWidth="28800" windowHeight="15585" xr2:uid="{00000000-000D-0000-FFFF-FFFF00000000}"/>
  </bookViews>
  <sheets>
    <sheet name="equip" sheetId="1" r:id="rId1"/>
    <sheet name="Sheet1" sheetId="2" r:id="rId2"/>
    <sheet name="Sheet2" sheetId="3" r:id="rId3"/>
  </sheets>
  <calcPr calcId="191029"/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3" i="3"/>
  <c r="L38" i="1" l="1"/>
  <c r="L9" i="1" l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I71" i="1"/>
  <c r="L71" i="1" s="1"/>
  <c r="I60" i="1"/>
  <c r="I49" i="1"/>
  <c r="I50" i="1"/>
  <c r="I51" i="1"/>
  <c r="I52" i="1"/>
  <c r="I53" i="1"/>
  <c r="I54" i="1"/>
  <c r="I55" i="1"/>
  <c r="I56" i="1"/>
  <c r="I57" i="1"/>
  <c r="I58" i="1"/>
  <c r="I59" i="1"/>
  <c r="I61" i="1"/>
  <c r="I62" i="1"/>
  <c r="I63" i="1"/>
  <c r="I64" i="1"/>
  <c r="I65" i="1"/>
  <c r="I66" i="1"/>
  <c r="I67" i="1"/>
  <c r="I68" i="1"/>
  <c r="I69" i="1"/>
  <c r="I70" i="1"/>
  <c r="I48" i="1"/>
  <c r="I37" i="1"/>
  <c r="I38" i="1"/>
  <c r="I39" i="1"/>
  <c r="I40" i="1"/>
  <c r="I41" i="1"/>
  <c r="I42" i="1"/>
  <c r="I43" i="1"/>
  <c r="I44" i="1"/>
  <c r="I45" i="1"/>
  <c r="I46" i="1"/>
  <c r="I47" i="1"/>
  <c r="I36" i="1"/>
  <c r="I33" i="1"/>
  <c r="I34" i="1"/>
  <c r="I35" i="1"/>
  <c r="I32" i="1"/>
  <c r="I29" i="1"/>
  <c r="I30" i="1"/>
  <c r="I31" i="1"/>
  <c r="I28" i="1"/>
  <c r="I25" i="1"/>
  <c r="I26" i="1"/>
  <c r="I27" i="1"/>
  <c r="I24" i="1"/>
  <c r="I21" i="1"/>
  <c r="I22" i="1"/>
  <c r="I23" i="1"/>
  <c r="I20" i="1"/>
  <c r="I17" i="1"/>
  <c r="I18" i="1"/>
  <c r="I19" i="1"/>
  <c r="I16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I5" i="1"/>
  <c r="I6" i="1"/>
  <c r="I7" i="1"/>
  <c r="I8" i="1"/>
  <c r="I9" i="1"/>
  <c r="I10" i="1"/>
  <c r="I11" i="1"/>
  <c r="I12" i="1"/>
  <c r="I13" i="1"/>
  <c r="I14" i="1"/>
  <c r="I15" i="1"/>
  <c r="I4" i="1"/>
  <c r="L8" i="1"/>
  <c r="K19" i="3" l="1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K11" i="3"/>
  <c r="J11" i="3"/>
  <c r="K10" i="3"/>
  <c r="J10" i="3"/>
  <c r="K9" i="3"/>
  <c r="J9" i="3"/>
  <c r="K8" i="3"/>
  <c r="J8" i="3"/>
  <c r="K7" i="3"/>
  <c r="J7" i="3"/>
  <c r="K6" i="3"/>
  <c r="J6" i="3"/>
  <c r="K5" i="3"/>
  <c r="J5" i="3"/>
  <c r="K4" i="3"/>
  <c r="J4" i="3"/>
  <c r="K3" i="3"/>
  <c r="J3" i="3"/>
  <c r="L32" i="2"/>
  <c r="K32" i="2"/>
  <c r="J32" i="2"/>
  <c r="L31" i="2"/>
  <c r="K31" i="2"/>
  <c r="J31" i="2"/>
  <c r="L30" i="2"/>
  <c r="K30" i="2"/>
  <c r="J30" i="2"/>
  <c r="L29" i="2"/>
  <c r="K29" i="2"/>
  <c r="J29" i="2"/>
  <c r="L28" i="2"/>
  <c r="K28" i="2"/>
  <c r="J28" i="2"/>
  <c r="L27" i="2"/>
  <c r="K27" i="2"/>
  <c r="J27" i="2"/>
  <c r="L26" i="2"/>
  <c r="K26" i="2"/>
  <c r="J26" i="2"/>
  <c r="E26" i="2"/>
  <c r="L25" i="2"/>
  <c r="K25" i="2"/>
  <c r="J25" i="2"/>
  <c r="E25" i="2"/>
  <c r="L24" i="2"/>
  <c r="K24" i="2"/>
  <c r="J24" i="2"/>
  <c r="E24" i="2"/>
  <c r="L23" i="2"/>
  <c r="K23" i="2"/>
  <c r="J23" i="2"/>
  <c r="E23" i="2"/>
  <c r="L22" i="2"/>
  <c r="K22" i="2"/>
  <c r="J22" i="2"/>
  <c r="AI71" i="1"/>
  <c r="F71" i="1"/>
  <c r="AI70" i="1"/>
  <c r="F70" i="1"/>
  <c r="AI69" i="1"/>
  <c r="F69" i="1"/>
  <c r="AI68" i="1"/>
  <c r="F68" i="1"/>
  <c r="AI67" i="1"/>
  <c r="F67" i="1"/>
  <c r="AI66" i="1"/>
  <c r="F66" i="1"/>
  <c r="AI65" i="1"/>
  <c r="F65" i="1"/>
  <c r="AI64" i="1"/>
  <c r="F64" i="1"/>
  <c r="AI63" i="1"/>
  <c r="F63" i="1"/>
  <c r="AI62" i="1"/>
  <c r="F62" i="1"/>
  <c r="AI61" i="1"/>
  <c r="F61" i="1"/>
  <c r="AI60" i="1"/>
  <c r="F60" i="1"/>
  <c r="AI59" i="1"/>
  <c r="F59" i="1"/>
  <c r="AI58" i="1"/>
  <c r="F58" i="1"/>
  <c r="AI57" i="1"/>
  <c r="F57" i="1"/>
  <c r="AI56" i="1"/>
  <c r="F56" i="1"/>
  <c r="AI55" i="1"/>
  <c r="F55" i="1"/>
  <c r="AI54" i="1"/>
  <c r="F54" i="1"/>
  <c r="AI53" i="1"/>
  <c r="F53" i="1"/>
  <c r="AI52" i="1"/>
  <c r="F52" i="1"/>
  <c r="AI51" i="1"/>
  <c r="F51" i="1"/>
  <c r="AI50" i="1"/>
  <c r="F50" i="1"/>
  <c r="AI49" i="1"/>
  <c r="F49" i="1"/>
  <c r="AI48" i="1"/>
  <c r="F48" i="1"/>
  <c r="AI47" i="1"/>
  <c r="F47" i="1"/>
  <c r="AI46" i="1"/>
  <c r="F46" i="1"/>
  <c r="AI45" i="1"/>
  <c r="F45" i="1"/>
  <c r="AI44" i="1"/>
  <c r="F44" i="1"/>
  <c r="AI43" i="1"/>
  <c r="F43" i="1"/>
  <c r="AI42" i="1"/>
  <c r="F42" i="1"/>
  <c r="AI41" i="1"/>
  <c r="F41" i="1"/>
  <c r="AI40" i="1"/>
  <c r="F40" i="1"/>
  <c r="AI39" i="1"/>
  <c r="F39" i="1"/>
  <c r="AI38" i="1"/>
  <c r="F38" i="1"/>
  <c r="AI37" i="1"/>
  <c r="F37" i="1"/>
  <c r="AI36" i="1"/>
  <c r="F36" i="1"/>
  <c r="AI35" i="1"/>
  <c r="F35" i="1"/>
  <c r="AI34" i="1"/>
  <c r="F34" i="1"/>
  <c r="AI33" i="1"/>
  <c r="F33" i="1"/>
  <c r="AI32" i="1"/>
  <c r="F32" i="1"/>
  <c r="AI31" i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Z20" i="1"/>
  <c r="AB20" i="1" s="1"/>
  <c r="F20" i="1"/>
  <c r="AI19" i="1"/>
  <c r="Z19" i="1"/>
  <c r="AC19" i="1" s="1"/>
  <c r="F19" i="1"/>
  <c r="AI18" i="1"/>
  <c r="Z18" i="1"/>
  <c r="AB18" i="1" s="1"/>
  <c r="F18" i="1"/>
  <c r="AI17" i="1"/>
  <c r="AC17" i="1"/>
  <c r="AE58" i="1" s="1"/>
  <c r="O58" i="1" s="1"/>
  <c r="AB17" i="1"/>
  <c r="Z17" i="1"/>
  <c r="F17" i="1"/>
  <c r="AI16" i="1"/>
  <c r="Z16" i="1"/>
  <c r="AB16" i="1" s="1"/>
  <c r="F16" i="1"/>
  <c r="AI15" i="1"/>
  <c r="AB15" i="1"/>
  <c r="Z15" i="1"/>
  <c r="AC15" i="1" s="1"/>
  <c r="F15" i="1"/>
  <c r="AI14" i="1"/>
  <c r="AC14" i="1"/>
  <c r="Z14" i="1"/>
  <c r="AB14" i="1" s="1"/>
  <c r="F14" i="1"/>
  <c r="AI13" i="1"/>
  <c r="AC13" i="1"/>
  <c r="AE42" i="1" s="1"/>
  <c r="O42" i="1" s="1"/>
  <c r="Z13" i="1"/>
  <c r="AB13" i="1" s="1"/>
  <c r="F13" i="1"/>
  <c r="AI12" i="1"/>
  <c r="Z12" i="1"/>
  <c r="AB12" i="1" s="1"/>
  <c r="F12" i="1"/>
  <c r="AI11" i="1"/>
  <c r="AB11" i="1"/>
  <c r="Z11" i="1"/>
  <c r="AC11" i="1" s="1"/>
  <c r="F11" i="1"/>
  <c r="AI10" i="1"/>
  <c r="Z10" i="1"/>
  <c r="AB10" i="1" s="1"/>
  <c r="F10" i="1"/>
  <c r="AI9" i="1"/>
  <c r="AC9" i="1"/>
  <c r="AE26" i="1" s="1"/>
  <c r="O26" i="1" s="1"/>
  <c r="AB9" i="1"/>
  <c r="Z9" i="1"/>
  <c r="F9" i="1"/>
  <c r="AI8" i="1"/>
  <c r="AC8" i="1"/>
  <c r="Z8" i="1"/>
  <c r="AB8" i="1" s="1"/>
  <c r="F8" i="1"/>
  <c r="AI7" i="1"/>
  <c r="AB7" i="1"/>
  <c r="AE16" i="1" s="1"/>
  <c r="O16" i="1" s="1"/>
  <c r="Z7" i="1"/>
  <c r="AC7" i="1" s="1"/>
  <c r="AE18" i="1" s="1"/>
  <c r="O18" i="1" s="1"/>
  <c r="F7" i="1"/>
  <c r="AI6" i="1"/>
  <c r="AE6" i="1"/>
  <c r="O6" i="1" s="1"/>
  <c r="Z6" i="1"/>
  <c r="AC6" i="1" s="1"/>
  <c r="AE14" i="1" s="1"/>
  <c r="O14" i="1" s="1"/>
  <c r="F6" i="1"/>
  <c r="AI5" i="1"/>
  <c r="Z5" i="1"/>
  <c r="AC5" i="1" s="1"/>
  <c r="AE10" i="1" s="1"/>
  <c r="O10" i="1" s="1"/>
  <c r="F5" i="1"/>
  <c r="AI4" i="1"/>
  <c r="AB4" i="1"/>
  <c r="AE7" i="1" s="1"/>
  <c r="O7" i="1" s="1"/>
  <c r="Z4" i="1"/>
  <c r="AC4" i="1" s="1"/>
  <c r="AE5" i="1" s="1"/>
  <c r="O5" i="1" s="1"/>
  <c r="F4" i="1"/>
  <c r="AC18" i="1" l="1"/>
  <c r="AB19" i="1"/>
  <c r="AC20" i="1"/>
  <c r="AE4" i="1"/>
  <c r="O4" i="1" s="1"/>
  <c r="AB5" i="1"/>
  <c r="AE8" i="1" s="1"/>
  <c r="O8" i="1" s="1"/>
  <c r="AB6" i="1"/>
  <c r="AE32" i="1"/>
  <c r="O32" i="1" s="1"/>
  <c r="AE35" i="1"/>
  <c r="O35" i="1" s="1"/>
  <c r="AE46" i="1"/>
  <c r="O46" i="1" s="1"/>
  <c r="AE45" i="1"/>
  <c r="O45" i="1" s="1"/>
  <c r="AE52" i="1"/>
  <c r="O52" i="1" s="1"/>
  <c r="AE55" i="1"/>
  <c r="O55" i="1" s="1"/>
  <c r="AE20" i="1"/>
  <c r="O20" i="1" s="1"/>
  <c r="AE23" i="1"/>
  <c r="O23" i="1" s="1"/>
  <c r="AE24" i="1"/>
  <c r="O24" i="1" s="1"/>
  <c r="AE27" i="1"/>
  <c r="O27" i="1" s="1"/>
  <c r="AC12" i="1"/>
  <c r="AE50" i="1"/>
  <c r="O50" i="1" s="1"/>
  <c r="AE49" i="1"/>
  <c r="O49" i="1" s="1"/>
  <c r="AE17" i="1"/>
  <c r="O17" i="1" s="1"/>
  <c r="AE60" i="1"/>
  <c r="O60" i="1" s="1"/>
  <c r="AE63" i="1"/>
  <c r="O63" i="1" s="1"/>
  <c r="AE64" i="1"/>
  <c r="O64" i="1" s="1"/>
  <c r="AE67" i="1"/>
  <c r="O67" i="1" s="1"/>
  <c r="M4" i="3"/>
  <c r="G11" i="1" s="1"/>
  <c r="L4" i="3"/>
  <c r="G8" i="1" s="1"/>
  <c r="M6" i="3"/>
  <c r="G19" i="1" s="1"/>
  <c r="L6" i="3"/>
  <c r="G16" i="1" s="1"/>
  <c r="M8" i="3"/>
  <c r="G27" i="1" s="1"/>
  <c r="L8" i="3"/>
  <c r="G24" i="1" s="1"/>
  <c r="M10" i="3"/>
  <c r="G35" i="1" s="1"/>
  <c r="L10" i="3"/>
  <c r="G32" i="1" s="1"/>
  <c r="M12" i="3"/>
  <c r="G43" i="1" s="1"/>
  <c r="L12" i="3"/>
  <c r="G40" i="1" s="1"/>
  <c r="M14" i="3"/>
  <c r="G51" i="1" s="1"/>
  <c r="L14" i="3"/>
  <c r="G48" i="1" s="1"/>
  <c r="M16" i="3"/>
  <c r="G59" i="1" s="1"/>
  <c r="L16" i="3"/>
  <c r="G56" i="1" s="1"/>
  <c r="M18" i="3"/>
  <c r="G67" i="1" s="1"/>
  <c r="L18" i="3"/>
  <c r="G64" i="1" s="1"/>
  <c r="AE22" i="1"/>
  <c r="O22" i="1" s="1"/>
  <c r="AE21" i="1"/>
  <c r="O21" i="1" s="1"/>
  <c r="AE34" i="1"/>
  <c r="O34" i="1" s="1"/>
  <c r="AE33" i="1"/>
  <c r="O33" i="1" s="1"/>
  <c r="AE13" i="1"/>
  <c r="O13" i="1" s="1"/>
  <c r="AE44" i="1"/>
  <c r="O44" i="1" s="1"/>
  <c r="AE47" i="1"/>
  <c r="O47" i="1" s="1"/>
  <c r="AE48" i="1"/>
  <c r="O48" i="1" s="1"/>
  <c r="AE51" i="1"/>
  <c r="O51" i="1" s="1"/>
  <c r="AE62" i="1"/>
  <c r="O62" i="1" s="1"/>
  <c r="AE61" i="1"/>
  <c r="O61" i="1" s="1"/>
  <c r="AE19" i="1"/>
  <c r="O19" i="1" s="1"/>
  <c r="AE68" i="1"/>
  <c r="O68" i="1" s="1"/>
  <c r="AE71" i="1"/>
  <c r="O71" i="1" s="1"/>
  <c r="O4" i="3"/>
  <c r="G10" i="1" s="1"/>
  <c r="N4" i="3"/>
  <c r="G9" i="1" s="1"/>
  <c r="O6" i="3"/>
  <c r="G18" i="1" s="1"/>
  <c r="N6" i="3"/>
  <c r="G17" i="1" s="1"/>
  <c r="O8" i="3"/>
  <c r="G26" i="1" s="1"/>
  <c r="N8" i="3"/>
  <c r="G25" i="1" s="1"/>
  <c r="O10" i="3"/>
  <c r="G34" i="1" s="1"/>
  <c r="N10" i="3"/>
  <c r="G33" i="1" s="1"/>
  <c r="O12" i="3"/>
  <c r="G42" i="1" s="1"/>
  <c r="N12" i="3"/>
  <c r="G41" i="1" s="1"/>
  <c r="O14" i="3"/>
  <c r="G50" i="1" s="1"/>
  <c r="N14" i="3"/>
  <c r="G49" i="1" s="1"/>
  <c r="O16" i="3"/>
  <c r="G58" i="1" s="1"/>
  <c r="N16" i="3"/>
  <c r="G57" i="1" s="1"/>
  <c r="O18" i="3"/>
  <c r="G66" i="1" s="1"/>
  <c r="N18" i="3"/>
  <c r="G65" i="1" s="1"/>
  <c r="AE56" i="1"/>
  <c r="O56" i="1" s="1"/>
  <c r="AE59" i="1"/>
  <c r="O59" i="1" s="1"/>
  <c r="AE70" i="1"/>
  <c r="O70" i="1" s="1"/>
  <c r="AE69" i="1"/>
  <c r="O69" i="1" s="1"/>
  <c r="M3" i="3"/>
  <c r="G7" i="1" s="1"/>
  <c r="L3" i="3"/>
  <c r="G4" i="1" s="1"/>
  <c r="M5" i="3"/>
  <c r="G15" i="1" s="1"/>
  <c r="L5" i="3"/>
  <c r="G12" i="1" s="1"/>
  <c r="M7" i="3"/>
  <c r="G23" i="1" s="1"/>
  <c r="L7" i="3"/>
  <c r="G20" i="1" s="1"/>
  <c r="M9" i="3"/>
  <c r="G31" i="1" s="1"/>
  <c r="L9" i="3"/>
  <c r="G28" i="1" s="1"/>
  <c r="M11" i="3"/>
  <c r="G39" i="1" s="1"/>
  <c r="L11" i="3"/>
  <c r="G36" i="1" s="1"/>
  <c r="M13" i="3"/>
  <c r="G47" i="1" s="1"/>
  <c r="L13" i="3"/>
  <c r="G44" i="1" s="1"/>
  <c r="M15" i="3"/>
  <c r="G55" i="1" s="1"/>
  <c r="L15" i="3"/>
  <c r="G52" i="1" s="1"/>
  <c r="M17" i="3"/>
  <c r="G63" i="1" s="1"/>
  <c r="L17" i="3"/>
  <c r="G60" i="1" s="1"/>
  <c r="M19" i="3"/>
  <c r="G71" i="1" s="1"/>
  <c r="L19" i="3"/>
  <c r="G68" i="1" s="1"/>
  <c r="AE9" i="1"/>
  <c r="O9" i="1" s="1"/>
  <c r="AE28" i="1"/>
  <c r="O28" i="1" s="1"/>
  <c r="AE31" i="1"/>
  <c r="O31" i="1" s="1"/>
  <c r="AC10" i="1"/>
  <c r="AE11" i="1"/>
  <c r="O11" i="1" s="1"/>
  <c r="AE36" i="1"/>
  <c r="O36" i="1" s="1"/>
  <c r="AE39" i="1"/>
  <c r="O39" i="1" s="1"/>
  <c r="AE40" i="1"/>
  <c r="O40" i="1" s="1"/>
  <c r="AE43" i="1"/>
  <c r="O43" i="1" s="1"/>
  <c r="AC16" i="1"/>
  <c r="AE66" i="1"/>
  <c r="O66" i="1" s="1"/>
  <c r="AE65" i="1"/>
  <c r="O65" i="1" s="1"/>
  <c r="O3" i="3"/>
  <c r="G6" i="1" s="1"/>
  <c r="N3" i="3"/>
  <c r="G5" i="1" s="1"/>
  <c r="O5" i="3"/>
  <c r="G14" i="1" s="1"/>
  <c r="N5" i="3"/>
  <c r="G13" i="1" s="1"/>
  <c r="O7" i="3"/>
  <c r="G22" i="1" s="1"/>
  <c r="N7" i="3"/>
  <c r="G21" i="1" s="1"/>
  <c r="O9" i="3"/>
  <c r="G30" i="1" s="1"/>
  <c r="N9" i="3"/>
  <c r="G29" i="1" s="1"/>
  <c r="O11" i="3"/>
  <c r="G38" i="1" s="1"/>
  <c r="N11" i="3"/>
  <c r="G37" i="1" s="1"/>
  <c r="O13" i="3"/>
  <c r="G46" i="1" s="1"/>
  <c r="N13" i="3"/>
  <c r="G45" i="1" s="1"/>
  <c r="O15" i="3"/>
  <c r="G54" i="1" s="1"/>
  <c r="N15" i="3"/>
  <c r="G53" i="1" s="1"/>
  <c r="O17" i="3"/>
  <c r="G62" i="1" s="1"/>
  <c r="N17" i="3"/>
  <c r="G61" i="1" s="1"/>
  <c r="O19" i="3"/>
  <c r="G70" i="1" s="1"/>
  <c r="N19" i="3"/>
  <c r="G69" i="1" s="1"/>
  <c r="AE25" i="1"/>
  <c r="O25" i="1" s="1"/>
  <c r="AE41" i="1"/>
  <c r="O41" i="1" s="1"/>
  <c r="AE57" i="1"/>
  <c r="O57" i="1" s="1"/>
  <c r="AE12" i="1" l="1"/>
  <c r="O12" i="1" s="1"/>
  <c r="AE15" i="1"/>
  <c r="O15" i="1" s="1"/>
  <c r="AE54" i="1"/>
  <c r="O54" i="1" s="1"/>
  <c r="AE53" i="1"/>
  <c r="O53" i="1" s="1"/>
  <c r="AE38" i="1"/>
  <c r="O38" i="1" s="1"/>
  <c r="AE37" i="1"/>
  <c r="O37" i="1" s="1"/>
  <c r="AE30" i="1"/>
  <c r="O30" i="1" s="1"/>
  <c r="AE29" i="1"/>
  <c r="O29" i="1" s="1"/>
</calcChain>
</file>

<file path=xl/sharedStrings.xml><?xml version="1.0" encoding="utf-8"?>
<sst xmlns="http://schemas.openxmlformats.org/spreadsheetml/2006/main" count="374" uniqueCount="211">
  <si>
    <t>id</t>
  </si>
  <si>
    <r>
      <rPr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ame</t>
    </r>
  </si>
  <si>
    <t>location_type</t>
  </si>
  <si>
    <t>quality</t>
  </si>
  <si>
    <t>star</t>
  </si>
  <si>
    <t>property_type</t>
  </si>
  <si>
    <t>property_num</t>
  </si>
  <si>
    <t>forward_id</t>
  </si>
  <si>
    <r>
      <rPr>
        <sz val="11"/>
        <color theme="1"/>
        <rFont val="宋体"/>
        <charset val="134"/>
        <scheme val="minor"/>
      </rPr>
      <t>c</t>
    </r>
    <r>
      <rPr>
        <sz val="11"/>
        <color theme="1"/>
        <rFont val="宋体"/>
        <charset val="134"/>
        <scheme val="minor"/>
      </rPr>
      <t>ompose_money</t>
    </r>
  </si>
  <si>
    <t>image_name</t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</si>
  <si>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uit_id</t>
    </r>
  </si>
  <si>
    <r>
      <rPr>
        <sz val="11"/>
        <color theme="1"/>
        <rFont val="宋体"/>
        <charset val="134"/>
        <scheme val="minor"/>
      </rPr>
      <t>p</t>
    </r>
    <r>
      <rPr>
        <sz val="11"/>
        <color theme="1"/>
        <rFont val="宋体"/>
        <charset val="134"/>
        <scheme val="minor"/>
      </rPr>
      <t>rice</t>
    </r>
  </si>
  <si>
    <t>属性类型</t>
  </si>
  <si>
    <t>攻击</t>
  </si>
  <si>
    <t>血量</t>
  </si>
  <si>
    <t>int32</t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</si>
  <si>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tring</t>
    </r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</si>
  <si>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nt32</t>
    </r>
  </si>
  <si>
    <t>list&lt;int32&gt;</t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</si>
  <si>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tring</t>
    </r>
  </si>
  <si>
    <t>HP</t>
  </si>
  <si>
    <t>ID</t>
  </si>
  <si>
    <t>名称</t>
  </si>
  <si>
    <t>位置类型</t>
  </si>
  <si>
    <t>品质</t>
  </si>
  <si>
    <t>星级</t>
  </si>
  <si>
    <t>属性值</t>
  </si>
  <si>
    <r>
      <rPr>
        <sz val="11"/>
        <color theme="1"/>
        <rFont val="宋体"/>
        <charset val="134"/>
        <scheme val="minor"/>
      </rPr>
      <t>前置I</t>
    </r>
    <r>
      <rPr>
        <sz val="11"/>
        <color theme="1"/>
        <rFont val="宋体"/>
        <charset val="134"/>
        <scheme val="minor"/>
      </rPr>
      <t>D</t>
    </r>
  </si>
  <si>
    <t>合成消耗金币</t>
  </si>
  <si>
    <t>图标</t>
  </si>
  <si>
    <r>
      <rPr>
        <sz val="11"/>
        <color theme="1"/>
        <rFont val="宋体"/>
        <charset val="134"/>
        <scheme val="minor"/>
      </rPr>
      <t>套装I</t>
    </r>
    <r>
      <rPr>
        <sz val="11"/>
        <color theme="1"/>
        <rFont val="宋体"/>
        <charset val="134"/>
        <scheme val="minor"/>
      </rPr>
      <t>D</t>
    </r>
  </si>
  <si>
    <t>出售价格</t>
  </si>
  <si>
    <t>ATK</t>
  </si>
  <si>
    <t>星</t>
  </si>
  <si>
    <t>对应等级</t>
  </si>
  <si>
    <t>战力</t>
  </si>
  <si>
    <t>DATA_Equip1</t>
  </si>
  <si>
    <t>weapon1</t>
  </si>
  <si>
    <t>DEF</t>
  </si>
  <si>
    <t>白</t>
  </si>
  <si>
    <t>$AB$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</si>
  <si>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</t>
    </r>
  </si>
  <si>
    <t>head1</t>
  </si>
  <si>
    <t>Speed</t>
  </si>
  <si>
    <t>$AC$</t>
  </si>
  <si>
    <t>DATA_Equip3</t>
  </si>
  <si>
    <t>chest1</t>
  </si>
  <si>
    <r>
      <rPr>
        <sz val="11"/>
        <color theme="1"/>
        <rFont val="宋体"/>
        <charset val="134"/>
        <scheme val="minor"/>
      </rPr>
      <t>H</t>
    </r>
    <r>
      <rPr>
        <sz val="11"/>
        <color theme="1"/>
        <rFont val="宋体"/>
        <charset val="134"/>
        <scheme val="minor"/>
      </rPr>
      <t>P</t>
    </r>
  </si>
  <si>
    <t>Crit</t>
  </si>
  <si>
    <t>绿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</si>
  <si>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</t>
    </r>
  </si>
  <si>
    <t>trinket1</t>
  </si>
  <si>
    <t>CritDamage</t>
  </si>
  <si>
    <t>DATA_Equip5</t>
  </si>
  <si>
    <t>weapon2</t>
  </si>
  <si>
    <t>Hit</t>
  </si>
  <si>
    <t>蓝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</si>
  <si>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</t>
    </r>
  </si>
  <si>
    <t>head2</t>
  </si>
  <si>
    <t>Dodge</t>
  </si>
  <si>
    <t>DATA_Equip7</t>
  </si>
  <si>
    <t>chest2</t>
  </si>
  <si>
    <t>DEFBreak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</si>
  <si>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_Equip8</t>
    </r>
  </si>
  <si>
    <t>trinket2</t>
  </si>
  <si>
    <t>紫</t>
  </si>
  <si>
    <t>DATA_Equip9</t>
  </si>
  <si>
    <t>weapon3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</si>
  <si>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_Equip10</t>
    </r>
  </si>
  <si>
    <t>head3</t>
  </si>
  <si>
    <t>DATA_Equip11</t>
  </si>
  <si>
    <t>chest3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</si>
  <si>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_Equip12</t>
    </r>
  </si>
  <si>
    <t>trinket3</t>
  </si>
  <si>
    <t>红</t>
  </si>
  <si>
    <t>DATA_Equip13</t>
  </si>
  <si>
    <t>weapon4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</si>
  <si>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_Equip14</t>
    </r>
  </si>
  <si>
    <t>head4</t>
  </si>
  <si>
    <t>DATA_Equip15</t>
  </si>
  <si>
    <t>chest4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</si>
  <si>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_Equip16</t>
    </r>
  </si>
  <si>
    <t>trinket4</t>
  </si>
  <si>
    <t>DATA_Equip17</t>
  </si>
  <si>
    <t>weapon5</t>
  </si>
  <si>
    <t>金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</si>
  <si>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_Equip18</t>
    </r>
  </si>
  <si>
    <t>head5</t>
  </si>
  <si>
    <t>DATA_Equip19</t>
  </si>
  <si>
    <t>chest5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</si>
  <si>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_Equip20</t>
    </r>
  </si>
  <si>
    <t>trinket5</t>
  </si>
  <si>
    <t>DATA_Equip21</t>
  </si>
  <si>
    <t>weapon6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</si>
  <si>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_Equip22</t>
    </r>
  </si>
  <si>
    <t>head6</t>
  </si>
  <si>
    <t>DATA_Equip23</t>
  </si>
  <si>
    <t>chest6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</si>
  <si>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_Equip24</t>
    </r>
  </si>
  <si>
    <t>trinket6</t>
  </si>
  <si>
    <t>DATA_Equip25</t>
  </si>
  <si>
    <t>weapon7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</si>
  <si>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_Equip26</t>
    </r>
  </si>
  <si>
    <t>head7</t>
  </si>
  <si>
    <t>DATA_Equip27</t>
  </si>
  <si>
    <t>chest7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</si>
  <si>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_Equip28</t>
    </r>
  </si>
  <si>
    <t>trinket7</t>
  </si>
  <si>
    <t>DATA_Equip29</t>
  </si>
  <si>
    <t>weapon8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</si>
  <si>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_Equip30</t>
    </r>
  </si>
  <si>
    <t>head8</t>
  </si>
  <si>
    <t>DATA_Equip31</t>
  </si>
  <si>
    <t>chest8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</si>
  <si>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_Equip32</t>
    </r>
  </si>
  <si>
    <t>trinket8</t>
  </si>
  <si>
    <t>DATA_Equip33</t>
  </si>
  <si>
    <t>weapon9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</si>
  <si>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_Equip34</t>
    </r>
  </si>
  <si>
    <t>head9</t>
  </si>
  <si>
    <t>DATA_Equip35</t>
  </si>
  <si>
    <t>chest9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</si>
  <si>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_Equip36</t>
    </r>
  </si>
  <si>
    <t>trinket9</t>
  </si>
  <si>
    <t>DATA_Equip37</t>
  </si>
  <si>
    <t>weapon10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</si>
  <si>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_Equip38</t>
    </r>
  </si>
  <si>
    <t>head10</t>
  </si>
  <si>
    <t>DATA_Equip39</t>
  </si>
  <si>
    <t>chest10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</si>
  <si>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_Equip40</t>
    </r>
  </si>
  <si>
    <t>trinket10</t>
  </si>
  <si>
    <t>DATA_Equip41</t>
  </si>
  <si>
    <t>weapon11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</si>
  <si>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_Equip42</t>
    </r>
  </si>
  <si>
    <t>head11</t>
  </si>
  <si>
    <t>DATA_Equip43</t>
  </si>
  <si>
    <t>chest11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</si>
  <si>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_Equip44</t>
    </r>
  </si>
  <si>
    <t>trinket11</t>
  </si>
  <si>
    <t>DATA_Equip45</t>
  </si>
  <si>
    <t>weapon12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</si>
  <si>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_Equip46</t>
    </r>
  </si>
  <si>
    <t>head12</t>
  </si>
  <si>
    <t>DATA_Equip47</t>
  </si>
  <si>
    <t>chest12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</si>
  <si>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_Equip48</t>
    </r>
  </si>
  <si>
    <t>trinket12</t>
  </si>
  <si>
    <t>DATA_Equip49</t>
  </si>
  <si>
    <t>weapon13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</si>
  <si>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_Equip50</t>
    </r>
  </si>
  <si>
    <t>head13</t>
  </si>
  <si>
    <t>DATA_Equip51</t>
  </si>
  <si>
    <t>chest13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</si>
  <si>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_Equip52</t>
    </r>
  </si>
  <si>
    <t>trinket13</t>
  </si>
  <si>
    <t>DATA_Equip53</t>
  </si>
  <si>
    <t>weapon14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</si>
  <si>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_Equip54</t>
    </r>
  </si>
  <si>
    <t>head14</t>
  </si>
  <si>
    <t>DATA_Equip55</t>
  </si>
  <si>
    <t>chest14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</si>
  <si>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_Equip56</t>
    </r>
  </si>
  <si>
    <t>trinket14</t>
  </si>
  <si>
    <t>DATA_Equip57</t>
  </si>
  <si>
    <t>weapon15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</si>
  <si>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_Equip58</t>
    </r>
  </si>
  <si>
    <t>head15</t>
  </si>
  <si>
    <t>DATA_Equip59</t>
  </si>
  <si>
    <t>chest15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</si>
  <si>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_Equip60</t>
    </r>
  </si>
  <si>
    <t>trinket15</t>
  </si>
  <si>
    <t>DATA_Equip61</t>
  </si>
  <si>
    <t>weapon16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</si>
  <si>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_Equip62</t>
    </r>
  </si>
  <si>
    <t>head16</t>
  </si>
  <si>
    <t>DATA_Equip63</t>
  </si>
  <si>
    <t>chest16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</si>
  <si>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_Equip64</t>
    </r>
  </si>
  <si>
    <t>trinket16</t>
  </si>
  <si>
    <t>DATA_Equip65</t>
  </si>
  <si>
    <t>weapon17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</si>
  <si>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_Equip66</t>
    </r>
  </si>
  <si>
    <t>head17</t>
  </si>
  <si>
    <t>DATA_Equip67</t>
  </si>
  <si>
    <t>chest17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</si>
  <si>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_Equip68</t>
    </r>
  </si>
  <si>
    <t>trinket17</t>
  </si>
  <si>
    <t>武器+ATK</t>
  </si>
  <si>
    <t>护甲+HP</t>
  </si>
  <si>
    <t>鞋+HP</t>
  </si>
  <si>
    <t>饰品+ATK</t>
  </si>
  <si>
    <t>套装2件+HP</t>
  </si>
  <si>
    <t>套装3件+ATK</t>
  </si>
  <si>
    <t>套装4件+HP</t>
  </si>
  <si>
    <t>合成售价</t>
  </si>
  <si>
    <t>对应英雄星级</t>
  </si>
  <si>
    <t>对应英雄等级</t>
  </si>
  <si>
    <t>对应英雄品阶</t>
  </si>
  <si>
    <t>对应英雄标准攻击</t>
  </si>
  <si>
    <t>对应英雄标准血量</t>
  </si>
  <si>
    <t>装备占比</t>
  </si>
  <si>
    <t>装备总攻击</t>
  </si>
  <si>
    <t>装备总血量</t>
  </si>
  <si>
    <t>武器</t>
  </si>
  <si>
    <t>项链</t>
  </si>
  <si>
    <t>头盔</t>
  </si>
  <si>
    <t>铠甲</t>
  </si>
  <si>
    <t>升星加成</t>
  </si>
  <si>
    <t>品阶加成</t>
  </si>
  <si>
    <t>原始价格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</si>
</sst>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Alignment="1"/>
    <xf numFmtId="0" fontId="1" fillId="0" borderId="0" xfId="0" applyFont="1">
      <alignment vertical="center"/>
    </xf>
    <xf numFmtId="0" fontId="0" fillId="0" borderId="0" xfId="0" applyAlignment="1"/>
    <xf numFmtId="0" fontId="1" fillId="0" borderId="0" xfId="0" applyFont="1" applyAlignment="1">
      <alignment vertical="center"/>
    </xf>
    <xf numFmtId="0" fontId="0" fillId="0" borderId="0" xfId="0" applyFont="1" applyAlignment="1"/>
    <xf numFmtId="9" fontId="1" fillId="0" borderId="0" xfId="0" applyNumberFormat="1" applyFont="1">
      <alignment vertical="center"/>
    </xf>
    <xf numFmtId="9" fontId="1" fillId="0" borderId="0" xfId="0" applyNumberFormat="1" applyFont="1" applyAlignment="1"/>
    <xf numFmtId="9" fontId="0" fillId="0" borderId="0" xfId="0" applyNumberFormat="1">
      <alignment vertical="center"/>
    </xf>
    <xf numFmtId="9" fontId="0" fillId="0" borderId="0" xfId="0" applyNumberFormat="1" applyFont="1" applyAlignment="1"/>
    <xf numFmtId="0" fontId="1" fillId="0" borderId="0" xfId="1" applyAlignment="1"/>
    <xf numFmtId="0" fontId="1" fillId="0" borderId="0" xfId="1" applyFont="1" applyAlignment="1"/>
    <xf numFmtId="0" fontId="0" fillId="0" borderId="0" xfId="0" applyAlignment="1">
      <alignment vertical="center"/>
    </xf>
    <xf numFmtId="0" fontId="3" fillId="0" borderId="0" xfId="0" applyFo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71"/>
  <sheetViews>
    <sheetView tabSelected="1" topLeftCell="A19" workbookViewId="0">
      <selection activeCell="F41" sqref="F41"/>
    </sheetView>
  </sheetViews>
  <sheetFormatPr defaultColWidth="9" defaultRowHeight="13.5" x14ac:dyDescent="0.15"/>
  <cols>
    <col min="1" max="1" width="6.5" customWidth="1"/>
    <col min="2" max="2" width="13.875" customWidth="1"/>
    <col min="3" max="3" width="15" customWidth="1"/>
    <col min="4" max="5" width="10.5" customWidth="1"/>
    <col min="6" max="7" width="15" customWidth="1"/>
    <col min="8" max="13" width="12.75" customWidth="1"/>
    <col min="14" max="14" width="13.875" customWidth="1"/>
    <col min="15" max="15" width="8.5" customWidth="1"/>
    <col min="16" max="16" width="10.5" customWidth="1"/>
    <col min="17" max="17" width="11.625" customWidth="1"/>
    <col min="18" max="18" width="9.5" customWidth="1"/>
    <col min="19" max="19" width="13.125" customWidth="1"/>
    <col min="30" max="30" width="11.25" customWidth="1"/>
    <col min="31" max="31" width="12.375" customWidth="1"/>
    <col min="34" max="34" width="11.25" customWidth="1"/>
    <col min="35" max="35" width="9" customWidth="1"/>
    <col min="36" max="36" width="10.5" customWidth="1"/>
  </cols>
  <sheetData>
    <row r="1" spans="1:36" x14ac:dyDescent="0.15">
      <c r="A1" s="3" t="s">
        <v>0</v>
      </c>
      <c r="B1" s="1" t="s">
        <v>1</v>
      </c>
      <c r="C1" s="1" t="s">
        <v>2</v>
      </c>
      <c r="D1" s="5" t="s">
        <v>3</v>
      </c>
      <c r="E1" s="5" t="s">
        <v>4</v>
      </c>
      <c r="F1" s="3" t="s">
        <v>5</v>
      </c>
      <c r="G1" s="3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1" t="s">
        <v>11</v>
      </c>
      <c r="M1" s="1"/>
      <c r="P1" s="3"/>
      <c r="Q1" s="3"/>
      <c r="R1" s="3"/>
      <c r="S1" s="3" t="s">
        <v>12</v>
      </c>
      <c r="T1" s="3"/>
      <c r="U1" s="3"/>
      <c r="V1" s="3"/>
      <c r="W1" s="1"/>
      <c r="X1" s="3"/>
      <c r="Y1" s="3"/>
      <c r="Z1" s="12"/>
      <c r="AB1" s="2" t="s">
        <v>13</v>
      </c>
      <c r="AC1" s="2" t="s">
        <v>14</v>
      </c>
    </row>
    <row r="2" spans="1:36" x14ac:dyDescent="0.15">
      <c r="A2" s="3" t="s">
        <v>15</v>
      </c>
      <c r="B2" s="1" t="s">
        <v>16</v>
      </c>
      <c r="C2" s="1" t="s">
        <v>15</v>
      </c>
      <c r="D2" s="5" t="s">
        <v>17</v>
      </c>
      <c r="E2" s="5" t="s">
        <v>17</v>
      </c>
      <c r="F2" s="3" t="s">
        <v>18</v>
      </c>
      <c r="G2" s="3" t="s">
        <v>18</v>
      </c>
      <c r="H2" s="5" t="s">
        <v>17</v>
      </c>
      <c r="I2" s="5" t="s">
        <v>17</v>
      </c>
      <c r="J2" s="5" t="s">
        <v>19</v>
      </c>
      <c r="K2" s="5" t="s">
        <v>17</v>
      </c>
      <c r="L2" s="5" t="s">
        <v>17</v>
      </c>
      <c r="M2" s="3"/>
      <c r="P2" s="3"/>
      <c r="S2" s="3" t="s">
        <v>20</v>
      </c>
      <c r="T2" s="10">
        <v>1</v>
      </c>
      <c r="AB2">
        <v>0.8</v>
      </c>
      <c r="AC2">
        <v>0.2</v>
      </c>
      <c r="AD2">
        <v>2.5</v>
      </c>
      <c r="AE2">
        <v>2.5</v>
      </c>
    </row>
    <row r="3" spans="1:36" x14ac:dyDescent="0.15">
      <c r="A3" s="3" t="s">
        <v>21</v>
      </c>
      <c r="B3" s="1" t="s">
        <v>22</v>
      </c>
      <c r="C3" s="1" t="s">
        <v>23</v>
      </c>
      <c r="D3" s="5" t="s">
        <v>24</v>
      </c>
      <c r="E3" s="5" t="s">
        <v>25</v>
      </c>
      <c r="F3" s="3" t="s">
        <v>12</v>
      </c>
      <c r="G3" s="3" t="s">
        <v>26</v>
      </c>
      <c r="H3" s="5" t="s">
        <v>27</v>
      </c>
      <c r="I3" s="5" t="s">
        <v>28</v>
      </c>
      <c r="J3" s="5" t="s">
        <v>29</v>
      </c>
      <c r="K3" s="5" t="s">
        <v>30</v>
      </c>
      <c r="L3" s="5" t="s">
        <v>31</v>
      </c>
      <c r="M3" s="3"/>
      <c r="P3" s="3"/>
      <c r="Q3" s="13" t="s">
        <v>210</v>
      </c>
      <c r="S3" s="3" t="s">
        <v>32</v>
      </c>
      <c r="T3" s="10">
        <v>2</v>
      </c>
      <c r="V3" s="2" t="s">
        <v>24</v>
      </c>
      <c r="W3" s="2" t="s">
        <v>33</v>
      </c>
      <c r="X3" s="2" t="s">
        <v>34</v>
      </c>
      <c r="Y3" s="2" t="s">
        <v>35</v>
      </c>
      <c r="AB3" s="2" t="s">
        <v>13</v>
      </c>
      <c r="AC3" s="2" t="s">
        <v>14</v>
      </c>
    </row>
    <row r="4" spans="1:36" x14ac:dyDescent="0.15">
      <c r="A4" s="3">
        <v>1</v>
      </c>
      <c r="B4" s="3" t="s">
        <v>36</v>
      </c>
      <c r="C4" s="1">
        <v>1</v>
      </c>
      <c r="D4" s="1">
        <v>1</v>
      </c>
      <c r="E4" s="1">
        <v>1</v>
      </c>
      <c r="F4" s="3">
        <f t="shared" ref="F4:F35" si="0">IF(ISBLANK(P4),INDEX(T:T,MATCH(N4,S:S,0)),CONCATENATE(INDEX(T:T,MATCH(N4,S:S,0)),",",INDEX(T:T,MATCH(P4,S:S,0))))</f>
        <v>2</v>
      </c>
      <c r="G4" s="3">
        <f>ROUNDUP(LOOKUP(1,0/((Sheet2!$B$3:$B$19=D4)*(Sheet2!$C$3:$C$19=E4)),Sheet2!$L$3:$L$19),0)</f>
        <v>16</v>
      </c>
      <c r="H4" s="1">
        <v>0</v>
      </c>
      <c r="I4" s="1">
        <f>Q4</f>
        <v>0</v>
      </c>
      <c r="J4" s="5" t="s">
        <v>37</v>
      </c>
      <c r="K4" s="1">
        <v>0</v>
      </c>
      <c r="L4" s="1">
        <v>50</v>
      </c>
      <c r="M4" s="1"/>
      <c r="N4" s="1" t="s">
        <v>32</v>
      </c>
      <c r="O4" s="3">
        <f>FLOOR(AE4*AF4,1)</f>
        <v>26</v>
      </c>
      <c r="P4" s="3"/>
      <c r="Q4" s="1">
        <v>0</v>
      </c>
      <c r="R4" s="1">
        <v>50</v>
      </c>
      <c r="S4" s="3" t="s">
        <v>38</v>
      </c>
      <c r="T4" s="10">
        <v>3</v>
      </c>
      <c r="U4">
        <v>1</v>
      </c>
      <c r="V4" s="2" t="s">
        <v>39</v>
      </c>
      <c r="W4">
        <v>1</v>
      </c>
      <c r="X4">
        <v>5</v>
      </c>
      <c r="Y4">
        <v>557</v>
      </c>
      <c r="Z4">
        <f>Y4/2*0.2</f>
        <v>55.7</v>
      </c>
      <c r="AB4">
        <f>Z4*$AB$2</f>
        <v>44.56</v>
      </c>
      <c r="AC4">
        <f>Z4*$AC$2*26</f>
        <v>289.64</v>
      </c>
      <c r="AE4">
        <f>$AB$4</f>
        <v>44.56</v>
      </c>
      <c r="AF4">
        <v>0.6</v>
      </c>
      <c r="AH4" s="2" t="s">
        <v>40</v>
      </c>
      <c r="AI4">
        <f>4+FLOOR(AJ4/4,1)</f>
        <v>4</v>
      </c>
      <c r="AJ4">
        <v>0</v>
      </c>
    </row>
    <row r="5" spans="1:36" x14ac:dyDescent="0.15">
      <c r="A5" s="3">
        <v>2</v>
      </c>
      <c r="B5" s="1" t="s">
        <v>41</v>
      </c>
      <c r="C5" s="1">
        <v>2</v>
      </c>
      <c r="D5" s="1">
        <v>1</v>
      </c>
      <c r="E5" s="1">
        <v>1</v>
      </c>
      <c r="F5" s="3">
        <f t="shared" si="0"/>
        <v>1</v>
      </c>
      <c r="G5" s="3">
        <f>ROUNDUP(LOOKUP(1,0/((Sheet2!$B$3:$B$19=D5)*(Sheet2!$C$3:$C$19=E5)),Sheet2!$N$3:$N$19),0)</f>
        <v>127</v>
      </c>
      <c r="H5" s="1">
        <v>0</v>
      </c>
      <c r="I5" s="1">
        <f t="shared" ref="I5:I15" si="1">Q5</f>
        <v>0</v>
      </c>
      <c r="J5" s="5" t="s">
        <v>42</v>
      </c>
      <c r="K5" s="1">
        <v>0</v>
      </c>
      <c r="L5" s="1">
        <v>50</v>
      </c>
      <c r="M5" s="1"/>
      <c r="N5" s="1" t="s">
        <v>20</v>
      </c>
      <c r="O5" s="3">
        <f t="shared" ref="O5:O68" si="2">FLOOR(AE5*AF5,1)</f>
        <v>173</v>
      </c>
      <c r="P5" s="3"/>
      <c r="Q5" s="1">
        <v>0</v>
      </c>
      <c r="R5" s="1">
        <v>50</v>
      </c>
      <c r="S5" s="5" t="s">
        <v>43</v>
      </c>
      <c r="T5" s="11">
        <v>4</v>
      </c>
      <c r="U5">
        <v>2</v>
      </c>
      <c r="V5" s="2" t="s">
        <v>39</v>
      </c>
      <c r="W5">
        <v>2</v>
      </c>
      <c r="X5">
        <v>10</v>
      </c>
      <c r="Y5">
        <v>866</v>
      </c>
      <c r="Z5">
        <f t="shared" ref="Z5:Z20" si="3">Y5/2*0.2</f>
        <v>86.600000000000009</v>
      </c>
      <c r="AB5">
        <f t="shared" ref="AB5:AB20" si="4">Z5*$AB$2</f>
        <v>69.280000000000015</v>
      </c>
      <c r="AC5">
        <f t="shared" ref="AC5:AC20" si="5">Z5*$AC$2*26</f>
        <v>450.32000000000011</v>
      </c>
      <c r="AE5">
        <f>$AC$4</f>
        <v>289.64</v>
      </c>
      <c r="AF5">
        <v>0.6</v>
      </c>
      <c r="AH5" t="s">
        <v>44</v>
      </c>
      <c r="AI5">
        <f t="shared" ref="AI5:AI68" si="6">4+FLOOR(AJ5/4,1)</f>
        <v>4</v>
      </c>
      <c r="AJ5">
        <v>1</v>
      </c>
    </row>
    <row r="6" spans="1:36" x14ac:dyDescent="0.15">
      <c r="A6" s="3">
        <v>3</v>
      </c>
      <c r="B6" s="3" t="s">
        <v>45</v>
      </c>
      <c r="C6" s="1">
        <v>3</v>
      </c>
      <c r="D6" s="1">
        <v>1</v>
      </c>
      <c r="E6" s="1">
        <v>1</v>
      </c>
      <c r="F6" s="3">
        <f t="shared" si="0"/>
        <v>1</v>
      </c>
      <c r="G6" s="3">
        <f>ROUNDUP(LOOKUP(1,0/((Sheet2!$B$3:$B$19=D6)*(Sheet2!$C$3:$C$19=E6)),Sheet2!$O$3:$O$19),0)</f>
        <v>191</v>
      </c>
      <c r="H6" s="1">
        <v>0</v>
      </c>
      <c r="I6" s="1">
        <f t="shared" si="1"/>
        <v>0</v>
      </c>
      <c r="J6" s="5" t="s">
        <v>46</v>
      </c>
      <c r="K6" s="1">
        <v>0</v>
      </c>
      <c r="L6" s="1">
        <v>50</v>
      </c>
      <c r="M6" s="1"/>
      <c r="N6" s="1" t="s">
        <v>47</v>
      </c>
      <c r="O6" s="3">
        <f t="shared" si="2"/>
        <v>115</v>
      </c>
      <c r="P6" s="3"/>
      <c r="Q6" s="1">
        <v>0</v>
      </c>
      <c r="R6" s="1">
        <v>50</v>
      </c>
      <c r="S6" s="5" t="s">
        <v>48</v>
      </c>
      <c r="T6" s="11">
        <v>5</v>
      </c>
      <c r="U6">
        <v>3</v>
      </c>
      <c r="V6" s="2" t="s">
        <v>49</v>
      </c>
      <c r="W6">
        <v>1</v>
      </c>
      <c r="X6">
        <v>15</v>
      </c>
      <c r="Y6">
        <v>1344</v>
      </c>
      <c r="Z6">
        <f t="shared" si="3"/>
        <v>134.4</v>
      </c>
      <c r="AB6">
        <f t="shared" si="4"/>
        <v>107.52000000000001</v>
      </c>
      <c r="AC6">
        <f t="shared" si="5"/>
        <v>698.88000000000011</v>
      </c>
      <c r="AE6">
        <f>$AC$4</f>
        <v>289.64</v>
      </c>
      <c r="AF6">
        <v>0.4</v>
      </c>
      <c r="AH6" t="s">
        <v>44</v>
      </c>
      <c r="AI6">
        <f t="shared" si="6"/>
        <v>4</v>
      </c>
      <c r="AJ6">
        <v>2</v>
      </c>
    </row>
    <row r="7" spans="1:36" x14ac:dyDescent="0.15">
      <c r="A7" s="3">
        <v>4</v>
      </c>
      <c r="B7" s="1" t="s">
        <v>50</v>
      </c>
      <c r="C7" s="1">
        <v>4</v>
      </c>
      <c r="D7" s="1">
        <v>1</v>
      </c>
      <c r="E7" s="1">
        <v>1</v>
      </c>
      <c r="F7" s="3">
        <f t="shared" si="0"/>
        <v>2</v>
      </c>
      <c r="G7" s="3">
        <f>ROUNDUP(LOOKUP(1,0/((Sheet2!$B$3:$B$19=D7)*(Sheet2!$C$3:$C$19=E7)),Sheet2!$M$3:$M$19),0)</f>
        <v>11</v>
      </c>
      <c r="H7" s="1">
        <v>0</v>
      </c>
      <c r="I7" s="1">
        <f t="shared" si="1"/>
        <v>0</v>
      </c>
      <c r="J7" s="5" t="s">
        <v>51</v>
      </c>
      <c r="K7" s="1">
        <v>0</v>
      </c>
      <c r="L7" s="1">
        <v>50</v>
      </c>
      <c r="M7" s="2"/>
      <c r="N7" s="1" t="s">
        <v>32</v>
      </c>
      <c r="O7" s="3">
        <f t="shared" si="2"/>
        <v>17</v>
      </c>
      <c r="P7" s="1"/>
      <c r="Q7" s="1">
        <v>0</v>
      </c>
      <c r="R7" s="1">
        <v>50</v>
      </c>
      <c r="S7" s="5" t="s">
        <v>52</v>
      </c>
      <c r="T7" s="11">
        <v>6</v>
      </c>
      <c r="U7">
        <v>4</v>
      </c>
      <c r="V7" s="2" t="s">
        <v>49</v>
      </c>
      <c r="W7">
        <v>2</v>
      </c>
      <c r="X7">
        <v>20</v>
      </c>
      <c r="Y7">
        <v>1698</v>
      </c>
      <c r="Z7">
        <f t="shared" si="3"/>
        <v>169.8</v>
      </c>
      <c r="AB7">
        <f t="shared" si="4"/>
        <v>135.84</v>
      </c>
      <c r="AC7">
        <f t="shared" si="5"/>
        <v>882.96</v>
      </c>
      <c r="AE7">
        <f>$AB$4</f>
        <v>44.56</v>
      </c>
      <c r="AF7">
        <v>0.4</v>
      </c>
      <c r="AH7" s="2" t="s">
        <v>40</v>
      </c>
      <c r="AI7">
        <f t="shared" si="6"/>
        <v>4</v>
      </c>
      <c r="AJ7">
        <v>3</v>
      </c>
    </row>
    <row r="8" spans="1:36" x14ac:dyDescent="0.15">
      <c r="A8" s="3">
        <v>5</v>
      </c>
      <c r="B8" s="3" t="s">
        <v>53</v>
      </c>
      <c r="C8" s="1">
        <v>1</v>
      </c>
      <c r="D8" s="1">
        <v>1</v>
      </c>
      <c r="E8" s="1">
        <v>2</v>
      </c>
      <c r="F8" s="3">
        <f t="shared" si="0"/>
        <v>2</v>
      </c>
      <c r="G8" s="3">
        <f>ROUNDUP(LOOKUP(1,0/((Sheet2!$B$3:$B$19=D8)*(Sheet2!$C$3:$C$19=E8)),Sheet2!$L$3:$L$19),0)</f>
        <v>26</v>
      </c>
      <c r="H8" s="1">
        <v>1</v>
      </c>
      <c r="I8" s="1">
        <f t="shared" si="1"/>
        <v>1000</v>
      </c>
      <c r="J8" s="5" t="s">
        <v>54</v>
      </c>
      <c r="K8" s="1">
        <v>0</v>
      </c>
      <c r="L8" s="1">
        <f>I8/10</f>
        <v>100</v>
      </c>
      <c r="M8" s="2"/>
      <c r="N8" s="1" t="s">
        <v>32</v>
      </c>
      <c r="O8" s="3">
        <f t="shared" si="2"/>
        <v>41</v>
      </c>
      <c r="P8" s="3"/>
      <c r="Q8" s="1">
        <v>1000</v>
      </c>
      <c r="R8" s="1">
        <f t="shared" ref="R8:R27" si="7">Q8/10</f>
        <v>100</v>
      </c>
      <c r="S8" s="5" t="s">
        <v>55</v>
      </c>
      <c r="T8" s="11">
        <v>7</v>
      </c>
      <c r="U8">
        <v>5</v>
      </c>
      <c r="V8" s="2" t="s">
        <v>56</v>
      </c>
      <c r="W8">
        <v>1</v>
      </c>
      <c r="X8">
        <v>25</v>
      </c>
      <c r="Y8">
        <v>2308</v>
      </c>
      <c r="Z8">
        <f t="shared" si="3"/>
        <v>230.8</v>
      </c>
      <c r="AB8">
        <f t="shared" si="4"/>
        <v>184.64000000000001</v>
      </c>
      <c r="AC8">
        <f t="shared" si="5"/>
        <v>1200.1600000000001</v>
      </c>
      <c r="AE8">
        <f>$AB$5</f>
        <v>69.280000000000015</v>
      </c>
      <c r="AF8">
        <v>0.6</v>
      </c>
      <c r="AH8" s="2" t="s">
        <v>40</v>
      </c>
      <c r="AI8">
        <f t="shared" si="6"/>
        <v>5</v>
      </c>
      <c r="AJ8">
        <v>4</v>
      </c>
    </row>
    <row r="9" spans="1:36" x14ac:dyDescent="0.15">
      <c r="A9" s="3">
        <v>6</v>
      </c>
      <c r="B9" s="1" t="s">
        <v>57</v>
      </c>
      <c r="C9" s="1">
        <v>2</v>
      </c>
      <c r="D9" s="1">
        <v>1</v>
      </c>
      <c r="E9" s="1">
        <v>2</v>
      </c>
      <c r="F9" s="3">
        <f t="shared" si="0"/>
        <v>1</v>
      </c>
      <c r="G9" s="3">
        <f>ROUNDUP(LOOKUP(1,0/((Sheet2!$B$3:$B$19=D9)*(Sheet2!$C$3:$C$19=E9)),Sheet2!$N$3:$N$19),0)</f>
        <v>203</v>
      </c>
      <c r="H9" s="1">
        <v>2</v>
      </c>
      <c r="I9" s="1">
        <f t="shared" si="1"/>
        <v>1000</v>
      </c>
      <c r="J9" s="5" t="s">
        <v>58</v>
      </c>
      <c r="K9" s="1">
        <v>0</v>
      </c>
      <c r="L9" s="1">
        <f t="shared" ref="L9:L71" si="8">I9/10</f>
        <v>100</v>
      </c>
      <c r="M9" s="2"/>
      <c r="N9" s="1" t="s">
        <v>20</v>
      </c>
      <c r="O9" s="3">
        <f t="shared" si="2"/>
        <v>270</v>
      </c>
      <c r="P9" s="3"/>
      <c r="Q9" s="1">
        <v>1000</v>
      </c>
      <c r="R9" s="1">
        <f t="shared" si="7"/>
        <v>100</v>
      </c>
      <c r="S9" s="5" t="s">
        <v>59</v>
      </c>
      <c r="T9" s="11">
        <v>8</v>
      </c>
      <c r="U9">
        <v>6</v>
      </c>
      <c r="V9" s="2" t="s">
        <v>56</v>
      </c>
      <c r="W9">
        <v>2</v>
      </c>
      <c r="X9">
        <v>30</v>
      </c>
      <c r="Y9">
        <v>2706</v>
      </c>
      <c r="Z9">
        <f t="shared" si="3"/>
        <v>270.60000000000002</v>
      </c>
      <c r="AB9">
        <f t="shared" si="4"/>
        <v>216.48000000000002</v>
      </c>
      <c r="AC9">
        <f t="shared" si="5"/>
        <v>1407.1200000000001</v>
      </c>
      <c r="AE9">
        <f>$AC$5</f>
        <v>450.32000000000011</v>
      </c>
      <c r="AF9">
        <v>0.6</v>
      </c>
      <c r="AH9" t="s">
        <v>44</v>
      </c>
      <c r="AI9">
        <f t="shared" si="6"/>
        <v>5</v>
      </c>
      <c r="AJ9">
        <v>5</v>
      </c>
    </row>
    <row r="10" spans="1:36" x14ac:dyDescent="0.15">
      <c r="A10" s="3">
        <v>7</v>
      </c>
      <c r="B10" s="3" t="s">
        <v>60</v>
      </c>
      <c r="C10" s="1">
        <v>3</v>
      </c>
      <c r="D10" s="1">
        <v>1</v>
      </c>
      <c r="E10" s="1">
        <v>2</v>
      </c>
      <c r="F10" s="3">
        <f t="shared" si="0"/>
        <v>1</v>
      </c>
      <c r="G10" s="3">
        <f>ROUNDUP(LOOKUP(1,0/((Sheet2!$B$3:$B$19=D10)*(Sheet2!$C$3:$C$19=E10)),Sheet2!$O$3:$O$19),0)</f>
        <v>305</v>
      </c>
      <c r="H10" s="1">
        <v>3</v>
      </c>
      <c r="I10" s="1">
        <f t="shared" si="1"/>
        <v>1000</v>
      </c>
      <c r="J10" s="5" t="s">
        <v>61</v>
      </c>
      <c r="K10" s="1">
        <v>0</v>
      </c>
      <c r="L10" s="1">
        <f t="shared" si="8"/>
        <v>100</v>
      </c>
      <c r="M10" s="2"/>
      <c r="N10" s="1" t="s">
        <v>47</v>
      </c>
      <c r="O10" s="3">
        <f t="shared" si="2"/>
        <v>180</v>
      </c>
      <c r="P10" s="3"/>
      <c r="Q10" s="1">
        <v>1000</v>
      </c>
      <c r="R10" s="1">
        <f t="shared" si="7"/>
        <v>100</v>
      </c>
      <c r="S10" s="5" t="s">
        <v>62</v>
      </c>
      <c r="T10" s="11">
        <v>9</v>
      </c>
      <c r="U10">
        <v>7</v>
      </c>
      <c r="V10" s="2" t="s">
        <v>56</v>
      </c>
      <c r="W10">
        <v>3</v>
      </c>
      <c r="X10">
        <v>35</v>
      </c>
      <c r="Y10">
        <v>3105</v>
      </c>
      <c r="Z10">
        <f t="shared" si="3"/>
        <v>310.5</v>
      </c>
      <c r="AB10">
        <f t="shared" si="4"/>
        <v>248.4</v>
      </c>
      <c r="AC10">
        <f t="shared" si="5"/>
        <v>1614.6000000000001</v>
      </c>
      <c r="AE10">
        <f>$AC$5</f>
        <v>450.32000000000011</v>
      </c>
      <c r="AF10">
        <v>0.4</v>
      </c>
      <c r="AH10" t="s">
        <v>44</v>
      </c>
      <c r="AI10">
        <f t="shared" si="6"/>
        <v>5</v>
      </c>
      <c r="AJ10">
        <v>6</v>
      </c>
    </row>
    <row r="11" spans="1:36" x14ac:dyDescent="0.15">
      <c r="A11" s="3">
        <v>8</v>
      </c>
      <c r="B11" s="1" t="s">
        <v>63</v>
      </c>
      <c r="C11" s="1">
        <v>4</v>
      </c>
      <c r="D11" s="1">
        <v>1</v>
      </c>
      <c r="E11" s="1">
        <v>2</v>
      </c>
      <c r="F11" s="3">
        <f t="shared" si="0"/>
        <v>2</v>
      </c>
      <c r="G11" s="3">
        <f>ROUNDUP(LOOKUP(1,0/((Sheet2!$B$3:$B$19=D11)*(Sheet2!$C$3:$C$19=E11)),Sheet2!$M$3:$M$19),0)</f>
        <v>17</v>
      </c>
      <c r="H11" s="1">
        <v>4</v>
      </c>
      <c r="I11" s="1">
        <f t="shared" si="1"/>
        <v>1000</v>
      </c>
      <c r="J11" s="5" t="s">
        <v>64</v>
      </c>
      <c r="K11" s="1">
        <v>0</v>
      </c>
      <c r="L11" s="1">
        <f t="shared" si="8"/>
        <v>100</v>
      </c>
      <c r="M11" s="2"/>
      <c r="N11" s="1" t="s">
        <v>32</v>
      </c>
      <c r="O11" s="3">
        <f t="shared" si="2"/>
        <v>27</v>
      </c>
      <c r="P11" s="1"/>
      <c r="Q11" s="1">
        <v>1000</v>
      </c>
      <c r="R11" s="1">
        <f t="shared" si="7"/>
        <v>100</v>
      </c>
      <c r="S11" s="3"/>
      <c r="U11">
        <v>8</v>
      </c>
      <c r="V11" s="2" t="s">
        <v>65</v>
      </c>
      <c r="W11">
        <v>1</v>
      </c>
      <c r="X11">
        <v>40</v>
      </c>
      <c r="Y11">
        <v>3892</v>
      </c>
      <c r="Z11">
        <f t="shared" si="3"/>
        <v>389.20000000000005</v>
      </c>
      <c r="AB11">
        <f t="shared" si="4"/>
        <v>311.36000000000007</v>
      </c>
      <c r="AC11">
        <f t="shared" si="5"/>
        <v>2023.8400000000004</v>
      </c>
      <c r="AE11">
        <f>$AB$5</f>
        <v>69.280000000000015</v>
      </c>
      <c r="AF11">
        <v>0.4</v>
      </c>
      <c r="AH11" s="2" t="s">
        <v>40</v>
      </c>
      <c r="AI11">
        <f t="shared" si="6"/>
        <v>5</v>
      </c>
      <c r="AJ11">
        <v>7</v>
      </c>
    </row>
    <row r="12" spans="1:36" x14ac:dyDescent="0.15">
      <c r="A12" s="3">
        <v>9</v>
      </c>
      <c r="B12" s="3" t="s">
        <v>66</v>
      </c>
      <c r="C12" s="1">
        <v>1</v>
      </c>
      <c r="D12" s="1">
        <v>2</v>
      </c>
      <c r="E12" s="1">
        <v>1</v>
      </c>
      <c r="F12" s="3">
        <f t="shared" si="0"/>
        <v>2</v>
      </c>
      <c r="G12" s="3">
        <f>ROUNDUP(LOOKUP(1,0/((Sheet2!$B$3:$B$19=D12)*(Sheet2!$C$3:$C$19=E12)),Sheet2!$L$3:$L$19),0)</f>
        <v>33</v>
      </c>
      <c r="H12" s="1">
        <v>5</v>
      </c>
      <c r="I12" s="1">
        <f t="shared" si="1"/>
        <v>2000</v>
      </c>
      <c r="J12" s="5" t="s">
        <v>67</v>
      </c>
      <c r="K12" s="1">
        <v>0</v>
      </c>
      <c r="L12" s="1">
        <f t="shared" si="8"/>
        <v>200</v>
      </c>
      <c r="M12" s="2"/>
      <c r="N12" s="1" t="s">
        <v>32</v>
      </c>
      <c r="O12" s="3">
        <f t="shared" si="2"/>
        <v>64</v>
      </c>
      <c r="P12" s="3"/>
      <c r="Q12" s="1">
        <v>2000</v>
      </c>
      <c r="R12" s="1">
        <f t="shared" si="7"/>
        <v>200</v>
      </c>
      <c r="S12" s="3"/>
      <c r="U12">
        <v>9</v>
      </c>
      <c r="V12" s="2" t="s">
        <v>65</v>
      </c>
      <c r="W12">
        <v>2</v>
      </c>
      <c r="X12">
        <v>45</v>
      </c>
      <c r="Y12">
        <v>4334</v>
      </c>
      <c r="Z12">
        <f t="shared" si="3"/>
        <v>433.40000000000003</v>
      </c>
      <c r="AB12">
        <f t="shared" si="4"/>
        <v>346.72</v>
      </c>
      <c r="AC12">
        <f t="shared" si="5"/>
        <v>2253.6800000000003</v>
      </c>
      <c r="AE12">
        <f>$AB$6</f>
        <v>107.52000000000001</v>
      </c>
      <c r="AF12">
        <v>0.6</v>
      </c>
      <c r="AH12" s="2" t="s">
        <v>40</v>
      </c>
      <c r="AI12">
        <f t="shared" si="6"/>
        <v>6</v>
      </c>
      <c r="AJ12">
        <v>8</v>
      </c>
    </row>
    <row r="13" spans="1:36" x14ac:dyDescent="0.15">
      <c r="A13" s="3">
        <v>10</v>
      </c>
      <c r="B13" s="1" t="s">
        <v>68</v>
      </c>
      <c r="C13" s="1">
        <v>2</v>
      </c>
      <c r="D13" s="1">
        <v>2</v>
      </c>
      <c r="E13" s="1">
        <v>1</v>
      </c>
      <c r="F13" s="3">
        <f t="shared" si="0"/>
        <v>1</v>
      </c>
      <c r="G13" s="3">
        <f>ROUNDUP(LOOKUP(1,0/((Sheet2!$B$3:$B$19=D13)*(Sheet2!$C$3:$C$19=E13)),Sheet2!$N$3:$N$19),0)</f>
        <v>259</v>
      </c>
      <c r="H13" s="1">
        <v>6</v>
      </c>
      <c r="I13" s="1">
        <f t="shared" si="1"/>
        <v>2000</v>
      </c>
      <c r="J13" s="5" t="s">
        <v>69</v>
      </c>
      <c r="K13" s="1">
        <v>0</v>
      </c>
      <c r="L13" s="1">
        <f t="shared" si="8"/>
        <v>200</v>
      </c>
      <c r="M13" s="2"/>
      <c r="N13" s="1" t="s">
        <v>20</v>
      </c>
      <c r="O13" s="3">
        <f t="shared" si="2"/>
        <v>419</v>
      </c>
      <c r="P13" s="3"/>
      <c r="Q13" s="1">
        <v>2000</v>
      </c>
      <c r="R13" s="1">
        <f t="shared" si="7"/>
        <v>200</v>
      </c>
      <c r="S13" s="3"/>
      <c r="U13">
        <v>10</v>
      </c>
      <c r="V13" s="2" t="s">
        <v>65</v>
      </c>
      <c r="W13">
        <v>3</v>
      </c>
      <c r="X13">
        <v>50</v>
      </c>
      <c r="Y13">
        <v>4776</v>
      </c>
      <c r="Z13">
        <f t="shared" si="3"/>
        <v>477.6</v>
      </c>
      <c r="AB13">
        <f t="shared" si="4"/>
        <v>382.08000000000004</v>
      </c>
      <c r="AC13">
        <f t="shared" si="5"/>
        <v>2483.5200000000004</v>
      </c>
      <c r="AE13">
        <f>$AC$6</f>
        <v>698.88000000000011</v>
      </c>
      <c r="AF13">
        <v>0.6</v>
      </c>
      <c r="AH13" t="s">
        <v>44</v>
      </c>
      <c r="AI13">
        <f t="shared" si="6"/>
        <v>6</v>
      </c>
      <c r="AJ13">
        <v>9</v>
      </c>
    </row>
    <row r="14" spans="1:36" x14ac:dyDescent="0.15">
      <c r="A14" s="3">
        <v>11</v>
      </c>
      <c r="B14" s="3" t="s">
        <v>70</v>
      </c>
      <c r="C14" s="1">
        <v>3</v>
      </c>
      <c r="D14" s="1">
        <v>2</v>
      </c>
      <c r="E14" s="1">
        <v>1</v>
      </c>
      <c r="F14" s="3">
        <f t="shared" si="0"/>
        <v>1</v>
      </c>
      <c r="G14" s="3">
        <f>ROUNDUP(LOOKUP(1,0/((Sheet2!$B$3:$B$19=D14)*(Sheet2!$C$3:$C$19=E14)),Sheet2!$O$3:$O$19),0)</f>
        <v>388</v>
      </c>
      <c r="H14" s="1">
        <v>7</v>
      </c>
      <c r="I14" s="1">
        <f t="shared" si="1"/>
        <v>2000</v>
      </c>
      <c r="J14" s="5" t="s">
        <v>71</v>
      </c>
      <c r="K14" s="1">
        <v>0</v>
      </c>
      <c r="L14" s="1">
        <f t="shared" si="8"/>
        <v>200</v>
      </c>
      <c r="M14" s="2"/>
      <c r="N14" s="1" t="s">
        <v>47</v>
      </c>
      <c r="O14" s="3">
        <f t="shared" si="2"/>
        <v>279</v>
      </c>
      <c r="P14" s="3"/>
      <c r="Q14" s="1">
        <v>2000</v>
      </c>
      <c r="R14" s="1">
        <f t="shared" si="7"/>
        <v>200</v>
      </c>
      <c r="S14" s="3"/>
      <c r="U14">
        <v>11</v>
      </c>
      <c r="V14" s="2" t="s">
        <v>65</v>
      </c>
      <c r="W14">
        <v>4</v>
      </c>
      <c r="X14">
        <v>55</v>
      </c>
      <c r="Y14">
        <v>5219</v>
      </c>
      <c r="Z14">
        <f t="shared" si="3"/>
        <v>521.9</v>
      </c>
      <c r="AB14">
        <f t="shared" si="4"/>
        <v>417.52</v>
      </c>
      <c r="AC14">
        <f t="shared" si="5"/>
        <v>2713.88</v>
      </c>
      <c r="AE14">
        <f>$AC$6</f>
        <v>698.88000000000011</v>
      </c>
      <c r="AF14">
        <v>0.4</v>
      </c>
      <c r="AH14" t="s">
        <v>44</v>
      </c>
      <c r="AI14">
        <f t="shared" si="6"/>
        <v>6</v>
      </c>
      <c r="AJ14">
        <v>10</v>
      </c>
    </row>
    <row r="15" spans="1:36" x14ac:dyDescent="0.15">
      <c r="A15" s="3">
        <v>12</v>
      </c>
      <c r="B15" s="1" t="s">
        <v>72</v>
      </c>
      <c r="C15" s="1">
        <v>4</v>
      </c>
      <c r="D15" s="1">
        <v>2</v>
      </c>
      <c r="E15" s="1">
        <v>1</v>
      </c>
      <c r="F15" s="3">
        <f t="shared" si="0"/>
        <v>2</v>
      </c>
      <c r="G15" s="3">
        <f>ROUNDUP(LOOKUP(1,0/((Sheet2!$B$3:$B$19=D15)*(Sheet2!$C$3:$C$19=E15)),Sheet2!$M$3:$M$19),0)</f>
        <v>22</v>
      </c>
      <c r="H15" s="1">
        <v>8</v>
      </c>
      <c r="I15" s="1">
        <f t="shared" si="1"/>
        <v>2000</v>
      </c>
      <c r="J15" s="5" t="s">
        <v>73</v>
      </c>
      <c r="K15" s="1">
        <v>0</v>
      </c>
      <c r="L15" s="1">
        <f t="shared" si="8"/>
        <v>200</v>
      </c>
      <c r="M15" s="2"/>
      <c r="N15" s="1" t="s">
        <v>32</v>
      </c>
      <c r="O15" s="3">
        <f t="shared" si="2"/>
        <v>43</v>
      </c>
      <c r="P15" s="1"/>
      <c r="Q15" s="1">
        <v>2000</v>
      </c>
      <c r="R15" s="1">
        <f t="shared" si="7"/>
        <v>200</v>
      </c>
      <c r="S15" s="3"/>
      <c r="U15">
        <v>12</v>
      </c>
      <c r="V15" s="2" t="s">
        <v>74</v>
      </c>
      <c r="W15">
        <v>1</v>
      </c>
      <c r="X15">
        <v>60</v>
      </c>
      <c r="Y15">
        <v>6227</v>
      </c>
      <c r="Z15">
        <f t="shared" si="3"/>
        <v>622.70000000000005</v>
      </c>
      <c r="AB15">
        <f t="shared" si="4"/>
        <v>498.16000000000008</v>
      </c>
      <c r="AC15">
        <f t="shared" si="5"/>
        <v>3238.0400000000004</v>
      </c>
      <c r="AE15">
        <f>$AB$6</f>
        <v>107.52000000000001</v>
      </c>
      <c r="AF15">
        <v>0.4</v>
      </c>
      <c r="AH15" s="2" t="s">
        <v>40</v>
      </c>
      <c r="AI15">
        <f t="shared" si="6"/>
        <v>6</v>
      </c>
      <c r="AJ15">
        <v>11</v>
      </c>
    </row>
    <row r="16" spans="1:36" x14ac:dyDescent="0.15">
      <c r="A16" s="3">
        <v>13</v>
      </c>
      <c r="B16" s="3" t="s">
        <v>75</v>
      </c>
      <c r="C16" s="1">
        <v>1</v>
      </c>
      <c r="D16" s="1">
        <v>2</v>
      </c>
      <c r="E16" s="1">
        <v>2</v>
      </c>
      <c r="F16" s="3">
        <f t="shared" si="0"/>
        <v>2</v>
      </c>
      <c r="G16" s="3">
        <f>ROUNDUP(LOOKUP(1,0/((Sheet2!$B$3:$B$19=D16)*(Sheet2!$C$3:$C$19=E16)),Sheet2!$L$3:$L$19),0)</f>
        <v>41</v>
      </c>
      <c r="H16" s="1">
        <v>9</v>
      </c>
      <c r="I16" s="1">
        <f>Q16*0.75</f>
        <v>3000</v>
      </c>
      <c r="J16" s="5" t="s">
        <v>76</v>
      </c>
      <c r="K16" s="1">
        <v>0</v>
      </c>
      <c r="L16" s="1">
        <f t="shared" si="8"/>
        <v>300</v>
      </c>
      <c r="M16" s="2"/>
      <c r="N16" s="1" t="s">
        <v>32</v>
      </c>
      <c r="O16" s="3">
        <f t="shared" si="2"/>
        <v>81</v>
      </c>
      <c r="P16" s="3"/>
      <c r="Q16" s="1">
        <v>4000</v>
      </c>
      <c r="R16" s="1">
        <f t="shared" si="7"/>
        <v>400</v>
      </c>
      <c r="S16" s="3"/>
      <c r="U16">
        <v>13</v>
      </c>
      <c r="V16" s="2" t="s">
        <v>74</v>
      </c>
      <c r="W16">
        <v>2</v>
      </c>
      <c r="X16">
        <v>70</v>
      </c>
      <c r="Y16">
        <v>7200</v>
      </c>
      <c r="Z16">
        <f t="shared" si="3"/>
        <v>720</v>
      </c>
      <c r="AB16">
        <f t="shared" si="4"/>
        <v>576</v>
      </c>
      <c r="AC16">
        <f t="shared" si="5"/>
        <v>3744</v>
      </c>
      <c r="AE16">
        <f>$AB$7</f>
        <v>135.84</v>
      </c>
      <c r="AF16">
        <v>0.6</v>
      </c>
      <c r="AH16" s="2" t="s">
        <v>40</v>
      </c>
      <c r="AI16">
        <f t="shared" si="6"/>
        <v>7</v>
      </c>
      <c r="AJ16">
        <v>12</v>
      </c>
    </row>
    <row r="17" spans="1:36" x14ac:dyDescent="0.15">
      <c r="A17" s="3">
        <v>14</v>
      </c>
      <c r="B17" s="1" t="s">
        <v>77</v>
      </c>
      <c r="C17" s="1">
        <v>2</v>
      </c>
      <c r="D17" s="1">
        <v>2</v>
      </c>
      <c r="E17" s="1">
        <v>2</v>
      </c>
      <c r="F17" s="3">
        <f t="shared" si="0"/>
        <v>1</v>
      </c>
      <c r="G17" s="3">
        <f>ROUNDUP(LOOKUP(1,0/((Sheet2!$B$3:$B$19=D17)*(Sheet2!$C$3:$C$19=E17)),Sheet2!$N$3:$N$19),0)</f>
        <v>323</v>
      </c>
      <c r="H17" s="1">
        <v>10</v>
      </c>
      <c r="I17" s="1">
        <f t="shared" ref="I17:I19" si="9">Q17*0.75</f>
        <v>3000</v>
      </c>
      <c r="J17" s="5" t="s">
        <v>78</v>
      </c>
      <c r="K17" s="1">
        <v>0</v>
      </c>
      <c r="L17" s="1">
        <f t="shared" si="8"/>
        <v>300</v>
      </c>
      <c r="M17" s="2"/>
      <c r="N17" s="1" t="s">
        <v>20</v>
      </c>
      <c r="O17" s="3">
        <f t="shared" si="2"/>
        <v>529</v>
      </c>
      <c r="P17" s="3"/>
      <c r="Q17" s="1">
        <v>4000</v>
      </c>
      <c r="R17" s="1">
        <f t="shared" si="7"/>
        <v>400</v>
      </c>
      <c r="S17" s="3"/>
      <c r="U17">
        <v>14</v>
      </c>
      <c r="V17" s="2" t="s">
        <v>74</v>
      </c>
      <c r="W17">
        <v>3</v>
      </c>
      <c r="X17">
        <v>80</v>
      </c>
      <c r="Y17">
        <v>8173</v>
      </c>
      <c r="Z17">
        <f t="shared" si="3"/>
        <v>817.30000000000007</v>
      </c>
      <c r="AB17">
        <f t="shared" si="4"/>
        <v>653.84000000000015</v>
      </c>
      <c r="AC17">
        <f t="shared" si="5"/>
        <v>4249.9600000000009</v>
      </c>
      <c r="AE17">
        <f>$AC$7</f>
        <v>882.96</v>
      </c>
      <c r="AF17">
        <v>0.6</v>
      </c>
      <c r="AH17" t="s">
        <v>44</v>
      </c>
      <c r="AI17">
        <f t="shared" si="6"/>
        <v>7</v>
      </c>
      <c r="AJ17">
        <v>13</v>
      </c>
    </row>
    <row r="18" spans="1:36" x14ac:dyDescent="0.15">
      <c r="A18" s="3">
        <v>15</v>
      </c>
      <c r="B18" s="3" t="s">
        <v>79</v>
      </c>
      <c r="C18" s="1">
        <v>3</v>
      </c>
      <c r="D18" s="1">
        <v>2</v>
      </c>
      <c r="E18" s="1">
        <v>2</v>
      </c>
      <c r="F18" s="3">
        <f t="shared" si="0"/>
        <v>1</v>
      </c>
      <c r="G18" s="3">
        <f>ROUNDUP(LOOKUP(1,0/((Sheet2!$B$3:$B$19=D18)*(Sheet2!$C$3:$C$19=E18)),Sheet2!$O$3:$O$19),0)</f>
        <v>484</v>
      </c>
      <c r="H18" s="1">
        <v>11</v>
      </c>
      <c r="I18" s="1">
        <f t="shared" si="9"/>
        <v>3000</v>
      </c>
      <c r="J18" s="5" t="s">
        <v>80</v>
      </c>
      <c r="K18" s="1">
        <v>0</v>
      </c>
      <c r="L18" s="1">
        <f t="shared" si="8"/>
        <v>300</v>
      </c>
      <c r="M18" s="2"/>
      <c r="N18" s="1" t="s">
        <v>47</v>
      </c>
      <c r="O18" s="3">
        <f t="shared" si="2"/>
        <v>353</v>
      </c>
      <c r="P18" s="3"/>
      <c r="Q18" s="1">
        <v>4000</v>
      </c>
      <c r="R18" s="1">
        <f t="shared" si="7"/>
        <v>400</v>
      </c>
      <c r="S18" s="3"/>
      <c r="U18">
        <v>15</v>
      </c>
      <c r="V18" s="2" t="s">
        <v>74</v>
      </c>
      <c r="W18">
        <v>4</v>
      </c>
      <c r="X18">
        <v>90</v>
      </c>
      <c r="Y18">
        <v>9146</v>
      </c>
      <c r="Z18">
        <f t="shared" si="3"/>
        <v>914.6</v>
      </c>
      <c r="AB18">
        <f t="shared" si="4"/>
        <v>731.68000000000006</v>
      </c>
      <c r="AC18">
        <f t="shared" si="5"/>
        <v>4755.92</v>
      </c>
      <c r="AE18">
        <f>$AC$7</f>
        <v>882.96</v>
      </c>
      <c r="AF18">
        <v>0.4</v>
      </c>
      <c r="AH18" t="s">
        <v>44</v>
      </c>
      <c r="AI18">
        <f t="shared" si="6"/>
        <v>7</v>
      </c>
      <c r="AJ18">
        <v>14</v>
      </c>
    </row>
    <row r="19" spans="1:36" x14ac:dyDescent="0.15">
      <c r="A19" s="3">
        <v>16</v>
      </c>
      <c r="B19" s="1" t="s">
        <v>81</v>
      </c>
      <c r="C19" s="1">
        <v>4</v>
      </c>
      <c r="D19" s="1">
        <v>2</v>
      </c>
      <c r="E19" s="1">
        <v>2</v>
      </c>
      <c r="F19" s="3">
        <f t="shared" si="0"/>
        <v>2</v>
      </c>
      <c r="G19" s="3">
        <f>ROUNDUP(LOOKUP(1,0/((Sheet2!$B$3:$B$19=D19)*(Sheet2!$C$3:$C$19=E19)),Sheet2!$M$3:$M$19),0)</f>
        <v>27</v>
      </c>
      <c r="H19" s="1">
        <v>12</v>
      </c>
      <c r="I19" s="1">
        <f t="shared" si="9"/>
        <v>3000</v>
      </c>
      <c r="J19" s="5" t="s">
        <v>82</v>
      </c>
      <c r="K19" s="1">
        <v>0</v>
      </c>
      <c r="L19" s="1">
        <f t="shared" si="8"/>
        <v>300</v>
      </c>
      <c r="M19" s="2"/>
      <c r="N19" s="1" t="s">
        <v>32</v>
      </c>
      <c r="O19" s="3">
        <f t="shared" si="2"/>
        <v>54</v>
      </c>
      <c r="P19" s="1"/>
      <c r="Q19" s="1">
        <v>4000</v>
      </c>
      <c r="R19" s="1">
        <f t="shared" si="7"/>
        <v>400</v>
      </c>
      <c r="S19" s="3"/>
      <c r="U19">
        <v>16</v>
      </c>
      <c r="V19" s="2" t="s">
        <v>74</v>
      </c>
      <c r="W19">
        <v>5</v>
      </c>
      <c r="X19">
        <v>100</v>
      </c>
      <c r="Y19">
        <v>10120</v>
      </c>
      <c r="Z19">
        <f t="shared" si="3"/>
        <v>1012</v>
      </c>
      <c r="AB19">
        <f t="shared" si="4"/>
        <v>809.6</v>
      </c>
      <c r="AC19">
        <f t="shared" si="5"/>
        <v>5262.4000000000005</v>
      </c>
      <c r="AE19">
        <f>$AB$7</f>
        <v>135.84</v>
      </c>
      <c r="AF19">
        <v>0.4</v>
      </c>
      <c r="AH19" s="2" t="s">
        <v>40</v>
      </c>
      <c r="AI19">
        <f t="shared" si="6"/>
        <v>7</v>
      </c>
      <c r="AJ19">
        <v>15</v>
      </c>
    </row>
    <row r="20" spans="1:36" x14ac:dyDescent="0.15">
      <c r="A20" s="3">
        <v>17</v>
      </c>
      <c r="B20" s="3" t="s">
        <v>83</v>
      </c>
      <c r="C20" s="1">
        <v>1</v>
      </c>
      <c r="D20" s="1">
        <v>3</v>
      </c>
      <c r="E20" s="1">
        <v>1</v>
      </c>
      <c r="F20" s="3">
        <f t="shared" si="0"/>
        <v>2</v>
      </c>
      <c r="G20" s="3">
        <f>ROUNDUP(LOOKUP(1,0/((Sheet2!$B$3:$B$19=D20)*(Sheet2!$C$3:$C$19=E20)),Sheet2!$L$3:$L$19),0)</f>
        <v>53</v>
      </c>
      <c r="H20" s="1">
        <v>13</v>
      </c>
      <c r="I20" s="1">
        <f>Q20*0.625</f>
        <v>5000</v>
      </c>
      <c r="J20" s="5" t="s">
        <v>84</v>
      </c>
      <c r="K20" s="1">
        <v>0</v>
      </c>
      <c r="L20" s="1">
        <f t="shared" si="8"/>
        <v>500</v>
      </c>
      <c r="M20" s="2"/>
      <c r="N20" s="1" t="s">
        <v>32</v>
      </c>
      <c r="O20" s="3">
        <f t="shared" si="2"/>
        <v>110</v>
      </c>
      <c r="P20" s="3"/>
      <c r="Q20" s="1">
        <v>8000</v>
      </c>
      <c r="R20" s="1">
        <f t="shared" si="7"/>
        <v>800</v>
      </c>
      <c r="S20" s="3"/>
      <c r="U20">
        <v>17</v>
      </c>
      <c r="V20" s="2" t="s">
        <v>85</v>
      </c>
      <c r="W20">
        <v>1</v>
      </c>
      <c r="X20">
        <v>110</v>
      </c>
      <c r="Y20">
        <v>12101</v>
      </c>
      <c r="Z20">
        <f t="shared" si="3"/>
        <v>1210.1000000000001</v>
      </c>
      <c r="AB20">
        <f t="shared" si="4"/>
        <v>968.08000000000015</v>
      </c>
      <c r="AC20">
        <f t="shared" si="5"/>
        <v>6292.5200000000013</v>
      </c>
      <c r="AE20">
        <f>$AB$8</f>
        <v>184.64000000000001</v>
      </c>
      <c r="AF20">
        <v>0.6</v>
      </c>
      <c r="AH20" s="2" t="s">
        <v>40</v>
      </c>
      <c r="AI20">
        <f t="shared" si="6"/>
        <v>8</v>
      </c>
      <c r="AJ20">
        <v>16</v>
      </c>
    </row>
    <row r="21" spans="1:36" x14ac:dyDescent="0.15">
      <c r="A21" s="3">
        <v>18</v>
      </c>
      <c r="B21" s="1" t="s">
        <v>86</v>
      </c>
      <c r="C21" s="1">
        <v>2</v>
      </c>
      <c r="D21" s="1">
        <v>3</v>
      </c>
      <c r="E21" s="1">
        <v>1</v>
      </c>
      <c r="F21" s="3">
        <f t="shared" si="0"/>
        <v>1</v>
      </c>
      <c r="G21" s="3">
        <f>ROUNDUP(LOOKUP(1,0/((Sheet2!$B$3:$B$19=D21)*(Sheet2!$C$3:$C$19=E21)),Sheet2!$N$3:$N$19),0)</f>
        <v>423</v>
      </c>
      <c r="H21" s="1">
        <v>14</v>
      </c>
      <c r="I21" s="1">
        <f t="shared" ref="I21:I23" si="10">Q21*0.625</f>
        <v>5000</v>
      </c>
      <c r="J21" s="5" t="s">
        <v>87</v>
      </c>
      <c r="K21" s="1">
        <v>0</v>
      </c>
      <c r="L21" s="1">
        <f t="shared" si="8"/>
        <v>500</v>
      </c>
      <c r="M21" s="2"/>
      <c r="N21" s="1" t="s">
        <v>20</v>
      </c>
      <c r="O21" s="3">
        <f t="shared" si="2"/>
        <v>720</v>
      </c>
      <c r="P21" s="3"/>
      <c r="Q21" s="1">
        <v>8000</v>
      </c>
      <c r="R21" s="1">
        <f t="shared" si="7"/>
        <v>800</v>
      </c>
      <c r="S21" s="3"/>
      <c r="AE21">
        <f>$AC$8</f>
        <v>1200.1600000000001</v>
      </c>
      <c r="AF21">
        <v>0.6</v>
      </c>
      <c r="AH21" t="s">
        <v>44</v>
      </c>
      <c r="AI21">
        <f t="shared" si="6"/>
        <v>8</v>
      </c>
      <c r="AJ21">
        <v>17</v>
      </c>
    </row>
    <row r="22" spans="1:36" x14ac:dyDescent="0.15">
      <c r="A22" s="3">
        <v>19</v>
      </c>
      <c r="B22" s="3" t="s">
        <v>88</v>
      </c>
      <c r="C22" s="1">
        <v>3</v>
      </c>
      <c r="D22" s="1">
        <v>3</v>
      </c>
      <c r="E22" s="1">
        <v>1</v>
      </c>
      <c r="F22" s="3">
        <f t="shared" si="0"/>
        <v>1</v>
      </c>
      <c r="G22" s="3">
        <f>ROUNDUP(LOOKUP(1,0/((Sheet2!$B$3:$B$19=D22)*(Sheet2!$C$3:$C$19=E22)),Sheet2!$O$3:$O$19),0)</f>
        <v>634</v>
      </c>
      <c r="H22" s="1">
        <v>15</v>
      </c>
      <c r="I22" s="1">
        <f t="shared" si="10"/>
        <v>5000</v>
      </c>
      <c r="J22" s="5" t="s">
        <v>89</v>
      </c>
      <c r="K22" s="1">
        <v>0</v>
      </c>
      <c r="L22" s="1">
        <f t="shared" si="8"/>
        <v>500</v>
      </c>
      <c r="M22" s="2"/>
      <c r="N22" s="1" t="s">
        <v>47</v>
      </c>
      <c r="O22" s="3">
        <f t="shared" si="2"/>
        <v>480</v>
      </c>
      <c r="P22" s="3"/>
      <c r="Q22" s="1">
        <v>8000</v>
      </c>
      <c r="R22" s="1">
        <f t="shared" si="7"/>
        <v>800</v>
      </c>
      <c r="S22" s="3"/>
      <c r="AE22">
        <f>$AC$8</f>
        <v>1200.1600000000001</v>
      </c>
      <c r="AF22">
        <v>0.4</v>
      </c>
      <c r="AH22" t="s">
        <v>44</v>
      </c>
      <c r="AI22">
        <f t="shared" si="6"/>
        <v>8</v>
      </c>
      <c r="AJ22">
        <v>18</v>
      </c>
    </row>
    <row r="23" spans="1:36" x14ac:dyDescent="0.15">
      <c r="A23" s="3">
        <v>20</v>
      </c>
      <c r="B23" s="1" t="s">
        <v>90</v>
      </c>
      <c r="C23" s="1">
        <v>4</v>
      </c>
      <c r="D23" s="1">
        <v>3</v>
      </c>
      <c r="E23" s="1">
        <v>1</v>
      </c>
      <c r="F23" s="3">
        <f t="shared" si="0"/>
        <v>2</v>
      </c>
      <c r="G23" s="3">
        <f>ROUNDUP(LOOKUP(1,0/((Sheet2!$B$3:$B$19=D23)*(Sheet2!$C$3:$C$19=E23)),Sheet2!$M$3:$M$19),0)</f>
        <v>36</v>
      </c>
      <c r="H23" s="1">
        <v>16</v>
      </c>
      <c r="I23" s="1">
        <f t="shared" si="10"/>
        <v>5000</v>
      </c>
      <c r="J23" s="5" t="s">
        <v>91</v>
      </c>
      <c r="K23" s="1">
        <v>0</v>
      </c>
      <c r="L23" s="1">
        <f t="shared" si="8"/>
        <v>500</v>
      </c>
      <c r="M23" s="2"/>
      <c r="N23" s="1" t="s">
        <v>32</v>
      </c>
      <c r="O23" s="3">
        <f t="shared" si="2"/>
        <v>73</v>
      </c>
      <c r="P23" s="1"/>
      <c r="Q23" s="1">
        <v>8000</v>
      </c>
      <c r="R23" s="1">
        <f t="shared" si="7"/>
        <v>800</v>
      </c>
      <c r="S23" s="3"/>
      <c r="AE23">
        <f>$AB$8</f>
        <v>184.64000000000001</v>
      </c>
      <c r="AF23">
        <v>0.4</v>
      </c>
      <c r="AH23" s="2" t="s">
        <v>40</v>
      </c>
      <c r="AI23">
        <f t="shared" si="6"/>
        <v>8</v>
      </c>
      <c r="AJ23">
        <v>19</v>
      </c>
    </row>
    <row r="24" spans="1:36" x14ac:dyDescent="0.15">
      <c r="A24" s="3">
        <v>21</v>
      </c>
      <c r="B24" s="3" t="s">
        <v>92</v>
      </c>
      <c r="C24" s="1">
        <v>1</v>
      </c>
      <c r="D24" s="3">
        <v>3</v>
      </c>
      <c r="E24" s="1">
        <v>2</v>
      </c>
      <c r="F24" s="3">
        <f t="shared" si="0"/>
        <v>2</v>
      </c>
      <c r="G24" s="3">
        <f>ROUNDUP(LOOKUP(1,0/((Sheet2!$B$3:$B$19=D24)*(Sheet2!$C$3:$C$19=E24)),Sheet2!$L$3:$L$19),0)</f>
        <v>67</v>
      </c>
      <c r="H24" s="1">
        <v>17</v>
      </c>
      <c r="I24" s="1">
        <f>Q24*0.5</f>
        <v>8000</v>
      </c>
      <c r="J24" s="5" t="s">
        <v>93</v>
      </c>
      <c r="K24" s="1">
        <v>0</v>
      </c>
      <c r="L24" s="1">
        <f t="shared" si="8"/>
        <v>800</v>
      </c>
      <c r="M24" s="2"/>
      <c r="N24" s="1" t="s">
        <v>32</v>
      </c>
      <c r="O24" s="3">
        <f t="shared" si="2"/>
        <v>129</v>
      </c>
      <c r="P24" s="3"/>
      <c r="Q24" s="1">
        <v>16000</v>
      </c>
      <c r="R24" s="1">
        <f t="shared" si="7"/>
        <v>1600</v>
      </c>
      <c r="S24" s="3"/>
      <c r="AE24">
        <f>$AB$9</f>
        <v>216.48000000000002</v>
      </c>
      <c r="AF24">
        <v>0.6</v>
      </c>
      <c r="AH24" s="2" t="s">
        <v>40</v>
      </c>
      <c r="AI24">
        <f t="shared" si="6"/>
        <v>9</v>
      </c>
      <c r="AJ24">
        <v>20</v>
      </c>
    </row>
    <row r="25" spans="1:36" x14ac:dyDescent="0.15">
      <c r="A25" s="3">
        <v>22</v>
      </c>
      <c r="B25" s="1" t="s">
        <v>94</v>
      </c>
      <c r="C25" s="1">
        <v>2</v>
      </c>
      <c r="D25" s="1">
        <v>3</v>
      </c>
      <c r="E25" s="1">
        <v>2</v>
      </c>
      <c r="F25" s="3">
        <f t="shared" si="0"/>
        <v>1</v>
      </c>
      <c r="G25" s="3">
        <f>ROUNDUP(LOOKUP(1,0/((Sheet2!$B$3:$B$19=D25)*(Sheet2!$C$3:$C$19=E25)),Sheet2!$N$3:$N$19),0)</f>
        <v>535</v>
      </c>
      <c r="H25" s="1">
        <v>18</v>
      </c>
      <c r="I25" s="1">
        <f t="shared" ref="I25:I27" si="11">Q25*0.5</f>
        <v>8000</v>
      </c>
      <c r="J25" s="5" t="s">
        <v>95</v>
      </c>
      <c r="K25" s="1">
        <v>0</v>
      </c>
      <c r="L25" s="1">
        <f t="shared" si="8"/>
        <v>800</v>
      </c>
      <c r="M25" s="2"/>
      <c r="N25" s="1" t="s">
        <v>20</v>
      </c>
      <c r="O25" s="3">
        <f t="shared" si="2"/>
        <v>844</v>
      </c>
      <c r="P25" s="3"/>
      <c r="Q25" s="1">
        <v>16000</v>
      </c>
      <c r="R25" s="1">
        <f t="shared" si="7"/>
        <v>1600</v>
      </c>
      <c r="S25" s="3"/>
      <c r="AE25">
        <f>$AC$9</f>
        <v>1407.1200000000001</v>
      </c>
      <c r="AF25">
        <v>0.6</v>
      </c>
      <c r="AH25" t="s">
        <v>44</v>
      </c>
      <c r="AI25">
        <f t="shared" si="6"/>
        <v>9</v>
      </c>
      <c r="AJ25">
        <v>21</v>
      </c>
    </row>
    <row r="26" spans="1:36" x14ac:dyDescent="0.15">
      <c r="A26" s="3">
        <v>23</v>
      </c>
      <c r="B26" s="3" t="s">
        <v>96</v>
      </c>
      <c r="C26" s="1">
        <v>3</v>
      </c>
      <c r="D26" s="3">
        <v>3</v>
      </c>
      <c r="E26" s="1">
        <v>2</v>
      </c>
      <c r="F26" s="3">
        <f t="shared" si="0"/>
        <v>1</v>
      </c>
      <c r="G26" s="3">
        <f>ROUNDUP(LOOKUP(1,0/((Sheet2!$B$3:$B$19=D26)*(Sheet2!$C$3:$C$19=E26)),Sheet2!$O$3:$O$19),0)</f>
        <v>802</v>
      </c>
      <c r="H26" s="1">
        <v>19</v>
      </c>
      <c r="I26" s="1">
        <f t="shared" si="11"/>
        <v>8000</v>
      </c>
      <c r="J26" s="5" t="s">
        <v>97</v>
      </c>
      <c r="K26" s="1">
        <v>0</v>
      </c>
      <c r="L26" s="1">
        <f t="shared" si="8"/>
        <v>800</v>
      </c>
      <c r="M26" s="2"/>
      <c r="N26" s="1" t="s">
        <v>47</v>
      </c>
      <c r="O26" s="3">
        <f t="shared" si="2"/>
        <v>562</v>
      </c>
      <c r="P26" s="3"/>
      <c r="Q26" s="1">
        <v>16000</v>
      </c>
      <c r="R26" s="1">
        <f t="shared" si="7"/>
        <v>1600</v>
      </c>
      <c r="S26" s="3"/>
      <c r="AE26">
        <f>$AC$9</f>
        <v>1407.1200000000001</v>
      </c>
      <c r="AF26">
        <v>0.4</v>
      </c>
      <c r="AH26" t="s">
        <v>44</v>
      </c>
      <c r="AI26">
        <f t="shared" si="6"/>
        <v>9</v>
      </c>
      <c r="AJ26">
        <v>22</v>
      </c>
    </row>
    <row r="27" spans="1:36" x14ac:dyDescent="0.15">
      <c r="A27" s="3">
        <v>24</v>
      </c>
      <c r="B27" s="1" t="s">
        <v>98</v>
      </c>
      <c r="C27" s="1">
        <v>4</v>
      </c>
      <c r="D27" s="1">
        <v>3</v>
      </c>
      <c r="E27" s="1">
        <v>2</v>
      </c>
      <c r="F27" s="3">
        <f t="shared" si="0"/>
        <v>2</v>
      </c>
      <c r="G27" s="3">
        <f>ROUNDUP(LOOKUP(1,0/((Sheet2!$B$3:$B$19=D27)*(Sheet2!$C$3:$C$19=E27)),Sheet2!$M$3:$M$19),0)</f>
        <v>45</v>
      </c>
      <c r="H27" s="1">
        <v>20</v>
      </c>
      <c r="I27" s="1">
        <f t="shared" si="11"/>
        <v>8000</v>
      </c>
      <c r="J27" s="5" t="s">
        <v>99</v>
      </c>
      <c r="K27" s="1">
        <v>0</v>
      </c>
      <c r="L27" s="1">
        <f t="shared" si="8"/>
        <v>800</v>
      </c>
      <c r="M27" s="2"/>
      <c r="N27" s="1" t="s">
        <v>32</v>
      </c>
      <c r="O27" s="3">
        <f t="shared" si="2"/>
        <v>86</v>
      </c>
      <c r="P27" s="1"/>
      <c r="Q27" s="1">
        <v>16000</v>
      </c>
      <c r="R27" s="1">
        <f t="shared" si="7"/>
        <v>1600</v>
      </c>
      <c r="S27" s="3"/>
      <c r="AE27">
        <f>$AB$9</f>
        <v>216.48000000000002</v>
      </c>
      <c r="AF27">
        <v>0.4</v>
      </c>
      <c r="AH27" s="2" t="s">
        <v>40</v>
      </c>
      <c r="AI27">
        <f t="shared" si="6"/>
        <v>9</v>
      </c>
      <c r="AJ27">
        <v>23</v>
      </c>
    </row>
    <row r="28" spans="1:36" x14ac:dyDescent="0.15">
      <c r="A28" s="3">
        <v>25</v>
      </c>
      <c r="B28" s="3" t="s">
        <v>100</v>
      </c>
      <c r="C28" s="1">
        <v>1</v>
      </c>
      <c r="D28" s="3">
        <v>3</v>
      </c>
      <c r="E28" s="3">
        <v>3</v>
      </c>
      <c r="F28" s="3">
        <f t="shared" si="0"/>
        <v>2</v>
      </c>
      <c r="G28" s="3">
        <f>ROUNDUP(LOOKUP(1,0/((Sheet2!$B$3:$B$19=D28)*(Sheet2!$C$3:$C$19=E28)),Sheet2!$L$3:$L$19),0)</f>
        <v>81</v>
      </c>
      <c r="H28" s="1">
        <v>21</v>
      </c>
      <c r="I28" s="1">
        <f>Q28*0.25</f>
        <v>10000</v>
      </c>
      <c r="J28" s="5" t="s">
        <v>101</v>
      </c>
      <c r="K28" s="1">
        <v>0</v>
      </c>
      <c r="L28" s="1">
        <f t="shared" si="8"/>
        <v>1000</v>
      </c>
      <c r="M28" s="2"/>
      <c r="N28" s="1" t="s">
        <v>32</v>
      </c>
      <c r="O28" s="3">
        <f t="shared" si="2"/>
        <v>149</v>
      </c>
      <c r="P28" s="3"/>
      <c r="Q28" s="1">
        <v>40000</v>
      </c>
      <c r="R28" s="1">
        <f>Q28/20</f>
        <v>2000</v>
      </c>
      <c r="S28" s="3"/>
      <c r="AE28">
        <f>$AB$10</f>
        <v>248.4</v>
      </c>
      <c r="AF28">
        <v>0.6</v>
      </c>
      <c r="AH28" s="2" t="s">
        <v>40</v>
      </c>
      <c r="AI28">
        <f t="shared" si="6"/>
        <v>10</v>
      </c>
      <c r="AJ28">
        <v>24</v>
      </c>
    </row>
    <row r="29" spans="1:36" x14ac:dyDescent="0.15">
      <c r="A29" s="3">
        <v>26</v>
      </c>
      <c r="B29" s="1" t="s">
        <v>102</v>
      </c>
      <c r="C29" s="1">
        <v>2</v>
      </c>
      <c r="D29" s="1">
        <v>3</v>
      </c>
      <c r="E29" s="1">
        <v>3</v>
      </c>
      <c r="F29" s="3">
        <f t="shared" si="0"/>
        <v>1</v>
      </c>
      <c r="G29" s="3">
        <f>ROUNDUP(LOOKUP(1,0/((Sheet2!$B$3:$B$19=D29)*(Sheet2!$C$3:$C$19=E29)),Sheet2!$N$3:$N$19),0)</f>
        <v>646</v>
      </c>
      <c r="H29" s="1">
        <v>22</v>
      </c>
      <c r="I29" s="1">
        <f t="shared" ref="I29:I31" si="12">Q29*0.25</f>
        <v>10000</v>
      </c>
      <c r="J29" s="5" t="s">
        <v>103</v>
      </c>
      <c r="K29" s="1">
        <v>0</v>
      </c>
      <c r="L29" s="1">
        <f t="shared" si="8"/>
        <v>1000</v>
      </c>
      <c r="N29" s="1" t="s">
        <v>20</v>
      </c>
      <c r="O29" s="3">
        <f t="shared" si="2"/>
        <v>968</v>
      </c>
      <c r="P29" s="3"/>
      <c r="Q29" s="1">
        <v>40000</v>
      </c>
      <c r="R29" s="1">
        <f>Q29/20</f>
        <v>2000</v>
      </c>
      <c r="AE29">
        <f>$AC$10</f>
        <v>1614.6000000000001</v>
      </c>
      <c r="AF29">
        <v>0.6</v>
      </c>
      <c r="AH29" t="s">
        <v>44</v>
      </c>
      <c r="AI29">
        <f t="shared" si="6"/>
        <v>10</v>
      </c>
      <c r="AJ29">
        <v>25</v>
      </c>
    </row>
    <row r="30" spans="1:36" x14ac:dyDescent="0.15">
      <c r="A30" s="3">
        <v>27</v>
      </c>
      <c r="B30" s="3" t="s">
        <v>104</v>
      </c>
      <c r="C30" s="1">
        <v>3</v>
      </c>
      <c r="D30" s="3">
        <v>3</v>
      </c>
      <c r="E30" s="3">
        <v>3</v>
      </c>
      <c r="F30" s="3">
        <f t="shared" si="0"/>
        <v>1</v>
      </c>
      <c r="G30" s="3">
        <f>ROUNDUP(LOOKUP(1,0/((Sheet2!$B$3:$B$19=D30)*(Sheet2!$C$3:$C$19=E30)),Sheet2!$O$3:$O$19),0)</f>
        <v>968</v>
      </c>
      <c r="H30" s="1">
        <v>23</v>
      </c>
      <c r="I30" s="1">
        <f t="shared" si="12"/>
        <v>10000</v>
      </c>
      <c r="J30" s="5" t="s">
        <v>105</v>
      </c>
      <c r="K30" s="1">
        <v>0</v>
      </c>
      <c r="L30" s="1">
        <f t="shared" si="8"/>
        <v>1000</v>
      </c>
      <c r="N30" s="1" t="s">
        <v>47</v>
      </c>
      <c r="O30" s="3">
        <f t="shared" si="2"/>
        <v>645</v>
      </c>
      <c r="P30" s="3"/>
      <c r="Q30" s="1">
        <v>40000</v>
      </c>
      <c r="R30" s="1">
        <f>Q30/20</f>
        <v>2000</v>
      </c>
      <c r="AE30">
        <f>$AC$10</f>
        <v>1614.6000000000001</v>
      </c>
      <c r="AF30">
        <v>0.4</v>
      </c>
      <c r="AH30" t="s">
        <v>44</v>
      </c>
      <c r="AI30">
        <f t="shared" si="6"/>
        <v>10</v>
      </c>
      <c r="AJ30">
        <v>26</v>
      </c>
    </row>
    <row r="31" spans="1:36" x14ac:dyDescent="0.15">
      <c r="A31" s="3">
        <v>28</v>
      </c>
      <c r="B31" s="1" t="s">
        <v>106</v>
      </c>
      <c r="C31" s="1">
        <v>4</v>
      </c>
      <c r="D31" s="1">
        <v>3</v>
      </c>
      <c r="E31" s="1">
        <v>3</v>
      </c>
      <c r="F31" s="3">
        <f t="shared" si="0"/>
        <v>2</v>
      </c>
      <c r="G31" s="3">
        <f>ROUNDUP(LOOKUP(1,0/((Sheet2!$B$3:$B$19=D31)*(Sheet2!$C$3:$C$19=E31)),Sheet2!$M$3:$M$19),0)</f>
        <v>54</v>
      </c>
      <c r="H31" s="1">
        <v>24</v>
      </c>
      <c r="I31" s="1">
        <f t="shared" si="12"/>
        <v>10000</v>
      </c>
      <c r="J31" s="5" t="s">
        <v>107</v>
      </c>
      <c r="K31" s="1">
        <v>0</v>
      </c>
      <c r="L31" s="1">
        <f t="shared" si="8"/>
        <v>1000</v>
      </c>
      <c r="N31" s="1" t="s">
        <v>32</v>
      </c>
      <c r="O31" s="3">
        <f t="shared" si="2"/>
        <v>99</v>
      </c>
      <c r="P31" s="1"/>
      <c r="Q31" s="1">
        <v>40000</v>
      </c>
      <c r="R31" s="1">
        <f>Q31/20</f>
        <v>2000</v>
      </c>
      <c r="AE31">
        <f>$AB$10</f>
        <v>248.4</v>
      </c>
      <c r="AF31">
        <v>0.4</v>
      </c>
      <c r="AH31" s="2" t="s">
        <v>40</v>
      </c>
      <c r="AI31">
        <f t="shared" si="6"/>
        <v>10</v>
      </c>
      <c r="AJ31">
        <v>27</v>
      </c>
    </row>
    <row r="32" spans="1:36" x14ac:dyDescent="0.15">
      <c r="A32" s="3">
        <v>29</v>
      </c>
      <c r="B32" s="3" t="s">
        <v>108</v>
      </c>
      <c r="C32" s="1">
        <v>1</v>
      </c>
      <c r="D32" s="1">
        <v>4</v>
      </c>
      <c r="E32" s="1">
        <v>1</v>
      </c>
      <c r="F32" s="3">
        <f t="shared" si="0"/>
        <v>2</v>
      </c>
      <c r="G32" s="3">
        <f>ROUNDUP(LOOKUP(1,0/((Sheet2!$B$3:$B$19=D32)*(Sheet2!$C$3:$C$19=E32)),Sheet2!$L$3:$L$19),0)</f>
        <v>121</v>
      </c>
      <c r="H32" s="1">
        <v>25</v>
      </c>
      <c r="I32" s="1">
        <f>Q32*0.15</f>
        <v>12000</v>
      </c>
      <c r="J32" s="5" t="s">
        <v>109</v>
      </c>
      <c r="K32" s="1">
        <v>0</v>
      </c>
      <c r="L32" s="1">
        <f t="shared" si="8"/>
        <v>1200</v>
      </c>
      <c r="M32" s="2"/>
      <c r="N32" s="1" t="s">
        <v>32</v>
      </c>
      <c r="O32" s="3">
        <f t="shared" si="2"/>
        <v>186</v>
      </c>
      <c r="P32" s="3"/>
      <c r="Q32" s="1">
        <v>80000</v>
      </c>
      <c r="R32" s="1">
        <f>Q32/25</f>
        <v>3200</v>
      </c>
      <c r="AE32">
        <f>$AB$11</f>
        <v>311.36000000000007</v>
      </c>
      <c r="AF32">
        <v>0.6</v>
      </c>
      <c r="AH32" s="2" t="s">
        <v>40</v>
      </c>
      <c r="AI32">
        <f t="shared" si="6"/>
        <v>11</v>
      </c>
      <c r="AJ32">
        <v>28</v>
      </c>
    </row>
    <row r="33" spans="1:36" x14ac:dyDescent="0.15">
      <c r="A33" s="3">
        <v>30</v>
      </c>
      <c r="B33" s="1" t="s">
        <v>110</v>
      </c>
      <c r="C33" s="1">
        <v>2</v>
      </c>
      <c r="D33" s="1">
        <v>4</v>
      </c>
      <c r="E33" s="1">
        <v>1</v>
      </c>
      <c r="F33" s="3">
        <f t="shared" si="0"/>
        <v>1</v>
      </c>
      <c r="G33" s="3">
        <f>ROUNDUP(LOOKUP(1,0/((Sheet2!$B$3:$B$19=D33)*(Sheet2!$C$3:$C$19=E33)),Sheet2!$N$3:$N$19),0)</f>
        <v>965</v>
      </c>
      <c r="H33" s="1">
        <v>26</v>
      </c>
      <c r="I33" s="1">
        <f t="shared" ref="I33:I35" si="13">Q33*0.15</f>
        <v>12000</v>
      </c>
      <c r="J33" s="5" t="s">
        <v>111</v>
      </c>
      <c r="K33" s="1">
        <v>0</v>
      </c>
      <c r="L33" s="1">
        <f t="shared" si="8"/>
        <v>1200</v>
      </c>
      <c r="N33" s="1" t="s">
        <v>20</v>
      </c>
      <c r="O33" s="3">
        <f t="shared" si="2"/>
        <v>1214</v>
      </c>
      <c r="P33" s="3"/>
      <c r="Q33" s="1">
        <v>80000</v>
      </c>
      <c r="R33" s="1">
        <f>Q33/25</f>
        <v>3200</v>
      </c>
      <c r="AE33">
        <f>$AC$11</f>
        <v>2023.8400000000004</v>
      </c>
      <c r="AF33">
        <v>0.6</v>
      </c>
      <c r="AH33" t="s">
        <v>44</v>
      </c>
      <c r="AI33">
        <f t="shared" si="6"/>
        <v>11</v>
      </c>
      <c r="AJ33">
        <v>29</v>
      </c>
    </row>
    <row r="34" spans="1:36" x14ac:dyDescent="0.15">
      <c r="A34" s="3">
        <v>31</v>
      </c>
      <c r="B34" s="3" t="s">
        <v>112</v>
      </c>
      <c r="C34" s="1">
        <v>3</v>
      </c>
      <c r="D34" s="1">
        <v>4</v>
      </c>
      <c r="E34" s="1">
        <v>1</v>
      </c>
      <c r="F34" s="3">
        <f t="shared" si="0"/>
        <v>1</v>
      </c>
      <c r="G34" s="3">
        <f>ROUNDUP(LOOKUP(1,0/((Sheet2!$B$3:$B$19=D34)*(Sheet2!$C$3:$C$19=E34)),Sheet2!$O$3:$O$19),0)</f>
        <v>1447</v>
      </c>
      <c r="H34" s="1">
        <v>27</v>
      </c>
      <c r="I34" s="1">
        <f t="shared" si="13"/>
        <v>12000</v>
      </c>
      <c r="J34" s="5" t="s">
        <v>113</v>
      </c>
      <c r="K34" s="1">
        <v>0</v>
      </c>
      <c r="L34" s="1">
        <f t="shared" si="8"/>
        <v>1200</v>
      </c>
      <c r="N34" s="1" t="s">
        <v>47</v>
      </c>
      <c r="O34" s="3">
        <f t="shared" si="2"/>
        <v>809</v>
      </c>
      <c r="P34" s="3"/>
      <c r="Q34" s="1">
        <v>80000</v>
      </c>
      <c r="R34" s="1">
        <f>Q34/25</f>
        <v>3200</v>
      </c>
      <c r="AE34">
        <f>$AC$11</f>
        <v>2023.8400000000004</v>
      </c>
      <c r="AF34">
        <v>0.4</v>
      </c>
      <c r="AH34" t="s">
        <v>44</v>
      </c>
      <c r="AI34">
        <f t="shared" si="6"/>
        <v>11</v>
      </c>
      <c r="AJ34">
        <v>30</v>
      </c>
    </row>
    <row r="35" spans="1:36" x14ac:dyDescent="0.15">
      <c r="A35" s="3">
        <v>32</v>
      </c>
      <c r="B35" s="1" t="s">
        <v>114</v>
      </c>
      <c r="C35" s="1">
        <v>4</v>
      </c>
      <c r="D35" s="1">
        <v>4</v>
      </c>
      <c r="E35" s="1">
        <v>1</v>
      </c>
      <c r="F35" s="3">
        <f t="shared" si="0"/>
        <v>2</v>
      </c>
      <c r="G35" s="3">
        <f>ROUNDUP(LOOKUP(1,0/((Sheet2!$B$3:$B$19=D35)*(Sheet2!$C$3:$C$19=E35)),Sheet2!$M$3:$M$19),0)</f>
        <v>81</v>
      </c>
      <c r="H35" s="1">
        <v>28</v>
      </c>
      <c r="I35" s="1">
        <f t="shared" si="13"/>
        <v>12000</v>
      </c>
      <c r="J35" s="5" t="s">
        <v>115</v>
      </c>
      <c r="K35" s="1">
        <v>0</v>
      </c>
      <c r="L35" s="1">
        <f t="shared" si="8"/>
        <v>1200</v>
      </c>
      <c r="M35" s="2"/>
      <c r="N35" s="1" t="s">
        <v>32</v>
      </c>
      <c r="O35" s="3">
        <f t="shared" si="2"/>
        <v>124</v>
      </c>
      <c r="P35" s="1"/>
      <c r="Q35" s="1">
        <v>80000</v>
      </c>
      <c r="R35" s="1">
        <f>Q35/25</f>
        <v>3200</v>
      </c>
      <c r="AE35">
        <f>$AB$11</f>
        <v>311.36000000000007</v>
      </c>
      <c r="AF35">
        <v>0.4</v>
      </c>
      <c r="AH35" s="2" t="s">
        <v>40</v>
      </c>
      <c r="AI35">
        <f t="shared" si="6"/>
        <v>11</v>
      </c>
      <c r="AJ35">
        <v>31</v>
      </c>
    </row>
    <row r="36" spans="1:36" x14ac:dyDescent="0.15">
      <c r="A36" s="3">
        <v>33</v>
      </c>
      <c r="B36" s="3" t="s">
        <v>116</v>
      </c>
      <c r="C36" s="1">
        <v>1</v>
      </c>
      <c r="D36" s="1">
        <v>4</v>
      </c>
      <c r="E36" s="1">
        <v>2</v>
      </c>
      <c r="F36" s="3">
        <f t="shared" ref="F36:F71" si="14">IF(ISBLANK(P36),INDEX(T:T,MATCH(N36,S:S,0)),CONCATENATE(INDEX(T:T,MATCH(N36,S:S,0)),",",INDEX(T:T,MATCH(P36,S:S,0))))</f>
        <v>2</v>
      </c>
      <c r="G36" s="3">
        <f>ROUNDUP(LOOKUP(1,0/((Sheet2!$B$3:$B$19=D36)*(Sheet2!$C$3:$C$19=E36)),Sheet2!$L$3:$L$19),0)</f>
        <v>148</v>
      </c>
      <c r="H36" s="1">
        <v>29</v>
      </c>
      <c r="I36" s="1">
        <f>Q36*0.1</f>
        <v>20000</v>
      </c>
      <c r="J36" s="5" t="s">
        <v>117</v>
      </c>
      <c r="K36" s="1">
        <v>0</v>
      </c>
      <c r="L36" s="1">
        <f t="shared" si="8"/>
        <v>2000</v>
      </c>
      <c r="N36" s="1" t="s">
        <v>32</v>
      </c>
      <c r="O36" s="3">
        <f t="shared" si="2"/>
        <v>208</v>
      </c>
      <c r="P36" s="3"/>
      <c r="Q36" s="1">
        <v>200000</v>
      </c>
      <c r="R36" s="1">
        <f>Q36/40</f>
        <v>5000</v>
      </c>
      <c r="AE36">
        <f>$AB$12</f>
        <v>346.72</v>
      </c>
      <c r="AF36">
        <v>0.6</v>
      </c>
      <c r="AH36" s="2" t="s">
        <v>40</v>
      </c>
      <c r="AI36">
        <f t="shared" si="6"/>
        <v>12</v>
      </c>
      <c r="AJ36">
        <v>32</v>
      </c>
    </row>
    <row r="37" spans="1:36" x14ac:dyDescent="0.15">
      <c r="A37" s="3">
        <v>34</v>
      </c>
      <c r="B37" s="1" t="s">
        <v>118</v>
      </c>
      <c r="C37" s="1">
        <v>2</v>
      </c>
      <c r="D37" s="1">
        <v>4</v>
      </c>
      <c r="E37" s="1">
        <v>2</v>
      </c>
      <c r="F37" s="3">
        <f t="shared" si="14"/>
        <v>1</v>
      </c>
      <c r="G37" s="3">
        <f>ROUNDUP(LOOKUP(1,0/((Sheet2!$B$3:$B$19=D37)*(Sheet2!$C$3:$C$19=E37)),Sheet2!$N$3:$N$19),0)</f>
        <v>1179</v>
      </c>
      <c r="H37" s="1">
        <v>30</v>
      </c>
      <c r="I37" s="1">
        <f t="shared" ref="I37:I47" si="15">Q37*0.1</f>
        <v>20000</v>
      </c>
      <c r="J37" s="5" t="s">
        <v>119</v>
      </c>
      <c r="K37" s="1">
        <v>0</v>
      </c>
      <c r="L37" s="1">
        <f t="shared" si="8"/>
        <v>2000</v>
      </c>
      <c r="N37" s="1" t="s">
        <v>20</v>
      </c>
      <c r="O37" s="3">
        <f t="shared" si="2"/>
        <v>1352</v>
      </c>
      <c r="P37" s="3"/>
      <c r="Q37" s="1">
        <v>200000</v>
      </c>
      <c r="R37" s="1">
        <f>Q37/40</f>
        <v>5000</v>
      </c>
      <c r="AE37">
        <f>$AC$12</f>
        <v>2253.6800000000003</v>
      </c>
      <c r="AF37">
        <v>0.6</v>
      </c>
      <c r="AH37" t="s">
        <v>44</v>
      </c>
      <c r="AI37">
        <f t="shared" si="6"/>
        <v>12</v>
      </c>
      <c r="AJ37">
        <v>33</v>
      </c>
    </row>
    <row r="38" spans="1:36" x14ac:dyDescent="0.15">
      <c r="A38" s="3">
        <v>35</v>
      </c>
      <c r="B38" s="3" t="s">
        <v>120</v>
      </c>
      <c r="C38" s="1">
        <v>3</v>
      </c>
      <c r="D38" s="1">
        <v>4</v>
      </c>
      <c r="E38" s="1">
        <v>2</v>
      </c>
      <c r="F38" s="3">
        <f t="shared" si="14"/>
        <v>1</v>
      </c>
      <c r="G38" s="3">
        <f>ROUNDUP(LOOKUP(1,0/((Sheet2!$B$3:$B$19=D38)*(Sheet2!$C$3:$C$19=E38)),Sheet2!$O$3:$O$19),0)</f>
        <v>1768</v>
      </c>
      <c r="H38" s="1">
        <v>31</v>
      </c>
      <c r="I38" s="1">
        <f t="shared" si="15"/>
        <v>20000</v>
      </c>
      <c r="J38" s="5" t="s">
        <v>121</v>
      </c>
      <c r="K38" s="1">
        <v>0</v>
      </c>
      <c r="L38" s="1">
        <f>I38/10</f>
        <v>2000</v>
      </c>
      <c r="M38" s="2"/>
      <c r="N38" s="1" t="s">
        <v>47</v>
      </c>
      <c r="O38" s="3">
        <f t="shared" si="2"/>
        <v>901</v>
      </c>
      <c r="P38" s="3"/>
      <c r="Q38" s="1">
        <v>200000</v>
      </c>
      <c r="R38" s="1">
        <f>Q38/40</f>
        <v>5000</v>
      </c>
      <c r="AE38">
        <f>$AC$12</f>
        <v>2253.6800000000003</v>
      </c>
      <c r="AF38">
        <v>0.4</v>
      </c>
      <c r="AH38" t="s">
        <v>44</v>
      </c>
      <c r="AI38">
        <f t="shared" si="6"/>
        <v>12</v>
      </c>
      <c r="AJ38">
        <v>34</v>
      </c>
    </row>
    <row r="39" spans="1:36" x14ac:dyDescent="0.15">
      <c r="A39" s="3">
        <v>36</v>
      </c>
      <c r="B39" s="1" t="s">
        <v>122</v>
      </c>
      <c r="C39" s="1">
        <v>4</v>
      </c>
      <c r="D39" s="1">
        <v>4</v>
      </c>
      <c r="E39" s="1">
        <v>2</v>
      </c>
      <c r="F39" s="3">
        <f t="shared" si="14"/>
        <v>2</v>
      </c>
      <c r="G39" s="3">
        <f>ROUNDUP(LOOKUP(1,0/((Sheet2!$B$3:$B$19=D39)*(Sheet2!$C$3:$C$19=E39)),Sheet2!$M$3:$M$19),0)</f>
        <v>99</v>
      </c>
      <c r="H39" s="1">
        <v>32</v>
      </c>
      <c r="I39" s="1">
        <f t="shared" si="15"/>
        <v>20000</v>
      </c>
      <c r="J39" s="5" t="s">
        <v>123</v>
      </c>
      <c r="K39" s="1">
        <v>0</v>
      </c>
      <c r="L39" s="1">
        <f t="shared" si="8"/>
        <v>2000</v>
      </c>
      <c r="M39" s="2"/>
      <c r="N39" s="1" t="s">
        <v>32</v>
      </c>
      <c r="O39" s="3">
        <f t="shared" si="2"/>
        <v>138</v>
      </c>
      <c r="P39" s="1"/>
      <c r="Q39" s="1">
        <v>200000</v>
      </c>
      <c r="R39" s="1">
        <f>Q39/40</f>
        <v>5000</v>
      </c>
      <c r="AE39">
        <f>$AB$12</f>
        <v>346.72</v>
      </c>
      <c r="AF39">
        <v>0.4</v>
      </c>
      <c r="AH39" s="2" t="s">
        <v>40</v>
      </c>
      <c r="AI39">
        <f t="shared" si="6"/>
        <v>12</v>
      </c>
      <c r="AJ39">
        <v>35</v>
      </c>
    </row>
    <row r="40" spans="1:36" x14ac:dyDescent="0.15">
      <c r="A40" s="3">
        <v>37</v>
      </c>
      <c r="B40" s="3" t="s">
        <v>124</v>
      </c>
      <c r="C40" s="1">
        <v>1</v>
      </c>
      <c r="D40" s="1">
        <v>4</v>
      </c>
      <c r="E40" s="3">
        <v>3</v>
      </c>
      <c r="F40" s="3">
        <f t="shared" si="14"/>
        <v>2</v>
      </c>
      <c r="G40" s="3">
        <f>ROUNDUP(LOOKUP(1,0/((Sheet2!$B$3:$B$19=D40)*(Sheet2!$C$3:$C$19=E40)),Sheet2!$L$3:$L$19),0)</f>
        <v>175</v>
      </c>
      <c r="H40" s="1">
        <v>33</v>
      </c>
      <c r="I40" s="1">
        <f t="shared" si="15"/>
        <v>40000</v>
      </c>
      <c r="J40" s="5" t="s">
        <v>125</v>
      </c>
      <c r="K40" s="1">
        <v>0</v>
      </c>
      <c r="L40" s="1">
        <f t="shared" si="8"/>
        <v>4000</v>
      </c>
      <c r="N40" s="1" t="s">
        <v>32</v>
      </c>
      <c r="O40" s="3">
        <f t="shared" si="2"/>
        <v>229</v>
      </c>
      <c r="P40" s="3"/>
      <c r="Q40" s="1">
        <v>400000</v>
      </c>
      <c r="R40" s="1">
        <f>Q40/50</f>
        <v>8000</v>
      </c>
      <c r="AE40">
        <f>$AB$13</f>
        <v>382.08000000000004</v>
      </c>
      <c r="AF40">
        <v>0.6</v>
      </c>
      <c r="AH40" s="2" t="s">
        <v>40</v>
      </c>
      <c r="AI40">
        <f t="shared" si="6"/>
        <v>13</v>
      </c>
      <c r="AJ40">
        <v>36</v>
      </c>
    </row>
    <row r="41" spans="1:36" x14ac:dyDescent="0.15">
      <c r="A41" s="3">
        <v>38</v>
      </c>
      <c r="B41" s="1" t="s">
        <v>126</v>
      </c>
      <c r="C41" s="1">
        <v>2</v>
      </c>
      <c r="D41" s="1">
        <v>4</v>
      </c>
      <c r="E41" s="1">
        <v>3</v>
      </c>
      <c r="F41" s="3">
        <f t="shared" si="14"/>
        <v>1</v>
      </c>
      <c r="G41" s="3">
        <f>ROUNDUP(LOOKUP(1,0/((Sheet2!$B$3:$B$19=D41)*(Sheet2!$C$3:$C$19=E41)),Sheet2!$N$3:$N$19),0)</f>
        <v>1393</v>
      </c>
      <c r="H41" s="1">
        <v>34</v>
      </c>
      <c r="I41" s="1">
        <f t="shared" si="15"/>
        <v>40000</v>
      </c>
      <c r="J41" s="5" t="s">
        <v>127</v>
      </c>
      <c r="K41" s="1">
        <v>0</v>
      </c>
      <c r="L41" s="1">
        <f t="shared" si="8"/>
        <v>4000</v>
      </c>
      <c r="N41" s="1" t="s">
        <v>20</v>
      </c>
      <c r="O41" s="3">
        <f t="shared" si="2"/>
        <v>1490</v>
      </c>
      <c r="P41" s="3"/>
      <c r="Q41" s="1">
        <v>400000</v>
      </c>
      <c r="R41" s="1">
        <f>Q41/50</f>
        <v>8000</v>
      </c>
      <c r="AE41">
        <f>$AC$13</f>
        <v>2483.5200000000004</v>
      </c>
      <c r="AF41">
        <v>0.6</v>
      </c>
      <c r="AH41" t="s">
        <v>44</v>
      </c>
      <c r="AI41">
        <f t="shared" si="6"/>
        <v>13</v>
      </c>
      <c r="AJ41">
        <v>37</v>
      </c>
    </row>
    <row r="42" spans="1:36" x14ac:dyDescent="0.15">
      <c r="A42" s="3">
        <v>39</v>
      </c>
      <c r="B42" s="3" t="s">
        <v>128</v>
      </c>
      <c r="C42" s="1">
        <v>3</v>
      </c>
      <c r="D42" s="1">
        <v>4</v>
      </c>
      <c r="E42" s="3">
        <v>3</v>
      </c>
      <c r="F42" s="3">
        <f t="shared" si="14"/>
        <v>1</v>
      </c>
      <c r="G42" s="3">
        <f>ROUNDUP(LOOKUP(1,0/((Sheet2!$B$3:$B$19=D42)*(Sheet2!$C$3:$C$19=E42)),Sheet2!$O$3:$O$19),0)</f>
        <v>2090</v>
      </c>
      <c r="H42" s="1">
        <v>35</v>
      </c>
      <c r="I42" s="1">
        <f t="shared" si="15"/>
        <v>40000</v>
      </c>
      <c r="J42" s="5" t="s">
        <v>129</v>
      </c>
      <c r="K42" s="1">
        <v>0</v>
      </c>
      <c r="L42" s="1">
        <f t="shared" si="8"/>
        <v>4000</v>
      </c>
      <c r="N42" s="1" t="s">
        <v>47</v>
      </c>
      <c r="O42" s="3">
        <f t="shared" si="2"/>
        <v>993</v>
      </c>
      <c r="P42" s="3"/>
      <c r="Q42" s="1">
        <v>400000</v>
      </c>
      <c r="R42" s="1">
        <f>Q42/50</f>
        <v>8000</v>
      </c>
      <c r="AE42">
        <f>$AC$13</f>
        <v>2483.5200000000004</v>
      </c>
      <c r="AF42">
        <v>0.4</v>
      </c>
      <c r="AH42" t="s">
        <v>44</v>
      </c>
      <c r="AI42">
        <f t="shared" si="6"/>
        <v>13</v>
      </c>
      <c r="AJ42">
        <v>38</v>
      </c>
    </row>
    <row r="43" spans="1:36" x14ac:dyDescent="0.15">
      <c r="A43" s="3">
        <v>40</v>
      </c>
      <c r="B43" s="1" t="s">
        <v>130</v>
      </c>
      <c r="C43" s="1">
        <v>4</v>
      </c>
      <c r="D43" s="1">
        <v>4</v>
      </c>
      <c r="E43" s="1">
        <v>3</v>
      </c>
      <c r="F43" s="3">
        <f t="shared" si="14"/>
        <v>2</v>
      </c>
      <c r="G43" s="3">
        <f>ROUNDUP(LOOKUP(1,0/((Sheet2!$B$3:$B$19=D43)*(Sheet2!$C$3:$C$19=E43)),Sheet2!$M$3:$M$19),0)</f>
        <v>117</v>
      </c>
      <c r="H43" s="1">
        <v>36</v>
      </c>
      <c r="I43" s="1">
        <f t="shared" si="15"/>
        <v>40000</v>
      </c>
      <c r="J43" s="5" t="s">
        <v>131</v>
      </c>
      <c r="K43" s="1">
        <v>0</v>
      </c>
      <c r="L43" s="1">
        <f t="shared" si="8"/>
        <v>4000</v>
      </c>
      <c r="N43" s="1" t="s">
        <v>32</v>
      </c>
      <c r="O43" s="3">
        <f t="shared" si="2"/>
        <v>152</v>
      </c>
      <c r="P43" s="1"/>
      <c r="Q43" s="1">
        <v>400000</v>
      </c>
      <c r="R43" s="1">
        <f>Q43/50</f>
        <v>8000</v>
      </c>
      <c r="AE43">
        <f>$AB$13</f>
        <v>382.08000000000004</v>
      </c>
      <c r="AF43">
        <v>0.4</v>
      </c>
      <c r="AH43" s="2" t="s">
        <v>40</v>
      </c>
      <c r="AI43">
        <f t="shared" si="6"/>
        <v>13</v>
      </c>
      <c r="AJ43">
        <v>39</v>
      </c>
    </row>
    <row r="44" spans="1:36" x14ac:dyDescent="0.15">
      <c r="A44" s="3">
        <v>41</v>
      </c>
      <c r="B44" s="3" t="s">
        <v>132</v>
      </c>
      <c r="C44" s="1">
        <v>1</v>
      </c>
      <c r="D44" s="1">
        <v>4</v>
      </c>
      <c r="E44" s="1">
        <v>4</v>
      </c>
      <c r="F44" s="3">
        <f t="shared" si="14"/>
        <v>2</v>
      </c>
      <c r="G44" s="3">
        <f>ROUNDUP(LOOKUP(1,0/((Sheet2!$B$3:$B$19=D44)*(Sheet2!$C$3:$C$19=E44)),Sheet2!$L$3:$L$19),0)</f>
        <v>188</v>
      </c>
      <c r="H44" s="1">
        <v>37</v>
      </c>
      <c r="I44" s="1">
        <f t="shared" si="15"/>
        <v>60000</v>
      </c>
      <c r="J44" s="5" t="s">
        <v>133</v>
      </c>
      <c r="K44" s="1">
        <v>0</v>
      </c>
      <c r="L44" s="1">
        <f t="shared" si="8"/>
        <v>6000</v>
      </c>
      <c r="N44" s="1" t="s">
        <v>32</v>
      </c>
      <c r="O44" s="3">
        <f t="shared" si="2"/>
        <v>250</v>
      </c>
      <c r="P44" s="3"/>
      <c r="Q44" s="1">
        <v>600000</v>
      </c>
      <c r="R44" s="1">
        <f>Q44/60</f>
        <v>10000</v>
      </c>
      <c r="AE44">
        <f>$AB$14</f>
        <v>417.52</v>
      </c>
      <c r="AF44">
        <v>0.6</v>
      </c>
      <c r="AH44" s="2" t="s">
        <v>40</v>
      </c>
      <c r="AI44">
        <f t="shared" si="6"/>
        <v>14</v>
      </c>
      <c r="AJ44">
        <v>40</v>
      </c>
    </row>
    <row r="45" spans="1:36" x14ac:dyDescent="0.15">
      <c r="A45" s="3">
        <v>42</v>
      </c>
      <c r="B45" s="1" t="s">
        <v>134</v>
      </c>
      <c r="C45" s="1">
        <v>2</v>
      </c>
      <c r="D45" s="1">
        <v>4</v>
      </c>
      <c r="E45" s="1">
        <v>4</v>
      </c>
      <c r="F45" s="3">
        <f t="shared" si="14"/>
        <v>1</v>
      </c>
      <c r="G45" s="3">
        <f>ROUNDUP(LOOKUP(1,0/((Sheet2!$B$3:$B$19=D45)*(Sheet2!$C$3:$C$19=E45)),Sheet2!$N$3:$N$19),0)</f>
        <v>1500</v>
      </c>
      <c r="H45" s="1">
        <v>38</v>
      </c>
      <c r="I45" s="1">
        <f t="shared" si="15"/>
        <v>60000</v>
      </c>
      <c r="J45" s="5" t="s">
        <v>135</v>
      </c>
      <c r="K45" s="1">
        <v>0</v>
      </c>
      <c r="L45" s="1">
        <f t="shared" si="8"/>
        <v>6000</v>
      </c>
      <c r="N45" s="1" t="s">
        <v>20</v>
      </c>
      <c r="O45" s="3">
        <f t="shared" si="2"/>
        <v>1628</v>
      </c>
      <c r="P45" s="3"/>
      <c r="Q45" s="1">
        <v>600000</v>
      </c>
      <c r="R45" s="1">
        <f>Q45/60</f>
        <v>10000</v>
      </c>
      <c r="AE45">
        <f>$AC$14</f>
        <v>2713.88</v>
      </c>
      <c r="AF45">
        <v>0.6</v>
      </c>
      <c r="AH45" t="s">
        <v>44</v>
      </c>
      <c r="AI45">
        <f t="shared" si="6"/>
        <v>14</v>
      </c>
      <c r="AJ45">
        <v>41</v>
      </c>
    </row>
    <row r="46" spans="1:36" x14ac:dyDescent="0.15">
      <c r="A46" s="3">
        <v>43</v>
      </c>
      <c r="B46" s="3" t="s">
        <v>136</v>
      </c>
      <c r="C46" s="1">
        <v>3</v>
      </c>
      <c r="D46" s="1">
        <v>4</v>
      </c>
      <c r="E46" s="1">
        <v>4</v>
      </c>
      <c r="F46" s="3">
        <f t="shared" si="14"/>
        <v>1</v>
      </c>
      <c r="G46" s="3">
        <f>ROUNDUP(LOOKUP(1,0/((Sheet2!$B$3:$B$19=D46)*(Sheet2!$C$3:$C$19=E46)),Sheet2!$O$3:$O$19),0)</f>
        <v>2250</v>
      </c>
      <c r="H46" s="1">
        <v>39</v>
      </c>
      <c r="I46" s="1">
        <f t="shared" si="15"/>
        <v>60000</v>
      </c>
      <c r="J46" s="5" t="s">
        <v>137</v>
      </c>
      <c r="K46" s="1">
        <v>0</v>
      </c>
      <c r="L46" s="1">
        <f t="shared" si="8"/>
        <v>6000</v>
      </c>
      <c r="N46" s="1" t="s">
        <v>47</v>
      </c>
      <c r="O46" s="3">
        <f t="shared" si="2"/>
        <v>1085</v>
      </c>
      <c r="P46" s="3"/>
      <c r="Q46" s="1">
        <v>600000</v>
      </c>
      <c r="R46" s="1">
        <f>Q46/60</f>
        <v>10000</v>
      </c>
      <c r="AE46">
        <f>$AC$14</f>
        <v>2713.88</v>
      </c>
      <c r="AF46">
        <v>0.4</v>
      </c>
      <c r="AH46" t="s">
        <v>44</v>
      </c>
      <c r="AI46">
        <f t="shared" si="6"/>
        <v>14</v>
      </c>
      <c r="AJ46">
        <v>42</v>
      </c>
    </row>
    <row r="47" spans="1:36" x14ac:dyDescent="0.15">
      <c r="A47" s="3">
        <v>44</v>
      </c>
      <c r="B47" s="1" t="s">
        <v>138</v>
      </c>
      <c r="C47" s="1">
        <v>4</v>
      </c>
      <c r="D47" s="1">
        <v>4</v>
      </c>
      <c r="E47" s="1">
        <v>4</v>
      </c>
      <c r="F47" s="3">
        <f t="shared" si="14"/>
        <v>2</v>
      </c>
      <c r="G47" s="3">
        <f>ROUNDUP(LOOKUP(1,0/((Sheet2!$B$3:$B$19=D47)*(Sheet2!$C$3:$C$19=E47)),Sheet2!$M$3:$M$19),0)</f>
        <v>125</v>
      </c>
      <c r="H47" s="1">
        <v>40</v>
      </c>
      <c r="I47" s="1">
        <f t="shared" si="15"/>
        <v>60000</v>
      </c>
      <c r="J47" s="5" t="s">
        <v>139</v>
      </c>
      <c r="K47" s="1">
        <v>0</v>
      </c>
      <c r="L47" s="1">
        <f t="shared" si="8"/>
        <v>6000</v>
      </c>
      <c r="N47" s="1" t="s">
        <v>32</v>
      </c>
      <c r="O47" s="3">
        <f t="shared" si="2"/>
        <v>167</v>
      </c>
      <c r="P47" s="1"/>
      <c r="Q47" s="1">
        <v>600000</v>
      </c>
      <c r="R47" s="1">
        <f>Q47/60</f>
        <v>10000</v>
      </c>
      <c r="AE47">
        <f>$AB$14</f>
        <v>417.52</v>
      </c>
      <c r="AF47">
        <v>0.4</v>
      </c>
      <c r="AH47" s="2" t="s">
        <v>40</v>
      </c>
      <c r="AI47">
        <f t="shared" si="6"/>
        <v>14</v>
      </c>
      <c r="AJ47">
        <v>43</v>
      </c>
    </row>
    <row r="48" spans="1:36" x14ac:dyDescent="0.15">
      <c r="A48" s="3">
        <v>45</v>
      </c>
      <c r="B48" s="3" t="s">
        <v>140</v>
      </c>
      <c r="C48" s="1">
        <v>1</v>
      </c>
      <c r="D48" s="1">
        <v>5</v>
      </c>
      <c r="E48" s="1">
        <v>1</v>
      </c>
      <c r="F48" s="3">
        <f t="shared" si="14"/>
        <v>2</v>
      </c>
      <c r="G48" s="3">
        <f>ROUNDUP(LOOKUP(1,0/((Sheet2!$B$3:$B$19=D48)*(Sheet2!$C$3:$C$19=E48)),Sheet2!$L$3:$L$19),0)</f>
        <v>252</v>
      </c>
      <c r="H48" s="1">
        <v>41</v>
      </c>
      <c r="I48" s="1">
        <f>Q48*0.1</f>
        <v>80000</v>
      </c>
      <c r="J48" s="5" t="s">
        <v>141</v>
      </c>
      <c r="K48" s="1">
        <v>0</v>
      </c>
      <c r="L48" s="1">
        <f t="shared" si="8"/>
        <v>8000</v>
      </c>
      <c r="N48" s="1" t="s">
        <v>32</v>
      </c>
      <c r="O48" s="3">
        <f t="shared" si="2"/>
        <v>298</v>
      </c>
      <c r="P48" s="3"/>
      <c r="Q48" s="1">
        <v>800000</v>
      </c>
      <c r="R48" s="1">
        <f t="shared" ref="R48:R71" si="16">Q48/50</f>
        <v>16000</v>
      </c>
      <c r="AE48">
        <f>$AB$15</f>
        <v>498.16000000000008</v>
      </c>
      <c r="AF48">
        <v>0.6</v>
      </c>
      <c r="AH48" s="2" t="s">
        <v>40</v>
      </c>
      <c r="AI48">
        <f t="shared" si="6"/>
        <v>15</v>
      </c>
      <c r="AJ48">
        <v>44</v>
      </c>
    </row>
    <row r="49" spans="1:36" x14ac:dyDescent="0.15">
      <c r="A49" s="3">
        <v>46</v>
      </c>
      <c r="B49" s="1" t="s">
        <v>142</v>
      </c>
      <c r="C49" s="1">
        <v>2</v>
      </c>
      <c r="D49" s="1">
        <v>5</v>
      </c>
      <c r="E49" s="1">
        <v>1</v>
      </c>
      <c r="F49" s="3">
        <f t="shared" si="14"/>
        <v>1</v>
      </c>
      <c r="G49" s="3">
        <f>ROUNDUP(LOOKUP(1,0/((Sheet2!$B$3:$B$19=D49)*(Sheet2!$C$3:$C$19=E49)),Sheet2!$N$3:$N$19),0)</f>
        <v>2016</v>
      </c>
      <c r="H49" s="1">
        <v>42</v>
      </c>
      <c r="I49" s="1">
        <f t="shared" ref="I49:I71" si="17">Q49*0.1</f>
        <v>80000</v>
      </c>
      <c r="J49" s="5" t="s">
        <v>143</v>
      </c>
      <c r="K49" s="1">
        <v>0</v>
      </c>
      <c r="L49" s="1">
        <f t="shared" si="8"/>
        <v>8000</v>
      </c>
      <c r="N49" s="1" t="s">
        <v>20</v>
      </c>
      <c r="O49" s="3">
        <f t="shared" si="2"/>
        <v>1942</v>
      </c>
      <c r="P49" s="3"/>
      <c r="Q49" s="1">
        <v>800000</v>
      </c>
      <c r="R49" s="1">
        <f t="shared" si="16"/>
        <v>16000</v>
      </c>
      <c r="AE49">
        <f>$AC$15</f>
        <v>3238.0400000000004</v>
      </c>
      <c r="AF49">
        <v>0.6</v>
      </c>
      <c r="AH49" t="s">
        <v>44</v>
      </c>
      <c r="AI49">
        <f t="shared" si="6"/>
        <v>15</v>
      </c>
      <c r="AJ49">
        <v>45</v>
      </c>
    </row>
    <row r="50" spans="1:36" x14ac:dyDescent="0.15">
      <c r="A50" s="3">
        <v>47</v>
      </c>
      <c r="B50" s="3" t="s">
        <v>144</v>
      </c>
      <c r="C50" s="1">
        <v>3</v>
      </c>
      <c r="D50" s="1">
        <v>5</v>
      </c>
      <c r="E50" s="1">
        <v>1</v>
      </c>
      <c r="F50" s="3">
        <f t="shared" si="14"/>
        <v>1</v>
      </c>
      <c r="G50" s="3">
        <f>ROUNDUP(LOOKUP(1,0/((Sheet2!$B$3:$B$19=D50)*(Sheet2!$C$3:$C$19=E50)),Sheet2!$O$3:$O$19),0)</f>
        <v>3024</v>
      </c>
      <c r="H50" s="1">
        <v>43</v>
      </c>
      <c r="I50" s="1">
        <f t="shared" si="17"/>
        <v>80000</v>
      </c>
      <c r="J50" s="5" t="s">
        <v>145</v>
      </c>
      <c r="K50" s="1">
        <v>0</v>
      </c>
      <c r="L50" s="1">
        <f t="shared" si="8"/>
        <v>8000</v>
      </c>
      <c r="N50" s="1" t="s">
        <v>47</v>
      </c>
      <c r="O50" s="3">
        <f t="shared" si="2"/>
        <v>1295</v>
      </c>
      <c r="P50" s="3"/>
      <c r="Q50" s="1">
        <v>800000</v>
      </c>
      <c r="R50" s="1">
        <f t="shared" si="16"/>
        <v>16000</v>
      </c>
      <c r="AE50">
        <f>$AC$15</f>
        <v>3238.0400000000004</v>
      </c>
      <c r="AF50">
        <v>0.4</v>
      </c>
      <c r="AH50" t="s">
        <v>44</v>
      </c>
      <c r="AI50">
        <f t="shared" si="6"/>
        <v>15</v>
      </c>
      <c r="AJ50">
        <v>46</v>
      </c>
    </row>
    <row r="51" spans="1:36" x14ac:dyDescent="0.15">
      <c r="A51" s="3">
        <v>48</v>
      </c>
      <c r="B51" s="1" t="s">
        <v>146</v>
      </c>
      <c r="C51" s="1">
        <v>4</v>
      </c>
      <c r="D51" s="1">
        <v>5</v>
      </c>
      <c r="E51" s="1">
        <v>1</v>
      </c>
      <c r="F51" s="3">
        <f t="shared" si="14"/>
        <v>2</v>
      </c>
      <c r="G51" s="3">
        <f>ROUNDUP(LOOKUP(1,0/((Sheet2!$B$3:$B$19=D51)*(Sheet2!$C$3:$C$19=E51)),Sheet2!$M$3:$M$19),0)</f>
        <v>168</v>
      </c>
      <c r="H51" s="1">
        <v>44</v>
      </c>
      <c r="I51" s="1">
        <f t="shared" si="17"/>
        <v>80000</v>
      </c>
      <c r="J51" s="5" t="s">
        <v>147</v>
      </c>
      <c r="K51" s="1">
        <v>0</v>
      </c>
      <c r="L51" s="1">
        <f t="shared" si="8"/>
        <v>8000</v>
      </c>
      <c r="N51" s="1" t="s">
        <v>32</v>
      </c>
      <c r="O51" s="3">
        <f t="shared" si="2"/>
        <v>199</v>
      </c>
      <c r="P51" s="1"/>
      <c r="Q51" s="1">
        <v>800000</v>
      </c>
      <c r="R51" s="1">
        <f t="shared" si="16"/>
        <v>16000</v>
      </c>
      <c r="AE51">
        <f>$AB$15</f>
        <v>498.16000000000008</v>
      </c>
      <c r="AF51">
        <v>0.4</v>
      </c>
      <c r="AH51" s="2" t="s">
        <v>40</v>
      </c>
      <c r="AI51">
        <f t="shared" si="6"/>
        <v>15</v>
      </c>
      <c r="AJ51">
        <v>47</v>
      </c>
    </row>
    <row r="52" spans="1:36" x14ac:dyDescent="0.15">
      <c r="A52" s="3">
        <v>49</v>
      </c>
      <c r="B52" s="3" t="s">
        <v>148</v>
      </c>
      <c r="C52" s="1">
        <v>1</v>
      </c>
      <c r="D52" s="1">
        <v>5</v>
      </c>
      <c r="E52" s="1">
        <v>2</v>
      </c>
      <c r="F52" s="3">
        <f t="shared" si="14"/>
        <v>2</v>
      </c>
      <c r="G52" s="3">
        <f>ROUNDUP(LOOKUP(1,0/((Sheet2!$B$3:$B$19=D52)*(Sheet2!$C$3:$C$19=E52)),Sheet2!$L$3:$L$19),0)</f>
        <v>269</v>
      </c>
      <c r="H52" s="1">
        <v>45</v>
      </c>
      <c r="I52" s="1">
        <f t="shared" si="17"/>
        <v>100000</v>
      </c>
      <c r="J52" s="5" t="s">
        <v>149</v>
      </c>
      <c r="K52" s="1">
        <v>0</v>
      </c>
      <c r="L52" s="1">
        <f t="shared" si="8"/>
        <v>10000</v>
      </c>
      <c r="N52" s="1" t="s">
        <v>32</v>
      </c>
      <c r="O52" s="3">
        <f t="shared" si="2"/>
        <v>345</v>
      </c>
      <c r="P52" s="3"/>
      <c r="Q52" s="1">
        <v>1000000</v>
      </c>
      <c r="R52" s="1">
        <f t="shared" si="16"/>
        <v>20000</v>
      </c>
      <c r="AE52">
        <f>$AB$16</f>
        <v>576</v>
      </c>
      <c r="AF52">
        <v>0.6</v>
      </c>
      <c r="AH52" s="2" t="s">
        <v>40</v>
      </c>
      <c r="AI52">
        <f t="shared" si="6"/>
        <v>16</v>
      </c>
      <c r="AJ52">
        <v>48</v>
      </c>
    </row>
    <row r="53" spans="1:36" x14ac:dyDescent="0.15">
      <c r="A53" s="3">
        <v>50</v>
      </c>
      <c r="B53" s="1" t="s">
        <v>150</v>
      </c>
      <c r="C53" s="1">
        <v>2</v>
      </c>
      <c r="D53" s="1">
        <v>5</v>
      </c>
      <c r="E53" s="1">
        <v>2</v>
      </c>
      <c r="F53" s="3">
        <f t="shared" si="14"/>
        <v>1</v>
      </c>
      <c r="G53" s="3">
        <f>ROUNDUP(LOOKUP(1,0/((Sheet2!$B$3:$B$19=D53)*(Sheet2!$C$3:$C$19=E53)),Sheet2!$N$3:$N$19),0)</f>
        <v>2151</v>
      </c>
      <c r="H53" s="1">
        <v>46</v>
      </c>
      <c r="I53" s="1">
        <f t="shared" si="17"/>
        <v>100000</v>
      </c>
      <c r="J53" s="5" t="s">
        <v>151</v>
      </c>
      <c r="K53" s="1">
        <v>0</v>
      </c>
      <c r="L53" s="1">
        <f t="shared" si="8"/>
        <v>10000</v>
      </c>
      <c r="N53" s="1" t="s">
        <v>20</v>
      </c>
      <c r="O53" s="3">
        <f t="shared" si="2"/>
        <v>2246</v>
      </c>
      <c r="P53" s="3"/>
      <c r="Q53" s="1">
        <v>1000000</v>
      </c>
      <c r="R53" s="1">
        <f t="shared" si="16"/>
        <v>20000</v>
      </c>
      <c r="AE53">
        <f>$AC$16</f>
        <v>3744</v>
      </c>
      <c r="AF53">
        <v>0.6</v>
      </c>
      <c r="AH53" t="s">
        <v>44</v>
      </c>
      <c r="AI53">
        <f t="shared" si="6"/>
        <v>16</v>
      </c>
      <c r="AJ53">
        <v>49</v>
      </c>
    </row>
    <row r="54" spans="1:36" x14ac:dyDescent="0.15">
      <c r="A54" s="3">
        <v>51</v>
      </c>
      <c r="B54" s="3" t="s">
        <v>152</v>
      </c>
      <c r="C54" s="1">
        <v>3</v>
      </c>
      <c r="D54" s="1">
        <v>5</v>
      </c>
      <c r="E54" s="1">
        <v>2</v>
      </c>
      <c r="F54" s="3">
        <f t="shared" si="14"/>
        <v>1</v>
      </c>
      <c r="G54" s="3">
        <f>ROUNDUP(LOOKUP(1,0/((Sheet2!$B$3:$B$19=D54)*(Sheet2!$C$3:$C$19=E54)),Sheet2!$O$3:$O$19),0)</f>
        <v>3226</v>
      </c>
      <c r="H54" s="1">
        <v>47</v>
      </c>
      <c r="I54" s="1">
        <f t="shared" si="17"/>
        <v>100000</v>
      </c>
      <c r="J54" s="5" t="s">
        <v>153</v>
      </c>
      <c r="K54" s="1">
        <v>0</v>
      </c>
      <c r="L54" s="1">
        <f t="shared" si="8"/>
        <v>10000</v>
      </c>
      <c r="N54" s="1" t="s">
        <v>47</v>
      </c>
      <c r="O54" s="3">
        <f t="shared" si="2"/>
        <v>1497</v>
      </c>
      <c r="P54" s="3"/>
      <c r="Q54" s="1">
        <v>1000000</v>
      </c>
      <c r="R54" s="1">
        <f t="shared" si="16"/>
        <v>20000</v>
      </c>
      <c r="AE54">
        <f>$AC$16</f>
        <v>3744</v>
      </c>
      <c r="AF54">
        <v>0.4</v>
      </c>
      <c r="AH54" t="s">
        <v>44</v>
      </c>
      <c r="AI54">
        <f t="shared" si="6"/>
        <v>16</v>
      </c>
      <c r="AJ54">
        <v>50</v>
      </c>
    </row>
    <row r="55" spans="1:36" x14ac:dyDescent="0.15">
      <c r="A55" s="3">
        <v>52</v>
      </c>
      <c r="B55" s="1" t="s">
        <v>154</v>
      </c>
      <c r="C55" s="1">
        <v>4</v>
      </c>
      <c r="D55" s="1">
        <v>5</v>
      </c>
      <c r="E55" s="1">
        <v>2</v>
      </c>
      <c r="F55" s="3">
        <f t="shared" si="14"/>
        <v>2</v>
      </c>
      <c r="G55" s="3">
        <f>ROUNDUP(LOOKUP(1,0/((Sheet2!$B$3:$B$19=D55)*(Sheet2!$C$3:$C$19=E55)),Sheet2!$M$3:$M$19),0)</f>
        <v>180</v>
      </c>
      <c r="H55" s="1">
        <v>48</v>
      </c>
      <c r="I55" s="1">
        <f t="shared" si="17"/>
        <v>100000</v>
      </c>
      <c r="J55" s="5" t="s">
        <v>155</v>
      </c>
      <c r="K55" s="1">
        <v>0</v>
      </c>
      <c r="L55" s="1">
        <f t="shared" si="8"/>
        <v>10000</v>
      </c>
      <c r="N55" s="1" t="s">
        <v>32</v>
      </c>
      <c r="O55" s="3">
        <f t="shared" si="2"/>
        <v>230</v>
      </c>
      <c r="P55" s="1"/>
      <c r="Q55" s="1">
        <v>1000000</v>
      </c>
      <c r="R55" s="1">
        <f t="shared" si="16"/>
        <v>20000</v>
      </c>
      <c r="AE55">
        <f>$AB$16</f>
        <v>576</v>
      </c>
      <c r="AF55">
        <v>0.4</v>
      </c>
      <c r="AH55" s="2" t="s">
        <v>40</v>
      </c>
      <c r="AI55">
        <f t="shared" si="6"/>
        <v>16</v>
      </c>
      <c r="AJ55">
        <v>51</v>
      </c>
    </row>
    <row r="56" spans="1:36" x14ac:dyDescent="0.15">
      <c r="A56" s="3">
        <v>53</v>
      </c>
      <c r="B56" s="3" t="s">
        <v>156</v>
      </c>
      <c r="C56" s="1">
        <v>1</v>
      </c>
      <c r="D56" s="1">
        <v>5</v>
      </c>
      <c r="E56" s="3">
        <v>3</v>
      </c>
      <c r="F56" s="3">
        <f t="shared" si="14"/>
        <v>2</v>
      </c>
      <c r="G56" s="3">
        <f>ROUNDUP(LOOKUP(1,0/((Sheet2!$B$3:$B$19=D56)*(Sheet2!$C$3:$C$19=E56)),Sheet2!$L$3:$L$19),0)</f>
        <v>315</v>
      </c>
      <c r="H56" s="1">
        <v>49</v>
      </c>
      <c r="I56" s="1">
        <f t="shared" si="17"/>
        <v>120000</v>
      </c>
      <c r="J56" s="5" t="s">
        <v>157</v>
      </c>
      <c r="K56" s="1">
        <v>0</v>
      </c>
      <c r="L56" s="1">
        <f t="shared" si="8"/>
        <v>12000</v>
      </c>
      <c r="N56" s="1" t="s">
        <v>32</v>
      </c>
      <c r="O56" s="3">
        <f t="shared" si="2"/>
        <v>392</v>
      </c>
      <c r="P56" s="3"/>
      <c r="Q56" s="1">
        <v>1200000</v>
      </c>
      <c r="R56" s="1">
        <f t="shared" si="16"/>
        <v>24000</v>
      </c>
      <c r="AE56">
        <f>$AB$17</f>
        <v>653.84000000000015</v>
      </c>
      <c r="AF56">
        <v>0.6</v>
      </c>
      <c r="AH56" s="2" t="s">
        <v>40</v>
      </c>
      <c r="AI56">
        <f t="shared" si="6"/>
        <v>17</v>
      </c>
      <c r="AJ56">
        <v>52</v>
      </c>
    </row>
    <row r="57" spans="1:36" x14ac:dyDescent="0.15">
      <c r="A57" s="3">
        <v>54</v>
      </c>
      <c r="B57" s="1" t="s">
        <v>158</v>
      </c>
      <c r="C57" s="1">
        <v>2</v>
      </c>
      <c r="D57" s="1">
        <v>5</v>
      </c>
      <c r="E57" s="1">
        <v>3</v>
      </c>
      <c r="F57" s="3">
        <f t="shared" si="14"/>
        <v>1</v>
      </c>
      <c r="G57" s="3">
        <f>ROUNDUP(LOOKUP(1,0/((Sheet2!$B$3:$B$19=D57)*(Sheet2!$C$3:$C$19=E57)),Sheet2!$N$3:$N$19),0)</f>
        <v>2514</v>
      </c>
      <c r="H57" s="1">
        <v>50</v>
      </c>
      <c r="I57" s="1">
        <f t="shared" si="17"/>
        <v>120000</v>
      </c>
      <c r="J57" s="5" t="s">
        <v>159</v>
      </c>
      <c r="K57" s="1">
        <v>0</v>
      </c>
      <c r="L57" s="1">
        <f t="shared" si="8"/>
        <v>12000</v>
      </c>
      <c r="N57" s="1" t="s">
        <v>20</v>
      </c>
      <c r="O57" s="3">
        <f t="shared" si="2"/>
        <v>2549</v>
      </c>
      <c r="P57" s="3"/>
      <c r="Q57" s="1">
        <v>1200000</v>
      </c>
      <c r="R57" s="1">
        <f t="shared" si="16"/>
        <v>24000</v>
      </c>
      <c r="AE57">
        <f>$AC$17</f>
        <v>4249.9600000000009</v>
      </c>
      <c r="AF57">
        <v>0.6</v>
      </c>
      <c r="AH57" t="s">
        <v>44</v>
      </c>
      <c r="AI57">
        <f t="shared" si="6"/>
        <v>17</v>
      </c>
      <c r="AJ57">
        <v>53</v>
      </c>
    </row>
    <row r="58" spans="1:36" x14ac:dyDescent="0.15">
      <c r="A58" s="3">
        <v>55</v>
      </c>
      <c r="B58" s="3" t="s">
        <v>160</v>
      </c>
      <c r="C58" s="1">
        <v>3</v>
      </c>
      <c r="D58" s="1">
        <v>5</v>
      </c>
      <c r="E58" s="3">
        <v>3</v>
      </c>
      <c r="F58" s="3">
        <f t="shared" si="14"/>
        <v>1</v>
      </c>
      <c r="G58" s="3">
        <f>ROUNDUP(LOOKUP(1,0/((Sheet2!$B$3:$B$19=D58)*(Sheet2!$C$3:$C$19=E58)),Sheet2!$O$3:$O$19),0)</f>
        <v>3770</v>
      </c>
      <c r="H58" s="1">
        <v>51</v>
      </c>
      <c r="I58" s="1">
        <f t="shared" si="17"/>
        <v>120000</v>
      </c>
      <c r="J58" s="5" t="s">
        <v>161</v>
      </c>
      <c r="K58" s="1">
        <v>0</v>
      </c>
      <c r="L58" s="1">
        <f t="shared" si="8"/>
        <v>12000</v>
      </c>
      <c r="N58" s="1" t="s">
        <v>47</v>
      </c>
      <c r="O58" s="3">
        <f t="shared" si="2"/>
        <v>1699</v>
      </c>
      <c r="P58" s="3"/>
      <c r="Q58" s="1">
        <v>1200000</v>
      </c>
      <c r="R58" s="1">
        <f t="shared" si="16"/>
        <v>24000</v>
      </c>
      <c r="AE58">
        <f>$AC$17</f>
        <v>4249.9600000000009</v>
      </c>
      <c r="AF58">
        <v>0.4</v>
      </c>
      <c r="AH58" t="s">
        <v>44</v>
      </c>
      <c r="AI58">
        <f t="shared" si="6"/>
        <v>17</v>
      </c>
      <c r="AJ58">
        <v>54</v>
      </c>
    </row>
    <row r="59" spans="1:36" x14ac:dyDescent="0.15">
      <c r="A59" s="3">
        <v>56</v>
      </c>
      <c r="B59" s="1" t="s">
        <v>162</v>
      </c>
      <c r="C59" s="1">
        <v>4</v>
      </c>
      <c r="D59" s="1">
        <v>5</v>
      </c>
      <c r="E59" s="1">
        <v>3</v>
      </c>
      <c r="F59" s="3">
        <f t="shared" si="14"/>
        <v>2</v>
      </c>
      <c r="G59" s="3">
        <f>ROUNDUP(LOOKUP(1,0/((Sheet2!$B$3:$B$19=D59)*(Sheet2!$C$3:$C$19=E59)),Sheet2!$M$3:$M$19),0)</f>
        <v>210</v>
      </c>
      <c r="H59" s="1">
        <v>52</v>
      </c>
      <c r="I59" s="1">
        <f t="shared" si="17"/>
        <v>120000</v>
      </c>
      <c r="J59" s="5" t="s">
        <v>163</v>
      </c>
      <c r="K59" s="1">
        <v>0</v>
      </c>
      <c r="L59" s="1">
        <f t="shared" si="8"/>
        <v>12000</v>
      </c>
      <c r="N59" s="1" t="s">
        <v>32</v>
      </c>
      <c r="O59" s="3">
        <f t="shared" si="2"/>
        <v>261</v>
      </c>
      <c r="P59" s="1"/>
      <c r="Q59" s="1">
        <v>1200000</v>
      </c>
      <c r="R59" s="1">
        <f t="shared" si="16"/>
        <v>24000</v>
      </c>
      <c r="AE59">
        <f>$AB$17</f>
        <v>653.84000000000015</v>
      </c>
      <c r="AF59">
        <v>0.4</v>
      </c>
      <c r="AH59" s="2" t="s">
        <v>40</v>
      </c>
      <c r="AI59">
        <f t="shared" si="6"/>
        <v>17</v>
      </c>
      <c r="AJ59">
        <v>55</v>
      </c>
    </row>
    <row r="60" spans="1:36" x14ac:dyDescent="0.15">
      <c r="A60" s="3">
        <v>57</v>
      </c>
      <c r="B60" s="3" t="s">
        <v>164</v>
      </c>
      <c r="C60" s="1">
        <v>1</v>
      </c>
      <c r="D60" s="1">
        <v>5</v>
      </c>
      <c r="E60" s="1">
        <v>4</v>
      </c>
      <c r="F60" s="3">
        <f t="shared" si="14"/>
        <v>2</v>
      </c>
      <c r="G60" s="3">
        <f>ROUNDUP(LOOKUP(1,0/((Sheet2!$B$3:$B$19=D60)*(Sheet2!$C$3:$C$19=E60)),Sheet2!$L$3:$L$19),0)</f>
        <v>333</v>
      </c>
      <c r="H60" s="1">
        <v>53</v>
      </c>
      <c r="I60" s="1">
        <f>Q60*0.1</f>
        <v>160000</v>
      </c>
      <c r="J60" s="5" t="s">
        <v>165</v>
      </c>
      <c r="K60" s="1">
        <v>0</v>
      </c>
      <c r="L60" s="1">
        <f t="shared" si="8"/>
        <v>16000</v>
      </c>
      <c r="N60" s="1" t="s">
        <v>32</v>
      </c>
      <c r="O60" s="3">
        <f t="shared" si="2"/>
        <v>439</v>
      </c>
      <c r="P60" s="3"/>
      <c r="Q60" s="1">
        <v>1600000</v>
      </c>
      <c r="R60" s="1">
        <f t="shared" si="16"/>
        <v>32000</v>
      </c>
      <c r="AE60">
        <f>$AB$18</f>
        <v>731.68000000000006</v>
      </c>
      <c r="AF60">
        <v>0.6</v>
      </c>
      <c r="AH60" s="2" t="s">
        <v>40</v>
      </c>
      <c r="AI60">
        <f t="shared" si="6"/>
        <v>18</v>
      </c>
      <c r="AJ60">
        <v>56</v>
      </c>
    </row>
    <row r="61" spans="1:36" x14ac:dyDescent="0.15">
      <c r="A61" s="3">
        <v>58</v>
      </c>
      <c r="B61" s="1" t="s">
        <v>166</v>
      </c>
      <c r="C61" s="1">
        <v>2</v>
      </c>
      <c r="D61" s="1">
        <v>5</v>
      </c>
      <c r="E61" s="1">
        <v>4</v>
      </c>
      <c r="F61" s="3">
        <f t="shared" si="14"/>
        <v>1</v>
      </c>
      <c r="G61" s="3">
        <f>ROUNDUP(LOOKUP(1,0/((Sheet2!$B$3:$B$19=D61)*(Sheet2!$C$3:$C$19=E61)),Sheet2!$N$3:$N$19),0)</f>
        <v>2662</v>
      </c>
      <c r="H61" s="1">
        <v>54</v>
      </c>
      <c r="I61" s="1">
        <f t="shared" si="17"/>
        <v>160000</v>
      </c>
      <c r="J61" s="5" t="s">
        <v>167</v>
      </c>
      <c r="K61" s="1">
        <v>0</v>
      </c>
      <c r="L61" s="1">
        <f t="shared" si="8"/>
        <v>16000</v>
      </c>
      <c r="N61" s="1" t="s">
        <v>20</v>
      </c>
      <c r="O61" s="3">
        <f t="shared" si="2"/>
        <v>2853</v>
      </c>
      <c r="P61" s="3"/>
      <c r="Q61" s="1">
        <v>1600000</v>
      </c>
      <c r="R61" s="1">
        <f t="shared" si="16"/>
        <v>32000</v>
      </c>
      <c r="AE61">
        <f>$AC$18</f>
        <v>4755.92</v>
      </c>
      <c r="AF61">
        <v>0.6</v>
      </c>
      <c r="AH61" t="s">
        <v>44</v>
      </c>
      <c r="AI61">
        <f t="shared" si="6"/>
        <v>18</v>
      </c>
      <c r="AJ61">
        <v>57</v>
      </c>
    </row>
    <row r="62" spans="1:36" x14ac:dyDescent="0.15">
      <c r="A62" s="3">
        <v>59</v>
      </c>
      <c r="B62" s="3" t="s">
        <v>168</v>
      </c>
      <c r="C62" s="1">
        <v>3</v>
      </c>
      <c r="D62" s="1">
        <v>5</v>
      </c>
      <c r="E62" s="1">
        <v>4</v>
      </c>
      <c r="F62" s="3">
        <f t="shared" si="14"/>
        <v>1</v>
      </c>
      <c r="G62" s="3">
        <f>ROUNDUP(LOOKUP(1,0/((Sheet2!$B$3:$B$19=D62)*(Sheet2!$C$3:$C$19=E62)),Sheet2!$O$3:$O$19),0)</f>
        <v>3992</v>
      </c>
      <c r="H62" s="1">
        <v>55</v>
      </c>
      <c r="I62" s="1">
        <f t="shared" si="17"/>
        <v>160000</v>
      </c>
      <c r="J62" s="5" t="s">
        <v>169</v>
      </c>
      <c r="K62" s="1">
        <v>0</v>
      </c>
      <c r="L62" s="1">
        <f t="shared" si="8"/>
        <v>16000</v>
      </c>
      <c r="N62" s="1" t="s">
        <v>47</v>
      </c>
      <c r="O62" s="3">
        <f t="shared" si="2"/>
        <v>1902</v>
      </c>
      <c r="P62" s="3"/>
      <c r="Q62" s="1">
        <v>1600000</v>
      </c>
      <c r="R62" s="1">
        <f t="shared" si="16"/>
        <v>32000</v>
      </c>
      <c r="AE62">
        <f>$AC$18</f>
        <v>4755.92</v>
      </c>
      <c r="AF62">
        <v>0.4</v>
      </c>
      <c r="AH62" t="s">
        <v>44</v>
      </c>
      <c r="AI62">
        <f t="shared" si="6"/>
        <v>18</v>
      </c>
      <c r="AJ62">
        <v>58</v>
      </c>
    </row>
    <row r="63" spans="1:36" x14ac:dyDescent="0.15">
      <c r="A63" s="3">
        <v>60</v>
      </c>
      <c r="B63" s="1" t="s">
        <v>170</v>
      </c>
      <c r="C63" s="1">
        <v>4</v>
      </c>
      <c r="D63" s="1">
        <v>5</v>
      </c>
      <c r="E63" s="1">
        <v>4</v>
      </c>
      <c r="F63" s="3">
        <f t="shared" si="14"/>
        <v>2</v>
      </c>
      <c r="G63" s="3">
        <f>ROUNDUP(LOOKUP(1,0/((Sheet2!$B$3:$B$19=D63)*(Sheet2!$C$3:$C$19=E63)),Sheet2!$M$3:$M$19),0)</f>
        <v>222</v>
      </c>
      <c r="H63" s="1">
        <v>56</v>
      </c>
      <c r="I63" s="1">
        <f t="shared" si="17"/>
        <v>160000</v>
      </c>
      <c r="J63" s="5" t="s">
        <v>171</v>
      </c>
      <c r="K63" s="1">
        <v>0</v>
      </c>
      <c r="L63" s="1">
        <f t="shared" si="8"/>
        <v>16000</v>
      </c>
      <c r="N63" s="1" t="s">
        <v>32</v>
      </c>
      <c r="O63" s="3">
        <f t="shared" si="2"/>
        <v>292</v>
      </c>
      <c r="P63" s="1"/>
      <c r="Q63" s="1">
        <v>1600000</v>
      </c>
      <c r="R63" s="1">
        <f t="shared" si="16"/>
        <v>32000</v>
      </c>
      <c r="AE63">
        <f>$AB$18</f>
        <v>731.68000000000006</v>
      </c>
      <c r="AF63">
        <v>0.4</v>
      </c>
      <c r="AH63" s="2" t="s">
        <v>40</v>
      </c>
      <c r="AI63">
        <f t="shared" si="6"/>
        <v>18</v>
      </c>
      <c r="AJ63">
        <v>59</v>
      </c>
    </row>
    <row r="64" spans="1:36" x14ac:dyDescent="0.15">
      <c r="A64" s="3">
        <v>61</v>
      </c>
      <c r="B64" s="3" t="s">
        <v>172</v>
      </c>
      <c r="C64" s="1">
        <v>1</v>
      </c>
      <c r="D64" s="1">
        <v>5</v>
      </c>
      <c r="E64" s="1">
        <v>5</v>
      </c>
      <c r="F64" s="3">
        <f t="shared" si="14"/>
        <v>2</v>
      </c>
      <c r="G64" s="3">
        <f>ROUNDUP(LOOKUP(1,0/((Sheet2!$B$3:$B$19=D64)*(Sheet2!$C$3:$C$19=E64)),Sheet2!$L$3:$L$19),0)</f>
        <v>384</v>
      </c>
      <c r="H64" s="1">
        <v>57</v>
      </c>
      <c r="I64" s="1">
        <f t="shared" si="17"/>
        <v>200000</v>
      </c>
      <c r="J64" s="5" t="s">
        <v>173</v>
      </c>
      <c r="K64" s="1">
        <v>0</v>
      </c>
      <c r="L64" s="1">
        <f t="shared" si="8"/>
        <v>20000</v>
      </c>
      <c r="N64" s="1" t="s">
        <v>32</v>
      </c>
      <c r="O64" s="3">
        <f t="shared" si="2"/>
        <v>485</v>
      </c>
      <c r="P64" s="3"/>
      <c r="Q64" s="1">
        <v>2000000</v>
      </c>
      <c r="R64" s="1">
        <f t="shared" si="16"/>
        <v>40000</v>
      </c>
      <c r="AE64">
        <f>$AB$19</f>
        <v>809.6</v>
      </c>
      <c r="AF64">
        <v>0.6</v>
      </c>
      <c r="AH64" s="2" t="s">
        <v>40</v>
      </c>
      <c r="AI64">
        <f t="shared" si="6"/>
        <v>19</v>
      </c>
      <c r="AJ64">
        <v>60</v>
      </c>
    </row>
    <row r="65" spans="1:36" x14ac:dyDescent="0.15">
      <c r="A65" s="3">
        <v>62</v>
      </c>
      <c r="B65" s="1" t="s">
        <v>174</v>
      </c>
      <c r="C65" s="1">
        <v>2</v>
      </c>
      <c r="D65" s="1">
        <v>5</v>
      </c>
      <c r="E65" s="1">
        <v>5</v>
      </c>
      <c r="F65" s="3">
        <f t="shared" si="14"/>
        <v>1</v>
      </c>
      <c r="G65" s="3">
        <f>ROUNDUP(LOOKUP(1,0/((Sheet2!$B$3:$B$19=D65)*(Sheet2!$C$3:$C$19=E65)),Sheet2!$N$3:$N$19),0)</f>
        <v>3065</v>
      </c>
      <c r="H65" s="1">
        <v>58</v>
      </c>
      <c r="I65" s="1">
        <f t="shared" si="17"/>
        <v>200000</v>
      </c>
      <c r="J65" s="5" t="s">
        <v>175</v>
      </c>
      <c r="K65" s="1">
        <v>0</v>
      </c>
      <c r="L65" s="1">
        <f t="shared" si="8"/>
        <v>20000</v>
      </c>
      <c r="N65" s="1" t="s">
        <v>20</v>
      </c>
      <c r="O65" s="3">
        <f t="shared" si="2"/>
        <v>3157</v>
      </c>
      <c r="P65" s="3"/>
      <c r="Q65" s="1">
        <v>2000000</v>
      </c>
      <c r="R65" s="1">
        <f t="shared" si="16"/>
        <v>40000</v>
      </c>
      <c r="AE65">
        <f>$AC$19</f>
        <v>5262.4000000000005</v>
      </c>
      <c r="AF65">
        <v>0.6</v>
      </c>
      <c r="AH65" t="s">
        <v>44</v>
      </c>
      <c r="AI65">
        <f t="shared" si="6"/>
        <v>19</v>
      </c>
      <c r="AJ65">
        <v>61</v>
      </c>
    </row>
    <row r="66" spans="1:36" x14ac:dyDescent="0.15">
      <c r="A66" s="3">
        <v>63</v>
      </c>
      <c r="B66" s="3" t="s">
        <v>176</v>
      </c>
      <c r="C66" s="1">
        <v>3</v>
      </c>
      <c r="D66" s="1">
        <v>5</v>
      </c>
      <c r="E66" s="1">
        <v>5</v>
      </c>
      <c r="F66" s="3">
        <f t="shared" si="14"/>
        <v>1</v>
      </c>
      <c r="G66" s="3">
        <f>ROUNDUP(LOOKUP(1,0/((Sheet2!$B$3:$B$19=D66)*(Sheet2!$C$3:$C$19=E66)),Sheet2!$O$3:$O$19),0)</f>
        <v>4597</v>
      </c>
      <c r="H66" s="1">
        <v>59</v>
      </c>
      <c r="I66" s="1">
        <f t="shared" si="17"/>
        <v>200000</v>
      </c>
      <c r="J66" s="5" t="s">
        <v>177</v>
      </c>
      <c r="K66" s="1">
        <v>0</v>
      </c>
      <c r="L66" s="1">
        <f t="shared" si="8"/>
        <v>20000</v>
      </c>
      <c r="N66" s="1" t="s">
        <v>47</v>
      </c>
      <c r="O66" s="3">
        <f t="shared" si="2"/>
        <v>2104</v>
      </c>
      <c r="P66" s="3"/>
      <c r="Q66" s="1">
        <v>2000000</v>
      </c>
      <c r="R66" s="1">
        <f t="shared" si="16"/>
        <v>40000</v>
      </c>
      <c r="AE66">
        <f>$AC$19</f>
        <v>5262.4000000000005</v>
      </c>
      <c r="AF66">
        <v>0.4</v>
      </c>
      <c r="AH66" t="s">
        <v>44</v>
      </c>
      <c r="AI66">
        <f t="shared" si="6"/>
        <v>19</v>
      </c>
      <c r="AJ66">
        <v>62</v>
      </c>
    </row>
    <row r="67" spans="1:36" x14ac:dyDescent="0.15">
      <c r="A67" s="3">
        <v>64</v>
      </c>
      <c r="B67" s="1" t="s">
        <v>178</v>
      </c>
      <c r="C67" s="1">
        <v>4</v>
      </c>
      <c r="D67" s="1">
        <v>5</v>
      </c>
      <c r="E67" s="1">
        <v>5</v>
      </c>
      <c r="F67" s="3">
        <f t="shared" si="14"/>
        <v>2</v>
      </c>
      <c r="G67" s="3">
        <f>ROUNDUP(LOOKUP(1,0/((Sheet2!$B$3:$B$19=D67)*(Sheet2!$C$3:$C$19=E67)),Sheet2!$M$3:$M$19),0)</f>
        <v>256</v>
      </c>
      <c r="H67" s="1">
        <v>60</v>
      </c>
      <c r="I67" s="1">
        <f t="shared" si="17"/>
        <v>200000</v>
      </c>
      <c r="J67" s="5" t="s">
        <v>179</v>
      </c>
      <c r="K67" s="1">
        <v>0</v>
      </c>
      <c r="L67" s="1">
        <f t="shared" si="8"/>
        <v>20000</v>
      </c>
      <c r="N67" s="1" t="s">
        <v>32</v>
      </c>
      <c r="O67" s="3">
        <f t="shared" si="2"/>
        <v>323</v>
      </c>
      <c r="P67" s="1"/>
      <c r="Q67" s="1">
        <v>2000000</v>
      </c>
      <c r="R67" s="1">
        <f t="shared" si="16"/>
        <v>40000</v>
      </c>
      <c r="AE67">
        <f>$AB$19</f>
        <v>809.6</v>
      </c>
      <c r="AF67">
        <v>0.4</v>
      </c>
      <c r="AH67" s="2" t="s">
        <v>40</v>
      </c>
      <c r="AI67">
        <f t="shared" si="6"/>
        <v>19</v>
      </c>
      <c r="AJ67">
        <v>63</v>
      </c>
    </row>
    <row r="68" spans="1:36" x14ac:dyDescent="0.15">
      <c r="A68" s="3">
        <v>65</v>
      </c>
      <c r="B68" s="3" t="s">
        <v>180</v>
      </c>
      <c r="C68" s="1">
        <v>1</v>
      </c>
      <c r="D68" s="1">
        <v>6</v>
      </c>
      <c r="E68" s="1">
        <v>1</v>
      </c>
      <c r="F68" s="3">
        <f t="shared" si="14"/>
        <v>2</v>
      </c>
      <c r="G68" s="3">
        <f>ROUNDUP(LOOKUP(1,0/((Sheet2!$B$3:$B$19=D68)*(Sheet2!$C$3:$C$19=E68)),Sheet2!$L$3:$L$19),0)</f>
        <v>472</v>
      </c>
      <c r="H68" s="1">
        <v>61</v>
      </c>
      <c r="I68" s="1">
        <f t="shared" si="17"/>
        <v>250000</v>
      </c>
      <c r="J68" s="5" t="s">
        <v>181</v>
      </c>
      <c r="K68" s="1">
        <v>0</v>
      </c>
      <c r="L68" s="1">
        <f t="shared" si="8"/>
        <v>25000</v>
      </c>
      <c r="N68" s="1" t="s">
        <v>32</v>
      </c>
      <c r="O68" s="3">
        <f t="shared" si="2"/>
        <v>580</v>
      </c>
      <c r="P68" s="3"/>
      <c r="Q68" s="1">
        <v>2500000</v>
      </c>
      <c r="R68" s="1">
        <f t="shared" si="16"/>
        <v>50000</v>
      </c>
      <c r="AE68">
        <f>$AB$20</f>
        <v>968.08000000000015</v>
      </c>
      <c r="AF68">
        <v>0.6</v>
      </c>
      <c r="AH68" s="2" t="s">
        <v>40</v>
      </c>
      <c r="AI68">
        <f t="shared" si="6"/>
        <v>20</v>
      </c>
      <c r="AJ68">
        <v>64</v>
      </c>
    </row>
    <row r="69" spans="1:36" x14ac:dyDescent="0.15">
      <c r="A69" s="3">
        <v>66</v>
      </c>
      <c r="B69" s="1" t="s">
        <v>182</v>
      </c>
      <c r="C69" s="1">
        <v>2</v>
      </c>
      <c r="D69" s="1">
        <v>6</v>
      </c>
      <c r="E69" s="1">
        <v>1</v>
      </c>
      <c r="F69" s="3">
        <f t="shared" si="14"/>
        <v>1</v>
      </c>
      <c r="G69" s="3">
        <f>ROUNDUP(LOOKUP(1,0/((Sheet2!$B$3:$B$19=D69)*(Sheet2!$C$3:$C$19=E69)),Sheet2!$N$3:$N$19),0)</f>
        <v>3774</v>
      </c>
      <c r="H69" s="1">
        <v>62</v>
      </c>
      <c r="I69" s="1">
        <f t="shared" si="17"/>
        <v>250000</v>
      </c>
      <c r="J69" s="5" t="s">
        <v>183</v>
      </c>
      <c r="K69" s="1">
        <v>0</v>
      </c>
      <c r="L69" s="1">
        <f t="shared" si="8"/>
        <v>25000</v>
      </c>
      <c r="N69" s="1" t="s">
        <v>20</v>
      </c>
      <c r="O69" s="3">
        <f t="shared" ref="O69:O71" si="18">FLOOR(AE69*AF69,1)</f>
        <v>3775</v>
      </c>
      <c r="P69" s="3"/>
      <c r="Q69" s="1">
        <v>2500000</v>
      </c>
      <c r="R69" s="1">
        <f t="shared" si="16"/>
        <v>50000</v>
      </c>
      <c r="AE69">
        <f>$AC$20</f>
        <v>6292.5200000000013</v>
      </c>
      <c r="AF69">
        <v>0.6</v>
      </c>
      <c r="AH69" t="s">
        <v>44</v>
      </c>
      <c r="AI69">
        <f t="shared" ref="AI69:AI71" si="19">4+FLOOR(AJ69/4,1)</f>
        <v>20</v>
      </c>
      <c r="AJ69">
        <v>65</v>
      </c>
    </row>
    <row r="70" spans="1:36" x14ac:dyDescent="0.15">
      <c r="A70" s="3">
        <v>67</v>
      </c>
      <c r="B70" s="3" t="s">
        <v>184</v>
      </c>
      <c r="C70" s="1">
        <v>3</v>
      </c>
      <c r="D70" s="1">
        <v>6</v>
      </c>
      <c r="E70" s="1">
        <v>1</v>
      </c>
      <c r="F70" s="3">
        <f t="shared" si="14"/>
        <v>1</v>
      </c>
      <c r="G70" s="3">
        <f>ROUNDUP(LOOKUP(1,0/((Sheet2!$B$3:$B$19=D70)*(Sheet2!$C$3:$C$19=E70)),Sheet2!$O$3:$O$19),0)</f>
        <v>5661</v>
      </c>
      <c r="H70" s="1">
        <v>63</v>
      </c>
      <c r="I70" s="1">
        <f t="shared" si="17"/>
        <v>250000</v>
      </c>
      <c r="J70" s="5" t="s">
        <v>185</v>
      </c>
      <c r="K70" s="1">
        <v>0</v>
      </c>
      <c r="L70" s="1">
        <f t="shared" si="8"/>
        <v>25000</v>
      </c>
      <c r="N70" s="1" t="s">
        <v>47</v>
      </c>
      <c r="O70" s="3">
        <f t="shared" si="18"/>
        <v>2517</v>
      </c>
      <c r="P70" s="3"/>
      <c r="Q70" s="1">
        <v>2500000</v>
      </c>
      <c r="R70" s="1">
        <f t="shared" si="16"/>
        <v>50000</v>
      </c>
      <c r="AE70">
        <f>$AC$20</f>
        <v>6292.5200000000013</v>
      </c>
      <c r="AF70">
        <v>0.4</v>
      </c>
      <c r="AH70" t="s">
        <v>44</v>
      </c>
      <c r="AI70">
        <f t="shared" si="19"/>
        <v>20</v>
      </c>
      <c r="AJ70">
        <v>66</v>
      </c>
    </row>
    <row r="71" spans="1:36" x14ac:dyDescent="0.15">
      <c r="A71" s="3">
        <v>68</v>
      </c>
      <c r="B71" s="1" t="s">
        <v>186</v>
      </c>
      <c r="C71" s="1">
        <v>4</v>
      </c>
      <c r="D71" s="1">
        <v>6</v>
      </c>
      <c r="E71" s="1">
        <v>1</v>
      </c>
      <c r="F71" s="3">
        <f t="shared" si="14"/>
        <v>2</v>
      </c>
      <c r="G71" s="3">
        <f>ROUNDUP(LOOKUP(1,0/((Sheet2!$B$3:$B$19=D71)*(Sheet2!$C$3:$C$19=E71)),Sheet2!$M$3:$M$19),0)</f>
        <v>315</v>
      </c>
      <c r="H71" s="1">
        <v>64</v>
      </c>
      <c r="I71" s="1">
        <f t="shared" si="17"/>
        <v>250000</v>
      </c>
      <c r="J71" s="5" t="s">
        <v>187</v>
      </c>
      <c r="K71" s="1">
        <v>0</v>
      </c>
      <c r="L71" s="1">
        <f t="shared" si="8"/>
        <v>25000</v>
      </c>
      <c r="N71" s="1" t="s">
        <v>32</v>
      </c>
      <c r="O71" s="3">
        <f t="shared" si="18"/>
        <v>387</v>
      </c>
      <c r="P71" s="1"/>
      <c r="Q71" s="1">
        <v>2500000</v>
      </c>
      <c r="R71" s="1">
        <f t="shared" si="16"/>
        <v>50000</v>
      </c>
      <c r="AE71">
        <f>$AB$20</f>
        <v>968.08000000000015</v>
      </c>
      <c r="AF71">
        <v>0.4</v>
      </c>
      <c r="AH71" s="2" t="s">
        <v>40</v>
      </c>
      <c r="AI71">
        <f t="shared" si="19"/>
        <v>20</v>
      </c>
      <c r="AJ71">
        <v>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72"/>
  <sheetViews>
    <sheetView workbookViewId="0">
      <selection activeCell="I32" sqref="I32"/>
    </sheetView>
  </sheetViews>
  <sheetFormatPr defaultColWidth="9" defaultRowHeight="13.5" x14ac:dyDescent="0.15"/>
  <sheetData>
    <row r="1" spans="1:14" x14ac:dyDescent="0.15">
      <c r="A1" s="3">
        <v>1</v>
      </c>
      <c r="B1" s="4"/>
      <c r="C1" s="4"/>
      <c r="D1" s="4"/>
      <c r="E1" s="4"/>
      <c r="F1" s="4"/>
    </row>
    <row r="2" spans="1:14" x14ac:dyDescent="0.15">
      <c r="A2" s="3">
        <v>2</v>
      </c>
      <c r="C2" s="1" t="s">
        <v>24</v>
      </c>
      <c r="D2" s="1" t="s">
        <v>25</v>
      </c>
      <c r="E2" s="1" t="s">
        <v>188</v>
      </c>
      <c r="F2" s="1" t="s">
        <v>189</v>
      </c>
      <c r="G2" s="2" t="s">
        <v>190</v>
      </c>
      <c r="H2" s="1" t="s">
        <v>191</v>
      </c>
      <c r="J2" s="1" t="s">
        <v>192</v>
      </c>
      <c r="K2" s="2" t="s">
        <v>193</v>
      </c>
      <c r="L2" s="1" t="s">
        <v>194</v>
      </c>
      <c r="N2" s="2" t="s">
        <v>195</v>
      </c>
    </row>
    <row r="3" spans="1:14" x14ac:dyDescent="0.15">
      <c r="A3" s="3">
        <v>3</v>
      </c>
      <c r="B3" s="3">
        <v>0</v>
      </c>
      <c r="C3" s="3">
        <v>1</v>
      </c>
      <c r="D3" s="3">
        <v>1</v>
      </c>
      <c r="E3" s="3">
        <v>32</v>
      </c>
      <c r="F3" s="5">
        <v>141</v>
      </c>
      <c r="G3" s="5">
        <v>94</v>
      </c>
      <c r="H3" s="5">
        <v>21</v>
      </c>
      <c r="N3" s="3">
        <v>0</v>
      </c>
    </row>
    <row r="4" spans="1:14" x14ac:dyDescent="0.15">
      <c r="A4" s="5">
        <v>4</v>
      </c>
      <c r="B4" s="3">
        <v>1000</v>
      </c>
      <c r="C4" s="3">
        <v>1</v>
      </c>
      <c r="D4" s="3">
        <v>2</v>
      </c>
      <c r="E4" s="3">
        <v>38</v>
      </c>
      <c r="F4" s="5">
        <v>169</v>
      </c>
      <c r="G4" s="5">
        <v>113</v>
      </c>
      <c r="H4" s="5">
        <v>25</v>
      </c>
      <c r="N4" s="3">
        <v>1000</v>
      </c>
    </row>
    <row r="5" spans="1:14" x14ac:dyDescent="0.15">
      <c r="A5" s="5">
        <v>5</v>
      </c>
      <c r="B5" s="3">
        <v>2000</v>
      </c>
      <c r="C5" s="3">
        <v>2</v>
      </c>
      <c r="D5" s="3">
        <v>1</v>
      </c>
      <c r="E5" s="3">
        <v>66</v>
      </c>
      <c r="F5" s="5">
        <v>337</v>
      </c>
      <c r="G5" s="5">
        <v>225</v>
      </c>
      <c r="H5" s="5">
        <v>44</v>
      </c>
      <c r="N5" s="3">
        <v>2000</v>
      </c>
    </row>
    <row r="6" spans="1:14" x14ac:dyDescent="0.15">
      <c r="A6" s="5">
        <v>6</v>
      </c>
      <c r="B6" s="3">
        <v>5000</v>
      </c>
      <c r="C6" s="3">
        <v>2</v>
      </c>
      <c r="D6" s="3">
        <v>2</v>
      </c>
      <c r="E6" s="3">
        <v>85</v>
      </c>
      <c r="F6" s="5">
        <v>434</v>
      </c>
      <c r="G6" s="5">
        <v>289</v>
      </c>
      <c r="H6" s="5">
        <v>57</v>
      </c>
      <c r="N6" s="3">
        <v>5000</v>
      </c>
    </row>
    <row r="7" spans="1:14" x14ac:dyDescent="0.15">
      <c r="A7" s="5">
        <v>7</v>
      </c>
      <c r="B7" s="3">
        <v>10000</v>
      </c>
      <c r="C7" s="3">
        <v>3</v>
      </c>
      <c r="D7" s="3">
        <v>1</v>
      </c>
      <c r="E7" s="3">
        <v>168</v>
      </c>
      <c r="F7" s="5">
        <v>970</v>
      </c>
      <c r="G7" s="5">
        <v>647</v>
      </c>
      <c r="H7" s="5">
        <v>112</v>
      </c>
      <c r="N7" s="3">
        <v>10000</v>
      </c>
    </row>
    <row r="8" spans="1:14" x14ac:dyDescent="0.15">
      <c r="A8" s="5">
        <v>8</v>
      </c>
      <c r="B8" s="3">
        <v>20000</v>
      </c>
      <c r="C8" s="3">
        <v>3</v>
      </c>
      <c r="D8" s="3">
        <v>2</v>
      </c>
      <c r="E8" s="3">
        <v>218</v>
      </c>
      <c r="F8" s="5">
        <v>1255</v>
      </c>
      <c r="G8" s="5">
        <v>837</v>
      </c>
      <c r="H8" s="5">
        <v>145</v>
      </c>
      <c r="N8" s="3">
        <v>20000</v>
      </c>
    </row>
    <row r="9" spans="1:14" x14ac:dyDescent="0.15">
      <c r="A9" s="5">
        <v>9</v>
      </c>
      <c r="B9" s="3">
        <v>50000</v>
      </c>
      <c r="C9" s="3">
        <v>3</v>
      </c>
      <c r="D9" s="3">
        <v>3</v>
      </c>
      <c r="E9" s="3">
        <v>267</v>
      </c>
      <c r="F9" s="5">
        <v>1541</v>
      </c>
      <c r="G9" s="5">
        <v>1027</v>
      </c>
      <c r="H9" s="5">
        <v>178</v>
      </c>
      <c r="J9" s="6">
        <v>0.02</v>
      </c>
      <c r="K9" s="6">
        <v>0.03</v>
      </c>
      <c r="L9" s="6">
        <v>0.01</v>
      </c>
      <c r="N9" s="3">
        <v>50000</v>
      </c>
    </row>
    <row r="10" spans="1:14" x14ac:dyDescent="0.15">
      <c r="A10" s="3"/>
      <c r="B10" s="3">
        <v>100000</v>
      </c>
      <c r="C10" s="3">
        <v>4</v>
      </c>
      <c r="D10" s="3">
        <v>1</v>
      </c>
      <c r="E10" s="3">
        <v>414</v>
      </c>
      <c r="F10" s="5">
        <v>2645</v>
      </c>
      <c r="G10" s="5">
        <v>1763</v>
      </c>
      <c r="H10" s="5">
        <v>276</v>
      </c>
      <c r="J10" s="7">
        <v>0.04</v>
      </c>
      <c r="K10" s="8">
        <v>0.05</v>
      </c>
      <c r="L10" s="8">
        <v>0.02</v>
      </c>
      <c r="N10" s="3">
        <v>100000</v>
      </c>
    </row>
    <row r="11" spans="1:14" x14ac:dyDescent="0.15">
      <c r="A11" s="3"/>
      <c r="B11" s="3">
        <v>200000</v>
      </c>
      <c r="C11" s="3">
        <v>4</v>
      </c>
      <c r="D11" s="3">
        <v>2</v>
      </c>
      <c r="E11" s="3">
        <v>502</v>
      </c>
      <c r="F11" s="5">
        <v>3207</v>
      </c>
      <c r="G11" s="5">
        <v>2138</v>
      </c>
      <c r="H11" s="5">
        <v>335</v>
      </c>
      <c r="J11" s="8">
        <v>0.05</v>
      </c>
      <c r="K11" s="6">
        <v>7.0000000000000007E-2</v>
      </c>
      <c r="L11" s="8">
        <v>0.04</v>
      </c>
      <c r="N11" s="3">
        <v>200000</v>
      </c>
    </row>
    <row r="12" spans="1:14" x14ac:dyDescent="0.15">
      <c r="A12" s="3"/>
      <c r="B12" s="3">
        <v>400000</v>
      </c>
      <c r="C12" s="3">
        <v>4</v>
      </c>
      <c r="D12" s="3">
        <v>3</v>
      </c>
      <c r="E12" s="3">
        <v>590</v>
      </c>
      <c r="F12" s="5">
        <v>3770</v>
      </c>
      <c r="G12" s="5">
        <v>2513</v>
      </c>
      <c r="H12" s="5">
        <v>393</v>
      </c>
      <c r="J12" s="9">
        <v>7.0000000000000007E-2</v>
      </c>
      <c r="K12" s="6">
        <v>0.09</v>
      </c>
      <c r="L12" s="8">
        <v>0.04</v>
      </c>
      <c r="N12" s="3">
        <v>350000</v>
      </c>
    </row>
    <row r="13" spans="1:14" x14ac:dyDescent="0.15">
      <c r="A13" s="3"/>
      <c r="B13" s="3">
        <v>600000</v>
      </c>
      <c r="C13" s="3">
        <v>4</v>
      </c>
      <c r="D13" s="3">
        <v>4</v>
      </c>
      <c r="E13" s="3">
        <v>678</v>
      </c>
      <c r="F13" s="5">
        <v>4333</v>
      </c>
      <c r="G13" s="5">
        <v>2889</v>
      </c>
      <c r="H13" s="5">
        <v>452</v>
      </c>
      <c r="J13" s="8">
        <v>0.08</v>
      </c>
      <c r="K13" s="8">
        <v>0.11</v>
      </c>
      <c r="L13" s="8">
        <v>0.05</v>
      </c>
      <c r="N13" s="3">
        <v>1000000</v>
      </c>
    </row>
    <row r="14" spans="1:14" x14ac:dyDescent="0.15">
      <c r="A14" s="3"/>
      <c r="B14" s="3">
        <v>2000000</v>
      </c>
      <c r="C14" s="3">
        <v>5</v>
      </c>
      <c r="D14" s="3">
        <v>1</v>
      </c>
      <c r="E14" s="3">
        <v>914</v>
      </c>
      <c r="F14" s="5">
        <v>6401</v>
      </c>
      <c r="G14" s="5">
        <v>4267</v>
      </c>
      <c r="H14" s="5">
        <v>610</v>
      </c>
      <c r="J14" s="8">
        <v>0.1</v>
      </c>
      <c r="K14" s="8">
        <v>0.13</v>
      </c>
      <c r="L14" s="8">
        <v>0.05</v>
      </c>
      <c r="N14" s="3">
        <v>2000000</v>
      </c>
    </row>
    <row r="15" spans="1:14" x14ac:dyDescent="0.15">
      <c r="A15" s="3"/>
      <c r="B15" s="3">
        <v>5000000</v>
      </c>
      <c r="C15" s="3">
        <v>5</v>
      </c>
      <c r="D15" s="3">
        <v>2</v>
      </c>
      <c r="E15" s="3">
        <v>1116</v>
      </c>
      <c r="F15" s="5">
        <v>7811</v>
      </c>
      <c r="G15" s="5">
        <v>5207</v>
      </c>
      <c r="H15" s="5">
        <v>744</v>
      </c>
      <c r="J15" s="8">
        <v>0.11</v>
      </c>
      <c r="K15" s="8">
        <v>0.15</v>
      </c>
      <c r="L15" s="8">
        <v>0.06</v>
      </c>
      <c r="N15" s="3">
        <v>5000000</v>
      </c>
    </row>
    <row r="16" spans="1:14" x14ac:dyDescent="0.15">
      <c r="A16" s="3"/>
      <c r="B16" s="3">
        <v>10000000</v>
      </c>
      <c r="C16" s="3">
        <v>5</v>
      </c>
      <c r="D16" s="3">
        <v>3</v>
      </c>
      <c r="E16" s="3">
        <v>1317</v>
      </c>
      <c r="F16" s="5">
        <v>9222</v>
      </c>
      <c r="G16" s="5">
        <v>6148</v>
      </c>
      <c r="H16" s="5">
        <v>878</v>
      </c>
      <c r="J16" s="8">
        <v>0.12</v>
      </c>
      <c r="K16" s="8">
        <v>0.17</v>
      </c>
      <c r="L16" s="8">
        <v>7.0000000000000007E-2</v>
      </c>
      <c r="N16" s="3">
        <v>10000000</v>
      </c>
    </row>
    <row r="17" spans="1:14" x14ac:dyDescent="0.15">
      <c r="A17" s="3"/>
      <c r="B17" s="3">
        <v>20000000</v>
      </c>
      <c r="C17" s="3">
        <v>5</v>
      </c>
      <c r="D17" s="3">
        <v>4</v>
      </c>
      <c r="E17" s="3">
        <v>1519</v>
      </c>
      <c r="F17" s="5">
        <v>10632</v>
      </c>
      <c r="G17" s="5">
        <v>7088</v>
      </c>
      <c r="H17" s="5">
        <v>1013</v>
      </c>
      <c r="J17" s="8">
        <v>0.14000000000000001</v>
      </c>
      <c r="K17" s="8">
        <v>0.19</v>
      </c>
      <c r="L17" s="8">
        <v>7.0000000000000007E-2</v>
      </c>
      <c r="N17" s="3">
        <v>20000000</v>
      </c>
    </row>
    <row r="18" spans="1:14" x14ac:dyDescent="0.15">
      <c r="A18" s="3"/>
      <c r="B18" s="3">
        <v>50000000</v>
      </c>
      <c r="C18" s="3">
        <v>5</v>
      </c>
      <c r="D18" s="3">
        <v>5</v>
      </c>
      <c r="E18" s="3">
        <v>2464</v>
      </c>
      <c r="F18" s="5">
        <v>32455</v>
      </c>
      <c r="G18" s="5">
        <v>20146</v>
      </c>
      <c r="H18" s="5">
        <v>1643</v>
      </c>
      <c r="J18" s="8">
        <v>0.15</v>
      </c>
      <c r="K18" s="8">
        <v>0.2</v>
      </c>
      <c r="L18" s="8">
        <v>0.08</v>
      </c>
      <c r="N18" s="3">
        <v>50000000</v>
      </c>
    </row>
    <row r="19" spans="1:14" x14ac:dyDescent="0.15">
      <c r="A19" s="3"/>
      <c r="B19" s="3">
        <v>100000000</v>
      </c>
      <c r="C19" s="3">
        <v>5</v>
      </c>
      <c r="D19" s="3">
        <v>6</v>
      </c>
      <c r="E19" s="3">
        <v>3704</v>
      </c>
      <c r="F19" s="5">
        <v>52449</v>
      </c>
      <c r="G19" s="5">
        <v>32367</v>
      </c>
      <c r="H19" s="5">
        <v>2469</v>
      </c>
      <c r="J19" s="8">
        <v>0.16</v>
      </c>
      <c r="K19" s="8">
        <v>0.21</v>
      </c>
      <c r="L19" s="8">
        <v>0.08</v>
      </c>
      <c r="N19" s="3">
        <v>100000000</v>
      </c>
    </row>
    <row r="20" spans="1:14" x14ac:dyDescent="0.15">
      <c r="A20" s="3"/>
      <c r="B20" s="3"/>
      <c r="C20" s="3"/>
      <c r="D20" s="3"/>
      <c r="E20" s="3"/>
      <c r="F20" s="1"/>
    </row>
    <row r="21" spans="1:14" x14ac:dyDescent="0.15">
      <c r="A21" s="3"/>
      <c r="B21" s="3"/>
      <c r="C21" s="3"/>
      <c r="D21" s="3"/>
      <c r="E21" s="3"/>
      <c r="F21" s="1"/>
    </row>
    <row r="22" spans="1:14" x14ac:dyDescent="0.15">
      <c r="A22" s="3"/>
      <c r="B22" s="3"/>
      <c r="C22" s="3"/>
      <c r="D22" s="3"/>
      <c r="E22" s="3"/>
      <c r="F22" s="1"/>
      <c r="J22">
        <f t="shared" ref="J22:L32" si="0">J9*100</f>
        <v>2</v>
      </c>
      <c r="K22">
        <f t="shared" si="0"/>
        <v>3</v>
      </c>
      <c r="L22">
        <f t="shared" si="0"/>
        <v>1</v>
      </c>
    </row>
    <row r="23" spans="1:14" x14ac:dyDescent="0.15">
      <c r="A23" s="3"/>
      <c r="B23" s="3"/>
      <c r="C23" s="3">
        <v>1</v>
      </c>
      <c r="D23" s="3">
        <v>1</v>
      </c>
      <c r="E23" s="3">
        <f>C23*30+D23*POWER(2,D23)</f>
        <v>32</v>
      </c>
      <c r="F23" s="1"/>
      <c r="J23">
        <f t="shared" si="0"/>
        <v>4</v>
      </c>
      <c r="K23">
        <f t="shared" si="0"/>
        <v>5</v>
      </c>
      <c r="L23">
        <f t="shared" si="0"/>
        <v>2</v>
      </c>
    </row>
    <row r="24" spans="1:14" x14ac:dyDescent="0.15">
      <c r="A24" s="3"/>
      <c r="B24" s="3"/>
      <c r="C24" s="3">
        <v>1</v>
      </c>
      <c r="D24" s="3">
        <v>2</v>
      </c>
      <c r="E24" s="3">
        <f>C24*30+D24*POWER(2,D24)</f>
        <v>38</v>
      </c>
      <c r="F24" s="1"/>
      <c r="J24">
        <f t="shared" si="0"/>
        <v>5</v>
      </c>
      <c r="K24">
        <f t="shared" si="0"/>
        <v>7.0000000000000009</v>
      </c>
      <c r="L24">
        <f t="shared" si="0"/>
        <v>4</v>
      </c>
    </row>
    <row r="25" spans="1:14" x14ac:dyDescent="0.15">
      <c r="A25" s="3"/>
      <c r="B25" s="3"/>
      <c r="C25" s="3">
        <v>2</v>
      </c>
      <c r="D25" s="3">
        <v>1</v>
      </c>
      <c r="E25" s="3">
        <f>C25*30+D25*POWER(2,D25)</f>
        <v>62</v>
      </c>
      <c r="F25" s="1"/>
      <c r="J25">
        <f t="shared" si="0"/>
        <v>7.0000000000000009</v>
      </c>
      <c r="K25">
        <f t="shared" si="0"/>
        <v>9</v>
      </c>
      <c r="L25">
        <f t="shared" si="0"/>
        <v>4</v>
      </c>
    </row>
    <row r="26" spans="1:14" x14ac:dyDescent="0.15">
      <c r="A26" s="3"/>
      <c r="B26" s="3"/>
      <c r="C26" s="3">
        <v>2</v>
      </c>
      <c r="D26" s="3">
        <v>2</v>
      </c>
      <c r="E26" s="3">
        <f>C26*30+D26*POWER(2,D26)</f>
        <v>68</v>
      </c>
      <c r="F26" s="1"/>
      <c r="J26">
        <f t="shared" si="0"/>
        <v>8</v>
      </c>
      <c r="K26">
        <f t="shared" si="0"/>
        <v>11</v>
      </c>
      <c r="L26">
        <f t="shared" si="0"/>
        <v>5</v>
      </c>
    </row>
    <row r="27" spans="1:14" x14ac:dyDescent="0.15">
      <c r="A27" s="3"/>
      <c r="B27" s="3"/>
      <c r="C27" s="3">
        <v>3</v>
      </c>
      <c r="D27" s="3">
        <v>1</v>
      </c>
      <c r="E27" s="3"/>
      <c r="F27" s="1"/>
      <c r="J27">
        <f t="shared" si="0"/>
        <v>10</v>
      </c>
      <c r="K27">
        <f t="shared" si="0"/>
        <v>13</v>
      </c>
      <c r="L27">
        <f t="shared" si="0"/>
        <v>5</v>
      </c>
    </row>
    <row r="28" spans="1:14" x14ac:dyDescent="0.15">
      <c r="C28" s="3">
        <v>3</v>
      </c>
      <c r="D28" s="3">
        <v>2</v>
      </c>
      <c r="J28">
        <f t="shared" si="0"/>
        <v>11</v>
      </c>
      <c r="K28">
        <f t="shared" si="0"/>
        <v>15</v>
      </c>
      <c r="L28">
        <f t="shared" si="0"/>
        <v>6</v>
      </c>
    </row>
    <row r="29" spans="1:14" x14ac:dyDescent="0.15">
      <c r="C29" s="3">
        <v>3</v>
      </c>
      <c r="D29" s="3">
        <v>3</v>
      </c>
      <c r="J29">
        <f t="shared" si="0"/>
        <v>12</v>
      </c>
      <c r="K29">
        <f t="shared" si="0"/>
        <v>17</v>
      </c>
      <c r="L29">
        <f t="shared" si="0"/>
        <v>7.0000000000000009</v>
      </c>
    </row>
    <row r="30" spans="1:14" x14ac:dyDescent="0.15">
      <c r="C30" s="3">
        <v>4</v>
      </c>
      <c r="D30" s="3">
        <v>1</v>
      </c>
      <c r="J30">
        <f t="shared" si="0"/>
        <v>14.000000000000002</v>
      </c>
      <c r="K30">
        <f t="shared" si="0"/>
        <v>19</v>
      </c>
      <c r="L30">
        <f t="shared" si="0"/>
        <v>7.0000000000000009</v>
      </c>
    </row>
    <row r="31" spans="1:14" x14ac:dyDescent="0.15">
      <c r="C31" s="3">
        <v>4</v>
      </c>
      <c r="D31" s="3">
        <v>2</v>
      </c>
      <c r="J31">
        <f t="shared" si="0"/>
        <v>15</v>
      </c>
      <c r="K31">
        <f t="shared" si="0"/>
        <v>20</v>
      </c>
      <c r="L31">
        <f t="shared" si="0"/>
        <v>8</v>
      </c>
    </row>
    <row r="32" spans="1:14" x14ac:dyDescent="0.15">
      <c r="C32" s="3">
        <v>4</v>
      </c>
      <c r="D32" s="3">
        <v>3</v>
      </c>
      <c r="J32">
        <f t="shared" si="0"/>
        <v>16</v>
      </c>
      <c r="K32">
        <f t="shared" si="0"/>
        <v>21</v>
      </c>
      <c r="L32">
        <f t="shared" si="0"/>
        <v>8</v>
      </c>
    </row>
    <row r="33" spans="3:7" x14ac:dyDescent="0.15">
      <c r="C33" s="3">
        <v>4</v>
      </c>
      <c r="D33" s="3">
        <v>4</v>
      </c>
    </row>
    <row r="34" spans="3:7" x14ac:dyDescent="0.15">
      <c r="C34" s="3">
        <v>5</v>
      </c>
      <c r="D34" s="3">
        <v>1</v>
      </c>
    </row>
    <row r="35" spans="3:7" x14ac:dyDescent="0.15">
      <c r="C35" s="3">
        <v>5</v>
      </c>
      <c r="D35" s="3">
        <v>2</v>
      </c>
    </row>
    <row r="36" spans="3:7" x14ac:dyDescent="0.15">
      <c r="C36" s="3">
        <v>5</v>
      </c>
      <c r="D36" s="3">
        <v>3</v>
      </c>
    </row>
    <row r="37" spans="3:7" x14ac:dyDescent="0.15">
      <c r="C37" s="3">
        <v>5</v>
      </c>
      <c r="D37" s="3">
        <v>4</v>
      </c>
    </row>
    <row r="38" spans="3:7" x14ac:dyDescent="0.15">
      <c r="C38" s="3">
        <v>5</v>
      </c>
      <c r="D38" s="3">
        <v>5</v>
      </c>
    </row>
    <row r="39" spans="3:7" x14ac:dyDescent="0.15">
      <c r="C39" s="3">
        <v>5</v>
      </c>
      <c r="D39" s="3">
        <v>6</v>
      </c>
    </row>
    <row r="41" spans="3:7" x14ac:dyDescent="0.15">
      <c r="G41" s="3">
        <v>590</v>
      </c>
    </row>
    <row r="42" spans="3:7" x14ac:dyDescent="0.15">
      <c r="G42" s="5">
        <v>3770</v>
      </c>
    </row>
    <row r="43" spans="3:7" x14ac:dyDescent="0.15">
      <c r="G43" s="5">
        <v>2513</v>
      </c>
    </row>
    <row r="44" spans="3:7" x14ac:dyDescent="0.15">
      <c r="G44" s="5">
        <v>393</v>
      </c>
    </row>
    <row r="45" spans="3:7" x14ac:dyDescent="0.15">
      <c r="G45" s="3">
        <v>678</v>
      </c>
    </row>
    <row r="46" spans="3:7" x14ac:dyDescent="0.15">
      <c r="G46" s="5">
        <v>4333</v>
      </c>
    </row>
    <row r="47" spans="3:7" x14ac:dyDescent="0.15">
      <c r="G47" s="5">
        <v>2889</v>
      </c>
    </row>
    <row r="48" spans="3:7" x14ac:dyDescent="0.15">
      <c r="G48" s="5">
        <v>452</v>
      </c>
    </row>
    <row r="49" spans="7:7" x14ac:dyDescent="0.15">
      <c r="G49" s="3">
        <v>914</v>
      </c>
    </row>
    <row r="50" spans="7:7" x14ac:dyDescent="0.15">
      <c r="G50" s="5">
        <v>6401</v>
      </c>
    </row>
    <row r="51" spans="7:7" x14ac:dyDescent="0.15">
      <c r="G51" s="5">
        <v>4267</v>
      </c>
    </row>
    <row r="52" spans="7:7" x14ac:dyDescent="0.15">
      <c r="G52" s="5">
        <v>610</v>
      </c>
    </row>
    <row r="53" spans="7:7" x14ac:dyDescent="0.15">
      <c r="G53" s="3">
        <v>1116</v>
      </c>
    </row>
    <row r="54" spans="7:7" x14ac:dyDescent="0.15">
      <c r="G54" s="5">
        <v>7811</v>
      </c>
    </row>
    <row r="55" spans="7:7" x14ac:dyDescent="0.15">
      <c r="G55" s="5">
        <v>5207</v>
      </c>
    </row>
    <row r="56" spans="7:7" x14ac:dyDescent="0.15">
      <c r="G56" s="5">
        <v>744</v>
      </c>
    </row>
    <row r="57" spans="7:7" x14ac:dyDescent="0.15">
      <c r="G57" s="3">
        <v>1317</v>
      </c>
    </row>
    <row r="58" spans="7:7" x14ac:dyDescent="0.15">
      <c r="G58" s="5">
        <v>9222</v>
      </c>
    </row>
    <row r="59" spans="7:7" x14ac:dyDescent="0.15">
      <c r="G59" s="5">
        <v>6148</v>
      </c>
    </row>
    <row r="60" spans="7:7" x14ac:dyDescent="0.15">
      <c r="G60" s="5">
        <v>878</v>
      </c>
    </row>
    <row r="61" spans="7:7" x14ac:dyDescent="0.15">
      <c r="G61" s="3">
        <v>1519</v>
      </c>
    </row>
    <row r="62" spans="7:7" x14ac:dyDescent="0.15">
      <c r="G62" s="5">
        <v>10632</v>
      </c>
    </row>
    <row r="63" spans="7:7" x14ac:dyDescent="0.15">
      <c r="G63" s="5">
        <v>7088</v>
      </c>
    </row>
    <row r="64" spans="7:7" x14ac:dyDescent="0.15">
      <c r="G64" s="5">
        <v>1013</v>
      </c>
    </row>
    <row r="65" spans="7:7" x14ac:dyDescent="0.15">
      <c r="G65" s="3">
        <v>2464</v>
      </c>
    </row>
    <row r="66" spans="7:7" x14ac:dyDescent="0.15">
      <c r="G66" s="5">
        <v>32455</v>
      </c>
    </row>
    <row r="67" spans="7:7" x14ac:dyDescent="0.15">
      <c r="G67" s="5">
        <v>20146</v>
      </c>
    </row>
    <row r="68" spans="7:7" x14ac:dyDescent="0.15">
      <c r="G68" s="5">
        <v>1643</v>
      </c>
    </row>
    <row r="69" spans="7:7" x14ac:dyDescent="0.15">
      <c r="G69" s="3">
        <v>3704</v>
      </c>
    </row>
    <row r="70" spans="7:7" x14ac:dyDescent="0.15">
      <c r="G70" s="5">
        <v>52449</v>
      </c>
    </row>
    <row r="71" spans="7:7" x14ac:dyDescent="0.15">
      <c r="G71" s="5">
        <v>32367</v>
      </c>
    </row>
    <row r="72" spans="7:7" x14ac:dyDescent="0.15">
      <c r="G72" s="5">
        <v>2469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X28"/>
  <sheetViews>
    <sheetView workbookViewId="0">
      <selection activeCell="K19" sqref="K19"/>
    </sheetView>
  </sheetViews>
  <sheetFormatPr defaultColWidth="9" defaultRowHeight="13.5" x14ac:dyDescent="0.15"/>
  <cols>
    <col min="4" max="6" width="13" customWidth="1"/>
    <col min="7" max="7" width="17.25" customWidth="1"/>
    <col min="8" max="8" width="15.125" customWidth="1"/>
    <col min="11" max="11" width="12.25" customWidth="1"/>
    <col min="12" max="12" width="9.75" customWidth="1"/>
  </cols>
  <sheetData>
    <row r="2" spans="2:15" x14ac:dyDescent="0.15">
      <c r="B2" s="1" t="s">
        <v>24</v>
      </c>
      <c r="C2" s="1" t="s">
        <v>25</v>
      </c>
      <c r="D2" s="2" t="s">
        <v>196</v>
      </c>
      <c r="E2" s="2" t="s">
        <v>197</v>
      </c>
      <c r="F2" s="2" t="s">
        <v>198</v>
      </c>
      <c r="G2" s="2" t="s">
        <v>199</v>
      </c>
      <c r="H2" s="2" t="s">
        <v>200</v>
      </c>
      <c r="I2" s="2" t="s">
        <v>201</v>
      </c>
      <c r="J2" s="2" t="s">
        <v>202</v>
      </c>
      <c r="K2" s="2" t="s">
        <v>203</v>
      </c>
      <c r="L2" s="2" t="s">
        <v>204</v>
      </c>
      <c r="M2" s="2" t="s">
        <v>205</v>
      </c>
      <c r="N2" s="2" t="s">
        <v>206</v>
      </c>
      <c r="O2" s="2" t="s">
        <v>207</v>
      </c>
    </row>
    <row r="3" spans="2:15" x14ac:dyDescent="0.15">
      <c r="B3" s="3">
        <v>1</v>
      </c>
      <c r="C3" s="3">
        <v>1</v>
      </c>
      <c r="D3">
        <v>2</v>
      </c>
      <c r="E3">
        <v>20</v>
      </c>
      <c r="F3">
        <v>0</v>
      </c>
      <c r="G3">
        <f>INDEX($I$24:$V$24,MATCH(D3,$I$23:$V$23,0))*($C$23+$D$23*E3)*INDEX($I$26:$W$26,MATCH(F3,$I$25:$W$25,0))</f>
        <v>264</v>
      </c>
      <c r="H3">
        <f>INDEX($I$24:$V$24,MATCH(D3,$I$23:$V$23,0))*($E$23+$F$23*E3)*INDEX($I$26:$W$26,MATCH(F3,$I$25:$W$25,0))</f>
        <v>3168.0000000000005</v>
      </c>
      <c r="I3">
        <v>0.1</v>
      </c>
      <c r="J3">
        <f>G3*I3</f>
        <v>26.400000000000002</v>
      </c>
      <c r="K3">
        <f>H3*I3</f>
        <v>316.80000000000007</v>
      </c>
      <c r="L3">
        <f>J3*$E$28</f>
        <v>15.84</v>
      </c>
      <c r="M3">
        <f>J3*$G$28</f>
        <v>10.560000000000002</v>
      </c>
      <c r="N3">
        <f>K3*$I$28</f>
        <v>126.72000000000003</v>
      </c>
      <c r="O3">
        <f>K3*$K$28</f>
        <v>190.08000000000004</v>
      </c>
    </row>
    <row r="4" spans="2:15" x14ac:dyDescent="0.15">
      <c r="B4" s="3">
        <v>1</v>
      </c>
      <c r="C4" s="3">
        <v>2</v>
      </c>
      <c r="D4">
        <v>2</v>
      </c>
      <c r="E4">
        <v>30</v>
      </c>
      <c r="F4">
        <v>1</v>
      </c>
      <c r="G4">
        <f t="shared" ref="G4:G19" si="0">INDEX($I$24:$V$24,MATCH(D4,$I$23:$V$23,0))*($C$23+$D$23*E4)*INDEX($I$26:$W$26,MATCH(F4,$I$25:$W$25,0))</f>
        <v>422.4</v>
      </c>
      <c r="H4">
        <f t="shared" ref="H4:H19" si="1">INDEX($I$24:$V$24,MATCH(D4,$I$23:$V$23,0))*($E$23+$F$23*E4)*INDEX($I$26:$W$26,MATCH(F4,$I$25:$W$25,0))</f>
        <v>5068.8</v>
      </c>
      <c r="I4">
        <v>0.1</v>
      </c>
      <c r="J4">
        <f t="shared" ref="J4:J19" si="2">G4*I4</f>
        <v>42.24</v>
      </c>
      <c r="K4">
        <f t="shared" ref="K4:K19" si="3">H4*I4</f>
        <v>506.88000000000005</v>
      </c>
      <c r="L4">
        <f t="shared" ref="L4:L19" si="4">J4*$E$28</f>
        <v>25.344000000000001</v>
      </c>
      <c r="M4">
        <f t="shared" ref="M4:M19" si="5">J4*$G$28</f>
        <v>16.896000000000001</v>
      </c>
      <c r="N4">
        <f t="shared" ref="N4:N19" si="6">K4*$I$28</f>
        <v>202.75200000000004</v>
      </c>
      <c r="O4">
        <f t="shared" ref="O4:O19" si="7">K4*$K$28</f>
        <v>304.12800000000004</v>
      </c>
    </row>
    <row r="5" spans="2:15" x14ac:dyDescent="0.15">
      <c r="B5" s="3">
        <v>2</v>
      </c>
      <c r="C5" s="3">
        <v>1</v>
      </c>
      <c r="D5">
        <v>4</v>
      </c>
      <c r="E5">
        <v>30</v>
      </c>
      <c r="F5">
        <v>1</v>
      </c>
      <c r="G5">
        <f t="shared" si="0"/>
        <v>537.6</v>
      </c>
      <c r="H5">
        <f t="shared" si="1"/>
        <v>6451.2</v>
      </c>
      <c r="I5">
        <v>0.1</v>
      </c>
      <c r="J5">
        <f t="shared" si="2"/>
        <v>53.760000000000005</v>
      </c>
      <c r="K5">
        <f t="shared" si="3"/>
        <v>645.12</v>
      </c>
      <c r="L5">
        <f t="shared" si="4"/>
        <v>32.256</v>
      </c>
      <c r="M5">
        <f t="shared" si="5"/>
        <v>21.504000000000005</v>
      </c>
      <c r="N5">
        <f t="shared" si="6"/>
        <v>258.048</v>
      </c>
      <c r="O5">
        <f t="shared" si="7"/>
        <v>387.072</v>
      </c>
    </row>
    <row r="6" spans="2:15" x14ac:dyDescent="0.15">
      <c r="B6" s="3">
        <v>2</v>
      </c>
      <c r="C6" s="3">
        <v>2</v>
      </c>
      <c r="D6">
        <v>4</v>
      </c>
      <c r="E6">
        <v>40</v>
      </c>
      <c r="F6">
        <v>1</v>
      </c>
      <c r="G6">
        <f t="shared" si="0"/>
        <v>672</v>
      </c>
      <c r="H6">
        <f t="shared" si="1"/>
        <v>8064</v>
      </c>
      <c r="I6">
        <v>0.1</v>
      </c>
      <c r="J6">
        <f t="shared" si="2"/>
        <v>67.2</v>
      </c>
      <c r="K6">
        <f t="shared" si="3"/>
        <v>806.40000000000009</v>
      </c>
      <c r="L6">
        <f t="shared" si="4"/>
        <v>40.32</v>
      </c>
      <c r="M6">
        <f t="shared" si="5"/>
        <v>26.880000000000003</v>
      </c>
      <c r="N6">
        <f t="shared" si="6"/>
        <v>322.56000000000006</v>
      </c>
      <c r="O6">
        <f t="shared" si="7"/>
        <v>483.84000000000003</v>
      </c>
    </row>
    <row r="7" spans="2:15" x14ac:dyDescent="0.15">
      <c r="B7" s="3">
        <v>3</v>
      </c>
      <c r="C7" s="3">
        <v>1</v>
      </c>
      <c r="D7">
        <v>5</v>
      </c>
      <c r="E7">
        <v>45</v>
      </c>
      <c r="F7">
        <v>2</v>
      </c>
      <c r="G7">
        <f t="shared" si="0"/>
        <v>880</v>
      </c>
      <c r="H7">
        <f t="shared" si="1"/>
        <v>10560</v>
      </c>
      <c r="I7">
        <v>0.1</v>
      </c>
      <c r="J7">
        <f t="shared" si="2"/>
        <v>88</v>
      </c>
      <c r="K7">
        <f t="shared" si="3"/>
        <v>1056</v>
      </c>
      <c r="L7">
        <f t="shared" si="4"/>
        <v>52.8</v>
      </c>
      <c r="M7">
        <f t="shared" si="5"/>
        <v>35.200000000000003</v>
      </c>
      <c r="N7">
        <f t="shared" si="6"/>
        <v>422.40000000000003</v>
      </c>
      <c r="O7">
        <f t="shared" si="7"/>
        <v>633.6</v>
      </c>
    </row>
    <row r="8" spans="2:15" x14ac:dyDescent="0.15">
      <c r="B8" s="3">
        <v>3</v>
      </c>
      <c r="C8" s="3">
        <v>2</v>
      </c>
      <c r="D8">
        <v>5</v>
      </c>
      <c r="E8">
        <v>50</v>
      </c>
      <c r="F8">
        <v>3</v>
      </c>
      <c r="G8">
        <f t="shared" si="0"/>
        <v>1113.5999999999999</v>
      </c>
      <c r="H8">
        <f t="shared" si="1"/>
        <v>13363.199999999999</v>
      </c>
      <c r="I8">
        <v>0.1</v>
      </c>
      <c r="J8">
        <f t="shared" si="2"/>
        <v>111.36</v>
      </c>
      <c r="K8">
        <f t="shared" si="3"/>
        <v>1336.32</v>
      </c>
      <c r="L8">
        <f t="shared" si="4"/>
        <v>66.816000000000003</v>
      </c>
      <c r="M8">
        <f t="shared" si="5"/>
        <v>44.544000000000004</v>
      </c>
      <c r="N8">
        <f t="shared" si="6"/>
        <v>534.52800000000002</v>
      </c>
      <c r="O8">
        <f t="shared" si="7"/>
        <v>801.79199999999992</v>
      </c>
    </row>
    <row r="9" spans="2:15" x14ac:dyDescent="0.15">
      <c r="B9" s="3">
        <v>3</v>
      </c>
      <c r="C9" s="3">
        <v>3</v>
      </c>
      <c r="D9">
        <v>5</v>
      </c>
      <c r="E9">
        <v>60</v>
      </c>
      <c r="F9">
        <v>4</v>
      </c>
      <c r="G9">
        <f t="shared" si="0"/>
        <v>1344</v>
      </c>
      <c r="H9">
        <f t="shared" si="1"/>
        <v>16128</v>
      </c>
      <c r="I9">
        <v>0.1</v>
      </c>
      <c r="J9">
        <f t="shared" si="2"/>
        <v>134.4</v>
      </c>
      <c r="K9">
        <f t="shared" si="3"/>
        <v>1612.8000000000002</v>
      </c>
      <c r="L9">
        <f t="shared" si="4"/>
        <v>80.64</v>
      </c>
      <c r="M9">
        <f t="shared" si="5"/>
        <v>53.760000000000005</v>
      </c>
      <c r="N9">
        <f t="shared" si="6"/>
        <v>645.12000000000012</v>
      </c>
      <c r="O9">
        <f t="shared" si="7"/>
        <v>967.68000000000006</v>
      </c>
    </row>
    <row r="10" spans="2:15" x14ac:dyDescent="0.15">
      <c r="B10" s="3">
        <v>4</v>
      </c>
      <c r="C10" s="3">
        <v>1</v>
      </c>
      <c r="D10">
        <v>6</v>
      </c>
      <c r="E10">
        <v>80</v>
      </c>
      <c r="F10">
        <v>5</v>
      </c>
      <c r="G10">
        <f t="shared" si="0"/>
        <v>2008.8</v>
      </c>
      <c r="H10">
        <f t="shared" si="1"/>
        <v>24105.600000000002</v>
      </c>
      <c r="I10">
        <v>0.1</v>
      </c>
      <c r="J10">
        <f t="shared" si="2"/>
        <v>200.88</v>
      </c>
      <c r="K10">
        <f t="shared" si="3"/>
        <v>2410.5600000000004</v>
      </c>
      <c r="L10">
        <f t="shared" si="4"/>
        <v>120.52799999999999</v>
      </c>
      <c r="M10">
        <f t="shared" si="5"/>
        <v>80.352000000000004</v>
      </c>
      <c r="N10">
        <f t="shared" si="6"/>
        <v>964.22400000000016</v>
      </c>
      <c r="O10">
        <f t="shared" si="7"/>
        <v>1446.3360000000002</v>
      </c>
    </row>
    <row r="11" spans="2:15" x14ac:dyDescent="0.15">
      <c r="B11" s="3">
        <v>4</v>
      </c>
      <c r="C11" s="3">
        <v>2</v>
      </c>
      <c r="D11">
        <v>6</v>
      </c>
      <c r="E11">
        <v>100</v>
      </c>
      <c r="F11">
        <v>5</v>
      </c>
      <c r="G11">
        <f t="shared" si="0"/>
        <v>2455.2000000000003</v>
      </c>
      <c r="H11">
        <f t="shared" si="1"/>
        <v>29462.400000000001</v>
      </c>
      <c r="I11">
        <v>0.1</v>
      </c>
      <c r="J11">
        <f t="shared" si="2"/>
        <v>245.52000000000004</v>
      </c>
      <c r="K11">
        <f t="shared" si="3"/>
        <v>2946.2400000000002</v>
      </c>
      <c r="L11">
        <f t="shared" si="4"/>
        <v>147.31200000000001</v>
      </c>
      <c r="M11">
        <f t="shared" si="5"/>
        <v>98.208000000000027</v>
      </c>
      <c r="N11">
        <f t="shared" si="6"/>
        <v>1178.4960000000001</v>
      </c>
      <c r="O11">
        <f t="shared" si="7"/>
        <v>1767.7440000000001</v>
      </c>
    </row>
    <row r="12" spans="2:15" x14ac:dyDescent="0.15">
      <c r="B12" s="3">
        <v>4</v>
      </c>
      <c r="C12" s="3">
        <v>3</v>
      </c>
      <c r="D12">
        <v>6</v>
      </c>
      <c r="E12">
        <v>120</v>
      </c>
      <c r="F12">
        <v>5</v>
      </c>
      <c r="G12">
        <f t="shared" si="0"/>
        <v>2901.6</v>
      </c>
      <c r="H12">
        <f t="shared" si="1"/>
        <v>34819.200000000004</v>
      </c>
      <c r="I12">
        <v>0.1</v>
      </c>
      <c r="J12">
        <f t="shared" si="2"/>
        <v>290.16000000000003</v>
      </c>
      <c r="K12">
        <f t="shared" si="3"/>
        <v>3481.9200000000005</v>
      </c>
      <c r="L12">
        <f t="shared" si="4"/>
        <v>174.096</v>
      </c>
      <c r="M12">
        <f t="shared" si="5"/>
        <v>116.06400000000002</v>
      </c>
      <c r="N12">
        <f t="shared" si="6"/>
        <v>1392.7680000000003</v>
      </c>
      <c r="O12">
        <f t="shared" si="7"/>
        <v>2089.152</v>
      </c>
    </row>
    <row r="13" spans="2:15" x14ac:dyDescent="0.15">
      <c r="B13" s="3">
        <v>4</v>
      </c>
      <c r="C13" s="3">
        <v>4</v>
      </c>
      <c r="D13">
        <v>6</v>
      </c>
      <c r="E13">
        <v>130</v>
      </c>
      <c r="F13">
        <v>5</v>
      </c>
      <c r="G13">
        <f t="shared" si="0"/>
        <v>3124.8</v>
      </c>
      <c r="H13">
        <f t="shared" si="1"/>
        <v>37497.599999999999</v>
      </c>
      <c r="I13">
        <v>0.1</v>
      </c>
      <c r="J13">
        <f t="shared" si="2"/>
        <v>312.48</v>
      </c>
      <c r="K13">
        <f t="shared" si="3"/>
        <v>3749.76</v>
      </c>
      <c r="L13">
        <f t="shared" si="4"/>
        <v>187.488</v>
      </c>
      <c r="M13">
        <f t="shared" si="5"/>
        <v>124.99200000000002</v>
      </c>
      <c r="N13">
        <f t="shared" si="6"/>
        <v>1499.9040000000002</v>
      </c>
      <c r="O13">
        <f t="shared" si="7"/>
        <v>2249.8560000000002</v>
      </c>
    </row>
    <row r="14" spans="2:15" x14ac:dyDescent="0.15">
      <c r="B14" s="3">
        <v>5</v>
      </c>
      <c r="C14" s="3">
        <v>1</v>
      </c>
      <c r="D14">
        <v>7</v>
      </c>
      <c r="E14">
        <v>140</v>
      </c>
      <c r="F14">
        <v>6</v>
      </c>
      <c r="G14">
        <f t="shared" si="0"/>
        <v>4200</v>
      </c>
      <c r="H14">
        <f t="shared" si="1"/>
        <v>50400</v>
      </c>
      <c r="I14">
        <v>0.1</v>
      </c>
      <c r="J14">
        <f t="shared" si="2"/>
        <v>420</v>
      </c>
      <c r="K14">
        <f t="shared" si="3"/>
        <v>5040</v>
      </c>
      <c r="L14">
        <f t="shared" si="4"/>
        <v>252</v>
      </c>
      <c r="M14">
        <f t="shared" si="5"/>
        <v>168</v>
      </c>
      <c r="N14">
        <f t="shared" si="6"/>
        <v>2016</v>
      </c>
      <c r="O14">
        <f t="shared" si="7"/>
        <v>3024</v>
      </c>
    </row>
    <row r="15" spans="2:15" x14ac:dyDescent="0.15">
      <c r="B15" s="3">
        <v>5</v>
      </c>
      <c r="C15" s="3">
        <v>2</v>
      </c>
      <c r="D15">
        <v>7</v>
      </c>
      <c r="E15">
        <v>150</v>
      </c>
      <c r="F15">
        <v>6</v>
      </c>
      <c r="G15">
        <f t="shared" si="0"/>
        <v>4480</v>
      </c>
      <c r="H15">
        <f t="shared" si="1"/>
        <v>53760</v>
      </c>
      <c r="I15">
        <v>0.1</v>
      </c>
      <c r="J15">
        <f t="shared" si="2"/>
        <v>448</v>
      </c>
      <c r="K15">
        <f t="shared" si="3"/>
        <v>5376</v>
      </c>
      <c r="L15">
        <f t="shared" si="4"/>
        <v>268.8</v>
      </c>
      <c r="M15">
        <f t="shared" si="5"/>
        <v>179.20000000000002</v>
      </c>
      <c r="N15">
        <f t="shared" si="6"/>
        <v>2150.4</v>
      </c>
      <c r="O15">
        <f t="shared" si="7"/>
        <v>3225.6</v>
      </c>
    </row>
    <row r="16" spans="2:15" x14ac:dyDescent="0.15">
      <c r="B16" s="3">
        <v>5</v>
      </c>
      <c r="C16" s="3">
        <v>3</v>
      </c>
      <c r="D16">
        <v>8</v>
      </c>
      <c r="E16">
        <v>160</v>
      </c>
      <c r="F16">
        <v>6</v>
      </c>
      <c r="G16">
        <f t="shared" si="0"/>
        <v>5236.0000000000009</v>
      </c>
      <c r="H16">
        <f t="shared" si="1"/>
        <v>62832</v>
      </c>
      <c r="I16">
        <v>0.1</v>
      </c>
      <c r="J16">
        <f t="shared" si="2"/>
        <v>523.60000000000014</v>
      </c>
      <c r="K16">
        <f t="shared" si="3"/>
        <v>6283.2000000000007</v>
      </c>
      <c r="L16">
        <f t="shared" si="4"/>
        <v>314.16000000000008</v>
      </c>
      <c r="M16">
        <f t="shared" si="5"/>
        <v>209.44000000000005</v>
      </c>
      <c r="N16">
        <f t="shared" si="6"/>
        <v>2513.2800000000007</v>
      </c>
      <c r="O16">
        <f t="shared" si="7"/>
        <v>3769.92</v>
      </c>
    </row>
    <row r="17" spans="2:24" x14ac:dyDescent="0.15">
      <c r="B17" s="3">
        <v>5</v>
      </c>
      <c r="C17" s="3">
        <v>4</v>
      </c>
      <c r="D17">
        <v>8</v>
      </c>
      <c r="E17">
        <v>170</v>
      </c>
      <c r="F17">
        <v>6</v>
      </c>
      <c r="G17">
        <f t="shared" si="0"/>
        <v>5544.0000000000009</v>
      </c>
      <c r="H17">
        <f t="shared" si="1"/>
        <v>66528</v>
      </c>
      <c r="I17">
        <v>0.1</v>
      </c>
      <c r="J17">
        <f t="shared" si="2"/>
        <v>554.40000000000009</v>
      </c>
      <c r="K17">
        <f t="shared" si="3"/>
        <v>6652.8</v>
      </c>
      <c r="L17">
        <f t="shared" si="4"/>
        <v>332.64000000000004</v>
      </c>
      <c r="M17">
        <f t="shared" si="5"/>
        <v>221.76000000000005</v>
      </c>
      <c r="N17">
        <f t="shared" si="6"/>
        <v>2661.1200000000003</v>
      </c>
      <c r="O17">
        <f t="shared" si="7"/>
        <v>3991.68</v>
      </c>
    </row>
    <row r="18" spans="2:24" x14ac:dyDescent="0.15">
      <c r="B18" s="3">
        <v>5</v>
      </c>
      <c r="C18" s="3">
        <v>5</v>
      </c>
      <c r="D18">
        <v>9</v>
      </c>
      <c r="E18">
        <v>180</v>
      </c>
      <c r="F18">
        <v>6</v>
      </c>
      <c r="G18">
        <f t="shared" si="0"/>
        <v>6384</v>
      </c>
      <c r="H18">
        <f t="shared" si="1"/>
        <v>76608</v>
      </c>
      <c r="I18">
        <v>0.1</v>
      </c>
      <c r="J18">
        <f t="shared" si="2"/>
        <v>638.40000000000009</v>
      </c>
      <c r="K18">
        <f t="shared" si="3"/>
        <v>7660.8</v>
      </c>
      <c r="L18">
        <f t="shared" si="4"/>
        <v>383.04</v>
      </c>
      <c r="M18">
        <f t="shared" si="5"/>
        <v>255.36000000000004</v>
      </c>
      <c r="N18">
        <f t="shared" si="6"/>
        <v>3064.32</v>
      </c>
      <c r="O18">
        <f t="shared" si="7"/>
        <v>4596.4799999999996</v>
      </c>
    </row>
    <row r="19" spans="2:24" x14ac:dyDescent="0.15">
      <c r="B19" s="3">
        <v>6</v>
      </c>
      <c r="C19" s="3">
        <v>1</v>
      </c>
      <c r="D19">
        <v>10</v>
      </c>
      <c r="E19">
        <v>200</v>
      </c>
      <c r="F19">
        <v>7</v>
      </c>
      <c r="G19">
        <f t="shared" si="0"/>
        <v>7862.4000000000005</v>
      </c>
      <c r="H19">
        <f t="shared" si="1"/>
        <v>94348.800000000003</v>
      </c>
      <c r="I19">
        <v>0.1</v>
      </c>
      <c r="J19">
        <f t="shared" si="2"/>
        <v>786.24000000000012</v>
      </c>
      <c r="K19">
        <f t="shared" si="3"/>
        <v>9434.880000000001</v>
      </c>
      <c r="L19">
        <f t="shared" si="4"/>
        <v>471.74400000000003</v>
      </c>
      <c r="M19">
        <f t="shared" si="5"/>
        <v>314.49600000000009</v>
      </c>
      <c r="N19">
        <f t="shared" si="6"/>
        <v>3773.9520000000007</v>
      </c>
      <c r="O19">
        <f t="shared" si="7"/>
        <v>5660.9280000000008</v>
      </c>
    </row>
    <row r="23" spans="2:24" x14ac:dyDescent="0.15">
      <c r="C23">
        <v>80</v>
      </c>
      <c r="D23">
        <v>8</v>
      </c>
      <c r="E23">
        <v>960</v>
      </c>
      <c r="F23">
        <v>96</v>
      </c>
      <c r="H23" s="2" t="s">
        <v>208</v>
      </c>
      <c r="I23">
        <v>1</v>
      </c>
      <c r="J23" s="3">
        <v>2</v>
      </c>
      <c r="K23" s="3">
        <v>3</v>
      </c>
      <c r="L23" s="3">
        <v>4</v>
      </c>
      <c r="M23" s="3">
        <v>5</v>
      </c>
      <c r="N23" s="3">
        <v>6</v>
      </c>
      <c r="O23" s="3">
        <v>7</v>
      </c>
      <c r="P23" s="3">
        <v>8</v>
      </c>
      <c r="Q23" s="3">
        <v>9</v>
      </c>
      <c r="R23" s="3">
        <v>10</v>
      </c>
      <c r="S23" s="3">
        <v>11</v>
      </c>
      <c r="T23" s="3">
        <v>12</v>
      </c>
      <c r="U23" s="3">
        <v>13</v>
      </c>
      <c r="V23" s="3">
        <v>14</v>
      </c>
    </row>
    <row r="24" spans="2:24" x14ac:dyDescent="0.15">
      <c r="I24">
        <v>1</v>
      </c>
      <c r="J24" s="3">
        <v>1.1000000000000001</v>
      </c>
      <c r="K24">
        <v>1.2</v>
      </c>
      <c r="L24" s="3">
        <v>1.4</v>
      </c>
      <c r="M24">
        <v>1.6</v>
      </c>
      <c r="N24" s="3">
        <v>1.8</v>
      </c>
      <c r="O24">
        <v>2</v>
      </c>
      <c r="P24" s="3">
        <v>2.2000000000000002</v>
      </c>
      <c r="Q24">
        <v>2.4</v>
      </c>
      <c r="R24" s="3">
        <v>2.6</v>
      </c>
      <c r="S24">
        <v>2.8</v>
      </c>
      <c r="T24" s="3">
        <v>3</v>
      </c>
      <c r="U24">
        <v>3.2</v>
      </c>
      <c r="V24" s="3">
        <v>3.4</v>
      </c>
    </row>
    <row r="25" spans="2:24" x14ac:dyDescent="0.15">
      <c r="H25" s="2" t="s">
        <v>209</v>
      </c>
      <c r="I25">
        <v>0</v>
      </c>
      <c r="J25">
        <v>1</v>
      </c>
      <c r="K25">
        <v>2</v>
      </c>
      <c r="L25">
        <v>3</v>
      </c>
      <c r="M25">
        <v>4</v>
      </c>
      <c r="N25">
        <v>5</v>
      </c>
      <c r="O25">
        <v>6</v>
      </c>
      <c r="P25">
        <v>7</v>
      </c>
      <c r="Q25">
        <v>8</v>
      </c>
      <c r="R25">
        <v>9</v>
      </c>
      <c r="S25">
        <v>10</v>
      </c>
      <c r="T25">
        <v>11</v>
      </c>
      <c r="U25">
        <v>12</v>
      </c>
      <c r="V25">
        <v>13</v>
      </c>
      <c r="W25">
        <v>14</v>
      </c>
      <c r="X25">
        <v>15</v>
      </c>
    </row>
    <row r="26" spans="2:24" x14ac:dyDescent="0.15">
      <c r="I26">
        <v>1</v>
      </c>
      <c r="J26">
        <v>1.2</v>
      </c>
      <c r="K26">
        <v>1.25</v>
      </c>
      <c r="L26">
        <v>1.45</v>
      </c>
      <c r="M26">
        <v>1.5</v>
      </c>
      <c r="N26">
        <v>1.55</v>
      </c>
      <c r="O26">
        <v>1.75</v>
      </c>
      <c r="P26">
        <v>1.8</v>
      </c>
      <c r="Q26">
        <v>1.85</v>
      </c>
      <c r="R26">
        <v>1.9</v>
      </c>
      <c r="S26">
        <v>1.95</v>
      </c>
      <c r="T26">
        <v>2</v>
      </c>
      <c r="U26">
        <v>2.0499999999999998</v>
      </c>
      <c r="V26">
        <v>2.1</v>
      </c>
      <c r="W26">
        <v>2.15</v>
      </c>
      <c r="X26">
        <v>2.2000000000000002</v>
      </c>
    </row>
    <row r="28" spans="2:24" x14ac:dyDescent="0.15">
      <c r="D28" s="2" t="s">
        <v>204</v>
      </c>
      <c r="E28">
        <v>0.6</v>
      </c>
      <c r="F28" s="2" t="s">
        <v>205</v>
      </c>
      <c r="G28">
        <v>0.4</v>
      </c>
      <c r="H28" s="2" t="s">
        <v>206</v>
      </c>
      <c r="I28">
        <v>0.4</v>
      </c>
      <c r="J28" s="2" t="s">
        <v>207</v>
      </c>
      <c r="K28">
        <v>0.6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2020-12-23T07:59:15Z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2052-11.1.0.8661</vt:lpwstr>
  </property>
</Properties>
</file>