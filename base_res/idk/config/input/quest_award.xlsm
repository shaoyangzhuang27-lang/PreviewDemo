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/>
  <workbookPr/>
  <mc:AlternateContent xmlns:mc="http://schemas.openxmlformats.org/markup-compatibility/2006">
    <mc:Choice Requires="x15">
      <x15ac:absPath xmlns:x15ac="http://schemas.microsoft.com/office/spreadsheetml/2010/11/ac" url="D:\KnightRes\config\input\"/>
    </mc:Choice>
  </mc:AlternateContent>
  <xr:revisionPtr revIDLastSave="0" documentId="13_ncr:1_{10B97270-74AA-435D-BABA-6D78501F7705}" xr6:coauthVersionLast="46" xr6:coauthVersionMax="46" xr10:uidLastSave="{00000000-0000-0000-0000-000000000000}"/>
  <bookViews>
    <workbookView xWindow="-120" yWindow="-120" windowWidth="29040" windowHeight="15990" xr2:uid="{00000000-000D-0000-FFFF-FFFF00000000}"/>
  </bookViews>
  <sheets>
    <sheet name="quest_award" sheetId="1" r:id="rId1"/>
  </sheets>
  <calcPr calcId="181029"/>
</workbook>
</file>

<file path=xl/calcChain.xml><?xml version="1.0" encoding="utf-8"?>
<calcChain xmlns="http://schemas.openxmlformats.org/spreadsheetml/2006/main">
  <c r="M61" i="1" l="1"/>
  <c r="K61" i="1"/>
  <c r="L61" i="1"/>
  <c r="P39" i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</calcChain>
</file>

<file path=xl/sharedStrings.xml><?xml version="1.0" encoding="utf-8"?>
<sst xmlns="http://schemas.openxmlformats.org/spreadsheetml/2006/main" count="367" uniqueCount="86">
  <si>
    <t>id</t>
  </si>
  <si>
    <t>type</t>
  </si>
  <si>
    <t>require_score</t>
  </si>
  <si>
    <r>
      <rPr>
        <sz val="11"/>
        <color theme="1"/>
        <rFont val="宋体"/>
        <family val="3"/>
        <charset val="134"/>
        <scheme val="minor"/>
      </rPr>
      <t>a</t>
    </r>
    <r>
      <rPr>
        <sz val="11"/>
        <color theme="1"/>
        <rFont val="宋体"/>
        <family val="3"/>
        <charset val="134"/>
        <scheme val="minor"/>
      </rPr>
      <t>ward_type</t>
    </r>
  </si>
  <si>
    <t>award_param1</t>
  </si>
  <si>
    <t>award_param2</t>
  </si>
  <si>
    <t>award_param3</t>
  </si>
  <si>
    <t>award_num</t>
  </si>
  <si>
    <t>int32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</si>
  <si>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nt32</t>
    </r>
  </si>
  <si>
    <t>list&lt;int32&gt;</t>
  </si>
  <si>
    <t>ID</t>
  </si>
  <si>
    <r>
      <rPr>
        <sz val="11"/>
        <color theme="1"/>
        <rFont val="宋体"/>
        <family val="3"/>
        <charset val="134"/>
        <scheme val="minor"/>
      </rPr>
      <t>类型(1日常，2周常，3功勋，4试炼战令</t>
    </r>
    <r>
      <rPr>
        <sz val="11"/>
        <color theme="1"/>
        <rFont val="宋体"/>
        <family val="3"/>
        <charset val="134"/>
        <scheme val="minor"/>
      </rPr>
      <t>)</t>
    </r>
  </si>
  <si>
    <t>需求积分</t>
  </si>
  <si>
    <t>奖励类型</t>
  </si>
  <si>
    <t>奖励参数</t>
  </si>
  <si>
    <t>奖励数量</t>
  </si>
  <si>
    <t>23,4,32</t>
  </si>
  <si>
    <t>0,0,0</t>
  </si>
  <si>
    <t>获得20点日常活跃度</t>
  </si>
  <si>
    <t>功勋点数*10</t>
  </si>
  <si>
    <t>转盘币*1</t>
  </si>
  <si>
    <t>钻石*10</t>
  </si>
  <si>
    <t>1,4,32</t>
  </si>
  <si>
    <t>0,20,10</t>
  </si>
  <si>
    <t>获得40点日常活跃度</t>
  </si>
  <si>
    <t>金币 1000*等级</t>
  </si>
  <si>
    <t>3,4,32</t>
  </si>
  <si>
    <t>获得60点日常活跃度</t>
  </si>
  <si>
    <t>功勋点数*20</t>
  </si>
  <si>
    <t>经验 500*等级</t>
  </si>
  <si>
    <t>21,4,32</t>
  </si>
  <si>
    <t>2,20,40</t>
  </si>
  <si>
    <t>获得80点日常活跃度</t>
  </si>
  <si>
    <t>功勋点数*40</t>
  </si>
  <si>
    <t>竞技场门票*1</t>
  </si>
  <si>
    <t>钻石*20</t>
  </si>
  <si>
    <t>4,32</t>
  </si>
  <si>
    <t>0,0</t>
  </si>
  <si>
    <t>100,60</t>
  </si>
  <si>
    <t>获得100点日常活跃度</t>
  </si>
  <si>
    <t>功勋点数*60</t>
  </si>
  <si>
    <t>钻石*50</t>
  </si>
  <si>
    <t>14,32</t>
  </si>
  <si>
    <t>获得20点周常活跃度</t>
  </si>
  <si>
    <t>魔法石*200</t>
  </si>
  <si>
    <t>6,32</t>
  </si>
  <si>
    <t>1,0</t>
  </si>
  <si>
    <t>4,0</t>
  </si>
  <si>
    <t>获得40点周常活跃度</t>
  </si>
  <si>
    <t>功勋点数*80</t>
  </si>
  <si>
    <t>3星英雄碎片*20</t>
  </si>
  <si>
    <t>5,0</t>
  </si>
  <si>
    <t>获得60点周常活跃度</t>
  </si>
  <si>
    <t>功勋点数*120</t>
  </si>
  <si>
    <t>5星英雄碎片*10</t>
  </si>
  <si>
    <t>24,32</t>
  </si>
  <si>
    <t>2,160</t>
  </si>
  <si>
    <t>获得80点周常活跃度</t>
  </si>
  <si>
    <t>功勋点数*160</t>
  </si>
  <si>
    <t>高级转盘币*1</t>
  </si>
  <si>
    <t>18,32</t>
  </si>
  <si>
    <t>2,200</t>
  </si>
  <si>
    <t>获得100点周常活跃度</t>
  </si>
  <si>
    <t>功勋点数*200</t>
  </si>
  <si>
    <t>宝珠*1</t>
  </si>
  <si>
    <t>14,6,4</t>
  </si>
  <si>
    <t>0,1,0</t>
  </si>
  <si>
    <t>0,5,0</t>
  </si>
  <si>
    <t>3星碎片</t>
  </si>
  <si>
    <t>5星碎片</t>
  </si>
  <si>
    <t>钻石</t>
  </si>
  <si>
    <t>35,35,4</t>
  </si>
  <si>
    <t>最后一档MAX</t>
  </si>
  <si>
    <t>平均值</t>
  </si>
  <si>
    <t>锻造石</t>
  </si>
  <si>
    <t>免费</t>
  </si>
  <si>
    <t>总计</t>
  </si>
  <si>
    <t>0,20,10</t>
    <phoneticPr fontId="4" type="noConversion"/>
  </si>
  <si>
    <t>2,20,20</t>
    <phoneticPr fontId="4" type="noConversion"/>
  </si>
  <si>
    <t>30,40</t>
    <phoneticPr fontId="4" type="noConversion"/>
  </si>
  <si>
    <t>10,80</t>
    <phoneticPr fontId="4" type="noConversion"/>
  </si>
  <si>
    <t>2,120</t>
    <phoneticPr fontId="4" type="noConversion"/>
  </si>
  <si>
    <t>10,60,100</t>
    <phoneticPr fontId="4" type="noConversion"/>
  </si>
  <si>
    <t>50,300,600</t>
    <phoneticPr fontId="4" type="noConversion"/>
  </si>
  <si>
    <t>10,300,500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</si>
</sst>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/>
    <xf numFmtId="0" fontId="0" fillId="0" borderId="0" xfId="0" applyFont="1" applyAlignment="1"/>
    <xf numFmtId="0" fontId="1" fillId="0" borderId="0" xfId="0" applyFont="1" applyAlignment="1"/>
    <xf numFmtId="49" fontId="1" fillId="0" borderId="0" xfId="0" applyNumberFormat="1" applyFont="1" applyAlignment="1"/>
    <xf numFmtId="0" fontId="0" fillId="0" borderId="0" xfId="0" applyFill="1" applyAlignment="1">
      <alignment vertical="center"/>
    </xf>
    <xf numFmtId="0" fontId="0" fillId="0" borderId="0" xfId="0" applyFont="1" applyAlignment="1">
      <alignment vertical="center"/>
    </xf>
    <xf numFmtId="0" fontId="0" fillId="0" borderId="1" xfId="0" applyFont="1" applyFill="1" applyBorder="1" applyAlignment="1">
      <alignment vertical="center"/>
    </xf>
    <xf numFmtId="0" fontId="0" fillId="0" borderId="1" xfId="0" applyFont="1" applyFill="1" applyBorder="1" applyAlignment="1"/>
    <xf numFmtId="0" fontId="2" fillId="0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0" fontId="0" fillId="0" borderId="0" xfId="0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61"/>
  <sheetViews>
    <sheetView tabSelected="1" workbookViewId="0">
      <selection activeCell="H14" sqref="H14"/>
    </sheetView>
  </sheetViews>
  <sheetFormatPr defaultColWidth="9" defaultRowHeight="13.5" x14ac:dyDescent="0.15"/>
  <cols>
    <col min="1" max="1" width="6.5" customWidth="1"/>
    <col min="2" max="2" width="36.875" customWidth="1"/>
    <col min="3" max="7" width="15" customWidth="1"/>
    <col min="8" max="8" width="12.75" customWidth="1"/>
    <col min="9" max="9" width="10.5" customWidth="1"/>
    <col min="10" max="10" width="22" customWidth="1"/>
    <col min="11" max="11" width="25.5" customWidth="1"/>
    <col min="12" max="12" width="17.5" customWidth="1"/>
    <col min="13" max="13" width="9.5" customWidth="1"/>
  </cols>
  <sheetData>
    <row r="1" spans="1:18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L1" s="1"/>
      <c r="M1" s="1"/>
      <c r="N1" s="1"/>
      <c r="O1" s="1"/>
      <c r="P1" s="2"/>
      <c r="Q1" s="1"/>
      <c r="R1" s="11"/>
    </row>
    <row r="2" spans="1:18" x14ac:dyDescent="0.15">
      <c r="A2" s="1" t="s">
        <v>8</v>
      </c>
      <c r="B2" s="2" t="s">
        <v>8</v>
      </c>
      <c r="C2" s="2" t="s">
        <v>9</v>
      </c>
      <c r="D2" s="2" t="s">
        <v>10</v>
      </c>
      <c r="E2" s="2" t="s">
        <v>10</v>
      </c>
      <c r="F2" s="2" t="s">
        <v>10</v>
      </c>
      <c r="G2" s="2" t="s">
        <v>10</v>
      </c>
      <c r="H2" s="2" t="s">
        <v>10</v>
      </c>
      <c r="L2" s="1"/>
      <c r="N2" s="6"/>
      <c r="O2" s="6"/>
      <c r="P2" s="6"/>
      <c r="Q2" s="6"/>
      <c r="R2" s="6"/>
    </row>
    <row r="3" spans="1:18" x14ac:dyDescent="0.15">
      <c r="A3" s="1" t="s">
        <v>11</v>
      </c>
      <c r="B3" s="3" t="s">
        <v>12</v>
      </c>
      <c r="C3" s="2" t="s">
        <v>13</v>
      </c>
      <c r="D3" s="2" t="s">
        <v>14</v>
      </c>
      <c r="E3" s="2" t="s">
        <v>15</v>
      </c>
      <c r="F3" s="2" t="s">
        <v>15</v>
      </c>
      <c r="G3" s="2" t="s">
        <v>15</v>
      </c>
      <c r="H3" s="2" t="s">
        <v>16</v>
      </c>
      <c r="L3" s="1"/>
      <c r="O3" s="2"/>
      <c r="P3" s="2"/>
      <c r="Q3" s="1"/>
      <c r="R3" s="1"/>
    </row>
    <row r="4" spans="1:18" x14ac:dyDescent="0.15">
      <c r="A4" s="1">
        <v>1</v>
      </c>
      <c r="B4">
        <v>1</v>
      </c>
      <c r="C4" s="2">
        <v>20</v>
      </c>
      <c r="D4" s="2" t="s">
        <v>23</v>
      </c>
      <c r="E4" s="2" t="s">
        <v>18</v>
      </c>
      <c r="F4" s="2" t="s">
        <v>18</v>
      </c>
      <c r="G4" s="2" t="s">
        <v>18</v>
      </c>
      <c r="H4" s="4" t="s">
        <v>24</v>
      </c>
      <c r="J4" s="7" t="s">
        <v>19</v>
      </c>
      <c r="K4" s="8" t="s">
        <v>20</v>
      </c>
      <c r="L4" s="8" t="s">
        <v>21</v>
      </c>
      <c r="M4" s="8" t="s">
        <v>22</v>
      </c>
      <c r="O4" s="2"/>
      <c r="P4" s="2"/>
      <c r="Q4" s="1"/>
      <c r="R4" s="1"/>
    </row>
    <row r="5" spans="1:18" x14ac:dyDescent="0.15">
      <c r="A5">
        <v>2</v>
      </c>
      <c r="B5">
        <v>1</v>
      </c>
      <c r="C5" s="2">
        <v>40</v>
      </c>
      <c r="D5" s="2" t="s">
        <v>27</v>
      </c>
      <c r="E5" s="2" t="s">
        <v>18</v>
      </c>
      <c r="F5" s="2" t="s">
        <v>18</v>
      </c>
      <c r="G5" s="2" t="s">
        <v>18</v>
      </c>
      <c r="H5" s="4" t="s">
        <v>78</v>
      </c>
      <c r="J5" s="7" t="s">
        <v>25</v>
      </c>
      <c r="K5" s="8" t="s">
        <v>20</v>
      </c>
      <c r="L5" s="8" t="s">
        <v>26</v>
      </c>
      <c r="M5" s="8" t="s">
        <v>22</v>
      </c>
    </row>
    <row r="6" spans="1:18" x14ac:dyDescent="0.15">
      <c r="A6" s="1">
        <v>3</v>
      </c>
      <c r="B6">
        <v>1</v>
      </c>
      <c r="C6" s="2">
        <v>60</v>
      </c>
      <c r="D6" s="2" t="s">
        <v>17</v>
      </c>
      <c r="E6" s="2" t="s">
        <v>18</v>
      </c>
      <c r="F6" s="2" t="s">
        <v>18</v>
      </c>
      <c r="G6" s="2" t="s">
        <v>18</v>
      </c>
      <c r="H6" s="4" t="s">
        <v>79</v>
      </c>
      <c r="J6" s="7" t="s">
        <v>28</v>
      </c>
      <c r="K6" s="8" t="s">
        <v>29</v>
      </c>
      <c r="L6" s="8" t="s">
        <v>30</v>
      </c>
      <c r="M6" s="8" t="s">
        <v>22</v>
      </c>
    </row>
    <row r="7" spans="1:18" x14ac:dyDescent="0.15">
      <c r="A7">
        <v>4</v>
      </c>
      <c r="B7">
        <v>1</v>
      </c>
      <c r="C7" s="2">
        <v>80</v>
      </c>
      <c r="D7" s="2" t="s">
        <v>31</v>
      </c>
      <c r="E7" s="2" t="s">
        <v>18</v>
      </c>
      <c r="F7" s="2" t="s">
        <v>18</v>
      </c>
      <c r="G7" s="2" t="s">
        <v>18</v>
      </c>
      <c r="H7" s="4" t="s">
        <v>32</v>
      </c>
      <c r="J7" s="7" t="s">
        <v>33</v>
      </c>
      <c r="K7" s="8" t="s">
        <v>34</v>
      </c>
      <c r="L7" s="8" t="s">
        <v>35</v>
      </c>
      <c r="M7" s="8" t="s">
        <v>36</v>
      </c>
    </row>
    <row r="8" spans="1:18" x14ac:dyDescent="0.15">
      <c r="A8" s="1">
        <v>5</v>
      </c>
      <c r="B8">
        <v>1</v>
      </c>
      <c r="C8" s="2">
        <v>100</v>
      </c>
      <c r="D8" s="2" t="s">
        <v>37</v>
      </c>
      <c r="E8" s="2" t="s">
        <v>38</v>
      </c>
      <c r="F8" s="2" t="s">
        <v>38</v>
      </c>
      <c r="G8" s="2" t="s">
        <v>38</v>
      </c>
      <c r="H8" s="4" t="s">
        <v>39</v>
      </c>
      <c r="J8" s="7" t="s">
        <v>40</v>
      </c>
      <c r="K8" s="8" t="s">
        <v>41</v>
      </c>
      <c r="L8" s="8" t="s">
        <v>42</v>
      </c>
      <c r="M8" s="8"/>
    </row>
    <row r="9" spans="1:18" x14ac:dyDescent="0.15">
      <c r="A9">
        <v>6</v>
      </c>
      <c r="B9" s="2">
        <v>2</v>
      </c>
      <c r="C9" s="2">
        <v>20</v>
      </c>
      <c r="D9" s="2" t="s">
        <v>46</v>
      </c>
      <c r="E9" s="2" t="s">
        <v>47</v>
      </c>
      <c r="F9" s="2" t="s">
        <v>38</v>
      </c>
      <c r="G9" s="3" t="s">
        <v>48</v>
      </c>
      <c r="H9" s="4" t="s">
        <v>80</v>
      </c>
      <c r="J9" s="7" t="s">
        <v>44</v>
      </c>
      <c r="K9" s="8" t="s">
        <v>34</v>
      </c>
      <c r="L9" s="8" t="s">
        <v>45</v>
      </c>
      <c r="M9" s="8"/>
    </row>
    <row r="10" spans="1:18" x14ac:dyDescent="0.15">
      <c r="A10" s="1">
        <v>7</v>
      </c>
      <c r="B10" s="2">
        <v>2</v>
      </c>
      <c r="C10" s="2">
        <v>40</v>
      </c>
      <c r="D10" s="2" t="s">
        <v>46</v>
      </c>
      <c r="E10" s="2" t="s">
        <v>47</v>
      </c>
      <c r="F10" s="2" t="s">
        <v>38</v>
      </c>
      <c r="G10" s="2" t="s">
        <v>52</v>
      </c>
      <c r="H10" s="4" t="s">
        <v>81</v>
      </c>
      <c r="J10" s="7" t="s">
        <v>49</v>
      </c>
      <c r="K10" s="8" t="s">
        <v>50</v>
      </c>
      <c r="L10" s="8" t="s">
        <v>51</v>
      </c>
      <c r="M10" s="8"/>
    </row>
    <row r="11" spans="1:18" x14ac:dyDescent="0.15">
      <c r="A11">
        <v>8</v>
      </c>
      <c r="B11" s="2">
        <v>2</v>
      </c>
      <c r="C11" s="2">
        <v>60</v>
      </c>
      <c r="D11" s="2" t="s">
        <v>43</v>
      </c>
      <c r="E11" s="2" t="s">
        <v>38</v>
      </c>
      <c r="F11" s="2" t="s">
        <v>38</v>
      </c>
      <c r="G11" s="2" t="s">
        <v>38</v>
      </c>
      <c r="H11" s="4" t="s">
        <v>82</v>
      </c>
      <c r="J11" s="7" t="s">
        <v>53</v>
      </c>
      <c r="K11" s="8" t="s">
        <v>54</v>
      </c>
      <c r="L11" s="8" t="s">
        <v>55</v>
      </c>
      <c r="M11" s="8"/>
    </row>
    <row r="12" spans="1:18" x14ac:dyDescent="0.15">
      <c r="A12" s="1">
        <v>9</v>
      </c>
      <c r="B12" s="2">
        <v>2</v>
      </c>
      <c r="C12" s="2">
        <v>80</v>
      </c>
      <c r="D12" s="2" t="s">
        <v>56</v>
      </c>
      <c r="E12" s="2" t="s">
        <v>38</v>
      </c>
      <c r="F12" s="2" t="s">
        <v>38</v>
      </c>
      <c r="G12" s="2" t="s">
        <v>38</v>
      </c>
      <c r="H12" s="4" t="s">
        <v>57</v>
      </c>
      <c r="J12" s="7" t="s">
        <v>58</v>
      </c>
      <c r="K12" s="8" t="s">
        <v>59</v>
      </c>
      <c r="L12" s="8" t="s">
        <v>60</v>
      </c>
      <c r="M12" s="8"/>
    </row>
    <row r="13" spans="1:18" x14ac:dyDescent="0.15">
      <c r="A13">
        <v>10</v>
      </c>
      <c r="B13" s="2">
        <v>2</v>
      </c>
      <c r="C13" s="2">
        <v>100</v>
      </c>
      <c r="D13" s="2" t="s">
        <v>61</v>
      </c>
      <c r="E13" s="2" t="s">
        <v>38</v>
      </c>
      <c r="F13" s="2" t="s">
        <v>38</v>
      </c>
      <c r="G13" s="2" t="s">
        <v>38</v>
      </c>
      <c r="H13" s="4" t="s">
        <v>62</v>
      </c>
      <c r="J13" s="7" t="s">
        <v>63</v>
      </c>
      <c r="K13" s="8" t="s">
        <v>64</v>
      </c>
      <c r="L13" s="8" t="s">
        <v>65</v>
      </c>
      <c r="M13" s="8"/>
    </row>
    <row r="14" spans="1:18" x14ac:dyDescent="0.15">
      <c r="A14">
        <v>11</v>
      </c>
      <c r="B14" s="2">
        <v>3</v>
      </c>
      <c r="C14" s="2">
        <v>0</v>
      </c>
      <c r="D14" s="3" t="s">
        <v>66</v>
      </c>
      <c r="E14" s="3" t="s">
        <v>67</v>
      </c>
      <c r="F14" s="2" t="s">
        <v>67</v>
      </c>
      <c r="G14" s="3" t="s">
        <v>68</v>
      </c>
      <c r="H14" s="2" t="str">
        <f>CONCATENATE(L14,",",N14,",",P14)</f>
        <v>1,50,500</v>
      </c>
      <c r="J14" s="8">
        <v>0</v>
      </c>
      <c r="K14" s="8" t="s">
        <v>69</v>
      </c>
      <c r="L14" s="8">
        <v>1</v>
      </c>
      <c r="M14" s="8" t="s">
        <v>70</v>
      </c>
      <c r="N14" s="8">
        <v>50</v>
      </c>
      <c r="O14" s="8" t="s">
        <v>71</v>
      </c>
      <c r="P14" s="8">
        <v>500</v>
      </c>
    </row>
    <row r="15" spans="1:18" x14ac:dyDescent="0.15">
      <c r="A15">
        <v>12</v>
      </c>
      <c r="B15" s="2">
        <v>3</v>
      </c>
      <c r="C15" s="2">
        <v>400</v>
      </c>
      <c r="D15" s="3" t="s">
        <v>66</v>
      </c>
      <c r="E15" s="3" t="s">
        <v>67</v>
      </c>
      <c r="F15" s="3" t="s">
        <v>18</v>
      </c>
      <c r="G15" s="3" t="s">
        <v>68</v>
      </c>
      <c r="H15" s="2" t="str">
        <f t="shared" ref="H15" si="0">CONCATENATE(L15,",",N15,",",P15)</f>
        <v>1,20,100</v>
      </c>
      <c r="J15" s="8">
        <v>400</v>
      </c>
      <c r="K15" s="8" t="s">
        <v>69</v>
      </c>
      <c r="L15" s="8">
        <v>1</v>
      </c>
      <c r="M15" s="8" t="s">
        <v>70</v>
      </c>
      <c r="N15" s="8">
        <v>20</v>
      </c>
      <c r="O15" s="8" t="s">
        <v>71</v>
      </c>
      <c r="P15" s="8">
        <v>100</v>
      </c>
    </row>
    <row r="16" spans="1:18" x14ac:dyDescent="0.15">
      <c r="A16">
        <v>13</v>
      </c>
      <c r="B16" s="2">
        <v>3</v>
      </c>
      <c r="C16" s="2">
        <v>800</v>
      </c>
      <c r="D16" s="3" t="s">
        <v>66</v>
      </c>
      <c r="E16" s="3" t="s">
        <v>67</v>
      </c>
      <c r="F16" s="3" t="s">
        <v>18</v>
      </c>
      <c r="G16" s="3" t="s">
        <v>68</v>
      </c>
      <c r="H16" s="2" t="str">
        <f t="shared" ref="H16:H18" si="1">CONCATENATE(L16,",",N16,",",P16)</f>
        <v>1,20,100</v>
      </c>
      <c r="J16" s="8">
        <v>800</v>
      </c>
      <c r="K16" s="8" t="s">
        <v>69</v>
      </c>
      <c r="L16" s="8">
        <v>1</v>
      </c>
      <c r="M16" s="8" t="s">
        <v>70</v>
      </c>
      <c r="N16" s="8">
        <v>20</v>
      </c>
      <c r="O16" s="8" t="s">
        <v>71</v>
      </c>
      <c r="P16" s="8">
        <v>100</v>
      </c>
    </row>
    <row r="17" spans="1:16" x14ac:dyDescent="0.15">
      <c r="A17">
        <v>14</v>
      </c>
      <c r="B17" s="2">
        <v>3</v>
      </c>
      <c r="C17" s="2">
        <v>1200</v>
      </c>
      <c r="D17" s="3" t="s">
        <v>66</v>
      </c>
      <c r="E17" s="3" t="s">
        <v>67</v>
      </c>
      <c r="F17" s="3" t="s">
        <v>18</v>
      </c>
      <c r="G17" s="3" t="s">
        <v>68</v>
      </c>
      <c r="H17" s="2" t="str">
        <f t="shared" si="1"/>
        <v>1,20,100</v>
      </c>
      <c r="J17" s="8">
        <v>1200</v>
      </c>
      <c r="K17" s="8" t="s">
        <v>69</v>
      </c>
      <c r="L17" s="8">
        <v>1</v>
      </c>
      <c r="M17" s="8" t="s">
        <v>70</v>
      </c>
      <c r="N17" s="8">
        <v>20</v>
      </c>
      <c r="O17" s="8" t="s">
        <v>71</v>
      </c>
      <c r="P17" s="8">
        <v>100</v>
      </c>
    </row>
    <row r="18" spans="1:16" x14ac:dyDescent="0.15">
      <c r="A18">
        <v>15</v>
      </c>
      <c r="B18" s="2">
        <v>3</v>
      </c>
      <c r="C18" s="2">
        <v>1600</v>
      </c>
      <c r="D18" s="3" t="s">
        <v>66</v>
      </c>
      <c r="E18" s="3" t="s">
        <v>67</v>
      </c>
      <c r="F18" s="2" t="s">
        <v>67</v>
      </c>
      <c r="G18" s="3" t="s">
        <v>68</v>
      </c>
      <c r="H18" s="2" t="str">
        <f t="shared" si="1"/>
        <v>3,50,600</v>
      </c>
      <c r="J18" s="8">
        <v>1600</v>
      </c>
      <c r="K18" s="8" t="s">
        <v>69</v>
      </c>
      <c r="L18" s="8">
        <v>3</v>
      </c>
      <c r="M18" s="8" t="s">
        <v>70</v>
      </c>
      <c r="N18" s="8">
        <v>50</v>
      </c>
      <c r="O18" s="8" t="s">
        <v>71</v>
      </c>
      <c r="P18" s="8">
        <v>600</v>
      </c>
    </row>
    <row r="19" spans="1:16" x14ac:dyDescent="0.15">
      <c r="A19">
        <v>16</v>
      </c>
      <c r="B19" s="2">
        <v>3</v>
      </c>
      <c r="C19" s="2">
        <v>2000</v>
      </c>
      <c r="D19" s="3" t="s">
        <v>66</v>
      </c>
      <c r="E19" s="3" t="s">
        <v>67</v>
      </c>
      <c r="F19" s="3" t="s">
        <v>18</v>
      </c>
      <c r="G19" s="3" t="s">
        <v>68</v>
      </c>
      <c r="H19" s="2" t="str">
        <f t="shared" ref="H19:H22" si="2">CONCATENATE(L19,",",N19,",",P19)</f>
        <v>1,20,100</v>
      </c>
      <c r="J19" s="8">
        <v>2000</v>
      </c>
      <c r="K19" s="8" t="s">
        <v>69</v>
      </c>
      <c r="L19" s="8">
        <v>1</v>
      </c>
      <c r="M19" s="8" t="s">
        <v>70</v>
      </c>
      <c r="N19" s="8">
        <v>20</v>
      </c>
      <c r="O19" s="8" t="s">
        <v>71</v>
      </c>
      <c r="P19" s="8">
        <v>100</v>
      </c>
    </row>
    <row r="20" spans="1:16" x14ac:dyDescent="0.15">
      <c r="A20">
        <v>17</v>
      </c>
      <c r="B20" s="2">
        <v>3</v>
      </c>
      <c r="C20" s="2">
        <v>2400</v>
      </c>
      <c r="D20" s="3" t="s">
        <v>66</v>
      </c>
      <c r="E20" s="3" t="s">
        <v>67</v>
      </c>
      <c r="F20" s="3" t="s">
        <v>18</v>
      </c>
      <c r="G20" s="3" t="s">
        <v>68</v>
      </c>
      <c r="H20" s="2" t="str">
        <f t="shared" si="2"/>
        <v>1,20,100</v>
      </c>
      <c r="J20" s="8">
        <v>2400</v>
      </c>
      <c r="K20" s="8" t="s">
        <v>69</v>
      </c>
      <c r="L20" s="8">
        <v>1</v>
      </c>
      <c r="M20" s="8" t="s">
        <v>70</v>
      </c>
      <c r="N20" s="8">
        <v>20</v>
      </c>
      <c r="O20" s="8" t="s">
        <v>71</v>
      </c>
      <c r="P20" s="8">
        <v>100</v>
      </c>
    </row>
    <row r="21" spans="1:16" x14ac:dyDescent="0.15">
      <c r="A21">
        <v>18</v>
      </c>
      <c r="B21" s="2">
        <v>3</v>
      </c>
      <c r="C21" s="2">
        <v>2800</v>
      </c>
      <c r="D21" s="3" t="s">
        <v>66</v>
      </c>
      <c r="E21" s="3" t="s">
        <v>67</v>
      </c>
      <c r="F21" s="3" t="s">
        <v>18</v>
      </c>
      <c r="G21" s="3" t="s">
        <v>68</v>
      </c>
      <c r="H21" s="2" t="str">
        <f t="shared" si="2"/>
        <v>1,20,100</v>
      </c>
      <c r="J21" s="8">
        <v>2800</v>
      </c>
      <c r="K21" s="8" t="s">
        <v>69</v>
      </c>
      <c r="L21" s="8">
        <v>1</v>
      </c>
      <c r="M21" s="8" t="s">
        <v>70</v>
      </c>
      <c r="N21" s="8">
        <v>20</v>
      </c>
      <c r="O21" s="8" t="s">
        <v>71</v>
      </c>
      <c r="P21" s="8">
        <v>100</v>
      </c>
    </row>
    <row r="22" spans="1:16" x14ac:dyDescent="0.15">
      <c r="A22">
        <v>19</v>
      </c>
      <c r="B22" s="2">
        <v>3</v>
      </c>
      <c r="C22" s="2">
        <v>3200</v>
      </c>
      <c r="D22" s="3" t="s">
        <v>66</v>
      </c>
      <c r="E22" s="3" t="s">
        <v>67</v>
      </c>
      <c r="F22" s="2" t="s">
        <v>67</v>
      </c>
      <c r="G22" s="3" t="s">
        <v>68</v>
      </c>
      <c r="H22" s="2" t="str">
        <f t="shared" si="2"/>
        <v>3,50,600</v>
      </c>
      <c r="J22" s="8">
        <v>3200</v>
      </c>
      <c r="K22" s="8" t="s">
        <v>69</v>
      </c>
      <c r="L22" s="8">
        <v>3</v>
      </c>
      <c r="M22" s="8" t="s">
        <v>70</v>
      </c>
      <c r="N22" s="8">
        <v>50</v>
      </c>
      <c r="O22" s="8" t="s">
        <v>71</v>
      </c>
      <c r="P22" s="8">
        <v>600</v>
      </c>
    </row>
    <row r="23" spans="1:16" x14ac:dyDescent="0.15">
      <c r="A23">
        <v>20</v>
      </c>
      <c r="B23" s="2">
        <v>3</v>
      </c>
      <c r="C23" s="2">
        <v>3600</v>
      </c>
      <c r="D23" s="3" t="s">
        <v>66</v>
      </c>
      <c r="E23" s="3" t="s">
        <v>67</v>
      </c>
      <c r="F23" s="3" t="s">
        <v>18</v>
      </c>
      <c r="G23" s="3" t="s">
        <v>68</v>
      </c>
      <c r="H23" s="2" t="str">
        <f t="shared" ref="H23:H26" si="3">CONCATENATE(L23,",",N23,",",P23)</f>
        <v>1,20,100</v>
      </c>
      <c r="J23" s="8">
        <v>3600</v>
      </c>
      <c r="K23" s="8" t="s">
        <v>69</v>
      </c>
      <c r="L23" s="8">
        <v>1</v>
      </c>
      <c r="M23" s="8" t="s">
        <v>70</v>
      </c>
      <c r="N23" s="8">
        <v>20</v>
      </c>
      <c r="O23" s="8" t="s">
        <v>71</v>
      </c>
      <c r="P23" s="8">
        <v>100</v>
      </c>
    </row>
    <row r="24" spans="1:16" x14ac:dyDescent="0.15">
      <c r="A24">
        <v>21</v>
      </c>
      <c r="B24" s="2">
        <v>3</v>
      </c>
      <c r="C24" s="2">
        <v>4000</v>
      </c>
      <c r="D24" s="3" t="s">
        <v>66</v>
      </c>
      <c r="E24" s="3" t="s">
        <v>67</v>
      </c>
      <c r="F24" s="3" t="s">
        <v>18</v>
      </c>
      <c r="G24" s="3" t="s">
        <v>68</v>
      </c>
      <c r="H24" s="2" t="str">
        <f t="shared" si="3"/>
        <v>1,20,100</v>
      </c>
      <c r="J24" s="8">
        <v>4000</v>
      </c>
      <c r="K24" s="8" t="s">
        <v>69</v>
      </c>
      <c r="L24" s="8">
        <v>1</v>
      </c>
      <c r="M24" s="8" t="s">
        <v>70</v>
      </c>
      <c r="N24" s="8">
        <v>20</v>
      </c>
      <c r="O24" s="8" t="s">
        <v>71</v>
      </c>
      <c r="P24" s="8">
        <v>100</v>
      </c>
    </row>
    <row r="25" spans="1:16" x14ac:dyDescent="0.15">
      <c r="A25">
        <v>22</v>
      </c>
      <c r="B25" s="2">
        <v>3</v>
      </c>
      <c r="C25" s="2">
        <v>4400</v>
      </c>
      <c r="D25" s="3" t="s">
        <v>66</v>
      </c>
      <c r="E25" s="3" t="s">
        <v>67</v>
      </c>
      <c r="F25" s="3" t="s">
        <v>18</v>
      </c>
      <c r="G25" s="3" t="s">
        <v>68</v>
      </c>
      <c r="H25" s="2" t="str">
        <f t="shared" si="3"/>
        <v>1,20,100</v>
      </c>
      <c r="J25" s="8">
        <v>4400</v>
      </c>
      <c r="K25" s="8" t="s">
        <v>69</v>
      </c>
      <c r="L25" s="8">
        <v>1</v>
      </c>
      <c r="M25" s="8" t="s">
        <v>70</v>
      </c>
      <c r="N25" s="8">
        <v>20</v>
      </c>
      <c r="O25" s="8" t="s">
        <v>71</v>
      </c>
      <c r="P25" s="8">
        <v>100</v>
      </c>
    </row>
    <row r="26" spans="1:16" x14ac:dyDescent="0.15">
      <c r="A26">
        <v>23</v>
      </c>
      <c r="B26" s="2">
        <v>3</v>
      </c>
      <c r="C26" s="2">
        <v>4800</v>
      </c>
      <c r="D26" s="3" t="s">
        <v>66</v>
      </c>
      <c r="E26" s="3" t="s">
        <v>67</v>
      </c>
      <c r="F26" s="2" t="s">
        <v>67</v>
      </c>
      <c r="G26" s="3" t="s">
        <v>68</v>
      </c>
      <c r="H26" s="2" t="str">
        <f t="shared" si="3"/>
        <v>3,50,600</v>
      </c>
      <c r="J26" s="8">
        <v>4800</v>
      </c>
      <c r="K26" s="8" t="s">
        <v>69</v>
      </c>
      <c r="L26" s="8">
        <v>3</v>
      </c>
      <c r="M26" s="8" t="s">
        <v>70</v>
      </c>
      <c r="N26" s="8">
        <v>50</v>
      </c>
      <c r="O26" s="8" t="s">
        <v>71</v>
      </c>
      <c r="P26" s="8">
        <v>600</v>
      </c>
    </row>
    <row r="27" spans="1:16" x14ac:dyDescent="0.15">
      <c r="A27">
        <v>24</v>
      </c>
      <c r="B27" s="2">
        <v>3</v>
      </c>
      <c r="C27" s="2">
        <v>5200</v>
      </c>
      <c r="D27" s="3" t="s">
        <v>66</v>
      </c>
      <c r="E27" s="3" t="s">
        <v>67</v>
      </c>
      <c r="F27" s="3" t="s">
        <v>18</v>
      </c>
      <c r="G27" s="3" t="s">
        <v>68</v>
      </c>
      <c r="H27" s="2" t="str">
        <f t="shared" ref="H27:H30" si="4">CONCATENATE(L27,",",N27,",",P27)</f>
        <v>1,20,100</v>
      </c>
      <c r="J27" s="8">
        <v>5200</v>
      </c>
      <c r="K27" s="8" t="s">
        <v>69</v>
      </c>
      <c r="L27" s="8">
        <v>1</v>
      </c>
      <c r="M27" s="8" t="s">
        <v>70</v>
      </c>
      <c r="N27" s="8">
        <v>20</v>
      </c>
      <c r="O27" s="8" t="s">
        <v>71</v>
      </c>
      <c r="P27" s="8">
        <v>100</v>
      </c>
    </row>
    <row r="28" spans="1:16" x14ac:dyDescent="0.15">
      <c r="A28">
        <v>25</v>
      </c>
      <c r="B28" s="2">
        <v>3</v>
      </c>
      <c r="C28" s="2">
        <v>5600</v>
      </c>
      <c r="D28" s="3" t="s">
        <v>66</v>
      </c>
      <c r="E28" s="3" t="s">
        <v>67</v>
      </c>
      <c r="F28" s="3" t="s">
        <v>18</v>
      </c>
      <c r="G28" s="3" t="s">
        <v>68</v>
      </c>
      <c r="H28" s="2" t="str">
        <f t="shared" si="4"/>
        <v>1,20,100</v>
      </c>
      <c r="J28" s="8">
        <v>5600</v>
      </c>
      <c r="K28" s="8" t="s">
        <v>69</v>
      </c>
      <c r="L28" s="8">
        <v>1</v>
      </c>
      <c r="M28" s="8" t="s">
        <v>70</v>
      </c>
      <c r="N28" s="8">
        <v>20</v>
      </c>
      <c r="O28" s="8" t="s">
        <v>71</v>
      </c>
      <c r="P28" s="8">
        <v>100</v>
      </c>
    </row>
    <row r="29" spans="1:16" x14ac:dyDescent="0.15">
      <c r="A29">
        <v>26</v>
      </c>
      <c r="B29" s="2">
        <v>3</v>
      </c>
      <c r="C29" s="2">
        <v>6000</v>
      </c>
      <c r="D29" s="3" t="s">
        <v>66</v>
      </c>
      <c r="E29" s="3" t="s">
        <v>67</v>
      </c>
      <c r="F29" s="3" t="s">
        <v>18</v>
      </c>
      <c r="G29" s="3" t="s">
        <v>68</v>
      </c>
      <c r="H29" s="2" t="str">
        <f t="shared" si="4"/>
        <v>1,20,100</v>
      </c>
      <c r="J29" s="8">
        <v>6000</v>
      </c>
      <c r="K29" s="8" t="s">
        <v>69</v>
      </c>
      <c r="L29" s="8">
        <v>1</v>
      </c>
      <c r="M29" s="8" t="s">
        <v>70</v>
      </c>
      <c r="N29" s="8">
        <v>20</v>
      </c>
      <c r="O29" s="8" t="s">
        <v>71</v>
      </c>
      <c r="P29" s="8">
        <v>100</v>
      </c>
    </row>
    <row r="30" spans="1:16" x14ac:dyDescent="0.15">
      <c r="A30">
        <v>27</v>
      </c>
      <c r="B30" s="2">
        <v>3</v>
      </c>
      <c r="C30" s="2">
        <v>6400</v>
      </c>
      <c r="D30" s="3" t="s">
        <v>66</v>
      </c>
      <c r="E30" s="3" t="s">
        <v>67</v>
      </c>
      <c r="F30" s="2" t="s">
        <v>67</v>
      </c>
      <c r="G30" s="3" t="s">
        <v>68</v>
      </c>
      <c r="H30" s="2" t="str">
        <f t="shared" si="4"/>
        <v>3,50,600</v>
      </c>
      <c r="J30" s="8">
        <v>6400</v>
      </c>
      <c r="K30" s="8" t="s">
        <v>69</v>
      </c>
      <c r="L30" s="8">
        <v>3</v>
      </c>
      <c r="M30" s="8" t="s">
        <v>70</v>
      </c>
      <c r="N30" s="8">
        <v>50</v>
      </c>
      <c r="O30" s="8" t="s">
        <v>71</v>
      </c>
      <c r="P30" s="8">
        <v>600</v>
      </c>
    </row>
    <row r="31" spans="1:16" x14ac:dyDescent="0.15">
      <c r="A31">
        <v>28</v>
      </c>
      <c r="B31" s="2">
        <v>3</v>
      </c>
      <c r="C31" s="2">
        <v>6800</v>
      </c>
      <c r="D31" s="3" t="s">
        <v>66</v>
      </c>
      <c r="E31" s="3" t="s">
        <v>67</v>
      </c>
      <c r="F31" s="3" t="s">
        <v>18</v>
      </c>
      <c r="G31" s="3" t="s">
        <v>68</v>
      </c>
      <c r="H31" s="2" t="str">
        <f t="shared" ref="H31:H34" si="5">CONCATENATE(L31,",",N31,",",P31)</f>
        <v>1,20,100</v>
      </c>
      <c r="J31" s="8">
        <v>6800</v>
      </c>
      <c r="K31" s="8" t="s">
        <v>69</v>
      </c>
      <c r="L31" s="8">
        <v>1</v>
      </c>
      <c r="M31" s="8" t="s">
        <v>70</v>
      </c>
      <c r="N31" s="8">
        <v>20</v>
      </c>
      <c r="O31" s="8" t="s">
        <v>71</v>
      </c>
      <c r="P31" s="8">
        <v>100</v>
      </c>
    </row>
    <row r="32" spans="1:16" x14ac:dyDescent="0.15">
      <c r="A32">
        <v>29</v>
      </c>
      <c r="B32" s="2">
        <v>3</v>
      </c>
      <c r="C32" s="2">
        <v>7200</v>
      </c>
      <c r="D32" s="3" t="s">
        <v>66</v>
      </c>
      <c r="E32" s="3" t="s">
        <v>67</v>
      </c>
      <c r="F32" s="3" t="s">
        <v>18</v>
      </c>
      <c r="G32" s="3" t="s">
        <v>68</v>
      </c>
      <c r="H32" s="2" t="str">
        <f t="shared" si="5"/>
        <v>1,20,100</v>
      </c>
      <c r="J32" s="8">
        <v>7200</v>
      </c>
      <c r="K32" s="8" t="s">
        <v>69</v>
      </c>
      <c r="L32" s="8">
        <v>1</v>
      </c>
      <c r="M32" s="8" t="s">
        <v>70</v>
      </c>
      <c r="N32" s="8">
        <v>20</v>
      </c>
      <c r="O32" s="8" t="s">
        <v>71</v>
      </c>
      <c r="P32" s="8">
        <v>100</v>
      </c>
    </row>
    <row r="33" spans="1:16" x14ac:dyDescent="0.15">
      <c r="A33">
        <v>30</v>
      </c>
      <c r="B33" s="2">
        <v>3</v>
      </c>
      <c r="C33" s="2">
        <v>7600</v>
      </c>
      <c r="D33" s="3" t="s">
        <v>66</v>
      </c>
      <c r="E33" s="3" t="s">
        <v>67</v>
      </c>
      <c r="F33" s="3" t="s">
        <v>18</v>
      </c>
      <c r="G33" s="3" t="s">
        <v>68</v>
      </c>
      <c r="H33" s="2" t="str">
        <f t="shared" si="5"/>
        <v>1,20,100</v>
      </c>
      <c r="J33" s="8">
        <v>7600</v>
      </c>
      <c r="K33" s="8" t="s">
        <v>69</v>
      </c>
      <c r="L33" s="8">
        <v>1</v>
      </c>
      <c r="M33" s="8" t="s">
        <v>70</v>
      </c>
      <c r="N33" s="8">
        <v>20</v>
      </c>
      <c r="O33" s="8" t="s">
        <v>71</v>
      </c>
      <c r="P33" s="8">
        <v>100</v>
      </c>
    </row>
    <row r="34" spans="1:16" x14ac:dyDescent="0.15">
      <c r="A34">
        <v>31</v>
      </c>
      <c r="B34" s="2">
        <v>3</v>
      </c>
      <c r="C34" s="2">
        <v>8000</v>
      </c>
      <c r="D34" s="3" t="s">
        <v>66</v>
      </c>
      <c r="E34" s="3" t="s">
        <v>67</v>
      </c>
      <c r="F34" s="2" t="s">
        <v>67</v>
      </c>
      <c r="G34" s="3" t="s">
        <v>68</v>
      </c>
      <c r="H34" s="2" t="str">
        <f t="shared" si="5"/>
        <v>3,50,600</v>
      </c>
      <c r="J34" s="8">
        <v>8000</v>
      </c>
      <c r="K34" s="8" t="s">
        <v>69</v>
      </c>
      <c r="L34" s="8">
        <v>3</v>
      </c>
      <c r="M34" s="8" t="s">
        <v>70</v>
      </c>
      <c r="N34" s="8">
        <v>50</v>
      </c>
      <c r="O34" s="8" t="s">
        <v>71</v>
      </c>
      <c r="P34" s="8">
        <v>600</v>
      </c>
    </row>
    <row r="35" spans="1:16" x14ac:dyDescent="0.15">
      <c r="A35">
        <v>32</v>
      </c>
      <c r="B35" s="2">
        <v>4</v>
      </c>
      <c r="C35" s="2">
        <v>0</v>
      </c>
      <c r="D35" s="3" t="s">
        <v>72</v>
      </c>
      <c r="E35" s="3" t="s">
        <v>18</v>
      </c>
      <c r="F35" s="3" t="s">
        <v>18</v>
      </c>
      <c r="G35" s="3" t="s">
        <v>18</v>
      </c>
      <c r="H35" s="4" t="s">
        <v>85</v>
      </c>
    </row>
    <row r="36" spans="1:16" x14ac:dyDescent="0.15">
      <c r="A36">
        <v>33</v>
      </c>
      <c r="B36" s="2">
        <v>4</v>
      </c>
      <c r="C36" s="5">
        <v>250</v>
      </c>
      <c r="D36" s="3" t="s">
        <v>72</v>
      </c>
      <c r="E36" s="3" t="s">
        <v>18</v>
      </c>
      <c r="F36" s="3" t="s">
        <v>18</v>
      </c>
      <c r="G36" s="3" t="s">
        <v>18</v>
      </c>
      <c r="H36" s="3" t="s">
        <v>83</v>
      </c>
    </row>
    <row r="37" spans="1:16" x14ac:dyDescent="0.15">
      <c r="A37">
        <v>34</v>
      </c>
      <c r="B37" s="2">
        <v>4</v>
      </c>
      <c r="C37" s="5">
        <v>500</v>
      </c>
      <c r="D37" s="3" t="s">
        <v>72</v>
      </c>
      <c r="E37" s="3" t="s">
        <v>18</v>
      </c>
      <c r="F37" s="3" t="s">
        <v>18</v>
      </c>
      <c r="G37" s="3" t="s">
        <v>18</v>
      </c>
      <c r="H37" s="3" t="s">
        <v>83</v>
      </c>
    </row>
    <row r="38" spans="1:16" x14ac:dyDescent="0.15">
      <c r="A38">
        <v>35</v>
      </c>
      <c r="B38" s="2">
        <v>4</v>
      </c>
      <c r="C38" s="5">
        <v>750</v>
      </c>
      <c r="D38" s="3" t="s">
        <v>72</v>
      </c>
      <c r="E38" s="3" t="s">
        <v>18</v>
      </c>
      <c r="F38" s="3" t="s">
        <v>18</v>
      </c>
      <c r="G38" s="3" t="s">
        <v>18</v>
      </c>
      <c r="H38" s="3" t="s">
        <v>83</v>
      </c>
      <c r="J38" s="5"/>
      <c r="K38" s="5"/>
      <c r="L38" s="5"/>
      <c r="M38" s="5"/>
      <c r="N38" s="5"/>
      <c r="O38" s="9" t="s">
        <v>73</v>
      </c>
      <c r="P38" s="9" t="s">
        <v>74</v>
      </c>
    </row>
    <row r="39" spans="1:16" x14ac:dyDescent="0.15">
      <c r="A39">
        <v>36</v>
      </c>
      <c r="B39" s="2">
        <v>4</v>
      </c>
      <c r="C39" s="5">
        <v>1000</v>
      </c>
      <c r="D39" s="3" t="s">
        <v>72</v>
      </c>
      <c r="E39" s="3" t="s">
        <v>18</v>
      </c>
      <c r="F39" s="3" t="s">
        <v>18</v>
      </c>
      <c r="G39" s="3" t="s">
        <v>18</v>
      </c>
      <c r="H39" s="4" t="s">
        <v>84</v>
      </c>
      <c r="J39" s="5"/>
      <c r="K39" s="5" t="s">
        <v>75</v>
      </c>
      <c r="L39" s="5" t="s">
        <v>75</v>
      </c>
      <c r="M39" s="5" t="s">
        <v>71</v>
      </c>
      <c r="N39" s="5"/>
      <c r="O39" s="9">
        <v>8000</v>
      </c>
      <c r="P39" s="9" t="e">
        <f>$F$11/20</f>
        <v>#VALUE!</v>
      </c>
    </row>
    <row r="40" spans="1:16" x14ac:dyDescent="0.15">
      <c r="A40">
        <v>37</v>
      </c>
      <c r="B40" s="2">
        <v>4</v>
      </c>
      <c r="C40" s="5">
        <v>1250</v>
      </c>
      <c r="D40" s="3" t="s">
        <v>72</v>
      </c>
      <c r="E40" s="3" t="s">
        <v>18</v>
      </c>
      <c r="F40" s="3" t="s">
        <v>18</v>
      </c>
      <c r="G40" s="3" t="s">
        <v>18</v>
      </c>
      <c r="H40" s="3" t="s">
        <v>83</v>
      </c>
      <c r="J40" s="5" t="s">
        <v>76</v>
      </c>
      <c r="K40" s="5">
        <v>10</v>
      </c>
      <c r="L40" s="10">
        <v>300</v>
      </c>
      <c r="M40" s="10">
        <v>500</v>
      </c>
      <c r="N40" s="5"/>
      <c r="O40" s="5">
        <v>0</v>
      </c>
      <c r="P40" s="5"/>
    </row>
    <row r="41" spans="1:16" x14ac:dyDescent="0.15">
      <c r="A41">
        <v>38</v>
      </c>
      <c r="B41" s="2">
        <v>4</v>
      </c>
      <c r="C41" s="5">
        <v>1500</v>
      </c>
      <c r="D41" s="3" t="s">
        <v>72</v>
      </c>
      <c r="E41" s="3" t="s">
        <v>18</v>
      </c>
      <c r="F41" s="3" t="s">
        <v>18</v>
      </c>
      <c r="G41" s="3" t="s">
        <v>18</v>
      </c>
      <c r="H41" s="3" t="s">
        <v>83</v>
      </c>
      <c r="J41" s="5">
        <v>250</v>
      </c>
      <c r="K41" s="5">
        <v>10</v>
      </c>
      <c r="L41" s="10">
        <v>60</v>
      </c>
      <c r="M41" s="10">
        <v>100</v>
      </c>
      <c r="N41" s="5"/>
      <c r="O41" s="5" t="e">
        <f>P39</f>
        <v>#VALUE!</v>
      </c>
      <c r="P41" s="5"/>
    </row>
    <row r="42" spans="1:16" x14ac:dyDescent="0.15">
      <c r="A42">
        <v>39</v>
      </c>
      <c r="B42" s="2">
        <v>4</v>
      </c>
      <c r="C42" s="5">
        <v>1750</v>
      </c>
      <c r="D42" s="3" t="s">
        <v>72</v>
      </c>
      <c r="E42" s="3" t="s">
        <v>18</v>
      </c>
      <c r="F42" s="3" t="s">
        <v>18</v>
      </c>
      <c r="G42" s="3" t="s">
        <v>18</v>
      </c>
      <c r="H42" s="3" t="s">
        <v>83</v>
      </c>
      <c r="J42" s="5">
        <v>500</v>
      </c>
      <c r="K42" s="5">
        <v>10</v>
      </c>
      <c r="L42" s="10">
        <v>60</v>
      </c>
      <c r="M42" s="10">
        <v>100</v>
      </c>
      <c r="N42" s="5"/>
      <c r="O42" s="5" t="e">
        <f t="shared" ref="O42:O60" si="6">O41+($F$11-$F$13)/19</f>
        <v>#VALUE!</v>
      </c>
      <c r="P42" s="5"/>
    </row>
    <row r="43" spans="1:16" x14ac:dyDescent="0.15">
      <c r="A43">
        <v>40</v>
      </c>
      <c r="B43" s="2">
        <v>4</v>
      </c>
      <c r="C43" s="5">
        <v>2000</v>
      </c>
      <c r="D43" s="3" t="s">
        <v>72</v>
      </c>
      <c r="E43" s="3" t="s">
        <v>18</v>
      </c>
      <c r="F43" s="3" t="s">
        <v>18</v>
      </c>
      <c r="G43" s="3" t="s">
        <v>18</v>
      </c>
      <c r="H43" s="4" t="s">
        <v>84</v>
      </c>
      <c r="J43" s="5">
        <v>750</v>
      </c>
      <c r="K43" s="5">
        <v>10</v>
      </c>
      <c r="L43" s="10">
        <v>60</v>
      </c>
      <c r="M43" s="10">
        <v>100</v>
      </c>
      <c r="N43" s="5"/>
      <c r="O43" s="5" t="e">
        <f t="shared" si="6"/>
        <v>#VALUE!</v>
      </c>
      <c r="P43" s="5"/>
    </row>
    <row r="44" spans="1:16" x14ac:dyDescent="0.15">
      <c r="A44">
        <v>41</v>
      </c>
      <c r="B44" s="2">
        <v>4</v>
      </c>
      <c r="C44" s="5">
        <v>2250</v>
      </c>
      <c r="D44" s="3" t="s">
        <v>72</v>
      </c>
      <c r="E44" s="3" t="s">
        <v>18</v>
      </c>
      <c r="F44" s="3" t="s">
        <v>18</v>
      </c>
      <c r="G44" s="3" t="s">
        <v>18</v>
      </c>
      <c r="H44" s="3" t="s">
        <v>83</v>
      </c>
      <c r="J44" s="5">
        <v>1000</v>
      </c>
      <c r="K44" s="5">
        <v>50</v>
      </c>
      <c r="L44" s="10">
        <v>300</v>
      </c>
      <c r="M44" s="10">
        <v>600</v>
      </c>
      <c r="N44" s="5"/>
      <c r="O44" s="5" t="e">
        <f t="shared" si="6"/>
        <v>#VALUE!</v>
      </c>
      <c r="P44" s="5"/>
    </row>
    <row r="45" spans="1:16" x14ac:dyDescent="0.15">
      <c r="A45">
        <v>42</v>
      </c>
      <c r="B45" s="2">
        <v>4</v>
      </c>
      <c r="C45" s="5">
        <v>2500</v>
      </c>
      <c r="D45" s="3" t="s">
        <v>72</v>
      </c>
      <c r="E45" s="3" t="s">
        <v>18</v>
      </c>
      <c r="F45" s="3" t="s">
        <v>18</v>
      </c>
      <c r="G45" s="3" t="s">
        <v>18</v>
      </c>
      <c r="H45" s="3" t="s">
        <v>83</v>
      </c>
      <c r="J45" s="5">
        <v>1250</v>
      </c>
      <c r="K45" s="5">
        <v>10</v>
      </c>
      <c r="L45" s="10">
        <v>60</v>
      </c>
      <c r="M45" s="10">
        <v>100</v>
      </c>
      <c r="N45" s="5"/>
      <c r="O45" s="5" t="e">
        <f t="shared" si="6"/>
        <v>#VALUE!</v>
      </c>
      <c r="P45" s="5"/>
    </row>
    <row r="46" spans="1:16" x14ac:dyDescent="0.15">
      <c r="A46">
        <v>43</v>
      </c>
      <c r="B46" s="2">
        <v>4</v>
      </c>
      <c r="C46" s="5">
        <v>2750</v>
      </c>
      <c r="D46" s="3" t="s">
        <v>72</v>
      </c>
      <c r="E46" s="3" t="s">
        <v>18</v>
      </c>
      <c r="F46" s="3" t="s">
        <v>18</v>
      </c>
      <c r="G46" s="3" t="s">
        <v>18</v>
      </c>
      <c r="H46" s="3" t="s">
        <v>83</v>
      </c>
      <c r="J46" s="5">
        <v>1500</v>
      </c>
      <c r="K46" s="5">
        <v>10</v>
      </c>
      <c r="L46" s="10">
        <v>60</v>
      </c>
      <c r="M46" s="10">
        <v>100</v>
      </c>
      <c r="N46" s="5"/>
      <c r="O46" s="5" t="e">
        <f t="shared" si="6"/>
        <v>#VALUE!</v>
      </c>
      <c r="P46" s="5"/>
    </row>
    <row r="47" spans="1:16" x14ac:dyDescent="0.15">
      <c r="A47">
        <v>44</v>
      </c>
      <c r="B47" s="2">
        <v>4</v>
      </c>
      <c r="C47" s="5">
        <v>3000</v>
      </c>
      <c r="D47" s="3" t="s">
        <v>72</v>
      </c>
      <c r="E47" s="3" t="s">
        <v>18</v>
      </c>
      <c r="F47" s="3" t="s">
        <v>18</v>
      </c>
      <c r="G47" s="3" t="s">
        <v>18</v>
      </c>
      <c r="H47" s="4" t="s">
        <v>84</v>
      </c>
      <c r="J47" s="5">
        <v>1750</v>
      </c>
      <c r="K47" s="5">
        <v>10</v>
      </c>
      <c r="L47" s="10">
        <v>60</v>
      </c>
      <c r="M47" s="10">
        <v>100</v>
      </c>
      <c r="N47" s="5"/>
      <c r="O47" s="5" t="e">
        <f t="shared" si="6"/>
        <v>#VALUE!</v>
      </c>
      <c r="P47" s="5"/>
    </row>
    <row r="48" spans="1:16" x14ac:dyDescent="0.15">
      <c r="A48">
        <v>45</v>
      </c>
      <c r="B48" s="2">
        <v>4</v>
      </c>
      <c r="C48" s="5">
        <v>3250</v>
      </c>
      <c r="D48" s="3" t="s">
        <v>72</v>
      </c>
      <c r="E48" s="3" t="s">
        <v>18</v>
      </c>
      <c r="F48" s="3" t="s">
        <v>18</v>
      </c>
      <c r="G48" s="3" t="s">
        <v>18</v>
      </c>
      <c r="H48" s="3" t="s">
        <v>83</v>
      </c>
      <c r="J48" s="5">
        <v>2000</v>
      </c>
      <c r="K48" s="5">
        <v>50</v>
      </c>
      <c r="L48" s="10">
        <v>300</v>
      </c>
      <c r="M48" s="10">
        <v>600</v>
      </c>
      <c r="N48" s="5"/>
      <c r="O48" s="5" t="e">
        <f t="shared" si="6"/>
        <v>#VALUE!</v>
      </c>
      <c r="P48" s="5"/>
    </row>
    <row r="49" spans="1:16" x14ac:dyDescent="0.15">
      <c r="A49">
        <v>46</v>
      </c>
      <c r="B49" s="2">
        <v>4</v>
      </c>
      <c r="C49" s="5">
        <v>3500</v>
      </c>
      <c r="D49" s="3" t="s">
        <v>72</v>
      </c>
      <c r="E49" s="3" t="s">
        <v>18</v>
      </c>
      <c r="F49" s="3" t="s">
        <v>18</v>
      </c>
      <c r="G49" s="3" t="s">
        <v>18</v>
      </c>
      <c r="H49" s="3" t="s">
        <v>83</v>
      </c>
      <c r="J49" s="5">
        <v>2250</v>
      </c>
      <c r="K49" s="5">
        <v>10</v>
      </c>
      <c r="L49" s="10">
        <v>60</v>
      </c>
      <c r="M49" s="10">
        <v>100</v>
      </c>
      <c r="N49" s="5"/>
      <c r="O49" s="5" t="e">
        <f t="shared" si="6"/>
        <v>#VALUE!</v>
      </c>
      <c r="P49" s="5"/>
    </row>
    <row r="50" spans="1:16" x14ac:dyDescent="0.15">
      <c r="A50">
        <v>47</v>
      </c>
      <c r="B50" s="2">
        <v>4</v>
      </c>
      <c r="C50" s="5">
        <v>3750</v>
      </c>
      <c r="D50" s="3" t="s">
        <v>72</v>
      </c>
      <c r="E50" s="3" t="s">
        <v>18</v>
      </c>
      <c r="F50" s="3" t="s">
        <v>18</v>
      </c>
      <c r="G50" s="3" t="s">
        <v>18</v>
      </c>
      <c r="H50" s="3" t="s">
        <v>83</v>
      </c>
      <c r="J50" s="5">
        <v>2500</v>
      </c>
      <c r="K50" s="5">
        <v>10</v>
      </c>
      <c r="L50" s="10">
        <v>60</v>
      </c>
      <c r="M50" s="10">
        <v>100</v>
      </c>
      <c r="N50" s="5"/>
      <c r="O50" s="5" t="e">
        <f t="shared" si="6"/>
        <v>#VALUE!</v>
      </c>
      <c r="P50" s="5"/>
    </row>
    <row r="51" spans="1:16" x14ac:dyDescent="0.15">
      <c r="A51">
        <v>48</v>
      </c>
      <c r="B51" s="2">
        <v>4</v>
      </c>
      <c r="C51" s="5">
        <v>4000</v>
      </c>
      <c r="D51" s="3" t="s">
        <v>72</v>
      </c>
      <c r="E51" s="3" t="s">
        <v>18</v>
      </c>
      <c r="F51" s="3" t="s">
        <v>18</v>
      </c>
      <c r="G51" s="3" t="s">
        <v>18</v>
      </c>
      <c r="H51" s="4" t="s">
        <v>84</v>
      </c>
      <c r="J51" s="5">
        <v>2750</v>
      </c>
      <c r="K51" s="5">
        <v>10</v>
      </c>
      <c r="L51" s="10">
        <v>60</v>
      </c>
      <c r="M51" s="10">
        <v>100</v>
      </c>
      <c r="N51" s="5"/>
      <c r="O51" s="5" t="e">
        <f t="shared" si="6"/>
        <v>#VALUE!</v>
      </c>
      <c r="P51" s="5"/>
    </row>
    <row r="52" spans="1:16" x14ac:dyDescent="0.15">
      <c r="A52">
        <v>49</v>
      </c>
      <c r="B52" s="2">
        <v>4</v>
      </c>
      <c r="C52" s="5">
        <v>4250</v>
      </c>
      <c r="D52" s="3" t="s">
        <v>72</v>
      </c>
      <c r="E52" s="3" t="s">
        <v>18</v>
      </c>
      <c r="F52" s="3" t="s">
        <v>18</v>
      </c>
      <c r="G52" s="3" t="s">
        <v>18</v>
      </c>
      <c r="H52" s="3" t="s">
        <v>83</v>
      </c>
      <c r="J52" s="5">
        <v>3000</v>
      </c>
      <c r="K52" s="5">
        <v>50</v>
      </c>
      <c r="L52" s="10">
        <v>300</v>
      </c>
      <c r="M52" s="10">
        <v>600</v>
      </c>
      <c r="N52" s="5"/>
      <c r="O52" s="5" t="e">
        <f t="shared" si="6"/>
        <v>#VALUE!</v>
      </c>
      <c r="P52" s="5"/>
    </row>
    <row r="53" spans="1:16" x14ac:dyDescent="0.15">
      <c r="A53">
        <v>50</v>
      </c>
      <c r="B53" s="2">
        <v>4</v>
      </c>
      <c r="C53" s="5">
        <v>4500</v>
      </c>
      <c r="D53" s="3" t="s">
        <v>72</v>
      </c>
      <c r="E53" s="3" t="s">
        <v>18</v>
      </c>
      <c r="F53" s="3" t="s">
        <v>18</v>
      </c>
      <c r="G53" s="3" t="s">
        <v>18</v>
      </c>
      <c r="H53" s="3" t="s">
        <v>83</v>
      </c>
      <c r="J53" s="5">
        <v>3250</v>
      </c>
      <c r="K53" s="5">
        <v>10</v>
      </c>
      <c r="L53" s="10">
        <v>60</v>
      </c>
      <c r="M53" s="10">
        <v>100</v>
      </c>
      <c r="N53" s="5"/>
      <c r="O53" s="5" t="e">
        <f t="shared" si="6"/>
        <v>#VALUE!</v>
      </c>
      <c r="P53" s="5"/>
    </row>
    <row r="54" spans="1:16" x14ac:dyDescent="0.15">
      <c r="A54">
        <v>51</v>
      </c>
      <c r="B54" s="2">
        <v>4</v>
      </c>
      <c r="C54" s="5">
        <v>4750</v>
      </c>
      <c r="D54" s="3" t="s">
        <v>72</v>
      </c>
      <c r="E54" s="3" t="s">
        <v>18</v>
      </c>
      <c r="F54" s="3" t="s">
        <v>18</v>
      </c>
      <c r="G54" s="3" t="s">
        <v>18</v>
      </c>
      <c r="H54" s="3" t="s">
        <v>83</v>
      </c>
      <c r="J54" s="5">
        <v>3500</v>
      </c>
      <c r="K54" s="5">
        <v>10</v>
      </c>
      <c r="L54" s="10">
        <v>60</v>
      </c>
      <c r="M54" s="10">
        <v>100</v>
      </c>
      <c r="N54" s="5"/>
      <c r="O54" s="5" t="e">
        <f t="shared" si="6"/>
        <v>#VALUE!</v>
      </c>
      <c r="P54" s="5"/>
    </row>
    <row r="55" spans="1:16" x14ac:dyDescent="0.15">
      <c r="A55">
        <v>52</v>
      </c>
      <c r="B55" s="2">
        <v>4</v>
      </c>
      <c r="C55" s="5">
        <v>5000</v>
      </c>
      <c r="D55" s="3" t="s">
        <v>72</v>
      </c>
      <c r="E55" s="3" t="s">
        <v>18</v>
      </c>
      <c r="F55" s="3" t="s">
        <v>18</v>
      </c>
      <c r="G55" s="3" t="s">
        <v>18</v>
      </c>
      <c r="H55" s="4" t="s">
        <v>84</v>
      </c>
      <c r="J55" s="5">
        <v>3750</v>
      </c>
      <c r="K55" s="5">
        <v>10</v>
      </c>
      <c r="L55" s="10">
        <v>60</v>
      </c>
      <c r="M55" s="10">
        <v>100</v>
      </c>
      <c r="N55" s="5"/>
      <c r="O55" s="5" t="e">
        <f t="shared" si="6"/>
        <v>#VALUE!</v>
      </c>
      <c r="P55" s="5"/>
    </row>
    <row r="56" spans="1:16" x14ac:dyDescent="0.15">
      <c r="J56" s="5">
        <v>4000</v>
      </c>
      <c r="K56" s="5">
        <v>50</v>
      </c>
      <c r="L56" s="10">
        <v>300</v>
      </c>
      <c r="M56" s="10">
        <v>600</v>
      </c>
      <c r="N56" s="5"/>
      <c r="O56" s="5" t="e">
        <f t="shared" si="6"/>
        <v>#VALUE!</v>
      </c>
      <c r="P56" s="5"/>
    </row>
    <row r="57" spans="1:16" x14ac:dyDescent="0.15">
      <c r="J57" s="5">
        <v>4250</v>
      </c>
      <c r="K57" s="5">
        <v>10</v>
      </c>
      <c r="L57" s="10">
        <v>60</v>
      </c>
      <c r="M57" s="10">
        <v>100</v>
      </c>
      <c r="N57" s="5"/>
      <c r="O57" s="5" t="e">
        <f t="shared" si="6"/>
        <v>#VALUE!</v>
      </c>
      <c r="P57" s="5"/>
    </row>
    <row r="58" spans="1:16" x14ac:dyDescent="0.15">
      <c r="J58" s="5">
        <v>4500</v>
      </c>
      <c r="K58" s="5">
        <v>10</v>
      </c>
      <c r="L58" s="10">
        <v>60</v>
      </c>
      <c r="M58" s="10">
        <v>100</v>
      </c>
      <c r="N58" s="5"/>
      <c r="O58" s="5" t="e">
        <f t="shared" si="6"/>
        <v>#VALUE!</v>
      </c>
      <c r="P58" s="5"/>
    </row>
    <row r="59" spans="1:16" x14ac:dyDescent="0.15">
      <c r="J59" s="5">
        <v>4750</v>
      </c>
      <c r="K59" s="5">
        <v>10</v>
      </c>
      <c r="L59" s="10">
        <v>60</v>
      </c>
      <c r="M59" s="10">
        <v>100</v>
      </c>
      <c r="N59" s="5"/>
      <c r="O59" s="5" t="e">
        <f t="shared" si="6"/>
        <v>#VALUE!</v>
      </c>
      <c r="P59" s="5"/>
    </row>
    <row r="60" spans="1:16" x14ac:dyDescent="0.15">
      <c r="J60" s="5">
        <v>5000</v>
      </c>
      <c r="K60" s="5">
        <v>50</v>
      </c>
      <c r="L60" s="10">
        <v>300</v>
      </c>
      <c r="M60" s="10">
        <v>600</v>
      </c>
      <c r="N60" s="5"/>
      <c r="O60" s="5" t="e">
        <f t="shared" si="6"/>
        <v>#VALUE!</v>
      </c>
      <c r="P60" s="5"/>
    </row>
    <row r="61" spans="1:16" x14ac:dyDescent="0.15">
      <c r="J61" s="5" t="s">
        <v>77</v>
      </c>
      <c r="K61" s="5">
        <f>SUM(K40:K60)</f>
        <v>410</v>
      </c>
      <c r="L61" s="5">
        <f>SUM(L40:L60)</f>
        <v>2700</v>
      </c>
      <c r="M61" s="5">
        <f>SUM(M40:M60)</f>
        <v>5000</v>
      </c>
      <c r="N61" s="5"/>
      <c r="O61" s="5"/>
      <c r="P61" s="5"/>
    </row>
  </sheetData>
  <phoneticPr fontId="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quest_award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王建斌</cp:lastModifiedBy>
  <dcterms:created xsi:type="dcterms:W3CDTF">2017-06-13T02:34:00Z</dcterms:created>
  <dcterms:modified xsi:type="dcterms:W3CDTF">2021-03-08T05:42:00Z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2052-11.1.0.10132</vt:lpwstr>
  </property>
</Properties>
</file>